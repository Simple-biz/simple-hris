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Mngr" sheetId="1" r:id="rId5"/>
    <sheet state="visible" name="Filing" sheetId="2" r:id="rId6"/>
    <sheet state="visible" name="Updated Filing for now" sheetId="3" r:id="rId7"/>
    <sheet state="visible" name="RE-FILING TEAM" sheetId="4" r:id="rId8"/>
    <sheet state="visible" name="Intake" sheetId="5" r:id="rId9"/>
    <sheet state="visible" name="Healthcare" sheetId="6" r:id="rId10"/>
    <sheet state="visible" name="Medical Records" sheetId="7" r:id="rId11"/>
    <sheet state="visible" name="Hearing Team" sheetId="8" r:id="rId12"/>
    <sheet state="visible" name="Care Team" sheetId="9" r:id="rId13"/>
    <sheet state="visible" name="Hogan Smith Leaders Bonus Plans" sheetId="10" r:id="rId14"/>
    <sheet state="visible" name="Scratch Paper" sheetId="11" r:id="rId15"/>
  </sheets>
  <definedNames>
    <definedName hidden="1" localSheetId="0" name="_xlnm._FilterDatabase">'Case Mngr'!$A$3:$K$2673</definedName>
    <definedName hidden="1" localSheetId="1" name="_xlnm._FilterDatabase">Filing!$A$3:$G$491</definedName>
    <definedName hidden="1" localSheetId="2" name="_xlnm._FilterDatabase">'Updated Filing for now'!$A$3:$M$1015</definedName>
    <definedName hidden="1" localSheetId="3" name="_xlnm._FilterDatabase">'RE-FILING TEAM'!$A$4:$K$570</definedName>
    <definedName hidden="1" localSheetId="4" name="_xlnm._FilterDatabase">Intake!$A$4:$J$2187</definedName>
    <definedName hidden="1" localSheetId="5" name="_xlnm._FilterDatabase">Healthcare!$A$3:$G$458</definedName>
    <definedName hidden="1" localSheetId="6" name="_xlnm._FilterDatabase">'Medical Records'!$A$2:$H$1316</definedName>
    <definedName hidden="1" localSheetId="7" name="_xlnm._FilterDatabase">'Hearing Team'!$A$2:$AB$333</definedName>
    <definedName hidden="1" localSheetId="8" name="_xlnm._FilterDatabase">'Care Team'!$A$1:$E$196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6">
      <text>
        <t xml:space="preserve">ivym@simple.biz</t>
      </text>
    </comment>
    <comment authorId="0" ref="B112">
      <text>
        <t xml:space="preserve">ivym@simple.biz</t>
      </text>
    </comment>
    <comment authorId="0" ref="B168">
      <text>
        <t xml:space="preserve">ivym@simple.biz</t>
      </text>
    </comment>
    <comment authorId="0" ref="B224">
      <text>
        <t xml:space="preserve">ivym@simple.biz</t>
      </text>
    </comment>
    <comment authorId="0" ref="B275">
      <text>
        <t xml:space="preserve">ivym@simple.biz</t>
      </text>
    </comment>
    <comment authorId="0" ref="B325">
      <text>
        <t xml:space="preserve">ivym@simple.biz</t>
      </text>
    </comment>
    <comment authorId="0" ref="B375">
      <text>
        <t xml:space="preserve">ivym@simple.biz</t>
      </text>
    </comment>
    <comment authorId="0" ref="B425">
      <text>
        <t xml:space="preserve">ivym@simple.biz</t>
      </text>
    </comment>
    <comment authorId="0" ref="B490">
      <text>
        <t xml:space="preserve">ivym@simple.biz</t>
      </text>
    </comment>
    <comment authorId="0" ref="B556">
      <text>
        <t xml:space="preserve">ivym@simple.biz</t>
      </text>
    </comment>
    <comment authorId="0" ref="B622">
      <text>
        <t xml:space="preserve">ivym@simple.biz</t>
      </text>
    </comment>
    <comment authorId="0" ref="B688">
      <text>
        <t xml:space="preserve">ivym@simple.biz</t>
      </text>
    </comment>
    <comment authorId="0" ref="B754">
      <text>
        <t xml:space="preserve">ivym@simple.biz</t>
      </text>
    </comment>
    <comment authorId="0" ref="B820">
      <text>
        <t xml:space="preserve">ivym@simple.biz</t>
      </text>
    </comment>
    <comment authorId="0" ref="B882">
      <text>
        <t xml:space="preserve">ivym@simple.biz</t>
      </text>
    </comment>
    <comment authorId="0" ref="B938">
      <text>
        <t xml:space="preserve">ivym@simple.biz</t>
      </text>
    </comment>
    <comment authorId="0" ref="B995">
      <text>
        <t xml:space="preserve">ivym@simple.biz</t>
      </text>
    </comment>
    <comment authorId="0" ref="B1052">
      <text>
        <t xml:space="preserve">ivym@simple.biz</t>
      </text>
    </comment>
    <comment authorId="0" ref="B1107">
      <text>
        <t xml:space="preserve">ivym@simple.biz</t>
      </text>
    </comment>
    <comment authorId="0" ref="B1163">
      <text>
        <t xml:space="preserve">ivym@simple.biz</t>
      </text>
    </comment>
    <comment authorId="0" ref="B1216">
      <text>
        <t xml:space="preserve">ivym@simple.biz</t>
      </text>
    </comment>
    <comment authorId="0" ref="B1270">
      <text>
        <t xml:space="preserve">ivym@simple.biz</t>
      </text>
    </comment>
    <comment authorId="0" ref="B1325">
      <text>
        <t xml:space="preserve">ivym@simple.biz</t>
      </text>
    </comment>
    <comment authorId="0" ref="B1381">
      <text>
        <t xml:space="preserve">ivym@simple.biz</t>
      </text>
    </comment>
    <comment authorId="0" ref="B1446">
      <text>
        <t xml:space="preserve">ivym@simple.biz</t>
      </text>
    </comment>
    <comment authorId="0" ref="B1513">
      <text>
        <t xml:space="preserve">ivym@simple.biz</t>
      </text>
    </comment>
    <comment authorId="0" ref="B1580">
      <text>
        <t xml:space="preserve">ivym@simple.biz</t>
      </text>
    </comment>
    <comment authorId="0" ref="B1647">
      <text>
        <t xml:space="preserve">ivym@simple.biz</t>
      </text>
    </comment>
    <comment authorId="0" ref="B1709">
      <text>
        <t xml:space="preserve">ivym@simple.biz</t>
      </text>
    </comment>
    <comment authorId="0" ref="B1770">
      <text>
        <t xml:space="preserve">ivym@simple.biz</t>
      </text>
    </comment>
    <comment authorId="0" ref="B1831">
      <text>
        <t xml:space="preserve">ivym@simple.biz</t>
      </text>
    </comment>
    <comment authorId="0" ref="B1890">
      <text>
        <t xml:space="preserve">ivym@simple.biz</t>
      </text>
    </comment>
    <comment authorId="0" ref="B1946">
      <text>
        <t xml:space="preserve">ivym@simple.biz</t>
      </text>
    </comment>
    <comment authorId="0" ref="B1999">
      <text>
        <t xml:space="preserve">ivym@simple.biz</t>
      </text>
    </comment>
    <comment authorId="0" ref="B2048">
      <text>
        <t xml:space="preserve">ivym@simple.biz</t>
      </text>
    </comment>
    <comment authorId="0" ref="B2091">
      <text>
        <t xml:space="preserve">ivym@simple.biz</t>
      </text>
    </comment>
    <comment authorId="0" ref="B2134">
      <text>
        <t xml:space="preserve">ivym@simple.biz</t>
      </text>
    </comment>
    <comment authorId="0" ref="B2178">
      <text>
        <t xml:space="preserve">ivym@simple.biz</t>
      </text>
    </comment>
    <comment authorId="0" ref="B2217">
      <text>
        <t xml:space="preserve">ivym@simple.biz</t>
      </text>
    </comment>
    <comment authorId="0" ref="B2256">
      <text>
        <t xml:space="preserve">ivym@simple.biz</t>
      </text>
    </comment>
    <comment authorId="0" ref="B2295">
      <text>
        <t xml:space="preserve">ivym@simple.biz</t>
      </text>
    </comment>
    <comment authorId="0" ref="B2329">
      <text>
        <t xml:space="preserve">ivym@simple.biz</t>
      </text>
    </comment>
    <comment authorId="0" ref="B2363">
      <text>
        <t xml:space="preserve">ivym@simple.biz</t>
      </text>
    </comment>
    <comment authorId="0" ref="B2399">
      <text>
        <t xml:space="preserve">ivym@simple.biz</t>
      </text>
    </comment>
    <comment authorId="0" ref="B2435">
      <text>
        <t xml:space="preserve">ivym@simple.biz</t>
      </text>
    </comment>
    <comment authorId="0" ref="B2464">
      <text>
        <t xml:space="preserve">karmina@simple.biz</t>
      </text>
    </comment>
    <comment authorId="0" ref="B2467">
      <text>
        <t xml:space="preserve">ivym@simple.biz</t>
      </text>
    </comment>
    <comment authorId="0" ref="B2496">
      <text>
        <t xml:space="preserve">karmina@simple.biz</t>
      </text>
    </comment>
    <comment authorId="0" ref="B2499">
      <text>
        <t xml:space="preserve">ivym@simple.biz</t>
      </text>
    </comment>
    <comment authorId="0" ref="B2531">
      <text>
        <t xml:space="preserve">ivy@simple.biz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100
</t>
      </text>
    </comment>
    <comment authorId="0" ref="F4">
      <text>
        <t xml:space="preserve">100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83">
      <text>
        <t xml:space="preserve">mary, change to jayveea@simple.biz on 5/12
</t>
      </text>
    </comment>
    <comment authorId="0" ref="B2013">
      <text>
        <t xml:space="preserve">mary, change email on 5/12
</t>
      </text>
    </comment>
  </commentList>
</comments>
</file>

<file path=xl/sharedStrings.xml><?xml version="1.0" encoding="utf-8"?>
<sst xmlns="http://schemas.openxmlformats.org/spreadsheetml/2006/main" count="33625" uniqueCount="1242">
  <si>
    <t>CASE MANAGERS: Patient Portal Logins (250) | Completed task (250) | RFC Signups (250) | 5 star review (250) (Php 200 for 5 star temporarily) | DME RX (250)</t>
  </si>
  <si>
    <t>https://docs.google.com/spreadsheets/d/1H3X7LAEBjHDpv6IJcT3R-dN6E8Lukd5G1OMetbTh5Ag/edit?gid=68380012#gid=68380012</t>
  </si>
  <si>
    <t>Week</t>
  </si>
  <si>
    <t>Email</t>
  </si>
  <si>
    <t>HSL Names</t>
  </si>
  <si>
    <t>Name</t>
  </si>
  <si>
    <t>5-star</t>
  </si>
  <si>
    <t>RFC</t>
  </si>
  <si>
    <t>DME</t>
  </si>
  <si>
    <t>Patient Portal Login</t>
  </si>
  <si>
    <t>Completed Task</t>
  </si>
  <si>
    <t>Successfully Converted Referral Lead</t>
  </si>
  <si>
    <t>Total</t>
  </si>
  <si>
    <t>Week 1/5/26 - 1/11/26</t>
  </si>
  <si>
    <t>jimb@simple.biz</t>
  </si>
  <si>
    <t>Damon</t>
  </si>
  <si>
    <t>Boongaling, Gim Clark "Jim"</t>
  </si>
  <si>
    <t>andrewg@simple.biz</t>
  </si>
  <si>
    <t>Drake</t>
  </si>
  <si>
    <t>Gersaniba, Andrew "Andrew"</t>
  </si>
  <si>
    <t>cannys@simple.biz</t>
  </si>
  <si>
    <t>Canny</t>
  </si>
  <si>
    <t>Canny Rose Savillo "Canny"</t>
  </si>
  <si>
    <t>kennm@simple.biz</t>
  </si>
  <si>
    <t>Ivan</t>
  </si>
  <si>
    <t>Melliza , Kenneth "Ken"</t>
  </si>
  <si>
    <t>macp@simple.biz</t>
  </si>
  <si>
    <t>Cameron</t>
  </si>
  <si>
    <t>Pahunang Mark Anthony L. "Mac"</t>
  </si>
  <si>
    <t>mackyj@simple.biz</t>
  </si>
  <si>
    <t>Malcolm</t>
  </si>
  <si>
    <t>Jordan, Reymark Japon "Macky"</t>
  </si>
  <si>
    <t>lovelyc@simple.biz</t>
  </si>
  <si>
    <t>Lovely</t>
  </si>
  <si>
    <t xml:space="preserve">Celis, Lovely V "Love" </t>
  </si>
  <si>
    <t>rvr@simple.biz</t>
  </si>
  <si>
    <t>Theo Rivera</t>
  </si>
  <si>
    <t>Rivera, Roy "RV"</t>
  </si>
  <si>
    <t>beao@simple.biz</t>
  </si>
  <si>
    <t>Cindy Olarte</t>
  </si>
  <si>
    <t>Olarte, Bea Patricia  "Bea"</t>
  </si>
  <si>
    <t>mikep@simple.biz</t>
  </si>
  <si>
    <t>Harris Placia</t>
  </si>
  <si>
    <t>Placia, Michael S "Mike"</t>
  </si>
  <si>
    <t>liefe@simple.biz</t>
  </si>
  <si>
    <t>Clio Enriquez</t>
  </si>
  <si>
    <t>Enriquez, Lief Lester "Leif"</t>
  </si>
  <si>
    <t>tonc@simple.biz</t>
  </si>
  <si>
    <t>Clint Caceres</t>
  </si>
  <si>
    <t>Caceres, Clinton "Ton"</t>
  </si>
  <si>
    <t>rosed@simple.biz</t>
  </si>
  <si>
    <t>Ruth Dente</t>
  </si>
  <si>
    <t>Dente, Rosemary Joy "Rose"</t>
  </si>
  <si>
    <t>janinec@simple.biz</t>
  </si>
  <si>
    <t>Josie Certeza</t>
  </si>
  <si>
    <t>Certeza, Janine M "Janine"</t>
  </si>
  <si>
    <t>keithc@simple.biz</t>
  </si>
  <si>
    <t>Jupiter Cayosa</t>
  </si>
  <si>
    <t>Cayosa, Keith Xavier Jonathan"Keith"</t>
  </si>
  <si>
    <t>verag@simple.biz</t>
  </si>
  <si>
    <t>Lucy Giducos</t>
  </si>
  <si>
    <t>Giducos, Vera "Vera"</t>
  </si>
  <si>
    <t>jebr@simple.biz</t>
  </si>
  <si>
    <t>Levi Ravanilla</t>
  </si>
  <si>
    <t>Ravanilla, Jeb Patrick  "Jeb"</t>
  </si>
  <si>
    <t>olie@simple.biz</t>
  </si>
  <si>
    <t>Oliver Estanislao</t>
  </si>
  <si>
    <t>Estanislao,  Olimar Ramos "Oli"</t>
  </si>
  <si>
    <t>dancp@simple.biz</t>
  </si>
  <si>
    <t>Clark Pagharion</t>
  </si>
  <si>
    <t>Dan Carlo Pagharion "Dan"</t>
  </si>
  <si>
    <t>lawrenced@simple.biz</t>
  </si>
  <si>
    <t>Robin David</t>
  </si>
  <si>
    <t>David, Lawrence Francis "Lawrence"</t>
  </si>
  <si>
    <t>josephr@simple.biz</t>
  </si>
  <si>
    <t>Phoenix Robles</t>
  </si>
  <si>
    <t>Robles, Joseph "Joseph"</t>
  </si>
  <si>
    <t>ruswellb@simple.biz</t>
  </si>
  <si>
    <t>Russel Bartolata</t>
  </si>
  <si>
    <t>Bartolata, Ruswell  ""Ruswell"</t>
  </si>
  <si>
    <t>acea@simple.biz</t>
  </si>
  <si>
    <t>Ace Arrieta</t>
  </si>
  <si>
    <t>Arrieta, Ace "Ace"</t>
  </si>
  <si>
    <t>alexb@simple.biz</t>
  </si>
  <si>
    <t>Simon Busano</t>
  </si>
  <si>
    <t>Busano, Lorenzo "Alex"</t>
  </si>
  <si>
    <t>brandong@simple.biz</t>
  </si>
  <si>
    <t>Bryce Gonzales</t>
  </si>
  <si>
    <t>Gonzales, Brandon Jay "Brandon"</t>
  </si>
  <si>
    <t>aprilc@simple.biz</t>
  </si>
  <si>
    <t>Sofie Carriaga</t>
  </si>
  <si>
    <t>Carriaga, April Mae "April"</t>
  </si>
  <si>
    <t>camillm@simple.biz</t>
  </si>
  <si>
    <t>Cassie Mercado</t>
  </si>
  <si>
    <t>Mercado, Joyce Camill "Camill"</t>
  </si>
  <si>
    <t>ashleyb@simple.biz</t>
  </si>
  <si>
    <t>Ash Baragona</t>
  </si>
  <si>
    <t>Baragona, Aslamah "Ashley"</t>
  </si>
  <si>
    <t>bela@simple.biz</t>
  </si>
  <si>
    <t>Violet</t>
  </si>
  <si>
    <t>Anastacio, Lovella "Belle"</t>
  </si>
  <si>
    <t>kathl@simple.biz</t>
  </si>
  <si>
    <t>Cara</t>
  </si>
  <si>
    <t>Lapure, Kathleen "Kath"</t>
  </si>
  <si>
    <t>linkm@simple.biz</t>
  </si>
  <si>
    <t>Conor Mamaril</t>
  </si>
  <si>
    <t>Mamaril, Lincoln Gerard A "Link"</t>
  </si>
  <si>
    <t>tobic@simple.biz</t>
  </si>
  <si>
    <t>Toby Cadag</t>
  </si>
  <si>
    <t>Cadag, Tobi "Tobi"</t>
  </si>
  <si>
    <t>mikekja@simple.biz</t>
  </si>
  <si>
    <t>Morty Agtag</t>
  </si>
  <si>
    <t>Agtag, Mike king jay Erano "Mike"</t>
  </si>
  <si>
    <t>dales@simple.biz</t>
  </si>
  <si>
    <t>Dale DelosSantos</t>
  </si>
  <si>
    <t>Delos Santos,Dale "Dale"</t>
  </si>
  <si>
    <t>cliffl@simple.biz</t>
  </si>
  <si>
    <t>Clifford Lopez</t>
  </si>
  <si>
    <t>Lopez, Cliff Roven "Cliff'</t>
  </si>
  <si>
    <t>khrism@simple.biz</t>
  </si>
  <si>
    <t>Krissa Moises</t>
  </si>
  <si>
    <t>Moises, Khrisna "Krissa"</t>
  </si>
  <si>
    <t>ara@simple.biz</t>
  </si>
  <si>
    <t>Ara Breboneria</t>
  </si>
  <si>
    <t>Breboneria, Ara "Ara Br"</t>
  </si>
  <si>
    <t>annel@simple.biz</t>
  </si>
  <si>
    <t>Bella Victoria</t>
  </si>
  <si>
    <t>La Victoria, Jichelle "Bella V"</t>
  </si>
  <si>
    <t>queenb@simple.biz</t>
  </si>
  <si>
    <t>Olivia Enriquez</t>
  </si>
  <si>
    <t>Baguio, Queencis Eve "Olivia"</t>
  </si>
  <si>
    <t>jannj@simple.biz</t>
  </si>
  <si>
    <t>Jaden Jumonong</t>
  </si>
  <si>
    <t>Jumonong, Jann Andrei "Jaden"</t>
  </si>
  <si>
    <t>elmob@simple.biz</t>
  </si>
  <si>
    <t>Elmo Biol</t>
  </si>
  <si>
    <t>Biol, Elmer "Elmo"</t>
  </si>
  <si>
    <t>kayea@simple.biz</t>
  </si>
  <si>
    <t>Kaye Agustin</t>
  </si>
  <si>
    <t>Agustin, Kaye Lanie Munoz "Kaye"</t>
  </si>
  <si>
    <t>chrism@simple.biz</t>
  </si>
  <si>
    <t>Christian Mamhot</t>
  </si>
  <si>
    <t>Mamhot, Niño Christian A. "Christian M"</t>
  </si>
  <si>
    <t>mayi@simple.biz</t>
  </si>
  <si>
    <t>May Inggo</t>
  </si>
  <si>
    <t>Inggo, Maybelle "May I"</t>
  </si>
  <si>
    <t>isaact@simple.biz</t>
  </si>
  <si>
    <t>Zack Tesalona</t>
  </si>
  <si>
    <t>Tesalona, Isaac John "Zack"</t>
  </si>
  <si>
    <t>joyb@simple.biz</t>
  </si>
  <si>
    <t>Joy Baldonebro</t>
  </si>
  <si>
    <t>Baldonebro, Joycel "Joy"</t>
  </si>
  <si>
    <t>juliane@simple.biz</t>
  </si>
  <si>
    <t>Julian Elevazo</t>
  </si>
  <si>
    <t>Elevazo, Julian "Julian"</t>
  </si>
  <si>
    <t>marie@simple.biz</t>
  </si>
  <si>
    <t>Marga Calugay</t>
  </si>
  <si>
    <t>Calugay, Catherine Marie "Marga"</t>
  </si>
  <si>
    <t>joloe@simple.biz</t>
  </si>
  <si>
    <t>Jolo Williams</t>
  </si>
  <si>
    <t>Esguerra, Jolo Miguel "Jolo"</t>
  </si>
  <si>
    <t>mina@simple.biz</t>
  </si>
  <si>
    <t>Mina Dulu</t>
  </si>
  <si>
    <t>Dulu, Maria Karmina "Mina"</t>
  </si>
  <si>
    <t>jetg@simple.biz</t>
  </si>
  <si>
    <t>Jethro Galino</t>
  </si>
  <si>
    <t>Galino, Jet "Jethro"</t>
  </si>
  <si>
    <t>hendryp@simple.biz</t>
  </si>
  <si>
    <t>Hendry Pamatian</t>
  </si>
  <si>
    <t>Pamatian, Hendry "Hendry"</t>
  </si>
  <si>
    <t>ivy@simple.biz</t>
  </si>
  <si>
    <t>Ivy Antig</t>
  </si>
  <si>
    <t>Antig, Ivy Marie "Ivy"</t>
  </si>
  <si>
    <t>kellyc@simple.biz</t>
  </si>
  <si>
    <t>Kelly Canave</t>
  </si>
  <si>
    <t>Canave, Melisa Kelly "Kelly"</t>
  </si>
  <si>
    <t>rend@simple.biz</t>
  </si>
  <si>
    <t>Reece Domingo</t>
  </si>
  <si>
    <t>Sto Domingo, Mariren "Reece"</t>
  </si>
  <si>
    <t>mackp@simple.biz</t>
  </si>
  <si>
    <t>McKinley Plugio</t>
  </si>
  <si>
    <t xml:space="preserve">Plugio, Joseph Michael "McKinley" </t>
  </si>
  <si>
    <t>josephinet@simple.biz</t>
  </si>
  <si>
    <t>Jessica Torralba</t>
  </si>
  <si>
    <t xml:space="preserve">Torralba, Josephine "Jessica" </t>
  </si>
  <si>
    <t>vanessac@simple.biz</t>
  </si>
  <si>
    <t>Blythe Cultura</t>
  </si>
  <si>
    <t>Cultura, Vanessa "Blythe"</t>
  </si>
  <si>
    <t>patv@simple.biz</t>
  </si>
  <si>
    <t>Paige Velasco</t>
  </si>
  <si>
    <t>Velasco, Patricia Mikaela "Paige"</t>
  </si>
  <si>
    <t>miket@simple.biz</t>
  </si>
  <si>
    <t>Martin Torres</t>
  </si>
  <si>
    <t>Torres, Michael John "Martin"</t>
  </si>
  <si>
    <t>rayc@simple.biz</t>
  </si>
  <si>
    <t>Roy Conejos</t>
  </si>
  <si>
    <t>Conejos, Jhon Rhey "Roy"</t>
  </si>
  <si>
    <t>johannas@simple.biz</t>
  </si>
  <si>
    <t>Summer Sacedon</t>
  </si>
  <si>
    <t>Sacedon, Johanna Grace "Summer"</t>
  </si>
  <si>
    <t>sarahf@simple.biz</t>
  </si>
  <si>
    <t>Skye Fantilagan</t>
  </si>
  <si>
    <t>Fantilagan, Sarah "Sarah "</t>
  </si>
  <si>
    <t>Week 12/29/25 - 1/4/26</t>
  </si>
  <si>
    <t>Week 12/22/25 - 12/28/25</t>
  </si>
  <si>
    <t>Week 12/15/25 - 12/21/25</t>
  </si>
  <si>
    <t>Week 3/23/26 - 3/29/26</t>
  </si>
  <si>
    <t>chrise@simple.biz</t>
  </si>
  <si>
    <t>Chris Enriquez</t>
  </si>
  <si>
    <t>Enriquez, Chris Chan "Chris"</t>
  </si>
  <si>
    <t>miaj@simple.biz</t>
  </si>
  <si>
    <t>Mia Benedictos</t>
  </si>
  <si>
    <t>Benedictos, Miarela Javier "Mia"</t>
  </si>
  <si>
    <t>jenl@simple.biz</t>
  </si>
  <si>
    <t>Barbara Lagos</t>
  </si>
  <si>
    <t xml:space="preserve">Lagos, Jennifer "Jen" </t>
  </si>
  <si>
    <t>nadinec@simple.biz</t>
  </si>
  <si>
    <t>Nadine Chavez</t>
  </si>
  <si>
    <t>Chavez, Nadine</t>
  </si>
  <si>
    <t>johnl@simple.biz</t>
  </si>
  <si>
    <t>George Lagos</t>
  </si>
  <si>
    <t>Lagos, John Michael "John"</t>
  </si>
  <si>
    <t>ivym@simple.biz</t>
  </si>
  <si>
    <t>Week 3/16/26 - 3/22/26</t>
  </si>
  <si>
    <t>Week 3/9/26 - 3/15/26</t>
  </si>
  <si>
    <t>Week 3/2/26 - 3/8/26</t>
  </si>
  <si>
    <t>Week 2/23/26 - 3/1/26</t>
  </si>
  <si>
    <t>Lovely Celis</t>
  </si>
  <si>
    <t>Malcolm Jordan</t>
  </si>
  <si>
    <t xml:space="preserve">Cameron Pahunang </t>
  </si>
  <si>
    <t>Ivan Melliza</t>
  </si>
  <si>
    <t>Canny Savillo</t>
  </si>
  <si>
    <t>Drake Gersaniba</t>
  </si>
  <si>
    <t>Damon (NEW)</t>
  </si>
  <si>
    <t>johnrg@simple.biz</t>
  </si>
  <si>
    <t>Asher Gamo</t>
  </si>
  <si>
    <t>Gamo, "John" Angelo Rey</t>
  </si>
  <si>
    <t>Week 2/16/26 - 2/22/26</t>
  </si>
  <si>
    <t>Week 2/9/26 - 2/15/26</t>
  </si>
  <si>
    <t>Week 2/2/26 - 2/8/26</t>
  </si>
  <si>
    <t>Week 1/26/26 - 2/1/26</t>
  </si>
  <si>
    <t>Week 1/19/26 - 1/25/26</t>
  </si>
  <si>
    <t>Week 1/12/26 - 1/18/26</t>
  </si>
  <si>
    <t>Week 12/8/25 - 12/14/25</t>
  </si>
  <si>
    <t>Week 12/1/25 - 12/7/25</t>
  </si>
  <si>
    <t>andrewma@simple.biz</t>
  </si>
  <si>
    <t>Andrew Manteza</t>
  </si>
  <si>
    <t>Manteza, Andrew "Andrew"</t>
  </si>
  <si>
    <t>Week 11/24/25 - 11/30/25</t>
  </si>
  <si>
    <t>Week 11/17/25 - 11/23/25</t>
  </si>
  <si>
    <t>Week 11/10/25 - 11/16/25</t>
  </si>
  <si>
    <t>stevec@simple.biz</t>
  </si>
  <si>
    <t>Steve Calleja</t>
  </si>
  <si>
    <t>Calleja, Steven Jay "Steve"</t>
  </si>
  <si>
    <t>Week 11/3/25 - 11/9/25</t>
  </si>
  <si>
    <t>angeld@simple.biz</t>
  </si>
  <si>
    <t>Dalia Dalusong</t>
  </si>
  <si>
    <t>Dalusong, Angelica "Angel"</t>
  </si>
  <si>
    <t>jaket@simple.biz</t>
  </si>
  <si>
    <t>Dallas Tapere</t>
  </si>
  <si>
    <t>Tapere, John Benedict "Dallas"</t>
  </si>
  <si>
    <t>Week 10/27/25 - 11/2/25</t>
  </si>
  <si>
    <t>jakel@simple.biz</t>
  </si>
  <si>
    <t>Sage Labtic</t>
  </si>
  <si>
    <t>Labtic, Junjill jake "Sage"</t>
  </si>
  <si>
    <t>Week 10/20/25 - 10/26/25</t>
  </si>
  <si>
    <t>Week 10/13/25 - 10/19/25</t>
  </si>
  <si>
    <t>carle@simple.biz</t>
  </si>
  <si>
    <t>Carl Ebanos</t>
  </si>
  <si>
    <t>Ebanos, Carl Christian "Carl"</t>
  </si>
  <si>
    <t>Week 10/6/25 - 10/12/25</t>
  </si>
  <si>
    <t>irisb@simple.biz</t>
  </si>
  <si>
    <t>Sam Borgonia</t>
  </si>
  <si>
    <t>Borgonia, Iris M.</t>
  </si>
  <si>
    <t>Chavez, Nadine "Nadine"</t>
  </si>
  <si>
    <t>lynl@simple.biz</t>
  </si>
  <si>
    <t>Lyn Liboon</t>
  </si>
  <si>
    <t>Liboon, Lyndie M. "Lyn L"</t>
  </si>
  <si>
    <t>brixf@simple.biz</t>
  </si>
  <si>
    <t>Brix Flores</t>
  </si>
  <si>
    <t>Flores, Brix Cougar "Brix"</t>
  </si>
  <si>
    <t>Enriquez, Chris Chan "Chris E"</t>
  </si>
  <si>
    <t>johnwp@simple.biz</t>
  </si>
  <si>
    <t>Westley Paule</t>
  </si>
  <si>
    <t>Paule, John Westley "Westley"</t>
  </si>
  <si>
    <t>lorar@simple.biz</t>
  </si>
  <si>
    <t>Lora Roflo</t>
  </si>
  <si>
    <t>Roflo, Elora Dawn Del Mundo "Lora"</t>
  </si>
  <si>
    <t>mariely@simple.biz</t>
  </si>
  <si>
    <t>Mariel Yungco</t>
  </si>
  <si>
    <t>Yungco, Marielace Buena Fe "Mariel"</t>
  </si>
  <si>
    <t>graceb@simple.biz</t>
  </si>
  <si>
    <t>Hailey Blanza</t>
  </si>
  <si>
    <t>Blanza, Grace "Hailey"</t>
  </si>
  <si>
    <t>rexr@simple.biz</t>
  </si>
  <si>
    <t>Selina Espiritu</t>
  </si>
  <si>
    <t>Espiritu, Rexel "Selina"</t>
  </si>
  <si>
    <t>Week 9/29/25 - 10/5/25</t>
  </si>
  <si>
    <t>Week 9/22/25 - 9/28/25</t>
  </si>
  <si>
    <t>Week 9/15/25 - 9/21/25</t>
  </si>
  <si>
    <t>Week 9/08/25 - 9/14/25</t>
  </si>
  <si>
    <t>Week 9/1/25 - 9/7/25</t>
  </si>
  <si>
    <t>Week 8/25/25 - 8/31/25</t>
  </si>
  <si>
    <t>kingm@simple.biz</t>
  </si>
  <si>
    <t>King Miones</t>
  </si>
  <si>
    <t>Miones, King Baltazar "King"</t>
  </si>
  <si>
    <t xml:space="preserve">Week 8/18/25 - 8/24/25 </t>
  </si>
  <si>
    <t xml:space="preserve">Week 8/11/25 - 8/17/25 </t>
  </si>
  <si>
    <t>Week 8/4/25 - 8/10/25</t>
  </si>
  <si>
    <t>Week 7/28/25 - 8/3/25</t>
  </si>
  <si>
    <t>Week 7/21/25 - 7/27/25</t>
  </si>
  <si>
    <t>0 5-star + 1 RFC + 0 DME +  3 Patient Portal Login + 5 Completed Task</t>
  </si>
  <si>
    <t>0 5-star + 2 RFC + 0 DME +  0 Patient Portal Login + 3 Completed Task</t>
  </si>
  <si>
    <t>0 5-star + 3 RFC + 0 DME +  11 Patient Portal Login + 5 Completed Task</t>
  </si>
  <si>
    <t>0 5-star + 2 RFC + 1 DME +  3 Patient Portal Login + 5 Completed Task</t>
  </si>
  <si>
    <t>0 5-star + 2 RFC + 2 DME +  0 Patient Portal Login + 5 Completed Task</t>
  </si>
  <si>
    <t>0 5-star + 4 RFC + 0 DME +  1 Patient Portal Login + 5 Completed Task</t>
  </si>
  <si>
    <t>0 5-star + 0 RFC + 0 DME +  3 Patient Portal Login + 4 Completed Task</t>
  </si>
  <si>
    <t>0 5-star + 7 RFC + 0 DME +  8 Patient Portal Login + 5 Completed Task</t>
  </si>
  <si>
    <t>0 5-star + 2 RFC + 1 DME +  5 Patient Portal Login + 5 Completed Task</t>
  </si>
  <si>
    <t>0 5-star + 2 RFC + 0 DME +  5 Patient Portal Login + 4 Completed Task</t>
  </si>
  <si>
    <t>0 5-star + 3 RFC + 0 DME +  6 Patient Portal Login + 5 Completed Task</t>
  </si>
  <si>
    <t>0 5-star + 1 RFC + 0 DME +  5 Patient Portal Login + 5 Completed Task</t>
  </si>
  <si>
    <t>0 5-star + 2 RFC + 0 DME +  0 Patient Portal Login + 5 Completed Task</t>
  </si>
  <si>
    <t>0 5-star + 0 RFC + 0 DME + 2 Patient Portal Login + 5 Completed Task</t>
  </si>
  <si>
    <t>1 5-star + 4 RFC + 1 DME +  2 Patient Portal Login + 5 Completed Task</t>
  </si>
  <si>
    <t>0 5-star + 3 RFC + 0 DME +  0 Patient Portal Login + 5 Completed Task</t>
  </si>
  <si>
    <t>0 5-star + 0 RFC + 0 DME +  1 Patient Portal Login + 5 Completed Task</t>
  </si>
  <si>
    <t>0 5-star + 1 RFC + 0 DME +  0 Patient Portal Login + 5 Completed Task</t>
  </si>
  <si>
    <t>0 5-star + 0 RFC + 1 DME +  1 Patient Portal Login + 4 Completed Task</t>
  </si>
  <si>
    <t>1 5-star + 2 RFC + 0 DME +  1 Patient Portal Login + 5 Completed Task</t>
  </si>
  <si>
    <t>0 5-star + 3 RFC + 0 DME +  1 Patient Portal Login + 3 Completed Task</t>
  </si>
  <si>
    <t>Week 7/14/25 - 7/20/25</t>
  </si>
  <si>
    <t>jannam@simple.biz</t>
  </si>
  <si>
    <t>Meneses, Janna Patricia "Patricia"</t>
  </si>
  <si>
    <t>Sacedon, Johanna Grace "Johanna"</t>
  </si>
  <si>
    <t>Week 7/7/25 - 7/13/25</t>
  </si>
  <si>
    <t>Week 6/30/25 - 7/6/25</t>
  </si>
  <si>
    <t>Week 6/23/25 - 6/29/25</t>
  </si>
  <si>
    <t>Labtic, Junjill jake "Jake"</t>
  </si>
  <si>
    <t>Week 6/16/25 - 6/22/25</t>
  </si>
  <si>
    <t>Week 6/9/25 - 6/15/25</t>
  </si>
  <si>
    <t>Week 6/2/25 - 6/8/25</t>
  </si>
  <si>
    <t>Breboneria, Ara "Ara B"</t>
  </si>
  <si>
    <t>eulap@simple.biz</t>
  </si>
  <si>
    <t>Pacheco, Eula Jane J. "Heather"</t>
  </si>
  <si>
    <t>Borgonia, Iris M. "Sam"</t>
  </si>
  <si>
    <t>Week 5/26/25 - 6/1/25</t>
  </si>
  <si>
    <t>Week 5/19/25 - 5/25/25</t>
  </si>
  <si>
    <t>karmina@simple.biz</t>
  </si>
  <si>
    <t>Week 5/12/25 - 5/18/25</t>
  </si>
  <si>
    <t>Week 5/5/25 - 5/11/25</t>
  </si>
  <si>
    <t>Week 4/28/25 - 5/4/25</t>
  </si>
  <si>
    <t>Week 4/21/25 - 4/27/25</t>
  </si>
  <si>
    <t>Week 4/14/25 - 4/20/25</t>
  </si>
  <si>
    <t>Week 4/7/25 - 4/13/25</t>
  </si>
  <si>
    <t>Olivia</t>
  </si>
  <si>
    <t xml:space="preserve">Bella V </t>
  </si>
  <si>
    <t xml:space="preserve">Lyn L </t>
  </si>
  <si>
    <t>Carl</t>
  </si>
  <si>
    <t>Krissa</t>
  </si>
  <si>
    <t xml:space="preserve">Elmo </t>
  </si>
  <si>
    <t>Nadine</t>
  </si>
  <si>
    <t>Jaden</t>
  </si>
  <si>
    <t xml:space="preserve">Ara B </t>
  </si>
  <si>
    <t>Kaye</t>
  </si>
  <si>
    <t>Brix</t>
  </si>
  <si>
    <t>Christian M</t>
  </si>
  <si>
    <t>Chris E</t>
  </si>
  <si>
    <t>Westley</t>
  </si>
  <si>
    <t>Lora</t>
  </si>
  <si>
    <t>May I</t>
  </si>
  <si>
    <t>Zack</t>
  </si>
  <si>
    <t>Sam</t>
  </si>
  <si>
    <t>Andrew</t>
  </si>
  <si>
    <t>Mia</t>
  </si>
  <si>
    <t>Joy</t>
  </si>
  <si>
    <t>Mariel</t>
  </si>
  <si>
    <t>Julian</t>
  </si>
  <si>
    <t>Marga</t>
  </si>
  <si>
    <t>Jolo</t>
  </si>
  <si>
    <t>Heather</t>
  </si>
  <si>
    <t>Week 3/31/25 - 4/6/25</t>
  </si>
  <si>
    <t>Lyn L (new)</t>
  </si>
  <si>
    <t>Krissa (new)</t>
  </si>
  <si>
    <t>Bella V</t>
  </si>
  <si>
    <t>Ara B</t>
  </si>
  <si>
    <t>Elmo</t>
  </si>
  <si>
    <t>May</t>
  </si>
  <si>
    <t>James</t>
  </si>
  <si>
    <t>Christian</t>
  </si>
  <si>
    <t>FILING : Total Filed &gt; over 75 filed cases: 100 pesos | 65-74 filed cases: 75 pesos | 50- 64 filed cases: 50 pesos | 49 and below- no bonus</t>
  </si>
  <si>
    <t>HSL Name</t>
  </si>
  <si>
    <t>Total Fillings</t>
  </si>
  <si>
    <t>Patient Portal login</t>
  </si>
  <si>
    <t>emill@simple.biz</t>
  </si>
  <si>
    <t>De Leon, Emiliano "Emil"</t>
  </si>
  <si>
    <t>Ethan De Leon</t>
  </si>
  <si>
    <t>francisf@simple.biz</t>
  </si>
  <si>
    <t>Leo Boybanting</t>
  </si>
  <si>
    <t>Boybanting, Francis Jay "Francis"</t>
  </si>
  <si>
    <t>marip@simple.biz</t>
  </si>
  <si>
    <t>Autumn Panida</t>
  </si>
  <si>
    <t>Panida, Marinol  "Mari"</t>
  </si>
  <si>
    <t>francem@simple.biz</t>
  </si>
  <si>
    <t>Avery Magallon</t>
  </si>
  <si>
    <t>Magallon, Francis "France"</t>
  </si>
  <si>
    <t>alenm@simple.biz</t>
  </si>
  <si>
    <t>Ellon Mendoza</t>
  </si>
  <si>
    <t>Mendoza  Xerxis Alen "Alen"</t>
  </si>
  <si>
    <t>kevinu@simple.biz</t>
  </si>
  <si>
    <t>Kelvin Uy</t>
  </si>
  <si>
    <t>Uy, Kevin Karl "Kevin"</t>
  </si>
  <si>
    <t>brianr@simple.biz</t>
  </si>
  <si>
    <t>Elijah Rieta</t>
  </si>
  <si>
    <t>Rieta, Brian Joshua  "Brian"</t>
  </si>
  <si>
    <t>arcd@simple.biz</t>
  </si>
  <si>
    <t>Chester Dordas</t>
  </si>
  <si>
    <t>Dordas, Arcturus "Arc"</t>
  </si>
  <si>
    <t>ryana@simple.biz</t>
  </si>
  <si>
    <t>River Acabal</t>
  </si>
  <si>
    <t>Acabal, John Ryan "Ryan"</t>
  </si>
  <si>
    <t>applee@simple.biz</t>
  </si>
  <si>
    <t>Apple Esguerra</t>
  </si>
  <si>
    <t>Esguerra, Apple Kaye "Kaye"</t>
  </si>
  <si>
    <t>elaz@simple.biz</t>
  </si>
  <si>
    <t>Ella Martinez</t>
  </si>
  <si>
    <t>Zaspa, Dionela Rose "Ella M"</t>
  </si>
  <si>
    <t>mariea@simple.biz</t>
  </si>
  <si>
    <t>Toni Fulleros</t>
  </si>
  <si>
    <t>Fulleros, Marie Antonette "Toni"</t>
  </si>
  <si>
    <t>elaizaha@simple.biz</t>
  </si>
  <si>
    <t>Eliza Alcanzo</t>
  </si>
  <si>
    <t>Alcanzo, Elaizah Jean " Eliza"</t>
  </si>
  <si>
    <t>ede@simple.biz</t>
  </si>
  <si>
    <t>Ed Espiritu</t>
  </si>
  <si>
    <t>Espiritu, Edric "Ed"</t>
  </si>
  <si>
    <t>grahama@simple.biz</t>
  </si>
  <si>
    <t>Graham Alolod</t>
  </si>
  <si>
    <t>Alolod, Graham Christopher P. "Graham"</t>
  </si>
  <si>
    <t>jms@simple.biz</t>
  </si>
  <si>
    <t>Jaxon Sarana</t>
  </si>
  <si>
    <t>Sarana, John Michael R "Jaxon"</t>
  </si>
  <si>
    <t>shairal@simple.biz</t>
  </si>
  <si>
    <t>Shaira Laki</t>
  </si>
  <si>
    <t>Laki, Shaira Lyra "Shaira"</t>
  </si>
  <si>
    <t>andym@simple.biz</t>
  </si>
  <si>
    <t>Aaron Manzano</t>
  </si>
  <si>
    <t>Manzano, Andy "Aaron"</t>
  </si>
  <si>
    <t>tinz@simple.biz</t>
  </si>
  <si>
    <t>Nova Zambra</t>
  </si>
  <si>
    <t>Zambra, Ma.Justine "Nova"</t>
  </si>
  <si>
    <t>judyannc@simple.biz</t>
  </si>
  <si>
    <t>Athena Canales</t>
  </si>
  <si>
    <t>Canales,Judy Ann  "Judy"</t>
  </si>
  <si>
    <t>mats@simple.biz</t>
  </si>
  <si>
    <t>Ares Salas</t>
  </si>
  <si>
    <t>Salas, Mathew King "Mat"</t>
  </si>
  <si>
    <t>rafa@simple.biz</t>
  </si>
  <si>
    <t>Apollo Andres</t>
  </si>
  <si>
    <t>Andres, Rafael Angelo "Raf"</t>
  </si>
  <si>
    <t>karlf@simple.biz</t>
  </si>
  <si>
    <t>Cody Fernandez</t>
  </si>
  <si>
    <t>Juanitas, Karlene Anne "Cody"</t>
  </si>
  <si>
    <t>loriem@simple.biz</t>
  </si>
  <si>
    <t>Lorie San Mateo</t>
  </si>
  <si>
    <t>San Mateo, Lorie Ann "Lorie"</t>
  </si>
  <si>
    <t>karend@simple.biz</t>
  </si>
  <si>
    <t>Ayla Dimaano</t>
  </si>
  <si>
    <t>Dimaano, Karen C "Karen"</t>
  </si>
  <si>
    <t>Orion Estanislao</t>
  </si>
  <si>
    <t>96 Total Fillings</t>
  </si>
  <si>
    <t>52 Total Fillings</t>
  </si>
  <si>
    <t>93 Total Fillings</t>
  </si>
  <si>
    <t>75 Total Fillings</t>
  </si>
  <si>
    <t>40 Total Fillings</t>
  </si>
  <si>
    <t>59 Total Fillings</t>
  </si>
  <si>
    <t>51 Total Fillings</t>
  </si>
  <si>
    <t>41 Total Fillings</t>
  </si>
  <si>
    <t>23 Total Fillings</t>
  </si>
  <si>
    <t xml:space="preserve">34 Total Fillings </t>
  </si>
  <si>
    <t>50 Total Fillings</t>
  </si>
  <si>
    <t>27 Total Fillings</t>
  </si>
  <si>
    <t>26 Total Fillings</t>
  </si>
  <si>
    <t>19 Total Fillings</t>
  </si>
  <si>
    <t>25 Total Fillings</t>
  </si>
  <si>
    <t>45 Total Fillings</t>
  </si>
  <si>
    <t>38 Total Fillings</t>
  </si>
  <si>
    <t>33 Total Fillings</t>
  </si>
  <si>
    <t>32 Total Fillings</t>
  </si>
  <si>
    <t>Fantilagan, Sarah "Skye"</t>
  </si>
  <si>
    <t>andret@simple.biz</t>
  </si>
  <si>
    <t>Tolentino, Romel T. "Andy"</t>
  </si>
  <si>
    <t>aremb@simple.biz</t>
  </si>
  <si>
    <t>Badajos, Arem "Arem"</t>
  </si>
  <si>
    <t>Zaspa, Dionela Rose "Ella"</t>
  </si>
  <si>
    <t xml:space="preserve">Tapere, John Benedict "Dallas" </t>
  </si>
  <si>
    <t>Torralba, Josephine "Jessica"</t>
  </si>
  <si>
    <t>Tolentino, Romel T. "Andre"</t>
  </si>
  <si>
    <t>jenba@simple.biz</t>
  </si>
  <si>
    <t xml:space="preserve">Tapere, John Benedict "Jake" </t>
  </si>
  <si>
    <t>Torralba, Josephine</t>
  </si>
  <si>
    <t>Cultura, Vanessa "Vanessa"</t>
  </si>
  <si>
    <t>Velasco, Patricia Mikaela "Pat"</t>
  </si>
  <si>
    <t>Gamo, John Angelo Rey "Asher"</t>
  </si>
  <si>
    <t>Espiritu, Rexel "Rex"</t>
  </si>
  <si>
    <t>renzj@simple.biz</t>
  </si>
  <si>
    <t>Jocson, Florenze "Florence"</t>
  </si>
  <si>
    <t>fayee@simple.biz</t>
  </si>
  <si>
    <t>Eduria, Louiza Faye L "Fria"</t>
  </si>
  <si>
    <t>Toni</t>
  </si>
  <si>
    <t>Ella</t>
  </si>
  <si>
    <t>Florence</t>
  </si>
  <si>
    <t xml:space="preserve">Ed </t>
  </si>
  <si>
    <t>Apple</t>
  </si>
  <si>
    <t>Eliza</t>
  </si>
  <si>
    <t xml:space="preserve">Graham </t>
  </si>
  <si>
    <t>Fria</t>
  </si>
  <si>
    <t>Hendry</t>
  </si>
  <si>
    <t>Jethro</t>
  </si>
  <si>
    <t>Mina</t>
  </si>
  <si>
    <t>Arem</t>
  </si>
  <si>
    <t>Ivy</t>
  </si>
  <si>
    <t>Andy</t>
  </si>
  <si>
    <t>FILING : 0–29 attested cases: No bonus; 30–39 attested cases: 50 pesos per case; 40–49 attested cases: 75 pesos per case; 50+ attested cases: 100 pesos per case</t>
  </si>
  <si>
    <t>https://docs.google.com/spreadsheets/d/1pXNv9x39uIieVH68kun0q_zF3lnSdsUxswVZA7msKdU/edit?gid=751340145#gid=751340145</t>
  </si>
  <si>
    <t>BBB 5-star reviews</t>
  </si>
  <si>
    <t>ATTESTED CASES</t>
  </si>
  <si>
    <t>Final Total</t>
  </si>
  <si>
    <t>karln@simple.biz</t>
  </si>
  <si>
    <t>Carson Noynay</t>
  </si>
  <si>
    <t>Noynay, Karl Louie "Karl"</t>
  </si>
  <si>
    <t>ireneh@simple.biz</t>
  </si>
  <si>
    <t>Irene Hernandez</t>
  </si>
  <si>
    <t>Ma. Irene Ruth N. Hernandez "Irene"</t>
  </si>
  <si>
    <t>crisc@simple.biz</t>
  </si>
  <si>
    <t>Cristy Cañete</t>
  </si>
  <si>
    <t>Cañete, Ma. Crismae Mae "Cris"</t>
  </si>
  <si>
    <t>Arem Badajos</t>
  </si>
  <si>
    <t>Sarana, John Michael R "JM"</t>
  </si>
  <si>
    <t>robp@simple.biz</t>
  </si>
  <si>
    <t>Ken Pegorosa</t>
  </si>
  <si>
    <t>Pegorosa, Bel Robert "Rob"</t>
  </si>
  <si>
    <t>josha@simple.biz</t>
  </si>
  <si>
    <t>Jack Aquino</t>
  </si>
  <si>
    <t>Aquino, Joshua Jake "Josh"</t>
  </si>
  <si>
    <t>38 Total Filings</t>
  </si>
  <si>
    <t>52 Total Filings</t>
  </si>
  <si>
    <t>60 Total Filings</t>
  </si>
  <si>
    <t>43 Total Filings</t>
  </si>
  <si>
    <t>47 Total Filings</t>
  </si>
  <si>
    <t>48 Total Filings</t>
  </si>
  <si>
    <t>44 Total Filings</t>
  </si>
  <si>
    <t>46 Total Filings</t>
  </si>
  <si>
    <t>33 Total Filings</t>
  </si>
  <si>
    <t>50 Total Filings</t>
  </si>
  <si>
    <t>31 Total Filings</t>
  </si>
  <si>
    <t>51 Total Filings</t>
  </si>
  <si>
    <t>42 Total Filings</t>
  </si>
  <si>
    <t>37 Total Filings</t>
  </si>
  <si>
    <t>36 Total Filings</t>
  </si>
  <si>
    <t>34 Total Filings</t>
  </si>
  <si>
    <t>51 cases filed</t>
  </si>
  <si>
    <t>70 Total Filings</t>
  </si>
  <si>
    <t>mgm@simple.biz</t>
  </si>
  <si>
    <t>Irish Manalo</t>
  </si>
  <si>
    <t>Manalo, Mary Grace "MG"</t>
  </si>
  <si>
    <t>switch him to refiling tab</t>
  </si>
  <si>
    <t>Successful Attended Concurrent SSI Appointment</t>
  </si>
  <si>
    <t>Completed Old Re-filed case</t>
  </si>
  <si>
    <t>Complete Patient Portal Login</t>
  </si>
  <si>
    <t>kimbr@simple.biz</t>
  </si>
  <si>
    <t>Chad Briones</t>
  </si>
  <si>
    <t>Briones, Kim "Kim"</t>
  </si>
  <si>
    <t>jenessap@simple.biz</t>
  </si>
  <si>
    <t>Melody Paraiso</t>
  </si>
  <si>
    <t>Paraiso, Janessa "Jen"</t>
  </si>
  <si>
    <t>lynnb@simple.biz</t>
  </si>
  <si>
    <t>Leah Binas</t>
  </si>
  <si>
    <t>Binas, Petalyn "Lynn"</t>
  </si>
  <si>
    <t>marbieb@simple.biz</t>
  </si>
  <si>
    <t xml:space="preserve">Marbie </t>
  </si>
  <si>
    <t>Buat, Janmarie Bernadette Ocampo "Marbie"</t>
  </si>
  <si>
    <t>jpb@simple.biz</t>
  </si>
  <si>
    <t>Asher Bacallan</t>
  </si>
  <si>
    <t>John Paul Bacallan "JP"</t>
  </si>
  <si>
    <t>algiem@simple.biz</t>
  </si>
  <si>
    <t xml:space="preserve">Amanda </t>
  </si>
  <si>
    <t>Manzano, Algie Anne R "Algie"</t>
  </si>
  <si>
    <t>raphs@simple.biz</t>
  </si>
  <si>
    <t>Ross Sepnio</t>
  </si>
  <si>
    <t>Sepnio, Raphael "Raph"</t>
  </si>
  <si>
    <t>alainp@simple.biz</t>
  </si>
  <si>
    <t xml:space="preserve">Logan </t>
  </si>
  <si>
    <t>Peque, John Alain Ezron M. "Alain"</t>
  </si>
  <si>
    <t>clarizr@simple.biz</t>
  </si>
  <si>
    <t>Colleen</t>
  </si>
  <si>
    <t>Rosales, Clariza Mae  "Clariz"</t>
  </si>
  <si>
    <t>ktelc@simple.biz</t>
  </si>
  <si>
    <t xml:space="preserve">Kendra </t>
  </si>
  <si>
    <t>Catuday, Kristel Joy "Ktel"</t>
  </si>
  <si>
    <t>carlb@simple.biz</t>
  </si>
  <si>
    <t xml:space="preserve">Craig </t>
  </si>
  <si>
    <t>Bernardo, Carl Phillip "Carl"</t>
  </si>
  <si>
    <t>keepsc@simple.biz</t>
  </si>
  <si>
    <t>Denise Canonayon</t>
  </si>
  <si>
    <t>Canonayon, Dency "Dency"</t>
  </si>
  <si>
    <r>
      <rPr>
        <rFont val="Arial"/>
        <color rgb="FFFFFFFF"/>
        <sz val="9.0"/>
      </rPr>
      <t xml:space="preserve">INTAKE </t>
    </r>
    <r>
      <rPr>
        <rFont val="Arial"/>
        <color rgb="FFFFFFFF"/>
        <sz val="9.0"/>
      </rPr>
      <t>: Total Signed Rep Docs (250) | 5 star reviews (100)</t>
    </r>
  </si>
  <si>
    <t>https://docs.google.com/spreadsheets/d/1sCKJKwElTbrIcX4iGUzPw4Jb6npblZ3zTsGrMfi5yes/edit?gid=920755828#gid=920755828</t>
  </si>
  <si>
    <t>https://docs.google.com/spreadsheets/d/1goEJrICDGP2UczQcWLwaV6jMxfG2HZGHZeo7PItnrZA/edit?gid=600816539#gid=600816539</t>
  </si>
  <si>
    <t>Total Signed Rep Docs</t>
  </si>
  <si>
    <t>5-Star Reviews</t>
  </si>
  <si>
    <t>melissaj@simple.biz</t>
  </si>
  <si>
    <t>Sandy Javellana</t>
  </si>
  <si>
    <t>Javellana, Melisande Anthea "Melissa"</t>
  </si>
  <si>
    <t>emmanuelf@simple.biz</t>
  </si>
  <si>
    <t>Emmanuel Frivaldo</t>
  </si>
  <si>
    <t>Frivaldo, Emmanuel John "Emmanuel"</t>
  </si>
  <si>
    <t>katet@simple.biz</t>
  </si>
  <si>
    <t>Kate Tugna</t>
  </si>
  <si>
    <t>Tugna, Rencel Khate "Kate"</t>
  </si>
  <si>
    <t>jigsj@simple.biz</t>
  </si>
  <si>
    <t>Jigs Jugan</t>
  </si>
  <si>
    <t>Jugan, Randy John "Jigs"</t>
  </si>
  <si>
    <t>leighl@simple.biz</t>
  </si>
  <si>
    <t>Leigh Lawa</t>
  </si>
  <si>
    <t>Lawa, Leigh "Leigh"</t>
  </si>
  <si>
    <t>franzs@simple.biz</t>
  </si>
  <si>
    <t>Todd Sancio</t>
  </si>
  <si>
    <t xml:space="preserve">Franz Vincent Sancio "Franz" </t>
  </si>
  <si>
    <t>mitsa@simple.biz</t>
  </si>
  <si>
    <t>Mica Aguilar</t>
  </si>
  <si>
    <t>Aguilar Mitsume "Mits"</t>
  </si>
  <si>
    <t>gelp@simple.biz</t>
  </si>
  <si>
    <t>Gigi Paltao</t>
  </si>
  <si>
    <t>Paltao, Gellie Rose "Gel"</t>
  </si>
  <si>
    <t>ryej@simple.biz</t>
  </si>
  <si>
    <t xml:space="preserve">Rye DeJesus
</t>
  </si>
  <si>
    <t>De Jesus, Ryan Rigel "Rye"</t>
  </si>
  <si>
    <t>charmd@simple.biz</t>
  </si>
  <si>
    <t>Charm Deleverio</t>
  </si>
  <si>
    <t>Deleverio, Charmaine "Charm"</t>
  </si>
  <si>
    <t>justineb@simple.biz</t>
  </si>
  <si>
    <t>Finley Buenvenida</t>
  </si>
  <si>
    <t>Buenvenida, Bong Justine "Justine"</t>
  </si>
  <si>
    <t>edi@simple.biz</t>
  </si>
  <si>
    <t>Edmond Infante</t>
  </si>
  <si>
    <t>Infante, Eddie "ED"</t>
  </si>
  <si>
    <t>erjiee@simple.biz</t>
  </si>
  <si>
    <t>Bailey Estolonio</t>
  </si>
  <si>
    <t>Estolonio, Erjie "Erjie"</t>
  </si>
  <si>
    <t>marcusu@simple.biz</t>
  </si>
  <si>
    <t>Ford Umpad</t>
  </si>
  <si>
    <t>Umpad, Marcus "Marcus"</t>
  </si>
  <si>
    <t>michaelb@simple.biz</t>
  </si>
  <si>
    <t>Miles Bacalla</t>
  </si>
  <si>
    <t>Bacalla, Michael Ryan "MIchael"</t>
  </si>
  <si>
    <t>liccac@simple.biz</t>
  </si>
  <si>
    <t>Amber Castillo</t>
  </si>
  <si>
    <t>Castillo, Noreen Licca "Licca"</t>
  </si>
  <si>
    <t>Barbara; Lagos, Jennifer "Jen"</t>
  </si>
  <si>
    <t>lincolnm@simple.biz</t>
  </si>
  <si>
    <t>Lincoln Jones</t>
  </si>
  <si>
    <t>Moguies, Lincoln Eman "Lincoln"</t>
  </si>
  <si>
    <t>jayh@simple.biz</t>
  </si>
  <si>
    <t>Jay Hernandez</t>
  </si>
  <si>
    <t>Hernandez, John Michael "Jay H"</t>
  </si>
  <si>
    <t>cathl@simple.biz</t>
  </si>
  <si>
    <t>Susan Moore</t>
  </si>
  <si>
    <t>Susan ; Llanes, Cathyrine "Cath"</t>
  </si>
  <si>
    <t>claudep@simple.biz</t>
  </si>
  <si>
    <t>Catherine Punay</t>
  </si>
  <si>
    <t>Punay, Claudine A "Catherine"</t>
  </si>
  <si>
    <t>natel@simple.biz</t>
  </si>
  <si>
    <t>Joseph Davis</t>
  </si>
  <si>
    <t>Lunar, Jonathan "Joseph"</t>
  </si>
  <si>
    <t>lanf@simple.biz</t>
  </si>
  <si>
    <t>Lily Adams</t>
  </si>
  <si>
    <t>Fuertes, Lani "Lily"</t>
  </si>
  <si>
    <t>markmo@simple.biz</t>
  </si>
  <si>
    <t>Marco Molarte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</si>
  <si>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</si>
  <si>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jdd@simple.biz</t>
  </si>
  <si>
    <t>JD Dagatan</t>
  </si>
  <si>
    <t>Dagatan, Jensen "JD"</t>
  </si>
  <si>
    <t>jayveea@simple.biz</t>
  </si>
  <si>
    <t>Lloyd Aliser</t>
  </si>
  <si>
    <t>Aliser, Jayvee Lloyd "Lloyd"</t>
  </si>
  <si>
    <t>benc@simple.biz</t>
  </si>
  <si>
    <t>Ben Cahoy</t>
  </si>
  <si>
    <t>Ben C; Cahoy, Albenjie "Ben"</t>
  </si>
  <si>
    <t>lauricej@simple.biz</t>
  </si>
  <si>
    <t>Molly Justiniane</t>
  </si>
  <si>
    <t>Justiniane, Laurice Monette C "Molly"</t>
  </si>
  <si>
    <t>johnq@simple.biz</t>
  </si>
  <si>
    <t>Jason Gonzales</t>
  </si>
  <si>
    <t>Querijero, John Rhiel "Jason"</t>
  </si>
  <si>
    <t>norwinb@simple.biz</t>
  </si>
  <si>
    <t>Nash Binas</t>
  </si>
  <si>
    <t xml:space="preserve">Binas, Norwin "Nash" </t>
  </si>
  <si>
    <t>erict@simple.biz</t>
  </si>
  <si>
    <t>Eric Teano</t>
  </si>
  <si>
    <t>Teano, Ericson "Eric T"</t>
  </si>
  <si>
    <t>jerryl@simple.biz</t>
  </si>
  <si>
    <t xml:space="preserve">Candice Wood </t>
  </si>
  <si>
    <t>Langcuyan, Jerelee "Candice"</t>
  </si>
  <si>
    <t>field@simple.biz</t>
  </si>
  <si>
    <t>Frank Deguito</t>
  </si>
  <si>
    <t>Deguito, Fiel "Frank"</t>
  </si>
  <si>
    <t>rosep@simple.biz</t>
  </si>
  <si>
    <t>Rose Principe</t>
  </si>
  <si>
    <t>Principe, Roses "Rose"</t>
  </si>
  <si>
    <t>rainp@simple.biz</t>
  </si>
  <si>
    <t>Rain Postrano</t>
  </si>
  <si>
    <t>Postrano, Reynan "Rain"</t>
  </si>
  <si>
    <t>aubreyt@simple.biz</t>
  </si>
  <si>
    <t>Aubrey Tulana</t>
  </si>
  <si>
    <t>Tulaña, Aubrey Joy "Aubrey"</t>
  </si>
  <si>
    <t>jerrekl@simple.biz</t>
  </si>
  <si>
    <t>Jerreck Lim</t>
  </si>
  <si>
    <t>Lim, Jerrek Anthony "Jerrek"</t>
  </si>
  <si>
    <t>mickyr@simple.biz</t>
  </si>
  <si>
    <t>Jenelyn Reynante</t>
  </si>
  <si>
    <t>Reynante, Micky Jenelyn A "Jenelyn"</t>
  </si>
  <si>
    <t>arvsn@simple.biz</t>
  </si>
  <si>
    <t>Arvin Navarro</t>
  </si>
  <si>
    <t>Navarro, Arvin "Arvin"</t>
  </si>
  <si>
    <t>russelm@simple.biz</t>
  </si>
  <si>
    <t>Roxy Macabali</t>
  </si>
  <si>
    <t>Macabali, Russel "Roxy"</t>
  </si>
  <si>
    <t>mariam@simple.biz</t>
  </si>
  <si>
    <t>Cora Magallano</t>
  </si>
  <si>
    <t>Magallano, Maria Corazon "Cora"</t>
  </si>
  <si>
    <t>clydem@simple.biz</t>
  </si>
  <si>
    <t>Clyde Mangawang</t>
  </si>
  <si>
    <t>Mangawang, Clyde "Clyde"</t>
  </si>
  <si>
    <t>talat@simple.biz</t>
  </si>
  <si>
    <t>Tala Tia</t>
  </si>
  <si>
    <t>Tia, Cristal Joyce "Tala"</t>
  </si>
  <si>
    <t>jeni@simple.biz</t>
  </si>
  <si>
    <t>Jane Ipili</t>
  </si>
  <si>
    <t>Ipili, Lynie Jane "Jane"</t>
  </si>
  <si>
    <t>markd@simple.biz</t>
  </si>
  <si>
    <t>Vince Descalzo</t>
  </si>
  <si>
    <t>Descalzo, Mark Vincent "Vince"</t>
  </si>
  <si>
    <t>luisd@simple.biz</t>
  </si>
  <si>
    <t>Luis Damasco</t>
  </si>
  <si>
    <t>Luis</t>
  </si>
  <si>
    <t>sherwin@simple.biz</t>
  </si>
  <si>
    <t>Scott Santos</t>
  </si>
  <si>
    <t>Santos, Sherwin "Scott"</t>
  </si>
  <si>
    <t>hannan@simple.biz</t>
  </si>
  <si>
    <t>Hanna Nacional</t>
  </si>
  <si>
    <t>Nacional, Hanna Mae "Hanna"</t>
  </si>
  <si>
    <t>reinal@simple.biz</t>
  </si>
  <si>
    <t>Reina Lawas</t>
  </si>
  <si>
    <t>Lawas, Reina</t>
  </si>
  <si>
    <t>migsl@simple.biz</t>
  </si>
  <si>
    <t>Morris Locmayon</t>
  </si>
  <si>
    <t>Locmayon, Miguel "Morris L"</t>
  </si>
  <si>
    <t>Lagos, John Michael  "George"</t>
  </si>
  <si>
    <t>arr@simple.biz</t>
  </si>
  <si>
    <t>Arya Rosales</t>
  </si>
  <si>
    <t>Rosales, Anna Rowella "AR"</t>
  </si>
  <si>
    <t>dana@simple.biz</t>
  </si>
  <si>
    <t>Niel Abad</t>
  </si>
  <si>
    <t>Abad, Danilo Jr "Dan"</t>
  </si>
  <si>
    <t>rochelled@simple.biz</t>
  </si>
  <si>
    <t>Rochelle Dumlao</t>
  </si>
  <si>
    <t>Dumlao, Rochelle Grace "Rochelle"</t>
  </si>
  <si>
    <t>jaywlc@simple.biz</t>
  </si>
  <si>
    <t>Jude Cabatingan</t>
  </si>
  <si>
    <t>Cabatingan, Mark Jaywl "Mark"</t>
  </si>
  <si>
    <t>Benedict Tapere</t>
  </si>
  <si>
    <t>Tapere, John Benedict "Jake"</t>
  </si>
  <si>
    <t>ejm@simple.biz</t>
  </si>
  <si>
    <t>Jacob Melchor</t>
  </si>
  <si>
    <t xml:space="preserve">Melchor, Ej "EJ" 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</si>
  <si>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</si>
  <si>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</si>
  <si>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</si>
  <si>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</si>
  <si>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</si>
  <si>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</si>
  <si>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</si>
  <si>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</si>
  <si>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</si>
  <si>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</si>
  <si>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alexr@simple.biz</t>
  </si>
  <si>
    <t>Luke De Rama</t>
  </si>
  <si>
    <t>De Rama, Rufio Alexander "Luke"</t>
  </si>
  <si>
    <t>vano@simple.biz</t>
  </si>
  <si>
    <t>Kyle Ortiz</t>
  </si>
  <si>
    <t>Van Aeron Ortiz "Van"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</si>
  <si>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</si>
  <si>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johnm@simple.biz</t>
  </si>
  <si>
    <t>Zion Monterona</t>
  </si>
  <si>
    <t xml:space="preserve">Monterona, John Lennon "Zion" 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</si>
  <si>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</si>
  <si>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fernq@simple.biz</t>
  </si>
  <si>
    <t>Fernando Quintos</t>
  </si>
  <si>
    <t>Quintos, Fernando Jordan Jr "Fernando"</t>
  </si>
  <si>
    <t>ronaldv@simple.biz</t>
  </si>
  <si>
    <t>Ronald Valdez</t>
  </si>
  <si>
    <t>Valdez, Ronald  "Ronald"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</si>
  <si>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</si>
  <si>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</si>
  <si>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</si>
  <si>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</si>
  <si>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cyrusn@simple.biz</t>
  </si>
  <si>
    <t>Cyrus Nadal</t>
  </si>
  <si>
    <t>Nadal, Cyrus Van "Cyrus"</t>
  </si>
  <si>
    <t>raec@simple.biz</t>
  </si>
  <si>
    <t>Randy Cuaresma</t>
  </si>
  <si>
    <t>Cuaresma, Arshile Rae "Rae"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</si>
  <si>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</si>
  <si>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gilc@simple.biz</t>
  </si>
  <si>
    <t>Gil Cuevas</t>
  </si>
  <si>
    <t>Cuevas, Virgil "Gil C"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</si>
  <si>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</si>
  <si>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</si>
  <si>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</si>
  <si>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</si>
  <si>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kouh@simple.biz</t>
  </si>
  <si>
    <t>Chloe Hosseini</t>
  </si>
  <si>
    <t>Hosseini, Kouther "Kou"</t>
  </si>
  <si>
    <t>cristyb@simple.biz</t>
  </si>
  <si>
    <t>Dream Baquiran</t>
  </si>
  <si>
    <t>Baquiran, Maria Cristy  "Cristy"</t>
  </si>
  <si>
    <t>nikaa@simple.biz</t>
  </si>
  <si>
    <t>Natalie Aldohueza</t>
  </si>
  <si>
    <t>Aldohueza Nika Alexis "Nika"</t>
  </si>
  <si>
    <t>juliec@simple.biz</t>
  </si>
  <si>
    <t>Anna Craig</t>
  </si>
  <si>
    <t>Credo, Julie Ann "Anna C"</t>
  </si>
  <si>
    <t>ryanj@simple.biz</t>
  </si>
  <si>
    <t>Ryan Taylor</t>
  </si>
  <si>
    <t>Ryan; Jaylo, Ryan D "Ryan"</t>
  </si>
  <si>
    <t>Niel ; Abad, Danilo Jr "Dan"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</si>
  <si>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</si>
  <si>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t>alisonv@simple.biz</t>
  </si>
  <si>
    <t>Alison Villagonzalo</t>
  </si>
  <si>
    <t xml:space="preserve">Villagonzalo, Alison Yap "Alison" </t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</si>
  <si>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</si>
  <si>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color theme="1"/>
        <sz val="9.0"/>
      </rPr>
      <t>Molarte, Mark "Marco</t>
    </r>
    <r>
      <rPr>
        <rFont val="Calibri"/>
        <color theme="1"/>
        <sz val="9.0"/>
      </rPr>
      <t>"</t>
    </r>
  </si>
  <si>
    <r>
      <rPr>
        <rFont val="Calibri"/>
        <b/>
        <color theme="1"/>
        <sz val="9.0"/>
      </rPr>
      <t>Molarte, Mark "Marco</t>
    </r>
    <r>
      <rPr>
        <rFont val="Calibri"/>
        <b/>
        <color theme="1"/>
        <sz val="9.0"/>
      </rPr>
      <t>"</t>
    </r>
  </si>
  <si>
    <r>
      <rPr>
        <rFont val="Calibri"/>
        <b/>
        <color theme="1"/>
        <sz val="9.0"/>
      </rPr>
      <t>Molarte, Mark "Marco</t>
    </r>
    <r>
      <rPr>
        <rFont val="Calibri"/>
        <b/>
        <color theme="1"/>
        <sz val="9.0"/>
      </rPr>
      <t>"</t>
    </r>
  </si>
  <si>
    <r>
      <rPr>
        <rFont val="Calibri"/>
        <b/>
        <color theme="1"/>
        <sz val="9.0"/>
      </rPr>
      <t>Molarte, Mark "Marco</t>
    </r>
    <r>
      <rPr>
        <rFont val="Calibri"/>
        <b/>
        <color theme="1"/>
        <sz val="9.0"/>
      </rPr>
      <t>"</t>
    </r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</si>
  <si>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</si>
  <si>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28 Signed Rep + 8 5-Star Review</t>
  </si>
  <si>
    <t>36 Signed Rep</t>
  </si>
  <si>
    <t>26 Signed Rep</t>
  </si>
  <si>
    <t>17 Signed Rep</t>
  </si>
  <si>
    <t>33 Signed Rep</t>
  </si>
  <si>
    <t>23 Signed Rep</t>
  </si>
  <si>
    <t>15 Signed Rep + 1 5-Star Review</t>
  </si>
  <si>
    <t>13 Signed Rep + 1 5-Star Review</t>
  </si>
  <si>
    <t>21 Signed Rep + 3 5-Star Review</t>
  </si>
  <si>
    <t>23 Signed Rep + 1 5-Star Review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</si>
  <si>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</si>
  <si>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16 Signed Rep + 6 5-Star Review</t>
  </si>
  <si>
    <t>14 Signed Rep + 4 5-Star Review</t>
  </si>
  <si>
    <t>18 Signed Rep</t>
  </si>
  <si>
    <t>24 Signed Rep</t>
  </si>
  <si>
    <t>13 Signed Rep</t>
  </si>
  <si>
    <t>19 Signed Rep</t>
  </si>
  <si>
    <t>20 Signed Rep + 3 5-Star Review</t>
  </si>
  <si>
    <t>13 Signed Rep + 2 5-Star Review</t>
  </si>
  <si>
    <t>18 Signed Rep + 4 5-Star Review</t>
  </si>
  <si>
    <t>22 Signed Rep + 5 5-Star Review</t>
  </si>
  <si>
    <t>16 Signed Rep</t>
  </si>
  <si>
    <t>14 Signed Rep</t>
  </si>
  <si>
    <t>10 Signed Rep + 3 5-Star Review</t>
  </si>
  <si>
    <t>8 Signed Rep + 2 5-Star Review</t>
  </si>
  <si>
    <t>12 Signed Rep + 1 5-Star Review</t>
  </si>
  <si>
    <t>12 Signed Rep</t>
  </si>
  <si>
    <t>9 Signed Rep</t>
  </si>
  <si>
    <t>10 Signed Rep</t>
  </si>
  <si>
    <t>12 Signed Rep + 2 5-Star Review</t>
  </si>
  <si>
    <t>11 Signed Rep</t>
  </si>
  <si>
    <t>14 Signed Rep + 6 5-Star Review</t>
  </si>
  <si>
    <t>20 Signed Rep</t>
  </si>
  <si>
    <t>7 Signed Rep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</si>
  <si>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</si>
  <si>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</si>
  <si>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</si>
  <si>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</si>
  <si>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Lagos, John Michael  "John"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</si>
  <si>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</si>
  <si>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Teano, Ericson "Eric"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</si>
  <si>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</si>
  <si>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jericl@simple.biz</t>
  </si>
  <si>
    <t>Jeric Prince Ladores "Zeus"</t>
  </si>
  <si>
    <t>Credo, Julie Ann "Anna"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</si>
  <si>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</si>
  <si>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freddiem@simple.biz</t>
  </si>
  <si>
    <t>Monredondo, Freddie Silawan "Freddie"</t>
  </si>
  <si>
    <t>Cuevas, Virgil "Gil"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</si>
  <si>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</si>
  <si>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phild@simple.biz</t>
  </si>
  <si>
    <t>Dingal, Philipp John Phil"</t>
  </si>
  <si>
    <t>Hernandez, John Michael "Jay"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</si>
  <si>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</si>
  <si>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kimja@simple.biz</t>
  </si>
  <si>
    <t>Alboruto, Kim Jayson "Mike"</t>
  </si>
  <si>
    <t>alexe@simple.biz</t>
  </si>
  <si>
    <t>Evangelista, Alexander "Alex"</t>
  </si>
  <si>
    <t>Rick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</si>
  <si>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</si>
  <si>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</si>
  <si>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jeoa@simple.biz</t>
  </si>
  <si>
    <t>Agbo, Jeofry Kim "Jeffrey A"</t>
  </si>
  <si>
    <t>Credo, Julie Ann "Julie"</t>
  </si>
  <si>
    <r>
      <rPr>
        <rFont val="Calibri"/>
        <b/>
        <color theme="1"/>
      </rPr>
      <t>Molarte, Mark "Marco</t>
    </r>
    <r>
      <rPr>
        <rFont val="Calibri"/>
        <b/>
        <color theme="1"/>
      </rPr>
      <t>"</t>
    </r>
  </si>
  <si>
    <t>jvaliser@gmail.com</t>
  </si>
  <si>
    <t>Agbo, Jeofry Kim "Jeo"</t>
  </si>
  <si>
    <t>awbmusa@gmail.com</t>
  </si>
  <si>
    <t>Musa, Abdul Wahid "Wayne"</t>
  </si>
  <si>
    <t>Anna "Julie"</t>
  </si>
  <si>
    <r>
      <rPr>
        <rFont val="Arial"/>
        <color theme="1"/>
      </rPr>
      <t>Molarte, Mark "Marco</t>
    </r>
    <r>
      <rPr>
        <rFont val="Arial"/>
        <b/>
        <color theme="1"/>
      </rPr>
      <t>"</t>
    </r>
  </si>
  <si>
    <r>
      <rPr>
        <rFont val="Arial"/>
        <color theme="1"/>
      </rPr>
      <t>Molarte, Mark "Marco</t>
    </r>
    <r>
      <rPr>
        <rFont val="Arial"/>
        <b/>
        <color theme="1"/>
      </rPr>
      <t>"</t>
    </r>
  </si>
  <si>
    <t>Anna</t>
  </si>
  <si>
    <t>Susan</t>
  </si>
  <si>
    <t xml:space="preserve">Niel </t>
  </si>
  <si>
    <t>Ryan</t>
  </si>
  <si>
    <t>Barbara</t>
  </si>
  <si>
    <t>Ben C</t>
  </si>
  <si>
    <t xml:space="preserve">Jay </t>
  </si>
  <si>
    <t>Rose</t>
  </si>
  <si>
    <t>Lincoln</t>
  </si>
  <si>
    <t xml:space="preserve">Nash </t>
  </si>
  <si>
    <t xml:space="preserve">JD </t>
  </si>
  <si>
    <t>Molly</t>
  </si>
  <si>
    <t>Lily</t>
  </si>
  <si>
    <t xml:space="preserve">Fernando </t>
  </si>
  <si>
    <t>Lloyd</t>
  </si>
  <si>
    <t xml:space="preserve">Eric </t>
  </si>
  <si>
    <t xml:space="preserve">Zion </t>
  </si>
  <si>
    <t>Candice</t>
  </si>
  <si>
    <t>Marco</t>
  </si>
  <si>
    <t>Jason</t>
  </si>
  <si>
    <t>Catherine</t>
  </si>
  <si>
    <t>Jenelyn</t>
  </si>
  <si>
    <t xml:space="preserve">Joseph </t>
  </si>
  <si>
    <t xml:space="preserve">Frank </t>
  </si>
  <si>
    <t>Rain</t>
  </si>
  <si>
    <t xml:space="preserve">Aubrey </t>
  </si>
  <si>
    <t>Jerrek</t>
  </si>
  <si>
    <t xml:space="preserve">Alex </t>
  </si>
  <si>
    <t>Phil</t>
  </si>
  <si>
    <t>Arvin</t>
  </si>
  <si>
    <t xml:space="preserve">Mike </t>
  </si>
  <si>
    <t>Jeffrey (Jeo)</t>
  </si>
  <si>
    <t>Rochelle</t>
  </si>
  <si>
    <t xml:space="preserve">Cora </t>
  </si>
  <si>
    <t xml:space="preserve">Luke </t>
  </si>
  <si>
    <t>Vince</t>
  </si>
  <si>
    <t xml:space="preserve">Scott </t>
  </si>
  <si>
    <t xml:space="preserve">Freddie </t>
  </si>
  <si>
    <t xml:space="preserve">Roxy </t>
  </si>
  <si>
    <t xml:space="preserve">Wayne </t>
  </si>
  <si>
    <t>Tala</t>
  </si>
  <si>
    <t>Clyde</t>
  </si>
  <si>
    <t>Jane</t>
  </si>
  <si>
    <t>Niel</t>
  </si>
  <si>
    <t>Jay</t>
  </si>
  <si>
    <t>Ben</t>
  </si>
  <si>
    <t>Joseph</t>
  </si>
  <si>
    <t>Nash</t>
  </si>
  <si>
    <t>Eric</t>
  </si>
  <si>
    <t>JD</t>
  </si>
  <si>
    <t>Frank</t>
  </si>
  <si>
    <t>Alex</t>
  </si>
  <si>
    <t>Fernando</t>
  </si>
  <si>
    <t>Zion</t>
  </si>
  <si>
    <t>Aubrey</t>
  </si>
  <si>
    <t>Mike</t>
  </si>
  <si>
    <t>Cora</t>
  </si>
  <si>
    <t>Luke</t>
  </si>
  <si>
    <t>Descalzo, Mark Vincent</t>
  </si>
  <si>
    <t xml:space="preserve">Santos, Sherwin
</t>
  </si>
  <si>
    <t>Roxy</t>
  </si>
  <si>
    <t>Wayne</t>
  </si>
  <si>
    <r>
      <rPr>
        <rFont val="Arial"/>
        <b/>
        <color rgb="FFFFFFFF"/>
        <sz val="9.0"/>
      </rPr>
      <t>INSURANCE TEAM -</t>
    </r>
    <r>
      <rPr>
        <rFont val="Arial"/>
        <color rgb="FFFFFFFF"/>
        <sz val="9.0"/>
      </rPr>
      <t xml:space="preserve"> ACA signups or per Medicare signups (250)</t>
    </r>
  </si>
  <si>
    <t>https://docs.google.com/spreadsheets/d/1UlJrXmz-I4NPW3VLT75n8QUIp3lrLT34GqWhGB6fkXo/edit?gid=0#gid=0</t>
  </si>
  <si>
    <t>ACA Signups</t>
  </si>
  <si>
    <t>Medicare Signups</t>
  </si>
  <si>
    <t>jakej@simple.biz</t>
  </si>
  <si>
    <t>Jake Jackson</t>
  </si>
  <si>
    <t xml:space="preserve">Jackson, Jacob John "Jake" </t>
  </si>
  <si>
    <t>kyrag@simple.biz</t>
  </si>
  <si>
    <t>Kyra Galicia</t>
  </si>
  <si>
    <t>Galicia, Kyra Archie " Kyra</t>
  </si>
  <si>
    <t>rachelc@simple.biz</t>
  </si>
  <si>
    <t>Raya Cagape</t>
  </si>
  <si>
    <t>Cagape, Rachel Amor Ybio "Raya"</t>
  </si>
  <si>
    <t>geloa@simple.biz</t>
  </si>
  <si>
    <t>Angelo Abuel</t>
  </si>
  <si>
    <t>Abuel, Paul Angelo R. "Angelo"</t>
  </si>
  <si>
    <t>jamg@simple.biz</t>
  </si>
  <si>
    <t>Jam Guanzon</t>
  </si>
  <si>
    <t>Guanzon, Jamaica "Jam G"</t>
  </si>
  <si>
    <t>aja@simple.biz</t>
  </si>
  <si>
    <t>Jana Amorado</t>
  </si>
  <si>
    <t>Joralyn, Amorado "Jana"</t>
  </si>
  <si>
    <t>marjf@simple.biz</t>
  </si>
  <si>
    <t>Maggie Fernandez</t>
  </si>
  <si>
    <t>Marjorie Garcia Fernandez "Maggie"</t>
  </si>
  <si>
    <t>tinb@simple.biz</t>
  </si>
  <si>
    <t>Tina Bumagat</t>
  </si>
  <si>
    <t>Bumagat, Khristine G "Tina"</t>
  </si>
  <si>
    <t>jackiec@simple.biz</t>
  </si>
  <si>
    <t>Jackie Capuras</t>
  </si>
  <si>
    <t>Capuras, Jackie Louize "Jackie"</t>
  </si>
  <si>
    <t>7 ACA Signups</t>
  </si>
  <si>
    <t>Rachel Cagape</t>
  </si>
  <si>
    <t>10 ACA Signups</t>
  </si>
  <si>
    <t>5 ACA Signups</t>
  </si>
  <si>
    <t>9 ACA Signups</t>
  </si>
  <si>
    <t>11 ACA Signups</t>
  </si>
  <si>
    <t>Guanzon, Jamaica "Jam" P</t>
  </si>
  <si>
    <t>Marjorie Garcia Fernandez "Marj"</t>
  </si>
  <si>
    <t>Chandler</t>
  </si>
  <si>
    <t>Week 5/4/25 - 5/11/25</t>
  </si>
  <si>
    <t>Cagape, Rachel Amor Ybio "Rachel"</t>
  </si>
  <si>
    <t>Abuel, Paul Angelo R. "Gelo"</t>
  </si>
  <si>
    <t>Joralyn, Amorado "AJ"</t>
  </si>
  <si>
    <t>Salusod, Alma Grace "Grace"</t>
  </si>
  <si>
    <t>Bumagat, Khristine G "Tin"</t>
  </si>
  <si>
    <t>https://docs.google.com/spreadsheets/d/1n8JHPldad_TzWG_n5yYeO-jQuTrG9oo9dhZPoUtWRlo/edit?gid=0#gid=0</t>
  </si>
  <si>
    <t xml:space="preserve">Completed Medical Records 14 Days Before Hearing       </t>
  </si>
  <si>
    <t>100% - $50 per agent
95–99% - $25 per agent
90–94% - $10 per agent
Below 90% - $0</t>
  </si>
  <si>
    <t>850</t>
  </si>
  <si>
    <t>475</t>
  </si>
  <si>
    <t>425</t>
  </si>
  <si>
    <t>675</t>
  </si>
  <si>
    <t>angelc@simple.biz</t>
  </si>
  <si>
    <t>Alice Cosep</t>
  </si>
  <si>
    <t>Cosep, Angel Mae "Angel"</t>
  </si>
  <si>
    <t>miahl@simple.biz</t>
  </si>
  <si>
    <t xml:space="preserve">Matias Leosala </t>
  </si>
  <si>
    <t>Leosala , Nehemiah "Miah"</t>
  </si>
  <si>
    <t>robt@simple.biz</t>
  </si>
  <si>
    <t xml:space="preserve">Roland Tantiado  </t>
  </si>
  <si>
    <t>Tantiado  Rob "Rob"</t>
  </si>
  <si>
    <t>maricard@simple.biz</t>
  </si>
  <si>
    <t>Mabel Docallos</t>
  </si>
  <si>
    <t>Docallos, Maricar "Maricar"</t>
  </si>
  <si>
    <t>300</t>
  </si>
  <si>
    <t>vinzm@simple.biz</t>
  </si>
  <si>
    <t>Vincent Medina</t>
  </si>
  <si>
    <t>Medina, Vince Hubert "Vinz"</t>
  </si>
  <si>
    <t>cindyg@simple.biz</t>
  </si>
  <si>
    <t xml:space="preserve">Cecilia </t>
  </si>
  <si>
    <t>Gonzales, Cindy "Cindy"</t>
  </si>
  <si>
    <t>charlesc@simple.biz</t>
  </si>
  <si>
    <t>Charles Dela Cruz</t>
  </si>
  <si>
    <t>Dela Cruz, Charles Kerzey "Charles"</t>
  </si>
  <si>
    <t>maddies@simple.biz</t>
  </si>
  <si>
    <t>Maddie Sabado</t>
  </si>
  <si>
    <t>Sabado, Madison Lori L "Maddie"</t>
  </si>
  <si>
    <t>edm@simple.biz</t>
  </si>
  <si>
    <t>Ezra Mabaga</t>
  </si>
  <si>
    <t>Mabaga, Edrown John "ED"</t>
  </si>
  <si>
    <t>jedp@simple.biz</t>
  </si>
  <si>
    <t>Derek Porquez</t>
  </si>
  <si>
    <t>Porquez Jeremy Jed "Jed"</t>
  </si>
  <si>
    <t>melchezedeks@simple.biz</t>
  </si>
  <si>
    <t>Matthew Sumandang</t>
  </si>
  <si>
    <t>Sumandang, Melchezedek "Mel"</t>
  </si>
  <si>
    <t>marjunm@simple.biz</t>
  </si>
  <si>
    <t>June Macamay</t>
  </si>
  <si>
    <t>Macamay, Marjun "Marjun"</t>
  </si>
  <si>
    <t>ralphr@simple.biz</t>
  </si>
  <si>
    <t>Ralph Ramirez</t>
  </si>
  <si>
    <t>Ramirez, Ralph William "Ralph"</t>
  </si>
  <si>
    <t>ralfp@simple.biz</t>
  </si>
  <si>
    <t>Liam Pamintuan</t>
  </si>
  <si>
    <t>Pamintuan, Joseph Ralf "Joe"</t>
  </si>
  <si>
    <t>jomsa@simple.biz</t>
  </si>
  <si>
    <t>Gavin Arce</t>
  </si>
  <si>
    <t>Arce Jomar "Jom"</t>
  </si>
  <si>
    <t>hannaa@simple.biz</t>
  </si>
  <si>
    <t>Hazel Abad</t>
  </si>
  <si>
    <t>Abad, Hannah Lynn "Hannah"</t>
  </si>
  <si>
    <t>aprill@simple.biz</t>
  </si>
  <si>
    <t>Verbane Lapaz</t>
  </si>
  <si>
    <t>Lapaz, April "April"</t>
  </si>
  <si>
    <t>dextert@simple.biz</t>
  </si>
  <si>
    <t>Dexter Tagulinao</t>
  </si>
  <si>
    <t>Tagulinao, Ryan Dexter "Dexter"</t>
  </si>
  <si>
    <t>reeds@simple.biz</t>
  </si>
  <si>
    <t>Reed Salvador</t>
  </si>
  <si>
    <t>Salvador, Reed Jensen "Rees"</t>
  </si>
  <si>
    <t>carlylec@simple.biz</t>
  </si>
  <si>
    <t>Carlyle Cortes</t>
  </si>
  <si>
    <t>Cortes, Carlyle "Carlyle"</t>
  </si>
  <si>
    <t>roda@simple.biz</t>
  </si>
  <si>
    <t xml:space="preserve">Tino Alejandre </t>
  </si>
  <si>
    <t>Alejandre , Girod "Rod"</t>
  </si>
  <si>
    <t>zaka@simple.biz</t>
  </si>
  <si>
    <t>Ashton Asackil</t>
  </si>
  <si>
    <t>Asackil Aguell "Zak"</t>
  </si>
  <si>
    <t>jeriemym@simple.biz</t>
  </si>
  <si>
    <t>Jerry Adove</t>
  </si>
  <si>
    <t>Adove, Jeriemy Mckinly "Jeriemy"</t>
  </si>
  <si>
    <t>jammers@simple.biz</t>
  </si>
  <si>
    <t>Jasper Soljon</t>
  </si>
  <si>
    <t>Solijon, Jammer "Jam"</t>
  </si>
  <si>
    <t>airahe@simple.biz</t>
  </si>
  <si>
    <t>Scarlet Estologa</t>
  </si>
  <si>
    <t>Estologa, Airah Sol D.  "Airah"</t>
  </si>
  <si>
    <t>cjc@simple.biz</t>
  </si>
  <si>
    <t>Claire Cortes</t>
  </si>
  <si>
    <t>Cortes, Cee Jei "CJ"</t>
  </si>
  <si>
    <t>fredi@simple.biz</t>
  </si>
  <si>
    <t>Fred Sevilla</t>
  </si>
  <si>
    <t>Sevilla III, Seigfredo "Fred"</t>
  </si>
  <si>
    <t>noimeg@simple.biz</t>
  </si>
  <si>
    <t>Naomi Gaspar</t>
  </si>
  <si>
    <t>Gaspar, Noime "Noime"</t>
  </si>
  <si>
    <t>ruffamaeg@simple.biz</t>
  </si>
  <si>
    <t>Winter Generalao</t>
  </si>
  <si>
    <t>Generalao, Ruffa Mae  "Ruffa"</t>
  </si>
  <si>
    <t>mikeb@simple.biz</t>
  </si>
  <si>
    <t>Milton Baillo</t>
  </si>
  <si>
    <t>Baillo, Jan Michael M "Mike"</t>
  </si>
  <si>
    <t>tonrayc@simple.biz</t>
  </si>
  <si>
    <t>Tracy Caldoza</t>
  </si>
  <si>
    <t>Caldoza,Tonray "Ray"</t>
  </si>
  <si>
    <t>gleng@simple.biz</t>
  </si>
  <si>
    <t>Glenda Villanueva</t>
  </si>
  <si>
    <t>Villanueva, Glenda "Glen"</t>
  </si>
  <si>
    <t>melvsf@simple.biz</t>
  </si>
  <si>
    <t>Emerald Faeldan</t>
  </si>
  <si>
    <t>Faeldan, Melvin "Melvs"</t>
  </si>
  <si>
    <t>mayt@simple.biz</t>
  </si>
  <si>
    <t>Maya Tampos</t>
  </si>
  <si>
    <t>Tampos, Mae "Maya"</t>
  </si>
  <si>
    <t>nete@simple.biz</t>
  </si>
  <si>
    <t>Carol Ebardo</t>
  </si>
  <si>
    <t>Ebardo, Carol "Carol"</t>
  </si>
  <si>
    <t>johnbv@simple.biz</t>
  </si>
  <si>
    <t>Noah Villanueva</t>
  </si>
  <si>
    <t>Villanueva, John B "Noah"</t>
  </si>
  <si>
    <t>tinem@simple.biz</t>
  </si>
  <si>
    <t>Trina Malazarte</t>
  </si>
  <si>
    <t>Malazarte, Justine Marie Evette "Trina"</t>
  </si>
  <si>
    <t>ninac@simple.biz</t>
  </si>
  <si>
    <t>Nina Cruz</t>
  </si>
  <si>
    <t>Cruz, Nina Christina "Nina C"</t>
  </si>
  <si>
    <t>vanp@simple.biz</t>
  </si>
  <si>
    <t>Van Patigayon</t>
  </si>
  <si>
    <t>Patigayon, Evander "Van P"</t>
  </si>
  <si>
    <t>jeromea@simple.biz</t>
  </si>
  <si>
    <t>Jerome Aguirre</t>
  </si>
  <si>
    <t>Aguirre, Jerome G "Jerome"</t>
  </si>
  <si>
    <t>500</t>
  </si>
  <si>
    <t>guiaq@simple.biz</t>
  </si>
  <si>
    <t>Gail Quillosa</t>
  </si>
  <si>
    <t>Quillosa, Guia Maria Mercado "Gail"</t>
  </si>
  <si>
    <t>janp@simple.biz</t>
  </si>
  <si>
    <t>Vera DelPrado</t>
  </si>
  <si>
    <t>V-Jan Del Prado "Vera"</t>
  </si>
  <si>
    <t>veec@simple.biz</t>
  </si>
  <si>
    <t>Vicky Mortos</t>
  </si>
  <si>
    <t>Mortos , Veronela Clarissa "Vicky"</t>
  </si>
  <si>
    <t>Jemv@simple.biz</t>
  </si>
  <si>
    <t xml:space="preserve">Jettson </t>
  </si>
  <si>
    <t>Vasquez, Jeremy "Jem"</t>
  </si>
  <si>
    <t>Cecilia Gonzales</t>
  </si>
  <si>
    <t xml:space="preserve">Alice </t>
  </si>
  <si>
    <t xml:space="preserve">Matias </t>
  </si>
  <si>
    <t xml:space="preserve">Roland </t>
  </si>
  <si>
    <t xml:space="preserve">Mabel </t>
  </si>
  <si>
    <t xml:space="preserve">Vincent </t>
  </si>
  <si>
    <t>Week 12/14/25 - 12/20/25</t>
  </si>
  <si>
    <t>kailab@simple.biz</t>
  </si>
  <si>
    <t>Kourtney Benito</t>
  </si>
  <si>
    <t>Benito, Mechaila "Kaila"</t>
  </si>
  <si>
    <t>lal@simple.biz</t>
  </si>
  <si>
    <t>Allen Lizardo</t>
  </si>
  <si>
    <t>Lizardo, Leigh Anthony "Allen"</t>
  </si>
  <si>
    <t>kristofferc@simple.biz</t>
  </si>
  <si>
    <t>Conejero, Kristoffer Dominique "Kristoff"</t>
  </si>
  <si>
    <t>Tampos, Mae "May"</t>
  </si>
  <si>
    <t>https://docs.google.com/spreadsheets/d/1ploliFLT5XLE18ihZptg8-rICWsWVYSdJuz6_t1TSwQ/edit?gid=0#gid=0</t>
  </si>
  <si>
    <t>5- Star Reviews</t>
  </si>
  <si>
    <t>rockym@simple.biz</t>
  </si>
  <si>
    <t>Rocky Macalinga</t>
  </si>
  <si>
    <t>Macalinga, Rocky Jedd "Rocky"</t>
  </si>
  <si>
    <t>carlo@simple.biz</t>
  </si>
  <si>
    <t>Justin C</t>
  </si>
  <si>
    <t>Cabrera, Justine Carl "Carl"</t>
  </si>
  <si>
    <t>applef@simple.biz</t>
  </si>
  <si>
    <t xml:space="preserve">Adele </t>
  </si>
  <si>
    <t>Fajardo, Apple Gay A "Apple"</t>
  </si>
  <si>
    <t>emss@simple.biz</t>
  </si>
  <si>
    <t>Emily</t>
  </si>
  <si>
    <t>Solon, Emily "Ems"</t>
  </si>
  <si>
    <t xml:space="preserve">Chad </t>
  </si>
  <si>
    <t>Marbie Buat</t>
  </si>
  <si>
    <t>cathd@simple.biz</t>
  </si>
  <si>
    <t>Destiny Dublin</t>
  </si>
  <si>
    <t>Dublin, Catherine "Cath"</t>
  </si>
  <si>
    <t>ulyg@simple.biz</t>
  </si>
  <si>
    <t>Uly</t>
  </si>
  <si>
    <t>Galagnara, Ulysses "Uly"</t>
  </si>
  <si>
    <t>zyberb@simple.biz</t>
  </si>
  <si>
    <t>Zara</t>
  </si>
  <si>
    <t>Bioneda, Zyber Jison "Zyber"</t>
  </si>
  <si>
    <t>jemt@simple.biz</t>
  </si>
  <si>
    <t>Jeremy</t>
  </si>
  <si>
    <t>Tañajora, Jeremy "Jem"</t>
  </si>
  <si>
    <t>stara@simple.biz</t>
  </si>
  <si>
    <t>Esther</t>
  </si>
  <si>
    <t>Abella, Esterlita I. "Star"</t>
  </si>
  <si>
    <t>danm@simple.biz</t>
  </si>
  <si>
    <t>Desmond Masacote</t>
  </si>
  <si>
    <t>Masacote, Dan Kristoffer "Dan"</t>
  </si>
  <si>
    <t>cathys@simple.biz</t>
  </si>
  <si>
    <t>Elsa Siochi</t>
  </si>
  <si>
    <t>Siochi, Catherine Rina "Cathy"</t>
  </si>
  <si>
    <t>stevenc@simple.biz</t>
  </si>
  <si>
    <t>Sidney Capoquian</t>
  </si>
  <si>
    <t>Capoquian, Steven "Steve"</t>
  </si>
  <si>
    <t>rjm@simple.biz</t>
  </si>
  <si>
    <t>Richard Mallorca</t>
  </si>
  <si>
    <t>Mallorca, Rudel  Jr  "RJ"</t>
  </si>
  <si>
    <t>rodericks@simple.biz</t>
  </si>
  <si>
    <t>Roderick</t>
  </si>
  <si>
    <t>Santos, Roderick "Erick"</t>
  </si>
  <si>
    <t>donb@simple.biz</t>
  </si>
  <si>
    <t>Peter (NEW)</t>
  </si>
  <si>
    <t>Q, Brandon "Don"</t>
  </si>
  <si>
    <t>Church Attendees</t>
  </si>
  <si>
    <t>jcp@simple.biz</t>
  </si>
  <si>
    <t>Pascual, John Christopher "JC"</t>
  </si>
  <si>
    <t>ruffag@simple.biz</t>
  </si>
  <si>
    <t>Gallego, Ruffa Mae "Ruffa"</t>
  </si>
  <si>
    <t>Julie, Heather, Andre, and Vicky</t>
  </si>
  <si>
    <t>https://docs.google.com/spreadsheets/d/1W25qQZ-wjRwNtpv4D6yyHc7DaySW_xBNacKJEXqvagA/edit?gid=0#gid=0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</si>
</sst>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44">
    <font>
      <sz val="10.0"/>
      <color rgb="FF000000"/>
      <name val="Arial"/>
      <scheme val="minor"/>
    </font>
    <font>
      <sz val="9.0"/>
      <color rgb="FFFFFFFF"/>
      <name val="Arial"/>
      <scheme val="minor"/>
    </font>
    <font>
      <u/>
      <sz val="9.0"/>
      <color rgb="FF0000FF"/>
    </font>
    <font>
      <sz val="9.0"/>
      <color theme="1"/>
      <name val="Arial"/>
      <scheme val="minor"/>
    </font>
    <font>
      <sz val="9.0"/>
      <color theme="1"/>
      <name val="Arial"/>
    </font>
    <font>
      <b/>
      <sz val="9.0"/>
      <color theme="1"/>
      <name val="Calibri"/>
    </font>
    <font>
      <color theme="1"/>
      <name val="Calibri"/>
    </font>
    <font>
      <color theme="1"/>
      <name val="Arial"/>
    </font>
    <font>
      <sz val="9.0"/>
      <color theme="1"/>
      <name val="Calibri"/>
    </font>
    <font>
      <sz val="10.0"/>
      <color theme="1"/>
      <name val="Arial"/>
    </font>
    <font>
      <b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</font>
    <font>
      <b/>
      <sz val="10.0"/>
      <color theme="1"/>
      <name val="Calibri"/>
    </font>
    <font>
      <sz val="10.0"/>
      <color theme="1"/>
      <name val="Calibri"/>
    </font>
    <font>
      <u/>
      <sz val="10.0"/>
      <color rgb="FF0000FF"/>
    </font>
    <font>
      <b/>
      <sz val="11.0"/>
      <color rgb="FF222222"/>
      <name val="&quot;Google Sans&quot;"/>
    </font>
    <font>
      <color rgb="FFFFFFFF"/>
      <name val="Calibri"/>
    </font>
    <font>
      <b/>
      <color rgb="FFFFFFFF"/>
      <name val="Calibri"/>
    </font>
    <font>
      <sz val="9.0"/>
      <color rgb="FFFFFFFF"/>
      <name val="Calibri"/>
    </font>
    <font>
      <sz val="10.0"/>
      <color rgb="FF000000"/>
      <name val="Arial"/>
    </font>
    <font>
      <b/>
      <sz val="9.0"/>
      <color rgb="FF3C4043"/>
      <name val="Calibri"/>
    </font>
    <font>
      <strike/>
      <u/>
      <sz val="9.0"/>
      <color rgb="FF0000FF"/>
    </font>
    <font>
      <strike/>
      <u/>
      <sz val="9.0"/>
      <color theme="1"/>
      <name val="Arial"/>
      <scheme val="minor"/>
    </font>
    <font>
      <strike/>
      <u/>
      <sz val="9.0"/>
      <color theme="1"/>
      <name val="Arial"/>
      <scheme val="minor"/>
    </font>
    <font>
      <strike/>
      <u/>
      <sz val="9.0"/>
      <color theme="1"/>
      <name val="Arial"/>
      <scheme val="minor"/>
    </font>
    <font>
      <strike/>
      <u/>
      <sz val="9.0"/>
      <color theme="1"/>
      <name val="Arial"/>
      <scheme val="minor"/>
    </font>
    <font>
      <strike/>
      <u/>
      <sz val="9.0"/>
      <color theme="1"/>
      <name val="Arial"/>
      <scheme val="minor"/>
    </font>
    <font>
      <u/>
      <sz val="9.0"/>
      <color rgb="FF0000FF"/>
    </font>
    <font>
      <b/>
      <sz val="9.0"/>
      <color theme="1"/>
      <name val="Arial"/>
      <scheme val="minor"/>
    </font>
    <font>
      <b/>
      <sz val="11.0"/>
      <color theme="1"/>
      <name val="Calibri"/>
    </font>
    <font>
      <u/>
      <sz val="9.0"/>
      <color rgb="FF0000FF"/>
      <name val="Arial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b/>
      <sz val="9.0"/>
      <color rgb="FFFFFFFF"/>
      <name val="Arial"/>
      <scheme val="minor"/>
    </font>
    <font>
      <b/>
      <sz val="9.0"/>
      <color theme="1"/>
      <name val="Arial"/>
    </font>
    <font>
      <b/>
      <sz val="9.0"/>
      <color rgb="FF222222"/>
      <name val="Arial"/>
    </font>
    <font>
      <b/>
      <color rgb="FF222222"/>
      <name val="Arial"/>
    </font>
    <font>
      <color rgb="FFFFFFFF"/>
      <name val="Arial"/>
      <scheme val="minor"/>
    </font>
    <font>
      <u/>
      <color rgb="FFFFFFFF"/>
    </font>
    <font/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6698EB"/>
        <bgColor rgb="FF6698EB"/>
      </patternFill>
    </fill>
    <fill>
      <patternFill patternType="solid">
        <fgColor rgb="FFD8E5F8"/>
        <bgColor rgb="FFD8E5F8"/>
      </patternFill>
    </fill>
    <fill>
      <patternFill patternType="solid">
        <fgColor rgb="FF20124D"/>
        <bgColor rgb="FF20124D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horizontal="right" readingOrder="0"/>
    </xf>
    <xf borderId="0" fillId="0" fontId="3" numFmtId="0" xfId="0" applyAlignment="1" applyFont="1">
      <alignment horizontal="right" readingOrder="0"/>
    </xf>
    <xf borderId="0" fillId="3" fontId="4" numFmtId="0" xfId="0" applyAlignment="1" applyFont="1">
      <alignment vertical="bottom"/>
    </xf>
    <xf borderId="0" fillId="3" fontId="5" numFmtId="0" xfId="0" applyAlignment="1" applyFont="1">
      <alignment horizontal="center" readingOrder="0" vertical="bottom"/>
    </xf>
    <xf borderId="0" fillId="4" fontId="6" numFmtId="0" xfId="0" applyAlignment="1" applyFill="1" applyFont="1">
      <alignment horizontal="center" readingOrder="0" textRotation="0" vertical="center"/>
    </xf>
    <xf borderId="0" fillId="5" fontId="6" numFmtId="0" xfId="0" applyAlignment="1" applyFill="1" applyFont="1">
      <alignment horizontal="center" readingOrder="0" textRotation="0" vertical="center"/>
    </xf>
    <xf borderId="0" fillId="6" fontId="6" numFmtId="0" xfId="0" applyAlignment="1" applyFill="1" applyFont="1">
      <alignment horizontal="center" textRotation="0" vertical="center"/>
    </xf>
    <xf borderId="0" fillId="7" fontId="6" numFmtId="0" xfId="0" applyAlignment="1" applyFill="1" applyFont="1">
      <alignment horizontal="center" readingOrder="0" textRotation="0" vertical="center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6" fontId="6" numFmtId="0" xfId="0" applyAlignment="1" applyFont="1">
      <alignment horizontal="center" readingOrder="0" textRotation="0" vertical="center"/>
    </xf>
    <xf borderId="0" fillId="3" fontId="5" numFmtId="0" xfId="0" applyAlignment="1" applyFont="1">
      <alignment horizontal="center" vertical="bottom"/>
    </xf>
    <xf borderId="0" fillId="4" fontId="6" numFmtId="0" xfId="0" applyAlignment="1" applyFont="1">
      <alignment horizontal="center" textRotation="0" vertical="center"/>
    </xf>
    <xf borderId="0" fillId="5" fontId="6" numFmtId="0" xfId="0" applyAlignment="1" applyFont="1">
      <alignment horizontal="center" textRotation="0" vertical="center"/>
    </xf>
    <xf borderId="0" fillId="7" fontId="6" numFmtId="0" xfId="0" applyAlignment="1" applyFont="1">
      <alignment horizontal="center" textRotation="0" vertical="center"/>
    </xf>
    <xf borderId="0" fillId="3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4" fontId="6" numFmtId="0" xfId="0" applyAlignment="1" applyFont="1">
      <alignment horizontal="center" readingOrder="0" textRotation="0"/>
    </xf>
    <xf borderId="0" fillId="3" fontId="7" numFmtId="0" xfId="0" applyAlignment="1" applyFont="1">
      <alignment vertical="bottom"/>
    </xf>
    <xf borderId="0" fillId="7" fontId="6" numFmtId="0" xfId="0" applyAlignment="1" applyFont="1">
      <alignment horizontal="center" readingOrder="0" textRotation="0"/>
    </xf>
    <xf borderId="0" fillId="5" fontId="6" numFmtId="0" xfId="0" applyAlignment="1" applyFont="1">
      <alignment horizontal="center" readingOrder="0" textRotation="0"/>
    </xf>
    <xf borderId="0" fillId="6" fontId="6" numFmtId="0" xfId="0" applyAlignment="1" applyFont="1">
      <alignment horizontal="center" readingOrder="0" textRotation="0"/>
    </xf>
    <xf borderId="0" fillId="4" fontId="8" numFmtId="0" xfId="0" applyAlignment="1" applyFont="1">
      <alignment horizontal="center" textRotation="0" vertical="center"/>
    </xf>
    <xf borderId="0" fillId="5" fontId="8" numFmtId="0" xfId="0" applyAlignment="1" applyFont="1">
      <alignment horizontal="center" textRotation="0" vertical="center"/>
    </xf>
    <xf borderId="0" fillId="6" fontId="8" numFmtId="0" xfId="0" applyAlignment="1" applyFont="1">
      <alignment horizontal="center" textRotation="0" vertical="center"/>
    </xf>
    <xf borderId="0" fillId="7" fontId="8" numFmtId="0" xfId="0" applyAlignment="1" applyFont="1">
      <alignment horizontal="center" textRotation="0" vertical="center"/>
    </xf>
    <xf borderId="0" fillId="8" fontId="4" numFmtId="0" xfId="0" applyAlignment="1" applyFill="1" applyFont="1">
      <alignment horizontal="center" vertical="center"/>
    </xf>
    <xf borderId="0" fillId="0" fontId="7" numFmtId="0" xfId="0" applyAlignment="1" applyFont="1">
      <alignment horizontal="right" vertical="bottom"/>
    </xf>
    <xf borderId="0" fillId="8" fontId="7" numFmtId="0" xfId="0" applyAlignment="1" applyFont="1">
      <alignment horizontal="center" vertical="center"/>
    </xf>
    <xf borderId="0" fillId="0" fontId="7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6" fontId="7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5" numFmtId="0" xfId="0" applyAlignment="1" applyFont="1">
      <alignment horizontal="center" readingOrder="0" shrinkToFit="0" vertical="bottom" wrapText="1"/>
    </xf>
    <xf borderId="0" fillId="5" fontId="8" numFmtId="0" xfId="0" applyAlignment="1" applyFont="1">
      <alignment horizontal="center" readingOrder="0" textRotation="0"/>
    </xf>
    <xf borderId="0" fillId="6" fontId="8" numFmtId="0" xfId="0" applyAlignment="1" applyFont="1">
      <alignment horizontal="center" readingOrder="0" textRotation="0"/>
    </xf>
    <xf borderId="0" fillId="4" fontId="8" numFmtId="0" xfId="0" applyAlignment="1" applyFont="1">
      <alignment horizontal="center" textRotation="0"/>
    </xf>
    <xf borderId="0" fillId="5" fontId="8" numFmtId="0" xfId="0" applyAlignment="1" applyFont="1">
      <alignment horizontal="center" textRotation="0"/>
    </xf>
    <xf borderId="0" fillId="6" fontId="8" numFmtId="0" xfId="0" applyAlignment="1" applyFont="1">
      <alignment horizontal="center" textRotation="0"/>
    </xf>
    <xf borderId="0" fillId="7" fontId="8" numFmtId="0" xfId="0" applyAlignment="1" applyFont="1">
      <alignment horizontal="center" textRotation="0"/>
    </xf>
    <xf borderId="0" fillId="0" fontId="4" numFmtId="0" xfId="0" applyAlignment="1" applyFont="1">
      <alignment vertical="bottom"/>
    </xf>
    <xf borderId="0" fillId="4" fontId="6" numFmtId="0" xfId="0" applyAlignment="1" applyFont="1">
      <alignment horizontal="center" textRotation="0"/>
    </xf>
    <xf borderId="0" fillId="5" fontId="6" numFmtId="0" xfId="0" applyAlignment="1" applyFont="1">
      <alignment horizontal="center" textRotation="0"/>
    </xf>
    <xf borderId="0" fillId="6" fontId="6" numFmtId="0" xfId="0" applyAlignment="1" applyFont="1">
      <alignment horizontal="center" textRotation="0"/>
    </xf>
    <xf borderId="0" fillId="7" fontId="6" numFmtId="0" xfId="0" applyAlignment="1" applyFont="1">
      <alignment horizontal="center" textRotation="0"/>
    </xf>
    <xf borderId="0" fillId="7" fontId="6" numFmtId="0" xfId="0" applyAlignment="1" applyFont="1">
      <alignment horizontal="center" textRotation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9" fontId="4" numFmtId="0" xfId="0" applyAlignment="1" applyFill="1" applyFont="1">
      <alignment horizontal="right" vertical="bottom"/>
    </xf>
    <xf borderId="0" fillId="9" fontId="4" numFmtId="0" xfId="0" applyAlignment="1" applyFont="1">
      <alignment vertical="bottom"/>
    </xf>
    <xf borderId="0" fillId="9" fontId="5" numFmtId="0" xfId="0" applyAlignment="1" applyFont="1">
      <alignment horizontal="center" vertical="bottom"/>
    </xf>
    <xf borderId="0" fillId="9" fontId="6" numFmtId="0" xfId="0" applyAlignment="1" applyFont="1">
      <alignment horizontal="center" textRotation="0" vertical="center"/>
    </xf>
    <xf borderId="0" fillId="9" fontId="4" numFmtId="0" xfId="0" applyAlignment="1" applyFont="1">
      <alignment horizontal="right" vertical="bottom"/>
    </xf>
    <xf borderId="0" fillId="9" fontId="7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4" fontId="7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6" fontId="7" numFmtId="0" xfId="0" applyAlignment="1" applyFont="1">
      <alignment horizontal="center" vertical="center"/>
    </xf>
    <xf borderId="0" fillId="7" fontId="7" numFmtId="0" xfId="0" applyAlignment="1" applyFont="1">
      <alignment horizontal="center" vertical="center"/>
    </xf>
    <xf borderId="0" fillId="4" fontId="7" numFmtId="0" xfId="0" applyAlignment="1" applyFont="1">
      <alignment horizontal="center" readingOrder="0" vertical="center"/>
    </xf>
    <xf borderId="0" fillId="6" fontId="7" numFmtId="0" xfId="0" applyAlignment="1" applyFont="1">
      <alignment horizontal="center" readingOrder="0" vertical="center"/>
    </xf>
    <xf borderId="0" fillId="4" fontId="4" numFmtId="0" xfId="0" applyAlignment="1" applyFont="1">
      <alignment horizontal="center" vertical="center"/>
    </xf>
    <xf borderId="0" fillId="5" fontId="4" numFmtId="0" xfId="0" applyAlignment="1" applyFont="1">
      <alignment horizontal="center" vertical="center"/>
    </xf>
    <xf borderId="0" fillId="6" fontId="4" numFmtId="0" xfId="0" applyAlignment="1" applyFont="1">
      <alignment horizontal="center" vertical="center"/>
    </xf>
    <xf borderId="0" fillId="7" fontId="4" numFmtId="0" xfId="0" applyAlignment="1" applyFont="1">
      <alignment horizontal="center" readingOrder="0" vertical="center"/>
    </xf>
    <xf borderId="0" fillId="7" fontId="4" numFmtId="0" xfId="0" applyAlignment="1" applyFont="1">
      <alignment horizontal="center" vertical="center"/>
    </xf>
    <xf borderId="0" fillId="4" fontId="4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6" fontId="4" numFmtId="0" xfId="0" applyAlignment="1" applyFont="1">
      <alignment horizontal="center" readingOrder="0" vertical="center"/>
    </xf>
    <xf borderId="0" fillId="3" fontId="7" numFmtId="0" xfId="0" applyAlignment="1" applyFont="1">
      <alignment vertical="bottom"/>
    </xf>
    <xf borderId="0" fillId="3" fontId="6" numFmtId="0" xfId="0" applyAlignment="1" applyFont="1">
      <alignment horizontal="center" textRotation="0"/>
    </xf>
    <xf borderId="0" fillId="0" fontId="7" numFmtId="0" xfId="0" applyAlignment="1" applyFont="1">
      <alignment vertical="bottom"/>
    </xf>
    <xf borderId="0" fillId="5" fontId="6" numFmtId="0" xfId="0" applyAlignment="1" applyFont="1">
      <alignment horizontal="center" textRotation="0" vertical="center"/>
    </xf>
    <xf borderId="0" fillId="0" fontId="7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3" fontId="6" numFmtId="0" xfId="0" applyAlignment="1" applyFont="1">
      <alignment horizontal="right" textRotation="0" vertical="center"/>
    </xf>
    <xf borderId="0" fillId="0" fontId="7" numFmtId="0" xfId="0" applyAlignment="1" applyFont="1">
      <alignment horizontal="right" vertical="bottom"/>
    </xf>
    <xf borderId="0" fillId="3" fontId="4" numFmtId="0" xfId="0" applyAlignment="1" applyFont="1">
      <alignment horizontal="right" readingOrder="0" vertical="bottom"/>
    </xf>
    <xf borderId="0" fillId="3" fontId="7" numFmtId="0" xfId="0" applyAlignment="1" applyFont="1">
      <alignment horizontal="right" readingOrder="0" vertical="bottom"/>
    </xf>
    <xf borderId="0" fillId="3" fontId="7" numFmtId="0" xfId="0" applyAlignment="1" applyFont="1">
      <alignment horizontal="right" vertical="bottom"/>
    </xf>
    <xf borderId="0" fillId="3" fontId="4" numFmtId="0" xfId="0" applyAlignment="1" applyFont="1">
      <alignment horizontal="right" vertical="bottom"/>
    </xf>
    <xf borderId="0" fillId="3" fontId="7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10" numFmtId="0" xfId="0" applyAlignment="1" applyFont="1">
      <alignment horizontal="center" readingOrder="0" vertical="bottom"/>
    </xf>
    <xf borderId="0" fillId="3" fontId="10" numFmtId="0" xfId="0" applyAlignment="1" applyFont="1">
      <alignment horizontal="center" vertical="bottom"/>
    </xf>
    <xf borderId="0" fillId="3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horizontal="right" readingOrder="0"/>
    </xf>
    <xf borderId="0" fillId="3" fontId="11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3" fontId="11" numFmtId="0" xfId="0" applyFont="1"/>
    <xf borderId="0" fillId="0" fontId="10" numFmtId="0" xfId="0" applyAlignment="1" applyFont="1">
      <alignment horizontal="center"/>
    </xf>
    <xf borderId="0" fillId="0" fontId="7" numFmtId="0" xfId="0" applyAlignment="1" applyFont="1">
      <alignment horizontal="left" readingOrder="0" vertical="bottom"/>
    </xf>
    <xf borderId="0" fillId="10" fontId="10" numFmtId="0" xfId="0" applyAlignment="1" applyFill="1" applyFont="1">
      <alignment horizontal="center" readingOrder="0" vertical="bottom"/>
    </xf>
    <xf borderId="0" fillId="0" fontId="11" numFmtId="0" xfId="0" applyAlignment="1" applyFont="1">
      <alignment readingOrder="0"/>
    </xf>
    <xf borderId="0" fillId="10" fontId="11" numFmtId="0" xfId="0" applyAlignment="1" applyFont="1">
      <alignment horizontal="right" readingOrder="0"/>
    </xf>
    <xf borderId="0" fillId="0" fontId="11" numFmtId="0" xfId="0" applyAlignment="1" applyFont="1">
      <alignment horizontal="right"/>
    </xf>
    <xf borderId="0" fillId="0" fontId="10" numFmtId="0" xfId="0" applyAlignment="1" applyFont="1">
      <alignment horizontal="right" readingOrder="0"/>
    </xf>
    <xf borderId="0" fillId="0" fontId="6" numFmtId="0" xfId="0" applyAlignment="1" applyFont="1">
      <alignment horizontal="right" readingOrder="0" shrinkToFit="0" wrapText="1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right" readingOrder="0"/>
    </xf>
    <xf borderId="0" fillId="3" fontId="12" numFmtId="0" xfId="0" applyAlignment="1" applyFont="1">
      <alignment horizontal="center" readingOrder="0" shrinkToFit="0" wrapText="1"/>
    </xf>
    <xf borderId="0" fillId="3" fontId="10" numFmtId="0" xfId="0" applyFont="1"/>
    <xf borderId="0" fillId="3" fontId="7" numFmtId="0" xfId="0" applyFont="1"/>
    <xf borderId="0" fillId="0" fontId="11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11" numFmtId="0" xfId="0" applyAlignment="1" applyFont="1">
      <alignment horizontal="center"/>
    </xf>
    <xf borderId="0" fillId="2" fontId="13" numFmtId="0" xfId="0" applyAlignment="1" applyFont="1">
      <alignment readingOrder="0" shrinkToFit="0" wrapText="1"/>
    </xf>
    <xf borderId="0" fillId="3" fontId="14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3" fontId="14" numFmtId="0" xfId="0" applyAlignment="1" applyFont="1">
      <alignment horizontal="left" readingOrder="0" shrinkToFit="0" wrapText="1"/>
    </xf>
    <xf borderId="0" fillId="3" fontId="14" numFmtId="0" xfId="0" applyAlignment="1" applyFont="1">
      <alignment horizontal="left" readingOrder="0" vertical="bottom"/>
    </xf>
    <xf borderId="0" fillId="3" fontId="15" numFmtId="0" xfId="0" applyAlignment="1" applyFont="1">
      <alignment readingOrder="0"/>
    </xf>
    <xf borderId="0" fillId="3" fontId="14" numFmtId="0" xfId="0" applyAlignment="1" applyFont="1">
      <alignment horizontal="left" readingOrder="0" shrinkToFit="0" vertical="bottom" wrapText="1"/>
    </xf>
    <xf borderId="0" fillId="11" fontId="8" numFmtId="0" xfId="0" applyAlignment="1" applyFill="1" applyFont="1">
      <alignment horizontal="center" shrinkToFit="0" vertical="center" wrapText="1"/>
    </xf>
    <xf borderId="0" fillId="3" fontId="6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right" vertical="bottom"/>
    </xf>
    <xf borderId="0" fillId="7" fontId="8" numFmtId="0" xfId="0" applyAlignment="1" applyFont="1">
      <alignment horizontal="center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horizontal="center" shrinkToFit="0" wrapText="1"/>
    </xf>
    <xf borderId="0" fillId="3" fontId="7" numFmtId="0" xfId="0" applyAlignment="1" applyFont="1">
      <alignment horizontal="right" vertical="bottom"/>
    </xf>
    <xf borderId="0" fillId="3" fontId="16" numFmtId="0" xfId="0" applyAlignment="1" applyFont="1">
      <alignment horizontal="center" readingOrder="0" vertical="bottom"/>
    </xf>
    <xf borderId="0" fillId="3" fontId="16" numFmtId="0" xfId="0" applyAlignment="1" applyFont="1">
      <alignment horizontal="center" readingOrder="0" shrinkToFit="0" vertical="bottom" wrapText="1"/>
    </xf>
    <xf borderId="0" fillId="3" fontId="16" numFmtId="0" xfId="0" applyAlignment="1" applyFont="1">
      <alignment horizontal="right" readingOrder="0" vertical="bottom"/>
    </xf>
    <xf borderId="0" fillId="3" fontId="9" numFmtId="0" xfId="0" applyAlignment="1" applyFont="1">
      <alignment readingOrder="0" vertical="bottom"/>
    </xf>
    <xf borderId="0" fillId="3" fontId="17" numFmtId="0" xfId="0" applyAlignment="1" applyFont="1">
      <alignment horizontal="center" shrinkToFit="0" vertical="bottom" wrapText="1"/>
    </xf>
    <xf borderId="0" fillId="3" fontId="16" numFmtId="0" xfId="0" applyAlignment="1" applyFont="1">
      <alignment horizontal="right" vertical="bottom"/>
    </xf>
    <xf borderId="0" fillId="3" fontId="9" numFmtId="0" xfId="0" applyAlignment="1" applyFont="1">
      <alignment vertical="bottom"/>
    </xf>
    <xf borderId="0" fillId="3" fontId="16" numFmtId="0" xfId="0" applyAlignment="1" applyFont="1">
      <alignment horizontal="center" vertical="bottom"/>
    </xf>
    <xf borderId="0" fillId="3" fontId="16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readingOrder="0" vertical="bottom"/>
    </xf>
    <xf borderId="0" fillId="0" fontId="16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3" fontId="10" numFmtId="0" xfId="0" applyAlignment="1" applyFont="1">
      <alignment horizontal="right" readingOrder="0" vertical="bottom"/>
    </xf>
    <xf borderId="0" fillId="3" fontId="8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center" readingOrder="0" shrinkToFit="0" vertical="bottom" wrapText="0"/>
    </xf>
    <xf borderId="0" fillId="3" fontId="16" numFmtId="0" xfId="0" applyAlignment="1" applyFont="1">
      <alignment horizontal="center" readingOrder="0" shrinkToFit="0" vertical="bottom" wrapText="0"/>
    </xf>
    <xf borderId="0" fillId="3" fontId="10" numFmtId="0" xfId="0" applyAlignment="1" applyFont="1">
      <alignment readingOrder="0" vertical="bottom"/>
    </xf>
    <xf borderId="0" fillId="3" fontId="10" numFmtId="0" xfId="0" applyAlignment="1" applyFont="1">
      <alignment horizontal="center" readingOrder="0"/>
    </xf>
    <xf borderId="0" fillId="10" fontId="10" numFmtId="0" xfId="0" applyAlignment="1" applyFont="1">
      <alignment horizontal="center" shrinkToFit="0" vertical="bottom" wrapText="1"/>
    </xf>
    <xf borderId="0" fillId="10" fontId="10" numFmtId="0" xfId="0" applyAlignment="1" applyFont="1">
      <alignment horizontal="center" readingOrder="0" shrinkToFit="0" vertical="bottom" wrapText="1"/>
    </xf>
    <xf borderId="0" fillId="10" fontId="10" numFmtId="0" xfId="0" applyAlignment="1" applyFont="1">
      <alignment horizontal="center" readingOrder="0" shrinkToFit="0" wrapText="1"/>
    </xf>
    <xf borderId="0" fillId="3" fontId="10" numFmtId="0" xfId="0" applyAlignment="1" applyFont="1">
      <alignment horizontal="center" shrinkToFit="0" wrapText="1"/>
    </xf>
    <xf borderId="0" fillId="3" fontId="10" numFmtId="0" xfId="0" applyAlignment="1" applyFont="1">
      <alignment horizontal="center" readingOrder="0" shrinkToFit="0" wrapText="1"/>
    </xf>
    <xf borderId="0" fillId="3" fontId="10" numFmtId="0" xfId="0" applyAlignment="1" applyFont="1">
      <alignment vertical="bottom"/>
    </xf>
    <xf borderId="0" fillId="3" fontId="18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4" numFmtId="0" xfId="0" applyAlignment="1" applyFont="1">
      <alignment horizontal="left" readingOrder="0" shrinkToFit="0" vertical="bottom" wrapText="1"/>
    </xf>
    <xf borderId="0" fillId="12" fontId="19" numFmtId="0" xfId="0" applyAlignment="1" applyFill="1" applyFont="1">
      <alignment horizontal="center" readingOrder="0"/>
    </xf>
    <xf borderId="0" fillId="3" fontId="14" numFmtId="0" xfId="0" applyAlignment="1" applyFont="1">
      <alignment horizontal="center" readingOrder="0" shrinkToFit="0" vertical="bottom" wrapText="1"/>
    </xf>
    <xf borderId="0" fillId="10" fontId="14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7" fontId="17" numFmtId="0" xfId="0" applyAlignment="1" applyFont="1">
      <alignment horizontal="center" shrinkToFit="0" vertical="center" wrapText="1"/>
    </xf>
    <xf borderId="0" fillId="9" fontId="17" numFmtId="1" xfId="0" applyAlignment="1" applyFont="1" applyNumberFormat="1">
      <alignment horizontal="center" vertical="center"/>
    </xf>
    <xf borderId="0" fillId="13" fontId="20" numFmtId="3" xfId="0" applyAlignment="1" applyFill="1" applyFont="1" applyNumberFormat="1">
      <alignment horizontal="center" vertical="bottom"/>
    </xf>
    <xf borderId="0" fillId="0" fontId="7" numFmtId="3" xfId="0" applyAlignment="1" applyFont="1" applyNumberFormat="1">
      <alignment horizontal="right" vertical="bottom"/>
    </xf>
    <xf borderId="0" fillId="10" fontId="7" numFmtId="3" xfId="0" applyAlignment="1" applyFont="1" applyNumberFormat="1">
      <alignment horizontal="right" vertical="bottom"/>
    </xf>
    <xf borderId="0" fillId="7" fontId="17" numFmtId="0" xfId="0" applyAlignment="1" applyFont="1">
      <alignment horizontal="center" readingOrder="0" shrinkToFit="0" vertical="center" wrapText="1"/>
    </xf>
    <xf borderId="0" fillId="9" fontId="17" numFmtId="0" xfId="0" applyAlignment="1" applyFont="1">
      <alignment horizontal="center" readingOrder="0" vertical="center"/>
    </xf>
    <xf borderId="0" fillId="14" fontId="6" numFmtId="1" xfId="0" applyAlignment="1" applyFill="1" applyFont="1" applyNumberFormat="1">
      <alignment horizontal="center" readingOrder="0" shrinkToFit="0" vertical="bottom" wrapText="1"/>
    </xf>
    <xf borderId="0" fillId="13" fontId="21" numFmtId="3" xfId="0" applyAlignment="1" applyFont="1" applyNumberFormat="1">
      <alignment horizontal="center" vertical="bottom"/>
    </xf>
    <xf borderId="0" fillId="9" fontId="17" numFmtId="0" xfId="0" applyAlignment="1" applyFont="1">
      <alignment horizontal="center" vertical="center"/>
    </xf>
    <xf borderId="0" fillId="14" fontId="17" numFmtId="1" xfId="0" applyAlignment="1" applyFont="1" applyNumberFormat="1">
      <alignment horizontal="center" shrinkToFit="0" vertical="center" wrapText="1"/>
    </xf>
    <xf borderId="0" fillId="7" fontId="6" numFmtId="1" xfId="0" applyAlignment="1" applyFont="1" applyNumberFormat="1">
      <alignment horizontal="center" shrinkToFit="0" wrapText="1"/>
    </xf>
    <xf borderId="0" fillId="9" fontId="6" numFmtId="1" xfId="0" applyAlignment="1" applyFont="1" applyNumberFormat="1">
      <alignment horizontal="center"/>
    </xf>
    <xf borderId="0" fillId="9" fontId="6" numFmtId="0" xfId="0" applyAlignment="1" applyFont="1">
      <alignment horizontal="center" readingOrder="0" vertical="bottom"/>
    </xf>
    <xf borderId="0" fillId="7" fontId="6" numFmtId="0" xfId="0" applyAlignment="1" applyFont="1">
      <alignment horizontal="center" readingOrder="0" shrinkToFit="0" vertical="bottom" wrapText="1"/>
    </xf>
    <xf borderId="0" fillId="7" fontId="6" numFmtId="0" xfId="0" applyAlignment="1" applyFont="1">
      <alignment horizontal="center" readingOrder="0" shrinkToFit="0" wrapText="1"/>
    </xf>
    <xf borderId="0" fillId="9" fontId="6" numFmtId="0" xfId="0" applyAlignment="1" applyFont="1">
      <alignment horizontal="center" readingOrder="0"/>
    </xf>
    <xf borderId="0" fillId="14" fontId="6" numFmtId="1" xfId="0" applyAlignment="1" applyFont="1" applyNumberFormat="1">
      <alignment horizontal="center" readingOrder="0" shrinkToFit="0" wrapText="1"/>
    </xf>
    <xf borderId="0" fillId="13" fontId="20" numFmtId="3" xfId="0" applyAlignment="1" applyFont="1" applyNumberFormat="1">
      <alignment horizontal="center" readingOrder="0" vertical="bottom"/>
    </xf>
    <xf borderId="0" fillId="13" fontId="21" numFmtId="3" xfId="0" applyAlignment="1" applyFont="1" applyNumberFormat="1">
      <alignment horizontal="center" readingOrder="0" vertical="bottom"/>
    </xf>
    <xf borderId="0" fillId="3" fontId="7" numFmtId="3" xfId="0" applyAlignment="1" applyFont="1" applyNumberFormat="1">
      <alignment vertical="bottom"/>
    </xf>
    <xf borderId="0" fillId="13" fontId="7" numFmtId="0" xfId="0" applyAlignment="1" applyFont="1">
      <alignment vertical="bottom"/>
    </xf>
    <xf borderId="0" fillId="7" fontId="8" numFmtId="0" xfId="0" applyAlignment="1" applyFont="1">
      <alignment horizontal="center" readingOrder="0" shrinkToFit="0" wrapText="1"/>
    </xf>
    <xf borderId="0" fillId="3" fontId="7" numFmtId="3" xfId="0" applyAlignment="1" applyFont="1" applyNumberFormat="1">
      <alignment horizontal="center" vertical="bottom"/>
    </xf>
    <xf borderId="0" fillId="13" fontId="22" numFmtId="0" xfId="0" applyAlignment="1" applyFont="1">
      <alignment horizontal="center" readingOrder="0" shrinkToFit="0" vertical="bottom" wrapText="1"/>
    </xf>
    <xf borderId="0" fillId="13" fontId="22" numFmtId="0" xfId="0" applyAlignment="1" applyFont="1">
      <alignment horizontal="center" shrinkToFit="0" vertical="center" wrapText="1"/>
    </xf>
    <xf borderId="0" fillId="13" fontId="22" numFmtId="0" xfId="0" applyAlignment="1" applyFont="1">
      <alignment horizontal="center" readingOrder="0" shrinkToFit="0" wrapText="1"/>
    </xf>
    <xf borderId="0" fillId="3" fontId="7" numFmtId="3" xfId="0" applyAlignment="1" applyFont="1" applyNumberFormat="1">
      <alignment horizontal="center" readingOrder="0" vertical="bottom"/>
    </xf>
    <xf borderId="0" fillId="15" fontId="8" numFmtId="0" xfId="0" applyAlignment="1" applyFill="1" applyFont="1">
      <alignment horizontal="center" shrinkToFit="0" vertical="center" wrapText="1"/>
    </xf>
    <xf borderId="0" fillId="7" fontId="8" numFmtId="0" xfId="0" applyAlignment="1" applyFont="1">
      <alignment horizontal="center" shrinkToFit="0" wrapText="1"/>
    </xf>
    <xf borderId="0" fillId="13" fontId="22" numFmtId="0" xfId="0" applyAlignment="1" applyFont="1">
      <alignment horizontal="center" shrinkToFit="0" wrapText="1"/>
    </xf>
    <xf borderId="0" fillId="0" fontId="7" numFmtId="3" xfId="0" applyAlignment="1" applyFont="1" applyNumberFormat="1">
      <alignment vertical="bottom"/>
    </xf>
    <xf borderId="0" fillId="13" fontId="22" numFmtId="0" xfId="0" applyAlignment="1" applyFont="1">
      <alignment horizontal="center" shrinkToFit="0" vertical="bottom" wrapText="1"/>
    </xf>
    <xf borderId="0" fillId="3" fontId="7" numFmtId="3" xfId="0" applyAlignment="1" applyFont="1" applyNumberFormat="1">
      <alignment readingOrder="0" vertical="bottom"/>
    </xf>
    <xf borderId="0" fillId="13" fontId="22" numFmtId="0" xfId="0" applyAlignment="1" applyFont="1">
      <alignment horizontal="center" readingOrder="0" shrinkToFit="0" vertical="center" wrapText="1"/>
    </xf>
    <xf borderId="0" fillId="3" fontId="7" numFmtId="3" xfId="0" applyAlignment="1" applyFont="1" applyNumberFormat="1">
      <alignment horizontal="right" vertical="bottom"/>
    </xf>
    <xf borderId="0" fillId="0" fontId="7" numFmtId="3" xfId="0" applyAlignment="1" applyFont="1" applyNumberFormat="1">
      <alignment readingOrder="0" vertical="bottom"/>
    </xf>
    <xf borderId="0" fillId="9" fontId="10" numFmtId="0" xfId="0" applyAlignment="1" applyFont="1">
      <alignment horizontal="center" shrinkToFit="0" vertical="bottom" wrapText="1"/>
    </xf>
    <xf borderId="0" fillId="9" fontId="10" numFmtId="0" xfId="0" applyAlignment="1" applyFont="1">
      <alignment horizontal="center" vertical="bottom"/>
    </xf>
    <xf borderId="0" fillId="16" fontId="10" numFmtId="0" xfId="0" applyAlignment="1" applyFill="1" applyFont="1">
      <alignment horizontal="center" vertical="bottom"/>
    </xf>
    <xf borderId="0" fillId="9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horizontal="right" readingOrder="0" vertical="bottom"/>
    </xf>
    <xf borderId="0" fillId="9" fontId="7" numFmtId="3" xfId="0" applyAlignment="1" applyFont="1" applyNumberFormat="1">
      <alignment horizontal="right" readingOrder="0" vertical="bottom"/>
    </xf>
    <xf borderId="0" fillId="9" fontId="7" numFmtId="0" xfId="0" applyAlignment="1" applyFont="1">
      <alignment readingOrder="0" vertical="bottom"/>
    </xf>
    <xf borderId="0" fillId="0" fontId="6" numFmtId="3" xfId="0" applyAlignment="1" applyFont="1" applyNumberFormat="1">
      <alignment horizontal="center" shrinkToFit="0" vertical="bottom" wrapText="1"/>
    </xf>
    <xf borderId="0" fillId="3" fontId="10" numFmtId="3" xfId="0" applyAlignment="1" applyFont="1" applyNumberFormat="1">
      <alignment horizontal="right" vertical="bottom"/>
    </xf>
    <xf borderId="0" fillId="9" fontId="7" numFmtId="3" xfId="0" applyAlignment="1" applyFont="1" applyNumberFormat="1">
      <alignment readingOrder="0" vertical="bottom"/>
    </xf>
    <xf borderId="0" fillId="3" fontId="6" numFmtId="0" xfId="0" applyAlignment="1" applyFont="1">
      <alignment horizontal="center" shrinkToFit="0" vertical="bottom" wrapText="1"/>
    </xf>
    <xf borderId="0" fillId="7" fontId="8" numFmtId="0" xfId="0" applyAlignment="1" applyFont="1">
      <alignment horizontal="center" readingOrder="0" shrinkToFit="0" vertical="bottom" wrapText="1"/>
    </xf>
    <xf borderId="0" fillId="3" fontId="7" numFmtId="3" xfId="0" applyAlignment="1" applyFont="1" applyNumberFormat="1">
      <alignment horizontal="right" readingOrder="0" vertical="bottom"/>
    </xf>
    <xf borderId="0" fillId="9" fontId="6" numFmtId="0" xfId="0" applyAlignment="1" applyFont="1">
      <alignment horizontal="center" shrinkToFit="0" vertical="bottom" wrapText="1"/>
    </xf>
    <xf borderId="0" fillId="9" fontId="8" numFmtId="0" xfId="0" applyAlignment="1" applyFont="1">
      <alignment horizontal="center" readingOrder="0" shrinkToFit="0" wrapText="1"/>
    </xf>
    <xf borderId="0" fillId="3" fontId="6" numFmtId="0" xfId="0" applyAlignment="1" applyFont="1">
      <alignment horizontal="center" readingOrder="0" shrinkToFit="0" vertical="bottom" wrapText="1"/>
    </xf>
    <xf borderId="0" fillId="0" fontId="0" numFmtId="0" xfId="0" applyAlignment="1" applyFont="1">
      <alignment horizontal="left" readingOrder="0" vertical="bottom"/>
    </xf>
    <xf borderId="0" fillId="0" fontId="23" numFmtId="0" xfId="0" applyAlignment="1" applyFont="1">
      <alignment readingOrder="0"/>
    </xf>
    <xf borderId="0" fillId="0" fontId="0" numFmtId="0" xfId="0" applyAlignment="1" applyFont="1">
      <alignment horizontal="left" readingOrder="0" shrinkToFit="0" vertical="bottom" wrapText="0"/>
    </xf>
    <xf borderId="0" fillId="5" fontId="8" numFmtId="0" xfId="0" applyAlignment="1" applyFont="1">
      <alignment horizontal="center" readingOrder="0" shrinkToFit="0" vertical="bottom" wrapText="1"/>
    </xf>
    <xf borderId="0" fillId="3" fontId="24" numFmtId="0" xfId="0" applyAlignment="1" applyFont="1">
      <alignment horizontal="center" vertical="bottom"/>
    </xf>
    <xf borderId="0" fillId="5" fontId="6" numFmtId="0" xfId="0" applyAlignment="1" applyFont="1">
      <alignment horizontal="center" shrinkToFit="0" vertical="bottom" wrapText="1"/>
    </xf>
    <xf borderId="0" fillId="5" fontId="7" numFmtId="0" xfId="0" applyAlignment="1" applyFont="1">
      <alignment horizontal="center" vertical="bottom"/>
    </xf>
    <xf borderId="0" fillId="5" fontId="17" numFmtId="0" xfId="0" applyAlignment="1" applyFont="1">
      <alignment horizontal="center" shrinkToFit="0" wrapText="1"/>
    </xf>
    <xf borderId="0" fillId="5" fontId="7" numFmtId="0" xfId="0" applyAlignment="1" applyFont="1">
      <alignment horizontal="center" readingOrder="0" vertical="bottom"/>
    </xf>
    <xf borderId="0" fillId="7" fontId="6" numFmtId="0" xfId="0" applyAlignment="1" applyFont="1">
      <alignment horizontal="center" shrinkToFit="0" vertical="bottom" wrapText="1"/>
    </xf>
    <xf borderId="0" fillId="5" fontId="17" numFmtId="0" xfId="0" applyAlignment="1" applyFont="1">
      <alignment horizontal="center" readingOrder="0" shrinkToFit="0" wrapText="1"/>
    </xf>
    <xf borderId="0" fillId="5" fontId="6" numFmtId="0" xfId="0" applyAlignment="1" applyFont="1">
      <alignment horizontal="center" readingOrder="0" shrinkToFit="0" vertical="bottom" wrapText="1"/>
    </xf>
    <xf borderId="0" fillId="7" fontId="7" numFmtId="0" xfId="0" applyAlignment="1" applyFont="1">
      <alignment horizontal="center" vertical="bottom"/>
    </xf>
    <xf borderId="0" fillId="7" fontId="17" numFmtId="0" xfId="0" applyAlignment="1" applyFont="1">
      <alignment horizontal="center" shrinkToFit="0" wrapText="1"/>
    </xf>
    <xf borderId="0" fillId="7" fontId="7" numFmtId="0" xfId="0" applyAlignment="1" applyFont="1">
      <alignment horizontal="center" readingOrder="0" vertical="bottom"/>
    </xf>
    <xf borderId="0" fillId="7" fontId="8" numFmtId="0" xfId="0" applyAlignment="1" applyFont="1">
      <alignment horizontal="center" shrinkToFit="0" vertical="bottom" wrapText="1"/>
    </xf>
    <xf borderId="0" fillId="7" fontId="17" numFmtId="0" xfId="0" applyAlignment="1" applyFont="1">
      <alignment horizontal="center" readingOrder="0" shrinkToFit="0" wrapText="1"/>
    </xf>
    <xf borderId="0" fillId="5" fontId="8" numFmtId="0" xfId="0" applyAlignment="1" applyFont="1">
      <alignment horizontal="center" shrinkToFit="0" wrapText="1"/>
    </xf>
    <xf borderId="0" fillId="5" fontId="8" numFmtId="0" xfId="0" applyAlignment="1" applyFont="1">
      <alignment horizontal="center" readingOrder="0" shrinkToFit="0" wrapText="1"/>
    </xf>
    <xf borderId="0" fillId="16" fontId="10" numFmtId="0" xfId="0" applyAlignment="1" applyFont="1">
      <alignment horizontal="center" shrinkToFit="0" vertical="bottom" wrapText="1"/>
    </xf>
    <xf borderId="0" fillId="5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readingOrder="0" shrinkToFit="0" vertical="center" wrapText="1"/>
    </xf>
    <xf borderId="0" fillId="9" fontId="10" numFmtId="0" xfId="0" applyAlignment="1" applyFont="1">
      <alignment horizontal="center" readingOrder="0" shrinkToFit="0" vertical="bottom" wrapText="1"/>
    </xf>
    <xf borderId="0" fillId="3" fontId="24" numFmtId="0" xfId="0" applyAlignment="1" applyFont="1">
      <alignment horizontal="center" readingOrder="0"/>
    </xf>
    <xf borderId="0" fillId="9" fontId="24" numFmtId="0" xfId="0" applyAlignment="1" applyFont="1">
      <alignment horizontal="center" readingOrder="0"/>
    </xf>
    <xf borderId="0" fillId="9" fontId="4" numFmtId="0" xfId="0" applyAlignment="1" applyFont="1">
      <alignment readingOrder="0" vertical="bottom"/>
    </xf>
    <xf borderId="0" fillId="9" fontId="6" numFmtId="0" xfId="0" applyAlignment="1" applyFont="1">
      <alignment horizontal="center" shrinkToFit="0" vertical="bottom" wrapText="1"/>
    </xf>
    <xf borderId="0" fillId="9" fontId="10" numFmtId="0" xfId="0" applyAlignment="1" applyFont="1">
      <alignment horizontal="right" vertical="bottom"/>
    </xf>
    <xf borderId="0" fillId="9" fontId="8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readingOrder="0" vertical="center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0" fontId="3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3" fontId="27" numFmtId="0" xfId="0" applyAlignment="1" applyFont="1">
      <alignment readingOrder="0"/>
    </xf>
    <xf borderId="0" fillId="3" fontId="28" numFmtId="0" xfId="0" applyAlignment="1" applyFont="1">
      <alignment horizontal="right" readingOrder="0"/>
    </xf>
    <xf borderId="0" fillId="3" fontId="29" numFmtId="0" xfId="0" applyAlignment="1" applyFont="1">
      <alignment horizontal="right"/>
    </xf>
    <xf borderId="0" fillId="0" fontId="30" numFmtId="0" xfId="0" applyFont="1"/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8" numFmtId="0" xfId="0" applyAlignment="1" applyFont="1">
      <alignment horizontal="center" readingOrder="0" shrinkToFit="0" vertical="bottom" wrapText="1"/>
    </xf>
    <xf borderId="0" fillId="3" fontId="8" numFmtId="0" xfId="0" applyAlignment="1" applyFont="1">
      <alignment horizontal="center" shrinkToFit="0" vertical="bottom" wrapText="1"/>
    </xf>
    <xf borderId="0" fillId="5" fontId="17" numFmtId="0" xfId="0" applyAlignment="1" applyFont="1">
      <alignment horizontal="center" vertical="bottom"/>
    </xf>
    <xf borderId="0" fillId="5" fontId="17" numFmtId="0" xfId="0" applyAlignment="1" applyFont="1">
      <alignment horizontal="center" readingOrder="0" vertical="bottom"/>
    </xf>
    <xf borderId="0" fillId="9" fontId="17" numFmtId="0" xfId="0" applyAlignment="1" applyFont="1">
      <alignment horizontal="center" vertical="bottom"/>
    </xf>
    <xf borderId="0" fillId="5" fontId="5" numFmtId="0" xfId="0" applyAlignment="1" applyFont="1">
      <alignment horizontal="center" vertical="bottom"/>
    </xf>
    <xf borderId="0" fillId="5" fontId="5" numFmtId="0" xfId="0" applyAlignment="1" applyFont="1">
      <alignment horizontal="center" readingOrder="0" vertical="bottom"/>
    </xf>
    <xf borderId="0" fillId="3" fontId="8" numFmtId="0" xfId="0" applyAlignment="1" applyFont="1">
      <alignment horizontal="center" readingOrder="0" shrinkToFit="0" wrapText="1"/>
    </xf>
    <xf borderId="0" fillId="9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horizontal="center" readingOrder="0" shrinkToFit="0" vertical="bottom" wrapText="1"/>
    </xf>
    <xf borderId="0" fillId="3" fontId="8" numFmtId="0" xfId="0" applyAlignment="1" applyFont="1">
      <alignment horizontal="right" vertical="bottom"/>
    </xf>
    <xf borderId="0" fillId="3" fontId="8" numFmtId="0" xfId="0" applyAlignment="1" applyFont="1">
      <alignment horizontal="right" readingOrder="0" vertical="bottom"/>
    </xf>
    <xf borderId="0" fillId="3" fontId="3" numFmtId="0" xfId="0" applyAlignment="1" applyFont="1">
      <alignment readingOrder="0" vertical="bottom"/>
    </xf>
    <xf borderId="0" fillId="9" fontId="5" numFmtId="0" xfId="0" applyAlignment="1" applyFont="1">
      <alignment horizontal="center" readingOrder="0" vertical="bottom"/>
    </xf>
    <xf borderId="0" fillId="9" fontId="3" numFmtId="0" xfId="0" applyAlignment="1" applyFont="1">
      <alignment readingOrder="0" vertical="bottom"/>
    </xf>
    <xf borderId="0" fillId="3" fontId="5" numFmtId="0" xfId="0" applyAlignment="1" applyFont="1">
      <alignment horizontal="right" readingOrder="0" vertical="bottom"/>
    </xf>
    <xf borderId="0" fillId="9" fontId="4" numFmtId="0" xfId="0" applyAlignment="1" applyFont="1">
      <alignment horizontal="right" readingOrder="0" vertical="bottom"/>
    </xf>
    <xf borderId="0" fillId="5" fontId="10" numFmtId="0" xfId="0" applyAlignment="1" applyFont="1">
      <alignment horizontal="center" vertical="bottom"/>
    </xf>
    <xf borderId="0" fillId="10" fontId="7" numFmtId="0" xfId="0" applyAlignment="1" applyFont="1">
      <alignment vertical="bottom"/>
    </xf>
    <xf borderId="0" fillId="17" fontId="7" numFmtId="0" xfId="0" applyAlignment="1" applyFill="1" applyFont="1">
      <alignment vertical="bottom"/>
    </xf>
    <xf borderId="0" fillId="17" fontId="7" numFmtId="0" xfId="0" applyAlignment="1" applyFont="1">
      <alignment horizontal="right" readingOrder="0" vertical="bottom"/>
    </xf>
    <xf borderId="0" fillId="17" fontId="7" numFmtId="0" xfId="0" applyAlignment="1" applyFont="1">
      <alignment horizontal="right" vertical="bottom"/>
    </xf>
    <xf borderId="0" fillId="10" fontId="7" numFmtId="0" xfId="0" applyAlignment="1" applyFont="1">
      <alignment readingOrder="0" vertical="bottom"/>
    </xf>
    <xf borderId="0" fillId="10" fontId="11" numFmtId="0" xfId="0" applyAlignment="1" applyFont="1">
      <alignment readingOrder="0"/>
    </xf>
    <xf borderId="0" fillId="0" fontId="11" numFmtId="0" xfId="0" applyFont="1"/>
    <xf borderId="0" fillId="3" fontId="11" numFmtId="0" xfId="0" applyAlignment="1" applyFont="1">
      <alignment readingOrder="0"/>
    </xf>
    <xf borderId="0" fillId="2" fontId="1" numFmtId="0" xfId="0" applyFont="1"/>
    <xf borderId="0" fillId="0" fontId="31" numFmtId="0" xfId="0" applyAlignment="1" applyFont="1">
      <alignment readingOrder="0"/>
    </xf>
    <xf borderId="0" fillId="18" fontId="8" numFmtId="0" xfId="0" applyAlignment="1" applyFill="1" applyFont="1">
      <alignment horizontal="center" vertical="center"/>
    </xf>
    <xf borderId="0" fillId="9" fontId="7" numFmtId="0" xfId="0" applyAlignment="1" applyFont="1">
      <alignment horizontal="right" vertical="bottom"/>
    </xf>
    <xf borderId="0" fillId="9" fontId="5" numFmtId="0" xfId="0" applyAlignment="1" applyFont="1">
      <alignment horizontal="center"/>
    </xf>
    <xf borderId="0" fillId="9" fontId="8" numFmtId="0" xfId="0" applyAlignment="1" applyFont="1">
      <alignment horizontal="center" readingOrder="0" vertical="bottom"/>
    </xf>
    <xf borderId="0" fillId="9" fontId="5" numFmtId="0" xfId="0" applyAlignment="1" applyFont="1">
      <alignment horizontal="center" vertical="center"/>
    </xf>
    <xf borderId="0" fillId="9" fontId="5" numFmtId="0" xfId="0" applyAlignment="1" applyFont="1">
      <alignment horizontal="center" readingOrder="0" vertical="center"/>
    </xf>
    <xf borderId="0" fillId="9" fontId="8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9" fontId="8" numFmtId="0" xfId="0" applyAlignment="1" applyFont="1">
      <alignment horizontal="center" vertical="center"/>
    </xf>
    <xf borderId="0" fillId="18" fontId="8" numFmtId="0" xfId="0" applyAlignment="1" applyFont="1">
      <alignment horizontal="center" readingOrder="0"/>
    </xf>
    <xf borderId="0" fillId="18" fontId="8" numFmtId="0" xfId="0" applyAlignment="1" applyFont="1">
      <alignment horizontal="center" readingOrder="0" vertical="center"/>
    </xf>
    <xf borderId="0" fillId="2" fontId="7" numFmtId="0" xfId="0" applyAlignment="1" applyFont="1">
      <alignment vertical="bottom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0" fillId="9" fontId="8" numFmtId="0" xfId="0" applyAlignment="1" applyFont="1">
      <alignment horizontal="center" shrinkToFit="0" wrapText="1"/>
    </xf>
    <xf borderId="0" fillId="17" fontId="1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1"/>
    </xf>
    <xf borderId="0" fillId="19" fontId="32" numFmtId="0" xfId="0" applyAlignment="1" applyFill="1" applyFont="1">
      <alignment readingOrder="0"/>
    </xf>
    <xf borderId="0" fillId="5" fontId="16" numFmtId="0" xfId="0" applyAlignment="1" applyFont="1">
      <alignment horizontal="center"/>
    </xf>
    <xf borderId="0" fillId="7" fontId="10" numFmtId="0" xfId="0" applyAlignment="1" applyFont="1">
      <alignment horizontal="center" readingOrder="0" shrinkToFit="0" wrapText="1"/>
    </xf>
    <xf borderId="0" fillId="9" fontId="10" numFmtId="49" xfId="0" applyAlignment="1" applyFont="1" applyNumberFormat="1">
      <alignment horizontal="center" readingOrder="0" vertical="bottom"/>
    </xf>
    <xf borderId="0" fillId="3" fontId="4" numFmtId="49" xfId="0" applyAlignment="1" applyFont="1" applyNumberFormat="1">
      <alignment horizontal="right" vertical="bottom"/>
    </xf>
    <xf borderId="0" fillId="5" fontId="10" numFmtId="0" xfId="0" applyAlignment="1" applyFont="1">
      <alignment horizontal="center"/>
    </xf>
    <xf borderId="0" fillId="7" fontId="16" numFmtId="0" xfId="0" applyAlignment="1" applyFont="1">
      <alignment horizontal="center" readingOrder="0" shrinkToFit="0" wrapText="1"/>
    </xf>
    <xf borderId="0" fillId="5" fontId="33" numFmtId="0" xfId="0" applyAlignment="1" applyFont="1">
      <alignment horizontal="center"/>
    </xf>
    <xf borderId="0" fillId="9" fontId="5" numFmtId="49" xfId="0" applyAlignment="1" applyFont="1" applyNumberFormat="1">
      <alignment horizontal="center" readingOrder="0" vertical="bottom"/>
    </xf>
    <xf borderId="0" fillId="7" fontId="16" numFmtId="0" xfId="0" applyAlignment="1" applyFont="1">
      <alignment horizontal="center" shrinkToFit="0" wrapText="1"/>
    </xf>
    <xf borderId="0" fillId="7" fontId="10" numFmtId="0" xfId="0" applyAlignment="1" applyFont="1">
      <alignment horizontal="center" shrinkToFit="0" wrapText="1"/>
    </xf>
    <xf borderId="0" fillId="7" fontId="5" numFmtId="0" xfId="0" applyAlignment="1" applyFont="1">
      <alignment horizontal="center" shrinkToFit="0" vertical="bottom" wrapText="1"/>
    </xf>
    <xf borderId="0" fillId="7" fontId="33" numFmtId="0" xfId="0" applyAlignment="1" applyFont="1">
      <alignment horizontal="center" shrinkToFit="0" wrapText="1"/>
    </xf>
    <xf borderId="0" fillId="5" fontId="10" numFmtId="0" xfId="0" applyAlignment="1" applyFont="1">
      <alignment horizontal="center" shrinkToFit="0" wrapText="1"/>
    </xf>
    <xf borderId="0" fillId="7" fontId="5" numFmtId="0" xfId="0" applyAlignment="1" applyFont="1">
      <alignment horizontal="center" readingOrder="0" shrinkToFit="0" vertical="bottom" wrapText="1"/>
    </xf>
    <xf borderId="0" fillId="9" fontId="10" numFmtId="0" xfId="0" applyAlignment="1" applyFont="1">
      <alignment horizontal="center" vertical="bottom"/>
    </xf>
    <xf borderId="0" fillId="17" fontId="4" numFmtId="0" xfId="0" applyAlignment="1" applyFont="1">
      <alignment horizontal="right" vertical="bottom"/>
    </xf>
    <xf borderId="0" fillId="5" fontId="10" numFmtId="0" xfId="0" applyAlignment="1" applyFont="1">
      <alignment horizontal="center" readingOrder="0" vertical="bottom"/>
    </xf>
    <xf borderId="0" fillId="20" fontId="4" numFmtId="0" xfId="0" applyAlignment="1" applyFill="1" applyFont="1">
      <alignment horizontal="right" vertical="bottom"/>
    </xf>
    <xf borderId="0" fillId="5" fontId="5" numFmtId="0" xfId="0" applyAlignment="1" applyFont="1">
      <alignment horizontal="center"/>
    </xf>
    <xf borderId="0" fillId="7" fontId="5" numFmtId="0" xfId="0" applyAlignment="1" applyFont="1">
      <alignment horizontal="center" shrinkToFit="0" wrapText="1"/>
    </xf>
    <xf borderId="0" fillId="9" fontId="5" numFmtId="0" xfId="0" applyAlignment="1" applyFont="1">
      <alignment horizontal="center" vertical="bottom"/>
    </xf>
    <xf borderId="0" fillId="5" fontId="5" numFmtId="0" xfId="0" applyAlignment="1" applyFont="1">
      <alignment horizontal="center" shrinkToFit="0" wrapText="1"/>
    </xf>
    <xf borderId="0" fillId="9" fontId="10" numFmtId="0" xfId="0" applyAlignment="1" applyFont="1">
      <alignment horizontal="center" readingOrder="0" vertical="bottom"/>
    </xf>
    <xf borderId="0" fillId="7" fontId="33" numFmtId="0" xfId="0" applyAlignment="1" applyFont="1">
      <alignment horizontal="center" readingOrder="0" shrinkToFit="0" wrapText="1"/>
    </xf>
    <xf borderId="0" fillId="7" fontId="10" numFmtId="0" xfId="0" applyAlignment="1" applyFont="1">
      <alignment horizontal="center" readingOrder="0" shrinkToFit="0" vertical="bottom" wrapText="1"/>
    </xf>
    <xf borderId="0" fillId="5" fontId="4" numFmtId="0" xfId="0" applyAlignment="1" applyFont="1">
      <alignment vertical="bottom"/>
    </xf>
    <xf borderId="0" fillId="5" fontId="16" numFmtId="0" xfId="0" applyAlignment="1" applyFont="1">
      <alignment horizontal="center" readingOrder="0" shrinkToFit="0" wrapText="1"/>
    </xf>
    <xf borderId="0" fillId="5" fontId="10" numFmtId="0" xfId="0" applyAlignment="1" applyFont="1">
      <alignment horizontal="center" vertical="bottom"/>
    </xf>
    <xf borderId="0" fillId="5" fontId="4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horizontal="right" vertical="bottom"/>
    </xf>
    <xf borderId="0" fillId="9" fontId="16" numFmtId="0" xfId="0" applyAlignment="1" applyFont="1">
      <alignment horizontal="center"/>
    </xf>
    <xf borderId="0" fillId="9" fontId="16" numFmtId="0" xfId="0" applyAlignment="1" applyFont="1">
      <alignment horizontal="center" shrinkToFit="0" wrapText="1"/>
    </xf>
    <xf borderId="0" fillId="7" fontId="10" numFmtId="0" xfId="0" applyAlignment="1" applyFont="1">
      <alignment horizontal="center" shrinkToFit="0" vertical="bottom" wrapText="1"/>
    </xf>
    <xf borderId="0" fillId="7" fontId="33" numFmtId="0" xfId="0" applyAlignment="1" applyFont="1">
      <alignment horizontal="center" readingOrder="0" shrinkToFit="0" vertical="bottom" wrapText="1"/>
    </xf>
    <xf borderId="0" fillId="5" fontId="10" numFmtId="0" xfId="0" applyAlignment="1" applyFont="1">
      <alignment horizontal="center" readingOrder="0"/>
    </xf>
    <xf borderId="0" fillId="21" fontId="7" numFmtId="0" xfId="0" applyAlignment="1" applyFill="1" applyFont="1">
      <alignment vertical="bottom"/>
    </xf>
    <xf borderId="0" fillId="7" fontId="5" numFmtId="0" xfId="0" applyAlignment="1" applyFont="1">
      <alignment horizontal="center" readingOrder="0" shrinkToFit="0" wrapText="1"/>
    </xf>
    <xf borderId="0" fillId="21" fontId="5" numFmtId="0" xfId="0" applyAlignment="1" applyFont="1">
      <alignment horizontal="center" vertical="bottom"/>
    </xf>
    <xf borderId="0" fillId="21" fontId="5" numFmtId="0" xfId="0" applyAlignment="1" applyFont="1">
      <alignment horizontal="center" readingOrder="0" vertical="bottom"/>
    </xf>
    <xf borderId="0" fillId="7" fontId="4" numFmtId="0" xfId="0" applyAlignment="1" applyFont="1">
      <alignment vertical="bottom"/>
    </xf>
    <xf borderId="0" fillId="21" fontId="10" numFmtId="0" xfId="0" applyAlignment="1" applyFont="1">
      <alignment horizontal="center" vertical="bottom"/>
    </xf>
    <xf borderId="0" fillId="21" fontId="10" numFmtId="0" xfId="0" applyAlignment="1" applyFont="1">
      <alignment horizontal="center" vertical="bottom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 shrinkToFit="0" vertical="bottom" wrapText="1"/>
    </xf>
    <xf borderId="0" fillId="5" fontId="5" numFmtId="0" xfId="0" applyAlignment="1" applyFont="1">
      <alignment horizontal="center" shrinkToFit="0" vertical="bottom" wrapText="1"/>
    </xf>
    <xf borderId="0" fillId="5" fontId="33" numFmtId="0" xfId="0" applyAlignment="1" applyFont="1">
      <alignment horizontal="center" readingOrder="0" vertical="bottom"/>
    </xf>
    <xf borderId="0" fillId="5" fontId="33" numFmtId="0" xfId="0" applyAlignment="1" applyFont="1">
      <alignment horizontal="center" readingOrder="0"/>
    </xf>
    <xf borderId="0" fillId="5" fontId="10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5" fontId="33" numFmtId="0" xfId="0" applyAlignment="1" applyFont="1">
      <alignment horizontal="center" vertical="bottom"/>
    </xf>
    <xf borderId="0" fillId="7" fontId="33" numFmtId="0" xfId="0" applyAlignment="1" applyFont="1">
      <alignment horizontal="center" shrinkToFit="0" vertical="bottom" wrapText="1"/>
    </xf>
    <xf borderId="0" fillId="0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shrinkToFit="0" vertical="bottom" wrapText="1"/>
    </xf>
    <xf borderId="0" fillId="5" fontId="10" numFmtId="0" xfId="0" applyAlignment="1" applyFont="1">
      <alignment horizontal="center" readingOrder="0" shrinkToFit="0" wrapText="1"/>
    </xf>
    <xf borderId="0" fillId="5" fontId="16" numFmtId="0" xfId="0" applyAlignment="1" applyFont="1">
      <alignment horizontal="center" shrinkToFit="0" vertical="center" wrapText="1"/>
    </xf>
    <xf borderId="0" fillId="7" fontId="16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wrapText="1"/>
    </xf>
    <xf borderId="0" fillId="7" fontId="16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textRotation="0" vertical="bottom"/>
    </xf>
    <xf borderId="0" fillId="3" fontId="7" numFmtId="0" xfId="0" applyFont="1"/>
    <xf borderId="0" fillId="7" fontId="16" numFmtId="0" xfId="0" applyAlignment="1" applyFont="1">
      <alignment horizontal="center" vertical="bottom"/>
    </xf>
    <xf borderId="0" fillId="5" fontId="16" numFmtId="0" xfId="0" applyAlignment="1" applyFont="1">
      <alignment horizontal="center" shrinkToFit="0" wrapText="1"/>
    </xf>
    <xf borderId="0" fillId="7" fontId="16" numFmtId="0" xfId="0" applyAlignment="1" applyFont="1">
      <alignment horizontal="center" readingOrder="0" vertical="bottom"/>
    </xf>
    <xf borderId="0" fillId="3" fontId="10" numFmtId="0" xfId="0" applyAlignment="1" applyFont="1">
      <alignment horizontal="left" readingOrder="0" vertical="bottom"/>
    </xf>
    <xf borderId="0" fillId="0" fontId="3" numFmtId="0" xfId="0" applyAlignment="1" applyFont="1">
      <alignment horizontal="center"/>
    </xf>
    <xf borderId="0" fillId="3" fontId="34" numFmtId="0" xfId="0" applyAlignment="1" applyFont="1">
      <alignment readingOrder="0" vertical="bottom"/>
    </xf>
    <xf borderId="0" fillId="0" fontId="35" numFmtId="0" xfId="0" applyAlignment="1" applyFont="1">
      <alignment horizontal="center" readingOrder="0"/>
    </xf>
    <xf borderId="0" fillId="0" fontId="36" numFmtId="0" xfId="0" applyAlignment="1" applyFont="1">
      <alignment readingOrder="0"/>
    </xf>
    <xf borderId="0" fillId="0" fontId="36" numFmtId="0" xfId="0" applyFont="1"/>
    <xf borderId="1" fillId="2" fontId="1" numFmtId="0" xfId="0" applyAlignment="1" applyBorder="1" applyFont="1">
      <alignment readingOrder="0"/>
    </xf>
    <xf borderId="2" fillId="2" fontId="37" numFmtId="0" xfId="0" applyAlignment="1" applyBorder="1" applyFont="1">
      <alignment horizontal="center" readingOrder="0"/>
    </xf>
    <xf borderId="3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0" fillId="3" fontId="38" numFmtId="0" xfId="0" applyAlignment="1" applyFont="1">
      <alignment horizontal="center" vertical="bottom"/>
    </xf>
    <xf borderId="4" fillId="0" fontId="7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0" fillId="0" fontId="38" numFmtId="0" xfId="0" applyAlignment="1" applyFont="1">
      <alignment horizontal="center" vertical="bottom"/>
    </xf>
    <xf borderId="4" fillId="0" fontId="7" numFmtId="0" xfId="0" applyAlignment="1" applyBorder="1" applyFont="1">
      <alignment readingOrder="0" vertical="bottom"/>
    </xf>
    <xf borderId="0" fillId="4" fontId="10" numFmtId="0" xfId="0" applyAlignment="1" applyFont="1">
      <alignment horizontal="center" shrinkToFit="0" wrapText="1"/>
    </xf>
    <xf borderId="4" fillId="3" fontId="7" numFmtId="0" xfId="0" applyAlignment="1" applyBorder="1" applyFont="1">
      <alignment vertical="bottom"/>
    </xf>
    <xf borderId="5" fillId="3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0" fillId="4" fontId="10" numFmtId="0" xfId="0" applyAlignment="1" applyFont="1">
      <alignment horizontal="center" shrinkToFit="0" vertical="center" wrapText="1"/>
    </xf>
    <xf borderId="6" fillId="3" fontId="7" numFmtId="0" xfId="0" applyAlignment="1" applyBorder="1" applyFont="1">
      <alignment vertical="bottom"/>
    </xf>
    <xf borderId="7" fillId="3" fontId="7" numFmtId="0" xfId="0" applyAlignment="1" applyBorder="1" applyFont="1">
      <alignment vertical="bottom"/>
    </xf>
    <xf borderId="0" fillId="3" fontId="38" numFmtId="0" xfId="0" applyAlignment="1" applyFont="1">
      <alignment horizontal="center" readingOrder="0" vertical="bottom"/>
    </xf>
    <xf borderId="0" fillId="7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wrapText="1"/>
    </xf>
    <xf borderId="0" fillId="4" fontId="10" numFmtId="0" xfId="0" applyAlignment="1" applyFont="1">
      <alignment horizontal="center" readingOrder="0" shrinkToFit="0" vertical="center" wrapText="1"/>
    </xf>
    <xf borderId="5" fillId="3" fontId="10" numFmtId="0" xfId="0" applyAlignment="1" applyBorder="1" applyFont="1">
      <alignment horizontal="center" shrinkToFit="0" wrapText="1"/>
    </xf>
    <xf borderId="4" fillId="3" fontId="10" numFmtId="0" xfId="0" applyAlignment="1" applyBorder="1" applyFont="1">
      <alignment horizontal="center" shrinkToFit="0" wrapText="1"/>
    </xf>
    <xf borderId="6" fillId="3" fontId="10" numFmtId="0" xfId="0" applyAlignment="1" applyBorder="1" applyFont="1">
      <alignment horizontal="center" shrinkToFit="0" vertical="bottom" wrapText="1"/>
    </xf>
    <xf borderId="7" fillId="3" fontId="10" numFmtId="0" xfId="0" applyAlignment="1" applyBorder="1" applyFont="1">
      <alignment horizontal="center" shrinkToFit="0" vertical="bottom" wrapText="1"/>
    </xf>
    <xf borderId="5" fillId="4" fontId="16" numFmtId="0" xfId="0" applyAlignment="1" applyBorder="1" applyFont="1">
      <alignment horizontal="center" shrinkToFit="0" vertical="center" wrapText="1"/>
    </xf>
    <xf borderId="4" fillId="7" fontId="16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wrapText="1"/>
    </xf>
    <xf borderId="4" fillId="7" fontId="10" numFmtId="0" xfId="0" applyAlignment="1" applyBorder="1" applyFont="1">
      <alignment horizontal="center" shrinkToFit="0" wrapText="1"/>
    </xf>
    <xf borderId="5" fillId="7" fontId="10" numFmtId="0" xfId="0" applyAlignment="1" applyBorder="1" applyFont="1">
      <alignment horizontal="center" shrinkToFit="0" wrapText="1"/>
    </xf>
    <xf borderId="6" fillId="4" fontId="10" numFmtId="0" xfId="0" applyAlignment="1" applyBorder="1" applyFont="1">
      <alignment horizontal="center" readingOrder="0" shrinkToFit="0" wrapText="1"/>
    </xf>
    <xf borderId="7" fillId="7" fontId="10" numFmtId="0" xfId="0" applyAlignment="1" applyBorder="1" applyFont="1">
      <alignment horizontal="center" readingOrder="0" shrinkToFit="0" wrapText="1"/>
    </xf>
    <xf borderId="0" fillId="4" fontId="16" numFmtId="0" xfId="0" applyAlignment="1" applyFont="1">
      <alignment horizontal="center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5" fillId="3" fontId="4" numFmtId="0" xfId="0" applyAlignment="1" applyBorder="1" applyFont="1">
      <alignment vertical="bottom"/>
    </xf>
    <xf borderId="0" fillId="4" fontId="5" numFmtId="0" xfId="0" applyAlignment="1" applyFont="1">
      <alignment horizontal="center" shrinkToFit="0" wrapText="1"/>
    </xf>
    <xf borderId="0" fillId="4" fontId="1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vertical="bottom"/>
    </xf>
    <xf borderId="0" fillId="3" fontId="16" numFmtId="0" xfId="0" applyAlignment="1" applyFont="1">
      <alignment horizontal="center" readingOrder="0" shrinkToFit="0" vertical="center" wrapText="1"/>
    </xf>
    <xf borderId="0" fillId="4" fontId="8" numFmtId="0" xfId="0" applyAlignment="1" applyFont="1">
      <alignment horizontal="center" shrinkToFit="0" vertical="center" wrapText="1"/>
    </xf>
    <xf borderId="5" fillId="3" fontId="4" numFmtId="0" xfId="0" applyAlignment="1" applyBorder="1" applyFont="1">
      <alignment readingOrder="0" vertical="bottom"/>
    </xf>
    <xf borderId="0" fillId="3" fontId="32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4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2" numFmtId="0" xfId="0" applyAlignment="1" applyFont="1">
      <alignment horizontal="center" vertical="bottom"/>
    </xf>
    <xf borderId="5" fillId="3" fontId="3" numFmtId="0" xfId="0" applyAlignment="1" applyBorder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horizontal="right" vertical="bottom"/>
    </xf>
    <xf borderId="4" fillId="0" fontId="8" numFmtId="0" xfId="0" applyAlignment="1" applyBorder="1" applyFont="1">
      <alignment horizontal="right" vertical="bottom"/>
    </xf>
    <xf borderId="0" fillId="0" fontId="5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6" fillId="3" fontId="4" numFmtId="0" xfId="0" applyAlignment="1" applyBorder="1" applyFont="1">
      <alignment vertical="bottom"/>
    </xf>
    <xf borderId="8" fillId="0" fontId="5" numFmtId="0" xfId="0" applyAlignment="1" applyBorder="1" applyFont="1">
      <alignment horizontal="center" readingOrder="0"/>
    </xf>
    <xf borderId="8" fillId="0" fontId="8" numFmtId="0" xfId="0" applyBorder="1" applyFont="1"/>
    <xf borderId="8" fillId="0" fontId="8" numFmtId="0" xfId="0" applyAlignment="1" applyBorder="1" applyFont="1">
      <alignment horizontal="right" vertical="bottom"/>
    </xf>
    <xf borderId="7" fillId="0" fontId="8" numFmtId="0" xfId="0" applyAlignment="1" applyBorder="1" applyFont="1">
      <alignment horizontal="right" vertical="bottom"/>
    </xf>
    <xf borderId="0" fillId="0" fontId="32" numFmtId="0" xfId="0" applyAlignment="1" applyFont="1">
      <alignment horizontal="center"/>
    </xf>
    <xf borderId="0" fillId="0" fontId="32" numFmtId="0" xfId="0" applyFont="1"/>
    <xf borderId="0" fillId="3" fontId="5" numFmtId="164" xfId="0" applyAlignment="1" applyFont="1" applyNumberFormat="1">
      <alignment horizontal="center" vertical="bottom"/>
    </xf>
    <xf borderId="0" fillId="3" fontId="39" numFmtId="0" xfId="0" applyAlignment="1" applyFont="1">
      <alignment horizontal="right" readingOrder="0" vertical="bottom"/>
    </xf>
    <xf borderId="0" fillId="3" fontId="40" numFmtId="0" xfId="0" applyAlignment="1" applyFont="1">
      <alignment readingOrder="0"/>
    </xf>
    <xf borderId="0" fillId="3" fontId="10" numFmtId="164" xfId="0" applyAlignment="1" applyFont="1" applyNumberFormat="1">
      <alignment horizontal="center" vertical="bottom"/>
    </xf>
    <xf borderId="9" fillId="2" fontId="41" numFmtId="0" xfId="0" applyAlignment="1" applyBorder="1" applyFont="1">
      <alignment readingOrder="0" shrinkToFit="0" wrapText="1"/>
    </xf>
    <xf borderId="10" fillId="2" fontId="42" numFmtId="0" xfId="0" applyAlignment="1" applyBorder="1" applyFont="1">
      <alignment readingOrder="0" shrinkToFit="0" wrapText="1"/>
    </xf>
    <xf borderId="10" fillId="0" fontId="43" numFmtId="0" xfId="0" applyBorder="1" applyFont="1"/>
    <xf borderId="11" fillId="0" fontId="43" numFmtId="0" xfId="0" applyBorder="1" applyFont="1"/>
    <xf borderId="12" fillId="0" fontId="43" numFmtId="0" xfId="0" applyBorder="1" applyFont="1"/>
    <xf borderId="13" fillId="0" fontId="43" numFmtId="0" xfId="0" applyBorder="1" applyFont="1"/>
    <xf borderId="14" fillId="0" fontId="43" numFmtId="0" xfId="0" applyBorder="1" applyFont="1"/>
    <xf borderId="0" fillId="3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H3X7LAEBjHDpv6IJcT3R-dN6E8Lukd5G1OMetbTh5Ag/edit?gid=68380012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XNv9x39uIieVH68kun0q_zF3lnSdsUxswVZA7msKdU/edit?gid=751340145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H3X7LAEBjHDpv6IJcT3R-dN6E8Lukd5G1OMetbTh5Ag/edit?gid=68380012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docs.google.com/spreadsheets/d/1sCKJKwElTbrIcX4iGUzPw4Jb6npblZ3zTsGrMfi5yes/edit?gid=920755828" TargetMode="External"/><Relationship Id="rId3" Type="http://schemas.openxmlformats.org/officeDocument/2006/relationships/hyperlink" Target="https://docs.google.com/spreadsheets/d/1goEJrICDGP2UczQcWLwaV6jMxfG2HZGHZeo7PItnrZA/edit?gid=600816539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UlJrXmz-I4NPW3VLT75n8QUIp3lrLT34GqWhGB6fkXo/edit?gid=0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8JHPldad_TzWG_n5yYeO-jQuTrG9oo9dhZPoUtWRlo/edit?gid=0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loliFLT5XLE18ihZptg8-rICWsWVYSdJuz6_t1TSwQ/edit?gid=0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25qQZ-wjRwNtpv4D6yyHc7DaySW_xBNacKJEXqvagA/edit?gid=0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63"/>
    <col customWidth="1" min="2" max="2" width="16.88"/>
    <col customWidth="1" min="3" max="3" width="28.38"/>
    <col customWidth="1" min="4" max="4" width="29.25"/>
    <col customWidth="1" min="5" max="5" width="8.0"/>
    <col customWidth="1" min="6" max="6" width="6.88"/>
    <col customWidth="1" min="7" max="7" width="7.25"/>
    <col customWidth="1" min="8" max="8" width="11.75"/>
    <col customWidth="1" min="9" max="9" width="17.5"/>
    <col customWidth="1" min="10" max="11" width="14.13"/>
    <col customWidth="1" min="12" max="12" width="65.63"/>
    <col customWidth="1" min="13" max="14" width="11.25"/>
    <col customWidth="1" hidden="1" min="15" max="16" width="13.88"/>
  </cols>
  <sheetData>
    <row r="1">
      <c r="A1" s="1" t="s">
        <v>0</v>
      </c>
      <c r="L1" s="1"/>
      <c r="M1" s="1"/>
      <c r="N1" s="1"/>
      <c r="O1" s="1"/>
      <c r="P1" s="1"/>
    </row>
    <row r="2">
      <c r="A2" s="2" t="s">
        <v>1</v>
      </c>
      <c r="B2" s="3"/>
      <c r="C2" s="3"/>
      <c r="D2" s="3"/>
      <c r="E2" s="4"/>
      <c r="F2" s="4"/>
      <c r="G2" s="4"/>
      <c r="H2" s="4"/>
      <c r="I2" s="4"/>
      <c r="J2" s="5"/>
      <c r="K2" s="5"/>
      <c r="L2" s="3"/>
      <c r="M2" s="3"/>
      <c r="N2" s="3"/>
      <c r="O2" s="3"/>
      <c r="P2" s="3"/>
    </row>
    <row r="3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3"/>
      <c r="M3" s="3"/>
      <c r="N3" s="3"/>
      <c r="O3" s="3"/>
      <c r="P3" s="3"/>
    </row>
    <row r="4" hidden="1">
      <c r="A4" s="6" t="s">
        <v>13</v>
      </c>
      <c r="B4" s="7" t="s">
        <v>14</v>
      </c>
      <c r="C4" s="7" t="s">
        <v>15</v>
      </c>
      <c r="D4" s="7" t="s">
        <v>16</v>
      </c>
      <c r="E4" s="8">
        <v>0.0</v>
      </c>
      <c r="F4" s="9">
        <v>0.0</v>
      </c>
      <c r="G4" s="9">
        <v>0.0</v>
      </c>
      <c r="H4" s="10">
        <v>3.0</v>
      </c>
      <c r="I4" s="11">
        <v>0.0</v>
      </c>
      <c r="J4" s="12"/>
      <c r="K4" s="12">
        <f t="shared" ref="K4:K234" si="1">sum(E4*250)+(F4*500)+(G4*250)+(H4*250)+(I4*250)</f>
        <v>750</v>
      </c>
      <c r="L4" s="13" t="str">
        <f t="shared" ref="L4:L39" si="2"> E4 &amp; " 5-star + " &amp; F4 &amp; " RFC + " &amp; G4 &amp; " DME + " &amp; H4 &amp; " Patient Portal Login + " &amp; I4 &amp; " Completed Task"
</f>
        <v>0 5-star + 0 RFC + 0 DME + 3 Patient Portal Login + 0 Completed Task</v>
      </c>
      <c r="M4" s="13"/>
      <c r="N4" s="13"/>
      <c r="O4" s="14"/>
      <c r="P4" s="14"/>
    </row>
    <row r="5" hidden="1">
      <c r="A5" s="6" t="s">
        <v>13</v>
      </c>
      <c r="B5" s="7" t="s">
        <v>17</v>
      </c>
      <c r="C5" s="7" t="s">
        <v>18</v>
      </c>
      <c r="D5" s="7" t="s">
        <v>19</v>
      </c>
      <c r="E5" s="8">
        <v>0.0</v>
      </c>
      <c r="F5" s="9">
        <v>0.0</v>
      </c>
      <c r="G5" s="9">
        <v>0.0</v>
      </c>
      <c r="H5" s="15">
        <v>0.0</v>
      </c>
      <c r="I5" s="11">
        <v>0.0</v>
      </c>
      <c r="J5" s="12"/>
      <c r="K5" s="12">
        <f t="shared" si="1"/>
        <v>0</v>
      </c>
      <c r="L5" s="13" t="str">
        <f t="shared" si="2"/>
        <v>0 5-star + 0 RFC + 0 DME + 0 Patient Portal Login + 0 Completed Task</v>
      </c>
      <c r="M5" s="13"/>
      <c r="N5" s="13"/>
      <c r="O5" s="14"/>
      <c r="P5" s="14"/>
    </row>
    <row r="6" hidden="1">
      <c r="A6" s="6" t="s">
        <v>13</v>
      </c>
      <c r="B6" s="7" t="s">
        <v>20</v>
      </c>
      <c r="C6" s="7" t="s">
        <v>21</v>
      </c>
      <c r="D6" s="7" t="s">
        <v>22</v>
      </c>
      <c r="E6" s="8">
        <v>0.0</v>
      </c>
      <c r="F6" s="9">
        <v>0.0</v>
      </c>
      <c r="G6" s="9">
        <v>0.0</v>
      </c>
      <c r="H6" s="10">
        <v>5.0</v>
      </c>
      <c r="I6" s="11">
        <v>0.0</v>
      </c>
      <c r="J6" s="12"/>
      <c r="K6" s="12">
        <f t="shared" si="1"/>
        <v>1250</v>
      </c>
      <c r="L6" s="13" t="str">
        <f t="shared" si="2"/>
        <v>0 5-star + 0 RFC + 0 DME + 5 Patient Portal Login + 0 Completed Task</v>
      </c>
      <c r="M6" s="13"/>
      <c r="N6" s="13"/>
      <c r="O6" s="14"/>
      <c r="P6" s="14"/>
    </row>
    <row r="7" hidden="1">
      <c r="A7" s="6" t="s">
        <v>13</v>
      </c>
      <c r="B7" s="7" t="s">
        <v>23</v>
      </c>
      <c r="C7" s="7" t="s">
        <v>24</v>
      </c>
      <c r="D7" s="7" t="s">
        <v>25</v>
      </c>
      <c r="E7" s="8">
        <v>0.0</v>
      </c>
      <c r="F7" s="9">
        <v>0.0</v>
      </c>
      <c r="G7" s="9">
        <v>0.0</v>
      </c>
      <c r="H7" s="15">
        <v>0.0</v>
      </c>
      <c r="I7" s="11">
        <v>0.0</v>
      </c>
      <c r="J7" s="12"/>
      <c r="K7" s="12">
        <f t="shared" si="1"/>
        <v>0</v>
      </c>
      <c r="L7" s="13" t="str">
        <f t="shared" si="2"/>
        <v>0 5-star + 0 RFC + 0 DME + 0 Patient Portal Login + 0 Completed Task</v>
      </c>
      <c r="M7" s="13"/>
      <c r="N7" s="13"/>
      <c r="O7" s="14"/>
      <c r="P7" s="14"/>
    </row>
    <row r="8" hidden="1">
      <c r="A8" s="6" t="s">
        <v>13</v>
      </c>
      <c r="B8" s="7" t="s">
        <v>26</v>
      </c>
      <c r="C8" s="7" t="s">
        <v>27</v>
      </c>
      <c r="D8" s="7" t="s">
        <v>28</v>
      </c>
      <c r="E8" s="8">
        <v>0.0</v>
      </c>
      <c r="F8" s="9">
        <v>0.0</v>
      </c>
      <c r="G8" s="9">
        <v>0.0</v>
      </c>
      <c r="H8" s="15">
        <v>0.0</v>
      </c>
      <c r="I8" s="11">
        <v>0.0</v>
      </c>
      <c r="J8" s="12"/>
      <c r="K8" s="12">
        <f t="shared" si="1"/>
        <v>0</v>
      </c>
      <c r="L8" s="13" t="str">
        <f t="shared" si="2"/>
        <v>0 5-star + 0 RFC + 0 DME + 0 Patient Portal Login + 0 Completed Task</v>
      </c>
      <c r="M8" s="13"/>
      <c r="N8" s="13"/>
      <c r="O8" s="14"/>
      <c r="P8" s="14"/>
    </row>
    <row r="9" hidden="1">
      <c r="A9" s="6" t="s">
        <v>13</v>
      </c>
      <c r="B9" s="7" t="s">
        <v>29</v>
      </c>
      <c r="C9" s="7" t="s">
        <v>30</v>
      </c>
      <c r="D9" s="7" t="s">
        <v>31</v>
      </c>
      <c r="E9" s="8">
        <v>0.0</v>
      </c>
      <c r="F9" s="9">
        <v>0.0</v>
      </c>
      <c r="G9" s="9">
        <v>0.0</v>
      </c>
      <c r="H9" s="15">
        <v>0.0</v>
      </c>
      <c r="I9" s="11">
        <v>0.0</v>
      </c>
      <c r="J9" s="12"/>
      <c r="K9" s="12">
        <f t="shared" si="1"/>
        <v>0</v>
      </c>
      <c r="L9" s="13" t="str">
        <f t="shared" si="2"/>
        <v>0 5-star + 0 RFC + 0 DME + 0 Patient Portal Login + 0 Completed Task</v>
      </c>
      <c r="M9" s="13"/>
      <c r="N9" s="13"/>
      <c r="O9" s="14"/>
      <c r="P9" s="14"/>
    </row>
    <row r="10" hidden="1">
      <c r="A10" s="6" t="s">
        <v>13</v>
      </c>
      <c r="B10" s="7" t="s">
        <v>32</v>
      </c>
      <c r="C10" s="7" t="s">
        <v>33</v>
      </c>
      <c r="D10" s="7" t="s">
        <v>34</v>
      </c>
      <c r="E10" s="8">
        <v>0.0</v>
      </c>
      <c r="F10" s="9">
        <v>0.0</v>
      </c>
      <c r="G10" s="9">
        <v>0.0</v>
      </c>
      <c r="H10" s="15">
        <v>0.0</v>
      </c>
      <c r="I10" s="11">
        <v>0.0</v>
      </c>
      <c r="J10" s="12"/>
      <c r="K10" s="12">
        <f t="shared" si="1"/>
        <v>0</v>
      </c>
      <c r="L10" s="13" t="str">
        <f t="shared" si="2"/>
        <v>0 5-star + 0 RFC + 0 DME + 0 Patient Portal Login + 0 Completed Task</v>
      </c>
      <c r="M10" s="13"/>
      <c r="N10" s="13"/>
      <c r="O10" s="14"/>
      <c r="P10" s="14"/>
    </row>
    <row r="11" hidden="1">
      <c r="A11" s="6" t="s">
        <v>13</v>
      </c>
      <c r="B11" s="16" t="s">
        <v>35</v>
      </c>
      <c r="C11" s="16" t="s">
        <v>36</v>
      </c>
      <c r="D11" s="16" t="s">
        <v>37</v>
      </c>
      <c r="E11" s="17">
        <v>8.0</v>
      </c>
      <c r="F11" s="18">
        <v>0.0</v>
      </c>
      <c r="G11" s="18">
        <v>0.0</v>
      </c>
      <c r="H11" s="10">
        <v>0.0</v>
      </c>
      <c r="I11" s="19">
        <v>5.0</v>
      </c>
      <c r="J11" s="12"/>
      <c r="K11" s="12">
        <f t="shared" si="1"/>
        <v>3250</v>
      </c>
      <c r="L11" s="13" t="str">
        <f t="shared" si="2"/>
        <v>8 5-star + 0 RFC + 0 DME + 0 Patient Portal Login + 5 Completed Task</v>
      </c>
      <c r="M11" s="13"/>
      <c r="N11" s="13"/>
      <c r="O11" s="14"/>
      <c r="P11" s="14"/>
    </row>
    <row r="12" hidden="1">
      <c r="A12" s="6" t="s">
        <v>13</v>
      </c>
      <c r="B12" s="16" t="s">
        <v>38</v>
      </c>
      <c r="C12" s="16" t="s">
        <v>39</v>
      </c>
      <c r="D12" s="16" t="s">
        <v>40</v>
      </c>
      <c r="E12" s="17">
        <v>2.0</v>
      </c>
      <c r="F12" s="18">
        <v>0.0</v>
      </c>
      <c r="G12" s="18">
        <v>0.0</v>
      </c>
      <c r="H12" s="10">
        <v>1.0</v>
      </c>
      <c r="I12" s="19">
        <v>2.0</v>
      </c>
      <c r="J12" s="12"/>
      <c r="K12" s="12">
        <f t="shared" si="1"/>
        <v>1250</v>
      </c>
      <c r="L12" s="13" t="str">
        <f t="shared" si="2"/>
        <v>2 5-star + 0 RFC + 0 DME + 1 Patient Portal Login + 2 Completed Task</v>
      </c>
      <c r="M12" s="13"/>
      <c r="N12" s="13"/>
      <c r="O12" s="14"/>
      <c r="P12" s="14"/>
    </row>
    <row r="13" hidden="1">
      <c r="A13" s="6" t="s">
        <v>13</v>
      </c>
      <c r="B13" s="16" t="s">
        <v>41</v>
      </c>
      <c r="C13" s="16" t="s">
        <v>42</v>
      </c>
      <c r="D13" s="16" t="s">
        <v>43</v>
      </c>
      <c r="E13" s="17">
        <v>2.0</v>
      </c>
      <c r="F13" s="18">
        <v>0.0</v>
      </c>
      <c r="G13" s="18">
        <v>0.0</v>
      </c>
      <c r="H13" s="10">
        <v>4.0</v>
      </c>
      <c r="I13" s="19">
        <v>5.0</v>
      </c>
      <c r="J13" s="12"/>
      <c r="K13" s="12">
        <f t="shared" si="1"/>
        <v>2750</v>
      </c>
      <c r="L13" s="13" t="str">
        <f t="shared" si="2"/>
        <v>2 5-star + 0 RFC + 0 DME + 4 Patient Portal Login + 5 Completed Task</v>
      </c>
      <c r="M13" s="13"/>
      <c r="N13" s="13"/>
      <c r="O13" s="14"/>
      <c r="P13" s="14"/>
    </row>
    <row r="14" hidden="1">
      <c r="A14" s="6" t="s">
        <v>13</v>
      </c>
      <c r="B14" s="16" t="s">
        <v>44</v>
      </c>
      <c r="C14" s="16" t="s">
        <v>45</v>
      </c>
      <c r="D14" s="16" t="s">
        <v>46</v>
      </c>
      <c r="E14" s="17">
        <v>1.0</v>
      </c>
      <c r="F14" s="18">
        <v>0.0</v>
      </c>
      <c r="G14" s="18">
        <v>0.0</v>
      </c>
      <c r="H14" s="10">
        <v>0.0</v>
      </c>
      <c r="I14" s="19">
        <v>5.0</v>
      </c>
      <c r="J14" s="12"/>
      <c r="K14" s="12">
        <f t="shared" si="1"/>
        <v>1500</v>
      </c>
      <c r="L14" s="13" t="str">
        <f t="shared" si="2"/>
        <v>1 5-star + 0 RFC + 0 DME + 0 Patient Portal Login + 5 Completed Task</v>
      </c>
      <c r="M14" s="13"/>
      <c r="N14" s="13"/>
      <c r="O14" s="14"/>
      <c r="P14" s="14"/>
    </row>
    <row r="15" hidden="1">
      <c r="A15" s="6" t="s">
        <v>13</v>
      </c>
      <c r="B15" s="16" t="s">
        <v>47</v>
      </c>
      <c r="C15" s="16" t="s">
        <v>48</v>
      </c>
      <c r="D15" s="16" t="s">
        <v>49</v>
      </c>
      <c r="E15" s="17">
        <v>8.0</v>
      </c>
      <c r="F15" s="18">
        <v>0.0</v>
      </c>
      <c r="G15" s="18">
        <v>2.0</v>
      </c>
      <c r="H15" s="10">
        <v>12.0</v>
      </c>
      <c r="I15" s="19">
        <v>3.0</v>
      </c>
      <c r="J15" s="12"/>
      <c r="K15" s="12">
        <f t="shared" si="1"/>
        <v>6250</v>
      </c>
      <c r="L15" s="13" t="str">
        <f t="shared" si="2"/>
        <v>8 5-star + 0 RFC + 2 DME + 12 Patient Portal Login + 3 Completed Task</v>
      </c>
      <c r="M15" s="13"/>
      <c r="N15" s="13"/>
      <c r="O15" s="14"/>
      <c r="P15" s="14"/>
    </row>
    <row r="16" hidden="1">
      <c r="A16" s="6" t="s">
        <v>13</v>
      </c>
      <c r="B16" s="16" t="s">
        <v>50</v>
      </c>
      <c r="C16" s="16" t="s">
        <v>51</v>
      </c>
      <c r="D16" s="16" t="s">
        <v>52</v>
      </c>
      <c r="E16" s="8">
        <v>2.0</v>
      </c>
      <c r="F16" s="18">
        <v>3.0</v>
      </c>
      <c r="G16" s="18">
        <v>0.0</v>
      </c>
      <c r="H16" s="10">
        <v>3.0</v>
      </c>
      <c r="I16" s="19">
        <v>4.0</v>
      </c>
      <c r="J16" s="12"/>
      <c r="K16" s="12">
        <f t="shared" si="1"/>
        <v>3750</v>
      </c>
      <c r="L16" s="13" t="str">
        <f t="shared" si="2"/>
        <v>2 5-star + 3 RFC + 0 DME + 3 Patient Portal Login + 4 Completed Task</v>
      </c>
      <c r="M16" s="13"/>
      <c r="N16" s="13"/>
      <c r="O16" s="14"/>
      <c r="P16" s="14"/>
    </row>
    <row r="17" hidden="1">
      <c r="A17" s="6" t="s">
        <v>13</v>
      </c>
      <c r="B17" s="16" t="s">
        <v>53</v>
      </c>
      <c r="C17" s="16" t="s">
        <v>54</v>
      </c>
      <c r="D17" s="16" t="s">
        <v>55</v>
      </c>
      <c r="E17" s="17">
        <v>4.0</v>
      </c>
      <c r="F17" s="18">
        <v>3.0</v>
      </c>
      <c r="G17" s="18">
        <v>0.0</v>
      </c>
      <c r="H17" s="10">
        <v>4.0</v>
      </c>
      <c r="I17" s="19">
        <v>5.0</v>
      </c>
      <c r="J17" s="12"/>
      <c r="K17" s="12">
        <f t="shared" si="1"/>
        <v>4750</v>
      </c>
      <c r="L17" s="13" t="str">
        <f t="shared" si="2"/>
        <v>4 5-star + 3 RFC + 0 DME + 4 Patient Portal Login + 5 Completed Task</v>
      </c>
      <c r="M17" s="13"/>
      <c r="N17" s="13"/>
      <c r="O17" s="14"/>
      <c r="P17" s="14"/>
    </row>
    <row r="18" hidden="1">
      <c r="A18" s="6" t="s">
        <v>13</v>
      </c>
      <c r="B18" s="16" t="s">
        <v>56</v>
      </c>
      <c r="C18" s="16" t="s">
        <v>57</v>
      </c>
      <c r="D18" s="16" t="s">
        <v>58</v>
      </c>
      <c r="E18" s="17">
        <v>0.0</v>
      </c>
      <c r="F18" s="18">
        <v>4.0</v>
      </c>
      <c r="G18" s="18">
        <v>0.0</v>
      </c>
      <c r="H18" s="10">
        <v>1.0</v>
      </c>
      <c r="I18" s="19">
        <v>5.0</v>
      </c>
      <c r="J18" s="12"/>
      <c r="K18" s="12">
        <f t="shared" si="1"/>
        <v>3500</v>
      </c>
      <c r="L18" s="13" t="str">
        <f t="shared" si="2"/>
        <v>0 5-star + 4 RFC + 0 DME + 1 Patient Portal Login + 5 Completed Task</v>
      </c>
      <c r="M18" s="13"/>
      <c r="N18" s="13"/>
      <c r="O18" s="14"/>
      <c r="P18" s="14"/>
    </row>
    <row r="19" hidden="1">
      <c r="A19" s="6" t="s">
        <v>13</v>
      </c>
      <c r="B19" s="16" t="s">
        <v>59</v>
      </c>
      <c r="C19" s="16" t="s">
        <v>60</v>
      </c>
      <c r="D19" s="16" t="s">
        <v>61</v>
      </c>
      <c r="E19" s="17">
        <v>0.0</v>
      </c>
      <c r="F19" s="18">
        <v>2.0</v>
      </c>
      <c r="G19" s="18">
        <v>0.0</v>
      </c>
      <c r="H19" s="10">
        <v>0.0</v>
      </c>
      <c r="I19" s="19">
        <v>3.0</v>
      </c>
      <c r="J19" s="12"/>
      <c r="K19" s="12">
        <f t="shared" si="1"/>
        <v>1750</v>
      </c>
      <c r="L19" s="13" t="str">
        <f t="shared" si="2"/>
        <v>0 5-star + 2 RFC + 0 DME + 0 Patient Portal Login + 3 Completed Task</v>
      </c>
      <c r="M19" s="13"/>
      <c r="N19" s="13"/>
      <c r="O19" s="14"/>
      <c r="P19" s="14"/>
    </row>
    <row r="20" hidden="1">
      <c r="A20" s="6" t="s">
        <v>13</v>
      </c>
      <c r="B20" s="16" t="s">
        <v>62</v>
      </c>
      <c r="C20" s="16" t="s">
        <v>63</v>
      </c>
      <c r="D20" s="16" t="s">
        <v>64</v>
      </c>
      <c r="E20" s="17">
        <v>0.0</v>
      </c>
      <c r="F20" s="9">
        <v>1.0</v>
      </c>
      <c r="G20" s="9">
        <v>2.0</v>
      </c>
      <c r="H20" s="10">
        <v>2.0</v>
      </c>
      <c r="I20" s="19">
        <v>4.0</v>
      </c>
      <c r="J20" s="12"/>
      <c r="K20" s="12">
        <f t="shared" si="1"/>
        <v>2500</v>
      </c>
      <c r="L20" s="13" t="str">
        <f t="shared" si="2"/>
        <v>0 5-star + 1 RFC + 2 DME + 2 Patient Portal Login + 4 Completed Task</v>
      </c>
      <c r="M20" s="13"/>
      <c r="N20" s="13"/>
      <c r="O20" s="14"/>
      <c r="P20" s="14"/>
    </row>
    <row r="21" hidden="1">
      <c r="A21" s="6" t="s">
        <v>13</v>
      </c>
      <c r="B21" s="16" t="s">
        <v>65</v>
      </c>
      <c r="C21" s="16" t="s">
        <v>66</v>
      </c>
      <c r="D21" s="16" t="s">
        <v>67</v>
      </c>
      <c r="E21" s="17">
        <v>2.0</v>
      </c>
      <c r="F21" s="18">
        <v>2.0</v>
      </c>
      <c r="G21" s="9">
        <v>3.0</v>
      </c>
      <c r="H21" s="10">
        <v>0.0</v>
      </c>
      <c r="I21" s="19">
        <v>5.0</v>
      </c>
      <c r="J21" s="12"/>
      <c r="K21" s="12">
        <f t="shared" si="1"/>
        <v>3500</v>
      </c>
      <c r="L21" s="13" t="str">
        <f t="shared" si="2"/>
        <v>2 5-star + 2 RFC + 3 DME + 0 Patient Portal Login + 5 Completed Task</v>
      </c>
      <c r="M21" s="13"/>
      <c r="N21" s="13"/>
      <c r="O21" s="14"/>
      <c r="P21" s="14"/>
    </row>
    <row r="22" hidden="1">
      <c r="A22" s="6" t="s">
        <v>13</v>
      </c>
      <c r="B22" s="16" t="s">
        <v>68</v>
      </c>
      <c r="C22" s="16" t="s">
        <v>69</v>
      </c>
      <c r="D22" s="16" t="s">
        <v>70</v>
      </c>
      <c r="E22" s="17">
        <v>1.0</v>
      </c>
      <c r="F22" s="18">
        <v>0.0</v>
      </c>
      <c r="G22" s="18">
        <v>0.0</v>
      </c>
      <c r="H22" s="10">
        <v>0.0</v>
      </c>
      <c r="I22" s="19">
        <v>5.0</v>
      </c>
      <c r="J22" s="12"/>
      <c r="K22" s="12">
        <f t="shared" si="1"/>
        <v>1500</v>
      </c>
      <c r="L22" s="13" t="str">
        <f t="shared" si="2"/>
        <v>1 5-star + 0 RFC + 0 DME + 0 Patient Portal Login + 5 Completed Task</v>
      </c>
      <c r="M22" s="13"/>
      <c r="N22" s="13"/>
      <c r="O22" s="14"/>
      <c r="P22" s="14"/>
    </row>
    <row r="23" hidden="1">
      <c r="A23" s="6" t="s">
        <v>13</v>
      </c>
      <c r="B23" s="16" t="s">
        <v>71</v>
      </c>
      <c r="C23" s="16" t="s">
        <v>72</v>
      </c>
      <c r="D23" s="16" t="s">
        <v>73</v>
      </c>
      <c r="E23" s="17">
        <v>0.0</v>
      </c>
      <c r="F23" s="18">
        <v>2.0</v>
      </c>
      <c r="G23" s="9">
        <v>1.0</v>
      </c>
      <c r="H23" s="10">
        <v>2.0</v>
      </c>
      <c r="I23" s="19">
        <v>4.0</v>
      </c>
      <c r="J23" s="12"/>
      <c r="K23" s="12">
        <f t="shared" si="1"/>
        <v>2750</v>
      </c>
      <c r="L23" s="13" t="str">
        <f t="shared" si="2"/>
        <v>0 5-star + 2 RFC + 1 DME + 2 Patient Portal Login + 4 Completed Task</v>
      </c>
      <c r="M23" s="13"/>
      <c r="N23" s="13"/>
      <c r="O23" s="14"/>
      <c r="P23" s="14"/>
    </row>
    <row r="24" hidden="1">
      <c r="A24" s="6" t="s">
        <v>13</v>
      </c>
      <c r="B24" s="16" t="s">
        <v>74</v>
      </c>
      <c r="C24" s="16" t="s">
        <v>75</v>
      </c>
      <c r="D24" s="16" t="s">
        <v>76</v>
      </c>
      <c r="E24" s="17">
        <v>1.0</v>
      </c>
      <c r="F24" s="18">
        <v>0.0</v>
      </c>
      <c r="G24" s="18">
        <v>0.0</v>
      </c>
      <c r="H24" s="10">
        <v>1.0</v>
      </c>
      <c r="I24" s="19">
        <v>5.0</v>
      </c>
      <c r="J24" s="12"/>
      <c r="K24" s="12">
        <f t="shared" si="1"/>
        <v>1750</v>
      </c>
      <c r="L24" s="13" t="str">
        <f t="shared" si="2"/>
        <v>1 5-star + 0 RFC + 0 DME + 1 Patient Portal Login + 5 Completed Task</v>
      </c>
      <c r="M24" s="13"/>
      <c r="N24" s="13"/>
      <c r="O24" s="14"/>
      <c r="P24" s="14"/>
    </row>
    <row r="25" hidden="1">
      <c r="A25" s="6" t="s">
        <v>13</v>
      </c>
      <c r="B25" s="16" t="s">
        <v>77</v>
      </c>
      <c r="C25" s="16" t="s">
        <v>78</v>
      </c>
      <c r="D25" s="16" t="s">
        <v>79</v>
      </c>
      <c r="E25" s="17">
        <v>16.0</v>
      </c>
      <c r="F25" s="18">
        <v>2.0</v>
      </c>
      <c r="G25" s="18">
        <v>0.0</v>
      </c>
      <c r="H25" s="10">
        <v>0.0</v>
      </c>
      <c r="I25" s="19">
        <v>5.0</v>
      </c>
      <c r="J25" s="12"/>
      <c r="K25" s="12">
        <f t="shared" si="1"/>
        <v>6250</v>
      </c>
      <c r="L25" s="13" t="str">
        <f t="shared" si="2"/>
        <v>16 5-star + 2 RFC + 0 DME + 0 Patient Portal Login + 5 Completed Task</v>
      </c>
      <c r="M25" s="13"/>
      <c r="N25" s="13"/>
      <c r="O25" s="14"/>
      <c r="P25" s="14"/>
    </row>
    <row r="26" hidden="1">
      <c r="A26" s="6" t="s">
        <v>13</v>
      </c>
      <c r="B26" s="16" t="s">
        <v>80</v>
      </c>
      <c r="C26" s="16" t="s">
        <v>81</v>
      </c>
      <c r="D26" s="16" t="s">
        <v>82</v>
      </c>
      <c r="E26" s="17">
        <v>0.0</v>
      </c>
      <c r="F26" s="18">
        <v>0.0</v>
      </c>
      <c r="G26" s="18">
        <v>0.0</v>
      </c>
      <c r="H26" s="10">
        <v>0.0</v>
      </c>
      <c r="I26" s="19">
        <v>3.0</v>
      </c>
      <c r="J26" s="12"/>
      <c r="K26" s="12">
        <f t="shared" si="1"/>
        <v>750</v>
      </c>
      <c r="L26" s="13" t="str">
        <f t="shared" si="2"/>
        <v>0 5-star + 0 RFC + 0 DME + 0 Patient Portal Login + 3 Completed Task</v>
      </c>
      <c r="M26" s="13"/>
      <c r="N26" s="13"/>
      <c r="O26" s="14"/>
      <c r="P26" s="14"/>
    </row>
    <row r="27" hidden="1">
      <c r="A27" s="6" t="s">
        <v>13</v>
      </c>
      <c r="B27" s="7" t="s">
        <v>83</v>
      </c>
      <c r="C27" s="16" t="s">
        <v>84</v>
      </c>
      <c r="D27" s="16" t="s">
        <v>85</v>
      </c>
      <c r="E27" s="17">
        <v>0.0</v>
      </c>
      <c r="F27" s="18">
        <v>0.0</v>
      </c>
      <c r="G27" s="18">
        <v>0.0</v>
      </c>
      <c r="H27" s="10">
        <v>0.0</v>
      </c>
      <c r="I27" s="19">
        <v>3.0</v>
      </c>
      <c r="J27" s="12"/>
      <c r="K27" s="12">
        <f t="shared" si="1"/>
        <v>750</v>
      </c>
      <c r="L27" s="13" t="str">
        <f t="shared" si="2"/>
        <v>0 5-star + 0 RFC + 0 DME + 0 Patient Portal Login + 3 Completed Task</v>
      </c>
      <c r="M27" s="13"/>
      <c r="N27" s="13"/>
      <c r="O27" s="14"/>
      <c r="P27" s="14"/>
    </row>
    <row r="28" hidden="1">
      <c r="A28" s="6" t="s">
        <v>13</v>
      </c>
      <c r="B28" s="16" t="s">
        <v>86</v>
      </c>
      <c r="C28" s="16" t="s">
        <v>87</v>
      </c>
      <c r="D28" s="16" t="s">
        <v>88</v>
      </c>
      <c r="E28" s="17">
        <v>1.0</v>
      </c>
      <c r="F28" s="18">
        <v>3.0</v>
      </c>
      <c r="G28" s="18">
        <v>0.0</v>
      </c>
      <c r="H28" s="10">
        <v>9.0</v>
      </c>
      <c r="I28" s="19">
        <v>5.0</v>
      </c>
      <c r="J28" s="12"/>
      <c r="K28" s="12">
        <f t="shared" si="1"/>
        <v>5250</v>
      </c>
      <c r="L28" s="13" t="str">
        <f t="shared" si="2"/>
        <v>1 5-star + 3 RFC + 0 DME + 9 Patient Portal Login + 5 Completed Task</v>
      </c>
      <c r="M28" s="13"/>
      <c r="N28" s="13"/>
      <c r="O28" s="14"/>
      <c r="P28" s="14"/>
    </row>
    <row r="29" hidden="1">
      <c r="A29" s="6" t="s">
        <v>13</v>
      </c>
      <c r="B29" s="16" t="s">
        <v>89</v>
      </c>
      <c r="C29" s="16" t="s">
        <v>90</v>
      </c>
      <c r="D29" s="16" t="s">
        <v>91</v>
      </c>
      <c r="E29" s="17">
        <v>0.0</v>
      </c>
      <c r="F29" s="18">
        <v>2.0</v>
      </c>
      <c r="G29" s="18">
        <v>1.0</v>
      </c>
      <c r="H29" s="10">
        <v>0.0</v>
      </c>
      <c r="I29" s="19">
        <v>4.0</v>
      </c>
      <c r="J29" s="12"/>
      <c r="K29" s="12">
        <f t="shared" si="1"/>
        <v>2250</v>
      </c>
      <c r="L29" s="13" t="str">
        <f t="shared" si="2"/>
        <v>0 5-star + 2 RFC + 1 DME + 0 Patient Portal Login + 4 Completed Task</v>
      </c>
      <c r="M29" s="13"/>
      <c r="N29" s="13"/>
      <c r="O29" s="14"/>
      <c r="P29" s="14"/>
    </row>
    <row r="30" hidden="1">
      <c r="A30" s="6" t="s">
        <v>13</v>
      </c>
      <c r="B30" s="16" t="s">
        <v>92</v>
      </c>
      <c r="C30" s="16" t="s">
        <v>93</v>
      </c>
      <c r="D30" s="16" t="s">
        <v>94</v>
      </c>
      <c r="E30" s="17">
        <v>0.0</v>
      </c>
      <c r="F30" s="18">
        <v>3.0</v>
      </c>
      <c r="G30" s="18">
        <v>0.0</v>
      </c>
      <c r="H30" s="10">
        <v>5.0</v>
      </c>
      <c r="I30" s="19">
        <v>5.0</v>
      </c>
      <c r="J30" s="12"/>
      <c r="K30" s="12">
        <f t="shared" si="1"/>
        <v>4000</v>
      </c>
      <c r="L30" s="13" t="str">
        <f t="shared" si="2"/>
        <v>0 5-star + 3 RFC + 0 DME + 5 Patient Portal Login + 5 Completed Task</v>
      </c>
      <c r="M30" s="13"/>
      <c r="N30" s="13"/>
      <c r="O30" s="14"/>
      <c r="P30" s="14"/>
    </row>
    <row r="31" hidden="1">
      <c r="A31" s="6" t="s">
        <v>13</v>
      </c>
      <c r="B31" s="7" t="s">
        <v>95</v>
      </c>
      <c r="C31" s="16" t="s">
        <v>96</v>
      </c>
      <c r="D31" s="16" t="s">
        <v>97</v>
      </c>
      <c r="E31" s="17">
        <v>0.0</v>
      </c>
      <c r="F31" s="18">
        <v>1.0</v>
      </c>
      <c r="G31" s="18">
        <v>0.0</v>
      </c>
      <c r="H31" s="10">
        <v>0.0</v>
      </c>
      <c r="I31" s="19">
        <v>4.0</v>
      </c>
      <c r="J31" s="12"/>
      <c r="K31" s="12">
        <f t="shared" si="1"/>
        <v>1500</v>
      </c>
      <c r="L31" s="13" t="str">
        <f t="shared" si="2"/>
        <v>0 5-star + 1 RFC + 0 DME + 0 Patient Portal Login + 4 Completed Task</v>
      </c>
      <c r="M31" s="13"/>
      <c r="N31" s="13"/>
      <c r="O31" s="14"/>
      <c r="P31" s="14"/>
    </row>
    <row r="32" hidden="1">
      <c r="A32" s="6" t="s">
        <v>13</v>
      </c>
      <c r="B32" s="16" t="s">
        <v>98</v>
      </c>
      <c r="C32" s="16" t="s">
        <v>99</v>
      </c>
      <c r="D32" s="16" t="s">
        <v>100</v>
      </c>
      <c r="E32" s="17">
        <v>0.0</v>
      </c>
      <c r="F32" s="18">
        <v>0.0</v>
      </c>
      <c r="G32" s="18">
        <v>0.0</v>
      </c>
      <c r="H32" s="10">
        <v>1.0</v>
      </c>
      <c r="I32" s="19">
        <v>4.0</v>
      </c>
      <c r="J32" s="12"/>
      <c r="K32" s="12">
        <f t="shared" si="1"/>
        <v>1250</v>
      </c>
      <c r="L32" s="13" t="str">
        <f t="shared" si="2"/>
        <v>0 5-star + 0 RFC + 0 DME + 1 Patient Portal Login + 4 Completed Task</v>
      </c>
      <c r="M32" s="13"/>
      <c r="N32" s="13"/>
      <c r="O32" s="14"/>
      <c r="P32" s="14"/>
    </row>
    <row r="33" hidden="1">
      <c r="A33" s="6" t="s">
        <v>13</v>
      </c>
      <c r="B33" s="7" t="s">
        <v>101</v>
      </c>
      <c r="C33" s="16" t="s">
        <v>102</v>
      </c>
      <c r="D33" s="16" t="s">
        <v>103</v>
      </c>
      <c r="E33" s="17">
        <v>0.0</v>
      </c>
      <c r="F33" s="18">
        <v>0.0</v>
      </c>
      <c r="G33" s="18">
        <v>0.0</v>
      </c>
      <c r="H33" s="10">
        <v>1.0</v>
      </c>
      <c r="I33" s="19">
        <v>4.0</v>
      </c>
      <c r="J33" s="12"/>
      <c r="K33" s="12">
        <f t="shared" si="1"/>
        <v>1250</v>
      </c>
      <c r="L33" s="13" t="str">
        <f t="shared" si="2"/>
        <v>0 5-star + 0 RFC + 0 DME + 1 Patient Portal Login + 4 Completed Task</v>
      </c>
      <c r="M33" s="13"/>
      <c r="N33" s="13"/>
      <c r="O33" s="14"/>
      <c r="P33" s="14"/>
    </row>
    <row r="34" hidden="1">
      <c r="A34" s="6" t="s">
        <v>13</v>
      </c>
      <c r="B34" s="16" t="s">
        <v>104</v>
      </c>
      <c r="C34" s="16" t="s">
        <v>105</v>
      </c>
      <c r="D34" s="16" t="s">
        <v>106</v>
      </c>
      <c r="E34" s="17">
        <v>0.0</v>
      </c>
      <c r="F34" s="18">
        <v>2.0</v>
      </c>
      <c r="G34" s="18">
        <v>0.0</v>
      </c>
      <c r="H34" s="10">
        <v>2.0</v>
      </c>
      <c r="I34" s="19">
        <v>5.0</v>
      </c>
      <c r="J34" s="12"/>
      <c r="K34" s="12">
        <f t="shared" si="1"/>
        <v>2750</v>
      </c>
      <c r="L34" s="13" t="str">
        <f t="shared" si="2"/>
        <v>0 5-star + 2 RFC + 0 DME + 2 Patient Portal Login + 5 Completed Task</v>
      </c>
      <c r="M34" s="13"/>
      <c r="N34" s="13"/>
      <c r="O34" s="14"/>
      <c r="P34" s="14"/>
    </row>
    <row r="35" hidden="1">
      <c r="A35" s="6" t="s">
        <v>13</v>
      </c>
      <c r="B35" s="16" t="s">
        <v>107</v>
      </c>
      <c r="C35" s="16" t="s">
        <v>108</v>
      </c>
      <c r="D35" s="16" t="s">
        <v>109</v>
      </c>
      <c r="E35" s="17">
        <v>0.0</v>
      </c>
      <c r="F35" s="18">
        <v>0.0</v>
      </c>
      <c r="G35" s="18">
        <v>1.0</v>
      </c>
      <c r="H35" s="10">
        <v>0.0</v>
      </c>
      <c r="I35" s="19">
        <v>5.0</v>
      </c>
      <c r="J35" s="12"/>
      <c r="K35" s="12">
        <f t="shared" si="1"/>
        <v>1500</v>
      </c>
      <c r="L35" s="13" t="str">
        <f t="shared" si="2"/>
        <v>0 5-star + 0 RFC + 1 DME + 0 Patient Portal Login + 5 Completed Task</v>
      </c>
      <c r="M35" s="13"/>
      <c r="N35" s="13"/>
      <c r="O35" s="14"/>
      <c r="P35" s="14"/>
    </row>
    <row r="36" hidden="1">
      <c r="A36" s="6" t="s">
        <v>13</v>
      </c>
      <c r="B36" s="16" t="s">
        <v>110</v>
      </c>
      <c r="C36" s="16" t="s">
        <v>111</v>
      </c>
      <c r="D36" s="16" t="s">
        <v>112</v>
      </c>
      <c r="E36" s="17">
        <v>0.0</v>
      </c>
      <c r="F36" s="18">
        <v>1.0</v>
      </c>
      <c r="G36" s="18">
        <v>0.0</v>
      </c>
      <c r="H36" s="10">
        <v>1.0</v>
      </c>
      <c r="I36" s="19">
        <v>5.0</v>
      </c>
      <c r="J36" s="12"/>
      <c r="K36" s="12">
        <f t="shared" si="1"/>
        <v>2000</v>
      </c>
      <c r="L36" s="13" t="str">
        <f t="shared" si="2"/>
        <v>0 5-star + 1 RFC + 0 DME + 1 Patient Portal Login + 5 Completed Task</v>
      </c>
      <c r="M36" s="13"/>
      <c r="N36" s="13"/>
      <c r="O36" s="14"/>
      <c r="P36" s="14"/>
    </row>
    <row r="37" hidden="1">
      <c r="A37" s="6" t="s">
        <v>13</v>
      </c>
      <c r="B37" s="16" t="s">
        <v>113</v>
      </c>
      <c r="C37" s="16" t="s">
        <v>114</v>
      </c>
      <c r="D37" s="16" t="s">
        <v>115</v>
      </c>
      <c r="E37" s="17">
        <v>0.0</v>
      </c>
      <c r="F37" s="18">
        <v>2.0</v>
      </c>
      <c r="G37" s="18">
        <v>0.0</v>
      </c>
      <c r="H37" s="10">
        <v>6.0</v>
      </c>
      <c r="I37" s="19">
        <v>5.0</v>
      </c>
      <c r="J37" s="12"/>
      <c r="K37" s="12">
        <f t="shared" si="1"/>
        <v>3750</v>
      </c>
      <c r="L37" s="13" t="str">
        <f t="shared" si="2"/>
        <v>0 5-star + 2 RFC + 0 DME + 6 Patient Portal Login + 5 Completed Task</v>
      </c>
      <c r="M37" s="13"/>
      <c r="N37" s="13"/>
      <c r="O37" s="14"/>
      <c r="P37" s="14"/>
    </row>
    <row r="38" hidden="1">
      <c r="A38" s="6" t="s">
        <v>13</v>
      </c>
      <c r="B38" s="7" t="s">
        <v>116</v>
      </c>
      <c r="C38" s="16" t="s">
        <v>117</v>
      </c>
      <c r="D38" s="16" t="s">
        <v>118</v>
      </c>
      <c r="E38" s="17">
        <v>3.0</v>
      </c>
      <c r="F38" s="18">
        <v>1.0</v>
      </c>
      <c r="G38" s="18">
        <v>1.0</v>
      </c>
      <c r="H38" s="10">
        <v>2.0</v>
      </c>
      <c r="I38" s="19">
        <v>5.0</v>
      </c>
      <c r="J38" s="12"/>
      <c r="K38" s="12">
        <f t="shared" si="1"/>
        <v>3250</v>
      </c>
      <c r="L38" s="13" t="str">
        <f t="shared" si="2"/>
        <v>3 5-star + 1 RFC + 1 DME + 2 Patient Portal Login + 5 Completed Task</v>
      </c>
      <c r="M38" s="13"/>
      <c r="N38" s="13"/>
      <c r="O38" s="14"/>
      <c r="P38" s="14"/>
    </row>
    <row r="39" hidden="1">
      <c r="A39" s="6" t="s">
        <v>13</v>
      </c>
      <c r="B39" s="16" t="s">
        <v>119</v>
      </c>
      <c r="C39" s="16" t="s">
        <v>120</v>
      </c>
      <c r="D39" s="16" t="s">
        <v>121</v>
      </c>
      <c r="E39" s="17">
        <v>0.0</v>
      </c>
      <c r="F39" s="18">
        <v>1.0</v>
      </c>
      <c r="G39" s="18">
        <v>0.0</v>
      </c>
      <c r="H39" s="10">
        <v>0.0</v>
      </c>
      <c r="I39" s="19">
        <v>4.0</v>
      </c>
      <c r="J39" s="12"/>
      <c r="K39" s="12">
        <f t="shared" si="1"/>
        <v>1500</v>
      </c>
      <c r="L39" s="13" t="str">
        <f t="shared" si="2"/>
        <v>0 5-star + 1 RFC + 0 DME + 0 Patient Portal Login + 4 Completed Task</v>
      </c>
      <c r="M39" s="13"/>
      <c r="N39" s="13"/>
      <c r="O39" s="14"/>
      <c r="P39" s="14"/>
    </row>
    <row r="40" hidden="1">
      <c r="A40" s="6" t="s">
        <v>13</v>
      </c>
      <c r="B40" s="16" t="s">
        <v>122</v>
      </c>
      <c r="C40" s="16" t="s">
        <v>123</v>
      </c>
      <c r="D40" s="16" t="s">
        <v>124</v>
      </c>
      <c r="E40" s="17">
        <v>0.0</v>
      </c>
      <c r="F40" s="18">
        <v>2.0</v>
      </c>
      <c r="G40" s="18">
        <v>1.0</v>
      </c>
      <c r="H40" s="10">
        <v>2.0</v>
      </c>
      <c r="I40" s="19">
        <v>5.0</v>
      </c>
      <c r="J40" s="12"/>
      <c r="K40" s="12">
        <f t="shared" si="1"/>
        <v>3000</v>
      </c>
      <c r="L40" s="13" t="str">
        <f> E40 &amp; " 5-star + " &amp; F40 &amp; " RFC + " &amp; G39 &amp; " DME + " &amp; H40 &amp; " Patient Portal Login + " &amp; I40 &amp; " Completed Task"
</f>
        <v>0 5-star + 2 RFC + 0 DME + 2 Patient Portal Login + 5 Completed Task</v>
      </c>
      <c r="M40" s="13"/>
      <c r="N40" s="13"/>
      <c r="O40" s="14"/>
      <c r="P40" s="14"/>
    </row>
    <row r="41" hidden="1">
      <c r="A41" s="6" t="s">
        <v>13</v>
      </c>
      <c r="B41" s="16" t="s">
        <v>125</v>
      </c>
      <c r="C41" s="16" t="s">
        <v>126</v>
      </c>
      <c r="D41" s="16" t="s">
        <v>127</v>
      </c>
      <c r="E41" s="17">
        <v>1.0</v>
      </c>
      <c r="F41" s="18">
        <v>4.0</v>
      </c>
      <c r="G41" s="18">
        <v>0.0</v>
      </c>
      <c r="H41" s="10">
        <v>0.0</v>
      </c>
      <c r="I41" s="19">
        <v>5.0</v>
      </c>
      <c r="J41" s="12"/>
      <c r="K41" s="12">
        <f t="shared" si="1"/>
        <v>3500</v>
      </c>
      <c r="L41" s="13" t="str">
        <f t="shared" ref="L41:L52" si="3"> E41 &amp; " 5-star + " &amp; F41 &amp; " RFC + " &amp; G41 &amp; " DME + " &amp; H41 &amp; " Patient Portal Login + " &amp; I41 &amp; " Completed Task"
</f>
        <v>1 5-star + 4 RFC + 0 DME + 0 Patient Portal Login + 5 Completed Task</v>
      </c>
      <c r="M41" s="13"/>
      <c r="N41" s="13"/>
      <c r="O41" s="14"/>
      <c r="P41" s="14"/>
    </row>
    <row r="42" hidden="1">
      <c r="A42" s="6" t="s">
        <v>13</v>
      </c>
      <c r="B42" s="16" t="s">
        <v>128</v>
      </c>
      <c r="C42" s="16" t="s">
        <v>129</v>
      </c>
      <c r="D42" s="16" t="s">
        <v>130</v>
      </c>
      <c r="E42" s="17">
        <v>0.0</v>
      </c>
      <c r="F42" s="18">
        <v>0.0</v>
      </c>
      <c r="G42" s="18">
        <v>0.0</v>
      </c>
      <c r="H42" s="10">
        <v>3.0</v>
      </c>
      <c r="I42" s="19">
        <v>5.0</v>
      </c>
      <c r="J42" s="12"/>
      <c r="K42" s="12">
        <f t="shared" si="1"/>
        <v>2000</v>
      </c>
      <c r="L42" s="13" t="str">
        <f t="shared" si="3"/>
        <v>0 5-star + 0 RFC + 0 DME + 3 Patient Portal Login + 5 Completed Task</v>
      </c>
      <c r="M42" s="13"/>
      <c r="N42" s="13"/>
      <c r="O42" s="14"/>
      <c r="P42" s="14"/>
    </row>
    <row r="43" hidden="1">
      <c r="A43" s="6" t="s">
        <v>13</v>
      </c>
      <c r="B43" s="16" t="s">
        <v>131</v>
      </c>
      <c r="C43" s="16" t="s">
        <v>132</v>
      </c>
      <c r="D43" s="16" t="s">
        <v>133</v>
      </c>
      <c r="E43" s="17">
        <v>16.0</v>
      </c>
      <c r="F43" s="18">
        <v>0.0</v>
      </c>
      <c r="G43" s="18">
        <v>1.0</v>
      </c>
      <c r="H43" s="10">
        <v>5.0</v>
      </c>
      <c r="I43" s="19">
        <v>5.0</v>
      </c>
      <c r="J43" s="12"/>
      <c r="K43" s="12">
        <f t="shared" si="1"/>
        <v>6750</v>
      </c>
      <c r="L43" s="13" t="str">
        <f t="shared" si="3"/>
        <v>16 5-star + 0 RFC + 1 DME + 5 Patient Portal Login + 5 Completed Task</v>
      </c>
      <c r="M43" s="13"/>
      <c r="N43" s="13"/>
      <c r="O43" s="14"/>
      <c r="P43" s="14"/>
    </row>
    <row r="44" hidden="1">
      <c r="A44" s="6" t="s">
        <v>13</v>
      </c>
      <c r="B44" s="16" t="s">
        <v>134</v>
      </c>
      <c r="C44" s="16" t="s">
        <v>135</v>
      </c>
      <c r="D44" s="16" t="s">
        <v>136</v>
      </c>
      <c r="E44" s="17">
        <v>0.0</v>
      </c>
      <c r="F44" s="18">
        <v>0.0</v>
      </c>
      <c r="G44" s="18">
        <v>0.0</v>
      </c>
      <c r="H44" s="10">
        <v>0.0</v>
      </c>
      <c r="I44" s="19">
        <v>2.0</v>
      </c>
      <c r="J44" s="12"/>
      <c r="K44" s="12">
        <f t="shared" si="1"/>
        <v>500</v>
      </c>
      <c r="L44" s="13" t="str">
        <f t="shared" si="3"/>
        <v>0 5-star + 0 RFC + 0 DME + 0 Patient Portal Login + 2 Completed Task</v>
      </c>
      <c r="M44" s="13"/>
      <c r="N44" s="13"/>
      <c r="O44" s="14"/>
      <c r="P44" s="14"/>
    </row>
    <row r="45" hidden="1">
      <c r="A45" s="6" t="s">
        <v>13</v>
      </c>
      <c r="B45" s="16" t="s">
        <v>137</v>
      </c>
      <c r="C45" s="16" t="s">
        <v>138</v>
      </c>
      <c r="D45" s="16" t="s">
        <v>139</v>
      </c>
      <c r="E45" s="17">
        <v>0.0</v>
      </c>
      <c r="F45" s="18">
        <v>2.0</v>
      </c>
      <c r="G45" s="18">
        <v>0.0</v>
      </c>
      <c r="H45" s="10">
        <v>15.0</v>
      </c>
      <c r="I45" s="19">
        <v>5.0</v>
      </c>
      <c r="J45" s="12"/>
      <c r="K45" s="12">
        <f t="shared" si="1"/>
        <v>6000</v>
      </c>
      <c r="L45" s="13" t="str">
        <f t="shared" si="3"/>
        <v>0 5-star + 2 RFC + 0 DME + 15 Patient Portal Login + 5 Completed Task</v>
      </c>
      <c r="M45" s="13"/>
      <c r="N45" s="13"/>
      <c r="O45" s="14"/>
      <c r="P45" s="14"/>
    </row>
    <row r="46" hidden="1">
      <c r="A46" s="6" t="s">
        <v>13</v>
      </c>
      <c r="B46" s="16" t="s">
        <v>140</v>
      </c>
      <c r="C46" s="16" t="s">
        <v>141</v>
      </c>
      <c r="D46" s="16" t="s">
        <v>142</v>
      </c>
      <c r="E46" s="17">
        <v>10.0</v>
      </c>
      <c r="F46" s="18">
        <v>0.0</v>
      </c>
      <c r="G46" s="18">
        <v>0.0</v>
      </c>
      <c r="H46" s="10">
        <v>3.0</v>
      </c>
      <c r="I46" s="19">
        <v>5.0</v>
      </c>
      <c r="J46" s="12"/>
      <c r="K46" s="12">
        <f t="shared" si="1"/>
        <v>4500</v>
      </c>
      <c r="L46" s="13" t="str">
        <f t="shared" si="3"/>
        <v>10 5-star + 0 RFC + 0 DME + 3 Patient Portal Login + 5 Completed Task</v>
      </c>
      <c r="M46" s="13"/>
      <c r="N46" s="13"/>
      <c r="O46" s="14"/>
      <c r="P46" s="14"/>
    </row>
    <row r="47" hidden="1">
      <c r="A47" s="6" t="s">
        <v>13</v>
      </c>
      <c r="B47" s="16" t="s">
        <v>143</v>
      </c>
      <c r="C47" s="16" t="s">
        <v>144</v>
      </c>
      <c r="D47" s="16" t="s">
        <v>145</v>
      </c>
      <c r="E47" s="17">
        <v>0.0</v>
      </c>
      <c r="F47" s="18">
        <v>2.0</v>
      </c>
      <c r="G47" s="18">
        <v>0.0</v>
      </c>
      <c r="H47" s="10">
        <v>0.0</v>
      </c>
      <c r="I47" s="19">
        <v>5.0</v>
      </c>
      <c r="J47" s="12"/>
      <c r="K47" s="12">
        <f t="shared" si="1"/>
        <v>2250</v>
      </c>
      <c r="L47" s="13" t="str">
        <f t="shared" si="3"/>
        <v>0 5-star + 2 RFC + 0 DME + 0 Patient Portal Login + 5 Completed Task</v>
      </c>
      <c r="M47" s="13"/>
      <c r="N47" s="13"/>
      <c r="O47" s="14"/>
      <c r="P47" s="14"/>
    </row>
    <row r="48" hidden="1">
      <c r="A48" s="6" t="s">
        <v>13</v>
      </c>
      <c r="B48" s="16" t="s">
        <v>146</v>
      </c>
      <c r="C48" s="16" t="s">
        <v>147</v>
      </c>
      <c r="D48" s="16" t="s">
        <v>148</v>
      </c>
      <c r="E48" s="17">
        <v>0.0</v>
      </c>
      <c r="F48" s="18">
        <v>2.0</v>
      </c>
      <c r="G48" s="18">
        <v>0.0</v>
      </c>
      <c r="H48" s="10">
        <v>0.0</v>
      </c>
      <c r="I48" s="19">
        <v>5.0</v>
      </c>
      <c r="J48" s="12"/>
      <c r="K48" s="12">
        <f t="shared" si="1"/>
        <v>2250</v>
      </c>
      <c r="L48" s="13" t="str">
        <f t="shared" si="3"/>
        <v>0 5-star + 2 RFC + 0 DME + 0 Patient Portal Login + 5 Completed Task</v>
      </c>
      <c r="M48" s="13"/>
      <c r="N48" s="13"/>
      <c r="O48" s="14"/>
      <c r="P48" s="14"/>
    </row>
    <row r="49" hidden="1">
      <c r="A49" s="6" t="s">
        <v>13</v>
      </c>
      <c r="B49" s="16" t="s">
        <v>149</v>
      </c>
      <c r="C49" s="16" t="s">
        <v>150</v>
      </c>
      <c r="D49" s="16" t="s">
        <v>151</v>
      </c>
      <c r="E49" s="17">
        <v>0.0</v>
      </c>
      <c r="F49" s="18">
        <v>1.0</v>
      </c>
      <c r="G49" s="18">
        <v>1.0</v>
      </c>
      <c r="H49" s="10">
        <v>0.0</v>
      </c>
      <c r="I49" s="19">
        <v>5.0</v>
      </c>
      <c r="J49" s="12"/>
      <c r="K49" s="12">
        <f t="shared" si="1"/>
        <v>2000</v>
      </c>
      <c r="L49" s="13" t="str">
        <f t="shared" si="3"/>
        <v>0 5-star + 1 RFC + 1 DME + 0 Patient Portal Login + 5 Completed Task</v>
      </c>
      <c r="M49" s="13"/>
      <c r="N49" s="13"/>
      <c r="O49" s="14"/>
      <c r="P49" s="14"/>
    </row>
    <row r="50" hidden="1">
      <c r="A50" s="6" t="s">
        <v>13</v>
      </c>
      <c r="B50" s="16" t="s">
        <v>152</v>
      </c>
      <c r="C50" s="16" t="s">
        <v>153</v>
      </c>
      <c r="D50" s="16" t="s">
        <v>154</v>
      </c>
      <c r="E50" s="17">
        <v>0.0</v>
      </c>
      <c r="F50" s="18">
        <v>0.0</v>
      </c>
      <c r="G50" s="18">
        <v>0.0</v>
      </c>
      <c r="H50" s="10">
        <v>0.0</v>
      </c>
      <c r="I50" s="19">
        <v>5.0</v>
      </c>
      <c r="J50" s="12"/>
      <c r="K50" s="12">
        <f t="shared" si="1"/>
        <v>1250</v>
      </c>
      <c r="L50" s="13" t="str">
        <f t="shared" si="3"/>
        <v>0 5-star + 0 RFC + 0 DME + 0 Patient Portal Login + 5 Completed Task</v>
      </c>
      <c r="M50" s="13"/>
      <c r="N50" s="13"/>
      <c r="O50" s="14"/>
      <c r="P50" s="14"/>
    </row>
    <row r="51" hidden="1">
      <c r="A51" s="6" t="s">
        <v>13</v>
      </c>
      <c r="B51" s="16" t="s">
        <v>155</v>
      </c>
      <c r="C51" s="16" t="s">
        <v>156</v>
      </c>
      <c r="D51" s="16" t="s">
        <v>157</v>
      </c>
      <c r="E51" s="17">
        <v>3.0</v>
      </c>
      <c r="F51" s="18">
        <v>2.0</v>
      </c>
      <c r="G51" s="18">
        <v>0.0</v>
      </c>
      <c r="H51" s="10">
        <v>2.0</v>
      </c>
      <c r="I51" s="19">
        <v>5.0</v>
      </c>
      <c r="J51" s="12"/>
      <c r="K51" s="12">
        <f t="shared" si="1"/>
        <v>3500</v>
      </c>
      <c r="L51" s="13" t="str">
        <f t="shared" si="3"/>
        <v>3 5-star + 2 RFC + 0 DME + 2 Patient Portal Login + 5 Completed Task</v>
      </c>
      <c r="M51" s="13"/>
      <c r="N51" s="13"/>
      <c r="O51" s="14"/>
      <c r="P51" s="14"/>
    </row>
    <row r="52" hidden="1">
      <c r="A52" s="6" t="s">
        <v>13</v>
      </c>
      <c r="B52" s="16" t="s">
        <v>158</v>
      </c>
      <c r="C52" s="16" t="s">
        <v>159</v>
      </c>
      <c r="D52" s="16" t="s">
        <v>160</v>
      </c>
      <c r="E52" s="17">
        <v>1.0</v>
      </c>
      <c r="F52" s="18">
        <v>0.0</v>
      </c>
      <c r="G52" s="18">
        <v>0.0</v>
      </c>
      <c r="H52" s="10">
        <v>6.0</v>
      </c>
      <c r="I52" s="19">
        <v>5.0</v>
      </c>
      <c r="J52" s="12"/>
      <c r="K52" s="12">
        <f t="shared" si="1"/>
        <v>3000</v>
      </c>
      <c r="L52" s="13" t="str">
        <f t="shared" si="3"/>
        <v>1 5-star + 0 RFC + 0 DME + 6 Patient Portal Login + 5 Completed Task</v>
      </c>
      <c r="M52" s="13"/>
      <c r="N52" s="13"/>
      <c r="O52" s="14"/>
      <c r="P52" s="14"/>
    </row>
    <row r="53" hidden="1">
      <c r="A53" s="6" t="s">
        <v>13</v>
      </c>
      <c r="B53" s="20" t="s">
        <v>161</v>
      </c>
      <c r="C53" s="20" t="s">
        <v>162</v>
      </c>
      <c r="D53" s="20" t="s">
        <v>163</v>
      </c>
      <c r="E53" s="17">
        <v>0.0</v>
      </c>
      <c r="F53" s="18">
        <v>1.0</v>
      </c>
      <c r="G53" s="18">
        <v>0.0</v>
      </c>
      <c r="H53" s="10">
        <v>2.0</v>
      </c>
      <c r="I53" s="19">
        <v>5.0</v>
      </c>
      <c r="J53" s="12"/>
      <c r="K53" s="12">
        <f t="shared" si="1"/>
        <v>2250</v>
      </c>
      <c r="L53" s="13" t="str">
        <f> E53 &amp; " 5-star + " &amp; E40 &amp; " RFC + " &amp; G53 &amp; " DME + " &amp; H53 &amp; " Patient Portal Login + " &amp; I53 &amp; " Completed Task"
</f>
        <v>0 5-star + 0 RFC + 0 DME + 2 Patient Portal Login + 5 Completed Task</v>
      </c>
      <c r="M53" s="13"/>
      <c r="N53" s="13"/>
      <c r="O53" s="14"/>
      <c r="P53" s="14"/>
    </row>
    <row r="54" hidden="1">
      <c r="A54" s="6" t="s">
        <v>13</v>
      </c>
      <c r="B54" s="20" t="s">
        <v>164</v>
      </c>
      <c r="C54" s="20" t="s">
        <v>165</v>
      </c>
      <c r="D54" s="20" t="s">
        <v>166</v>
      </c>
      <c r="E54" s="17">
        <v>1.0</v>
      </c>
      <c r="F54" s="18">
        <v>0.0</v>
      </c>
      <c r="G54" s="18">
        <v>0.0</v>
      </c>
      <c r="H54" s="10">
        <v>1.0</v>
      </c>
      <c r="I54" s="19">
        <v>5.0</v>
      </c>
      <c r="J54" s="12"/>
      <c r="K54" s="12">
        <f t="shared" si="1"/>
        <v>1750</v>
      </c>
      <c r="L54" s="13" t="str">
        <f t="shared" ref="L54:L95" si="4"> E54 &amp; " 5-star + " &amp; F54 &amp; " RFC + " &amp; G54 &amp; " DME + " &amp; H54 &amp; " Patient Portal Login + " &amp; I54 &amp; " Completed Task"
</f>
        <v>1 5-star + 0 RFC + 0 DME + 1 Patient Portal Login + 5 Completed Task</v>
      </c>
      <c r="M54" s="13"/>
      <c r="N54" s="13"/>
      <c r="O54" s="14"/>
      <c r="P54" s="14"/>
    </row>
    <row r="55" hidden="1">
      <c r="A55" s="6" t="s">
        <v>13</v>
      </c>
      <c r="B55" s="20" t="s">
        <v>167</v>
      </c>
      <c r="C55" s="20" t="s">
        <v>168</v>
      </c>
      <c r="D55" s="20" t="s">
        <v>169</v>
      </c>
      <c r="E55" s="17">
        <v>0.0</v>
      </c>
      <c r="F55" s="18">
        <v>2.0</v>
      </c>
      <c r="G55" s="18">
        <v>1.0</v>
      </c>
      <c r="H55" s="10">
        <v>7.0</v>
      </c>
      <c r="I55" s="19">
        <v>5.0</v>
      </c>
      <c r="J55" s="12"/>
      <c r="K55" s="12">
        <f t="shared" si="1"/>
        <v>4250</v>
      </c>
      <c r="L55" s="13" t="str">
        <f t="shared" si="4"/>
        <v>0 5-star + 2 RFC + 1 DME + 7 Patient Portal Login + 5 Completed Task</v>
      </c>
      <c r="M55" s="13"/>
      <c r="N55" s="13"/>
      <c r="O55" s="14"/>
      <c r="P55" s="14"/>
    </row>
    <row r="56" hidden="1">
      <c r="A56" s="6" t="s">
        <v>13</v>
      </c>
      <c r="B56" s="20" t="s">
        <v>170</v>
      </c>
      <c r="C56" s="20" t="s">
        <v>171</v>
      </c>
      <c r="D56" s="20" t="s">
        <v>172</v>
      </c>
      <c r="E56" s="17">
        <v>0.0</v>
      </c>
      <c r="F56" s="18">
        <v>0.0</v>
      </c>
      <c r="G56" s="18">
        <v>0.0</v>
      </c>
      <c r="H56" s="10">
        <v>7.0</v>
      </c>
      <c r="I56" s="19">
        <v>5.0</v>
      </c>
      <c r="J56" s="12"/>
      <c r="K56" s="12">
        <f t="shared" si="1"/>
        <v>3000</v>
      </c>
      <c r="L56" s="13" t="str">
        <f t="shared" si="4"/>
        <v>0 5-star + 0 RFC + 0 DME + 7 Patient Portal Login + 5 Completed Task</v>
      </c>
      <c r="M56" s="13"/>
      <c r="N56" s="13"/>
      <c r="O56" s="14"/>
      <c r="P56" s="14"/>
    </row>
    <row r="57" hidden="1">
      <c r="A57" s="6" t="s">
        <v>13</v>
      </c>
      <c r="B57" s="16" t="s">
        <v>173</v>
      </c>
      <c r="C57" s="16" t="s">
        <v>174</v>
      </c>
      <c r="D57" s="16" t="s">
        <v>175</v>
      </c>
      <c r="E57" s="17">
        <v>5.0</v>
      </c>
      <c r="F57" s="18">
        <v>1.0</v>
      </c>
      <c r="G57" s="18">
        <v>0.0</v>
      </c>
      <c r="H57" s="10">
        <v>3.0</v>
      </c>
      <c r="I57" s="19">
        <v>5.0</v>
      </c>
      <c r="J57" s="12"/>
      <c r="K57" s="12">
        <f t="shared" si="1"/>
        <v>3750</v>
      </c>
      <c r="L57" s="13" t="str">
        <f t="shared" si="4"/>
        <v>5 5-star + 1 RFC + 0 DME + 3 Patient Portal Login + 5 Completed Task</v>
      </c>
      <c r="M57" s="13"/>
      <c r="N57" s="13"/>
      <c r="O57" s="14"/>
      <c r="P57" s="14"/>
    </row>
    <row r="58" hidden="1">
      <c r="A58" s="6" t="s">
        <v>13</v>
      </c>
      <c r="B58" s="16" t="s">
        <v>176</v>
      </c>
      <c r="C58" s="16" t="s">
        <v>177</v>
      </c>
      <c r="D58" s="16" t="s">
        <v>178</v>
      </c>
      <c r="E58" s="17">
        <v>0.0</v>
      </c>
      <c r="F58" s="18">
        <v>0.0</v>
      </c>
      <c r="G58" s="18">
        <v>0.0</v>
      </c>
      <c r="H58" s="10">
        <v>1.0</v>
      </c>
      <c r="I58" s="19">
        <v>5.0</v>
      </c>
      <c r="J58" s="12"/>
      <c r="K58" s="12">
        <f t="shared" si="1"/>
        <v>1500</v>
      </c>
      <c r="L58" s="13" t="str">
        <f t="shared" si="4"/>
        <v>0 5-star + 0 RFC + 0 DME + 1 Patient Portal Login + 5 Completed Task</v>
      </c>
      <c r="M58" s="13"/>
      <c r="N58" s="13"/>
      <c r="O58" s="14"/>
      <c r="P58" s="14"/>
    </row>
    <row r="59" hidden="1">
      <c r="A59" s="6" t="s">
        <v>13</v>
      </c>
      <c r="B59" s="21" t="s">
        <v>179</v>
      </c>
      <c r="C59" s="21" t="s">
        <v>180</v>
      </c>
      <c r="D59" s="21" t="s">
        <v>181</v>
      </c>
      <c r="E59" s="22">
        <v>0.0</v>
      </c>
      <c r="F59" s="18">
        <v>7.0</v>
      </c>
      <c r="G59" s="18">
        <v>1.0</v>
      </c>
      <c r="H59" s="10">
        <v>2.0</v>
      </c>
      <c r="I59" s="19">
        <v>5.0</v>
      </c>
      <c r="J59" s="12"/>
      <c r="K59" s="12">
        <f t="shared" si="1"/>
        <v>5500</v>
      </c>
      <c r="L59" s="13" t="str">
        <f t="shared" si="4"/>
        <v>0 5-star + 7 RFC + 1 DME + 2 Patient Portal Login + 5 Completed Task</v>
      </c>
      <c r="M59" s="13"/>
      <c r="N59" s="13"/>
      <c r="O59" s="23"/>
      <c r="P59" s="23"/>
    </row>
    <row r="60" hidden="1">
      <c r="A60" s="6" t="s">
        <v>13</v>
      </c>
      <c r="B60" s="21" t="s">
        <v>182</v>
      </c>
      <c r="C60" s="21" t="s">
        <v>183</v>
      </c>
      <c r="D60" s="21" t="s">
        <v>184</v>
      </c>
      <c r="E60" s="17">
        <v>0.0</v>
      </c>
      <c r="F60" s="18">
        <v>0.0</v>
      </c>
      <c r="G60" s="18">
        <v>0.0</v>
      </c>
      <c r="H60" s="10">
        <v>0.0</v>
      </c>
      <c r="I60" s="19">
        <v>4.0</v>
      </c>
      <c r="J60" s="12"/>
      <c r="K60" s="12">
        <f t="shared" si="1"/>
        <v>1000</v>
      </c>
      <c r="L60" s="13" t="str">
        <f t="shared" si="4"/>
        <v>0 5-star + 0 RFC + 0 DME + 0 Patient Portal Login + 4 Completed Task</v>
      </c>
      <c r="M60" s="13"/>
      <c r="N60" s="13"/>
      <c r="O60" s="23"/>
      <c r="P60" s="23"/>
    </row>
    <row r="61" hidden="1">
      <c r="A61" s="6" t="s">
        <v>13</v>
      </c>
      <c r="B61" s="21" t="s">
        <v>185</v>
      </c>
      <c r="C61" s="21" t="s">
        <v>186</v>
      </c>
      <c r="D61" s="21" t="s">
        <v>187</v>
      </c>
      <c r="E61" s="8">
        <v>31.0</v>
      </c>
      <c r="F61" s="18">
        <v>1.0</v>
      </c>
      <c r="G61" s="18">
        <v>1.0</v>
      </c>
      <c r="H61" s="10">
        <v>6.0</v>
      </c>
      <c r="I61" s="19">
        <v>5.0</v>
      </c>
      <c r="J61" s="12"/>
      <c r="K61" s="12">
        <f t="shared" si="1"/>
        <v>11250</v>
      </c>
      <c r="L61" s="13" t="str">
        <f t="shared" si="4"/>
        <v>31 5-star + 1 RFC + 1 DME + 6 Patient Portal Login + 5 Completed Task</v>
      </c>
      <c r="M61" s="13"/>
      <c r="N61" s="13"/>
      <c r="O61" s="23"/>
      <c r="P61" s="23"/>
    </row>
    <row r="62" hidden="1">
      <c r="A62" s="6" t="s">
        <v>13</v>
      </c>
      <c r="B62" s="21" t="s">
        <v>188</v>
      </c>
      <c r="C62" s="21" t="s">
        <v>189</v>
      </c>
      <c r="D62" s="21" t="s">
        <v>190</v>
      </c>
      <c r="E62" s="17">
        <v>0.0</v>
      </c>
      <c r="F62" s="18">
        <v>0.0</v>
      </c>
      <c r="G62" s="18">
        <v>0.0</v>
      </c>
      <c r="H62" s="10">
        <v>2.0</v>
      </c>
      <c r="I62" s="19">
        <v>4.0</v>
      </c>
      <c r="J62" s="12"/>
      <c r="K62" s="12">
        <f t="shared" si="1"/>
        <v>1500</v>
      </c>
      <c r="L62" s="13" t="str">
        <f t="shared" si="4"/>
        <v>0 5-star + 0 RFC + 0 DME + 2 Patient Portal Login + 4 Completed Task</v>
      </c>
      <c r="M62" s="13"/>
      <c r="N62" s="13"/>
      <c r="O62" s="23"/>
      <c r="P62" s="23"/>
    </row>
    <row r="63" hidden="1">
      <c r="A63" s="6" t="s">
        <v>13</v>
      </c>
      <c r="B63" s="21" t="s">
        <v>191</v>
      </c>
      <c r="C63" s="21" t="s">
        <v>192</v>
      </c>
      <c r="D63" s="21" t="s">
        <v>193</v>
      </c>
      <c r="E63" s="17">
        <v>0.0</v>
      </c>
      <c r="F63" s="18">
        <v>0.0</v>
      </c>
      <c r="G63" s="18">
        <v>0.0</v>
      </c>
      <c r="H63" s="10">
        <v>0.0</v>
      </c>
      <c r="I63" s="19">
        <v>5.0</v>
      </c>
      <c r="J63" s="12"/>
      <c r="K63" s="12">
        <f t="shared" si="1"/>
        <v>1250</v>
      </c>
      <c r="L63" s="13" t="str">
        <f t="shared" si="4"/>
        <v>0 5-star + 0 RFC + 0 DME + 0 Patient Portal Login + 5 Completed Task</v>
      </c>
      <c r="M63" s="13"/>
      <c r="N63" s="13"/>
      <c r="O63" s="23"/>
      <c r="P63" s="23"/>
    </row>
    <row r="64" hidden="1">
      <c r="A64" s="6" t="s">
        <v>13</v>
      </c>
      <c r="B64" s="21" t="s">
        <v>194</v>
      </c>
      <c r="C64" s="21" t="s">
        <v>195</v>
      </c>
      <c r="D64" s="21" t="s">
        <v>196</v>
      </c>
      <c r="E64" s="17">
        <v>0.0</v>
      </c>
      <c r="F64" s="18">
        <v>1.0</v>
      </c>
      <c r="G64" s="18">
        <v>0.0</v>
      </c>
      <c r="H64" s="10">
        <v>0.0</v>
      </c>
      <c r="I64" s="19">
        <v>4.0</v>
      </c>
      <c r="J64" s="12"/>
      <c r="K64" s="12">
        <f t="shared" si="1"/>
        <v>1500</v>
      </c>
      <c r="L64" s="13" t="str">
        <f t="shared" si="4"/>
        <v>0 5-star + 1 RFC + 0 DME + 0 Patient Portal Login + 4 Completed Task</v>
      </c>
      <c r="M64" s="13"/>
      <c r="N64" s="13"/>
      <c r="O64" s="23"/>
      <c r="P64" s="23"/>
    </row>
    <row r="65" hidden="1">
      <c r="A65" s="6" t="s">
        <v>13</v>
      </c>
      <c r="B65" s="21" t="s">
        <v>197</v>
      </c>
      <c r="C65" s="21" t="s">
        <v>198</v>
      </c>
      <c r="D65" s="21" t="s">
        <v>199</v>
      </c>
      <c r="E65" s="17">
        <v>1.0</v>
      </c>
      <c r="F65" s="18">
        <v>0.0</v>
      </c>
      <c r="G65" s="18">
        <v>0.0</v>
      </c>
      <c r="H65" s="10">
        <v>3.0</v>
      </c>
      <c r="I65" s="19">
        <v>4.0</v>
      </c>
      <c r="J65" s="12"/>
      <c r="K65" s="12">
        <f t="shared" si="1"/>
        <v>2000</v>
      </c>
      <c r="L65" s="13" t="str">
        <f t="shared" si="4"/>
        <v>1 5-star + 0 RFC + 0 DME + 3 Patient Portal Login + 4 Completed Task</v>
      </c>
      <c r="M65" s="13"/>
      <c r="N65" s="13"/>
      <c r="O65" s="23"/>
      <c r="P65" s="23"/>
    </row>
    <row r="66" hidden="1">
      <c r="A66" s="6" t="s">
        <v>13</v>
      </c>
      <c r="B66" s="21" t="s">
        <v>200</v>
      </c>
      <c r="C66" s="21" t="s">
        <v>201</v>
      </c>
      <c r="D66" s="21" t="s">
        <v>202</v>
      </c>
      <c r="E66" s="17">
        <v>0.0</v>
      </c>
      <c r="F66" s="18">
        <v>0.0</v>
      </c>
      <c r="G66" s="18">
        <v>0.0</v>
      </c>
      <c r="H66" s="10">
        <v>3.0</v>
      </c>
      <c r="I66" s="19">
        <v>4.0</v>
      </c>
      <c r="J66" s="12"/>
      <c r="K66" s="12">
        <f t="shared" si="1"/>
        <v>1750</v>
      </c>
      <c r="L66" s="13" t="str">
        <f t="shared" si="4"/>
        <v>0 5-star + 0 RFC + 0 DME + 3 Patient Portal Login + 4 Completed Task</v>
      </c>
      <c r="M66" s="13"/>
      <c r="N66" s="13"/>
      <c r="O66" s="23"/>
      <c r="P66" s="23"/>
    </row>
    <row r="67" hidden="1">
      <c r="A67" s="6" t="s">
        <v>203</v>
      </c>
      <c r="B67" s="16" t="s">
        <v>35</v>
      </c>
      <c r="C67" s="16" t="s">
        <v>36</v>
      </c>
      <c r="D67" s="16" t="s">
        <v>37</v>
      </c>
      <c r="E67" s="17">
        <v>16.0</v>
      </c>
      <c r="F67" s="18">
        <v>0.0</v>
      </c>
      <c r="G67" s="18">
        <v>0.0</v>
      </c>
      <c r="H67" s="10">
        <v>3.0</v>
      </c>
      <c r="I67" s="19">
        <v>4.0</v>
      </c>
      <c r="J67" s="12"/>
      <c r="K67" s="12">
        <f t="shared" si="1"/>
        <v>5750</v>
      </c>
      <c r="L67" s="13" t="str">
        <f t="shared" si="4"/>
        <v>16 5-star + 0 RFC + 0 DME + 3 Patient Portal Login + 4 Completed Task</v>
      </c>
      <c r="M67" s="13"/>
      <c r="N67" s="13"/>
      <c r="O67" s="14"/>
      <c r="P67" s="14"/>
    </row>
    <row r="68" hidden="1">
      <c r="A68" s="6" t="s">
        <v>203</v>
      </c>
      <c r="B68" s="16" t="s">
        <v>38</v>
      </c>
      <c r="C68" s="16" t="s">
        <v>39</v>
      </c>
      <c r="D68" s="16" t="s">
        <v>40</v>
      </c>
      <c r="E68" s="17">
        <v>0.0</v>
      </c>
      <c r="F68" s="18">
        <v>0.0</v>
      </c>
      <c r="G68" s="18">
        <v>0.0</v>
      </c>
      <c r="H68" s="10">
        <v>1.0</v>
      </c>
      <c r="I68" s="19">
        <v>1.0</v>
      </c>
      <c r="J68" s="12"/>
      <c r="K68" s="12">
        <f t="shared" si="1"/>
        <v>500</v>
      </c>
      <c r="L68" s="13" t="str">
        <f t="shared" si="4"/>
        <v>0 5-star + 0 RFC + 0 DME + 1 Patient Portal Login + 1 Completed Task</v>
      </c>
      <c r="M68" s="13"/>
      <c r="N68" s="13"/>
      <c r="O68" s="14"/>
      <c r="P68" s="14"/>
    </row>
    <row r="69" hidden="1">
      <c r="A69" s="6" t="s">
        <v>203</v>
      </c>
      <c r="B69" s="16" t="s">
        <v>41</v>
      </c>
      <c r="C69" s="16" t="s">
        <v>42</v>
      </c>
      <c r="D69" s="16" t="s">
        <v>43</v>
      </c>
      <c r="E69" s="17">
        <v>0.0</v>
      </c>
      <c r="F69" s="18">
        <v>2.0</v>
      </c>
      <c r="G69" s="18">
        <v>0.0</v>
      </c>
      <c r="H69" s="10">
        <v>2.0</v>
      </c>
      <c r="I69" s="19">
        <v>5.0</v>
      </c>
      <c r="J69" s="12"/>
      <c r="K69" s="12">
        <f t="shared" si="1"/>
        <v>2750</v>
      </c>
      <c r="L69" s="13" t="str">
        <f t="shared" si="4"/>
        <v>0 5-star + 2 RFC + 0 DME + 2 Patient Portal Login + 5 Completed Task</v>
      </c>
      <c r="M69" s="13"/>
      <c r="N69" s="13"/>
      <c r="O69" s="14"/>
      <c r="P69" s="14"/>
    </row>
    <row r="70" hidden="1">
      <c r="A70" s="6" t="s">
        <v>203</v>
      </c>
      <c r="B70" s="16" t="s">
        <v>44</v>
      </c>
      <c r="C70" s="16" t="s">
        <v>45</v>
      </c>
      <c r="D70" s="16" t="s">
        <v>46</v>
      </c>
      <c r="E70" s="17">
        <v>1.0</v>
      </c>
      <c r="F70" s="18">
        <v>0.0</v>
      </c>
      <c r="G70" s="18">
        <v>0.0</v>
      </c>
      <c r="H70" s="10">
        <v>0.0</v>
      </c>
      <c r="I70" s="19">
        <v>3.0</v>
      </c>
      <c r="J70" s="12"/>
      <c r="K70" s="12">
        <f t="shared" si="1"/>
        <v>1000</v>
      </c>
      <c r="L70" s="13" t="str">
        <f t="shared" si="4"/>
        <v>1 5-star + 0 RFC + 0 DME + 0 Patient Portal Login + 3 Completed Task</v>
      </c>
      <c r="M70" s="13"/>
      <c r="N70" s="13"/>
      <c r="O70" s="14"/>
      <c r="P70" s="14"/>
    </row>
    <row r="71" hidden="1">
      <c r="A71" s="6" t="s">
        <v>203</v>
      </c>
      <c r="B71" s="16" t="s">
        <v>47</v>
      </c>
      <c r="C71" s="16" t="s">
        <v>48</v>
      </c>
      <c r="D71" s="16" t="s">
        <v>49</v>
      </c>
      <c r="E71" s="17">
        <v>4.0</v>
      </c>
      <c r="F71" s="18">
        <v>2.0</v>
      </c>
      <c r="G71" s="18">
        <v>0.0</v>
      </c>
      <c r="H71" s="10">
        <v>4.0</v>
      </c>
      <c r="I71" s="19">
        <v>3.0</v>
      </c>
      <c r="J71" s="12"/>
      <c r="K71" s="12">
        <f t="shared" si="1"/>
        <v>3750</v>
      </c>
      <c r="L71" s="13" t="str">
        <f t="shared" si="4"/>
        <v>4 5-star + 2 RFC + 0 DME + 4 Patient Portal Login + 3 Completed Task</v>
      </c>
      <c r="M71" s="13"/>
      <c r="N71" s="13"/>
      <c r="O71" s="14"/>
      <c r="P71" s="14"/>
    </row>
    <row r="72" hidden="1">
      <c r="A72" s="6" t="s">
        <v>203</v>
      </c>
      <c r="B72" s="16" t="s">
        <v>50</v>
      </c>
      <c r="C72" s="16" t="s">
        <v>51</v>
      </c>
      <c r="D72" s="16" t="s">
        <v>52</v>
      </c>
      <c r="E72" s="8">
        <v>2.0</v>
      </c>
      <c r="F72" s="18">
        <v>2.0</v>
      </c>
      <c r="G72" s="18">
        <v>0.0</v>
      </c>
      <c r="H72" s="10">
        <v>6.0</v>
      </c>
      <c r="I72" s="19">
        <v>4.0</v>
      </c>
      <c r="J72" s="12"/>
      <c r="K72" s="12">
        <f t="shared" si="1"/>
        <v>4000</v>
      </c>
      <c r="L72" s="13" t="str">
        <f t="shared" si="4"/>
        <v>2 5-star + 2 RFC + 0 DME + 6 Patient Portal Login + 4 Completed Task</v>
      </c>
      <c r="M72" s="13"/>
      <c r="N72" s="13"/>
      <c r="O72" s="14"/>
      <c r="P72" s="14"/>
    </row>
    <row r="73" hidden="1">
      <c r="A73" s="6" t="s">
        <v>203</v>
      </c>
      <c r="B73" s="16" t="s">
        <v>53</v>
      </c>
      <c r="C73" s="16" t="s">
        <v>54</v>
      </c>
      <c r="D73" s="16" t="s">
        <v>55</v>
      </c>
      <c r="E73" s="17">
        <v>7.0</v>
      </c>
      <c r="F73" s="18">
        <v>3.0</v>
      </c>
      <c r="G73" s="18">
        <v>0.0</v>
      </c>
      <c r="H73" s="10">
        <v>4.0</v>
      </c>
      <c r="I73" s="19">
        <v>4.0</v>
      </c>
      <c r="J73" s="12"/>
      <c r="K73" s="12">
        <f t="shared" si="1"/>
        <v>5250</v>
      </c>
      <c r="L73" s="13" t="str">
        <f t="shared" si="4"/>
        <v>7 5-star + 3 RFC + 0 DME + 4 Patient Portal Login + 4 Completed Task</v>
      </c>
      <c r="M73" s="13"/>
      <c r="N73" s="13"/>
      <c r="O73" s="14"/>
      <c r="P73" s="14"/>
    </row>
    <row r="74" hidden="1">
      <c r="A74" s="6" t="s">
        <v>203</v>
      </c>
      <c r="B74" s="16" t="s">
        <v>56</v>
      </c>
      <c r="C74" s="16" t="s">
        <v>57</v>
      </c>
      <c r="D74" s="16" t="s">
        <v>58</v>
      </c>
      <c r="E74" s="17">
        <v>0.0</v>
      </c>
      <c r="F74" s="18">
        <v>1.0</v>
      </c>
      <c r="G74" s="18">
        <v>0.0</v>
      </c>
      <c r="H74" s="10">
        <v>0.0</v>
      </c>
      <c r="I74" s="19">
        <v>5.0</v>
      </c>
      <c r="J74" s="12"/>
      <c r="K74" s="12">
        <f t="shared" si="1"/>
        <v>1750</v>
      </c>
      <c r="L74" s="13" t="str">
        <f t="shared" si="4"/>
        <v>0 5-star + 1 RFC + 0 DME + 0 Patient Portal Login + 5 Completed Task</v>
      </c>
      <c r="M74" s="13"/>
      <c r="N74" s="13"/>
      <c r="O74" s="14"/>
      <c r="P74" s="14"/>
    </row>
    <row r="75" hidden="1">
      <c r="A75" s="6" t="s">
        <v>203</v>
      </c>
      <c r="B75" s="16" t="s">
        <v>59</v>
      </c>
      <c r="C75" s="16" t="s">
        <v>60</v>
      </c>
      <c r="D75" s="16" t="s">
        <v>61</v>
      </c>
      <c r="E75" s="17">
        <v>0.0</v>
      </c>
      <c r="F75" s="18">
        <v>2.0</v>
      </c>
      <c r="G75" s="18">
        <v>0.0</v>
      </c>
      <c r="H75" s="10">
        <v>0.0</v>
      </c>
      <c r="I75" s="19">
        <v>4.0</v>
      </c>
      <c r="J75" s="12"/>
      <c r="K75" s="12">
        <f t="shared" si="1"/>
        <v>2000</v>
      </c>
      <c r="L75" s="13" t="str">
        <f t="shared" si="4"/>
        <v>0 5-star + 2 RFC + 0 DME + 0 Patient Portal Login + 4 Completed Task</v>
      </c>
      <c r="M75" s="13"/>
      <c r="N75" s="13"/>
      <c r="O75" s="14"/>
      <c r="P75" s="14"/>
    </row>
    <row r="76" hidden="1">
      <c r="A76" s="6" t="s">
        <v>203</v>
      </c>
      <c r="B76" s="16" t="s">
        <v>62</v>
      </c>
      <c r="C76" s="16" t="s">
        <v>63</v>
      </c>
      <c r="D76" s="16" t="s">
        <v>64</v>
      </c>
      <c r="E76" s="17">
        <v>0.0</v>
      </c>
      <c r="F76" s="18">
        <v>1.0</v>
      </c>
      <c r="G76" s="18">
        <v>1.0</v>
      </c>
      <c r="H76" s="10">
        <v>2.0</v>
      </c>
      <c r="I76" s="19">
        <v>4.0</v>
      </c>
      <c r="J76" s="12"/>
      <c r="K76" s="12">
        <f t="shared" si="1"/>
        <v>2250</v>
      </c>
      <c r="L76" s="13" t="str">
        <f t="shared" si="4"/>
        <v>0 5-star + 1 RFC + 1 DME + 2 Patient Portal Login + 4 Completed Task</v>
      </c>
      <c r="M76" s="13"/>
      <c r="N76" s="13"/>
      <c r="O76" s="14"/>
      <c r="P76" s="14"/>
    </row>
    <row r="77" hidden="1">
      <c r="A77" s="6" t="s">
        <v>203</v>
      </c>
      <c r="B77" s="16" t="s">
        <v>65</v>
      </c>
      <c r="C77" s="16" t="s">
        <v>66</v>
      </c>
      <c r="D77" s="16" t="s">
        <v>67</v>
      </c>
      <c r="E77" s="17">
        <v>1.0</v>
      </c>
      <c r="F77" s="18">
        <v>2.0</v>
      </c>
      <c r="G77" s="18">
        <v>0.0</v>
      </c>
      <c r="H77" s="10">
        <v>1.0</v>
      </c>
      <c r="I77" s="19">
        <v>4.0</v>
      </c>
      <c r="J77" s="12"/>
      <c r="K77" s="12">
        <f t="shared" si="1"/>
        <v>2500</v>
      </c>
      <c r="L77" s="13" t="str">
        <f t="shared" si="4"/>
        <v>1 5-star + 2 RFC + 0 DME + 1 Patient Portal Login + 4 Completed Task</v>
      </c>
      <c r="M77" s="13"/>
      <c r="N77" s="13"/>
      <c r="O77" s="14"/>
      <c r="P77" s="14"/>
    </row>
    <row r="78" hidden="1">
      <c r="A78" s="6" t="s">
        <v>203</v>
      </c>
      <c r="B78" s="16" t="s">
        <v>68</v>
      </c>
      <c r="C78" s="16" t="s">
        <v>69</v>
      </c>
      <c r="D78" s="16" t="s">
        <v>70</v>
      </c>
      <c r="E78" s="17">
        <v>0.0</v>
      </c>
      <c r="F78" s="18">
        <v>2.0</v>
      </c>
      <c r="G78" s="18">
        <v>0.0</v>
      </c>
      <c r="H78" s="10">
        <v>1.0</v>
      </c>
      <c r="I78" s="19">
        <v>5.0</v>
      </c>
      <c r="J78" s="12"/>
      <c r="K78" s="12">
        <f t="shared" si="1"/>
        <v>2500</v>
      </c>
      <c r="L78" s="13" t="str">
        <f t="shared" si="4"/>
        <v>0 5-star + 2 RFC + 0 DME + 1 Patient Portal Login + 5 Completed Task</v>
      </c>
      <c r="M78" s="13"/>
      <c r="N78" s="13"/>
      <c r="O78" s="14"/>
      <c r="P78" s="14"/>
    </row>
    <row r="79" hidden="1">
      <c r="A79" s="6" t="s">
        <v>203</v>
      </c>
      <c r="B79" s="16" t="s">
        <v>71</v>
      </c>
      <c r="C79" s="16" t="s">
        <v>72</v>
      </c>
      <c r="D79" s="16" t="s">
        <v>73</v>
      </c>
      <c r="E79" s="17">
        <v>0.0</v>
      </c>
      <c r="F79" s="18">
        <v>2.0</v>
      </c>
      <c r="G79" s="18">
        <v>0.0</v>
      </c>
      <c r="H79" s="10">
        <v>3.0</v>
      </c>
      <c r="I79" s="19">
        <v>5.0</v>
      </c>
      <c r="J79" s="12"/>
      <c r="K79" s="12">
        <f t="shared" si="1"/>
        <v>3000</v>
      </c>
      <c r="L79" s="13" t="str">
        <f t="shared" si="4"/>
        <v>0 5-star + 2 RFC + 0 DME + 3 Patient Portal Login + 5 Completed Task</v>
      </c>
      <c r="M79" s="13"/>
      <c r="N79" s="13"/>
      <c r="O79" s="14"/>
      <c r="P79" s="14"/>
    </row>
    <row r="80" hidden="1">
      <c r="A80" s="6" t="s">
        <v>203</v>
      </c>
      <c r="B80" s="16" t="s">
        <v>74</v>
      </c>
      <c r="C80" s="16" t="s">
        <v>75</v>
      </c>
      <c r="D80" s="16" t="s">
        <v>76</v>
      </c>
      <c r="E80" s="17">
        <v>0.0</v>
      </c>
      <c r="F80" s="18">
        <v>0.0</v>
      </c>
      <c r="G80" s="18">
        <v>0.0</v>
      </c>
      <c r="H80" s="10">
        <v>4.0</v>
      </c>
      <c r="I80" s="19">
        <v>4.0</v>
      </c>
      <c r="J80" s="12"/>
      <c r="K80" s="12">
        <f t="shared" si="1"/>
        <v>2000</v>
      </c>
      <c r="L80" s="13" t="str">
        <f t="shared" si="4"/>
        <v>0 5-star + 0 RFC + 0 DME + 4 Patient Portal Login + 4 Completed Task</v>
      </c>
      <c r="M80" s="13"/>
      <c r="N80" s="13"/>
      <c r="O80" s="14"/>
      <c r="P80" s="14"/>
    </row>
    <row r="81" hidden="1">
      <c r="A81" s="6" t="s">
        <v>203</v>
      </c>
      <c r="B81" s="16" t="s">
        <v>77</v>
      </c>
      <c r="C81" s="16" t="s">
        <v>78</v>
      </c>
      <c r="D81" s="16" t="s">
        <v>79</v>
      </c>
      <c r="E81" s="17">
        <v>25.0</v>
      </c>
      <c r="F81" s="18">
        <v>4.0</v>
      </c>
      <c r="G81" s="18">
        <v>0.0</v>
      </c>
      <c r="H81" s="10">
        <v>1.0</v>
      </c>
      <c r="I81" s="19">
        <v>4.0</v>
      </c>
      <c r="J81" s="12"/>
      <c r="K81" s="12">
        <f t="shared" si="1"/>
        <v>9500</v>
      </c>
      <c r="L81" s="13" t="str">
        <f t="shared" si="4"/>
        <v>25 5-star + 4 RFC + 0 DME + 1 Patient Portal Login + 4 Completed Task</v>
      </c>
      <c r="M81" s="13"/>
      <c r="N81" s="13"/>
      <c r="O81" s="14"/>
      <c r="P81" s="14"/>
    </row>
    <row r="82" hidden="1">
      <c r="A82" s="6" t="s">
        <v>203</v>
      </c>
      <c r="B82" s="16" t="s">
        <v>80</v>
      </c>
      <c r="C82" s="16" t="s">
        <v>81</v>
      </c>
      <c r="D82" s="16" t="s">
        <v>82</v>
      </c>
      <c r="E82" s="17">
        <v>1.0</v>
      </c>
      <c r="F82" s="18">
        <v>0.0</v>
      </c>
      <c r="G82" s="18">
        <v>0.0</v>
      </c>
      <c r="H82" s="10">
        <v>0.0</v>
      </c>
      <c r="I82" s="19">
        <v>4.0</v>
      </c>
      <c r="J82" s="12"/>
      <c r="K82" s="12">
        <f t="shared" si="1"/>
        <v>1250</v>
      </c>
      <c r="L82" s="13" t="str">
        <f t="shared" si="4"/>
        <v>1 5-star + 0 RFC + 0 DME + 0 Patient Portal Login + 4 Completed Task</v>
      </c>
      <c r="M82" s="13"/>
      <c r="N82" s="13"/>
      <c r="O82" s="14"/>
      <c r="P82" s="14"/>
    </row>
    <row r="83" hidden="1">
      <c r="A83" s="6" t="s">
        <v>203</v>
      </c>
      <c r="B83" s="7" t="s">
        <v>83</v>
      </c>
      <c r="C83" s="16" t="s">
        <v>84</v>
      </c>
      <c r="D83" s="16" t="s">
        <v>85</v>
      </c>
      <c r="E83" s="17">
        <v>0.0</v>
      </c>
      <c r="F83" s="18">
        <v>0.0</v>
      </c>
      <c r="G83" s="18">
        <v>0.0</v>
      </c>
      <c r="H83" s="10">
        <v>0.0</v>
      </c>
      <c r="I83" s="19">
        <v>3.0</v>
      </c>
      <c r="J83" s="12"/>
      <c r="K83" s="12">
        <f t="shared" si="1"/>
        <v>750</v>
      </c>
      <c r="L83" s="13" t="str">
        <f t="shared" si="4"/>
        <v>0 5-star + 0 RFC + 0 DME + 0 Patient Portal Login + 3 Completed Task</v>
      </c>
      <c r="M83" s="13"/>
      <c r="N83" s="13"/>
      <c r="O83" s="14"/>
      <c r="P83" s="14"/>
    </row>
    <row r="84" hidden="1">
      <c r="A84" s="6" t="s">
        <v>203</v>
      </c>
      <c r="B84" s="16" t="s">
        <v>86</v>
      </c>
      <c r="C84" s="16" t="s">
        <v>87</v>
      </c>
      <c r="D84" s="16" t="s">
        <v>88</v>
      </c>
      <c r="E84" s="17">
        <v>0.0</v>
      </c>
      <c r="F84" s="18">
        <v>6.0</v>
      </c>
      <c r="G84" s="18">
        <v>0.0</v>
      </c>
      <c r="H84" s="10">
        <v>7.0</v>
      </c>
      <c r="I84" s="19">
        <v>5.0</v>
      </c>
      <c r="J84" s="12"/>
      <c r="K84" s="12">
        <f t="shared" si="1"/>
        <v>6000</v>
      </c>
      <c r="L84" s="13" t="str">
        <f t="shared" si="4"/>
        <v>0 5-star + 6 RFC + 0 DME + 7 Patient Portal Login + 5 Completed Task</v>
      </c>
      <c r="M84" s="13"/>
      <c r="N84" s="13"/>
      <c r="O84" s="14"/>
      <c r="P84" s="14"/>
    </row>
    <row r="85" hidden="1">
      <c r="A85" s="6" t="s">
        <v>203</v>
      </c>
      <c r="B85" s="16" t="s">
        <v>89</v>
      </c>
      <c r="C85" s="16" t="s">
        <v>90</v>
      </c>
      <c r="D85" s="16" t="s">
        <v>91</v>
      </c>
      <c r="E85" s="17">
        <v>0.0</v>
      </c>
      <c r="F85" s="18">
        <v>3.0</v>
      </c>
      <c r="G85" s="18">
        <v>0.0</v>
      </c>
      <c r="H85" s="10">
        <v>1.0</v>
      </c>
      <c r="I85" s="19">
        <v>5.0</v>
      </c>
      <c r="J85" s="12"/>
      <c r="K85" s="12">
        <f t="shared" si="1"/>
        <v>3000</v>
      </c>
      <c r="L85" s="13" t="str">
        <f t="shared" si="4"/>
        <v>0 5-star + 3 RFC + 0 DME + 1 Patient Portal Login + 5 Completed Task</v>
      </c>
      <c r="M85" s="13"/>
      <c r="N85" s="13"/>
      <c r="O85" s="14"/>
      <c r="P85" s="14"/>
    </row>
    <row r="86" hidden="1">
      <c r="A86" s="6" t="s">
        <v>203</v>
      </c>
      <c r="B86" s="16" t="s">
        <v>92</v>
      </c>
      <c r="C86" s="16" t="s">
        <v>93</v>
      </c>
      <c r="D86" s="16" t="s">
        <v>94</v>
      </c>
      <c r="E86" s="17">
        <v>1.0</v>
      </c>
      <c r="F86" s="18">
        <v>4.0</v>
      </c>
      <c r="G86" s="18">
        <v>0.0</v>
      </c>
      <c r="H86" s="10">
        <v>4.0</v>
      </c>
      <c r="I86" s="19">
        <v>5.0</v>
      </c>
      <c r="J86" s="12"/>
      <c r="K86" s="12">
        <f t="shared" si="1"/>
        <v>4500</v>
      </c>
      <c r="L86" s="13" t="str">
        <f t="shared" si="4"/>
        <v>1 5-star + 4 RFC + 0 DME + 4 Patient Portal Login + 5 Completed Task</v>
      </c>
      <c r="M86" s="13"/>
      <c r="N86" s="13"/>
      <c r="O86" s="14"/>
      <c r="P86" s="14"/>
    </row>
    <row r="87" hidden="1">
      <c r="A87" s="6" t="s">
        <v>203</v>
      </c>
      <c r="B87" s="7" t="s">
        <v>95</v>
      </c>
      <c r="C87" s="16" t="s">
        <v>96</v>
      </c>
      <c r="D87" s="16" t="s">
        <v>97</v>
      </c>
      <c r="E87" s="17">
        <v>1.0</v>
      </c>
      <c r="F87" s="18">
        <v>2.0</v>
      </c>
      <c r="G87" s="18">
        <v>0.0</v>
      </c>
      <c r="H87" s="10">
        <v>2.0</v>
      </c>
      <c r="I87" s="19">
        <v>5.0</v>
      </c>
      <c r="J87" s="12"/>
      <c r="K87" s="12">
        <f t="shared" si="1"/>
        <v>3000</v>
      </c>
      <c r="L87" s="13" t="str">
        <f t="shared" si="4"/>
        <v>1 5-star + 2 RFC + 0 DME + 2 Patient Portal Login + 5 Completed Task</v>
      </c>
      <c r="M87" s="13"/>
      <c r="N87" s="13"/>
      <c r="O87" s="14"/>
      <c r="P87" s="14"/>
    </row>
    <row r="88" hidden="1">
      <c r="A88" s="6" t="s">
        <v>203</v>
      </c>
      <c r="B88" s="16" t="s">
        <v>98</v>
      </c>
      <c r="C88" s="16" t="s">
        <v>99</v>
      </c>
      <c r="D88" s="16" t="s">
        <v>100</v>
      </c>
      <c r="E88" s="17">
        <v>0.0</v>
      </c>
      <c r="F88" s="18">
        <v>0.0</v>
      </c>
      <c r="G88" s="18">
        <v>0.0</v>
      </c>
      <c r="H88" s="10">
        <v>1.0</v>
      </c>
      <c r="I88" s="19">
        <v>4.0</v>
      </c>
      <c r="J88" s="12"/>
      <c r="K88" s="12">
        <f t="shared" si="1"/>
        <v>1250</v>
      </c>
      <c r="L88" s="13" t="str">
        <f t="shared" si="4"/>
        <v>0 5-star + 0 RFC + 0 DME + 1 Patient Portal Login + 4 Completed Task</v>
      </c>
      <c r="M88" s="13"/>
      <c r="N88" s="13"/>
      <c r="O88" s="14"/>
      <c r="P88" s="14"/>
    </row>
    <row r="89" hidden="1">
      <c r="A89" s="6" t="s">
        <v>203</v>
      </c>
      <c r="B89" s="7" t="s">
        <v>101</v>
      </c>
      <c r="C89" s="16" t="s">
        <v>102</v>
      </c>
      <c r="D89" s="16" t="s">
        <v>103</v>
      </c>
      <c r="E89" s="17">
        <v>1.0</v>
      </c>
      <c r="F89" s="18">
        <v>0.0</v>
      </c>
      <c r="G89" s="18">
        <v>2.0</v>
      </c>
      <c r="H89" s="10">
        <v>0.0</v>
      </c>
      <c r="I89" s="19">
        <v>4.0</v>
      </c>
      <c r="J89" s="12"/>
      <c r="K89" s="12">
        <f t="shared" si="1"/>
        <v>1750</v>
      </c>
      <c r="L89" s="13" t="str">
        <f t="shared" si="4"/>
        <v>1 5-star + 0 RFC + 2 DME + 0 Patient Portal Login + 4 Completed Task</v>
      </c>
      <c r="M89" s="13"/>
      <c r="N89" s="13"/>
      <c r="O89" s="14"/>
      <c r="P89" s="14"/>
    </row>
    <row r="90" hidden="1">
      <c r="A90" s="6" t="s">
        <v>203</v>
      </c>
      <c r="B90" s="16" t="s">
        <v>104</v>
      </c>
      <c r="C90" s="16" t="s">
        <v>105</v>
      </c>
      <c r="D90" s="16" t="s">
        <v>106</v>
      </c>
      <c r="E90" s="17">
        <v>0.0</v>
      </c>
      <c r="F90" s="18">
        <v>2.0</v>
      </c>
      <c r="G90" s="18">
        <v>0.0</v>
      </c>
      <c r="H90" s="10">
        <v>6.0</v>
      </c>
      <c r="I90" s="19">
        <v>5.0</v>
      </c>
      <c r="J90" s="12"/>
      <c r="K90" s="12">
        <f t="shared" si="1"/>
        <v>3750</v>
      </c>
      <c r="L90" s="13" t="str">
        <f t="shared" si="4"/>
        <v>0 5-star + 2 RFC + 0 DME + 6 Patient Portal Login + 5 Completed Task</v>
      </c>
      <c r="M90" s="13"/>
      <c r="N90" s="13"/>
      <c r="O90" s="14"/>
      <c r="P90" s="14"/>
    </row>
    <row r="91" hidden="1">
      <c r="A91" s="6" t="s">
        <v>203</v>
      </c>
      <c r="B91" s="16" t="s">
        <v>107</v>
      </c>
      <c r="C91" s="16" t="s">
        <v>108</v>
      </c>
      <c r="D91" s="16" t="s">
        <v>109</v>
      </c>
      <c r="E91" s="17">
        <v>0.0</v>
      </c>
      <c r="F91" s="18">
        <v>4.0</v>
      </c>
      <c r="G91" s="18">
        <v>0.0</v>
      </c>
      <c r="H91" s="10">
        <v>2.0</v>
      </c>
      <c r="I91" s="19">
        <v>4.0</v>
      </c>
      <c r="J91" s="12"/>
      <c r="K91" s="12">
        <f t="shared" si="1"/>
        <v>3500</v>
      </c>
      <c r="L91" s="13" t="str">
        <f t="shared" si="4"/>
        <v>0 5-star + 4 RFC + 0 DME + 2 Patient Portal Login + 4 Completed Task</v>
      </c>
      <c r="M91" s="13"/>
      <c r="N91" s="13"/>
      <c r="O91" s="14"/>
      <c r="P91" s="14"/>
    </row>
    <row r="92" hidden="1">
      <c r="A92" s="6" t="s">
        <v>203</v>
      </c>
      <c r="B92" s="16" t="s">
        <v>110</v>
      </c>
      <c r="C92" s="16" t="s">
        <v>111</v>
      </c>
      <c r="D92" s="16" t="s">
        <v>112</v>
      </c>
      <c r="E92" s="17">
        <v>0.0</v>
      </c>
      <c r="F92" s="18">
        <v>4.0</v>
      </c>
      <c r="G92" s="18">
        <v>0.0</v>
      </c>
      <c r="H92" s="10">
        <v>4.0</v>
      </c>
      <c r="I92" s="19">
        <v>5.0</v>
      </c>
      <c r="J92" s="12"/>
      <c r="K92" s="12">
        <f t="shared" si="1"/>
        <v>4250</v>
      </c>
      <c r="L92" s="13" t="str">
        <f t="shared" si="4"/>
        <v>0 5-star + 4 RFC + 0 DME + 4 Patient Portal Login + 5 Completed Task</v>
      </c>
      <c r="M92" s="13"/>
      <c r="N92" s="13"/>
      <c r="O92" s="14"/>
      <c r="P92" s="14"/>
    </row>
    <row r="93" hidden="1">
      <c r="A93" s="6" t="s">
        <v>203</v>
      </c>
      <c r="B93" s="16" t="s">
        <v>113</v>
      </c>
      <c r="C93" s="16" t="s">
        <v>114</v>
      </c>
      <c r="D93" s="16" t="s">
        <v>115</v>
      </c>
      <c r="E93" s="17">
        <v>0.0</v>
      </c>
      <c r="F93" s="18">
        <v>0.0</v>
      </c>
      <c r="G93" s="18">
        <v>0.0</v>
      </c>
      <c r="H93" s="10">
        <v>27.0</v>
      </c>
      <c r="I93" s="19">
        <v>5.0</v>
      </c>
      <c r="J93" s="12"/>
      <c r="K93" s="12">
        <f t="shared" si="1"/>
        <v>8000</v>
      </c>
      <c r="L93" s="13" t="str">
        <f t="shared" si="4"/>
        <v>0 5-star + 0 RFC + 0 DME + 27 Patient Portal Login + 5 Completed Task</v>
      </c>
      <c r="M93" s="13"/>
      <c r="N93" s="13"/>
      <c r="O93" s="14"/>
      <c r="P93" s="14"/>
    </row>
    <row r="94" hidden="1">
      <c r="A94" s="6" t="s">
        <v>203</v>
      </c>
      <c r="B94" s="7" t="s">
        <v>116</v>
      </c>
      <c r="C94" s="16" t="s">
        <v>117</v>
      </c>
      <c r="D94" s="16" t="s">
        <v>118</v>
      </c>
      <c r="E94" s="17">
        <v>0.0</v>
      </c>
      <c r="F94" s="18">
        <v>0.0</v>
      </c>
      <c r="G94" s="18">
        <v>0.0</v>
      </c>
      <c r="H94" s="10">
        <v>4.0</v>
      </c>
      <c r="I94" s="19">
        <v>5.0</v>
      </c>
      <c r="J94" s="12"/>
      <c r="K94" s="12">
        <f t="shared" si="1"/>
        <v>2250</v>
      </c>
      <c r="L94" s="13" t="str">
        <f t="shared" si="4"/>
        <v>0 5-star + 0 RFC + 0 DME + 4 Patient Portal Login + 5 Completed Task</v>
      </c>
      <c r="M94" s="13"/>
      <c r="N94" s="13"/>
      <c r="O94" s="14"/>
      <c r="P94" s="14"/>
    </row>
    <row r="95" hidden="1">
      <c r="A95" s="6" t="s">
        <v>203</v>
      </c>
      <c r="B95" s="16" t="s">
        <v>119</v>
      </c>
      <c r="C95" s="16" t="s">
        <v>120</v>
      </c>
      <c r="D95" s="16" t="s">
        <v>121</v>
      </c>
      <c r="E95" s="17">
        <v>0.0</v>
      </c>
      <c r="F95" s="18">
        <v>1.0</v>
      </c>
      <c r="G95" s="18">
        <v>2.0</v>
      </c>
      <c r="H95" s="10">
        <v>0.0</v>
      </c>
      <c r="I95" s="19">
        <v>2.0</v>
      </c>
      <c r="J95" s="12"/>
      <c r="K95" s="12">
        <f t="shared" si="1"/>
        <v>1500</v>
      </c>
      <c r="L95" s="13" t="str">
        <f t="shared" si="4"/>
        <v>0 5-star + 1 RFC + 2 DME + 0 Patient Portal Login + 2 Completed Task</v>
      </c>
      <c r="M95" s="13"/>
      <c r="N95" s="13"/>
      <c r="O95" s="14"/>
      <c r="P95" s="14"/>
    </row>
    <row r="96" hidden="1">
      <c r="A96" s="6" t="s">
        <v>203</v>
      </c>
      <c r="B96" s="16" t="s">
        <v>122</v>
      </c>
      <c r="C96" s="16" t="s">
        <v>123</v>
      </c>
      <c r="D96" s="16" t="s">
        <v>124</v>
      </c>
      <c r="E96" s="17">
        <v>0.0</v>
      </c>
      <c r="F96" s="18">
        <v>0.0</v>
      </c>
      <c r="G96" s="18">
        <v>0.0</v>
      </c>
      <c r="H96" s="10">
        <v>0.0</v>
      </c>
      <c r="I96" s="19">
        <v>4.0</v>
      </c>
      <c r="J96" s="12"/>
      <c r="K96" s="12">
        <f t="shared" si="1"/>
        <v>1000</v>
      </c>
      <c r="L96" s="13" t="str">
        <f> E96 &amp; " 5-star + " &amp; F96 &amp; " RFC + " &amp; G95 &amp; " DME + " &amp; H96 &amp; " Patient Portal Login + " &amp; I96 &amp; " Completed Task"
</f>
        <v>0 5-star + 0 RFC + 2 DME + 0 Patient Portal Login + 4 Completed Task</v>
      </c>
      <c r="M96" s="13"/>
      <c r="N96" s="13"/>
      <c r="O96" s="14"/>
      <c r="P96" s="14"/>
    </row>
    <row r="97" hidden="1">
      <c r="A97" s="6" t="s">
        <v>203</v>
      </c>
      <c r="B97" s="16" t="s">
        <v>125</v>
      </c>
      <c r="C97" s="16" t="s">
        <v>126</v>
      </c>
      <c r="D97" s="16" t="s">
        <v>127</v>
      </c>
      <c r="E97" s="17">
        <v>0.0</v>
      </c>
      <c r="F97" s="18">
        <v>0.0</v>
      </c>
      <c r="G97" s="18">
        <v>0.0</v>
      </c>
      <c r="H97" s="10">
        <v>0.0</v>
      </c>
      <c r="I97" s="19">
        <v>5.0</v>
      </c>
      <c r="J97" s="12"/>
      <c r="K97" s="12">
        <f t="shared" si="1"/>
        <v>1250</v>
      </c>
      <c r="L97" s="13" t="str">
        <f t="shared" ref="L97:L108" si="5"> E97 &amp; " 5-star + " &amp; F97 &amp; " RFC + " &amp; G97 &amp; " DME + " &amp; H97 &amp; " Patient Portal Login + " &amp; I97 &amp; " Completed Task"
</f>
        <v>0 5-star + 0 RFC + 0 DME + 0 Patient Portal Login + 5 Completed Task</v>
      </c>
      <c r="M97" s="13"/>
      <c r="N97" s="13"/>
      <c r="O97" s="14"/>
      <c r="P97" s="14"/>
    </row>
    <row r="98" hidden="1">
      <c r="A98" s="6" t="s">
        <v>203</v>
      </c>
      <c r="B98" s="16" t="s">
        <v>128</v>
      </c>
      <c r="C98" s="16" t="s">
        <v>129</v>
      </c>
      <c r="D98" s="16" t="s">
        <v>130</v>
      </c>
      <c r="E98" s="17">
        <v>0.0</v>
      </c>
      <c r="F98" s="18">
        <v>0.0</v>
      </c>
      <c r="G98" s="18">
        <v>1.0</v>
      </c>
      <c r="H98" s="10">
        <v>0.0</v>
      </c>
      <c r="I98" s="19">
        <v>5.0</v>
      </c>
      <c r="J98" s="12"/>
      <c r="K98" s="12">
        <f t="shared" si="1"/>
        <v>1500</v>
      </c>
      <c r="L98" s="13" t="str">
        <f t="shared" si="5"/>
        <v>0 5-star + 0 RFC + 1 DME + 0 Patient Portal Login + 5 Completed Task</v>
      </c>
      <c r="M98" s="13"/>
      <c r="N98" s="13"/>
      <c r="O98" s="14"/>
      <c r="P98" s="14"/>
    </row>
    <row r="99" hidden="1">
      <c r="A99" s="6" t="s">
        <v>203</v>
      </c>
      <c r="B99" s="16" t="s">
        <v>131</v>
      </c>
      <c r="C99" s="16" t="s">
        <v>132</v>
      </c>
      <c r="D99" s="16" t="s">
        <v>133</v>
      </c>
      <c r="E99" s="17">
        <v>16.0</v>
      </c>
      <c r="F99" s="18">
        <v>0.0</v>
      </c>
      <c r="G99" s="18">
        <v>1.0</v>
      </c>
      <c r="H99" s="10">
        <v>1.0</v>
      </c>
      <c r="I99" s="19">
        <v>5.0</v>
      </c>
      <c r="J99" s="12"/>
      <c r="K99" s="12">
        <f t="shared" si="1"/>
        <v>5750</v>
      </c>
      <c r="L99" s="13" t="str">
        <f t="shared" si="5"/>
        <v>16 5-star + 0 RFC + 1 DME + 1 Patient Portal Login + 5 Completed Task</v>
      </c>
      <c r="M99" s="13"/>
      <c r="N99" s="13"/>
      <c r="O99" s="14"/>
      <c r="P99" s="14"/>
    </row>
    <row r="100" hidden="1">
      <c r="A100" s="6" t="s">
        <v>203</v>
      </c>
      <c r="B100" s="16" t="s">
        <v>134</v>
      </c>
      <c r="C100" s="16" t="s">
        <v>135</v>
      </c>
      <c r="D100" s="16" t="s">
        <v>136</v>
      </c>
      <c r="E100" s="17">
        <v>0.0</v>
      </c>
      <c r="F100" s="18">
        <v>0.0</v>
      </c>
      <c r="G100" s="18">
        <v>0.0</v>
      </c>
      <c r="H100" s="10">
        <v>0.0</v>
      </c>
      <c r="I100" s="19">
        <v>3.0</v>
      </c>
      <c r="J100" s="12"/>
      <c r="K100" s="12">
        <f t="shared" si="1"/>
        <v>750</v>
      </c>
      <c r="L100" s="13" t="str">
        <f t="shared" si="5"/>
        <v>0 5-star + 0 RFC + 0 DME + 0 Patient Portal Login + 3 Completed Task</v>
      </c>
      <c r="M100" s="13"/>
      <c r="N100" s="13"/>
      <c r="O100" s="14"/>
      <c r="P100" s="14"/>
    </row>
    <row r="101" hidden="1">
      <c r="A101" s="6" t="s">
        <v>203</v>
      </c>
      <c r="B101" s="16" t="s">
        <v>137</v>
      </c>
      <c r="C101" s="16" t="s">
        <v>138</v>
      </c>
      <c r="D101" s="16" t="s">
        <v>139</v>
      </c>
      <c r="E101" s="17">
        <v>0.0</v>
      </c>
      <c r="F101" s="18">
        <v>0.0</v>
      </c>
      <c r="G101" s="18">
        <v>0.0</v>
      </c>
      <c r="H101" s="10">
        <v>9.0</v>
      </c>
      <c r="I101" s="19">
        <v>5.0</v>
      </c>
      <c r="J101" s="12"/>
      <c r="K101" s="12">
        <f t="shared" si="1"/>
        <v>3500</v>
      </c>
      <c r="L101" s="13" t="str">
        <f t="shared" si="5"/>
        <v>0 5-star + 0 RFC + 0 DME + 9 Patient Portal Login + 5 Completed Task</v>
      </c>
      <c r="M101" s="13"/>
      <c r="N101" s="13"/>
      <c r="O101" s="14"/>
      <c r="P101" s="14"/>
    </row>
    <row r="102" hidden="1">
      <c r="A102" s="6" t="s">
        <v>203</v>
      </c>
      <c r="B102" s="16" t="s">
        <v>140</v>
      </c>
      <c r="C102" s="16" t="s">
        <v>141</v>
      </c>
      <c r="D102" s="16" t="s">
        <v>142</v>
      </c>
      <c r="E102" s="17">
        <v>8.0</v>
      </c>
      <c r="F102" s="18">
        <v>1.0</v>
      </c>
      <c r="G102" s="18">
        <v>0.0</v>
      </c>
      <c r="H102" s="10">
        <v>0.0</v>
      </c>
      <c r="I102" s="19">
        <v>5.0</v>
      </c>
      <c r="J102" s="12"/>
      <c r="K102" s="12">
        <f t="shared" si="1"/>
        <v>3750</v>
      </c>
      <c r="L102" s="13" t="str">
        <f t="shared" si="5"/>
        <v>8 5-star + 1 RFC + 0 DME + 0 Patient Portal Login + 5 Completed Task</v>
      </c>
      <c r="M102" s="13"/>
      <c r="N102" s="13"/>
      <c r="O102" s="14"/>
      <c r="P102" s="14"/>
    </row>
    <row r="103" hidden="1">
      <c r="A103" s="6" t="s">
        <v>203</v>
      </c>
      <c r="B103" s="16" t="s">
        <v>143</v>
      </c>
      <c r="C103" s="16" t="s">
        <v>144</v>
      </c>
      <c r="D103" s="16" t="s">
        <v>145</v>
      </c>
      <c r="E103" s="17">
        <v>0.0</v>
      </c>
      <c r="F103" s="18">
        <v>2.0</v>
      </c>
      <c r="G103" s="18">
        <v>0.0</v>
      </c>
      <c r="H103" s="10">
        <v>0.0</v>
      </c>
      <c r="I103" s="19">
        <v>5.0</v>
      </c>
      <c r="J103" s="12"/>
      <c r="K103" s="12">
        <f t="shared" si="1"/>
        <v>2250</v>
      </c>
      <c r="L103" s="13" t="str">
        <f t="shared" si="5"/>
        <v>0 5-star + 2 RFC + 0 DME + 0 Patient Portal Login + 5 Completed Task</v>
      </c>
      <c r="M103" s="13"/>
      <c r="N103" s="13"/>
      <c r="O103" s="14"/>
      <c r="P103" s="14"/>
    </row>
    <row r="104" hidden="1">
      <c r="A104" s="6" t="s">
        <v>203</v>
      </c>
      <c r="B104" s="16" t="s">
        <v>146</v>
      </c>
      <c r="C104" s="16" t="s">
        <v>147</v>
      </c>
      <c r="D104" s="16" t="s">
        <v>148</v>
      </c>
      <c r="E104" s="17">
        <v>0.0</v>
      </c>
      <c r="F104" s="18">
        <v>0.0</v>
      </c>
      <c r="G104" s="18">
        <v>0.0</v>
      </c>
      <c r="H104" s="10">
        <v>0.0</v>
      </c>
      <c r="I104" s="19">
        <v>4.0</v>
      </c>
      <c r="J104" s="12"/>
      <c r="K104" s="12">
        <f t="shared" si="1"/>
        <v>1000</v>
      </c>
      <c r="L104" s="13" t="str">
        <f t="shared" si="5"/>
        <v>0 5-star + 0 RFC + 0 DME + 0 Patient Portal Login + 4 Completed Task</v>
      </c>
      <c r="M104" s="13"/>
      <c r="N104" s="13"/>
      <c r="O104" s="14"/>
      <c r="P104" s="14"/>
    </row>
    <row r="105" hidden="1">
      <c r="A105" s="6" t="s">
        <v>203</v>
      </c>
      <c r="B105" s="16" t="s">
        <v>149</v>
      </c>
      <c r="C105" s="16" t="s">
        <v>150</v>
      </c>
      <c r="D105" s="16" t="s">
        <v>151</v>
      </c>
      <c r="E105" s="17">
        <v>0.0</v>
      </c>
      <c r="F105" s="18">
        <v>0.0</v>
      </c>
      <c r="G105" s="18">
        <v>2.0</v>
      </c>
      <c r="H105" s="10">
        <v>0.0</v>
      </c>
      <c r="I105" s="19">
        <v>4.0</v>
      </c>
      <c r="J105" s="12"/>
      <c r="K105" s="12">
        <f t="shared" si="1"/>
        <v>1500</v>
      </c>
      <c r="L105" s="13" t="str">
        <f t="shared" si="5"/>
        <v>0 5-star + 0 RFC + 2 DME + 0 Patient Portal Login + 4 Completed Task</v>
      </c>
      <c r="M105" s="13"/>
      <c r="N105" s="13"/>
      <c r="O105" s="14"/>
      <c r="P105" s="14"/>
    </row>
    <row r="106" hidden="1">
      <c r="A106" s="6" t="s">
        <v>203</v>
      </c>
      <c r="B106" s="16" t="s">
        <v>152</v>
      </c>
      <c r="C106" s="16" t="s">
        <v>153</v>
      </c>
      <c r="D106" s="16" t="s">
        <v>154</v>
      </c>
      <c r="E106" s="17">
        <v>0.0</v>
      </c>
      <c r="F106" s="18">
        <v>0.0</v>
      </c>
      <c r="G106" s="18">
        <v>2.0</v>
      </c>
      <c r="H106" s="10">
        <v>0.0</v>
      </c>
      <c r="I106" s="19">
        <v>4.0</v>
      </c>
      <c r="J106" s="12"/>
      <c r="K106" s="12">
        <f t="shared" si="1"/>
        <v>1500</v>
      </c>
      <c r="L106" s="13" t="str">
        <f t="shared" si="5"/>
        <v>0 5-star + 0 RFC + 2 DME + 0 Patient Portal Login + 4 Completed Task</v>
      </c>
      <c r="M106" s="13"/>
      <c r="N106" s="13"/>
      <c r="O106" s="14"/>
      <c r="P106" s="14"/>
    </row>
    <row r="107" hidden="1">
      <c r="A107" s="6" t="s">
        <v>203</v>
      </c>
      <c r="B107" s="16" t="s">
        <v>155</v>
      </c>
      <c r="C107" s="16" t="s">
        <v>156</v>
      </c>
      <c r="D107" s="16" t="s">
        <v>157</v>
      </c>
      <c r="E107" s="17">
        <v>0.0</v>
      </c>
      <c r="F107" s="18">
        <v>2.0</v>
      </c>
      <c r="G107" s="18">
        <v>1.0</v>
      </c>
      <c r="H107" s="10">
        <v>5.0</v>
      </c>
      <c r="I107" s="19">
        <v>4.0</v>
      </c>
      <c r="J107" s="12"/>
      <c r="K107" s="12">
        <f t="shared" si="1"/>
        <v>3500</v>
      </c>
      <c r="L107" s="13" t="str">
        <f t="shared" si="5"/>
        <v>0 5-star + 2 RFC + 1 DME + 5 Patient Portal Login + 4 Completed Task</v>
      </c>
      <c r="M107" s="13"/>
      <c r="N107" s="13"/>
      <c r="O107" s="14"/>
      <c r="P107" s="14"/>
    </row>
    <row r="108" hidden="1">
      <c r="A108" s="6" t="s">
        <v>203</v>
      </c>
      <c r="B108" s="16" t="s">
        <v>158</v>
      </c>
      <c r="C108" s="16" t="s">
        <v>159</v>
      </c>
      <c r="D108" s="16" t="s">
        <v>160</v>
      </c>
      <c r="E108" s="17">
        <v>0.0</v>
      </c>
      <c r="F108" s="18">
        <v>0.0</v>
      </c>
      <c r="G108" s="18">
        <v>0.0</v>
      </c>
      <c r="H108" s="10">
        <v>3.0</v>
      </c>
      <c r="I108" s="19">
        <v>4.0</v>
      </c>
      <c r="J108" s="12"/>
      <c r="K108" s="12">
        <f t="shared" si="1"/>
        <v>1750</v>
      </c>
      <c r="L108" s="13" t="str">
        <f t="shared" si="5"/>
        <v>0 5-star + 0 RFC + 0 DME + 3 Patient Portal Login + 4 Completed Task</v>
      </c>
      <c r="M108" s="13"/>
      <c r="N108" s="13"/>
      <c r="O108" s="14"/>
      <c r="P108" s="14"/>
    </row>
    <row r="109" hidden="1">
      <c r="A109" s="6" t="s">
        <v>203</v>
      </c>
      <c r="B109" s="20" t="s">
        <v>161</v>
      </c>
      <c r="C109" s="20" t="s">
        <v>162</v>
      </c>
      <c r="D109" s="20" t="s">
        <v>163</v>
      </c>
      <c r="E109" s="17">
        <v>1.0</v>
      </c>
      <c r="F109" s="18">
        <v>0.0</v>
      </c>
      <c r="G109" s="18">
        <v>0.0</v>
      </c>
      <c r="H109" s="10">
        <v>0.0</v>
      </c>
      <c r="I109" s="19">
        <v>5.0</v>
      </c>
      <c r="J109" s="12"/>
      <c r="K109" s="12">
        <f t="shared" si="1"/>
        <v>1500</v>
      </c>
      <c r="L109" s="13" t="str">
        <f> E109 &amp; " 5-star + " &amp; E96 &amp; " RFC + " &amp; G109 &amp; " DME + " &amp; H109 &amp; " Patient Portal Login + " &amp; I109 &amp; " Completed Task"
</f>
        <v>1 5-star + 0 RFC + 0 DME + 0 Patient Portal Login + 5 Completed Task</v>
      </c>
      <c r="M109" s="13"/>
      <c r="N109" s="13"/>
      <c r="O109" s="14"/>
      <c r="P109" s="14"/>
    </row>
    <row r="110" hidden="1">
      <c r="A110" s="6" t="s">
        <v>203</v>
      </c>
      <c r="B110" s="20" t="s">
        <v>164</v>
      </c>
      <c r="C110" s="20" t="s">
        <v>165</v>
      </c>
      <c r="D110" s="20" t="s">
        <v>166</v>
      </c>
      <c r="E110" s="17">
        <v>0.0</v>
      </c>
      <c r="F110" s="18">
        <v>0.0</v>
      </c>
      <c r="G110" s="18">
        <v>0.0</v>
      </c>
      <c r="H110" s="10">
        <v>2.0</v>
      </c>
      <c r="I110" s="19">
        <v>4.0</v>
      </c>
      <c r="J110" s="12"/>
      <c r="K110" s="12">
        <f t="shared" si="1"/>
        <v>1500</v>
      </c>
      <c r="L110" s="13" t="str">
        <f t="shared" ref="L110:L151" si="6"> E110 &amp; " 5-star + " &amp; F110 &amp; " RFC + " &amp; G110 &amp; " DME + " &amp; H110 &amp; " Patient Portal Login + " &amp; I110 &amp; " Completed Task"
</f>
        <v>0 5-star + 0 RFC + 0 DME + 2 Patient Portal Login + 4 Completed Task</v>
      </c>
      <c r="M110" s="13"/>
      <c r="N110" s="13"/>
      <c r="O110" s="14"/>
      <c r="P110" s="14"/>
    </row>
    <row r="111" hidden="1">
      <c r="A111" s="6" t="s">
        <v>203</v>
      </c>
      <c r="B111" s="20" t="s">
        <v>167</v>
      </c>
      <c r="C111" s="20" t="s">
        <v>168</v>
      </c>
      <c r="D111" s="20" t="s">
        <v>169</v>
      </c>
      <c r="E111" s="17">
        <v>0.0</v>
      </c>
      <c r="F111" s="18">
        <v>0.0</v>
      </c>
      <c r="G111" s="18">
        <v>0.0</v>
      </c>
      <c r="H111" s="10">
        <v>11.0</v>
      </c>
      <c r="I111" s="19">
        <v>5.0</v>
      </c>
      <c r="J111" s="12"/>
      <c r="K111" s="12">
        <f t="shared" si="1"/>
        <v>4000</v>
      </c>
      <c r="L111" s="13" t="str">
        <f t="shared" si="6"/>
        <v>0 5-star + 0 RFC + 0 DME + 11 Patient Portal Login + 5 Completed Task</v>
      </c>
      <c r="M111" s="13"/>
      <c r="N111" s="13"/>
      <c r="O111" s="14"/>
      <c r="P111" s="14"/>
    </row>
    <row r="112" hidden="1">
      <c r="A112" s="6" t="s">
        <v>203</v>
      </c>
      <c r="B112" s="20" t="s">
        <v>170</v>
      </c>
      <c r="C112" s="20" t="s">
        <v>171</v>
      </c>
      <c r="D112" s="20" t="s">
        <v>172</v>
      </c>
      <c r="E112" s="17">
        <v>0.0</v>
      </c>
      <c r="F112" s="18">
        <v>0.0</v>
      </c>
      <c r="G112" s="18">
        <v>0.0</v>
      </c>
      <c r="H112" s="10">
        <v>5.0</v>
      </c>
      <c r="I112" s="19">
        <v>5.0</v>
      </c>
      <c r="J112" s="12"/>
      <c r="K112" s="12">
        <f t="shared" si="1"/>
        <v>2500</v>
      </c>
      <c r="L112" s="13" t="str">
        <f t="shared" si="6"/>
        <v>0 5-star + 0 RFC + 0 DME + 5 Patient Portal Login + 5 Completed Task</v>
      </c>
      <c r="M112" s="13"/>
      <c r="N112" s="13"/>
      <c r="O112" s="14"/>
      <c r="P112" s="14"/>
    </row>
    <row r="113" hidden="1">
      <c r="A113" s="6" t="s">
        <v>203</v>
      </c>
      <c r="B113" s="16" t="s">
        <v>173</v>
      </c>
      <c r="C113" s="16" t="s">
        <v>174</v>
      </c>
      <c r="D113" s="16" t="s">
        <v>175</v>
      </c>
      <c r="E113" s="17">
        <v>0.0</v>
      </c>
      <c r="F113" s="18">
        <v>0.0</v>
      </c>
      <c r="G113" s="18">
        <v>0.0</v>
      </c>
      <c r="H113" s="10">
        <v>6.0</v>
      </c>
      <c r="I113" s="19">
        <v>5.0</v>
      </c>
      <c r="J113" s="12"/>
      <c r="K113" s="12">
        <f t="shared" si="1"/>
        <v>2750</v>
      </c>
      <c r="L113" s="13" t="str">
        <f t="shared" si="6"/>
        <v>0 5-star + 0 RFC + 0 DME + 6 Patient Portal Login + 5 Completed Task</v>
      </c>
      <c r="M113" s="13"/>
      <c r="N113" s="13"/>
      <c r="O113" s="14"/>
      <c r="P113" s="14"/>
    </row>
    <row r="114" hidden="1">
      <c r="A114" s="6" t="s">
        <v>203</v>
      </c>
      <c r="B114" s="16" t="s">
        <v>176</v>
      </c>
      <c r="C114" s="16" t="s">
        <v>177</v>
      </c>
      <c r="D114" s="16" t="s">
        <v>178</v>
      </c>
      <c r="E114" s="17">
        <v>1.0</v>
      </c>
      <c r="F114" s="18">
        <v>0.0</v>
      </c>
      <c r="G114" s="18">
        <v>0.0</v>
      </c>
      <c r="H114" s="10">
        <v>0.0</v>
      </c>
      <c r="I114" s="19">
        <v>4.0</v>
      </c>
      <c r="J114" s="12"/>
      <c r="K114" s="12">
        <f t="shared" si="1"/>
        <v>1250</v>
      </c>
      <c r="L114" s="13" t="str">
        <f t="shared" si="6"/>
        <v>1 5-star + 0 RFC + 0 DME + 0 Patient Portal Login + 4 Completed Task</v>
      </c>
      <c r="M114" s="13"/>
      <c r="N114" s="13"/>
      <c r="O114" s="14"/>
      <c r="P114" s="14"/>
    </row>
    <row r="115" hidden="1">
      <c r="A115" s="6" t="s">
        <v>203</v>
      </c>
      <c r="B115" s="21" t="s">
        <v>179</v>
      </c>
      <c r="C115" s="21" t="s">
        <v>180</v>
      </c>
      <c r="D115" s="21" t="s">
        <v>181</v>
      </c>
      <c r="E115" s="17">
        <v>0.0</v>
      </c>
      <c r="F115" s="18">
        <v>3.0</v>
      </c>
      <c r="G115" s="18">
        <v>1.0</v>
      </c>
      <c r="H115" s="10">
        <v>3.0</v>
      </c>
      <c r="I115" s="19">
        <v>5.0</v>
      </c>
      <c r="J115" s="12"/>
      <c r="K115" s="12">
        <f t="shared" si="1"/>
        <v>3750</v>
      </c>
      <c r="L115" s="13" t="str">
        <f t="shared" si="6"/>
        <v>0 5-star + 3 RFC + 1 DME + 3 Patient Portal Login + 5 Completed Task</v>
      </c>
      <c r="M115" s="13"/>
      <c r="N115" s="13"/>
      <c r="O115" s="23"/>
      <c r="P115" s="23"/>
    </row>
    <row r="116" hidden="1">
      <c r="A116" s="6" t="s">
        <v>203</v>
      </c>
      <c r="B116" s="21" t="s">
        <v>182</v>
      </c>
      <c r="C116" s="21" t="s">
        <v>183</v>
      </c>
      <c r="D116" s="21" t="s">
        <v>184</v>
      </c>
      <c r="E116" s="17">
        <v>0.0</v>
      </c>
      <c r="F116" s="18">
        <v>0.0</v>
      </c>
      <c r="G116" s="18">
        <v>0.0</v>
      </c>
      <c r="H116" s="10">
        <v>0.0</v>
      </c>
      <c r="I116" s="19">
        <v>3.0</v>
      </c>
      <c r="J116" s="12"/>
      <c r="K116" s="12">
        <f t="shared" si="1"/>
        <v>750</v>
      </c>
      <c r="L116" s="13" t="str">
        <f t="shared" si="6"/>
        <v>0 5-star + 0 RFC + 0 DME + 0 Patient Portal Login + 3 Completed Task</v>
      </c>
      <c r="M116" s="13"/>
      <c r="N116" s="13"/>
      <c r="O116" s="23"/>
      <c r="P116" s="23"/>
    </row>
    <row r="117" hidden="1">
      <c r="A117" s="6" t="s">
        <v>203</v>
      </c>
      <c r="B117" s="21" t="s">
        <v>185</v>
      </c>
      <c r="C117" s="21" t="s">
        <v>186</v>
      </c>
      <c r="D117" s="21" t="s">
        <v>187</v>
      </c>
      <c r="E117" s="17">
        <v>35.0</v>
      </c>
      <c r="F117" s="18">
        <v>0.0</v>
      </c>
      <c r="G117" s="18">
        <v>0.0</v>
      </c>
      <c r="H117" s="10">
        <v>2.0</v>
      </c>
      <c r="I117" s="19">
        <v>5.0</v>
      </c>
      <c r="J117" s="12"/>
      <c r="K117" s="12">
        <f t="shared" si="1"/>
        <v>10500</v>
      </c>
      <c r="L117" s="13" t="str">
        <f t="shared" si="6"/>
        <v>35 5-star + 0 RFC + 0 DME + 2 Patient Portal Login + 5 Completed Task</v>
      </c>
      <c r="M117" s="13"/>
      <c r="N117" s="13"/>
      <c r="O117" s="23"/>
      <c r="P117" s="23"/>
    </row>
    <row r="118" hidden="1">
      <c r="A118" s="6" t="s">
        <v>203</v>
      </c>
      <c r="B118" s="21" t="s">
        <v>188</v>
      </c>
      <c r="C118" s="21" t="s">
        <v>189</v>
      </c>
      <c r="D118" s="21" t="s">
        <v>190</v>
      </c>
      <c r="E118" s="17">
        <v>0.0</v>
      </c>
      <c r="F118" s="18">
        <v>0.0</v>
      </c>
      <c r="G118" s="18">
        <v>1.0</v>
      </c>
      <c r="H118" s="10">
        <v>0.0</v>
      </c>
      <c r="I118" s="19">
        <v>5.0</v>
      </c>
      <c r="J118" s="12"/>
      <c r="K118" s="12">
        <f t="shared" si="1"/>
        <v>1500</v>
      </c>
      <c r="L118" s="13" t="str">
        <f t="shared" si="6"/>
        <v>0 5-star + 0 RFC + 1 DME + 0 Patient Portal Login + 5 Completed Task</v>
      </c>
      <c r="M118" s="13"/>
      <c r="N118" s="13"/>
      <c r="O118" s="23"/>
      <c r="P118" s="23"/>
    </row>
    <row r="119" hidden="1">
      <c r="A119" s="6" t="s">
        <v>203</v>
      </c>
      <c r="B119" s="21" t="s">
        <v>191</v>
      </c>
      <c r="C119" s="21" t="s">
        <v>192</v>
      </c>
      <c r="D119" s="21" t="s">
        <v>193</v>
      </c>
      <c r="E119" s="17">
        <v>1.0</v>
      </c>
      <c r="F119" s="18">
        <v>3.0</v>
      </c>
      <c r="G119" s="18">
        <v>0.0</v>
      </c>
      <c r="H119" s="10">
        <v>0.0</v>
      </c>
      <c r="I119" s="19">
        <v>4.0</v>
      </c>
      <c r="J119" s="12"/>
      <c r="K119" s="12">
        <f t="shared" si="1"/>
        <v>2750</v>
      </c>
      <c r="L119" s="13" t="str">
        <f t="shared" si="6"/>
        <v>1 5-star + 3 RFC + 0 DME + 0 Patient Portal Login + 4 Completed Task</v>
      </c>
      <c r="M119" s="13"/>
      <c r="N119" s="13"/>
      <c r="O119" s="23"/>
      <c r="P119" s="23"/>
    </row>
    <row r="120" hidden="1">
      <c r="A120" s="6" t="s">
        <v>203</v>
      </c>
      <c r="B120" s="21" t="s">
        <v>194</v>
      </c>
      <c r="C120" s="21" t="s">
        <v>195</v>
      </c>
      <c r="D120" s="21" t="s">
        <v>196</v>
      </c>
      <c r="E120" s="17">
        <v>0.0</v>
      </c>
      <c r="F120" s="18">
        <v>2.0</v>
      </c>
      <c r="G120" s="18">
        <v>1.0</v>
      </c>
      <c r="H120" s="10">
        <v>0.0</v>
      </c>
      <c r="I120" s="19">
        <v>4.0</v>
      </c>
      <c r="J120" s="12"/>
      <c r="K120" s="12">
        <f t="shared" si="1"/>
        <v>2250</v>
      </c>
      <c r="L120" s="13" t="str">
        <f t="shared" si="6"/>
        <v>0 5-star + 2 RFC + 1 DME + 0 Patient Portal Login + 4 Completed Task</v>
      </c>
      <c r="M120" s="13"/>
      <c r="N120" s="13"/>
      <c r="O120" s="23"/>
      <c r="P120" s="23"/>
    </row>
    <row r="121" hidden="1">
      <c r="A121" s="6" t="s">
        <v>203</v>
      </c>
      <c r="B121" s="21" t="s">
        <v>197</v>
      </c>
      <c r="C121" s="21" t="s">
        <v>198</v>
      </c>
      <c r="D121" s="21" t="s">
        <v>199</v>
      </c>
      <c r="E121" s="22">
        <v>0.0</v>
      </c>
      <c r="F121" s="18">
        <v>0.0</v>
      </c>
      <c r="G121" s="18">
        <v>1.0</v>
      </c>
      <c r="H121" s="10">
        <v>0.0</v>
      </c>
      <c r="I121" s="19">
        <v>4.0</v>
      </c>
      <c r="J121" s="12"/>
      <c r="K121" s="12">
        <f t="shared" si="1"/>
        <v>1250</v>
      </c>
      <c r="L121" s="13" t="str">
        <f t="shared" si="6"/>
        <v>0 5-star + 0 RFC + 1 DME + 0 Patient Portal Login + 4 Completed Task</v>
      </c>
      <c r="M121" s="13"/>
      <c r="N121" s="13"/>
      <c r="O121" s="23"/>
      <c r="P121" s="23"/>
    </row>
    <row r="122" hidden="1">
      <c r="A122" s="6" t="s">
        <v>203</v>
      </c>
      <c r="B122" s="21" t="s">
        <v>200</v>
      </c>
      <c r="C122" s="21" t="s">
        <v>201</v>
      </c>
      <c r="D122" s="21" t="s">
        <v>202</v>
      </c>
      <c r="E122" s="17">
        <v>0.0</v>
      </c>
      <c r="F122" s="18">
        <v>0.0</v>
      </c>
      <c r="G122" s="18">
        <v>0.0</v>
      </c>
      <c r="H122" s="10">
        <v>2.0</v>
      </c>
      <c r="I122" s="19">
        <v>3.0</v>
      </c>
      <c r="J122" s="12"/>
      <c r="K122" s="12">
        <f t="shared" si="1"/>
        <v>1250</v>
      </c>
      <c r="L122" s="13" t="str">
        <f t="shared" si="6"/>
        <v>0 5-star + 0 RFC + 0 DME + 2 Patient Portal Login + 3 Completed Task</v>
      </c>
      <c r="M122" s="13"/>
      <c r="N122" s="13"/>
      <c r="O122" s="23"/>
      <c r="P122" s="23"/>
    </row>
    <row r="123" hidden="1">
      <c r="A123" s="6" t="s">
        <v>204</v>
      </c>
      <c r="B123" s="16" t="s">
        <v>35</v>
      </c>
      <c r="C123" s="16" t="s">
        <v>36</v>
      </c>
      <c r="D123" s="16" t="s">
        <v>37</v>
      </c>
      <c r="E123" s="17">
        <v>12.0</v>
      </c>
      <c r="F123" s="18">
        <v>1.0</v>
      </c>
      <c r="G123" s="18">
        <v>0.0</v>
      </c>
      <c r="H123" s="10">
        <v>3.0</v>
      </c>
      <c r="I123" s="19">
        <v>4.0</v>
      </c>
      <c r="J123" s="12"/>
      <c r="K123" s="12">
        <f t="shared" si="1"/>
        <v>5250</v>
      </c>
      <c r="L123" s="13" t="str">
        <f t="shared" si="6"/>
        <v>12 5-star + 1 RFC + 0 DME + 3 Patient Portal Login + 4 Completed Task</v>
      </c>
      <c r="M123" s="13"/>
      <c r="N123" s="13"/>
      <c r="O123" s="14"/>
      <c r="P123" s="14"/>
    </row>
    <row r="124" hidden="1">
      <c r="A124" s="6" t="s">
        <v>204</v>
      </c>
      <c r="B124" s="16" t="s">
        <v>38</v>
      </c>
      <c r="C124" s="16" t="s">
        <v>39</v>
      </c>
      <c r="D124" s="16" t="s">
        <v>40</v>
      </c>
      <c r="E124" s="17">
        <v>1.0</v>
      </c>
      <c r="F124" s="18">
        <v>0.0</v>
      </c>
      <c r="G124" s="18">
        <v>0.0</v>
      </c>
      <c r="H124" s="10">
        <v>1.0</v>
      </c>
      <c r="I124" s="19">
        <v>1.0</v>
      </c>
      <c r="J124" s="12"/>
      <c r="K124" s="12">
        <f t="shared" si="1"/>
        <v>750</v>
      </c>
      <c r="L124" s="13" t="str">
        <f t="shared" si="6"/>
        <v>1 5-star + 0 RFC + 0 DME + 1 Patient Portal Login + 1 Completed Task</v>
      </c>
      <c r="M124" s="13"/>
      <c r="N124" s="13"/>
      <c r="O124" s="14"/>
      <c r="P124" s="14"/>
    </row>
    <row r="125" hidden="1">
      <c r="A125" s="6" t="s">
        <v>204</v>
      </c>
      <c r="B125" s="16" t="s">
        <v>41</v>
      </c>
      <c r="C125" s="16" t="s">
        <v>42</v>
      </c>
      <c r="D125" s="16" t="s">
        <v>43</v>
      </c>
      <c r="E125" s="17">
        <v>1.0</v>
      </c>
      <c r="F125" s="18">
        <v>3.0</v>
      </c>
      <c r="G125" s="18">
        <v>1.0</v>
      </c>
      <c r="H125" s="10">
        <v>1.0</v>
      </c>
      <c r="I125" s="19">
        <v>4.0</v>
      </c>
      <c r="J125" s="12"/>
      <c r="K125" s="12">
        <f t="shared" si="1"/>
        <v>3250</v>
      </c>
      <c r="L125" s="13" t="str">
        <f t="shared" si="6"/>
        <v>1 5-star + 3 RFC + 1 DME + 1 Patient Portal Login + 4 Completed Task</v>
      </c>
      <c r="M125" s="13"/>
      <c r="N125" s="13"/>
      <c r="O125" s="14"/>
      <c r="P125" s="14"/>
    </row>
    <row r="126" hidden="1">
      <c r="A126" s="6" t="s">
        <v>204</v>
      </c>
      <c r="B126" s="16" t="s">
        <v>44</v>
      </c>
      <c r="C126" s="16" t="s">
        <v>45</v>
      </c>
      <c r="D126" s="16" t="s">
        <v>46</v>
      </c>
      <c r="E126" s="17">
        <v>0.0</v>
      </c>
      <c r="F126" s="18">
        <v>0.0</v>
      </c>
      <c r="G126" s="18">
        <v>0.0</v>
      </c>
      <c r="H126" s="10">
        <v>0.0</v>
      </c>
      <c r="I126" s="19">
        <v>4.0</v>
      </c>
      <c r="J126" s="12"/>
      <c r="K126" s="12">
        <f t="shared" si="1"/>
        <v>1000</v>
      </c>
      <c r="L126" s="13" t="str">
        <f t="shared" si="6"/>
        <v>0 5-star + 0 RFC + 0 DME + 0 Patient Portal Login + 4 Completed Task</v>
      </c>
      <c r="M126" s="13"/>
      <c r="N126" s="13"/>
      <c r="O126" s="14"/>
      <c r="P126" s="14"/>
    </row>
    <row r="127" hidden="1">
      <c r="A127" s="6" t="s">
        <v>204</v>
      </c>
      <c r="B127" s="16" t="s">
        <v>47</v>
      </c>
      <c r="C127" s="16" t="s">
        <v>48</v>
      </c>
      <c r="D127" s="16" t="s">
        <v>49</v>
      </c>
      <c r="E127" s="8">
        <v>6.0</v>
      </c>
      <c r="F127" s="18">
        <v>0.0</v>
      </c>
      <c r="G127" s="18">
        <v>0.0</v>
      </c>
      <c r="H127" s="10">
        <v>0.0</v>
      </c>
      <c r="I127" s="19">
        <v>0.0</v>
      </c>
      <c r="J127" s="12"/>
      <c r="K127" s="12">
        <f t="shared" si="1"/>
        <v>1500</v>
      </c>
      <c r="L127" s="13" t="str">
        <f t="shared" si="6"/>
        <v>6 5-star + 0 RFC + 0 DME + 0 Patient Portal Login + 0 Completed Task</v>
      </c>
      <c r="M127" s="13"/>
      <c r="N127" s="13"/>
      <c r="O127" s="14"/>
      <c r="P127" s="14"/>
    </row>
    <row r="128" hidden="1">
      <c r="A128" s="6" t="s">
        <v>204</v>
      </c>
      <c r="B128" s="16" t="s">
        <v>50</v>
      </c>
      <c r="C128" s="16" t="s">
        <v>51</v>
      </c>
      <c r="D128" s="16" t="s">
        <v>52</v>
      </c>
      <c r="E128" s="8">
        <v>2.0</v>
      </c>
      <c r="F128" s="18">
        <v>0.0</v>
      </c>
      <c r="G128" s="18">
        <v>0.0</v>
      </c>
      <c r="H128" s="10">
        <v>1.0</v>
      </c>
      <c r="I128" s="19">
        <v>3.0</v>
      </c>
      <c r="J128" s="12"/>
      <c r="K128" s="12">
        <f t="shared" si="1"/>
        <v>1500</v>
      </c>
      <c r="L128" s="13" t="str">
        <f t="shared" si="6"/>
        <v>2 5-star + 0 RFC + 0 DME + 1 Patient Portal Login + 3 Completed Task</v>
      </c>
      <c r="M128" s="13"/>
      <c r="N128" s="13"/>
      <c r="O128" s="14"/>
      <c r="P128" s="14"/>
    </row>
    <row r="129" hidden="1">
      <c r="A129" s="6" t="s">
        <v>204</v>
      </c>
      <c r="B129" s="16" t="s">
        <v>53</v>
      </c>
      <c r="C129" s="16" t="s">
        <v>54</v>
      </c>
      <c r="D129" s="16" t="s">
        <v>55</v>
      </c>
      <c r="E129" s="17">
        <v>5.0</v>
      </c>
      <c r="F129" s="18">
        <v>0.0</v>
      </c>
      <c r="G129" s="18">
        <v>0.0</v>
      </c>
      <c r="H129" s="10">
        <v>0.0</v>
      </c>
      <c r="I129" s="19">
        <v>3.0</v>
      </c>
      <c r="J129" s="12"/>
      <c r="K129" s="12">
        <f t="shared" si="1"/>
        <v>2000</v>
      </c>
      <c r="L129" s="13" t="str">
        <f t="shared" si="6"/>
        <v>5 5-star + 0 RFC + 0 DME + 0 Patient Portal Login + 3 Completed Task</v>
      </c>
      <c r="M129" s="13"/>
      <c r="N129" s="13"/>
      <c r="O129" s="14"/>
      <c r="P129" s="14"/>
    </row>
    <row r="130" hidden="1">
      <c r="A130" s="6" t="s">
        <v>204</v>
      </c>
      <c r="B130" s="16" t="s">
        <v>56</v>
      </c>
      <c r="C130" s="16" t="s">
        <v>57</v>
      </c>
      <c r="D130" s="16" t="s">
        <v>58</v>
      </c>
      <c r="E130" s="17">
        <v>0.0</v>
      </c>
      <c r="F130" s="18">
        <v>2.0</v>
      </c>
      <c r="G130" s="18">
        <v>0.0</v>
      </c>
      <c r="H130" s="10">
        <v>0.0</v>
      </c>
      <c r="I130" s="19">
        <v>4.0</v>
      </c>
      <c r="J130" s="12"/>
      <c r="K130" s="12">
        <f t="shared" si="1"/>
        <v>2000</v>
      </c>
      <c r="L130" s="13" t="str">
        <f t="shared" si="6"/>
        <v>0 5-star + 2 RFC + 0 DME + 0 Patient Portal Login + 4 Completed Task</v>
      </c>
      <c r="M130" s="13"/>
      <c r="N130" s="13"/>
      <c r="O130" s="14"/>
      <c r="P130" s="14"/>
    </row>
    <row r="131" hidden="1">
      <c r="A131" s="6" t="s">
        <v>204</v>
      </c>
      <c r="B131" s="16" t="s">
        <v>59</v>
      </c>
      <c r="C131" s="16" t="s">
        <v>60</v>
      </c>
      <c r="D131" s="16" t="s">
        <v>61</v>
      </c>
      <c r="E131" s="17">
        <v>0.0</v>
      </c>
      <c r="F131" s="18">
        <v>2.0</v>
      </c>
      <c r="G131" s="18">
        <v>0.0</v>
      </c>
      <c r="H131" s="10">
        <v>0.0</v>
      </c>
      <c r="I131" s="19">
        <v>1.0</v>
      </c>
      <c r="J131" s="12"/>
      <c r="K131" s="12">
        <f t="shared" si="1"/>
        <v>1250</v>
      </c>
      <c r="L131" s="13" t="str">
        <f t="shared" si="6"/>
        <v>0 5-star + 2 RFC + 0 DME + 0 Patient Portal Login + 1 Completed Task</v>
      </c>
      <c r="M131" s="13"/>
      <c r="N131" s="13"/>
      <c r="O131" s="14"/>
      <c r="P131" s="14"/>
    </row>
    <row r="132" hidden="1">
      <c r="A132" s="6" t="s">
        <v>204</v>
      </c>
      <c r="B132" s="16" t="s">
        <v>62</v>
      </c>
      <c r="C132" s="16" t="s">
        <v>63</v>
      </c>
      <c r="D132" s="16" t="s">
        <v>64</v>
      </c>
      <c r="E132" s="17">
        <v>0.0</v>
      </c>
      <c r="F132" s="18">
        <v>2.0</v>
      </c>
      <c r="G132" s="18">
        <v>1.0</v>
      </c>
      <c r="H132" s="10">
        <v>0.0</v>
      </c>
      <c r="I132" s="19">
        <v>2.0</v>
      </c>
      <c r="J132" s="12"/>
      <c r="K132" s="12">
        <f t="shared" si="1"/>
        <v>1750</v>
      </c>
      <c r="L132" s="13" t="str">
        <f t="shared" si="6"/>
        <v>0 5-star + 2 RFC + 1 DME + 0 Patient Portal Login + 2 Completed Task</v>
      </c>
      <c r="M132" s="13"/>
      <c r="N132" s="13"/>
      <c r="O132" s="14"/>
      <c r="P132" s="14"/>
    </row>
    <row r="133" hidden="1">
      <c r="A133" s="6" t="s">
        <v>204</v>
      </c>
      <c r="B133" s="16" t="s">
        <v>65</v>
      </c>
      <c r="C133" s="16" t="s">
        <v>66</v>
      </c>
      <c r="D133" s="16" t="s">
        <v>67</v>
      </c>
      <c r="E133" s="17">
        <v>0.0</v>
      </c>
      <c r="F133" s="18">
        <v>2.0</v>
      </c>
      <c r="G133" s="18">
        <v>0.0</v>
      </c>
      <c r="H133" s="10">
        <v>0.0</v>
      </c>
      <c r="I133" s="19">
        <v>3.0</v>
      </c>
      <c r="J133" s="12"/>
      <c r="K133" s="12">
        <f t="shared" si="1"/>
        <v>1750</v>
      </c>
      <c r="L133" s="13" t="str">
        <f t="shared" si="6"/>
        <v>0 5-star + 2 RFC + 0 DME + 0 Patient Portal Login + 3 Completed Task</v>
      </c>
      <c r="M133" s="13"/>
      <c r="N133" s="13"/>
      <c r="O133" s="14"/>
      <c r="P133" s="14"/>
    </row>
    <row r="134" hidden="1">
      <c r="A134" s="6" t="s">
        <v>204</v>
      </c>
      <c r="B134" s="16" t="s">
        <v>68</v>
      </c>
      <c r="C134" s="16" t="s">
        <v>69</v>
      </c>
      <c r="D134" s="16" t="s">
        <v>70</v>
      </c>
      <c r="E134" s="17">
        <v>0.0</v>
      </c>
      <c r="F134" s="18">
        <v>1.0</v>
      </c>
      <c r="G134" s="18">
        <v>0.0</v>
      </c>
      <c r="H134" s="10">
        <v>0.0</v>
      </c>
      <c r="I134" s="19">
        <v>3.0</v>
      </c>
      <c r="J134" s="12"/>
      <c r="K134" s="12">
        <f t="shared" si="1"/>
        <v>1250</v>
      </c>
      <c r="L134" s="13" t="str">
        <f t="shared" si="6"/>
        <v>0 5-star + 1 RFC + 0 DME + 0 Patient Portal Login + 3 Completed Task</v>
      </c>
      <c r="M134" s="13"/>
      <c r="N134" s="13"/>
      <c r="O134" s="14"/>
      <c r="P134" s="14"/>
    </row>
    <row r="135" hidden="1">
      <c r="A135" s="6" t="s">
        <v>204</v>
      </c>
      <c r="B135" s="16" t="s">
        <v>71</v>
      </c>
      <c r="C135" s="16" t="s">
        <v>72</v>
      </c>
      <c r="D135" s="16" t="s">
        <v>73</v>
      </c>
      <c r="E135" s="17">
        <v>0.0</v>
      </c>
      <c r="F135" s="18">
        <v>5.0</v>
      </c>
      <c r="G135" s="18">
        <v>0.0</v>
      </c>
      <c r="H135" s="10">
        <v>3.0</v>
      </c>
      <c r="I135" s="19">
        <v>3.0</v>
      </c>
      <c r="J135" s="12"/>
      <c r="K135" s="12">
        <f t="shared" si="1"/>
        <v>4000</v>
      </c>
      <c r="L135" s="13" t="str">
        <f t="shared" si="6"/>
        <v>0 5-star + 5 RFC + 0 DME + 3 Patient Portal Login + 3 Completed Task</v>
      </c>
      <c r="M135" s="13"/>
      <c r="N135" s="13"/>
      <c r="O135" s="14"/>
      <c r="P135" s="14"/>
    </row>
    <row r="136" hidden="1">
      <c r="A136" s="6" t="s">
        <v>204</v>
      </c>
      <c r="B136" s="16" t="s">
        <v>74</v>
      </c>
      <c r="C136" s="16" t="s">
        <v>75</v>
      </c>
      <c r="D136" s="16" t="s">
        <v>76</v>
      </c>
      <c r="E136" s="17">
        <v>1.0</v>
      </c>
      <c r="F136" s="18">
        <v>0.0</v>
      </c>
      <c r="G136" s="18">
        <v>0.0</v>
      </c>
      <c r="H136" s="10">
        <v>0.0</v>
      </c>
      <c r="I136" s="19">
        <v>4.0</v>
      </c>
      <c r="J136" s="12"/>
      <c r="K136" s="12">
        <f t="shared" si="1"/>
        <v>1250</v>
      </c>
      <c r="L136" s="13" t="str">
        <f t="shared" si="6"/>
        <v>1 5-star + 0 RFC + 0 DME + 0 Patient Portal Login + 4 Completed Task</v>
      </c>
      <c r="M136" s="13"/>
      <c r="N136" s="13"/>
      <c r="O136" s="14"/>
      <c r="P136" s="14"/>
    </row>
    <row r="137" hidden="1">
      <c r="A137" s="6" t="s">
        <v>204</v>
      </c>
      <c r="B137" s="16" t="s">
        <v>77</v>
      </c>
      <c r="C137" s="16" t="s">
        <v>78</v>
      </c>
      <c r="D137" s="16" t="s">
        <v>79</v>
      </c>
      <c r="E137" s="17">
        <v>13.0</v>
      </c>
      <c r="F137" s="18">
        <v>0.0</v>
      </c>
      <c r="G137" s="18">
        <v>0.0</v>
      </c>
      <c r="H137" s="10">
        <v>0.0</v>
      </c>
      <c r="I137" s="19">
        <v>2.0</v>
      </c>
      <c r="J137" s="12"/>
      <c r="K137" s="12">
        <f t="shared" si="1"/>
        <v>3750</v>
      </c>
      <c r="L137" s="13" t="str">
        <f t="shared" si="6"/>
        <v>13 5-star + 0 RFC + 0 DME + 0 Patient Portal Login + 2 Completed Task</v>
      </c>
      <c r="M137" s="13"/>
      <c r="N137" s="13"/>
      <c r="O137" s="14"/>
      <c r="P137" s="14"/>
    </row>
    <row r="138" hidden="1">
      <c r="A138" s="6" t="s">
        <v>204</v>
      </c>
      <c r="B138" s="16" t="s">
        <v>80</v>
      </c>
      <c r="C138" s="16" t="s">
        <v>81</v>
      </c>
      <c r="D138" s="16" t="s">
        <v>82</v>
      </c>
      <c r="E138" s="17">
        <v>0.0</v>
      </c>
      <c r="F138" s="18">
        <v>0.0</v>
      </c>
      <c r="G138" s="18">
        <v>0.0</v>
      </c>
      <c r="H138" s="10">
        <v>0.0</v>
      </c>
      <c r="I138" s="19">
        <v>3.0</v>
      </c>
      <c r="J138" s="12"/>
      <c r="K138" s="12">
        <f t="shared" si="1"/>
        <v>750</v>
      </c>
      <c r="L138" s="13" t="str">
        <f t="shared" si="6"/>
        <v>0 5-star + 0 RFC + 0 DME + 0 Patient Portal Login + 3 Completed Task</v>
      </c>
      <c r="M138" s="13"/>
      <c r="N138" s="13"/>
      <c r="O138" s="14"/>
      <c r="P138" s="14"/>
    </row>
    <row r="139" hidden="1">
      <c r="A139" s="6" t="s">
        <v>204</v>
      </c>
      <c r="B139" s="7" t="s">
        <v>83</v>
      </c>
      <c r="C139" s="16" t="s">
        <v>84</v>
      </c>
      <c r="D139" s="16" t="s">
        <v>85</v>
      </c>
      <c r="E139" s="17">
        <v>0.0</v>
      </c>
      <c r="F139" s="18">
        <v>0.0</v>
      </c>
      <c r="G139" s="18">
        <v>0.0</v>
      </c>
      <c r="H139" s="10">
        <v>0.0</v>
      </c>
      <c r="I139" s="19">
        <v>3.0</v>
      </c>
      <c r="J139" s="12"/>
      <c r="K139" s="12">
        <f t="shared" si="1"/>
        <v>750</v>
      </c>
      <c r="L139" s="13" t="str">
        <f t="shared" si="6"/>
        <v>0 5-star + 0 RFC + 0 DME + 0 Patient Portal Login + 3 Completed Task</v>
      </c>
      <c r="M139" s="13"/>
      <c r="N139" s="13"/>
      <c r="O139" s="14"/>
      <c r="P139" s="14"/>
    </row>
    <row r="140" hidden="1">
      <c r="A140" s="6" t="s">
        <v>204</v>
      </c>
      <c r="B140" s="16" t="s">
        <v>86</v>
      </c>
      <c r="C140" s="16" t="s">
        <v>87</v>
      </c>
      <c r="D140" s="16" t="s">
        <v>88</v>
      </c>
      <c r="E140" s="17">
        <v>1.0</v>
      </c>
      <c r="F140" s="18">
        <v>2.0</v>
      </c>
      <c r="G140" s="18">
        <v>0.0</v>
      </c>
      <c r="H140" s="10">
        <v>6.0</v>
      </c>
      <c r="I140" s="19">
        <v>3.0</v>
      </c>
      <c r="J140" s="12"/>
      <c r="K140" s="12">
        <f t="shared" si="1"/>
        <v>3500</v>
      </c>
      <c r="L140" s="13" t="str">
        <f t="shared" si="6"/>
        <v>1 5-star + 2 RFC + 0 DME + 6 Patient Portal Login + 3 Completed Task</v>
      </c>
      <c r="M140" s="13"/>
      <c r="N140" s="13"/>
      <c r="O140" s="14"/>
      <c r="P140" s="14"/>
    </row>
    <row r="141" hidden="1">
      <c r="A141" s="6" t="s">
        <v>204</v>
      </c>
      <c r="B141" s="16" t="s">
        <v>89</v>
      </c>
      <c r="C141" s="16" t="s">
        <v>90</v>
      </c>
      <c r="D141" s="16" t="s">
        <v>91</v>
      </c>
      <c r="E141" s="17">
        <v>0.0</v>
      </c>
      <c r="F141" s="18">
        <v>0.0</v>
      </c>
      <c r="G141" s="18">
        <v>0.0</v>
      </c>
      <c r="H141" s="10">
        <v>1.0</v>
      </c>
      <c r="I141" s="19">
        <v>2.0</v>
      </c>
      <c r="J141" s="12"/>
      <c r="K141" s="12">
        <f t="shared" si="1"/>
        <v>750</v>
      </c>
      <c r="L141" s="13" t="str">
        <f t="shared" si="6"/>
        <v>0 5-star + 0 RFC + 0 DME + 1 Patient Portal Login + 2 Completed Task</v>
      </c>
      <c r="M141" s="13"/>
      <c r="N141" s="13"/>
      <c r="O141" s="14"/>
      <c r="P141" s="14"/>
    </row>
    <row r="142" hidden="1">
      <c r="A142" s="6" t="s">
        <v>204</v>
      </c>
      <c r="B142" s="16" t="s">
        <v>92</v>
      </c>
      <c r="C142" s="16" t="s">
        <v>93</v>
      </c>
      <c r="D142" s="16" t="s">
        <v>94</v>
      </c>
      <c r="E142" s="17">
        <v>2.0</v>
      </c>
      <c r="F142" s="18">
        <v>0.0</v>
      </c>
      <c r="G142" s="18">
        <v>0.0</v>
      </c>
      <c r="H142" s="10">
        <v>2.0</v>
      </c>
      <c r="I142" s="19">
        <v>3.0</v>
      </c>
      <c r="J142" s="12"/>
      <c r="K142" s="12">
        <f t="shared" si="1"/>
        <v>1750</v>
      </c>
      <c r="L142" s="13" t="str">
        <f t="shared" si="6"/>
        <v>2 5-star + 0 RFC + 0 DME + 2 Patient Portal Login + 3 Completed Task</v>
      </c>
      <c r="M142" s="13"/>
      <c r="N142" s="13"/>
      <c r="O142" s="14"/>
      <c r="P142" s="14"/>
    </row>
    <row r="143" hidden="1">
      <c r="A143" s="6" t="s">
        <v>204</v>
      </c>
      <c r="B143" s="7" t="s">
        <v>95</v>
      </c>
      <c r="C143" s="16" t="s">
        <v>96</v>
      </c>
      <c r="D143" s="16" t="s">
        <v>97</v>
      </c>
      <c r="E143" s="17">
        <v>0.0</v>
      </c>
      <c r="F143" s="18">
        <v>1.0</v>
      </c>
      <c r="G143" s="18">
        <v>1.0</v>
      </c>
      <c r="H143" s="10">
        <v>0.0</v>
      </c>
      <c r="I143" s="19">
        <v>4.0</v>
      </c>
      <c r="J143" s="12"/>
      <c r="K143" s="12">
        <f t="shared" si="1"/>
        <v>1750</v>
      </c>
      <c r="L143" s="13" t="str">
        <f t="shared" si="6"/>
        <v>0 5-star + 1 RFC + 1 DME + 0 Patient Portal Login + 4 Completed Task</v>
      </c>
      <c r="M143" s="13"/>
      <c r="N143" s="13"/>
      <c r="O143" s="14"/>
      <c r="P143" s="14"/>
    </row>
    <row r="144" hidden="1">
      <c r="A144" s="6" t="s">
        <v>204</v>
      </c>
      <c r="B144" s="16" t="s">
        <v>98</v>
      </c>
      <c r="C144" s="16" t="s">
        <v>99</v>
      </c>
      <c r="D144" s="16" t="s">
        <v>100</v>
      </c>
      <c r="E144" s="17">
        <v>0.0</v>
      </c>
      <c r="F144" s="18">
        <v>0.0</v>
      </c>
      <c r="G144" s="18">
        <v>0.0</v>
      </c>
      <c r="H144" s="10">
        <v>0.0</v>
      </c>
      <c r="I144" s="19">
        <v>3.0</v>
      </c>
      <c r="J144" s="12"/>
      <c r="K144" s="12">
        <f t="shared" si="1"/>
        <v>750</v>
      </c>
      <c r="L144" s="13" t="str">
        <f t="shared" si="6"/>
        <v>0 5-star + 0 RFC + 0 DME + 0 Patient Portal Login + 3 Completed Task</v>
      </c>
      <c r="M144" s="13"/>
      <c r="N144" s="13"/>
      <c r="O144" s="14"/>
      <c r="P144" s="14"/>
    </row>
    <row r="145" hidden="1">
      <c r="A145" s="6" t="s">
        <v>204</v>
      </c>
      <c r="B145" s="7" t="s">
        <v>101</v>
      </c>
      <c r="C145" s="16" t="s">
        <v>102</v>
      </c>
      <c r="D145" s="16" t="s">
        <v>103</v>
      </c>
      <c r="E145" s="17">
        <v>1.0</v>
      </c>
      <c r="F145" s="18">
        <v>2.0</v>
      </c>
      <c r="G145" s="18">
        <v>0.0</v>
      </c>
      <c r="H145" s="10">
        <v>4.0</v>
      </c>
      <c r="I145" s="19">
        <v>3.0</v>
      </c>
      <c r="J145" s="12"/>
      <c r="K145" s="12">
        <f t="shared" si="1"/>
        <v>3000</v>
      </c>
      <c r="L145" s="13" t="str">
        <f t="shared" si="6"/>
        <v>1 5-star + 2 RFC + 0 DME + 4 Patient Portal Login + 3 Completed Task</v>
      </c>
      <c r="M145" s="13"/>
      <c r="N145" s="13"/>
      <c r="O145" s="14"/>
      <c r="P145" s="14"/>
    </row>
    <row r="146" hidden="1">
      <c r="A146" s="6" t="s">
        <v>204</v>
      </c>
      <c r="B146" s="16" t="s">
        <v>104</v>
      </c>
      <c r="C146" s="16" t="s">
        <v>105</v>
      </c>
      <c r="D146" s="16" t="s">
        <v>106</v>
      </c>
      <c r="E146" s="17">
        <v>1.0</v>
      </c>
      <c r="F146" s="18">
        <v>0.0</v>
      </c>
      <c r="G146" s="18">
        <v>0.0</v>
      </c>
      <c r="H146" s="10">
        <v>2.0</v>
      </c>
      <c r="I146" s="19">
        <v>3.0</v>
      </c>
      <c r="J146" s="12"/>
      <c r="K146" s="12">
        <f t="shared" si="1"/>
        <v>1500</v>
      </c>
      <c r="L146" s="13" t="str">
        <f t="shared" si="6"/>
        <v>1 5-star + 0 RFC + 0 DME + 2 Patient Portal Login + 3 Completed Task</v>
      </c>
      <c r="M146" s="13"/>
      <c r="N146" s="13"/>
      <c r="O146" s="14"/>
      <c r="P146" s="14"/>
    </row>
    <row r="147" hidden="1">
      <c r="A147" s="6" t="s">
        <v>204</v>
      </c>
      <c r="B147" s="16" t="s">
        <v>107</v>
      </c>
      <c r="C147" s="16" t="s">
        <v>108</v>
      </c>
      <c r="D147" s="16" t="s">
        <v>109</v>
      </c>
      <c r="E147" s="17">
        <v>0.0</v>
      </c>
      <c r="F147" s="18">
        <v>0.0</v>
      </c>
      <c r="G147" s="18">
        <v>0.0</v>
      </c>
      <c r="H147" s="10">
        <v>0.0</v>
      </c>
      <c r="I147" s="19">
        <v>3.0</v>
      </c>
      <c r="J147" s="12"/>
      <c r="K147" s="12">
        <f t="shared" si="1"/>
        <v>750</v>
      </c>
      <c r="L147" s="13" t="str">
        <f t="shared" si="6"/>
        <v>0 5-star + 0 RFC + 0 DME + 0 Patient Portal Login + 3 Completed Task</v>
      </c>
      <c r="M147" s="13"/>
      <c r="N147" s="13"/>
      <c r="O147" s="14"/>
      <c r="P147" s="14"/>
    </row>
    <row r="148" hidden="1">
      <c r="A148" s="6" t="s">
        <v>204</v>
      </c>
      <c r="B148" s="16" t="s">
        <v>110</v>
      </c>
      <c r="C148" s="16" t="s">
        <v>111</v>
      </c>
      <c r="D148" s="16" t="s">
        <v>112</v>
      </c>
      <c r="E148" s="17">
        <v>0.0</v>
      </c>
      <c r="F148" s="18">
        <v>2.0</v>
      </c>
      <c r="G148" s="18">
        <v>1.0</v>
      </c>
      <c r="H148" s="10">
        <v>2.0</v>
      </c>
      <c r="I148" s="19">
        <v>4.0</v>
      </c>
      <c r="J148" s="12"/>
      <c r="K148" s="12">
        <f t="shared" si="1"/>
        <v>2750</v>
      </c>
      <c r="L148" s="13" t="str">
        <f t="shared" si="6"/>
        <v>0 5-star + 2 RFC + 1 DME + 2 Patient Portal Login + 4 Completed Task</v>
      </c>
      <c r="M148" s="13"/>
      <c r="N148" s="13"/>
      <c r="O148" s="14"/>
      <c r="P148" s="14"/>
    </row>
    <row r="149" hidden="1">
      <c r="A149" s="6" t="s">
        <v>204</v>
      </c>
      <c r="B149" s="16" t="s">
        <v>113</v>
      </c>
      <c r="C149" s="16" t="s">
        <v>114</v>
      </c>
      <c r="D149" s="16" t="s">
        <v>115</v>
      </c>
      <c r="E149" s="17">
        <v>2.0</v>
      </c>
      <c r="F149" s="18">
        <v>0.0</v>
      </c>
      <c r="G149" s="18">
        <v>0.0</v>
      </c>
      <c r="H149" s="10">
        <v>13.0</v>
      </c>
      <c r="I149" s="19">
        <v>3.0</v>
      </c>
      <c r="J149" s="12"/>
      <c r="K149" s="12">
        <f t="shared" si="1"/>
        <v>4500</v>
      </c>
      <c r="L149" s="13" t="str">
        <f t="shared" si="6"/>
        <v>2 5-star + 0 RFC + 0 DME + 13 Patient Portal Login + 3 Completed Task</v>
      </c>
      <c r="M149" s="13"/>
      <c r="N149" s="13"/>
      <c r="O149" s="14"/>
      <c r="P149" s="14"/>
    </row>
    <row r="150" hidden="1">
      <c r="A150" s="6" t="s">
        <v>204</v>
      </c>
      <c r="B150" s="7" t="s">
        <v>116</v>
      </c>
      <c r="C150" s="16" t="s">
        <v>117</v>
      </c>
      <c r="D150" s="16" t="s">
        <v>118</v>
      </c>
      <c r="E150" s="17">
        <v>0.0</v>
      </c>
      <c r="F150" s="18">
        <v>2.0</v>
      </c>
      <c r="G150" s="18">
        <v>0.0</v>
      </c>
      <c r="H150" s="10">
        <v>0.0</v>
      </c>
      <c r="I150" s="19">
        <v>3.0</v>
      </c>
      <c r="J150" s="12"/>
      <c r="K150" s="12">
        <f t="shared" si="1"/>
        <v>1750</v>
      </c>
      <c r="L150" s="13" t="str">
        <f t="shared" si="6"/>
        <v>0 5-star + 2 RFC + 0 DME + 0 Patient Portal Login + 3 Completed Task</v>
      </c>
      <c r="M150" s="13"/>
      <c r="N150" s="13"/>
      <c r="O150" s="14"/>
      <c r="P150" s="14"/>
    </row>
    <row r="151" hidden="1">
      <c r="A151" s="6" t="s">
        <v>204</v>
      </c>
      <c r="B151" s="16" t="s">
        <v>119</v>
      </c>
      <c r="C151" s="16" t="s">
        <v>120</v>
      </c>
      <c r="D151" s="16" t="s">
        <v>121</v>
      </c>
      <c r="E151" s="17">
        <v>0.0</v>
      </c>
      <c r="F151" s="18">
        <v>1.0</v>
      </c>
      <c r="G151" s="18">
        <v>3.0</v>
      </c>
      <c r="H151" s="10">
        <v>1.0</v>
      </c>
      <c r="I151" s="19">
        <v>3.0</v>
      </c>
      <c r="J151" s="12"/>
      <c r="K151" s="12">
        <f t="shared" si="1"/>
        <v>2250</v>
      </c>
      <c r="L151" s="13" t="str">
        <f t="shared" si="6"/>
        <v>0 5-star + 1 RFC + 3 DME + 1 Patient Portal Login + 3 Completed Task</v>
      </c>
      <c r="M151" s="13"/>
      <c r="N151" s="13"/>
      <c r="O151" s="14"/>
      <c r="P151" s="14"/>
    </row>
    <row r="152" hidden="1">
      <c r="A152" s="6" t="s">
        <v>204</v>
      </c>
      <c r="B152" s="16" t="s">
        <v>122</v>
      </c>
      <c r="C152" s="16" t="s">
        <v>123</v>
      </c>
      <c r="D152" s="16" t="s">
        <v>124</v>
      </c>
      <c r="E152" s="17">
        <v>0.0</v>
      </c>
      <c r="F152" s="18">
        <v>1.0</v>
      </c>
      <c r="G152" s="18">
        <v>0.0</v>
      </c>
      <c r="H152" s="10">
        <v>4.0</v>
      </c>
      <c r="I152" s="19">
        <v>4.0</v>
      </c>
      <c r="J152" s="12"/>
      <c r="K152" s="12">
        <f t="shared" si="1"/>
        <v>2500</v>
      </c>
      <c r="L152" s="13" t="str">
        <f> E152 &amp; " 5-star + " &amp; F152 &amp; " RFC + " &amp; G151 &amp; " DME + " &amp; H152 &amp; " Patient Portal Login + " &amp; I152 &amp; " Completed Task"
</f>
        <v>0 5-star + 1 RFC + 3 DME + 4 Patient Portal Login + 4 Completed Task</v>
      </c>
      <c r="M152" s="13"/>
      <c r="N152" s="13"/>
      <c r="O152" s="14"/>
      <c r="P152" s="14"/>
    </row>
    <row r="153" hidden="1">
      <c r="A153" s="6" t="s">
        <v>204</v>
      </c>
      <c r="B153" s="16" t="s">
        <v>125</v>
      </c>
      <c r="C153" s="16" t="s">
        <v>126</v>
      </c>
      <c r="D153" s="16" t="s">
        <v>127</v>
      </c>
      <c r="E153" s="17">
        <v>1.0</v>
      </c>
      <c r="F153" s="18">
        <v>0.0</v>
      </c>
      <c r="G153" s="18">
        <v>0.0</v>
      </c>
      <c r="H153" s="10">
        <v>0.0</v>
      </c>
      <c r="I153" s="19">
        <v>4.0</v>
      </c>
      <c r="J153" s="12"/>
      <c r="K153" s="12">
        <f t="shared" si="1"/>
        <v>1250</v>
      </c>
      <c r="L153" s="13" t="str">
        <f t="shared" ref="L153:L164" si="7"> E153 &amp; " 5-star + " &amp; F153 &amp; " RFC + " &amp; G153 &amp; " DME + " &amp; H153 &amp; " Patient Portal Login + " &amp; I153 &amp; " Completed Task"
</f>
        <v>1 5-star + 0 RFC + 0 DME + 0 Patient Portal Login + 4 Completed Task</v>
      </c>
      <c r="M153" s="13"/>
      <c r="N153" s="13"/>
      <c r="O153" s="14"/>
      <c r="P153" s="14"/>
    </row>
    <row r="154" hidden="1">
      <c r="A154" s="6" t="s">
        <v>204</v>
      </c>
      <c r="B154" s="16" t="s">
        <v>128</v>
      </c>
      <c r="C154" s="16" t="s">
        <v>129</v>
      </c>
      <c r="D154" s="16" t="s">
        <v>130</v>
      </c>
      <c r="E154" s="17">
        <v>1.0</v>
      </c>
      <c r="F154" s="18">
        <v>0.0</v>
      </c>
      <c r="G154" s="18">
        <v>1.0</v>
      </c>
      <c r="H154" s="10">
        <v>4.0</v>
      </c>
      <c r="I154" s="19">
        <v>4.0</v>
      </c>
      <c r="J154" s="12"/>
      <c r="K154" s="12">
        <f t="shared" si="1"/>
        <v>2500</v>
      </c>
      <c r="L154" s="13" t="str">
        <f t="shared" si="7"/>
        <v>1 5-star + 0 RFC + 1 DME + 4 Patient Portal Login + 4 Completed Task</v>
      </c>
      <c r="M154" s="13"/>
      <c r="N154" s="13"/>
      <c r="O154" s="14"/>
      <c r="P154" s="14"/>
    </row>
    <row r="155" hidden="1">
      <c r="A155" s="6" t="s">
        <v>204</v>
      </c>
      <c r="B155" s="16" t="s">
        <v>131</v>
      </c>
      <c r="C155" s="16" t="s">
        <v>132</v>
      </c>
      <c r="D155" s="16" t="s">
        <v>133</v>
      </c>
      <c r="E155" s="17">
        <v>15.0</v>
      </c>
      <c r="F155" s="18">
        <v>0.0</v>
      </c>
      <c r="G155" s="18">
        <v>0.0</v>
      </c>
      <c r="H155" s="10">
        <v>0.0</v>
      </c>
      <c r="I155" s="19">
        <v>3.0</v>
      </c>
      <c r="J155" s="12"/>
      <c r="K155" s="12">
        <f t="shared" si="1"/>
        <v>4500</v>
      </c>
      <c r="L155" s="13" t="str">
        <f t="shared" si="7"/>
        <v>15 5-star + 0 RFC + 0 DME + 0 Patient Portal Login + 3 Completed Task</v>
      </c>
      <c r="M155" s="13"/>
      <c r="N155" s="13"/>
      <c r="O155" s="14"/>
      <c r="P155" s="14"/>
    </row>
    <row r="156" hidden="1">
      <c r="A156" s="6" t="s">
        <v>204</v>
      </c>
      <c r="B156" s="16" t="s">
        <v>134</v>
      </c>
      <c r="C156" s="16" t="s">
        <v>135</v>
      </c>
      <c r="D156" s="16" t="s">
        <v>136</v>
      </c>
      <c r="E156" s="17">
        <v>2.0</v>
      </c>
      <c r="F156" s="18">
        <v>0.0</v>
      </c>
      <c r="G156" s="18">
        <v>0.0</v>
      </c>
      <c r="H156" s="10">
        <v>0.0</v>
      </c>
      <c r="I156" s="19">
        <v>3.0</v>
      </c>
      <c r="J156" s="12"/>
      <c r="K156" s="12">
        <f t="shared" si="1"/>
        <v>1250</v>
      </c>
      <c r="L156" s="13" t="str">
        <f t="shared" si="7"/>
        <v>2 5-star + 0 RFC + 0 DME + 0 Patient Portal Login + 3 Completed Task</v>
      </c>
      <c r="M156" s="13"/>
      <c r="N156" s="13"/>
      <c r="O156" s="14"/>
      <c r="P156" s="14"/>
    </row>
    <row r="157" hidden="1">
      <c r="A157" s="6" t="s">
        <v>204</v>
      </c>
      <c r="B157" s="16" t="s">
        <v>137</v>
      </c>
      <c r="C157" s="16" t="s">
        <v>138</v>
      </c>
      <c r="D157" s="16" t="s">
        <v>139</v>
      </c>
      <c r="E157" s="17">
        <v>0.0</v>
      </c>
      <c r="F157" s="18">
        <v>5.0</v>
      </c>
      <c r="G157" s="18">
        <v>0.0</v>
      </c>
      <c r="H157" s="10">
        <v>7.0</v>
      </c>
      <c r="I157" s="19">
        <v>4.0</v>
      </c>
      <c r="J157" s="12"/>
      <c r="K157" s="12">
        <f t="shared" si="1"/>
        <v>5250</v>
      </c>
      <c r="L157" s="13" t="str">
        <f t="shared" si="7"/>
        <v>0 5-star + 5 RFC + 0 DME + 7 Patient Portal Login + 4 Completed Task</v>
      </c>
      <c r="M157" s="13"/>
      <c r="N157" s="13"/>
      <c r="O157" s="14"/>
      <c r="P157" s="14"/>
    </row>
    <row r="158" hidden="1">
      <c r="A158" s="6" t="s">
        <v>204</v>
      </c>
      <c r="B158" s="16" t="s">
        <v>140</v>
      </c>
      <c r="C158" s="16" t="s">
        <v>141</v>
      </c>
      <c r="D158" s="16" t="s">
        <v>142</v>
      </c>
      <c r="E158" s="17">
        <v>2.0</v>
      </c>
      <c r="F158" s="18">
        <v>0.0</v>
      </c>
      <c r="G158" s="18">
        <v>0.0</v>
      </c>
      <c r="H158" s="10">
        <v>0.0</v>
      </c>
      <c r="I158" s="19">
        <v>4.0</v>
      </c>
      <c r="J158" s="12"/>
      <c r="K158" s="12">
        <f t="shared" si="1"/>
        <v>1500</v>
      </c>
      <c r="L158" s="13" t="str">
        <f t="shared" si="7"/>
        <v>2 5-star + 0 RFC + 0 DME + 0 Patient Portal Login + 4 Completed Task</v>
      </c>
      <c r="M158" s="13"/>
      <c r="N158" s="13"/>
      <c r="O158" s="14"/>
      <c r="P158" s="14"/>
    </row>
    <row r="159" hidden="1">
      <c r="A159" s="6" t="s">
        <v>204</v>
      </c>
      <c r="B159" s="16" t="s">
        <v>143</v>
      </c>
      <c r="C159" s="16" t="s">
        <v>144</v>
      </c>
      <c r="D159" s="16" t="s">
        <v>145</v>
      </c>
      <c r="E159" s="17">
        <v>0.0</v>
      </c>
      <c r="F159" s="18">
        <v>0.0</v>
      </c>
      <c r="G159" s="18">
        <v>0.0</v>
      </c>
      <c r="H159" s="10">
        <v>0.0</v>
      </c>
      <c r="I159" s="19">
        <v>4.0</v>
      </c>
      <c r="J159" s="12"/>
      <c r="K159" s="12">
        <f t="shared" si="1"/>
        <v>1000</v>
      </c>
      <c r="L159" s="13" t="str">
        <f t="shared" si="7"/>
        <v>0 5-star + 0 RFC + 0 DME + 0 Patient Portal Login + 4 Completed Task</v>
      </c>
      <c r="M159" s="13"/>
      <c r="N159" s="13"/>
      <c r="O159" s="14"/>
      <c r="P159" s="14"/>
    </row>
    <row r="160" hidden="1">
      <c r="A160" s="6" t="s">
        <v>204</v>
      </c>
      <c r="B160" s="16" t="s">
        <v>146</v>
      </c>
      <c r="C160" s="16" t="s">
        <v>147</v>
      </c>
      <c r="D160" s="16" t="s">
        <v>148</v>
      </c>
      <c r="E160" s="17">
        <v>0.0</v>
      </c>
      <c r="F160" s="18">
        <v>2.0</v>
      </c>
      <c r="G160" s="18">
        <v>3.0</v>
      </c>
      <c r="H160" s="10">
        <v>2.0</v>
      </c>
      <c r="I160" s="19">
        <v>4.0</v>
      </c>
      <c r="J160" s="12"/>
      <c r="K160" s="12">
        <f t="shared" si="1"/>
        <v>3250</v>
      </c>
      <c r="L160" s="13" t="str">
        <f t="shared" si="7"/>
        <v>0 5-star + 2 RFC + 3 DME + 2 Patient Portal Login + 4 Completed Task</v>
      </c>
      <c r="M160" s="13"/>
      <c r="N160" s="13"/>
      <c r="O160" s="14"/>
      <c r="P160" s="14"/>
    </row>
    <row r="161" hidden="1">
      <c r="A161" s="6" t="s">
        <v>204</v>
      </c>
      <c r="B161" s="16" t="s">
        <v>149</v>
      </c>
      <c r="C161" s="16" t="s">
        <v>150</v>
      </c>
      <c r="D161" s="16" t="s">
        <v>151</v>
      </c>
      <c r="E161" s="17">
        <v>0.0</v>
      </c>
      <c r="F161" s="18">
        <v>1.0</v>
      </c>
      <c r="G161" s="18">
        <v>0.0</v>
      </c>
      <c r="H161" s="10">
        <v>0.0</v>
      </c>
      <c r="I161" s="19">
        <v>2.0</v>
      </c>
      <c r="J161" s="12"/>
      <c r="K161" s="12">
        <f t="shared" si="1"/>
        <v>1000</v>
      </c>
      <c r="L161" s="13" t="str">
        <f t="shared" si="7"/>
        <v>0 5-star + 1 RFC + 0 DME + 0 Patient Portal Login + 2 Completed Task</v>
      </c>
      <c r="M161" s="13"/>
      <c r="N161" s="13"/>
      <c r="O161" s="14"/>
      <c r="P161" s="14"/>
    </row>
    <row r="162" hidden="1">
      <c r="A162" s="6" t="s">
        <v>204</v>
      </c>
      <c r="B162" s="16" t="s">
        <v>152</v>
      </c>
      <c r="C162" s="16" t="s">
        <v>153</v>
      </c>
      <c r="D162" s="16" t="s">
        <v>154</v>
      </c>
      <c r="E162" s="17">
        <v>0.0</v>
      </c>
      <c r="F162" s="18">
        <v>0.0</v>
      </c>
      <c r="G162" s="18">
        <v>1.0</v>
      </c>
      <c r="H162" s="10">
        <v>0.0</v>
      </c>
      <c r="I162" s="19">
        <v>4.0</v>
      </c>
      <c r="J162" s="12"/>
      <c r="K162" s="12">
        <f t="shared" si="1"/>
        <v>1250</v>
      </c>
      <c r="L162" s="13" t="str">
        <f t="shared" si="7"/>
        <v>0 5-star + 0 RFC + 1 DME + 0 Patient Portal Login + 4 Completed Task</v>
      </c>
      <c r="M162" s="13"/>
      <c r="N162" s="13"/>
      <c r="O162" s="14"/>
      <c r="P162" s="14"/>
    </row>
    <row r="163" hidden="1">
      <c r="A163" s="6" t="s">
        <v>204</v>
      </c>
      <c r="B163" s="16" t="s">
        <v>155</v>
      </c>
      <c r="C163" s="16" t="s">
        <v>156</v>
      </c>
      <c r="D163" s="16" t="s">
        <v>157</v>
      </c>
      <c r="E163" s="17">
        <v>1.0</v>
      </c>
      <c r="F163" s="18">
        <v>0.0</v>
      </c>
      <c r="G163" s="18">
        <v>0.0</v>
      </c>
      <c r="H163" s="10">
        <v>1.0</v>
      </c>
      <c r="I163" s="19">
        <v>4.0</v>
      </c>
      <c r="J163" s="12"/>
      <c r="K163" s="12">
        <f t="shared" si="1"/>
        <v>1500</v>
      </c>
      <c r="L163" s="13" t="str">
        <f t="shared" si="7"/>
        <v>1 5-star + 0 RFC + 0 DME + 1 Patient Portal Login + 4 Completed Task</v>
      </c>
      <c r="M163" s="13"/>
      <c r="N163" s="13"/>
      <c r="O163" s="14"/>
      <c r="P163" s="14"/>
    </row>
    <row r="164" hidden="1">
      <c r="A164" s="6" t="s">
        <v>204</v>
      </c>
      <c r="B164" s="16" t="s">
        <v>158</v>
      </c>
      <c r="C164" s="16" t="s">
        <v>159</v>
      </c>
      <c r="D164" s="16" t="s">
        <v>160</v>
      </c>
      <c r="E164" s="17">
        <v>1.0</v>
      </c>
      <c r="F164" s="18">
        <v>0.0</v>
      </c>
      <c r="G164" s="18">
        <v>0.0</v>
      </c>
      <c r="H164" s="10">
        <v>1.0</v>
      </c>
      <c r="I164" s="19">
        <v>4.0</v>
      </c>
      <c r="J164" s="12"/>
      <c r="K164" s="12">
        <f t="shared" si="1"/>
        <v>1500</v>
      </c>
      <c r="L164" s="13" t="str">
        <f t="shared" si="7"/>
        <v>1 5-star + 0 RFC + 0 DME + 1 Patient Portal Login + 4 Completed Task</v>
      </c>
      <c r="M164" s="13"/>
      <c r="N164" s="13"/>
      <c r="O164" s="14"/>
      <c r="P164" s="14"/>
    </row>
    <row r="165" hidden="1">
      <c r="A165" s="6" t="s">
        <v>204</v>
      </c>
      <c r="B165" s="20" t="s">
        <v>161</v>
      </c>
      <c r="C165" s="20" t="s">
        <v>162</v>
      </c>
      <c r="D165" s="20" t="s">
        <v>163</v>
      </c>
      <c r="E165" s="17">
        <v>0.0</v>
      </c>
      <c r="F165" s="18">
        <v>0.0</v>
      </c>
      <c r="G165" s="18">
        <v>0.0</v>
      </c>
      <c r="H165" s="10">
        <v>3.0</v>
      </c>
      <c r="I165" s="19">
        <v>3.0</v>
      </c>
      <c r="J165" s="12"/>
      <c r="K165" s="12">
        <f t="shared" si="1"/>
        <v>1500</v>
      </c>
      <c r="L165" s="13" t="str">
        <f> E165 &amp; " 5-star + " &amp; E152 &amp; " RFC + " &amp; G165 &amp; " DME + " &amp; H165 &amp; " Patient Portal Login + " &amp; I165 &amp; " Completed Task"
</f>
        <v>0 5-star + 0 RFC + 0 DME + 3 Patient Portal Login + 3 Completed Task</v>
      </c>
      <c r="M165" s="13"/>
      <c r="N165" s="13"/>
      <c r="O165" s="14"/>
      <c r="P165" s="14"/>
    </row>
    <row r="166" hidden="1">
      <c r="A166" s="6" t="s">
        <v>204</v>
      </c>
      <c r="B166" s="20" t="s">
        <v>164</v>
      </c>
      <c r="C166" s="20" t="s">
        <v>165</v>
      </c>
      <c r="D166" s="20" t="s">
        <v>166</v>
      </c>
      <c r="E166" s="17">
        <v>0.0</v>
      </c>
      <c r="F166" s="18">
        <v>2.0</v>
      </c>
      <c r="G166" s="18">
        <v>0.0</v>
      </c>
      <c r="H166" s="10">
        <v>0.0</v>
      </c>
      <c r="I166" s="19">
        <v>4.0</v>
      </c>
      <c r="J166" s="12"/>
      <c r="K166" s="12">
        <f t="shared" si="1"/>
        <v>2000</v>
      </c>
      <c r="L166" s="13" t="str">
        <f t="shared" ref="L166:L207" si="8"> E166 &amp; " 5-star + " &amp; F166 &amp; " RFC + " &amp; G166 &amp; " DME + " &amp; H166 &amp; " Patient Portal Login + " &amp; I166 &amp; " Completed Task"
</f>
        <v>0 5-star + 2 RFC + 0 DME + 0 Patient Portal Login + 4 Completed Task</v>
      </c>
      <c r="M166" s="13"/>
      <c r="N166" s="13"/>
      <c r="O166" s="14"/>
      <c r="P166" s="14"/>
    </row>
    <row r="167" hidden="1">
      <c r="A167" s="6" t="s">
        <v>204</v>
      </c>
      <c r="B167" s="20" t="s">
        <v>167</v>
      </c>
      <c r="C167" s="20" t="s">
        <v>168</v>
      </c>
      <c r="D167" s="20" t="s">
        <v>169</v>
      </c>
      <c r="E167" s="17">
        <v>0.0</v>
      </c>
      <c r="F167" s="18">
        <v>0.0</v>
      </c>
      <c r="G167" s="18">
        <v>6.0</v>
      </c>
      <c r="H167" s="10">
        <v>1.0</v>
      </c>
      <c r="I167" s="19">
        <v>4.0</v>
      </c>
      <c r="J167" s="12"/>
      <c r="K167" s="12">
        <f t="shared" si="1"/>
        <v>2750</v>
      </c>
      <c r="L167" s="13" t="str">
        <f t="shared" si="8"/>
        <v>0 5-star + 0 RFC + 6 DME + 1 Patient Portal Login + 4 Completed Task</v>
      </c>
      <c r="M167" s="13"/>
      <c r="N167" s="13"/>
      <c r="O167" s="14"/>
      <c r="P167" s="14"/>
    </row>
    <row r="168" hidden="1">
      <c r="A168" s="6" t="s">
        <v>204</v>
      </c>
      <c r="B168" s="20" t="s">
        <v>170</v>
      </c>
      <c r="C168" s="20" t="s">
        <v>171</v>
      </c>
      <c r="D168" s="20" t="s">
        <v>172</v>
      </c>
      <c r="E168" s="17">
        <v>0.0</v>
      </c>
      <c r="F168" s="18">
        <v>1.0</v>
      </c>
      <c r="G168" s="18">
        <v>1.0</v>
      </c>
      <c r="H168" s="10">
        <v>9.0</v>
      </c>
      <c r="I168" s="19">
        <v>4.0</v>
      </c>
      <c r="J168" s="12"/>
      <c r="K168" s="12">
        <f t="shared" si="1"/>
        <v>4000</v>
      </c>
      <c r="L168" s="13" t="str">
        <f t="shared" si="8"/>
        <v>0 5-star + 1 RFC + 1 DME + 9 Patient Portal Login + 4 Completed Task</v>
      </c>
      <c r="M168" s="13"/>
      <c r="N168" s="13"/>
      <c r="O168" s="14"/>
      <c r="P168" s="14"/>
    </row>
    <row r="169" hidden="1">
      <c r="A169" s="6" t="s">
        <v>204</v>
      </c>
      <c r="B169" s="16" t="s">
        <v>173</v>
      </c>
      <c r="C169" s="16" t="s">
        <v>174</v>
      </c>
      <c r="D169" s="16" t="s">
        <v>175</v>
      </c>
      <c r="E169" s="17">
        <v>0.0</v>
      </c>
      <c r="F169" s="18">
        <v>0.0</v>
      </c>
      <c r="G169" s="18">
        <v>0.0</v>
      </c>
      <c r="H169" s="10">
        <v>2.0</v>
      </c>
      <c r="I169" s="19">
        <v>2.0</v>
      </c>
      <c r="J169" s="12"/>
      <c r="K169" s="12">
        <f t="shared" si="1"/>
        <v>1000</v>
      </c>
      <c r="L169" s="13" t="str">
        <f t="shared" si="8"/>
        <v>0 5-star + 0 RFC + 0 DME + 2 Patient Portal Login + 2 Completed Task</v>
      </c>
      <c r="M169" s="13"/>
      <c r="N169" s="13"/>
      <c r="O169" s="14"/>
      <c r="P169" s="14"/>
    </row>
    <row r="170" hidden="1">
      <c r="A170" s="6" t="s">
        <v>204</v>
      </c>
      <c r="B170" s="16" t="s">
        <v>176</v>
      </c>
      <c r="C170" s="16" t="s">
        <v>177</v>
      </c>
      <c r="D170" s="16" t="s">
        <v>178</v>
      </c>
      <c r="E170" s="17">
        <v>1.0</v>
      </c>
      <c r="F170" s="18">
        <v>2.0</v>
      </c>
      <c r="G170" s="18">
        <v>0.0</v>
      </c>
      <c r="H170" s="10">
        <v>0.0</v>
      </c>
      <c r="I170" s="19">
        <v>3.0</v>
      </c>
      <c r="J170" s="12"/>
      <c r="K170" s="12">
        <f t="shared" si="1"/>
        <v>2000</v>
      </c>
      <c r="L170" s="13" t="str">
        <f t="shared" si="8"/>
        <v>1 5-star + 2 RFC + 0 DME + 0 Patient Portal Login + 3 Completed Task</v>
      </c>
      <c r="M170" s="13"/>
      <c r="N170" s="13"/>
      <c r="O170" s="14"/>
      <c r="P170" s="14"/>
    </row>
    <row r="171" hidden="1">
      <c r="A171" s="6" t="s">
        <v>204</v>
      </c>
      <c r="B171" s="21" t="s">
        <v>179</v>
      </c>
      <c r="C171" s="21" t="s">
        <v>180</v>
      </c>
      <c r="D171" s="21" t="s">
        <v>181</v>
      </c>
      <c r="E171" s="17">
        <v>0.0</v>
      </c>
      <c r="F171" s="18">
        <v>5.0</v>
      </c>
      <c r="G171" s="18">
        <v>3.0</v>
      </c>
      <c r="H171" s="10">
        <v>2.0</v>
      </c>
      <c r="I171" s="19">
        <v>4.0</v>
      </c>
      <c r="J171" s="12"/>
      <c r="K171" s="12">
        <f t="shared" si="1"/>
        <v>4750</v>
      </c>
      <c r="L171" s="13" t="str">
        <f t="shared" si="8"/>
        <v>0 5-star + 5 RFC + 3 DME + 2 Patient Portal Login + 4 Completed Task</v>
      </c>
      <c r="M171" s="13"/>
      <c r="N171" s="13"/>
      <c r="O171" s="23"/>
      <c r="P171" s="23"/>
    </row>
    <row r="172" hidden="1">
      <c r="A172" s="6" t="s">
        <v>204</v>
      </c>
      <c r="B172" s="21" t="s">
        <v>182</v>
      </c>
      <c r="C172" s="21" t="s">
        <v>183</v>
      </c>
      <c r="D172" s="21" t="s">
        <v>184</v>
      </c>
      <c r="E172" s="17">
        <v>0.0</v>
      </c>
      <c r="F172" s="18">
        <v>0.0</v>
      </c>
      <c r="G172" s="18">
        <v>0.0</v>
      </c>
      <c r="H172" s="10">
        <v>0.0</v>
      </c>
      <c r="I172" s="19">
        <v>4.0</v>
      </c>
      <c r="J172" s="12"/>
      <c r="K172" s="12">
        <f t="shared" si="1"/>
        <v>1000</v>
      </c>
      <c r="L172" s="13" t="str">
        <f t="shared" si="8"/>
        <v>0 5-star + 0 RFC + 0 DME + 0 Patient Portal Login + 4 Completed Task</v>
      </c>
      <c r="M172" s="13"/>
      <c r="N172" s="13"/>
      <c r="O172" s="23"/>
      <c r="P172" s="23"/>
    </row>
    <row r="173" hidden="1">
      <c r="A173" s="6" t="s">
        <v>204</v>
      </c>
      <c r="B173" s="21" t="s">
        <v>185</v>
      </c>
      <c r="C173" s="21" t="s">
        <v>186</v>
      </c>
      <c r="D173" s="21" t="s">
        <v>187</v>
      </c>
      <c r="E173" s="17">
        <v>23.0</v>
      </c>
      <c r="F173" s="18">
        <v>1.0</v>
      </c>
      <c r="G173" s="18">
        <v>0.0</v>
      </c>
      <c r="H173" s="10">
        <v>1.0</v>
      </c>
      <c r="I173" s="19">
        <v>3.0</v>
      </c>
      <c r="J173" s="12"/>
      <c r="K173" s="12">
        <f t="shared" si="1"/>
        <v>7250</v>
      </c>
      <c r="L173" s="13" t="str">
        <f t="shared" si="8"/>
        <v>23 5-star + 1 RFC + 0 DME + 1 Patient Portal Login + 3 Completed Task</v>
      </c>
      <c r="M173" s="13"/>
      <c r="N173" s="13"/>
      <c r="O173" s="23"/>
      <c r="P173" s="23"/>
    </row>
    <row r="174" hidden="1">
      <c r="A174" s="6" t="s">
        <v>204</v>
      </c>
      <c r="B174" s="21" t="s">
        <v>188</v>
      </c>
      <c r="C174" s="21" t="s">
        <v>189</v>
      </c>
      <c r="D174" s="21" t="s">
        <v>190</v>
      </c>
      <c r="E174" s="17">
        <v>0.0</v>
      </c>
      <c r="F174" s="18">
        <v>1.0</v>
      </c>
      <c r="G174" s="18">
        <v>1.0</v>
      </c>
      <c r="H174" s="10">
        <v>0.0</v>
      </c>
      <c r="I174" s="19">
        <v>4.0</v>
      </c>
      <c r="J174" s="12"/>
      <c r="K174" s="12">
        <f t="shared" si="1"/>
        <v>1750</v>
      </c>
      <c r="L174" s="13" t="str">
        <f t="shared" si="8"/>
        <v>0 5-star + 1 RFC + 1 DME + 0 Patient Portal Login + 4 Completed Task</v>
      </c>
      <c r="M174" s="13"/>
      <c r="N174" s="13"/>
      <c r="O174" s="23"/>
      <c r="P174" s="23"/>
    </row>
    <row r="175" hidden="1">
      <c r="A175" s="6" t="s">
        <v>204</v>
      </c>
      <c r="B175" s="21" t="s">
        <v>191</v>
      </c>
      <c r="C175" s="21" t="s">
        <v>192</v>
      </c>
      <c r="D175" s="21" t="s">
        <v>193</v>
      </c>
      <c r="E175" s="17">
        <v>0.0</v>
      </c>
      <c r="F175" s="18">
        <v>0.0</v>
      </c>
      <c r="G175" s="18">
        <v>0.0</v>
      </c>
      <c r="H175" s="10">
        <v>0.0</v>
      </c>
      <c r="I175" s="19">
        <v>3.0</v>
      </c>
      <c r="J175" s="12"/>
      <c r="K175" s="12">
        <f t="shared" si="1"/>
        <v>750</v>
      </c>
      <c r="L175" s="13" t="str">
        <f t="shared" si="8"/>
        <v>0 5-star + 0 RFC + 0 DME + 0 Patient Portal Login + 3 Completed Task</v>
      </c>
      <c r="M175" s="13"/>
      <c r="N175" s="13"/>
      <c r="O175" s="23"/>
      <c r="P175" s="23"/>
    </row>
    <row r="176" hidden="1">
      <c r="A176" s="6" t="s">
        <v>204</v>
      </c>
      <c r="B176" s="21" t="s">
        <v>194</v>
      </c>
      <c r="C176" s="21" t="s">
        <v>195</v>
      </c>
      <c r="D176" s="21" t="s">
        <v>196</v>
      </c>
      <c r="E176" s="17">
        <v>0.0</v>
      </c>
      <c r="F176" s="18">
        <v>0.0</v>
      </c>
      <c r="G176" s="18">
        <v>0.0</v>
      </c>
      <c r="H176" s="10">
        <v>0.0</v>
      </c>
      <c r="I176" s="19">
        <v>2.0</v>
      </c>
      <c r="J176" s="12"/>
      <c r="K176" s="12">
        <f t="shared" si="1"/>
        <v>500</v>
      </c>
      <c r="L176" s="13" t="str">
        <f t="shared" si="8"/>
        <v>0 5-star + 0 RFC + 0 DME + 0 Patient Portal Login + 2 Completed Task</v>
      </c>
      <c r="M176" s="13"/>
      <c r="N176" s="13"/>
      <c r="O176" s="23"/>
      <c r="P176" s="23"/>
    </row>
    <row r="177" hidden="1">
      <c r="A177" s="6" t="s">
        <v>204</v>
      </c>
      <c r="B177" s="21" t="s">
        <v>197</v>
      </c>
      <c r="C177" s="21" t="s">
        <v>198</v>
      </c>
      <c r="D177" s="21" t="s">
        <v>199</v>
      </c>
      <c r="E177" s="17">
        <v>0.0</v>
      </c>
      <c r="F177" s="18">
        <v>4.0</v>
      </c>
      <c r="G177" s="18">
        <v>0.0</v>
      </c>
      <c r="H177" s="10">
        <v>0.0</v>
      </c>
      <c r="I177" s="19">
        <v>4.0</v>
      </c>
      <c r="J177" s="12"/>
      <c r="K177" s="12">
        <f t="shared" si="1"/>
        <v>3000</v>
      </c>
      <c r="L177" s="13" t="str">
        <f t="shared" si="8"/>
        <v>0 5-star + 4 RFC + 0 DME + 0 Patient Portal Login + 4 Completed Task</v>
      </c>
      <c r="M177" s="13"/>
      <c r="N177" s="13"/>
      <c r="O177" s="23"/>
      <c r="P177" s="23"/>
    </row>
    <row r="178" hidden="1">
      <c r="A178" s="6" t="s">
        <v>204</v>
      </c>
      <c r="B178" s="21" t="s">
        <v>200</v>
      </c>
      <c r="C178" s="21" t="s">
        <v>201</v>
      </c>
      <c r="D178" s="21" t="s">
        <v>202</v>
      </c>
      <c r="E178" s="17">
        <v>0.0</v>
      </c>
      <c r="F178" s="18">
        <v>0.0</v>
      </c>
      <c r="G178" s="18">
        <v>0.0</v>
      </c>
      <c r="H178" s="10">
        <v>0.0</v>
      </c>
      <c r="I178" s="19">
        <v>3.0</v>
      </c>
      <c r="J178" s="12"/>
      <c r="K178" s="12">
        <f t="shared" si="1"/>
        <v>750</v>
      </c>
      <c r="L178" s="13" t="str">
        <f t="shared" si="8"/>
        <v>0 5-star + 0 RFC + 0 DME + 0 Patient Portal Login + 3 Completed Task</v>
      </c>
      <c r="M178" s="13"/>
      <c r="N178" s="13"/>
      <c r="O178" s="23"/>
      <c r="P178" s="23"/>
    </row>
    <row r="179" hidden="1">
      <c r="A179" s="6" t="s">
        <v>205</v>
      </c>
      <c r="B179" s="16" t="s">
        <v>35</v>
      </c>
      <c r="C179" s="16" t="s">
        <v>36</v>
      </c>
      <c r="D179" s="16" t="s">
        <v>37</v>
      </c>
      <c r="E179" s="17">
        <v>10.0</v>
      </c>
      <c r="F179" s="18">
        <v>0.0</v>
      </c>
      <c r="G179" s="18">
        <v>0.0</v>
      </c>
      <c r="H179" s="10">
        <v>6.0</v>
      </c>
      <c r="I179" s="19">
        <v>3.0</v>
      </c>
      <c r="J179" s="12"/>
      <c r="K179" s="12">
        <f t="shared" si="1"/>
        <v>4750</v>
      </c>
      <c r="L179" s="13" t="str">
        <f t="shared" si="8"/>
        <v>10 5-star + 0 RFC + 0 DME + 6 Patient Portal Login + 3 Completed Task</v>
      </c>
      <c r="M179" s="13"/>
      <c r="N179" s="13"/>
      <c r="O179" s="14"/>
      <c r="P179" s="14"/>
    </row>
    <row r="180" hidden="1">
      <c r="A180" s="6" t="s">
        <v>205</v>
      </c>
      <c r="B180" s="16" t="s">
        <v>38</v>
      </c>
      <c r="C180" s="16" t="s">
        <v>39</v>
      </c>
      <c r="D180" s="16" t="s">
        <v>40</v>
      </c>
      <c r="E180" s="17">
        <v>5.0</v>
      </c>
      <c r="F180" s="18">
        <v>0.0</v>
      </c>
      <c r="G180" s="18">
        <v>0.0</v>
      </c>
      <c r="H180" s="10">
        <v>6.0</v>
      </c>
      <c r="I180" s="19">
        <v>4.0</v>
      </c>
      <c r="J180" s="12"/>
      <c r="K180" s="12">
        <f t="shared" si="1"/>
        <v>3750</v>
      </c>
      <c r="L180" s="13" t="str">
        <f t="shared" si="8"/>
        <v>5 5-star + 0 RFC + 0 DME + 6 Patient Portal Login + 4 Completed Task</v>
      </c>
      <c r="M180" s="13"/>
      <c r="N180" s="13"/>
      <c r="O180" s="14"/>
      <c r="P180" s="14"/>
    </row>
    <row r="181" hidden="1">
      <c r="A181" s="6" t="s">
        <v>205</v>
      </c>
      <c r="B181" s="16" t="s">
        <v>41</v>
      </c>
      <c r="C181" s="16" t="s">
        <v>42</v>
      </c>
      <c r="D181" s="16" t="s">
        <v>43</v>
      </c>
      <c r="E181" s="17">
        <v>1.0</v>
      </c>
      <c r="F181" s="18">
        <v>0.0</v>
      </c>
      <c r="G181" s="18">
        <v>0.0</v>
      </c>
      <c r="H181" s="10">
        <v>2.0</v>
      </c>
      <c r="I181" s="19">
        <v>5.0</v>
      </c>
      <c r="J181" s="12"/>
      <c r="K181" s="12">
        <f t="shared" si="1"/>
        <v>2000</v>
      </c>
      <c r="L181" s="13" t="str">
        <f t="shared" si="8"/>
        <v>1 5-star + 0 RFC + 0 DME + 2 Patient Portal Login + 5 Completed Task</v>
      </c>
      <c r="M181" s="13"/>
      <c r="N181" s="13"/>
      <c r="O181" s="14"/>
      <c r="P181" s="14"/>
    </row>
    <row r="182" hidden="1">
      <c r="A182" s="6" t="s">
        <v>205</v>
      </c>
      <c r="B182" s="16" t="s">
        <v>44</v>
      </c>
      <c r="C182" s="16" t="s">
        <v>45</v>
      </c>
      <c r="D182" s="16" t="s">
        <v>46</v>
      </c>
      <c r="E182" s="17">
        <v>0.0</v>
      </c>
      <c r="F182" s="18">
        <v>0.0</v>
      </c>
      <c r="G182" s="18">
        <v>0.0</v>
      </c>
      <c r="H182" s="10">
        <v>4.0</v>
      </c>
      <c r="I182" s="19">
        <v>5.0</v>
      </c>
      <c r="J182" s="12"/>
      <c r="K182" s="12">
        <f t="shared" si="1"/>
        <v>2250</v>
      </c>
      <c r="L182" s="13" t="str">
        <f t="shared" si="8"/>
        <v>0 5-star + 0 RFC + 0 DME + 4 Patient Portal Login + 5 Completed Task</v>
      </c>
      <c r="M182" s="13"/>
      <c r="N182" s="13"/>
      <c r="O182" s="14"/>
      <c r="P182" s="14"/>
    </row>
    <row r="183" hidden="1">
      <c r="A183" s="6" t="s">
        <v>205</v>
      </c>
      <c r="B183" s="16" t="s">
        <v>47</v>
      </c>
      <c r="C183" s="16" t="s">
        <v>48</v>
      </c>
      <c r="D183" s="16" t="s">
        <v>49</v>
      </c>
      <c r="E183" s="17">
        <v>2.0</v>
      </c>
      <c r="F183" s="18">
        <v>0.0</v>
      </c>
      <c r="G183" s="18">
        <v>1.0</v>
      </c>
      <c r="H183" s="10">
        <v>2.0</v>
      </c>
      <c r="I183" s="19">
        <v>0.0</v>
      </c>
      <c r="J183" s="12"/>
      <c r="K183" s="12">
        <f t="shared" si="1"/>
        <v>1250</v>
      </c>
      <c r="L183" s="13" t="str">
        <f t="shared" si="8"/>
        <v>2 5-star + 0 RFC + 1 DME + 2 Patient Portal Login + 0 Completed Task</v>
      </c>
      <c r="M183" s="13"/>
      <c r="N183" s="13"/>
      <c r="O183" s="14"/>
      <c r="P183" s="14"/>
    </row>
    <row r="184" hidden="1">
      <c r="A184" s="6" t="s">
        <v>205</v>
      </c>
      <c r="B184" s="16" t="s">
        <v>50</v>
      </c>
      <c r="C184" s="16" t="s">
        <v>51</v>
      </c>
      <c r="D184" s="16" t="s">
        <v>52</v>
      </c>
      <c r="E184" s="17">
        <v>0.0</v>
      </c>
      <c r="F184" s="18">
        <v>0.0</v>
      </c>
      <c r="G184" s="18">
        <v>0.0</v>
      </c>
      <c r="H184" s="10">
        <v>3.0</v>
      </c>
      <c r="I184" s="24">
        <v>1.0</v>
      </c>
      <c r="J184" s="12"/>
      <c r="K184" s="12">
        <f t="shared" si="1"/>
        <v>1000</v>
      </c>
      <c r="L184" s="13" t="str">
        <f t="shared" si="8"/>
        <v>0 5-star + 0 RFC + 0 DME + 3 Patient Portal Login + 1 Completed Task</v>
      </c>
      <c r="M184" s="13"/>
      <c r="N184" s="13"/>
      <c r="O184" s="14"/>
      <c r="P184" s="14"/>
    </row>
    <row r="185" hidden="1">
      <c r="A185" s="6" t="s">
        <v>205</v>
      </c>
      <c r="B185" s="16" t="s">
        <v>53</v>
      </c>
      <c r="C185" s="16" t="s">
        <v>54</v>
      </c>
      <c r="D185" s="16" t="s">
        <v>55</v>
      </c>
      <c r="E185" s="17">
        <v>0.0</v>
      </c>
      <c r="F185" s="18">
        <v>3.0</v>
      </c>
      <c r="G185" s="18">
        <v>2.0</v>
      </c>
      <c r="H185" s="10">
        <v>0.0</v>
      </c>
      <c r="I185" s="19">
        <v>5.0</v>
      </c>
      <c r="J185" s="12"/>
      <c r="K185" s="12">
        <f t="shared" si="1"/>
        <v>3250</v>
      </c>
      <c r="L185" s="13" t="str">
        <f t="shared" si="8"/>
        <v>0 5-star + 3 RFC + 2 DME + 0 Patient Portal Login + 5 Completed Task</v>
      </c>
      <c r="M185" s="13"/>
      <c r="N185" s="13"/>
      <c r="O185" s="14"/>
      <c r="P185" s="14"/>
    </row>
    <row r="186" hidden="1">
      <c r="A186" s="6" t="s">
        <v>205</v>
      </c>
      <c r="B186" s="16" t="s">
        <v>56</v>
      </c>
      <c r="C186" s="16" t="s">
        <v>57</v>
      </c>
      <c r="D186" s="16" t="s">
        <v>58</v>
      </c>
      <c r="E186" s="17">
        <v>2.0</v>
      </c>
      <c r="F186" s="18">
        <v>0.0</v>
      </c>
      <c r="G186" s="18">
        <v>0.0</v>
      </c>
      <c r="H186" s="10">
        <v>0.0</v>
      </c>
      <c r="I186" s="19">
        <v>5.0</v>
      </c>
      <c r="J186" s="12"/>
      <c r="K186" s="12">
        <f t="shared" si="1"/>
        <v>1750</v>
      </c>
      <c r="L186" s="13" t="str">
        <f t="shared" si="8"/>
        <v>2 5-star + 0 RFC + 0 DME + 0 Patient Portal Login + 5 Completed Task</v>
      </c>
      <c r="M186" s="13"/>
      <c r="N186" s="13"/>
      <c r="O186" s="14"/>
      <c r="P186" s="14"/>
    </row>
    <row r="187" hidden="1">
      <c r="A187" s="6" t="s">
        <v>205</v>
      </c>
      <c r="B187" s="16" t="s">
        <v>59</v>
      </c>
      <c r="C187" s="16" t="s">
        <v>60</v>
      </c>
      <c r="D187" s="16" t="s">
        <v>61</v>
      </c>
      <c r="E187" s="17">
        <v>0.0</v>
      </c>
      <c r="F187" s="18">
        <v>1.0</v>
      </c>
      <c r="G187" s="18">
        <v>0.0</v>
      </c>
      <c r="H187" s="10">
        <v>3.0</v>
      </c>
      <c r="I187" s="19">
        <v>3.0</v>
      </c>
      <c r="J187" s="12"/>
      <c r="K187" s="12">
        <f t="shared" si="1"/>
        <v>2000</v>
      </c>
      <c r="L187" s="13" t="str">
        <f t="shared" si="8"/>
        <v>0 5-star + 1 RFC + 0 DME + 3 Patient Portal Login + 3 Completed Task</v>
      </c>
      <c r="M187" s="13"/>
      <c r="N187" s="13"/>
      <c r="O187" s="14"/>
      <c r="P187" s="14"/>
    </row>
    <row r="188" hidden="1">
      <c r="A188" s="6" t="s">
        <v>205</v>
      </c>
      <c r="B188" s="16" t="s">
        <v>62</v>
      </c>
      <c r="C188" s="16" t="s">
        <v>63</v>
      </c>
      <c r="D188" s="16" t="s">
        <v>64</v>
      </c>
      <c r="E188" s="17">
        <v>0.0</v>
      </c>
      <c r="F188" s="18">
        <v>0.0</v>
      </c>
      <c r="G188" s="18">
        <v>2.0</v>
      </c>
      <c r="H188" s="10">
        <v>0.0</v>
      </c>
      <c r="I188" s="19">
        <v>5.0</v>
      </c>
      <c r="J188" s="12"/>
      <c r="K188" s="12">
        <f t="shared" si="1"/>
        <v>1750</v>
      </c>
      <c r="L188" s="13" t="str">
        <f t="shared" si="8"/>
        <v>0 5-star + 0 RFC + 2 DME + 0 Patient Portal Login + 5 Completed Task</v>
      </c>
      <c r="M188" s="13"/>
      <c r="N188" s="13"/>
      <c r="O188" s="14"/>
      <c r="P188" s="14"/>
    </row>
    <row r="189" hidden="1">
      <c r="A189" s="6" t="s">
        <v>205</v>
      </c>
      <c r="B189" s="16" t="s">
        <v>65</v>
      </c>
      <c r="C189" s="16" t="s">
        <v>66</v>
      </c>
      <c r="D189" s="16" t="s">
        <v>67</v>
      </c>
      <c r="E189" s="17">
        <v>0.0</v>
      </c>
      <c r="F189" s="18">
        <v>2.0</v>
      </c>
      <c r="G189" s="18">
        <v>1.0</v>
      </c>
      <c r="H189" s="10">
        <v>0.0</v>
      </c>
      <c r="I189" s="19">
        <v>5.0</v>
      </c>
      <c r="J189" s="12"/>
      <c r="K189" s="12">
        <f t="shared" si="1"/>
        <v>2500</v>
      </c>
      <c r="L189" s="13" t="str">
        <f t="shared" si="8"/>
        <v>0 5-star + 2 RFC + 1 DME + 0 Patient Portal Login + 5 Completed Task</v>
      </c>
      <c r="M189" s="13"/>
      <c r="N189" s="13"/>
      <c r="O189" s="14"/>
      <c r="P189" s="14"/>
    </row>
    <row r="190" hidden="1">
      <c r="A190" s="6" t="s">
        <v>205</v>
      </c>
      <c r="B190" s="16" t="s">
        <v>68</v>
      </c>
      <c r="C190" s="16" t="s">
        <v>69</v>
      </c>
      <c r="D190" s="16" t="s">
        <v>70</v>
      </c>
      <c r="E190" s="17">
        <v>1.0</v>
      </c>
      <c r="F190" s="18">
        <v>0.0</v>
      </c>
      <c r="G190" s="18">
        <v>0.0</v>
      </c>
      <c r="H190" s="10">
        <v>0.0</v>
      </c>
      <c r="I190" s="19">
        <v>5.0</v>
      </c>
      <c r="J190" s="12"/>
      <c r="K190" s="12">
        <f t="shared" si="1"/>
        <v>1500</v>
      </c>
      <c r="L190" s="13" t="str">
        <f t="shared" si="8"/>
        <v>1 5-star + 0 RFC + 0 DME + 0 Patient Portal Login + 5 Completed Task</v>
      </c>
      <c r="M190" s="13"/>
      <c r="N190" s="13"/>
      <c r="O190" s="14"/>
      <c r="P190" s="14"/>
    </row>
    <row r="191" hidden="1">
      <c r="A191" s="6" t="s">
        <v>205</v>
      </c>
      <c r="B191" s="16" t="s">
        <v>71</v>
      </c>
      <c r="C191" s="16" t="s">
        <v>72</v>
      </c>
      <c r="D191" s="16" t="s">
        <v>73</v>
      </c>
      <c r="E191" s="17">
        <v>0.0</v>
      </c>
      <c r="F191" s="18">
        <v>5.0</v>
      </c>
      <c r="G191" s="18">
        <v>0.0</v>
      </c>
      <c r="H191" s="10">
        <v>4.0</v>
      </c>
      <c r="I191" s="19">
        <v>5.0</v>
      </c>
      <c r="J191" s="12"/>
      <c r="K191" s="12">
        <f t="shared" si="1"/>
        <v>4750</v>
      </c>
      <c r="L191" s="13" t="str">
        <f t="shared" si="8"/>
        <v>0 5-star + 5 RFC + 0 DME + 4 Patient Portal Login + 5 Completed Task</v>
      </c>
      <c r="M191" s="13"/>
      <c r="N191" s="13"/>
      <c r="O191" s="14"/>
      <c r="P191" s="14"/>
    </row>
    <row r="192" hidden="1">
      <c r="A192" s="6" t="s">
        <v>205</v>
      </c>
      <c r="B192" s="16" t="s">
        <v>74</v>
      </c>
      <c r="C192" s="16" t="s">
        <v>75</v>
      </c>
      <c r="D192" s="16" t="s">
        <v>76</v>
      </c>
      <c r="E192" s="17">
        <v>0.0</v>
      </c>
      <c r="F192" s="18">
        <v>0.0</v>
      </c>
      <c r="G192" s="18">
        <v>0.0</v>
      </c>
      <c r="H192" s="10">
        <v>3.0</v>
      </c>
      <c r="I192" s="19">
        <v>4.0</v>
      </c>
      <c r="J192" s="12"/>
      <c r="K192" s="12">
        <f t="shared" si="1"/>
        <v>1750</v>
      </c>
      <c r="L192" s="13" t="str">
        <f t="shared" si="8"/>
        <v>0 5-star + 0 RFC + 0 DME + 3 Patient Portal Login + 4 Completed Task</v>
      </c>
      <c r="M192" s="13"/>
      <c r="N192" s="13"/>
      <c r="O192" s="14"/>
      <c r="P192" s="14"/>
    </row>
    <row r="193" hidden="1">
      <c r="A193" s="6" t="s">
        <v>205</v>
      </c>
      <c r="B193" s="16" t="s">
        <v>77</v>
      </c>
      <c r="C193" s="16" t="s">
        <v>78</v>
      </c>
      <c r="D193" s="16" t="s">
        <v>79</v>
      </c>
      <c r="E193" s="17">
        <v>8.0</v>
      </c>
      <c r="F193" s="18">
        <v>8.0</v>
      </c>
      <c r="G193" s="18">
        <v>0.0</v>
      </c>
      <c r="H193" s="10">
        <v>0.0</v>
      </c>
      <c r="I193" s="19">
        <v>3.0</v>
      </c>
      <c r="J193" s="12"/>
      <c r="K193" s="12">
        <f t="shared" si="1"/>
        <v>6750</v>
      </c>
      <c r="L193" s="13" t="str">
        <f t="shared" si="8"/>
        <v>8 5-star + 8 RFC + 0 DME + 0 Patient Portal Login + 3 Completed Task</v>
      </c>
      <c r="M193" s="13"/>
      <c r="N193" s="13"/>
      <c r="O193" s="14"/>
      <c r="P193" s="14"/>
    </row>
    <row r="194" hidden="1">
      <c r="A194" s="6" t="s">
        <v>205</v>
      </c>
      <c r="B194" s="16" t="s">
        <v>80</v>
      </c>
      <c r="C194" s="16" t="s">
        <v>81</v>
      </c>
      <c r="D194" s="16" t="s">
        <v>82</v>
      </c>
      <c r="E194" s="22">
        <v>0.0</v>
      </c>
      <c r="F194" s="25">
        <v>0.0</v>
      </c>
      <c r="G194" s="25">
        <v>0.0</v>
      </c>
      <c r="H194" s="26">
        <v>0.0</v>
      </c>
      <c r="I194" s="19">
        <v>1.0</v>
      </c>
      <c r="J194" s="12"/>
      <c r="K194" s="12">
        <f t="shared" si="1"/>
        <v>250</v>
      </c>
      <c r="L194" s="13" t="str">
        <f t="shared" si="8"/>
        <v>0 5-star + 0 RFC + 0 DME + 0 Patient Portal Login + 1 Completed Task</v>
      </c>
      <c r="M194" s="13"/>
      <c r="N194" s="13"/>
      <c r="O194" s="14"/>
      <c r="P194" s="14"/>
    </row>
    <row r="195" hidden="1">
      <c r="A195" s="6" t="s">
        <v>205</v>
      </c>
      <c r="B195" s="7" t="s">
        <v>83</v>
      </c>
      <c r="C195" s="16" t="s">
        <v>84</v>
      </c>
      <c r="D195" s="16" t="s">
        <v>85</v>
      </c>
      <c r="E195" s="17">
        <v>0.0</v>
      </c>
      <c r="F195" s="18">
        <v>0.0</v>
      </c>
      <c r="G195" s="18">
        <v>0.0</v>
      </c>
      <c r="H195" s="10">
        <v>0.0</v>
      </c>
      <c r="I195" s="19">
        <v>3.0</v>
      </c>
      <c r="J195" s="12"/>
      <c r="K195" s="12">
        <f t="shared" si="1"/>
        <v>750</v>
      </c>
      <c r="L195" s="13" t="str">
        <f t="shared" si="8"/>
        <v>0 5-star + 0 RFC + 0 DME + 0 Patient Portal Login + 3 Completed Task</v>
      </c>
      <c r="M195" s="13"/>
      <c r="N195" s="13"/>
      <c r="O195" s="14"/>
      <c r="P195" s="14"/>
    </row>
    <row r="196" hidden="1">
      <c r="A196" s="6" t="s">
        <v>205</v>
      </c>
      <c r="B196" s="16" t="s">
        <v>86</v>
      </c>
      <c r="C196" s="16" t="s">
        <v>87</v>
      </c>
      <c r="D196" s="16" t="s">
        <v>88</v>
      </c>
      <c r="E196" s="22">
        <v>1.0</v>
      </c>
      <c r="F196" s="18">
        <v>2.0</v>
      </c>
      <c r="G196" s="18">
        <v>2.0</v>
      </c>
      <c r="H196" s="10">
        <v>2.0</v>
      </c>
      <c r="I196" s="19">
        <v>5.0</v>
      </c>
      <c r="J196" s="12"/>
      <c r="K196" s="12">
        <f t="shared" si="1"/>
        <v>3500</v>
      </c>
      <c r="L196" s="13" t="str">
        <f t="shared" si="8"/>
        <v>1 5-star + 2 RFC + 2 DME + 2 Patient Portal Login + 5 Completed Task</v>
      </c>
      <c r="M196" s="13"/>
      <c r="N196" s="13"/>
      <c r="O196" s="14"/>
      <c r="P196" s="14"/>
    </row>
    <row r="197" hidden="1">
      <c r="A197" s="6" t="s">
        <v>205</v>
      </c>
      <c r="B197" s="16" t="s">
        <v>89</v>
      </c>
      <c r="C197" s="16" t="s">
        <v>90</v>
      </c>
      <c r="D197" s="16" t="s">
        <v>91</v>
      </c>
      <c r="E197" s="17">
        <v>0.0</v>
      </c>
      <c r="F197" s="18">
        <v>2.0</v>
      </c>
      <c r="G197" s="25">
        <v>1.0</v>
      </c>
      <c r="H197" s="10">
        <v>0.0</v>
      </c>
      <c r="I197" s="19">
        <v>5.0</v>
      </c>
      <c r="J197" s="12"/>
      <c r="K197" s="12">
        <f t="shared" si="1"/>
        <v>2500</v>
      </c>
      <c r="L197" s="13" t="str">
        <f t="shared" si="8"/>
        <v>0 5-star + 2 RFC + 1 DME + 0 Patient Portal Login + 5 Completed Task</v>
      </c>
      <c r="M197" s="13"/>
      <c r="N197" s="13"/>
      <c r="O197" s="14"/>
      <c r="P197" s="14"/>
    </row>
    <row r="198" hidden="1">
      <c r="A198" s="6" t="s">
        <v>205</v>
      </c>
      <c r="B198" s="16" t="s">
        <v>92</v>
      </c>
      <c r="C198" s="16" t="s">
        <v>93</v>
      </c>
      <c r="D198" s="16" t="s">
        <v>94</v>
      </c>
      <c r="E198" s="17">
        <v>0.0</v>
      </c>
      <c r="F198" s="18">
        <v>3.0</v>
      </c>
      <c r="G198" s="18">
        <v>0.0</v>
      </c>
      <c r="H198" s="10">
        <v>10.0</v>
      </c>
      <c r="I198" s="19">
        <v>5.0</v>
      </c>
      <c r="J198" s="12"/>
      <c r="K198" s="12">
        <f t="shared" si="1"/>
        <v>5250</v>
      </c>
      <c r="L198" s="13" t="str">
        <f t="shared" si="8"/>
        <v>0 5-star + 3 RFC + 0 DME + 10 Patient Portal Login + 5 Completed Task</v>
      </c>
      <c r="M198" s="13"/>
      <c r="N198" s="13"/>
      <c r="O198" s="14"/>
      <c r="P198" s="14"/>
    </row>
    <row r="199" hidden="1">
      <c r="A199" s="6" t="s">
        <v>205</v>
      </c>
      <c r="B199" s="7" t="s">
        <v>95</v>
      </c>
      <c r="C199" s="16" t="s">
        <v>96</v>
      </c>
      <c r="D199" s="16" t="s">
        <v>97</v>
      </c>
      <c r="E199" s="17">
        <v>0.0</v>
      </c>
      <c r="F199" s="18">
        <v>4.0</v>
      </c>
      <c r="G199" s="18">
        <v>0.0</v>
      </c>
      <c r="H199" s="26">
        <v>1.0</v>
      </c>
      <c r="I199" s="19">
        <v>5.0</v>
      </c>
      <c r="J199" s="12"/>
      <c r="K199" s="12">
        <f t="shared" si="1"/>
        <v>3500</v>
      </c>
      <c r="L199" s="13" t="str">
        <f t="shared" si="8"/>
        <v>0 5-star + 4 RFC + 0 DME + 1 Patient Portal Login + 5 Completed Task</v>
      </c>
      <c r="M199" s="13"/>
      <c r="N199" s="13"/>
      <c r="O199" s="14"/>
      <c r="P199" s="14"/>
    </row>
    <row r="200" hidden="1">
      <c r="A200" s="6" t="s">
        <v>205</v>
      </c>
      <c r="B200" s="16" t="s">
        <v>98</v>
      </c>
      <c r="C200" s="16" t="s">
        <v>99</v>
      </c>
      <c r="D200" s="16" t="s">
        <v>100</v>
      </c>
      <c r="E200" s="17">
        <v>0.0</v>
      </c>
      <c r="F200" s="18">
        <v>0.0</v>
      </c>
      <c r="G200" s="18">
        <v>0.0</v>
      </c>
      <c r="H200" s="10">
        <v>3.0</v>
      </c>
      <c r="I200" s="19">
        <v>3.0</v>
      </c>
      <c r="J200" s="12"/>
      <c r="K200" s="12">
        <f t="shared" si="1"/>
        <v>1500</v>
      </c>
      <c r="L200" s="13" t="str">
        <f t="shared" si="8"/>
        <v>0 5-star + 0 RFC + 0 DME + 3 Patient Portal Login + 3 Completed Task</v>
      </c>
      <c r="M200" s="13"/>
      <c r="N200" s="13"/>
      <c r="O200" s="14"/>
      <c r="P200" s="14"/>
    </row>
    <row r="201" hidden="1">
      <c r="A201" s="6" t="s">
        <v>205</v>
      </c>
      <c r="B201" s="7" t="s">
        <v>101</v>
      </c>
      <c r="C201" s="16" t="s">
        <v>102</v>
      </c>
      <c r="D201" s="16" t="s">
        <v>103</v>
      </c>
      <c r="E201" s="17">
        <v>0.0</v>
      </c>
      <c r="F201" s="18">
        <v>2.0</v>
      </c>
      <c r="G201" s="18">
        <v>0.0</v>
      </c>
      <c r="H201" s="10">
        <v>1.0</v>
      </c>
      <c r="I201" s="19">
        <v>3.0</v>
      </c>
      <c r="J201" s="12"/>
      <c r="K201" s="12">
        <f t="shared" si="1"/>
        <v>2000</v>
      </c>
      <c r="L201" s="13" t="str">
        <f t="shared" si="8"/>
        <v>0 5-star + 2 RFC + 0 DME + 1 Patient Portal Login + 3 Completed Task</v>
      </c>
      <c r="M201" s="13"/>
      <c r="N201" s="13"/>
      <c r="O201" s="14"/>
      <c r="P201" s="14"/>
    </row>
    <row r="202" hidden="1">
      <c r="A202" s="6" t="s">
        <v>205</v>
      </c>
      <c r="B202" s="16" t="s">
        <v>104</v>
      </c>
      <c r="C202" s="16" t="s">
        <v>105</v>
      </c>
      <c r="D202" s="16" t="s">
        <v>106</v>
      </c>
      <c r="E202" s="17">
        <v>0.0</v>
      </c>
      <c r="F202" s="18">
        <v>3.0</v>
      </c>
      <c r="G202" s="18">
        <v>0.0</v>
      </c>
      <c r="H202" s="10">
        <v>6.0</v>
      </c>
      <c r="I202" s="19">
        <v>5.0</v>
      </c>
      <c r="J202" s="12"/>
      <c r="K202" s="12">
        <f t="shared" si="1"/>
        <v>4250</v>
      </c>
      <c r="L202" s="13" t="str">
        <f t="shared" si="8"/>
        <v>0 5-star + 3 RFC + 0 DME + 6 Patient Portal Login + 5 Completed Task</v>
      </c>
      <c r="M202" s="13"/>
      <c r="N202" s="13"/>
      <c r="O202" s="14"/>
      <c r="P202" s="14"/>
    </row>
    <row r="203" hidden="1">
      <c r="A203" s="6" t="s">
        <v>205</v>
      </c>
      <c r="B203" s="16" t="s">
        <v>107</v>
      </c>
      <c r="C203" s="16" t="s">
        <v>108</v>
      </c>
      <c r="D203" s="16" t="s">
        <v>109</v>
      </c>
      <c r="E203" s="17">
        <v>1.0</v>
      </c>
      <c r="F203" s="18">
        <v>2.0</v>
      </c>
      <c r="G203" s="18">
        <v>0.0</v>
      </c>
      <c r="H203" s="10">
        <v>1.0</v>
      </c>
      <c r="I203" s="19">
        <v>5.0</v>
      </c>
      <c r="J203" s="12"/>
      <c r="K203" s="12">
        <f t="shared" si="1"/>
        <v>2750</v>
      </c>
      <c r="L203" s="13" t="str">
        <f t="shared" si="8"/>
        <v>1 5-star + 2 RFC + 0 DME + 1 Patient Portal Login + 5 Completed Task</v>
      </c>
      <c r="M203" s="13"/>
      <c r="N203" s="13"/>
      <c r="O203" s="14"/>
      <c r="P203" s="14"/>
    </row>
    <row r="204" hidden="1">
      <c r="A204" s="6" t="s">
        <v>205</v>
      </c>
      <c r="B204" s="16" t="s">
        <v>110</v>
      </c>
      <c r="C204" s="16" t="s">
        <v>111</v>
      </c>
      <c r="D204" s="16" t="s">
        <v>112</v>
      </c>
      <c r="E204" s="17">
        <v>0.0</v>
      </c>
      <c r="F204" s="18">
        <v>4.0</v>
      </c>
      <c r="G204" s="18">
        <v>0.0</v>
      </c>
      <c r="H204" s="10">
        <v>5.0</v>
      </c>
      <c r="I204" s="19">
        <v>4.0</v>
      </c>
      <c r="J204" s="12"/>
      <c r="K204" s="12">
        <f t="shared" si="1"/>
        <v>4250</v>
      </c>
      <c r="L204" s="13" t="str">
        <f t="shared" si="8"/>
        <v>0 5-star + 4 RFC + 0 DME + 5 Patient Portal Login + 4 Completed Task</v>
      </c>
      <c r="M204" s="13"/>
      <c r="N204" s="13"/>
      <c r="O204" s="14"/>
      <c r="P204" s="14"/>
    </row>
    <row r="205" hidden="1">
      <c r="A205" s="6" t="s">
        <v>205</v>
      </c>
      <c r="B205" s="16" t="s">
        <v>113</v>
      </c>
      <c r="C205" s="16" t="s">
        <v>114</v>
      </c>
      <c r="D205" s="16" t="s">
        <v>115</v>
      </c>
      <c r="E205" s="17">
        <v>0.0</v>
      </c>
      <c r="F205" s="25">
        <v>1.0</v>
      </c>
      <c r="G205" s="18">
        <v>0.0</v>
      </c>
      <c r="H205" s="10">
        <v>12.0</v>
      </c>
      <c r="I205" s="19">
        <v>5.0</v>
      </c>
      <c r="J205" s="12"/>
      <c r="K205" s="12">
        <f t="shared" si="1"/>
        <v>4750</v>
      </c>
      <c r="L205" s="13" t="str">
        <f t="shared" si="8"/>
        <v>0 5-star + 1 RFC + 0 DME + 12 Patient Portal Login + 5 Completed Task</v>
      </c>
      <c r="M205" s="13"/>
      <c r="N205" s="13"/>
      <c r="O205" s="14"/>
      <c r="P205" s="14"/>
    </row>
    <row r="206" hidden="1">
      <c r="A206" s="6" t="s">
        <v>205</v>
      </c>
      <c r="B206" s="7" t="s">
        <v>116</v>
      </c>
      <c r="C206" s="16" t="s">
        <v>117</v>
      </c>
      <c r="D206" s="16" t="s">
        <v>118</v>
      </c>
      <c r="E206" s="17">
        <v>0.0</v>
      </c>
      <c r="F206" s="18">
        <v>0.0</v>
      </c>
      <c r="G206" s="18">
        <v>1.0</v>
      </c>
      <c r="H206" s="10">
        <v>3.0</v>
      </c>
      <c r="I206" s="19">
        <v>5.0</v>
      </c>
      <c r="J206" s="12"/>
      <c r="K206" s="12">
        <f t="shared" si="1"/>
        <v>2250</v>
      </c>
      <c r="L206" s="13" t="str">
        <f t="shared" si="8"/>
        <v>0 5-star + 0 RFC + 1 DME + 3 Patient Portal Login + 5 Completed Task</v>
      </c>
      <c r="M206" s="13"/>
      <c r="N206" s="13"/>
      <c r="O206" s="14"/>
      <c r="P206" s="14"/>
    </row>
    <row r="207" hidden="1">
      <c r="A207" s="6" t="s">
        <v>205</v>
      </c>
      <c r="B207" s="16" t="s">
        <v>119</v>
      </c>
      <c r="C207" s="16" t="s">
        <v>120</v>
      </c>
      <c r="D207" s="16" t="s">
        <v>121</v>
      </c>
      <c r="E207" s="17">
        <v>0.0</v>
      </c>
      <c r="F207" s="18">
        <v>0.0</v>
      </c>
      <c r="G207" s="18">
        <v>0.0</v>
      </c>
      <c r="H207" s="10">
        <v>0.0</v>
      </c>
      <c r="I207" s="19">
        <v>3.0</v>
      </c>
      <c r="J207" s="12"/>
      <c r="K207" s="12">
        <f t="shared" si="1"/>
        <v>750</v>
      </c>
      <c r="L207" s="13" t="str">
        <f t="shared" si="8"/>
        <v>0 5-star + 0 RFC + 0 DME + 0 Patient Portal Login + 3 Completed Task</v>
      </c>
      <c r="M207" s="13"/>
      <c r="N207" s="13"/>
      <c r="O207" s="14"/>
      <c r="P207" s="14"/>
    </row>
    <row r="208" hidden="1">
      <c r="A208" s="6" t="s">
        <v>205</v>
      </c>
      <c r="B208" s="16" t="s">
        <v>122</v>
      </c>
      <c r="C208" s="16" t="s">
        <v>123</v>
      </c>
      <c r="D208" s="16" t="s">
        <v>124</v>
      </c>
      <c r="E208" s="17">
        <v>0.0</v>
      </c>
      <c r="F208" s="18">
        <v>0.0</v>
      </c>
      <c r="G208" s="18">
        <v>1.0</v>
      </c>
      <c r="H208" s="10">
        <v>2.0</v>
      </c>
      <c r="I208" s="19">
        <v>4.0</v>
      </c>
      <c r="J208" s="12"/>
      <c r="K208" s="12">
        <f t="shared" si="1"/>
        <v>1750</v>
      </c>
      <c r="L208" s="13" t="str">
        <f> E208 &amp; " 5-star + " &amp; F208 &amp; " RFC + " &amp; G207 &amp; " DME + " &amp; H208 &amp; " Patient Portal Login + " &amp; I208 &amp; " Completed Task"
</f>
        <v>0 5-star + 0 RFC + 0 DME + 2 Patient Portal Login + 4 Completed Task</v>
      </c>
      <c r="M208" s="13"/>
      <c r="N208" s="13"/>
      <c r="O208" s="14"/>
      <c r="P208" s="14"/>
    </row>
    <row r="209" hidden="1">
      <c r="A209" s="6" t="s">
        <v>205</v>
      </c>
      <c r="B209" s="16" t="s">
        <v>125</v>
      </c>
      <c r="C209" s="16" t="s">
        <v>126</v>
      </c>
      <c r="D209" s="16" t="s">
        <v>127</v>
      </c>
      <c r="E209" s="17">
        <v>0.0</v>
      </c>
      <c r="F209" s="18">
        <v>4.0</v>
      </c>
      <c r="G209" s="18">
        <v>0.0</v>
      </c>
      <c r="H209" s="10">
        <v>0.0</v>
      </c>
      <c r="I209" s="19">
        <v>4.0</v>
      </c>
      <c r="J209" s="12"/>
      <c r="K209" s="12">
        <f t="shared" si="1"/>
        <v>3000</v>
      </c>
      <c r="L209" s="13" t="str">
        <f t="shared" ref="L209:L220" si="9"> E209 &amp; " 5-star + " &amp; F209 &amp; " RFC + " &amp; G209 &amp; " DME + " &amp; H209 &amp; " Patient Portal Login + " &amp; I209 &amp; " Completed Task"
</f>
        <v>0 5-star + 4 RFC + 0 DME + 0 Patient Portal Login + 4 Completed Task</v>
      </c>
      <c r="M209" s="13"/>
      <c r="N209" s="13"/>
      <c r="O209" s="14"/>
      <c r="P209" s="14"/>
    </row>
    <row r="210" hidden="1">
      <c r="A210" s="6" t="s">
        <v>205</v>
      </c>
      <c r="B210" s="16" t="s">
        <v>128</v>
      </c>
      <c r="C210" s="16" t="s">
        <v>129</v>
      </c>
      <c r="D210" s="16" t="s">
        <v>130</v>
      </c>
      <c r="E210" s="17">
        <v>0.0</v>
      </c>
      <c r="F210" s="18">
        <v>2.0</v>
      </c>
      <c r="G210" s="18">
        <v>0.0</v>
      </c>
      <c r="H210" s="10">
        <v>1.0</v>
      </c>
      <c r="I210" s="19">
        <v>5.0</v>
      </c>
      <c r="J210" s="12"/>
      <c r="K210" s="12">
        <f t="shared" si="1"/>
        <v>2500</v>
      </c>
      <c r="L210" s="13" t="str">
        <f t="shared" si="9"/>
        <v>0 5-star + 2 RFC + 0 DME + 1 Patient Portal Login + 5 Completed Task</v>
      </c>
      <c r="M210" s="13"/>
      <c r="N210" s="13"/>
      <c r="O210" s="14"/>
      <c r="P210" s="14"/>
    </row>
    <row r="211" hidden="1">
      <c r="A211" s="6" t="s">
        <v>205</v>
      </c>
      <c r="B211" s="16" t="s">
        <v>131</v>
      </c>
      <c r="C211" s="16" t="s">
        <v>132</v>
      </c>
      <c r="D211" s="16" t="s">
        <v>133</v>
      </c>
      <c r="E211" s="17">
        <v>3.0</v>
      </c>
      <c r="F211" s="18">
        <v>1.0</v>
      </c>
      <c r="G211" s="18">
        <v>0.0</v>
      </c>
      <c r="H211" s="10">
        <v>0.0</v>
      </c>
      <c r="I211" s="19">
        <v>5.0</v>
      </c>
      <c r="J211" s="12"/>
      <c r="K211" s="12">
        <f t="shared" si="1"/>
        <v>2500</v>
      </c>
      <c r="L211" s="13" t="str">
        <f t="shared" si="9"/>
        <v>3 5-star + 1 RFC + 0 DME + 0 Patient Portal Login + 5 Completed Task</v>
      </c>
      <c r="M211" s="13"/>
      <c r="N211" s="13"/>
      <c r="O211" s="14"/>
      <c r="P211" s="14"/>
    </row>
    <row r="212" hidden="1">
      <c r="A212" s="6" t="s">
        <v>205</v>
      </c>
      <c r="B212" s="16" t="s">
        <v>134</v>
      </c>
      <c r="C212" s="16" t="s">
        <v>135</v>
      </c>
      <c r="D212" s="16" t="s">
        <v>136</v>
      </c>
      <c r="E212" s="17">
        <v>0.0</v>
      </c>
      <c r="F212" s="18">
        <v>0.0</v>
      </c>
      <c r="G212" s="18">
        <v>0.0</v>
      </c>
      <c r="H212" s="10">
        <v>0.0</v>
      </c>
      <c r="I212" s="19">
        <v>0.0</v>
      </c>
      <c r="J212" s="12"/>
      <c r="K212" s="12">
        <f t="shared" si="1"/>
        <v>0</v>
      </c>
      <c r="L212" s="13" t="str">
        <f t="shared" si="9"/>
        <v>0 5-star + 0 RFC + 0 DME + 0 Patient Portal Login + 0 Completed Task</v>
      </c>
      <c r="M212" s="13"/>
      <c r="N212" s="13"/>
      <c r="O212" s="14"/>
      <c r="P212" s="14"/>
    </row>
    <row r="213" hidden="1">
      <c r="A213" s="6" t="s">
        <v>205</v>
      </c>
      <c r="B213" s="16" t="s">
        <v>137</v>
      </c>
      <c r="C213" s="16" t="s">
        <v>138</v>
      </c>
      <c r="D213" s="16" t="s">
        <v>139</v>
      </c>
      <c r="E213" s="17">
        <v>0.0</v>
      </c>
      <c r="F213" s="18">
        <v>2.0</v>
      </c>
      <c r="G213" s="18">
        <v>1.0</v>
      </c>
      <c r="H213" s="10">
        <v>8.0</v>
      </c>
      <c r="I213" s="19">
        <v>5.0</v>
      </c>
      <c r="J213" s="12"/>
      <c r="K213" s="12">
        <f t="shared" si="1"/>
        <v>4500</v>
      </c>
      <c r="L213" s="13" t="str">
        <f t="shared" si="9"/>
        <v>0 5-star + 2 RFC + 1 DME + 8 Patient Portal Login + 5 Completed Task</v>
      </c>
      <c r="M213" s="13"/>
      <c r="N213" s="13"/>
      <c r="O213" s="14"/>
      <c r="P213" s="14"/>
    </row>
    <row r="214" hidden="1">
      <c r="A214" s="6" t="s">
        <v>205</v>
      </c>
      <c r="B214" s="16" t="s">
        <v>140</v>
      </c>
      <c r="C214" s="16" t="s">
        <v>141</v>
      </c>
      <c r="D214" s="16" t="s">
        <v>142</v>
      </c>
      <c r="E214" s="17">
        <v>0.0</v>
      </c>
      <c r="F214" s="18">
        <v>0.0</v>
      </c>
      <c r="G214" s="18">
        <v>0.0</v>
      </c>
      <c r="H214" s="10">
        <v>0.0</v>
      </c>
      <c r="I214" s="19">
        <v>5.0</v>
      </c>
      <c r="J214" s="12"/>
      <c r="K214" s="12">
        <f t="shared" si="1"/>
        <v>1250</v>
      </c>
      <c r="L214" s="13" t="str">
        <f t="shared" si="9"/>
        <v>0 5-star + 0 RFC + 0 DME + 0 Patient Portal Login + 5 Completed Task</v>
      </c>
      <c r="M214" s="13"/>
      <c r="N214" s="13"/>
      <c r="O214" s="14"/>
      <c r="P214" s="14"/>
    </row>
    <row r="215" hidden="1">
      <c r="A215" s="6" t="s">
        <v>205</v>
      </c>
      <c r="B215" s="16" t="s">
        <v>143</v>
      </c>
      <c r="C215" s="16" t="s">
        <v>144</v>
      </c>
      <c r="D215" s="16" t="s">
        <v>145</v>
      </c>
      <c r="E215" s="17">
        <v>0.0</v>
      </c>
      <c r="F215" s="18">
        <v>1.0</v>
      </c>
      <c r="G215" s="18">
        <v>0.0</v>
      </c>
      <c r="H215" s="10">
        <v>0.0</v>
      </c>
      <c r="I215" s="19">
        <v>5.0</v>
      </c>
      <c r="J215" s="12"/>
      <c r="K215" s="12">
        <f t="shared" si="1"/>
        <v>1750</v>
      </c>
      <c r="L215" s="13" t="str">
        <f t="shared" si="9"/>
        <v>0 5-star + 1 RFC + 0 DME + 0 Patient Portal Login + 5 Completed Task</v>
      </c>
      <c r="M215" s="13"/>
      <c r="N215" s="13"/>
      <c r="O215" s="14"/>
      <c r="P215" s="14"/>
    </row>
    <row r="216" hidden="1">
      <c r="A216" s="6" t="s">
        <v>205</v>
      </c>
      <c r="B216" s="16" t="s">
        <v>146</v>
      </c>
      <c r="C216" s="16" t="s">
        <v>147</v>
      </c>
      <c r="D216" s="16" t="s">
        <v>148</v>
      </c>
      <c r="E216" s="17">
        <v>1.0</v>
      </c>
      <c r="F216" s="18">
        <v>1.0</v>
      </c>
      <c r="G216" s="18">
        <v>1.0</v>
      </c>
      <c r="H216" s="10">
        <v>1.0</v>
      </c>
      <c r="I216" s="19">
        <v>5.0</v>
      </c>
      <c r="J216" s="12"/>
      <c r="K216" s="12">
        <f t="shared" si="1"/>
        <v>2500</v>
      </c>
      <c r="L216" s="13" t="str">
        <f t="shared" si="9"/>
        <v>1 5-star + 1 RFC + 1 DME + 1 Patient Portal Login + 5 Completed Task</v>
      </c>
      <c r="M216" s="13"/>
      <c r="N216" s="13"/>
      <c r="O216" s="14"/>
      <c r="P216" s="14"/>
    </row>
    <row r="217" hidden="1">
      <c r="A217" s="6" t="s">
        <v>205</v>
      </c>
      <c r="B217" s="16" t="s">
        <v>149</v>
      </c>
      <c r="C217" s="16" t="s">
        <v>150</v>
      </c>
      <c r="D217" s="16" t="s">
        <v>151</v>
      </c>
      <c r="E217" s="17">
        <v>0.0</v>
      </c>
      <c r="F217" s="18">
        <v>0.0</v>
      </c>
      <c r="G217" s="18">
        <v>0.0</v>
      </c>
      <c r="H217" s="10">
        <v>0.0</v>
      </c>
      <c r="I217" s="19">
        <v>5.0</v>
      </c>
      <c r="J217" s="12"/>
      <c r="K217" s="12">
        <f t="shared" si="1"/>
        <v>1250</v>
      </c>
      <c r="L217" s="13" t="str">
        <f t="shared" si="9"/>
        <v>0 5-star + 0 RFC + 0 DME + 0 Patient Portal Login + 5 Completed Task</v>
      </c>
      <c r="M217" s="13"/>
      <c r="N217" s="13"/>
      <c r="O217" s="14"/>
      <c r="P217" s="14"/>
    </row>
    <row r="218" hidden="1">
      <c r="A218" s="6" t="s">
        <v>205</v>
      </c>
      <c r="B218" s="16" t="s">
        <v>152</v>
      </c>
      <c r="C218" s="16" t="s">
        <v>153</v>
      </c>
      <c r="D218" s="16" t="s">
        <v>154</v>
      </c>
      <c r="E218" s="17">
        <v>0.0</v>
      </c>
      <c r="F218" s="18">
        <v>2.0</v>
      </c>
      <c r="G218" s="18">
        <v>4.0</v>
      </c>
      <c r="H218" s="10">
        <v>3.0</v>
      </c>
      <c r="I218" s="19">
        <v>5.0</v>
      </c>
      <c r="J218" s="12"/>
      <c r="K218" s="12">
        <f t="shared" si="1"/>
        <v>4000</v>
      </c>
      <c r="L218" s="13" t="str">
        <f t="shared" si="9"/>
        <v>0 5-star + 2 RFC + 4 DME + 3 Patient Portal Login + 5 Completed Task</v>
      </c>
      <c r="M218" s="13"/>
      <c r="N218" s="13"/>
      <c r="O218" s="14"/>
      <c r="P218" s="14"/>
    </row>
    <row r="219" hidden="1">
      <c r="A219" s="6" t="s">
        <v>205</v>
      </c>
      <c r="B219" s="16" t="s">
        <v>155</v>
      </c>
      <c r="C219" s="16" t="s">
        <v>156</v>
      </c>
      <c r="D219" s="16" t="s">
        <v>157</v>
      </c>
      <c r="E219" s="17">
        <v>0.0</v>
      </c>
      <c r="F219" s="18">
        <v>2.0</v>
      </c>
      <c r="G219" s="18">
        <v>0.0</v>
      </c>
      <c r="H219" s="10">
        <v>2.0</v>
      </c>
      <c r="I219" s="19">
        <v>4.0</v>
      </c>
      <c r="J219" s="12"/>
      <c r="K219" s="12">
        <f t="shared" si="1"/>
        <v>2500</v>
      </c>
      <c r="L219" s="13" t="str">
        <f t="shared" si="9"/>
        <v>0 5-star + 2 RFC + 0 DME + 2 Patient Portal Login + 4 Completed Task</v>
      </c>
      <c r="M219" s="13"/>
      <c r="N219" s="13"/>
      <c r="O219" s="14"/>
      <c r="P219" s="14"/>
    </row>
    <row r="220" hidden="1">
      <c r="A220" s="6" t="s">
        <v>205</v>
      </c>
      <c r="B220" s="16" t="s">
        <v>158</v>
      </c>
      <c r="C220" s="16" t="s">
        <v>159</v>
      </c>
      <c r="D220" s="16" t="s">
        <v>160</v>
      </c>
      <c r="E220" s="17">
        <v>2.0</v>
      </c>
      <c r="F220" s="18">
        <v>2.0</v>
      </c>
      <c r="G220" s="18">
        <v>0.0</v>
      </c>
      <c r="H220" s="10">
        <v>2.0</v>
      </c>
      <c r="I220" s="19">
        <v>5.0</v>
      </c>
      <c r="J220" s="12"/>
      <c r="K220" s="12">
        <f t="shared" si="1"/>
        <v>3250</v>
      </c>
      <c r="L220" s="13" t="str">
        <f t="shared" si="9"/>
        <v>2 5-star + 2 RFC + 0 DME + 2 Patient Portal Login + 5 Completed Task</v>
      </c>
      <c r="M220" s="13"/>
      <c r="N220" s="13"/>
      <c r="O220" s="14"/>
      <c r="P220" s="14"/>
    </row>
    <row r="221" hidden="1">
      <c r="A221" s="6" t="s">
        <v>205</v>
      </c>
      <c r="B221" s="20" t="s">
        <v>161</v>
      </c>
      <c r="C221" s="20" t="s">
        <v>162</v>
      </c>
      <c r="D221" s="20" t="s">
        <v>163</v>
      </c>
      <c r="E221" s="17">
        <v>0.0</v>
      </c>
      <c r="F221" s="18">
        <v>3.0</v>
      </c>
      <c r="G221" s="18">
        <v>0.0</v>
      </c>
      <c r="H221" s="10">
        <v>1.0</v>
      </c>
      <c r="I221" s="19">
        <v>4.0</v>
      </c>
      <c r="J221" s="12"/>
      <c r="K221" s="12">
        <f t="shared" si="1"/>
        <v>2750</v>
      </c>
      <c r="L221" s="13" t="str">
        <f> E221 &amp; " 5-star + " &amp; E208 &amp; " RFC + " &amp; G221 &amp; " DME + " &amp; H221 &amp; " Patient Portal Login + " &amp; I221 &amp; " Completed Task"
</f>
        <v>0 5-star + 0 RFC + 0 DME + 1 Patient Portal Login + 4 Completed Task</v>
      </c>
      <c r="M221" s="13"/>
      <c r="N221" s="13"/>
      <c r="O221" s="14"/>
      <c r="P221" s="14"/>
    </row>
    <row r="222" hidden="1">
      <c r="A222" s="6" t="s">
        <v>205</v>
      </c>
      <c r="B222" s="20" t="s">
        <v>164</v>
      </c>
      <c r="C222" s="20" t="s">
        <v>165</v>
      </c>
      <c r="D222" s="20" t="s">
        <v>166</v>
      </c>
      <c r="E222" s="17">
        <v>0.0</v>
      </c>
      <c r="F222" s="18">
        <v>0.0</v>
      </c>
      <c r="G222" s="18">
        <v>0.0</v>
      </c>
      <c r="H222" s="10">
        <v>0.0</v>
      </c>
      <c r="I222" s="19">
        <v>5.0</v>
      </c>
      <c r="J222" s="12"/>
      <c r="K222" s="12">
        <f t="shared" si="1"/>
        <v>1250</v>
      </c>
      <c r="L222" s="13" t="str">
        <f t="shared" ref="L222:L268" si="10"> E222 &amp; " 5-star + " &amp; F222 &amp; " RFC + " &amp; G222 &amp; " DME + " &amp; H222 &amp; " Patient Portal Login + " &amp; I222 &amp; " Completed Task"
</f>
        <v>0 5-star + 0 RFC + 0 DME + 0 Patient Portal Login + 5 Completed Task</v>
      </c>
      <c r="M222" s="13"/>
      <c r="N222" s="13"/>
      <c r="O222" s="14"/>
      <c r="P222" s="14"/>
    </row>
    <row r="223" hidden="1">
      <c r="A223" s="6" t="s">
        <v>205</v>
      </c>
      <c r="B223" s="20" t="s">
        <v>167</v>
      </c>
      <c r="C223" s="20" t="s">
        <v>168</v>
      </c>
      <c r="D223" s="20" t="s">
        <v>169</v>
      </c>
      <c r="E223" s="17">
        <v>0.0</v>
      </c>
      <c r="F223" s="18">
        <v>0.0</v>
      </c>
      <c r="G223" s="18">
        <v>0.0</v>
      </c>
      <c r="H223" s="10">
        <v>4.0</v>
      </c>
      <c r="I223" s="19">
        <v>5.0</v>
      </c>
      <c r="J223" s="12"/>
      <c r="K223" s="12">
        <f t="shared" si="1"/>
        <v>2250</v>
      </c>
      <c r="L223" s="13" t="str">
        <f t="shared" si="10"/>
        <v>0 5-star + 0 RFC + 0 DME + 4 Patient Portal Login + 5 Completed Task</v>
      </c>
      <c r="M223" s="13"/>
      <c r="N223" s="13"/>
      <c r="O223" s="14"/>
      <c r="P223" s="14"/>
    </row>
    <row r="224" hidden="1">
      <c r="A224" s="6" t="s">
        <v>205</v>
      </c>
      <c r="B224" s="20" t="s">
        <v>170</v>
      </c>
      <c r="C224" s="20" t="s">
        <v>171</v>
      </c>
      <c r="D224" s="20" t="s">
        <v>172</v>
      </c>
      <c r="E224" s="17">
        <v>1.0</v>
      </c>
      <c r="F224" s="18">
        <v>0.0</v>
      </c>
      <c r="G224" s="18">
        <v>0.0</v>
      </c>
      <c r="H224" s="10">
        <v>8.0</v>
      </c>
      <c r="I224" s="19">
        <v>5.0</v>
      </c>
      <c r="J224" s="12"/>
      <c r="K224" s="12">
        <f t="shared" si="1"/>
        <v>3500</v>
      </c>
      <c r="L224" s="13" t="str">
        <f t="shared" si="10"/>
        <v>1 5-star + 0 RFC + 0 DME + 8 Patient Portal Login + 5 Completed Task</v>
      </c>
      <c r="M224" s="13"/>
      <c r="N224" s="13"/>
      <c r="O224" s="14"/>
      <c r="P224" s="14"/>
    </row>
    <row r="225" hidden="1">
      <c r="A225" s="6" t="s">
        <v>205</v>
      </c>
      <c r="B225" s="16" t="s">
        <v>173</v>
      </c>
      <c r="C225" s="16" t="s">
        <v>174</v>
      </c>
      <c r="D225" s="16" t="s">
        <v>175</v>
      </c>
      <c r="E225" s="17">
        <v>3.0</v>
      </c>
      <c r="F225" s="18">
        <v>0.0</v>
      </c>
      <c r="G225" s="18">
        <v>1.0</v>
      </c>
      <c r="H225" s="10">
        <v>4.0</v>
      </c>
      <c r="I225" s="19">
        <v>4.0</v>
      </c>
      <c r="J225" s="12"/>
      <c r="K225" s="12">
        <f t="shared" si="1"/>
        <v>3000</v>
      </c>
      <c r="L225" s="13" t="str">
        <f t="shared" si="10"/>
        <v>3 5-star + 0 RFC + 1 DME + 4 Patient Portal Login + 4 Completed Task</v>
      </c>
      <c r="M225" s="13"/>
      <c r="N225" s="13"/>
      <c r="O225" s="14"/>
      <c r="P225" s="14"/>
    </row>
    <row r="226" hidden="1">
      <c r="A226" s="6" t="s">
        <v>205</v>
      </c>
      <c r="B226" s="16" t="s">
        <v>176</v>
      </c>
      <c r="C226" s="16" t="s">
        <v>177</v>
      </c>
      <c r="D226" s="16" t="s">
        <v>178</v>
      </c>
      <c r="E226" s="17">
        <v>0.0</v>
      </c>
      <c r="F226" s="18">
        <v>0.0</v>
      </c>
      <c r="G226" s="18">
        <v>0.0</v>
      </c>
      <c r="H226" s="10">
        <v>0.0</v>
      </c>
      <c r="I226" s="19">
        <v>5.0</v>
      </c>
      <c r="J226" s="12"/>
      <c r="K226" s="12">
        <f t="shared" si="1"/>
        <v>1250</v>
      </c>
      <c r="L226" s="13" t="str">
        <f t="shared" si="10"/>
        <v>0 5-star + 0 RFC + 0 DME + 0 Patient Portal Login + 5 Completed Task</v>
      </c>
      <c r="M226" s="13"/>
      <c r="N226" s="13"/>
      <c r="O226" s="14"/>
      <c r="P226" s="14"/>
    </row>
    <row r="227" hidden="1">
      <c r="A227" s="6" t="s">
        <v>205</v>
      </c>
      <c r="B227" s="21" t="s">
        <v>179</v>
      </c>
      <c r="C227" s="21" t="s">
        <v>180</v>
      </c>
      <c r="D227" s="21" t="s">
        <v>181</v>
      </c>
      <c r="E227" s="22">
        <v>0.0</v>
      </c>
      <c r="F227" s="18">
        <v>2.0</v>
      </c>
      <c r="G227" s="18">
        <v>3.0</v>
      </c>
      <c r="H227" s="10">
        <v>12.0</v>
      </c>
      <c r="I227" s="19">
        <v>4.0</v>
      </c>
      <c r="J227" s="12"/>
      <c r="K227" s="12">
        <f t="shared" si="1"/>
        <v>5750</v>
      </c>
      <c r="L227" s="13" t="str">
        <f t="shared" si="10"/>
        <v>0 5-star + 2 RFC + 3 DME + 12 Patient Portal Login + 4 Completed Task</v>
      </c>
      <c r="M227" s="13"/>
      <c r="N227" s="13"/>
      <c r="O227" s="23"/>
      <c r="P227" s="23"/>
    </row>
    <row r="228" hidden="1">
      <c r="A228" s="6" t="s">
        <v>205</v>
      </c>
      <c r="B228" s="21" t="s">
        <v>182</v>
      </c>
      <c r="C228" s="21" t="s">
        <v>183</v>
      </c>
      <c r="D228" s="21" t="s">
        <v>184</v>
      </c>
      <c r="E228" s="17">
        <v>0.0</v>
      </c>
      <c r="F228" s="18">
        <v>0.0</v>
      </c>
      <c r="G228" s="18">
        <v>0.0</v>
      </c>
      <c r="H228" s="10">
        <v>0.0</v>
      </c>
      <c r="I228" s="19">
        <v>1.0</v>
      </c>
      <c r="J228" s="12"/>
      <c r="K228" s="12">
        <f t="shared" si="1"/>
        <v>250</v>
      </c>
      <c r="L228" s="13" t="str">
        <f t="shared" si="10"/>
        <v>0 5-star + 0 RFC + 0 DME + 0 Patient Portal Login + 1 Completed Task</v>
      </c>
      <c r="M228" s="13"/>
      <c r="N228" s="13"/>
      <c r="O228" s="23"/>
      <c r="P228" s="23"/>
    </row>
    <row r="229" hidden="1">
      <c r="A229" s="6" t="s">
        <v>205</v>
      </c>
      <c r="B229" s="21" t="s">
        <v>185</v>
      </c>
      <c r="C229" s="21" t="s">
        <v>186</v>
      </c>
      <c r="D229" s="21" t="s">
        <v>187</v>
      </c>
      <c r="E229" s="17">
        <v>7.0</v>
      </c>
      <c r="F229" s="18">
        <v>2.0</v>
      </c>
      <c r="G229" s="18">
        <v>0.0</v>
      </c>
      <c r="H229" s="10">
        <v>3.0</v>
      </c>
      <c r="I229" s="19">
        <v>5.0</v>
      </c>
      <c r="J229" s="12"/>
      <c r="K229" s="12">
        <f t="shared" si="1"/>
        <v>4750</v>
      </c>
      <c r="L229" s="13" t="str">
        <f t="shared" si="10"/>
        <v>7 5-star + 2 RFC + 0 DME + 3 Patient Portal Login + 5 Completed Task</v>
      </c>
      <c r="M229" s="13"/>
      <c r="N229" s="13"/>
      <c r="O229" s="23"/>
      <c r="P229" s="23"/>
    </row>
    <row r="230" hidden="1">
      <c r="A230" s="6" t="s">
        <v>205</v>
      </c>
      <c r="B230" s="21" t="s">
        <v>188</v>
      </c>
      <c r="C230" s="21" t="s">
        <v>189</v>
      </c>
      <c r="D230" s="21" t="s">
        <v>190</v>
      </c>
      <c r="E230" s="17">
        <v>0.0</v>
      </c>
      <c r="F230" s="18">
        <v>3.0</v>
      </c>
      <c r="G230" s="18">
        <v>0.0</v>
      </c>
      <c r="H230" s="10">
        <v>1.0</v>
      </c>
      <c r="I230" s="19">
        <v>5.0</v>
      </c>
      <c r="J230" s="12"/>
      <c r="K230" s="12">
        <f t="shared" si="1"/>
        <v>3000</v>
      </c>
      <c r="L230" s="13" t="str">
        <f t="shared" si="10"/>
        <v>0 5-star + 3 RFC + 0 DME + 1 Patient Portal Login + 5 Completed Task</v>
      </c>
      <c r="M230" s="13"/>
      <c r="N230" s="13"/>
      <c r="O230" s="23"/>
      <c r="P230" s="23"/>
    </row>
    <row r="231" hidden="1">
      <c r="A231" s="6" t="s">
        <v>205</v>
      </c>
      <c r="B231" s="21" t="s">
        <v>191</v>
      </c>
      <c r="C231" s="21" t="s">
        <v>192</v>
      </c>
      <c r="D231" s="21" t="s">
        <v>193</v>
      </c>
      <c r="E231" s="17">
        <v>0.0</v>
      </c>
      <c r="F231" s="18">
        <v>0.0</v>
      </c>
      <c r="G231" s="18">
        <v>0.0</v>
      </c>
      <c r="H231" s="10">
        <v>0.0</v>
      </c>
      <c r="I231" s="19">
        <v>5.0</v>
      </c>
      <c r="J231" s="12"/>
      <c r="K231" s="12">
        <f t="shared" si="1"/>
        <v>1250</v>
      </c>
      <c r="L231" s="13" t="str">
        <f t="shared" si="10"/>
        <v>0 5-star + 0 RFC + 0 DME + 0 Patient Portal Login + 5 Completed Task</v>
      </c>
      <c r="M231" s="13"/>
      <c r="N231" s="13"/>
      <c r="O231" s="23"/>
      <c r="P231" s="23"/>
    </row>
    <row r="232" hidden="1">
      <c r="A232" s="6" t="s">
        <v>205</v>
      </c>
      <c r="B232" s="21" t="s">
        <v>194</v>
      </c>
      <c r="C232" s="21" t="s">
        <v>195</v>
      </c>
      <c r="D232" s="21" t="s">
        <v>196</v>
      </c>
      <c r="E232" s="17">
        <v>0.0</v>
      </c>
      <c r="F232" s="18">
        <v>1.0</v>
      </c>
      <c r="G232" s="18">
        <v>0.0</v>
      </c>
      <c r="H232" s="10">
        <v>0.0</v>
      </c>
      <c r="I232" s="19">
        <v>3.0</v>
      </c>
      <c r="J232" s="12"/>
      <c r="K232" s="12">
        <f t="shared" si="1"/>
        <v>1250</v>
      </c>
      <c r="L232" s="13" t="str">
        <f t="shared" si="10"/>
        <v>0 5-star + 1 RFC + 0 DME + 0 Patient Portal Login + 3 Completed Task</v>
      </c>
      <c r="M232" s="13"/>
      <c r="N232" s="13"/>
      <c r="O232" s="23"/>
      <c r="P232" s="23"/>
    </row>
    <row r="233" hidden="1">
      <c r="A233" s="6" t="s">
        <v>205</v>
      </c>
      <c r="B233" s="21" t="s">
        <v>197</v>
      </c>
      <c r="C233" s="21" t="s">
        <v>198</v>
      </c>
      <c r="D233" s="21" t="s">
        <v>199</v>
      </c>
      <c r="E233" s="17">
        <v>0.0</v>
      </c>
      <c r="F233" s="18">
        <v>0.0</v>
      </c>
      <c r="G233" s="18">
        <v>0.0</v>
      </c>
      <c r="H233" s="10">
        <v>5.0</v>
      </c>
      <c r="I233" s="19">
        <v>5.0</v>
      </c>
      <c r="J233" s="12"/>
      <c r="K233" s="12">
        <f t="shared" si="1"/>
        <v>2500</v>
      </c>
      <c r="L233" s="13" t="str">
        <f t="shared" si="10"/>
        <v>0 5-star + 0 RFC + 0 DME + 5 Patient Portal Login + 5 Completed Task</v>
      </c>
      <c r="M233" s="13"/>
      <c r="N233" s="13"/>
      <c r="O233" s="23"/>
      <c r="P233" s="23"/>
    </row>
    <row r="234" hidden="1">
      <c r="A234" s="6" t="s">
        <v>205</v>
      </c>
      <c r="B234" s="21" t="s">
        <v>200</v>
      </c>
      <c r="C234" s="21" t="s">
        <v>201</v>
      </c>
      <c r="D234" s="21" t="s">
        <v>202</v>
      </c>
      <c r="E234" s="17">
        <v>1.0</v>
      </c>
      <c r="F234" s="18">
        <v>1.0</v>
      </c>
      <c r="G234" s="18">
        <v>1.0</v>
      </c>
      <c r="H234" s="10">
        <v>0.0</v>
      </c>
      <c r="I234" s="19">
        <v>4.0</v>
      </c>
      <c r="J234" s="12"/>
      <c r="K234" s="12">
        <f t="shared" si="1"/>
        <v>2000</v>
      </c>
      <c r="L234" s="13" t="str">
        <f t="shared" si="10"/>
        <v>1 5-star + 1 RFC + 1 DME + 0 Patient Portal Login + 4 Completed Task</v>
      </c>
      <c r="M234" s="13"/>
      <c r="N234" s="13"/>
      <c r="O234" s="23"/>
      <c r="P234" s="23"/>
    </row>
    <row r="235">
      <c r="A235" s="6" t="s">
        <v>206</v>
      </c>
      <c r="B235" s="16" t="s">
        <v>207</v>
      </c>
      <c r="C235" s="16" t="s">
        <v>208</v>
      </c>
      <c r="D235" s="16" t="s">
        <v>209</v>
      </c>
      <c r="E235" s="27">
        <v>1.0</v>
      </c>
      <c r="F235" s="28">
        <v>5.0</v>
      </c>
      <c r="G235" s="28">
        <v>0.0</v>
      </c>
      <c r="H235" s="29">
        <v>4.0</v>
      </c>
      <c r="I235" s="30">
        <v>5.0</v>
      </c>
      <c r="J235" s="31">
        <v>0.0</v>
      </c>
      <c r="K235" s="12">
        <f t="shared" ref="K235:K334" si="11">sum(E235*250)+(F235*250)+(G235*250)+(H235*250)+(I235*250)+(J235*250)</f>
        <v>3750</v>
      </c>
      <c r="L235" s="13" t="str">
        <f t="shared" si="10"/>
        <v>1 5-star + 5 RFC + 0 DME + 4 Patient Portal Login + 5 Completed Task</v>
      </c>
      <c r="M235" s="14"/>
      <c r="N235" s="14"/>
      <c r="O235" s="14"/>
      <c r="P235" s="14"/>
    </row>
    <row r="236">
      <c r="A236" s="6" t="s">
        <v>206</v>
      </c>
      <c r="B236" s="16" t="s">
        <v>210</v>
      </c>
      <c r="C236" s="16" t="s">
        <v>211</v>
      </c>
      <c r="D236" s="16" t="s">
        <v>212</v>
      </c>
      <c r="E236" s="27">
        <v>0.0</v>
      </c>
      <c r="F236" s="28">
        <v>1.0</v>
      </c>
      <c r="G236" s="28">
        <v>0.0</v>
      </c>
      <c r="H236" s="29">
        <v>0.0</v>
      </c>
      <c r="I236" s="30">
        <v>5.0</v>
      </c>
      <c r="J236" s="31">
        <v>0.0</v>
      </c>
      <c r="K236" s="12">
        <f t="shared" si="11"/>
        <v>1500</v>
      </c>
      <c r="L236" s="13" t="str">
        <f t="shared" si="10"/>
        <v>0 5-star + 1 RFC + 0 DME + 0 Patient Portal Login + 5 Completed Task</v>
      </c>
      <c r="M236" s="14"/>
      <c r="N236" s="14"/>
      <c r="O236" s="14"/>
      <c r="P236" s="14"/>
    </row>
    <row r="237">
      <c r="A237" s="6" t="s">
        <v>206</v>
      </c>
      <c r="B237" s="16" t="s">
        <v>213</v>
      </c>
      <c r="C237" s="16" t="s">
        <v>214</v>
      </c>
      <c r="D237" s="16" t="s">
        <v>215</v>
      </c>
      <c r="E237" s="27">
        <v>13.0</v>
      </c>
      <c r="F237" s="28">
        <v>0.0</v>
      </c>
      <c r="G237" s="28">
        <v>0.0</v>
      </c>
      <c r="H237" s="29">
        <v>15.0</v>
      </c>
      <c r="I237" s="30">
        <v>5.0</v>
      </c>
      <c r="J237" s="31">
        <v>0.0</v>
      </c>
      <c r="K237" s="12">
        <f t="shared" si="11"/>
        <v>8250</v>
      </c>
      <c r="L237" s="13" t="str">
        <f t="shared" si="10"/>
        <v>13 5-star + 0 RFC + 0 DME + 15 Patient Portal Login + 5 Completed Task</v>
      </c>
      <c r="M237" s="14"/>
      <c r="N237" s="14"/>
      <c r="O237" s="14"/>
      <c r="P237" s="14"/>
    </row>
    <row r="238">
      <c r="A238" s="6" t="s">
        <v>206</v>
      </c>
      <c r="B238" s="16" t="s">
        <v>216</v>
      </c>
      <c r="C238" s="16" t="s">
        <v>217</v>
      </c>
      <c r="D238" s="16" t="s">
        <v>218</v>
      </c>
      <c r="E238" s="27">
        <v>0.0</v>
      </c>
      <c r="F238" s="28">
        <v>2.0</v>
      </c>
      <c r="G238" s="28">
        <v>0.0</v>
      </c>
      <c r="H238" s="29">
        <v>10.0</v>
      </c>
      <c r="I238" s="30">
        <v>5.0</v>
      </c>
      <c r="J238" s="31">
        <v>0.0</v>
      </c>
      <c r="K238" s="12">
        <f t="shared" si="11"/>
        <v>4250</v>
      </c>
      <c r="L238" s="13" t="str">
        <f t="shared" si="10"/>
        <v>0 5-star + 2 RFC + 0 DME + 10 Patient Portal Login + 5 Completed Task</v>
      </c>
      <c r="M238" s="14"/>
      <c r="N238" s="14"/>
      <c r="O238" s="14"/>
      <c r="P238" s="14"/>
    </row>
    <row r="239">
      <c r="A239" s="6" t="s">
        <v>206</v>
      </c>
      <c r="B239" s="16" t="s">
        <v>219</v>
      </c>
      <c r="C239" s="16" t="s">
        <v>220</v>
      </c>
      <c r="D239" s="16" t="s">
        <v>221</v>
      </c>
      <c r="E239" s="27">
        <v>6.0</v>
      </c>
      <c r="F239" s="28">
        <v>2.0</v>
      </c>
      <c r="G239" s="28">
        <v>1.0</v>
      </c>
      <c r="H239" s="29">
        <v>13.0</v>
      </c>
      <c r="I239" s="30">
        <v>5.0</v>
      </c>
      <c r="J239" s="31">
        <v>0.0</v>
      </c>
      <c r="K239" s="12">
        <f t="shared" si="11"/>
        <v>6750</v>
      </c>
      <c r="L239" s="13" t="str">
        <f t="shared" si="10"/>
        <v>6 5-star + 2 RFC + 1 DME + 13 Patient Portal Login + 5 Completed Task</v>
      </c>
      <c r="M239" s="14"/>
      <c r="N239" s="14"/>
      <c r="O239" s="14"/>
      <c r="P239" s="14"/>
    </row>
    <row r="240">
      <c r="A240" s="6" t="s">
        <v>206</v>
      </c>
      <c r="B240" s="16" t="s">
        <v>41</v>
      </c>
      <c r="C240" s="16" t="s">
        <v>42</v>
      </c>
      <c r="D240" s="16" t="s">
        <v>43</v>
      </c>
      <c r="E240" s="27">
        <v>6.0</v>
      </c>
      <c r="F240" s="28">
        <v>0.0</v>
      </c>
      <c r="G240" s="28">
        <v>0.0</v>
      </c>
      <c r="H240" s="29">
        <v>9.0</v>
      </c>
      <c r="I240" s="30">
        <v>5.0</v>
      </c>
      <c r="J240" s="31">
        <v>0.0</v>
      </c>
      <c r="K240" s="12">
        <f t="shared" si="11"/>
        <v>5000</v>
      </c>
      <c r="L240" s="13" t="str">
        <f t="shared" si="10"/>
        <v>6 5-star + 0 RFC + 0 DME + 9 Patient Portal Login + 5 Completed Task</v>
      </c>
      <c r="M240" s="14"/>
      <c r="N240" s="14"/>
      <c r="O240" s="14"/>
      <c r="P240" s="14"/>
    </row>
    <row r="241">
      <c r="A241" s="6" t="s">
        <v>206</v>
      </c>
      <c r="B241" s="16" t="s">
        <v>47</v>
      </c>
      <c r="C241" s="16" t="s">
        <v>48</v>
      </c>
      <c r="D241" s="16" t="s">
        <v>49</v>
      </c>
      <c r="E241" s="27">
        <v>0.0</v>
      </c>
      <c r="F241" s="28">
        <v>1.0</v>
      </c>
      <c r="G241" s="28">
        <v>0.0</v>
      </c>
      <c r="H241" s="29">
        <v>15.0</v>
      </c>
      <c r="I241" s="30">
        <v>5.0</v>
      </c>
      <c r="J241" s="31">
        <v>0.0</v>
      </c>
      <c r="K241" s="12">
        <f t="shared" si="11"/>
        <v>5250</v>
      </c>
      <c r="L241" s="13" t="str">
        <f t="shared" si="10"/>
        <v>0 5-star + 1 RFC + 0 DME + 15 Patient Portal Login + 5 Completed Task</v>
      </c>
      <c r="M241" s="14"/>
      <c r="N241" s="14"/>
      <c r="O241" s="14"/>
      <c r="P241" s="14"/>
    </row>
    <row r="242">
      <c r="A242" s="6" t="s">
        <v>206</v>
      </c>
      <c r="B242" s="16" t="s">
        <v>50</v>
      </c>
      <c r="C242" s="16" t="s">
        <v>51</v>
      </c>
      <c r="D242" s="16" t="s">
        <v>52</v>
      </c>
      <c r="E242" s="27">
        <v>1.0</v>
      </c>
      <c r="F242" s="28">
        <v>0.0</v>
      </c>
      <c r="G242" s="28">
        <v>1.0</v>
      </c>
      <c r="H242" s="29">
        <v>17.0</v>
      </c>
      <c r="I242" s="30">
        <v>5.0</v>
      </c>
      <c r="J242" s="31">
        <v>0.0</v>
      </c>
      <c r="K242" s="12">
        <f t="shared" si="11"/>
        <v>6000</v>
      </c>
      <c r="L242" s="13" t="str">
        <f t="shared" si="10"/>
        <v>1 5-star + 0 RFC + 1 DME + 17 Patient Portal Login + 5 Completed Task</v>
      </c>
      <c r="M242" s="14"/>
      <c r="N242" s="14"/>
      <c r="O242" s="14"/>
      <c r="P242" s="14"/>
    </row>
    <row r="243">
      <c r="A243" s="6" t="s">
        <v>206</v>
      </c>
      <c r="B243" s="16" t="s">
        <v>53</v>
      </c>
      <c r="C243" s="16" t="s">
        <v>54</v>
      </c>
      <c r="D243" s="16" t="s">
        <v>55</v>
      </c>
      <c r="E243" s="27">
        <v>2.0</v>
      </c>
      <c r="F243" s="28">
        <v>2.0</v>
      </c>
      <c r="G243" s="28">
        <v>1.0</v>
      </c>
      <c r="H243" s="29">
        <v>11.0</v>
      </c>
      <c r="I243" s="30">
        <v>5.0</v>
      </c>
      <c r="J243" s="31">
        <v>0.0</v>
      </c>
      <c r="K243" s="12">
        <f t="shared" si="11"/>
        <v>5250</v>
      </c>
      <c r="L243" s="13" t="str">
        <f t="shared" si="10"/>
        <v>2 5-star + 2 RFC + 1 DME + 11 Patient Portal Login + 5 Completed Task</v>
      </c>
      <c r="M243" s="14"/>
      <c r="N243" s="14"/>
      <c r="O243" s="14"/>
      <c r="P243" s="14"/>
    </row>
    <row r="244">
      <c r="A244" s="6" t="s">
        <v>206</v>
      </c>
      <c r="B244" s="16" t="s">
        <v>56</v>
      </c>
      <c r="C244" s="16" t="s">
        <v>57</v>
      </c>
      <c r="D244" s="16" t="s">
        <v>58</v>
      </c>
      <c r="E244" s="27">
        <v>0.0</v>
      </c>
      <c r="F244" s="28">
        <v>0.0</v>
      </c>
      <c r="G244" s="28">
        <v>2.0</v>
      </c>
      <c r="H244" s="29">
        <v>15.0</v>
      </c>
      <c r="I244" s="30">
        <v>5.0</v>
      </c>
      <c r="J244" s="31">
        <v>1.0</v>
      </c>
      <c r="K244" s="12">
        <f t="shared" si="11"/>
        <v>5750</v>
      </c>
      <c r="L244" s="13" t="str">
        <f t="shared" si="10"/>
        <v>0 5-star + 0 RFC + 2 DME + 15 Patient Portal Login + 5 Completed Task</v>
      </c>
      <c r="M244" s="14"/>
      <c r="N244" s="14"/>
      <c r="O244" s="14"/>
      <c r="P244" s="14"/>
    </row>
    <row r="245">
      <c r="A245" s="6" t="s">
        <v>206</v>
      </c>
      <c r="B245" s="16" t="s">
        <v>62</v>
      </c>
      <c r="C245" s="16" t="s">
        <v>63</v>
      </c>
      <c r="D245" s="16" t="s">
        <v>64</v>
      </c>
      <c r="E245" s="27">
        <v>1.0</v>
      </c>
      <c r="F245" s="28">
        <v>1.0</v>
      </c>
      <c r="G245" s="28">
        <v>2.0</v>
      </c>
      <c r="H245" s="29">
        <v>7.0</v>
      </c>
      <c r="I245" s="30">
        <v>5.0</v>
      </c>
      <c r="J245" s="31">
        <v>0.0</v>
      </c>
      <c r="K245" s="12">
        <f t="shared" si="11"/>
        <v>4000</v>
      </c>
      <c r="L245" s="13" t="str">
        <f t="shared" si="10"/>
        <v>1 5-star + 1 RFC + 2 DME + 7 Patient Portal Login + 5 Completed Task</v>
      </c>
      <c r="M245" s="14"/>
      <c r="N245" s="14"/>
      <c r="O245" s="14"/>
      <c r="P245" s="14"/>
    </row>
    <row r="246">
      <c r="A246" s="6" t="s">
        <v>206</v>
      </c>
      <c r="B246" s="16" t="s">
        <v>65</v>
      </c>
      <c r="C246" s="16" t="s">
        <v>66</v>
      </c>
      <c r="D246" s="16" t="s">
        <v>67</v>
      </c>
      <c r="E246" s="27">
        <v>1.0</v>
      </c>
      <c r="F246" s="28">
        <v>1.0</v>
      </c>
      <c r="G246" s="28">
        <v>0.0</v>
      </c>
      <c r="H246" s="29">
        <v>3.0</v>
      </c>
      <c r="I246" s="30">
        <v>4.0</v>
      </c>
      <c r="J246" s="31">
        <v>0.0</v>
      </c>
      <c r="K246" s="12">
        <f t="shared" si="11"/>
        <v>2250</v>
      </c>
      <c r="L246" s="13" t="str">
        <f t="shared" si="10"/>
        <v>1 5-star + 1 RFC + 0 DME + 3 Patient Portal Login + 4 Completed Task</v>
      </c>
      <c r="M246" s="14"/>
      <c r="N246" s="14"/>
      <c r="O246" s="14"/>
      <c r="P246" s="14"/>
    </row>
    <row r="247">
      <c r="A247" s="6" t="s">
        <v>206</v>
      </c>
      <c r="B247" s="16" t="s">
        <v>68</v>
      </c>
      <c r="C247" s="16" t="s">
        <v>69</v>
      </c>
      <c r="D247" s="16" t="s">
        <v>70</v>
      </c>
      <c r="E247" s="27">
        <v>0.0</v>
      </c>
      <c r="F247" s="28">
        <v>3.0</v>
      </c>
      <c r="G247" s="28">
        <v>0.0</v>
      </c>
      <c r="H247" s="29">
        <v>4.0</v>
      </c>
      <c r="I247" s="30">
        <v>5.0</v>
      </c>
      <c r="J247" s="31">
        <v>0.0</v>
      </c>
      <c r="K247" s="12">
        <f t="shared" si="11"/>
        <v>3000</v>
      </c>
      <c r="L247" s="13" t="str">
        <f t="shared" si="10"/>
        <v>0 5-star + 3 RFC + 0 DME + 4 Patient Portal Login + 5 Completed Task</v>
      </c>
      <c r="M247" s="14"/>
      <c r="N247" s="14"/>
      <c r="O247" s="14"/>
      <c r="P247" s="14"/>
    </row>
    <row r="248">
      <c r="A248" s="6" t="s">
        <v>206</v>
      </c>
      <c r="B248" s="16" t="s">
        <v>71</v>
      </c>
      <c r="C248" s="16" t="s">
        <v>72</v>
      </c>
      <c r="D248" s="16" t="s">
        <v>73</v>
      </c>
      <c r="E248" s="27">
        <v>0.0</v>
      </c>
      <c r="F248" s="28">
        <v>2.0</v>
      </c>
      <c r="G248" s="28">
        <v>1.0</v>
      </c>
      <c r="H248" s="29">
        <v>8.0</v>
      </c>
      <c r="I248" s="30">
        <v>5.0</v>
      </c>
      <c r="J248" s="31">
        <v>0.0</v>
      </c>
      <c r="K248" s="12">
        <f t="shared" si="11"/>
        <v>4000</v>
      </c>
      <c r="L248" s="13" t="str">
        <f t="shared" si="10"/>
        <v>0 5-star + 2 RFC + 1 DME + 8 Patient Portal Login + 5 Completed Task</v>
      </c>
      <c r="M248" s="14"/>
      <c r="N248" s="14"/>
      <c r="O248" s="14"/>
      <c r="P248" s="14"/>
    </row>
    <row r="249">
      <c r="A249" s="6" t="s">
        <v>206</v>
      </c>
      <c r="B249" s="16" t="s">
        <v>74</v>
      </c>
      <c r="C249" s="16" t="s">
        <v>75</v>
      </c>
      <c r="D249" s="16" t="s">
        <v>76</v>
      </c>
      <c r="E249" s="27">
        <v>0.0</v>
      </c>
      <c r="F249" s="28">
        <v>0.0</v>
      </c>
      <c r="G249" s="28">
        <v>0.0</v>
      </c>
      <c r="H249" s="29">
        <v>12.0</v>
      </c>
      <c r="I249" s="30">
        <v>5.0</v>
      </c>
      <c r="J249" s="31">
        <v>0.0</v>
      </c>
      <c r="K249" s="12">
        <f t="shared" si="11"/>
        <v>4250</v>
      </c>
      <c r="L249" s="13" t="str">
        <f t="shared" si="10"/>
        <v>0 5-star + 0 RFC + 0 DME + 12 Patient Portal Login + 5 Completed Task</v>
      </c>
      <c r="M249" s="14"/>
      <c r="N249" s="14"/>
      <c r="O249" s="14"/>
      <c r="P249" s="14"/>
    </row>
    <row r="250">
      <c r="A250" s="6" t="s">
        <v>206</v>
      </c>
      <c r="B250" s="16" t="s">
        <v>80</v>
      </c>
      <c r="C250" s="16" t="s">
        <v>81</v>
      </c>
      <c r="D250" s="16" t="s">
        <v>82</v>
      </c>
      <c r="E250" s="27">
        <v>8.0</v>
      </c>
      <c r="F250" s="28">
        <v>0.0</v>
      </c>
      <c r="G250" s="28">
        <v>2.0</v>
      </c>
      <c r="H250" s="29">
        <v>6.0</v>
      </c>
      <c r="I250" s="30">
        <v>5.0</v>
      </c>
      <c r="J250" s="31">
        <v>0.0</v>
      </c>
      <c r="K250" s="12">
        <f t="shared" si="11"/>
        <v>5250</v>
      </c>
      <c r="L250" s="13" t="str">
        <f t="shared" si="10"/>
        <v>8 5-star + 0 RFC + 2 DME + 6 Patient Portal Login + 5 Completed Task</v>
      </c>
      <c r="M250" s="14"/>
      <c r="N250" s="14"/>
      <c r="O250" s="14"/>
      <c r="P250" s="14"/>
    </row>
    <row r="251">
      <c r="A251" s="6" t="s">
        <v>206</v>
      </c>
      <c r="B251" s="16" t="s">
        <v>86</v>
      </c>
      <c r="C251" s="16" t="s">
        <v>87</v>
      </c>
      <c r="D251" s="16" t="s">
        <v>88</v>
      </c>
      <c r="E251" s="27">
        <v>1.0</v>
      </c>
      <c r="F251" s="28">
        <v>8.0</v>
      </c>
      <c r="G251" s="28">
        <v>1.0</v>
      </c>
      <c r="H251" s="29">
        <v>4.0</v>
      </c>
      <c r="I251" s="30">
        <v>5.0</v>
      </c>
      <c r="J251" s="31">
        <v>0.0</v>
      </c>
      <c r="K251" s="12">
        <f t="shared" si="11"/>
        <v>4750</v>
      </c>
      <c r="L251" s="13" t="str">
        <f t="shared" si="10"/>
        <v>1 5-star + 8 RFC + 1 DME + 4 Patient Portal Login + 5 Completed Task</v>
      </c>
      <c r="M251" s="14"/>
      <c r="N251" s="14"/>
      <c r="O251" s="14"/>
      <c r="P251" s="14"/>
    </row>
    <row r="252">
      <c r="A252" s="6" t="s">
        <v>206</v>
      </c>
      <c r="B252" s="16" t="s">
        <v>92</v>
      </c>
      <c r="C252" s="16" t="s">
        <v>93</v>
      </c>
      <c r="D252" s="16" t="s">
        <v>94</v>
      </c>
      <c r="E252" s="27">
        <v>0.0</v>
      </c>
      <c r="F252" s="28">
        <v>3.0</v>
      </c>
      <c r="G252" s="28">
        <v>0.0</v>
      </c>
      <c r="H252" s="29">
        <v>15.0</v>
      </c>
      <c r="I252" s="30">
        <v>5.0</v>
      </c>
      <c r="J252" s="31">
        <v>0.0</v>
      </c>
      <c r="K252" s="12">
        <f t="shared" si="11"/>
        <v>5750</v>
      </c>
      <c r="L252" s="13" t="str">
        <f t="shared" si="10"/>
        <v>0 5-star + 3 RFC + 0 DME + 15 Patient Portal Login + 5 Completed Task</v>
      </c>
      <c r="M252" s="14"/>
      <c r="N252" s="14"/>
      <c r="O252" s="14"/>
      <c r="P252" s="14"/>
    </row>
    <row r="253">
      <c r="A253" s="6" t="s">
        <v>206</v>
      </c>
      <c r="B253" s="16" t="s">
        <v>95</v>
      </c>
      <c r="C253" s="16" t="s">
        <v>96</v>
      </c>
      <c r="D253" s="16" t="s">
        <v>97</v>
      </c>
      <c r="E253" s="27">
        <v>1.0</v>
      </c>
      <c r="F253" s="28">
        <v>1.0</v>
      </c>
      <c r="G253" s="28">
        <v>0.0</v>
      </c>
      <c r="H253" s="29">
        <v>2.0</v>
      </c>
      <c r="I253" s="30">
        <v>5.0</v>
      </c>
      <c r="J253" s="31">
        <v>0.0</v>
      </c>
      <c r="K253" s="12">
        <f t="shared" si="11"/>
        <v>2250</v>
      </c>
      <c r="L253" s="13" t="str">
        <f t="shared" si="10"/>
        <v>1 5-star + 1 RFC + 0 DME + 2 Patient Portal Login + 5 Completed Task</v>
      </c>
      <c r="M253" s="14"/>
      <c r="N253" s="14"/>
      <c r="O253" s="14"/>
      <c r="P253" s="14"/>
    </row>
    <row r="254">
      <c r="A254" s="6" t="s">
        <v>206</v>
      </c>
      <c r="B254" s="16" t="s">
        <v>101</v>
      </c>
      <c r="C254" s="16" t="s">
        <v>102</v>
      </c>
      <c r="D254" s="16" t="s">
        <v>103</v>
      </c>
      <c r="E254" s="27">
        <v>0.0</v>
      </c>
      <c r="F254" s="28">
        <v>1.0</v>
      </c>
      <c r="G254" s="28">
        <v>0.0</v>
      </c>
      <c r="H254" s="29">
        <v>6.0</v>
      </c>
      <c r="I254" s="30">
        <v>5.0</v>
      </c>
      <c r="J254" s="31">
        <v>0.0</v>
      </c>
      <c r="K254" s="12">
        <f t="shared" si="11"/>
        <v>3000</v>
      </c>
      <c r="L254" s="13" t="str">
        <f t="shared" si="10"/>
        <v>0 5-star + 1 RFC + 0 DME + 6 Patient Portal Login + 5 Completed Task</v>
      </c>
      <c r="M254" s="14"/>
      <c r="N254" s="14"/>
      <c r="O254" s="14"/>
      <c r="P254" s="14"/>
    </row>
    <row r="255">
      <c r="A255" s="6" t="s">
        <v>206</v>
      </c>
      <c r="B255" s="16" t="s">
        <v>104</v>
      </c>
      <c r="C255" s="16" t="s">
        <v>105</v>
      </c>
      <c r="D255" s="16" t="s">
        <v>106</v>
      </c>
      <c r="E255" s="27">
        <v>0.0</v>
      </c>
      <c r="F255" s="28">
        <v>0.0</v>
      </c>
      <c r="G255" s="28">
        <v>0.0</v>
      </c>
      <c r="H255" s="29">
        <v>12.0</v>
      </c>
      <c r="I255" s="30">
        <v>5.0</v>
      </c>
      <c r="J255" s="31">
        <v>0.0</v>
      </c>
      <c r="K255" s="12">
        <f t="shared" si="11"/>
        <v>4250</v>
      </c>
      <c r="L255" s="13" t="str">
        <f t="shared" si="10"/>
        <v>0 5-star + 0 RFC + 0 DME + 12 Patient Portal Login + 5 Completed Task</v>
      </c>
      <c r="M255" s="14"/>
      <c r="N255" s="14"/>
      <c r="O255" s="14"/>
      <c r="P255" s="14"/>
    </row>
    <row r="256">
      <c r="A256" s="6" t="s">
        <v>206</v>
      </c>
      <c r="B256" s="16" t="s">
        <v>107</v>
      </c>
      <c r="C256" s="16" t="s">
        <v>108</v>
      </c>
      <c r="D256" s="16" t="s">
        <v>109</v>
      </c>
      <c r="E256" s="27">
        <v>0.0</v>
      </c>
      <c r="F256" s="28">
        <v>2.0</v>
      </c>
      <c r="G256" s="28">
        <v>1.0</v>
      </c>
      <c r="H256" s="29">
        <v>5.0</v>
      </c>
      <c r="I256" s="30">
        <v>5.0</v>
      </c>
      <c r="J256" s="31">
        <v>0.0</v>
      </c>
      <c r="K256" s="12">
        <f t="shared" si="11"/>
        <v>3250</v>
      </c>
      <c r="L256" s="13" t="str">
        <f t="shared" si="10"/>
        <v>0 5-star + 2 RFC + 1 DME + 5 Patient Portal Login + 5 Completed Task</v>
      </c>
      <c r="M256" s="14"/>
      <c r="N256" s="14"/>
      <c r="O256" s="14"/>
      <c r="P256" s="14"/>
    </row>
    <row r="257">
      <c r="A257" s="6" t="s">
        <v>206</v>
      </c>
      <c r="B257" s="16" t="s">
        <v>110</v>
      </c>
      <c r="C257" s="16" t="s">
        <v>111</v>
      </c>
      <c r="D257" s="16" t="s">
        <v>112</v>
      </c>
      <c r="E257" s="27">
        <v>0.0</v>
      </c>
      <c r="F257" s="28">
        <v>5.0</v>
      </c>
      <c r="G257" s="28">
        <v>0.0</v>
      </c>
      <c r="H257" s="29">
        <v>10.0</v>
      </c>
      <c r="I257" s="30">
        <v>3.0</v>
      </c>
      <c r="J257" s="31">
        <v>0.0</v>
      </c>
      <c r="K257" s="12">
        <f t="shared" si="11"/>
        <v>4500</v>
      </c>
      <c r="L257" s="13" t="str">
        <f t="shared" si="10"/>
        <v>0 5-star + 5 RFC + 0 DME + 10 Patient Portal Login + 3 Completed Task</v>
      </c>
      <c r="M257" s="14"/>
      <c r="N257" s="14"/>
      <c r="O257" s="14"/>
      <c r="P257" s="14"/>
    </row>
    <row r="258">
      <c r="A258" s="6" t="s">
        <v>206</v>
      </c>
      <c r="B258" s="16" t="s">
        <v>113</v>
      </c>
      <c r="C258" s="16" t="s">
        <v>114</v>
      </c>
      <c r="D258" s="16" t="s">
        <v>115</v>
      </c>
      <c r="E258" s="27">
        <v>0.0</v>
      </c>
      <c r="F258" s="28">
        <v>0.0</v>
      </c>
      <c r="G258" s="28">
        <v>0.0</v>
      </c>
      <c r="H258" s="29">
        <v>2.0</v>
      </c>
      <c r="I258" s="30">
        <v>5.0</v>
      </c>
      <c r="J258" s="31">
        <v>0.0</v>
      </c>
      <c r="K258" s="12">
        <f t="shared" si="11"/>
        <v>1750</v>
      </c>
      <c r="L258" s="13" t="str">
        <f t="shared" si="10"/>
        <v>0 5-star + 0 RFC + 0 DME + 2 Patient Portal Login + 5 Completed Task</v>
      </c>
      <c r="M258" s="14"/>
      <c r="N258" s="14"/>
      <c r="O258" s="14"/>
      <c r="P258" s="14"/>
    </row>
    <row r="259">
      <c r="A259" s="6" t="s">
        <v>206</v>
      </c>
      <c r="B259" s="16" t="s">
        <v>116</v>
      </c>
      <c r="C259" s="16" t="s">
        <v>117</v>
      </c>
      <c r="D259" s="16" t="s">
        <v>118</v>
      </c>
      <c r="E259" s="27">
        <v>0.0</v>
      </c>
      <c r="F259" s="28">
        <v>0.0</v>
      </c>
      <c r="G259" s="28">
        <v>1.0</v>
      </c>
      <c r="H259" s="29">
        <v>11.0</v>
      </c>
      <c r="I259" s="30">
        <v>5.0</v>
      </c>
      <c r="J259" s="31">
        <v>0.0</v>
      </c>
      <c r="K259" s="12">
        <f t="shared" si="11"/>
        <v>4250</v>
      </c>
      <c r="L259" s="13" t="str">
        <f t="shared" si="10"/>
        <v>0 5-star + 0 RFC + 1 DME + 11 Patient Portal Login + 5 Completed Task</v>
      </c>
      <c r="M259" s="14"/>
      <c r="N259" s="14"/>
      <c r="O259" s="14"/>
      <c r="P259" s="14"/>
    </row>
    <row r="260">
      <c r="A260" s="6" t="s">
        <v>206</v>
      </c>
      <c r="B260" s="16" t="s">
        <v>122</v>
      </c>
      <c r="C260" s="16" t="s">
        <v>123</v>
      </c>
      <c r="D260" s="16" t="s">
        <v>124</v>
      </c>
      <c r="E260" s="27">
        <v>0.0</v>
      </c>
      <c r="F260" s="28">
        <v>1.0</v>
      </c>
      <c r="G260" s="28">
        <v>0.0</v>
      </c>
      <c r="H260" s="29">
        <v>8.0</v>
      </c>
      <c r="I260" s="30">
        <v>5.0</v>
      </c>
      <c r="J260" s="31">
        <v>1.0</v>
      </c>
      <c r="K260" s="12">
        <f t="shared" si="11"/>
        <v>3750</v>
      </c>
      <c r="L260" s="13" t="str">
        <f t="shared" si="10"/>
        <v>0 5-star + 1 RFC + 0 DME + 8 Patient Portal Login + 5 Completed Task</v>
      </c>
      <c r="M260" s="14"/>
      <c r="N260" s="14"/>
      <c r="O260" s="14"/>
      <c r="P260" s="14"/>
    </row>
    <row r="261">
      <c r="A261" s="6" t="s">
        <v>206</v>
      </c>
      <c r="B261" s="16" t="s">
        <v>125</v>
      </c>
      <c r="C261" s="16" t="s">
        <v>126</v>
      </c>
      <c r="D261" s="16" t="s">
        <v>127</v>
      </c>
      <c r="E261" s="27">
        <v>1.0</v>
      </c>
      <c r="F261" s="28">
        <v>4.0</v>
      </c>
      <c r="G261" s="28">
        <v>0.0</v>
      </c>
      <c r="H261" s="29">
        <v>9.0</v>
      </c>
      <c r="I261" s="30">
        <v>5.0</v>
      </c>
      <c r="J261" s="31">
        <v>1.0</v>
      </c>
      <c r="K261" s="12">
        <f t="shared" si="11"/>
        <v>5000</v>
      </c>
      <c r="L261" s="13" t="str">
        <f t="shared" si="10"/>
        <v>1 5-star + 4 RFC + 0 DME + 9 Patient Portal Login + 5 Completed Task</v>
      </c>
      <c r="M261" s="14"/>
      <c r="N261" s="14"/>
      <c r="O261" s="14"/>
      <c r="P261" s="14"/>
    </row>
    <row r="262">
      <c r="A262" s="6" t="s">
        <v>206</v>
      </c>
      <c r="B262" s="16" t="s">
        <v>128</v>
      </c>
      <c r="C262" s="16" t="s">
        <v>129</v>
      </c>
      <c r="D262" s="16" t="s">
        <v>130</v>
      </c>
      <c r="E262" s="27">
        <v>0.0</v>
      </c>
      <c r="F262" s="28">
        <v>2.0</v>
      </c>
      <c r="G262" s="28">
        <v>0.0</v>
      </c>
      <c r="H262" s="29">
        <v>6.0</v>
      </c>
      <c r="I262" s="30">
        <v>5.0</v>
      </c>
      <c r="J262" s="31">
        <v>0.0</v>
      </c>
      <c r="K262" s="12">
        <f t="shared" si="11"/>
        <v>3250</v>
      </c>
      <c r="L262" s="13" t="str">
        <f t="shared" si="10"/>
        <v>0 5-star + 2 RFC + 0 DME + 6 Patient Portal Login + 5 Completed Task</v>
      </c>
      <c r="M262" s="14"/>
      <c r="N262" s="14"/>
      <c r="O262" s="14"/>
      <c r="P262" s="14"/>
    </row>
    <row r="263">
      <c r="A263" s="6" t="s">
        <v>206</v>
      </c>
      <c r="B263" s="16" t="s">
        <v>131</v>
      </c>
      <c r="C263" s="16" t="s">
        <v>132</v>
      </c>
      <c r="D263" s="16" t="s">
        <v>133</v>
      </c>
      <c r="E263" s="27">
        <v>6.0</v>
      </c>
      <c r="F263" s="28">
        <v>4.0</v>
      </c>
      <c r="G263" s="28">
        <v>0.0</v>
      </c>
      <c r="H263" s="29">
        <v>1.0</v>
      </c>
      <c r="I263" s="30">
        <v>5.0</v>
      </c>
      <c r="J263" s="31">
        <v>0.0</v>
      </c>
      <c r="K263" s="12">
        <f t="shared" si="11"/>
        <v>4000</v>
      </c>
      <c r="L263" s="13" t="str">
        <f t="shared" si="10"/>
        <v>6 5-star + 4 RFC + 0 DME + 1 Patient Portal Login + 5 Completed Task</v>
      </c>
      <c r="M263" s="14"/>
      <c r="N263" s="14"/>
      <c r="O263" s="14"/>
      <c r="P263" s="14"/>
    </row>
    <row r="264">
      <c r="A264" s="6" t="s">
        <v>206</v>
      </c>
      <c r="B264" s="16" t="s">
        <v>134</v>
      </c>
      <c r="C264" s="16" t="s">
        <v>135</v>
      </c>
      <c r="D264" s="16" t="s">
        <v>136</v>
      </c>
      <c r="E264" s="27">
        <v>2.0</v>
      </c>
      <c r="F264" s="28">
        <v>1.0</v>
      </c>
      <c r="G264" s="28">
        <v>1.0</v>
      </c>
      <c r="H264" s="29">
        <v>0.0</v>
      </c>
      <c r="I264" s="30">
        <v>5.0</v>
      </c>
      <c r="J264" s="31">
        <v>0.0</v>
      </c>
      <c r="K264" s="12">
        <f t="shared" si="11"/>
        <v>2250</v>
      </c>
      <c r="L264" s="13" t="str">
        <f t="shared" si="10"/>
        <v>2 5-star + 1 RFC + 1 DME + 0 Patient Portal Login + 5 Completed Task</v>
      </c>
      <c r="M264" s="14"/>
      <c r="N264" s="14"/>
      <c r="O264" s="14"/>
      <c r="P264" s="14"/>
    </row>
    <row r="265">
      <c r="A265" s="6" t="s">
        <v>206</v>
      </c>
      <c r="B265" s="16" t="s">
        <v>137</v>
      </c>
      <c r="C265" s="16" t="s">
        <v>138</v>
      </c>
      <c r="D265" s="16" t="s">
        <v>139</v>
      </c>
      <c r="E265" s="27">
        <v>1.0</v>
      </c>
      <c r="F265" s="28">
        <v>5.0</v>
      </c>
      <c r="G265" s="28">
        <v>0.0</v>
      </c>
      <c r="H265" s="29">
        <v>11.0</v>
      </c>
      <c r="I265" s="30">
        <v>5.0</v>
      </c>
      <c r="J265" s="31">
        <v>0.0</v>
      </c>
      <c r="K265" s="12">
        <f t="shared" si="11"/>
        <v>5500</v>
      </c>
      <c r="L265" s="13" t="str">
        <f t="shared" si="10"/>
        <v>1 5-star + 5 RFC + 0 DME + 11 Patient Portal Login + 5 Completed Task</v>
      </c>
      <c r="M265" s="14"/>
      <c r="N265" s="14"/>
      <c r="O265" s="14"/>
      <c r="P265" s="14"/>
    </row>
    <row r="266">
      <c r="A266" s="6" t="s">
        <v>206</v>
      </c>
      <c r="B266" s="16" t="s">
        <v>140</v>
      </c>
      <c r="C266" s="16" t="s">
        <v>141</v>
      </c>
      <c r="D266" s="16" t="s">
        <v>142</v>
      </c>
      <c r="E266" s="27">
        <v>3.0</v>
      </c>
      <c r="F266" s="28">
        <v>1.0</v>
      </c>
      <c r="G266" s="28">
        <v>0.0</v>
      </c>
      <c r="H266" s="29">
        <v>4.0</v>
      </c>
      <c r="I266" s="30">
        <v>5.0</v>
      </c>
      <c r="J266" s="31">
        <v>0.0</v>
      </c>
      <c r="K266" s="12">
        <f t="shared" si="11"/>
        <v>3250</v>
      </c>
      <c r="L266" s="13" t="str">
        <f t="shared" si="10"/>
        <v>3 5-star + 1 RFC + 0 DME + 4 Patient Portal Login + 5 Completed Task</v>
      </c>
      <c r="M266" s="14"/>
      <c r="N266" s="14"/>
      <c r="O266" s="14"/>
      <c r="P266" s="14"/>
    </row>
    <row r="267">
      <c r="A267" s="6" t="s">
        <v>206</v>
      </c>
      <c r="B267" s="16" t="s">
        <v>143</v>
      </c>
      <c r="C267" s="16" t="s">
        <v>144</v>
      </c>
      <c r="D267" s="16" t="s">
        <v>145</v>
      </c>
      <c r="E267" s="27">
        <v>1.0</v>
      </c>
      <c r="F267" s="28">
        <v>0.0</v>
      </c>
      <c r="G267" s="28">
        <v>3.0</v>
      </c>
      <c r="H267" s="29">
        <v>1.0</v>
      </c>
      <c r="I267" s="30">
        <v>5.0</v>
      </c>
      <c r="J267" s="31">
        <v>0.0</v>
      </c>
      <c r="K267" s="12">
        <f t="shared" si="11"/>
        <v>2500</v>
      </c>
      <c r="L267" s="13" t="str">
        <f t="shared" si="10"/>
        <v>1 5-star + 0 RFC + 3 DME + 1 Patient Portal Login + 5 Completed Task</v>
      </c>
      <c r="M267" s="14"/>
      <c r="N267" s="14"/>
      <c r="O267" s="14"/>
      <c r="P267" s="14"/>
    </row>
    <row r="268">
      <c r="A268" s="6" t="s">
        <v>206</v>
      </c>
      <c r="B268" s="16" t="s">
        <v>146</v>
      </c>
      <c r="C268" s="16" t="s">
        <v>147</v>
      </c>
      <c r="D268" s="16" t="s">
        <v>148</v>
      </c>
      <c r="E268" s="27">
        <v>4.0</v>
      </c>
      <c r="F268" s="28">
        <v>6.0</v>
      </c>
      <c r="G268" s="28">
        <v>0.0</v>
      </c>
      <c r="H268" s="29">
        <v>1.0</v>
      </c>
      <c r="I268" s="30">
        <v>5.0</v>
      </c>
      <c r="J268" s="31">
        <v>0.0</v>
      </c>
      <c r="K268" s="12">
        <f t="shared" si="11"/>
        <v>4000</v>
      </c>
      <c r="L268" s="13" t="str">
        <f t="shared" si="10"/>
        <v>4 5-star + 6 RFC + 0 DME + 1 Patient Portal Login + 5 Completed Task</v>
      </c>
      <c r="M268" s="14"/>
      <c r="N268" s="14"/>
      <c r="O268" s="14"/>
      <c r="P268" s="14"/>
    </row>
    <row r="269">
      <c r="A269" s="6" t="s">
        <v>206</v>
      </c>
      <c r="B269" s="16" t="s">
        <v>149</v>
      </c>
      <c r="C269" s="16" t="s">
        <v>150</v>
      </c>
      <c r="D269" s="16" t="s">
        <v>151</v>
      </c>
      <c r="E269" s="27">
        <v>1.0</v>
      </c>
      <c r="F269" s="28">
        <v>0.0</v>
      </c>
      <c r="G269" s="28">
        <v>5.0</v>
      </c>
      <c r="H269" s="29">
        <v>7.0</v>
      </c>
      <c r="I269" s="30">
        <v>5.0</v>
      </c>
      <c r="J269" s="31">
        <v>0.0</v>
      </c>
      <c r="K269" s="12">
        <f t="shared" si="11"/>
        <v>4500</v>
      </c>
      <c r="L269" s="13" t="str">
        <f> E269 &amp; " 5-star + " &amp; F269 &amp; " RFC + " &amp; G269 &amp; " DME + " &amp; H269 &amp; " Patient Portal Login + " &amp; I262 &amp; " Completed Task"
</f>
        <v>1 5-star + 0 RFC + 5 DME + 7 Patient Portal Login + 5 Completed Task</v>
      </c>
      <c r="M269" s="14"/>
      <c r="N269" s="14"/>
      <c r="O269" s="14"/>
      <c r="P269" s="14"/>
    </row>
    <row r="270">
      <c r="A270" s="6" t="s">
        <v>206</v>
      </c>
      <c r="B270" s="16" t="s">
        <v>152</v>
      </c>
      <c r="C270" s="16" t="s">
        <v>153</v>
      </c>
      <c r="D270" s="16" t="s">
        <v>154</v>
      </c>
      <c r="E270" s="27">
        <v>0.0</v>
      </c>
      <c r="F270" s="28">
        <v>1.0</v>
      </c>
      <c r="G270" s="28">
        <v>0.0</v>
      </c>
      <c r="H270" s="29">
        <v>13.0</v>
      </c>
      <c r="I270" s="30">
        <v>5.0</v>
      </c>
      <c r="J270" s="31">
        <v>0.0</v>
      </c>
      <c r="K270" s="12">
        <f t="shared" si="11"/>
        <v>4750</v>
      </c>
      <c r="L270" s="13" t="str">
        <f t="shared" ref="L270:L272" si="12"> E270 &amp; " 5-star + " &amp; F270 &amp; " RFC + " &amp; G270 &amp; " DME + " &amp; H270 &amp; " Patient Portal Login + " &amp; I270 &amp; " Completed Task"
</f>
        <v>0 5-star + 1 RFC + 0 DME + 13 Patient Portal Login + 5 Completed Task</v>
      </c>
      <c r="M270" s="14"/>
      <c r="N270" s="14"/>
      <c r="O270" s="14"/>
      <c r="P270" s="14"/>
    </row>
    <row r="271">
      <c r="A271" s="6" t="s">
        <v>206</v>
      </c>
      <c r="B271" s="16" t="s">
        <v>155</v>
      </c>
      <c r="C271" s="16" t="s">
        <v>156</v>
      </c>
      <c r="D271" s="16" t="s">
        <v>157</v>
      </c>
      <c r="E271" s="27">
        <v>15.0</v>
      </c>
      <c r="F271" s="28">
        <v>1.0</v>
      </c>
      <c r="G271" s="28">
        <v>1.0</v>
      </c>
      <c r="H271" s="29">
        <v>6.0</v>
      </c>
      <c r="I271" s="30">
        <v>5.0</v>
      </c>
      <c r="J271" s="31">
        <v>0.0</v>
      </c>
      <c r="K271" s="12">
        <f t="shared" si="11"/>
        <v>7000</v>
      </c>
      <c r="L271" s="13" t="str">
        <f t="shared" si="12"/>
        <v>15 5-star + 1 RFC + 1 DME + 6 Patient Portal Login + 5 Completed Task</v>
      </c>
      <c r="M271" s="14"/>
      <c r="N271" s="14"/>
      <c r="O271" s="14"/>
      <c r="P271" s="14"/>
    </row>
    <row r="272">
      <c r="A272" s="6" t="s">
        <v>206</v>
      </c>
      <c r="B272" s="16" t="s">
        <v>158</v>
      </c>
      <c r="C272" s="16" t="s">
        <v>159</v>
      </c>
      <c r="D272" s="16" t="s">
        <v>160</v>
      </c>
      <c r="E272" s="27">
        <v>0.0</v>
      </c>
      <c r="F272" s="28">
        <v>1.0</v>
      </c>
      <c r="G272" s="28">
        <v>0.0</v>
      </c>
      <c r="H272" s="29">
        <v>6.0</v>
      </c>
      <c r="I272" s="30">
        <v>5.0</v>
      </c>
      <c r="J272" s="31">
        <v>0.0</v>
      </c>
      <c r="K272" s="12">
        <f t="shared" si="11"/>
        <v>3000</v>
      </c>
      <c r="L272" s="13" t="str">
        <f t="shared" si="12"/>
        <v>0 5-star + 1 RFC + 0 DME + 6 Patient Portal Login + 5 Completed Task</v>
      </c>
      <c r="M272" s="14"/>
      <c r="N272" s="14"/>
      <c r="O272" s="14"/>
      <c r="P272" s="14"/>
    </row>
    <row r="273">
      <c r="A273" s="6" t="s">
        <v>206</v>
      </c>
      <c r="B273" s="20" t="s">
        <v>161</v>
      </c>
      <c r="C273" s="20" t="s">
        <v>162</v>
      </c>
      <c r="D273" s="20" t="s">
        <v>163</v>
      </c>
      <c r="E273" s="27">
        <v>0.0</v>
      </c>
      <c r="F273" s="28">
        <v>6.0</v>
      </c>
      <c r="G273" s="28">
        <v>1.0</v>
      </c>
      <c r="H273" s="29">
        <v>1.0</v>
      </c>
      <c r="I273" s="30">
        <v>5.0</v>
      </c>
      <c r="J273" s="31">
        <v>0.0</v>
      </c>
      <c r="K273" s="12">
        <f t="shared" si="11"/>
        <v>3250</v>
      </c>
      <c r="L273" s="13" t="str">
        <f> E273 &amp; " 5-star + " &amp; E260 &amp; " RFC + " &amp; G273 &amp; " DME + " &amp; H273 &amp; " Patient Portal Login + " &amp; I273 &amp; " Completed Task"
</f>
        <v>0 5-star + 0 RFC + 1 DME + 1 Patient Portal Login + 5 Completed Task</v>
      </c>
      <c r="M273" s="14"/>
      <c r="N273" s="14"/>
      <c r="O273" s="14"/>
      <c r="P273" s="14"/>
    </row>
    <row r="274">
      <c r="A274" s="6" t="s">
        <v>206</v>
      </c>
      <c r="B274" s="20" t="s">
        <v>167</v>
      </c>
      <c r="C274" s="20" t="s">
        <v>168</v>
      </c>
      <c r="D274" s="20" t="s">
        <v>169</v>
      </c>
      <c r="E274" s="27">
        <v>0.0</v>
      </c>
      <c r="F274" s="28">
        <v>0.0</v>
      </c>
      <c r="G274" s="28">
        <v>0.0</v>
      </c>
      <c r="H274" s="29">
        <v>5.0</v>
      </c>
      <c r="I274" s="30">
        <v>5.0</v>
      </c>
      <c r="J274" s="31">
        <v>0.0</v>
      </c>
      <c r="K274" s="12">
        <f t="shared" si="11"/>
        <v>2500</v>
      </c>
      <c r="L274" s="13" t="str">
        <f t="shared" ref="L274:L318" si="13"> E274 &amp; " 5-star + " &amp; F274 &amp; " RFC + " &amp; G274 &amp; " DME + " &amp; H274 &amp; " Patient Portal Login + " &amp; I274 &amp; " Completed Task"
</f>
        <v>0 5-star + 0 RFC + 0 DME + 5 Patient Portal Login + 5 Completed Task</v>
      </c>
      <c r="M274" s="14"/>
      <c r="N274" s="14"/>
      <c r="O274" s="14"/>
      <c r="P274" s="14"/>
    </row>
    <row r="275">
      <c r="A275" s="6" t="s">
        <v>206</v>
      </c>
      <c r="B275" s="20" t="s">
        <v>222</v>
      </c>
      <c r="C275" s="20" t="s">
        <v>171</v>
      </c>
      <c r="D275" s="20" t="s">
        <v>172</v>
      </c>
      <c r="E275" s="27">
        <v>0.0</v>
      </c>
      <c r="F275" s="28">
        <v>1.0</v>
      </c>
      <c r="G275" s="28">
        <v>0.0</v>
      </c>
      <c r="H275" s="29">
        <v>15.0</v>
      </c>
      <c r="I275" s="30">
        <v>5.0</v>
      </c>
      <c r="J275" s="31">
        <v>0.0</v>
      </c>
      <c r="K275" s="12">
        <f t="shared" si="11"/>
        <v>5250</v>
      </c>
      <c r="L275" s="13" t="str">
        <f t="shared" si="13"/>
        <v>0 5-star + 1 RFC + 0 DME + 15 Patient Portal Login + 5 Completed Task</v>
      </c>
      <c r="M275" s="32"/>
      <c r="N275" s="14"/>
      <c r="O275" s="14"/>
      <c r="P275" s="14"/>
    </row>
    <row r="276">
      <c r="A276" s="6" t="s">
        <v>206</v>
      </c>
      <c r="B276" s="16" t="s">
        <v>173</v>
      </c>
      <c r="C276" s="16" t="s">
        <v>174</v>
      </c>
      <c r="D276" s="16" t="s">
        <v>175</v>
      </c>
      <c r="E276" s="27">
        <v>1.0</v>
      </c>
      <c r="F276" s="28">
        <v>2.0</v>
      </c>
      <c r="G276" s="28">
        <v>3.0</v>
      </c>
      <c r="H276" s="29">
        <v>2.0</v>
      </c>
      <c r="I276" s="30">
        <v>5.0</v>
      </c>
      <c r="J276" s="31">
        <v>0.0</v>
      </c>
      <c r="K276" s="12">
        <f t="shared" si="11"/>
        <v>3250</v>
      </c>
      <c r="L276" s="13" t="str">
        <f t="shared" si="13"/>
        <v>1 5-star + 2 RFC + 3 DME + 2 Patient Portal Login + 5 Completed Task</v>
      </c>
      <c r="M276" s="14"/>
      <c r="N276" s="14"/>
      <c r="O276" s="14"/>
      <c r="P276" s="14"/>
    </row>
    <row r="277">
      <c r="A277" s="6" t="s">
        <v>206</v>
      </c>
      <c r="B277" s="16" t="s">
        <v>176</v>
      </c>
      <c r="C277" s="16" t="s">
        <v>177</v>
      </c>
      <c r="D277" s="16" t="s">
        <v>178</v>
      </c>
      <c r="E277" s="27">
        <v>0.0</v>
      </c>
      <c r="F277" s="28">
        <v>0.0</v>
      </c>
      <c r="G277" s="28">
        <v>0.0</v>
      </c>
      <c r="H277" s="29">
        <v>17.0</v>
      </c>
      <c r="I277" s="30">
        <v>5.0</v>
      </c>
      <c r="J277" s="31">
        <v>0.0</v>
      </c>
      <c r="K277" s="12">
        <f t="shared" si="11"/>
        <v>5500</v>
      </c>
      <c r="L277" s="13" t="str">
        <f t="shared" si="13"/>
        <v>0 5-star + 0 RFC + 0 DME + 17 Patient Portal Login + 5 Completed Task</v>
      </c>
      <c r="M277" s="14"/>
      <c r="N277" s="14"/>
      <c r="O277" s="14"/>
      <c r="P277" s="14"/>
    </row>
    <row r="278">
      <c r="A278" s="6" t="s">
        <v>206</v>
      </c>
      <c r="B278" s="21" t="s">
        <v>179</v>
      </c>
      <c r="C278" s="21" t="s">
        <v>180</v>
      </c>
      <c r="D278" s="21" t="s">
        <v>181</v>
      </c>
      <c r="E278" s="27">
        <v>1.0</v>
      </c>
      <c r="F278" s="28">
        <v>3.0</v>
      </c>
      <c r="G278" s="28">
        <v>3.0</v>
      </c>
      <c r="H278" s="29">
        <v>16.0</v>
      </c>
      <c r="I278" s="30">
        <v>5.0</v>
      </c>
      <c r="J278" s="31">
        <v>0.0</v>
      </c>
      <c r="K278" s="12">
        <f t="shared" si="11"/>
        <v>7000</v>
      </c>
      <c r="L278" s="13" t="str">
        <f t="shared" si="13"/>
        <v>1 5-star + 3 RFC + 3 DME + 16 Patient Portal Login + 5 Completed Task</v>
      </c>
      <c r="M278" s="14"/>
      <c r="N278" s="14"/>
      <c r="O278" s="23"/>
      <c r="P278" s="23"/>
    </row>
    <row r="279">
      <c r="A279" s="6" t="s">
        <v>206</v>
      </c>
      <c r="B279" s="21" t="s">
        <v>182</v>
      </c>
      <c r="C279" s="21" t="s">
        <v>183</v>
      </c>
      <c r="D279" s="21" t="s">
        <v>184</v>
      </c>
      <c r="E279" s="27">
        <v>0.0</v>
      </c>
      <c r="F279" s="28">
        <v>1.0</v>
      </c>
      <c r="G279" s="28">
        <v>0.0</v>
      </c>
      <c r="H279" s="29">
        <v>3.0</v>
      </c>
      <c r="I279" s="30">
        <v>4.0</v>
      </c>
      <c r="J279" s="31">
        <v>0.0</v>
      </c>
      <c r="K279" s="12">
        <f t="shared" si="11"/>
        <v>2000</v>
      </c>
      <c r="L279" s="13" t="str">
        <f t="shared" si="13"/>
        <v>0 5-star + 1 RFC + 0 DME + 3 Patient Portal Login + 4 Completed Task</v>
      </c>
      <c r="M279" s="14"/>
      <c r="N279" s="14"/>
      <c r="O279" s="23"/>
      <c r="P279" s="23"/>
    </row>
    <row r="280">
      <c r="A280" s="6" t="s">
        <v>206</v>
      </c>
      <c r="B280" s="21" t="s">
        <v>185</v>
      </c>
      <c r="C280" s="21" t="s">
        <v>186</v>
      </c>
      <c r="D280" s="21" t="s">
        <v>187</v>
      </c>
      <c r="E280" s="27">
        <v>4.0</v>
      </c>
      <c r="F280" s="28">
        <v>0.0</v>
      </c>
      <c r="G280" s="28">
        <v>4.0</v>
      </c>
      <c r="H280" s="29">
        <v>0.0</v>
      </c>
      <c r="I280" s="30">
        <v>5.0</v>
      </c>
      <c r="J280" s="31">
        <v>0.0</v>
      </c>
      <c r="K280" s="12">
        <f t="shared" si="11"/>
        <v>3250</v>
      </c>
      <c r="L280" s="13" t="str">
        <f t="shared" si="13"/>
        <v>4 5-star + 0 RFC + 4 DME + 0 Patient Portal Login + 5 Completed Task</v>
      </c>
      <c r="M280" s="14"/>
      <c r="N280" s="14"/>
      <c r="O280" s="23"/>
      <c r="P280" s="23"/>
    </row>
    <row r="281">
      <c r="A281" s="6" t="s">
        <v>206</v>
      </c>
      <c r="B281" s="21" t="s">
        <v>188</v>
      </c>
      <c r="C281" s="21" t="s">
        <v>189</v>
      </c>
      <c r="D281" s="21" t="s">
        <v>190</v>
      </c>
      <c r="E281" s="27">
        <v>0.0</v>
      </c>
      <c r="F281" s="28">
        <v>1.0</v>
      </c>
      <c r="G281" s="28">
        <v>3.0</v>
      </c>
      <c r="H281" s="29">
        <v>11.0</v>
      </c>
      <c r="I281" s="30">
        <v>5.0</v>
      </c>
      <c r="J281" s="31">
        <v>0.0</v>
      </c>
      <c r="K281" s="12">
        <f t="shared" si="11"/>
        <v>5000</v>
      </c>
      <c r="L281" s="13" t="str">
        <f t="shared" si="13"/>
        <v>0 5-star + 1 RFC + 3 DME + 11 Patient Portal Login + 5 Completed Task</v>
      </c>
      <c r="M281" s="14"/>
      <c r="N281" s="14"/>
      <c r="O281" s="23"/>
      <c r="P281" s="23"/>
    </row>
    <row r="282">
      <c r="A282" s="6" t="s">
        <v>206</v>
      </c>
      <c r="B282" s="21" t="s">
        <v>191</v>
      </c>
      <c r="C282" s="21" t="s">
        <v>192</v>
      </c>
      <c r="D282" s="21" t="s">
        <v>193</v>
      </c>
      <c r="E282" s="27">
        <v>0.0</v>
      </c>
      <c r="F282" s="28">
        <v>0.0</v>
      </c>
      <c r="G282" s="28">
        <v>0.0</v>
      </c>
      <c r="H282" s="29">
        <v>14.0</v>
      </c>
      <c r="I282" s="30">
        <v>5.0</v>
      </c>
      <c r="J282" s="31">
        <v>0.0</v>
      </c>
      <c r="K282" s="12">
        <f t="shared" si="11"/>
        <v>4750</v>
      </c>
      <c r="L282" s="13" t="str">
        <f t="shared" si="13"/>
        <v>0 5-star + 0 RFC + 0 DME + 14 Patient Portal Login + 5 Completed Task</v>
      </c>
      <c r="M282" s="14"/>
      <c r="N282" s="14"/>
      <c r="O282" s="23"/>
      <c r="P282" s="23"/>
    </row>
    <row r="283">
      <c r="A283" s="6" t="s">
        <v>206</v>
      </c>
      <c r="B283" s="21" t="s">
        <v>197</v>
      </c>
      <c r="C283" s="21" t="s">
        <v>198</v>
      </c>
      <c r="D283" s="21" t="s">
        <v>199</v>
      </c>
      <c r="E283" s="27">
        <v>1.0</v>
      </c>
      <c r="F283" s="28">
        <v>1.0</v>
      </c>
      <c r="G283" s="28">
        <v>0.0</v>
      </c>
      <c r="H283" s="29">
        <v>2.0</v>
      </c>
      <c r="I283" s="30">
        <v>4.0</v>
      </c>
      <c r="J283" s="31">
        <v>0.0</v>
      </c>
      <c r="K283" s="12">
        <f t="shared" si="11"/>
        <v>2000</v>
      </c>
      <c r="L283" s="13" t="str">
        <f t="shared" si="13"/>
        <v>1 5-star + 1 RFC + 0 DME + 2 Patient Portal Login + 4 Completed Task</v>
      </c>
      <c r="M283" s="14"/>
      <c r="N283" s="14"/>
      <c r="O283" s="23"/>
      <c r="P283" s="23"/>
    </row>
    <row r="284">
      <c r="A284" s="6" t="s">
        <v>206</v>
      </c>
      <c r="B284" s="21" t="s">
        <v>200</v>
      </c>
      <c r="C284" s="21" t="s">
        <v>201</v>
      </c>
      <c r="D284" s="21" t="s">
        <v>202</v>
      </c>
      <c r="E284" s="27">
        <v>0.0</v>
      </c>
      <c r="F284" s="28">
        <v>5.0</v>
      </c>
      <c r="G284" s="28">
        <v>0.0</v>
      </c>
      <c r="H284" s="29">
        <v>1.0</v>
      </c>
      <c r="I284" s="30">
        <v>5.0</v>
      </c>
      <c r="J284" s="31">
        <v>0.0</v>
      </c>
      <c r="K284" s="12">
        <f t="shared" si="11"/>
        <v>2750</v>
      </c>
      <c r="L284" s="13" t="str">
        <f t="shared" si="13"/>
        <v>0 5-star + 5 RFC + 0 DME + 1 Patient Portal Login + 5 Completed Task</v>
      </c>
      <c r="M284" s="14"/>
      <c r="N284" s="14"/>
      <c r="O284" s="23"/>
      <c r="P284" s="23"/>
    </row>
    <row r="285" hidden="1">
      <c r="A285" s="6" t="s">
        <v>223</v>
      </c>
      <c r="B285" s="16" t="s">
        <v>207</v>
      </c>
      <c r="C285" s="16" t="s">
        <v>208</v>
      </c>
      <c r="D285" s="16" t="s">
        <v>209</v>
      </c>
      <c r="E285" s="17">
        <v>1.0</v>
      </c>
      <c r="F285" s="18">
        <v>2.0</v>
      </c>
      <c r="G285" s="18">
        <v>0.0</v>
      </c>
      <c r="H285" s="10">
        <v>0.0</v>
      </c>
      <c r="I285" s="19">
        <v>5.0</v>
      </c>
      <c r="J285" s="12"/>
      <c r="K285" s="12">
        <f t="shared" si="11"/>
        <v>2000</v>
      </c>
      <c r="L285" s="13" t="str">
        <f t="shared" si="13"/>
        <v>1 5-star + 2 RFC + 0 DME + 0 Patient Portal Login + 5 Completed Task</v>
      </c>
      <c r="M285" s="14"/>
      <c r="N285" s="14"/>
      <c r="O285" s="14"/>
      <c r="P285" s="14"/>
    </row>
    <row r="286" hidden="1">
      <c r="A286" s="6" t="s">
        <v>223</v>
      </c>
      <c r="B286" s="16" t="s">
        <v>210</v>
      </c>
      <c r="C286" s="16" t="s">
        <v>211</v>
      </c>
      <c r="D286" s="16" t="s">
        <v>212</v>
      </c>
      <c r="E286" s="17">
        <v>0.0</v>
      </c>
      <c r="F286" s="18">
        <v>1.0</v>
      </c>
      <c r="G286" s="18">
        <v>0.0</v>
      </c>
      <c r="H286" s="10">
        <v>14.0</v>
      </c>
      <c r="I286" s="19">
        <v>5.0</v>
      </c>
      <c r="J286" s="12"/>
      <c r="K286" s="12">
        <f t="shared" si="11"/>
        <v>5000</v>
      </c>
      <c r="L286" s="13" t="str">
        <f t="shared" si="13"/>
        <v>0 5-star + 1 RFC + 0 DME + 14 Patient Portal Login + 5 Completed Task</v>
      </c>
      <c r="M286" s="14"/>
      <c r="N286" s="14"/>
      <c r="O286" s="14"/>
      <c r="P286" s="14"/>
    </row>
    <row r="287" hidden="1">
      <c r="A287" s="6" t="s">
        <v>223</v>
      </c>
      <c r="B287" s="16" t="s">
        <v>213</v>
      </c>
      <c r="C287" s="16" t="s">
        <v>214</v>
      </c>
      <c r="D287" s="16" t="s">
        <v>215</v>
      </c>
      <c r="E287" s="17">
        <v>19.0</v>
      </c>
      <c r="F287" s="18">
        <v>1.0</v>
      </c>
      <c r="G287" s="18">
        <v>3.0</v>
      </c>
      <c r="H287" s="10">
        <v>16.0</v>
      </c>
      <c r="I287" s="19">
        <v>5.0</v>
      </c>
      <c r="J287" s="12"/>
      <c r="K287" s="12">
        <f t="shared" si="11"/>
        <v>11000</v>
      </c>
      <c r="L287" s="13" t="str">
        <f t="shared" si="13"/>
        <v>19 5-star + 1 RFC + 3 DME + 16 Patient Portal Login + 5 Completed Task</v>
      </c>
      <c r="M287" s="14"/>
      <c r="N287" s="14"/>
      <c r="O287" s="14"/>
      <c r="P287" s="14"/>
    </row>
    <row r="288" hidden="1">
      <c r="A288" s="6" t="s">
        <v>223</v>
      </c>
      <c r="B288" s="16" t="s">
        <v>216</v>
      </c>
      <c r="C288" s="16" t="s">
        <v>217</v>
      </c>
      <c r="D288" s="16" t="s">
        <v>218</v>
      </c>
      <c r="E288" s="17">
        <v>0.0</v>
      </c>
      <c r="F288" s="18">
        <v>0.0</v>
      </c>
      <c r="G288" s="18">
        <v>0.0</v>
      </c>
      <c r="H288" s="10">
        <v>8.0</v>
      </c>
      <c r="I288" s="19">
        <v>5.0</v>
      </c>
      <c r="J288" s="12"/>
      <c r="K288" s="12">
        <f t="shared" si="11"/>
        <v>3250</v>
      </c>
      <c r="L288" s="13" t="str">
        <f t="shared" si="13"/>
        <v>0 5-star + 0 RFC + 0 DME + 8 Patient Portal Login + 5 Completed Task</v>
      </c>
      <c r="M288" s="14"/>
      <c r="N288" s="14"/>
      <c r="O288" s="14"/>
      <c r="P288" s="14"/>
    </row>
    <row r="289" hidden="1">
      <c r="A289" s="6" t="s">
        <v>223</v>
      </c>
      <c r="B289" s="16" t="s">
        <v>219</v>
      </c>
      <c r="C289" s="16" t="s">
        <v>220</v>
      </c>
      <c r="D289" s="16" t="s">
        <v>221</v>
      </c>
      <c r="E289" s="17">
        <v>11.0</v>
      </c>
      <c r="F289" s="18">
        <v>2.0</v>
      </c>
      <c r="G289" s="18">
        <v>0.0</v>
      </c>
      <c r="H289" s="10">
        <v>13.0</v>
      </c>
      <c r="I289" s="19">
        <v>4.0</v>
      </c>
      <c r="J289" s="12"/>
      <c r="K289" s="12">
        <f t="shared" si="11"/>
        <v>7500</v>
      </c>
      <c r="L289" s="13" t="str">
        <f t="shared" si="13"/>
        <v>11 5-star + 2 RFC + 0 DME + 13 Patient Portal Login + 4 Completed Task</v>
      </c>
      <c r="M289" s="14"/>
      <c r="N289" s="14"/>
      <c r="O289" s="14"/>
      <c r="P289" s="14"/>
    </row>
    <row r="290" hidden="1">
      <c r="A290" s="6" t="s">
        <v>223</v>
      </c>
      <c r="B290" s="16" t="s">
        <v>41</v>
      </c>
      <c r="C290" s="16" t="s">
        <v>42</v>
      </c>
      <c r="D290" s="16" t="s">
        <v>43</v>
      </c>
      <c r="E290" s="17">
        <v>2.0</v>
      </c>
      <c r="F290" s="18">
        <v>1.0</v>
      </c>
      <c r="G290" s="18">
        <v>0.0</v>
      </c>
      <c r="H290" s="10">
        <v>8.0</v>
      </c>
      <c r="I290" s="19">
        <v>5.0</v>
      </c>
      <c r="J290" s="12"/>
      <c r="K290" s="12">
        <f t="shared" si="11"/>
        <v>4000</v>
      </c>
      <c r="L290" s="13" t="str">
        <f t="shared" si="13"/>
        <v>2 5-star + 1 RFC + 0 DME + 8 Patient Portal Login + 5 Completed Task</v>
      </c>
      <c r="M290" s="14"/>
      <c r="N290" s="14"/>
      <c r="O290" s="14"/>
      <c r="P290" s="14"/>
    </row>
    <row r="291" hidden="1">
      <c r="A291" s="6" t="s">
        <v>223</v>
      </c>
      <c r="B291" s="16" t="s">
        <v>47</v>
      </c>
      <c r="C291" s="16" t="s">
        <v>48</v>
      </c>
      <c r="D291" s="16" t="s">
        <v>49</v>
      </c>
      <c r="E291" s="17">
        <v>0.0</v>
      </c>
      <c r="F291" s="18">
        <v>3.0</v>
      </c>
      <c r="G291" s="18">
        <v>1.0</v>
      </c>
      <c r="H291" s="10">
        <v>16.0</v>
      </c>
      <c r="I291" s="19">
        <v>5.0</v>
      </c>
      <c r="J291" s="12"/>
      <c r="K291" s="12">
        <f t="shared" si="11"/>
        <v>6250</v>
      </c>
      <c r="L291" s="13" t="str">
        <f t="shared" si="13"/>
        <v>0 5-star + 3 RFC + 1 DME + 16 Patient Portal Login + 5 Completed Task</v>
      </c>
      <c r="M291" s="14"/>
      <c r="N291" s="14"/>
      <c r="O291" s="14"/>
      <c r="P291" s="14"/>
    </row>
    <row r="292" hidden="1">
      <c r="A292" s="6" t="s">
        <v>223</v>
      </c>
      <c r="B292" s="16" t="s">
        <v>50</v>
      </c>
      <c r="C292" s="16" t="s">
        <v>51</v>
      </c>
      <c r="D292" s="16" t="s">
        <v>52</v>
      </c>
      <c r="E292" s="17">
        <v>0.0</v>
      </c>
      <c r="F292" s="18">
        <v>1.0</v>
      </c>
      <c r="G292" s="18">
        <v>0.0</v>
      </c>
      <c r="H292" s="10">
        <v>14.0</v>
      </c>
      <c r="I292" s="19">
        <v>5.0</v>
      </c>
      <c r="J292" s="12"/>
      <c r="K292" s="12">
        <f t="shared" si="11"/>
        <v>5000</v>
      </c>
      <c r="L292" s="13" t="str">
        <f t="shared" si="13"/>
        <v>0 5-star + 1 RFC + 0 DME + 14 Patient Portal Login + 5 Completed Task</v>
      </c>
      <c r="M292" s="14"/>
      <c r="N292" s="14"/>
      <c r="O292" s="14"/>
      <c r="P292" s="14"/>
    </row>
    <row r="293" hidden="1">
      <c r="A293" s="6" t="s">
        <v>223</v>
      </c>
      <c r="B293" s="16" t="s">
        <v>53</v>
      </c>
      <c r="C293" s="16" t="s">
        <v>54</v>
      </c>
      <c r="D293" s="16" t="s">
        <v>55</v>
      </c>
      <c r="E293" s="17">
        <v>1.0</v>
      </c>
      <c r="F293" s="18">
        <v>2.0</v>
      </c>
      <c r="G293" s="18">
        <v>2.0</v>
      </c>
      <c r="H293" s="10">
        <v>6.0</v>
      </c>
      <c r="I293" s="19">
        <v>5.0</v>
      </c>
      <c r="J293" s="12"/>
      <c r="K293" s="12">
        <f t="shared" si="11"/>
        <v>4000</v>
      </c>
      <c r="L293" s="13" t="str">
        <f t="shared" si="13"/>
        <v>1 5-star + 2 RFC + 2 DME + 6 Patient Portal Login + 5 Completed Task</v>
      </c>
      <c r="M293" s="14"/>
      <c r="N293" s="14"/>
      <c r="O293" s="14"/>
      <c r="P293" s="14"/>
    </row>
    <row r="294" hidden="1">
      <c r="A294" s="6" t="s">
        <v>223</v>
      </c>
      <c r="B294" s="16" t="s">
        <v>56</v>
      </c>
      <c r="C294" s="16" t="s">
        <v>57</v>
      </c>
      <c r="D294" s="16" t="s">
        <v>58</v>
      </c>
      <c r="E294" s="17">
        <v>0.0</v>
      </c>
      <c r="F294" s="18">
        <v>2.0</v>
      </c>
      <c r="G294" s="18">
        <v>0.0</v>
      </c>
      <c r="H294" s="10">
        <v>2.0</v>
      </c>
      <c r="I294" s="19">
        <v>5.0</v>
      </c>
      <c r="J294" s="12"/>
      <c r="K294" s="12">
        <f t="shared" si="11"/>
        <v>2250</v>
      </c>
      <c r="L294" s="13" t="str">
        <f t="shared" si="13"/>
        <v>0 5-star + 2 RFC + 0 DME + 2 Patient Portal Login + 5 Completed Task</v>
      </c>
      <c r="M294" s="14"/>
      <c r="N294" s="14"/>
      <c r="O294" s="14"/>
      <c r="P294" s="14"/>
    </row>
    <row r="295" hidden="1">
      <c r="A295" s="6" t="s">
        <v>223</v>
      </c>
      <c r="B295" s="16" t="s">
        <v>62</v>
      </c>
      <c r="C295" s="16" t="s">
        <v>63</v>
      </c>
      <c r="D295" s="16" t="s">
        <v>64</v>
      </c>
      <c r="E295" s="17">
        <v>1.0</v>
      </c>
      <c r="F295" s="18">
        <v>0.0</v>
      </c>
      <c r="G295" s="18">
        <v>1.0</v>
      </c>
      <c r="H295" s="10">
        <v>3.0</v>
      </c>
      <c r="I295" s="19">
        <v>5.0</v>
      </c>
      <c r="J295" s="12"/>
      <c r="K295" s="12">
        <f t="shared" si="11"/>
        <v>2500</v>
      </c>
      <c r="L295" s="13" t="str">
        <f t="shared" si="13"/>
        <v>1 5-star + 0 RFC + 1 DME + 3 Patient Portal Login + 5 Completed Task</v>
      </c>
      <c r="M295" s="14"/>
      <c r="N295" s="14"/>
      <c r="O295" s="14"/>
      <c r="P295" s="14"/>
    </row>
    <row r="296" hidden="1">
      <c r="A296" s="6" t="s">
        <v>223</v>
      </c>
      <c r="B296" s="16" t="s">
        <v>65</v>
      </c>
      <c r="C296" s="16" t="s">
        <v>66</v>
      </c>
      <c r="D296" s="16" t="s">
        <v>67</v>
      </c>
      <c r="E296" s="17">
        <v>2.0</v>
      </c>
      <c r="F296" s="18">
        <v>0.0</v>
      </c>
      <c r="G296" s="18">
        <v>1.0</v>
      </c>
      <c r="H296" s="10">
        <v>4.0</v>
      </c>
      <c r="I296" s="19">
        <v>5.0</v>
      </c>
      <c r="J296" s="12"/>
      <c r="K296" s="12">
        <f t="shared" si="11"/>
        <v>3000</v>
      </c>
      <c r="L296" s="13" t="str">
        <f t="shared" si="13"/>
        <v>2 5-star + 0 RFC + 1 DME + 4 Patient Portal Login + 5 Completed Task</v>
      </c>
      <c r="M296" s="14"/>
      <c r="N296" s="14"/>
      <c r="O296" s="14"/>
      <c r="P296" s="14"/>
    </row>
    <row r="297" hidden="1">
      <c r="A297" s="6" t="s">
        <v>223</v>
      </c>
      <c r="B297" s="16" t="s">
        <v>68</v>
      </c>
      <c r="C297" s="16" t="s">
        <v>69</v>
      </c>
      <c r="D297" s="16" t="s">
        <v>70</v>
      </c>
      <c r="E297" s="17">
        <v>0.0</v>
      </c>
      <c r="F297" s="18">
        <v>1.0</v>
      </c>
      <c r="G297" s="18">
        <v>0.0</v>
      </c>
      <c r="H297" s="10">
        <v>5.0</v>
      </c>
      <c r="I297" s="19">
        <v>5.0</v>
      </c>
      <c r="J297" s="12"/>
      <c r="K297" s="12">
        <f t="shared" si="11"/>
        <v>2750</v>
      </c>
      <c r="L297" s="13" t="str">
        <f t="shared" si="13"/>
        <v>0 5-star + 1 RFC + 0 DME + 5 Patient Portal Login + 5 Completed Task</v>
      </c>
      <c r="M297" s="14"/>
      <c r="N297" s="14"/>
      <c r="O297" s="14"/>
      <c r="P297" s="14"/>
    </row>
    <row r="298" hidden="1">
      <c r="A298" s="6" t="s">
        <v>223</v>
      </c>
      <c r="B298" s="16" t="s">
        <v>71</v>
      </c>
      <c r="C298" s="16" t="s">
        <v>72</v>
      </c>
      <c r="D298" s="16" t="s">
        <v>73</v>
      </c>
      <c r="E298" s="22">
        <v>1.0</v>
      </c>
      <c r="F298" s="25">
        <v>2.0</v>
      </c>
      <c r="G298" s="25">
        <v>3.0</v>
      </c>
      <c r="H298" s="26">
        <v>20.0</v>
      </c>
      <c r="I298" s="24">
        <v>5.0</v>
      </c>
      <c r="J298" s="12"/>
      <c r="K298" s="12">
        <f t="shared" si="11"/>
        <v>7750</v>
      </c>
      <c r="L298" s="13" t="str">
        <f t="shared" si="13"/>
        <v>1 5-star + 2 RFC + 3 DME + 20 Patient Portal Login + 5 Completed Task</v>
      </c>
      <c r="M298" s="14"/>
      <c r="N298" s="14"/>
      <c r="O298" s="14"/>
      <c r="P298" s="14"/>
    </row>
    <row r="299" hidden="1">
      <c r="A299" s="6" t="s">
        <v>223</v>
      </c>
      <c r="B299" s="16" t="s">
        <v>74</v>
      </c>
      <c r="C299" s="16" t="s">
        <v>75</v>
      </c>
      <c r="D299" s="16" t="s">
        <v>76</v>
      </c>
      <c r="E299" s="17">
        <v>0.0</v>
      </c>
      <c r="F299" s="25">
        <v>0.0</v>
      </c>
      <c r="G299" s="25">
        <v>0.0</v>
      </c>
      <c r="H299" s="26">
        <v>24.0</v>
      </c>
      <c r="I299" s="24">
        <v>5.0</v>
      </c>
      <c r="J299" s="12"/>
      <c r="K299" s="12">
        <f t="shared" si="11"/>
        <v>7250</v>
      </c>
      <c r="L299" s="13" t="str">
        <f t="shared" si="13"/>
        <v>0 5-star + 0 RFC + 0 DME + 24 Patient Portal Login + 5 Completed Task</v>
      </c>
      <c r="M299" s="14"/>
      <c r="N299" s="14"/>
      <c r="O299" s="14"/>
      <c r="P299" s="14"/>
    </row>
    <row r="300" hidden="1">
      <c r="A300" s="6" t="s">
        <v>223</v>
      </c>
      <c r="B300" s="16" t="s">
        <v>80</v>
      </c>
      <c r="C300" s="16" t="s">
        <v>81</v>
      </c>
      <c r="D300" s="16" t="s">
        <v>82</v>
      </c>
      <c r="E300" s="17">
        <v>8.0</v>
      </c>
      <c r="F300" s="18">
        <v>1.0</v>
      </c>
      <c r="G300" s="18">
        <v>2.0</v>
      </c>
      <c r="H300" s="10">
        <v>4.0</v>
      </c>
      <c r="I300" s="19">
        <v>4.0</v>
      </c>
      <c r="J300" s="12"/>
      <c r="K300" s="12">
        <f t="shared" si="11"/>
        <v>4750</v>
      </c>
      <c r="L300" s="13" t="str">
        <f t="shared" si="13"/>
        <v>8 5-star + 1 RFC + 2 DME + 4 Patient Portal Login + 4 Completed Task</v>
      </c>
      <c r="M300" s="14"/>
      <c r="N300" s="14"/>
      <c r="O300" s="14"/>
      <c r="P300" s="14"/>
    </row>
    <row r="301" hidden="1">
      <c r="A301" s="6" t="s">
        <v>223</v>
      </c>
      <c r="B301" s="16" t="s">
        <v>86</v>
      </c>
      <c r="C301" s="16" t="s">
        <v>87</v>
      </c>
      <c r="D301" s="16" t="s">
        <v>88</v>
      </c>
      <c r="E301" s="17">
        <v>2.0</v>
      </c>
      <c r="F301" s="18">
        <v>1.0</v>
      </c>
      <c r="G301" s="18">
        <v>0.0</v>
      </c>
      <c r="H301" s="10">
        <v>5.0</v>
      </c>
      <c r="I301" s="19">
        <v>5.0</v>
      </c>
      <c r="J301" s="33">
        <v>1.0</v>
      </c>
      <c r="K301" s="12">
        <f t="shared" si="11"/>
        <v>3500</v>
      </c>
      <c r="L301" s="13" t="str">
        <f t="shared" si="13"/>
        <v>2 5-star + 1 RFC + 0 DME + 5 Patient Portal Login + 5 Completed Task</v>
      </c>
      <c r="M301" s="14"/>
      <c r="N301" s="14"/>
      <c r="O301" s="14"/>
      <c r="P301" s="14"/>
    </row>
    <row r="302" hidden="1">
      <c r="A302" s="6" t="s">
        <v>223</v>
      </c>
      <c r="B302" s="16" t="s">
        <v>92</v>
      </c>
      <c r="C302" s="16" t="s">
        <v>93</v>
      </c>
      <c r="D302" s="16" t="s">
        <v>94</v>
      </c>
      <c r="E302" s="17">
        <v>1.0</v>
      </c>
      <c r="F302" s="18">
        <v>2.0</v>
      </c>
      <c r="G302" s="25">
        <v>0.0</v>
      </c>
      <c r="H302" s="15">
        <v>10.0</v>
      </c>
      <c r="I302" s="19">
        <v>5.0</v>
      </c>
      <c r="J302" s="12"/>
      <c r="K302" s="12">
        <f t="shared" si="11"/>
        <v>4500</v>
      </c>
      <c r="L302" s="13" t="str">
        <f t="shared" si="13"/>
        <v>1 5-star + 2 RFC + 0 DME + 10 Patient Portal Login + 5 Completed Task</v>
      </c>
      <c r="M302" s="14"/>
      <c r="N302" s="14"/>
      <c r="O302" s="14"/>
      <c r="P302" s="14"/>
    </row>
    <row r="303" hidden="1">
      <c r="A303" s="6" t="s">
        <v>223</v>
      </c>
      <c r="B303" s="16" t="s">
        <v>95</v>
      </c>
      <c r="C303" s="16" t="s">
        <v>96</v>
      </c>
      <c r="D303" s="16" t="s">
        <v>97</v>
      </c>
      <c r="E303" s="17">
        <v>0.0</v>
      </c>
      <c r="F303" s="18">
        <v>0.0</v>
      </c>
      <c r="G303" s="18">
        <v>0.0</v>
      </c>
      <c r="H303" s="10">
        <v>16.0</v>
      </c>
      <c r="I303" s="19">
        <v>5.0</v>
      </c>
      <c r="J303" s="12"/>
      <c r="K303" s="12">
        <f t="shared" si="11"/>
        <v>5250</v>
      </c>
      <c r="L303" s="13" t="str">
        <f t="shared" si="13"/>
        <v>0 5-star + 0 RFC + 0 DME + 16 Patient Portal Login + 5 Completed Task</v>
      </c>
      <c r="M303" s="14"/>
      <c r="N303" s="14"/>
      <c r="O303" s="14"/>
      <c r="P303" s="14"/>
    </row>
    <row r="304" hidden="1">
      <c r="A304" s="6" t="s">
        <v>223</v>
      </c>
      <c r="B304" s="16" t="s">
        <v>101</v>
      </c>
      <c r="C304" s="16" t="s">
        <v>102</v>
      </c>
      <c r="D304" s="16" t="s">
        <v>103</v>
      </c>
      <c r="E304" s="17">
        <v>0.0</v>
      </c>
      <c r="F304" s="18">
        <v>1.0</v>
      </c>
      <c r="G304" s="18">
        <v>0.0</v>
      </c>
      <c r="H304" s="10">
        <v>6.0</v>
      </c>
      <c r="I304" s="19">
        <v>5.0</v>
      </c>
      <c r="J304" s="12"/>
      <c r="K304" s="12">
        <f t="shared" si="11"/>
        <v>3000</v>
      </c>
      <c r="L304" s="13" t="str">
        <f t="shared" si="13"/>
        <v>0 5-star + 1 RFC + 0 DME + 6 Patient Portal Login + 5 Completed Task</v>
      </c>
      <c r="M304" s="14"/>
      <c r="N304" s="14"/>
      <c r="O304" s="14"/>
      <c r="P304" s="14"/>
    </row>
    <row r="305" hidden="1">
      <c r="A305" s="6" t="s">
        <v>223</v>
      </c>
      <c r="B305" s="16" t="s">
        <v>104</v>
      </c>
      <c r="C305" s="16" t="s">
        <v>105</v>
      </c>
      <c r="D305" s="16" t="s">
        <v>106</v>
      </c>
      <c r="E305" s="17">
        <v>0.0</v>
      </c>
      <c r="F305" s="18">
        <v>0.0</v>
      </c>
      <c r="G305" s="18">
        <v>2.0</v>
      </c>
      <c r="H305" s="10">
        <v>15.0</v>
      </c>
      <c r="I305" s="19">
        <v>5.0</v>
      </c>
      <c r="J305" s="12"/>
      <c r="K305" s="12">
        <f t="shared" si="11"/>
        <v>5500</v>
      </c>
      <c r="L305" s="13" t="str">
        <f t="shared" si="13"/>
        <v>0 5-star + 0 RFC + 2 DME + 15 Patient Portal Login + 5 Completed Task</v>
      </c>
      <c r="M305" s="14"/>
      <c r="N305" s="14"/>
      <c r="O305" s="14"/>
      <c r="P305" s="14"/>
    </row>
    <row r="306" hidden="1">
      <c r="A306" s="6" t="s">
        <v>223</v>
      </c>
      <c r="B306" s="16" t="s">
        <v>107</v>
      </c>
      <c r="C306" s="16" t="s">
        <v>108</v>
      </c>
      <c r="D306" s="16" t="s">
        <v>109</v>
      </c>
      <c r="E306" s="22">
        <v>0.0</v>
      </c>
      <c r="F306" s="18">
        <v>4.0</v>
      </c>
      <c r="G306" s="18">
        <v>0.0</v>
      </c>
      <c r="H306" s="10">
        <v>3.0</v>
      </c>
      <c r="I306" s="19">
        <v>5.0</v>
      </c>
      <c r="J306" s="12"/>
      <c r="K306" s="12">
        <f t="shared" si="11"/>
        <v>3000</v>
      </c>
      <c r="L306" s="13" t="str">
        <f t="shared" si="13"/>
        <v>0 5-star + 4 RFC + 0 DME + 3 Patient Portal Login + 5 Completed Task</v>
      </c>
      <c r="M306" s="14"/>
      <c r="N306" s="14"/>
      <c r="O306" s="14"/>
      <c r="P306" s="14"/>
    </row>
    <row r="307" hidden="1">
      <c r="A307" s="6" t="s">
        <v>223</v>
      </c>
      <c r="B307" s="16" t="s">
        <v>110</v>
      </c>
      <c r="C307" s="16" t="s">
        <v>111</v>
      </c>
      <c r="D307" s="16" t="s">
        <v>112</v>
      </c>
      <c r="E307" s="17">
        <v>1.0</v>
      </c>
      <c r="F307" s="18">
        <v>0.0</v>
      </c>
      <c r="G307" s="18">
        <v>0.0</v>
      </c>
      <c r="H307" s="10">
        <v>5.0</v>
      </c>
      <c r="I307" s="19">
        <v>5.0</v>
      </c>
      <c r="J307" s="12"/>
      <c r="K307" s="12">
        <f t="shared" si="11"/>
        <v>2750</v>
      </c>
      <c r="L307" s="13" t="str">
        <f t="shared" si="13"/>
        <v>1 5-star + 0 RFC + 0 DME + 5 Patient Portal Login + 5 Completed Task</v>
      </c>
      <c r="M307" s="14"/>
      <c r="N307" s="14"/>
      <c r="O307" s="14"/>
      <c r="P307" s="14"/>
    </row>
    <row r="308" hidden="1">
      <c r="A308" s="6" t="s">
        <v>223</v>
      </c>
      <c r="B308" s="16" t="s">
        <v>113</v>
      </c>
      <c r="C308" s="16" t="s">
        <v>114</v>
      </c>
      <c r="D308" s="16" t="s">
        <v>115</v>
      </c>
      <c r="E308" s="22">
        <v>0.0</v>
      </c>
      <c r="F308" s="18">
        <v>0.0</v>
      </c>
      <c r="G308" s="18">
        <v>0.0</v>
      </c>
      <c r="H308" s="10">
        <v>1.0</v>
      </c>
      <c r="I308" s="19">
        <v>5.0</v>
      </c>
      <c r="J308" s="12"/>
      <c r="K308" s="12">
        <f t="shared" si="11"/>
        <v>1500</v>
      </c>
      <c r="L308" s="13" t="str">
        <f t="shared" si="13"/>
        <v>0 5-star + 0 RFC + 0 DME + 1 Patient Portal Login + 5 Completed Task</v>
      </c>
      <c r="M308" s="14"/>
      <c r="N308" s="14"/>
      <c r="O308" s="14"/>
      <c r="P308" s="14"/>
    </row>
    <row r="309" hidden="1">
      <c r="A309" s="6" t="s">
        <v>223</v>
      </c>
      <c r="B309" s="16" t="s">
        <v>116</v>
      </c>
      <c r="C309" s="16" t="s">
        <v>117</v>
      </c>
      <c r="D309" s="16" t="s">
        <v>118</v>
      </c>
      <c r="E309" s="17">
        <v>0.0</v>
      </c>
      <c r="F309" s="18">
        <v>9.0</v>
      </c>
      <c r="G309" s="18">
        <v>1.0</v>
      </c>
      <c r="H309" s="10">
        <v>4.0</v>
      </c>
      <c r="I309" s="19">
        <v>5.0</v>
      </c>
      <c r="J309" s="12"/>
      <c r="K309" s="12">
        <f t="shared" si="11"/>
        <v>4750</v>
      </c>
      <c r="L309" s="13" t="str">
        <f t="shared" si="13"/>
        <v>0 5-star + 9 RFC + 1 DME + 4 Patient Portal Login + 5 Completed Task</v>
      </c>
      <c r="M309" s="14"/>
      <c r="N309" s="14"/>
      <c r="O309" s="14"/>
      <c r="P309" s="14"/>
    </row>
    <row r="310" hidden="1">
      <c r="A310" s="6" t="s">
        <v>223</v>
      </c>
      <c r="B310" s="16" t="s">
        <v>122</v>
      </c>
      <c r="C310" s="16" t="s">
        <v>123</v>
      </c>
      <c r="D310" s="16" t="s">
        <v>124</v>
      </c>
      <c r="E310" s="17">
        <v>0.0</v>
      </c>
      <c r="F310" s="18">
        <v>0.0</v>
      </c>
      <c r="G310" s="18">
        <v>1.0</v>
      </c>
      <c r="H310" s="10">
        <v>7.0</v>
      </c>
      <c r="I310" s="19">
        <v>5.0</v>
      </c>
      <c r="J310" s="12"/>
      <c r="K310" s="12">
        <f t="shared" si="11"/>
        <v>3250</v>
      </c>
      <c r="L310" s="13" t="str">
        <f t="shared" si="13"/>
        <v>0 5-star + 0 RFC + 1 DME + 7 Patient Portal Login + 5 Completed Task</v>
      </c>
      <c r="M310" s="14"/>
      <c r="N310" s="14"/>
      <c r="O310" s="14"/>
      <c r="P310" s="14"/>
    </row>
    <row r="311" hidden="1">
      <c r="A311" s="6" t="s">
        <v>223</v>
      </c>
      <c r="B311" s="16" t="s">
        <v>125</v>
      </c>
      <c r="C311" s="16" t="s">
        <v>126</v>
      </c>
      <c r="D311" s="16" t="s">
        <v>127</v>
      </c>
      <c r="E311" s="17">
        <v>0.0</v>
      </c>
      <c r="F311" s="18">
        <v>4.0</v>
      </c>
      <c r="G311" s="18">
        <v>0.0</v>
      </c>
      <c r="H311" s="10">
        <v>4.0</v>
      </c>
      <c r="I311" s="19">
        <v>5.0</v>
      </c>
      <c r="J311" s="33">
        <v>1.0</v>
      </c>
      <c r="K311" s="12">
        <f t="shared" si="11"/>
        <v>3500</v>
      </c>
      <c r="L311" s="13" t="str">
        <f t="shared" si="13"/>
        <v>0 5-star + 4 RFC + 0 DME + 4 Patient Portal Login + 5 Completed Task</v>
      </c>
      <c r="M311" s="14"/>
      <c r="N311" s="14"/>
      <c r="O311" s="14"/>
      <c r="P311" s="14"/>
    </row>
    <row r="312" hidden="1">
      <c r="A312" s="6" t="s">
        <v>223</v>
      </c>
      <c r="B312" s="16" t="s">
        <v>128</v>
      </c>
      <c r="C312" s="16" t="s">
        <v>129</v>
      </c>
      <c r="D312" s="16" t="s">
        <v>130</v>
      </c>
      <c r="E312" s="17">
        <v>1.0</v>
      </c>
      <c r="F312" s="18">
        <v>4.0</v>
      </c>
      <c r="G312" s="18">
        <v>0.0</v>
      </c>
      <c r="H312" s="10">
        <v>4.0</v>
      </c>
      <c r="I312" s="19">
        <v>5.0</v>
      </c>
      <c r="J312" s="12"/>
      <c r="K312" s="12">
        <f t="shared" si="11"/>
        <v>3500</v>
      </c>
      <c r="L312" s="13" t="str">
        <f t="shared" si="13"/>
        <v>1 5-star + 4 RFC + 0 DME + 4 Patient Portal Login + 5 Completed Task</v>
      </c>
      <c r="M312" s="14"/>
      <c r="N312" s="14"/>
      <c r="O312" s="14"/>
      <c r="P312" s="14"/>
    </row>
    <row r="313" hidden="1">
      <c r="A313" s="6" t="s">
        <v>223</v>
      </c>
      <c r="B313" s="16" t="s">
        <v>131</v>
      </c>
      <c r="C313" s="16" t="s">
        <v>132</v>
      </c>
      <c r="D313" s="16" t="s">
        <v>133</v>
      </c>
      <c r="E313" s="17">
        <v>15.0</v>
      </c>
      <c r="F313" s="18">
        <v>1.0</v>
      </c>
      <c r="G313" s="18">
        <v>2.0</v>
      </c>
      <c r="H313" s="10">
        <v>6.0</v>
      </c>
      <c r="I313" s="19">
        <v>5.0</v>
      </c>
      <c r="J313" s="12"/>
      <c r="K313" s="12">
        <f t="shared" si="11"/>
        <v>7250</v>
      </c>
      <c r="L313" s="13" t="str">
        <f t="shared" si="13"/>
        <v>15 5-star + 1 RFC + 2 DME + 6 Patient Portal Login + 5 Completed Task</v>
      </c>
      <c r="M313" s="14"/>
      <c r="N313" s="14"/>
      <c r="O313" s="14"/>
      <c r="P313" s="14"/>
    </row>
    <row r="314" hidden="1">
      <c r="A314" s="6" t="s">
        <v>223</v>
      </c>
      <c r="B314" s="16" t="s">
        <v>134</v>
      </c>
      <c r="C314" s="16" t="s">
        <v>135</v>
      </c>
      <c r="D314" s="16" t="s">
        <v>136</v>
      </c>
      <c r="E314" s="17">
        <v>2.0</v>
      </c>
      <c r="F314" s="18">
        <v>0.0</v>
      </c>
      <c r="G314" s="18">
        <v>0.0</v>
      </c>
      <c r="H314" s="10">
        <v>0.0</v>
      </c>
      <c r="I314" s="19">
        <v>1.0</v>
      </c>
      <c r="J314" s="12"/>
      <c r="K314" s="12">
        <f t="shared" si="11"/>
        <v>750</v>
      </c>
      <c r="L314" s="13" t="str">
        <f t="shared" si="13"/>
        <v>2 5-star + 0 RFC + 0 DME + 0 Patient Portal Login + 1 Completed Task</v>
      </c>
      <c r="M314" s="14"/>
      <c r="N314" s="14"/>
      <c r="O314" s="14"/>
      <c r="P314" s="14"/>
    </row>
    <row r="315" hidden="1">
      <c r="A315" s="6" t="s">
        <v>223</v>
      </c>
      <c r="B315" s="16" t="s">
        <v>137</v>
      </c>
      <c r="C315" s="16" t="s">
        <v>138</v>
      </c>
      <c r="D315" s="16" t="s">
        <v>139</v>
      </c>
      <c r="E315" s="17">
        <v>0.0</v>
      </c>
      <c r="F315" s="18">
        <v>10.0</v>
      </c>
      <c r="G315" s="18">
        <v>0.0</v>
      </c>
      <c r="H315" s="10">
        <v>8.0</v>
      </c>
      <c r="I315" s="19">
        <v>5.0</v>
      </c>
      <c r="J315" s="12"/>
      <c r="K315" s="12">
        <f t="shared" si="11"/>
        <v>5750</v>
      </c>
      <c r="L315" s="13" t="str">
        <f t="shared" si="13"/>
        <v>0 5-star + 10 RFC + 0 DME + 8 Patient Portal Login + 5 Completed Task</v>
      </c>
      <c r="M315" s="14"/>
      <c r="N315" s="14"/>
      <c r="O315" s="14"/>
      <c r="P315" s="14"/>
    </row>
    <row r="316" hidden="1">
      <c r="A316" s="6" t="s">
        <v>223</v>
      </c>
      <c r="B316" s="16" t="s">
        <v>140</v>
      </c>
      <c r="C316" s="16" t="s">
        <v>141</v>
      </c>
      <c r="D316" s="16" t="s">
        <v>142</v>
      </c>
      <c r="E316" s="17">
        <v>5.0</v>
      </c>
      <c r="F316" s="18">
        <v>2.0</v>
      </c>
      <c r="G316" s="18">
        <v>0.0</v>
      </c>
      <c r="H316" s="10">
        <v>1.0</v>
      </c>
      <c r="I316" s="19">
        <v>4.0</v>
      </c>
      <c r="J316" s="12"/>
      <c r="K316" s="12">
        <f t="shared" si="11"/>
        <v>3000</v>
      </c>
      <c r="L316" s="13" t="str">
        <f t="shared" si="13"/>
        <v>5 5-star + 2 RFC + 0 DME + 1 Patient Portal Login + 4 Completed Task</v>
      </c>
      <c r="M316" s="14"/>
      <c r="N316" s="14"/>
      <c r="O316" s="14"/>
      <c r="P316" s="14"/>
    </row>
    <row r="317" hidden="1">
      <c r="A317" s="6" t="s">
        <v>223</v>
      </c>
      <c r="B317" s="16" t="s">
        <v>143</v>
      </c>
      <c r="C317" s="16" t="s">
        <v>144</v>
      </c>
      <c r="D317" s="16" t="s">
        <v>145</v>
      </c>
      <c r="E317" s="17">
        <v>0.0</v>
      </c>
      <c r="F317" s="18">
        <v>2.0</v>
      </c>
      <c r="G317" s="18">
        <v>4.0</v>
      </c>
      <c r="H317" s="10">
        <v>1.0</v>
      </c>
      <c r="I317" s="19">
        <v>4.0</v>
      </c>
      <c r="J317" s="12"/>
      <c r="K317" s="12">
        <f t="shared" si="11"/>
        <v>2750</v>
      </c>
      <c r="L317" s="13" t="str">
        <f t="shared" si="13"/>
        <v>0 5-star + 2 RFC + 4 DME + 1 Patient Portal Login + 4 Completed Task</v>
      </c>
      <c r="M317" s="14"/>
      <c r="N317" s="14"/>
      <c r="O317" s="14"/>
      <c r="P317" s="14"/>
    </row>
    <row r="318" hidden="1">
      <c r="A318" s="6" t="s">
        <v>223</v>
      </c>
      <c r="B318" s="16" t="s">
        <v>146</v>
      </c>
      <c r="C318" s="16" t="s">
        <v>147</v>
      </c>
      <c r="D318" s="16" t="s">
        <v>148</v>
      </c>
      <c r="E318" s="17">
        <v>1.0</v>
      </c>
      <c r="F318" s="18">
        <v>2.0</v>
      </c>
      <c r="G318" s="18">
        <v>1.0</v>
      </c>
      <c r="H318" s="10">
        <v>1.0</v>
      </c>
      <c r="I318" s="19">
        <v>5.0</v>
      </c>
      <c r="J318" s="12"/>
      <c r="K318" s="12">
        <f t="shared" si="11"/>
        <v>2500</v>
      </c>
      <c r="L318" s="13" t="str">
        <f t="shared" si="13"/>
        <v>1 5-star + 2 RFC + 1 DME + 1 Patient Portal Login + 5 Completed Task</v>
      </c>
      <c r="M318" s="14"/>
      <c r="N318" s="14"/>
      <c r="O318" s="14"/>
      <c r="P318" s="14"/>
    </row>
    <row r="319" hidden="1">
      <c r="A319" s="6" t="s">
        <v>223</v>
      </c>
      <c r="B319" s="16" t="s">
        <v>149</v>
      </c>
      <c r="C319" s="16" t="s">
        <v>150</v>
      </c>
      <c r="D319" s="16" t="s">
        <v>151</v>
      </c>
      <c r="E319" s="17">
        <v>0.0</v>
      </c>
      <c r="F319" s="18">
        <v>0.0</v>
      </c>
      <c r="G319" s="18">
        <v>0.0</v>
      </c>
      <c r="H319" s="10">
        <v>0.0</v>
      </c>
      <c r="I319" s="19">
        <v>4.0</v>
      </c>
      <c r="J319" s="12"/>
      <c r="K319" s="12">
        <f t="shared" si="11"/>
        <v>1000</v>
      </c>
      <c r="L319" s="13" t="str">
        <f> E319 &amp; " 5-star + " &amp; F319 &amp; " RFC + " &amp; G319 &amp; " DME + " &amp; H319 &amp; " Patient Portal Login + " &amp; I312 &amp; " Completed Task"
</f>
        <v>0 5-star + 0 RFC + 0 DME + 0 Patient Portal Login + 5 Completed Task</v>
      </c>
      <c r="M319" s="14"/>
      <c r="N319" s="14"/>
      <c r="O319" s="14"/>
      <c r="P319" s="14"/>
    </row>
    <row r="320" hidden="1">
      <c r="A320" s="6" t="s">
        <v>223</v>
      </c>
      <c r="B320" s="16" t="s">
        <v>152</v>
      </c>
      <c r="C320" s="16" t="s">
        <v>153</v>
      </c>
      <c r="D320" s="16" t="s">
        <v>154</v>
      </c>
      <c r="E320" s="17">
        <v>3.0</v>
      </c>
      <c r="F320" s="18">
        <v>1.0</v>
      </c>
      <c r="G320" s="18">
        <v>2.0</v>
      </c>
      <c r="H320" s="10">
        <v>10.0</v>
      </c>
      <c r="I320" s="19">
        <v>5.0</v>
      </c>
      <c r="J320" s="12"/>
      <c r="K320" s="12">
        <f t="shared" si="11"/>
        <v>5250</v>
      </c>
      <c r="L320" s="13" t="str">
        <f t="shared" ref="L320:L322" si="14"> E320 &amp; " 5-star + " &amp; F320 &amp; " RFC + " &amp; G320 &amp; " DME + " &amp; H320 &amp; " Patient Portal Login + " &amp; I320 &amp; " Completed Task"
</f>
        <v>3 5-star + 1 RFC + 2 DME + 10 Patient Portal Login + 5 Completed Task</v>
      </c>
      <c r="M320" s="14"/>
      <c r="N320" s="14"/>
      <c r="O320" s="14"/>
      <c r="P320" s="14"/>
    </row>
    <row r="321" hidden="1">
      <c r="A321" s="6" t="s">
        <v>223</v>
      </c>
      <c r="B321" s="16" t="s">
        <v>155</v>
      </c>
      <c r="C321" s="16" t="s">
        <v>156</v>
      </c>
      <c r="D321" s="16" t="s">
        <v>157</v>
      </c>
      <c r="E321" s="17">
        <v>26.0</v>
      </c>
      <c r="F321" s="18">
        <v>1.0</v>
      </c>
      <c r="G321" s="18">
        <v>0.0</v>
      </c>
      <c r="H321" s="10">
        <v>4.0</v>
      </c>
      <c r="I321" s="19">
        <v>5.0</v>
      </c>
      <c r="J321" s="12"/>
      <c r="K321" s="12">
        <f t="shared" si="11"/>
        <v>9000</v>
      </c>
      <c r="L321" s="13" t="str">
        <f t="shared" si="14"/>
        <v>26 5-star + 1 RFC + 0 DME + 4 Patient Portal Login + 5 Completed Task</v>
      </c>
      <c r="M321" s="14"/>
      <c r="N321" s="14"/>
      <c r="O321" s="14"/>
      <c r="P321" s="14"/>
    </row>
    <row r="322" hidden="1">
      <c r="A322" s="6" t="s">
        <v>223</v>
      </c>
      <c r="B322" s="16" t="s">
        <v>158</v>
      </c>
      <c r="C322" s="16" t="s">
        <v>159</v>
      </c>
      <c r="D322" s="16" t="s">
        <v>160</v>
      </c>
      <c r="E322" s="17">
        <v>1.0</v>
      </c>
      <c r="F322" s="18">
        <v>3.0</v>
      </c>
      <c r="G322" s="18">
        <v>0.0</v>
      </c>
      <c r="H322" s="10">
        <v>1.0</v>
      </c>
      <c r="I322" s="19">
        <v>5.0</v>
      </c>
      <c r="J322" s="12"/>
      <c r="K322" s="12">
        <f t="shared" si="11"/>
        <v>2500</v>
      </c>
      <c r="L322" s="13" t="str">
        <f t="shared" si="14"/>
        <v>1 5-star + 3 RFC + 0 DME + 1 Patient Portal Login + 5 Completed Task</v>
      </c>
      <c r="M322" s="14"/>
      <c r="N322" s="14"/>
      <c r="O322" s="14"/>
      <c r="P322" s="14"/>
    </row>
    <row r="323" hidden="1">
      <c r="A323" s="6" t="s">
        <v>223</v>
      </c>
      <c r="B323" s="20" t="s">
        <v>161</v>
      </c>
      <c r="C323" s="20" t="s">
        <v>162</v>
      </c>
      <c r="D323" s="20" t="s">
        <v>163</v>
      </c>
      <c r="E323" s="17">
        <v>3.0</v>
      </c>
      <c r="F323" s="18">
        <v>2.0</v>
      </c>
      <c r="G323" s="18">
        <v>0.0</v>
      </c>
      <c r="H323" s="10">
        <v>3.0</v>
      </c>
      <c r="I323" s="19">
        <v>5.0</v>
      </c>
      <c r="J323" s="12"/>
      <c r="K323" s="12">
        <f t="shared" si="11"/>
        <v>3250</v>
      </c>
      <c r="L323" s="13" t="str">
        <f> E323 &amp; " 5-star + " &amp; E310 &amp; " RFC + " &amp; G323 &amp; " DME + " &amp; H323 &amp; " Patient Portal Login + " &amp; I323 &amp; " Completed Task"
</f>
        <v>3 5-star + 0 RFC + 0 DME + 3 Patient Portal Login + 5 Completed Task</v>
      </c>
      <c r="M323" s="14"/>
      <c r="N323" s="14"/>
      <c r="O323" s="14"/>
      <c r="P323" s="14"/>
    </row>
    <row r="324" hidden="1">
      <c r="A324" s="6" t="s">
        <v>223</v>
      </c>
      <c r="B324" s="20" t="s">
        <v>167</v>
      </c>
      <c r="C324" s="20" t="s">
        <v>168</v>
      </c>
      <c r="D324" s="20" t="s">
        <v>169</v>
      </c>
      <c r="E324" s="17">
        <v>0.0</v>
      </c>
      <c r="F324" s="18">
        <v>2.0</v>
      </c>
      <c r="G324" s="18">
        <v>0.0</v>
      </c>
      <c r="H324" s="10">
        <v>2.0</v>
      </c>
      <c r="I324" s="19">
        <v>5.0</v>
      </c>
      <c r="J324" s="12"/>
      <c r="K324" s="12">
        <f t="shared" si="11"/>
        <v>2250</v>
      </c>
      <c r="L324" s="13" t="str">
        <f t="shared" ref="L324:L368" si="15"> E324 &amp; " 5-star + " &amp; F324 &amp; " RFC + " &amp; G324 &amp; " DME + " &amp; H324 &amp; " Patient Portal Login + " &amp; I324 &amp; " Completed Task"
</f>
        <v>0 5-star + 2 RFC + 0 DME + 2 Patient Portal Login + 5 Completed Task</v>
      </c>
      <c r="M324" s="14"/>
      <c r="N324" s="14"/>
      <c r="O324" s="14"/>
      <c r="P324" s="14"/>
    </row>
    <row r="325" hidden="1">
      <c r="A325" s="6" t="s">
        <v>223</v>
      </c>
      <c r="B325" s="20" t="s">
        <v>222</v>
      </c>
      <c r="C325" s="20" t="s">
        <v>171</v>
      </c>
      <c r="D325" s="20" t="s">
        <v>172</v>
      </c>
      <c r="E325" s="17">
        <v>0.0</v>
      </c>
      <c r="F325" s="18">
        <v>1.0</v>
      </c>
      <c r="G325" s="18">
        <v>0.0</v>
      </c>
      <c r="H325" s="10">
        <v>16.0</v>
      </c>
      <c r="I325" s="19">
        <v>5.0</v>
      </c>
      <c r="J325" s="12"/>
      <c r="K325" s="12">
        <f t="shared" si="11"/>
        <v>5500</v>
      </c>
      <c r="L325" s="13" t="str">
        <f t="shared" si="15"/>
        <v>0 5-star + 1 RFC + 0 DME + 16 Patient Portal Login + 5 Completed Task</v>
      </c>
      <c r="M325" s="32">
        <v>3000.0</v>
      </c>
      <c r="N325" s="14"/>
      <c r="O325" s="14"/>
      <c r="P325" s="14"/>
    </row>
    <row r="326" hidden="1">
      <c r="A326" s="6" t="s">
        <v>223</v>
      </c>
      <c r="B326" s="16" t="s">
        <v>173</v>
      </c>
      <c r="C326" s="16" t="s">
        <v>174</v>
      </c>
      <c r="D326" s="16" t="s">
        <v>175</v>
      </c>
      <c r="E326" s="17">
        <v>1.0</v>
      </c>
      <c r="F326" s="18">
        <v>3.0</v>
      </c>
      <c r="G326" s="18">
        <v>4.0</v>
      </c>
      <c r="H326" s="10">
        <v>4.0</v>
      </c>
      <c r="I326" s="19">
        <v>5.0</v>
      </c>
      <c r="J326" s="12"/>
      <c r="K326" s="12">
        <f t="shared" si="11"/>
        <v>4250</v>
      </c>
      <c r="L326" s="13" t="str">
        <f t="shared" si="15"/>
        <v>1 5-star + 3 RFC + 4 DME + 4 Patient Portal Login + 5 Completed Task</v>
      </c>
      <c r="M326" s="14"/>
      <c r="N326" s="14"/>
      <c r="O326" s="14"/>
      <c r="P326" s="14"/>
    </row>
    <row r="327" hidden="1">
      <c r="A327" s="6" t="s">
        <v>223</v>
      </c>
      <c r="B327" s="16" t="s">
        <v>176</v>
      </c>
      <c r="C327" s="16" t="s">
        <v>177</v>
      </c>
      <c r="D327" s="16" t="s">
        <v>178</v>
      </c>
      <c r="E327" s="22">
        <v>0.0</v>
      </c>
      <c r="F327" s="25">
        <v>0.0</v>
      </c>
      <c r="G327" s="25">
        <v>0.0</v>
      </c>
      <c r="H327" s="26">
        <v>19.0</v>
      </c>
      <c r="I327" s="24">
        <v>5.0</v>
      </c>
      <c r="J327" s="12"/>
      <c r="K327" s="12">
        <f t="shared" si="11"/>
        <v>6000</v>
      </c>
      <c r="L327" s="13" t="str">
        <f t="shared" si="15"/>
        <v>0 5-star + 0 RFC + 0 DME + 19 Patient Portal Login + 5 Completed Task</v>
      </c>
      <c r="M327" s="14"/>
      <c r="N327" s="14"/>
      <c r="O327" s="14"/>
      <c r="P327" s="14"/>
    </row>
    <row r="328" hidden="1">
      <c r="A328" s="6" t="s">
        <v>223</v>
      </c>
      <c r="B328" s="21" t="s">
        <v>179</v>
      </c>
      <c r="C328" s="21" t="s">
        <v>180</v>
      </c>
      <c r="D328" s="21" t="s">
        <v>181</v>
      </c>
      <c r="E328" s="17">
        <v>3.0</v>
      </c>
      <c r="F328" s="18">
        <v>2.0</v>
      </c>
      <c r="G328" s="18">
        <v>2.0</v>
      </c>
      <c r="H328" s="10">
        <v>18.0</v>
      </c>
      <c r="I328" s="19">
        <v>5.0</v>
      </c>
      <c r="J328" s="12"/>
      <c r="K328" s="12">
        <f t="shared" si="11"/>
        <v>7500</v>
      </c>
      <c r="L328" s="13" t="str">
        <f t="shared" si="15"/>
        <v>3 5-star + 2 RFC + 2 DME + 18 Patient Portal Login + 5 Completed Task</v>
      </c>
      <c r="M328" s="14"/>
      <c r="N328" s="14"/>
      <c r="O328" s="23"/>
      <c r="P328" s="23"/>
    </row>
    <row r="329" hidden="1">
      <c r="A329" s="6" t="s">
        <v>223</v>
      </c>
      <c r="B329" s="21" t="s">
        <v>182</v>
      </c>
      <c r="C329" s="21" t="s">
        <v>183</v>
      </c>
      <c r="D329" s="21" t="s">
        <v>184</v>
      </c>
      <c r="E329" s="17">
        <v>0.0</v>
      </c>
      <c r="F329" s="18">
        <v>1.0</v>
      </c>
      <c r="G329" s="18">
        <v>0.0</v>
      </c>
      <c r="H329" s="10">
        <v>4.0</v>
      </c>
      <c r="I329" s="19">
        <v>4.0</v>
      </c>
      <c r="J329" s="12"/>
      <c r="K329" s="12">
        <f t="shared" si="11"/>
        <v>2250</v>
      </c>
      <c r="L329" s="13" t="str">
        <f t="shared" si="15"/>
        <v>0 5-star + 1 RFC + 0 DME + 4 Patient Portal Login + 4 Completed Task</v>
      </c>
      <c r="M329" s="14"/>
      <c r="N329" s="14"/>
      <c r="O329" s="23"/>
      <c r="P329" s="23"/>
    </row>
    <row r="330" hidden="1">
      <c r="A330" s="6" t="s">
        <v>223</v>
      </c>
      <c r="B330" s="21" t="s">
        <v>185</v>
      </c>
      <c r="C330" s="21" t="s">
        <v>186</v>
      </c>
      <c r="D330" s="21" t="s">
        <v>187</v>
      </c>
      <c r="E330" s="17">
        <v>9.0</v>
      </c>
      <c r="F330" s="18">
        <v>4.0</v>
      </c>
      <c r="G330" s="18">
        <v>3.0</v>
      </c>
      <c r="H330" s="10">
        <v>3.0</v>
      </c>
      <c r="I330" s="19">
        <v>5.0</v>
      </c>
      <c r="J330" s="12"/>
      <c r="K330" s="12">
        <f t="shared" si="11"/>
        <v>6000</v>
      </c>
      <c r="L330" s="13" t="str">
        <f t="shared" si="15"/>
        <v>9 5-star + 4 RFC + 3 DME + 3 Patient Portal Login + 5 Completed Task</v>
      </c>
      <c r="M330" s="14"/>
      <c r="N330" s="14"/>
      <c r="O330" s="23"/>
      <c r="P330" s="23"/>
    </row>
    <row r="331" hidden="1">
      <c r="A331" s="6" t="s">
        <v>223</v>
      </c>
      <c r="B331" s="21" t="s">
        <v>188</v>
      </c>
      <c r="C331" s="21" t="s">
        <v>189</v>
      </c>
      <c r="D331" s="21" t="s">
        <v>190</v>
      </c>
      <c r="E331" s="17">
        <v>1.0</v>
      </c>
      <c r="F331" s="18">
        <v>1.0</v>
      </c>
      <c r="G331" s="18">
        <v>1.0</v>
      </c>
      <c r="H331" s="10">
        <v>8.0</v>
      </c>
      <c r="I331" s="19">
        <v>5.0</v>
      </c>
      <c r="J331" s="12"/>
      <c r="K331" s="12">
        <f t="shared" si="11"/>
        <v>4000</v>
      </c>
      <c r="L331" s="13" t="str">
        <f t="shared" si="15"/>
        <v>1 5-star + 1 RFC + 1 DME + 8 Patient Portal Login + 5 Completed Task</v>
      </c>
      <c r="M331" s="14"/>
      <c r="N331" s="14"/>
      <c r="O331" s="23"/>
      <c r="P331" s="23"/>
    </row>
    <row r="332" hidden="1">
      <c r="A332" s="6" t="s">
        <v>223</v>
      </c>
      <c r="B332" s="21" t="s">
        <v>191</v>
      </c>
      <c r="C332" s="21" t="s">
        <v>192</v>
      </c>
      <c r="D332" s="21" t="s">
        <v>193</v>
      </c>
      <c r="E332" s="17">
        <v>0.0</v>
      </c>
      <c r="F332" s="18">
        <v>2.0</v>
      </c>
      <c r="G332" s="18">
        <v>0.0</v>
      </c>
      <c r="H332" s="10">
        <v>8.0</v>
      </c>
      <c r="I332" s="19">
        <v>5.0</v>
      </c>
      <c r="J332" s="12"/>
      <c r="K332" s="12">
        <f t="shared" si="11"/>
        <v>3750</v>
      </c>
      <c r="L332" s="13" t="str">
        <f t="shared" si="15"/>
        <v>0 5-star + 2 RFC + 0 DME + 8 Patient Portal Login + 5 Completed Task</v>
      </c>
      <c r="M332" s="14"/>
      <c r="N332" s="14"/>
      <c r="O332" s="23"/>
      <c r="P332" s="23"/>
    </row>
    <row r="333" hidden="1">
      <c r="A333" s="6" t="s">
        <v>223</v>
      </c>
      <c r="B333" s="21" t="s">
        <v>197</v>
      </c>
      <c r="C333" s="21" t="s">
        <v>198</v>
      </c>
      <c r="D333" s="21" t="s">
        <v>199</v>
      </c>
      <c r="E333" s="17">
        <v>0.0</v>
      </c>
      <c r="F333" s="18">
        <v>3.0</v>
      </c>
      <c r="G333" s="18">
        <v>0.0</v>
      </c>
      <c r="H333" s="15">
        <v>9.0</v>
      </c>
      <c r="I333" s="19">
        <v>5.0</v>
      </c>
      <c r="J333" s="12"/>
      <c r="K333" s="12">
        <f t="shared" si="11"/>
        <v>4250</v>
      </c>
      <c r="L333" s="13" t="str">
        <f t="shared" si="15"/>
        <v>0 5-star + 3 RFC + 0 DME + 9 Patient Portal Login + 5 Completed Task</v>
      </c>
      <c r="M333" s="14"/>
      <c r="N333" s="14"/>
      <c r="O333" s="23"/>
      <c r="P333" s="23"/>
    </row>
    <row r="334" hidden="1">
      <c r="A334" s="6" t="s">
        <v>223</v>
      </c>
      <c r="B334" s="21" t="s">
        <v>200</v>
      </c>
      <c r="C334" s="21" t="s">
        <v>201</v>
      </c>
      <c r="D334" s="21" t="s">
        <v>202</v>
      </c>
      <c r="E334" s="17">
        <v>0.0</v>
      </c>
      <c r="F334" s="18">
        <v>0.0</v>
      </c>
      <c r="G334" s="18">
        <v>0.0</v>
      </c>
      <c r="H334" s="10">
        <v>8.0</v>
      </c>
      <c r="I334" s="19">
        <v>5.0</v>
      </c>
      <c r="J334" s="12"/>
      <c r="K334" s="12">
        <f t="shared" si="11"/>
        <v>3250</v>
      </c>
      <c r="L334" s="13" t="str">
        <f t="shared" si="15"/>
        <v>0 5-star + 0 RFC + 0 DME + 8 Patient Portal Login + 5 Completed Task</v>
      </c>
      <c r="M334" s="14"/>
      <c r="N334" s="14"/>
      <c r="O334" s="23"/>
      <c r="P334" s="23"/>
    </row>
    <row r="335" hidden="1">
      <c r="A335" s="6" t="s">
        <v>224</v>
      </c>
      <c r="B335" s="16" t="s">
        <v>207</v>
      </c>
      <c r="C335" s="16" t="s">
        <v>208</v>
      </c>
      <c r="D335" s="16" t="s">
        <v>209</v>
      </c>
      <c r="E335" s="17">
        <v>0.0</v>
      </c>
      <c r="F335" s="18">
        <v>2.0</v>
      </c>
      <c r="G335" s="18">
        <v>2.0</v>
      </c>
      <c r="H335" s="10">
        <v>4.0</v>
      </c>
      <c r="I335" s="19">
        <v>5.0</v>
      </c>
      <c r="J335" s="12"/>
      <c r="K335" s="12">
        <f t="shared" ref="K335:K338" si="16">sum(E335*250)+(F335*250)+(G335*250)+(H335*250)+(I335*250)</f>
        <v>3250</v>
      </c>
      <c r="L335" s="13" t="str">
        <f t="shared" si="15"/>
        <v>0 5-star + 2 RFC + 2 DME + 4 Patient Portal Login + 5 Completed Task</v>
      </c>
      <c r="M335" s="14"/>
      <c r="N335" s="14"/>
      <c r="O335" s="14"/>
      <c r="P335" s="14"/>
    </row>
    <row r="336" hidden="1">
      <c r="A336" s="6" t="s">
        <v>224</v>
      </c>
      <c r="B336" s="16" t="s">
        <v>210</v>
      </c>
      <c r="C336" s="16" t="s">
        <v>211</v>
      </c>
      <c r="D336" s="16" t="s">
        <v>212</v>
      </c>
      <c r="E336" s="17">
        <v>0.0</v>
      </c>
      <c r="F336" s="18">
        <v>0.0</v>
      </c>
      <c r="G336" s="18">
        <v>0.0</v>
      </c>
      <c r="H336" s="10">
        <v>0.0</v>
      </c>
      <c r="I336" s="19">
        <v>5.0</v>
      </c>
      <c r="J336" s="12"/>
      <c r="K336" s="12">
        <f t="shared" si="16"/>
        <v>1250</v>
      </c>
      <c r="L336" s="13" t="str">
        <f t="shared" si="15"/>
        <v>0 5-star + 0 RFC + 0 DME + 0 Patient Portal Login + 5 Completed Task</v>
      </c>
      <c r="M336" s="14"/>
      <c r="N336" s="14"/>
      <c r="O336" s="14"/>
      <c r="P336" s="14"/>
    </row>
    <row r="337" hidden="1">
      <c r="A337" s="6" t="s">
        <v>224</v>
      </c>
      <c r="B337" s="16" t="s">
        <v>213</v>
      </c>
      <c r="C337" s="16" t="s">
        <v>214</v>
      </c>
      <c r="D337" s="16" t="s">
        <v>215</v>
      </c>
      <c r="E337" s="17">
        <v>0.0</v>
      </c>
      <c r="F337" s="18">
        <v>0.0</v>
      </c>
      <c r="G337" s="18">
        <v>0.0</v>
      </c>
      <c r="H337" s="10">
        <v>11.0</v>
      </c>
      <c r="I337" s="19">
        <v>5.0</v>
      </c>
      <c r="J337" s="12"/>
      <c r="K337" s="12">
        <f t="shared" si="16"/>
        <v>4000</v>
      </c>
      <c r="L337" s="13" t="str">
        <f t="shared" si="15"/>
        <v>0 5-star + 0 RFC + 0 DME + 11 Patient Portal Login + 5 Completed Task</v>
      </c>
      <c r="M337" s="14"/>
      <c r="N337" s="14"/>
      <c r="O337" s="14"/>
      <c r="P337" s="14"/>
    </row>
    <row r="338" hidden="1">
      <c r="A338" s="6" t="s">
        <v>224</v>
      </c>
      <c r="B338" s="16" t="s">
        <v>216</v>
      </c>
      <c r="C338" s="16" t="s">
        <v>217</v>
      </c>
      <c r="D338" s="16" t="s">
        <v>218</v>
      </c>
      <c r="E338" s="17">
        <v>0.0</v>
      </c>
      <c r="F338" s="18">
        <v>0.0</v>
      </c>
      <c r="G338" s="18">
        <v>1.0</v>
      </c>
      <c r="H338" s="10">
        <v>5.0</v>
      </c>
      <c r="I338" s="19">
        <v>5.0</v>
      </c>
      <c r="J338" s="12"/>
      <c r="K338" s="12">
        <f t="shared" si="16"/>
        <v>2750</v>
      </c>
      <c r="L338" s="13" t="str">
        <f t="shared" si="15"/>
        <v>0 5-star + 0 RFC + 1 DME + 5 Patient Portal Login + 5 Completed Task</v>
      </c>
      <c r="M338" s="14"/>
      <c r="N338" s="14"/>
      <c r="O338" s="14"/>
      <c r="P338" s="14"/>
    </row>
    <row r="339" hidden="1">
      <c r="A339" s="6" t="s">
        <v>224</v>
      </c>
      <c r="B339" s="16" t="s">
        <v>219</v>
      </c>
      <c r="C339" s="16" t="s">
        <v>220</v>
      </c>
      <c r="D339" s="16" t="s">
        <v>221</v>
      </c>
      <c r="E339" s="17">
        <v>0.0</v>
      </c>
      <c r="F339" s="18">
        <v>2.0</v>
      </c>
      <c r="G339" s="18">
        <v>0.0</v>
      </c>
      <c r="H339" s="10">
        <v>11.0</v>
      </c>
      <c r="I339" s="19">
        <v>5.0</v>
      </c>
      <c r="J339" s="12"/>
      <c r="K339" s="12">
        <f>sum(E339*250)+(F339*500)+(G339*250)+(H339*250)+(I339*250)</f>
        <v>5000</v>
      </c>
      <c r="L339" s="13" t="str">
        <f t="shared" si="15"/>
        <v>0 5-star + 2 RFC + 0 DME + 11 Patient Portal Login + 5 Completed Task</v>
      </c>
      <c r="M339" s="14"/>
      <c r="N339" s="14"/>
      <c r="O339" s="14"/>
      <c r="P339" s="14"/>
    </row>
    <row r="340" hidden="1">
      <c r="A340" s="6" t="s">
        <v>224</v>
      </c>
      <c r="B340" s="16" t="s">
        <v>41</v>
      </c>
      <c r="C340" s="16" t="s">
        <v>42</v>
      </c>
      <c r="D340" s="16" t="s">
        <v>43</v>
      </c>
      <c r="E340" s="17">
        <v>7.0</v>
      </c>
      <c r="F340" s="18">
        <v>3.0</v>
      </c>
      <c r="G340" s="18">
        <v>1.0</v>
      </c>
      <c r="H340" s="10">
        <v>7.0</v>
      </c>
      <c r="I340" s="19">
        <v>5.0</v>
      </c>
      <c r="J340" s="12"/>
      <c r="K340" s="12">
        <f t="shared" ref="K340:K388" si="17">sum(E340*250)+(F340*250)+(G340*250)+(H340*250)+(I340*250)</f>
        <v>5750</v>
      </c>
      <c r="L340" s="13" t="str">
        <f t="shared" si="15"/>
        <v>7 5-star + 3 RFC + 1 DME + 7 Patient Portal Login + 5 Completed Task</v>
      </c>
      <c r="M340" s="14"/>
      <c r="N340" s="14"/>
      <c r="O340" s="14"/>
      <c r="P340" s="14"/>
    </row>
    <row r="341" hidden="1">
      <c r="A341" s="6" t="s">
        <v>224</v>
      </c>
      <c r="B341" s="16" t="s">
        <v>47</v>
      </c>
      <c r="C341" s="16" t="s">
        <v>48</v>
      </c>
      <c r="D341" s="16" t="s">
        <v>49</v>
      </c>
      <c r="E341" s="17">
        <v>0.0</v>
      </c>
      <c r="F341" s="18">
        <v>4.0</v>
      </c>
      <c r="G341" s="18">
        <v>0.0</v>
      </c>
      <c r="H341" s="10">
        <v>23.0</v>
      </c>
      <c r="I341" s="19">
        <v>5.0</v>
      </c>
      <c r="J341" s="12"/>
      <c r="K341" s="12">
        <f t="shared" si="17"/>
        <v>8000</v>
      </c>
      <c r="L341" s="13" t="str">
        <f t="shared" si="15"/>
        <v>0 5-star + 4 RFC + 0 DME + 23 Patient Portal Login + 5 Completed Task</v>
      </c>
      <c r="M341" s="14"/>
      <c r="N341" s="14"/>
      <c r="O341" s="14"/>
      <c r="P341" s="14"/>
    </row>
    <row r="342" hidden="1">
      <c r="A342" s="6" t="s">
        <v>224</v>
      </c>
      <c r="B342" s="16" t="s">
        <v>50</v>
      </c>
      <c r="C342" s="16" t="s">
        <v>51</v>
      </c>
      <c r="D342" s="16" t="s">
        <v>52</v>
      </c>
      <c r="E342" s="17">
        <v>0.0</v>
      </c>
      <c r="F342" s="18">
        <v>4.0</v>
      </c>
      <c r="G342" s="18">
        <v>0.0</v>
      </c>
      <c r="H342" s="10">
        <v>19.0</v>
      </c>
      <c r="I342" s="19">
        <v>5.0</v>
      </c>
      <c r="J342" s="12"/>
      <c r="K342" s="12">
        <f t="shared" si="17"/>
        <v>7000</v>
      </c>
      <c r="L342" s="13" t="str">
        <f t="shared" si="15"/>
        <v>0 5-star + 4 RFC + 0 DME + 19 Patient Portal Login + 5 Completed Task</v>
      </c>
      <c r="M342" s="14"/>
      <c r="N342" s="14"/>
      <c r="O342" s="14"/>
      <c r="P342" s="14"/>
    </row>
    <row r="343" hidden="1">
      <c r="A343" s="6" t="s">
        <v>224</v>
      </c>
      <c r="B343" s="16" t="s">
        <v>53</v>
      </c>
      <c r="C343" s="16" t="s">
        <v>54</v>
      </c>
      <c r="D343" s="16" t="s">
        <v>55</v>
      </c>
      <c r="E343" s="17">
        <v>1.0</v>
      </c>
      <c r="F343" s="18">
        <v>7.0</v>
      </c>
      <c r="G343" s="18">
        <v>1.0</v>
      </c>
      <c r="H343" s="10">
        <v>5.0</v>
      </c>
      <c r="I343" s="19">
        <v>5.0</v>
      </c>
      <c r="J343" s="12"/>
      <c r="K343" s="12">
        <f t="shared" si="17"/>
        <v>4750</v>
      </c>
      <c r="L343" s="13" t="str">
        <f t="shared" si="15"/>
        <v>1 5-star + 7 RFC + 1 DME + 5 Patient Portal Login + 5 Completed Task</v>
      </c>
      <c r="M343" s="14"/>
      <c r="N343" s="14"/>
      <c r="O343" s="14"/>
      <c r="P343" s="14"/>
    </row>
    <row r="344" hidden="1">
      <c r="A344" s="6" t="s">
        <v>224</v>
      </c>
      <c r="B344" s="16" t="s">
        <v>56</v>
      </c>
      <c r="C344" s="16" t="s">
        <v>57</v>
      </c>
      <c r="D344" s="16" t="s">
        <v>58</v>
      </c>
      <c r="E344" s="17">
        <v>0.0</v>
      </c>
      <c r="F344" s="18">
        <v>0.0</v>
      </c>
      <c r="G344" s="18">
        <v>0.0</v>
      </c>
      <c r="H344" s="10">
        <v>7.0</v>
      </c>
      <c r="I344" s="19">
        <v>5.0</v>
      </c>
      <c r="J344" s="12"/>
      <c r="K344" s="12">
        <f t="shared" si="17"/>
        <v>3000</v>
      </c>
      <c r="L344" s="13" t="str">
        <f t="shared" si="15"/>
        <v>0 5-star + 0 RFC + 0 DME + 7 Patient Portal Login + 5 Completed Task</v>
      </c>
      <c r="M344" s="14"/>
      <c r="N344" s="14"/>
      <c r="O344" s="14"/>
      <c r="P344" s="14"/>
    </row>
    <row r="345" hidden="1">
      <c r="A345" s="6" t="s">
        <v>224</v>
      </c>
      <c r="B345" s="16" t="s">
        <v>62</v>
      </c>
      <c r="C345" s="16" t="s">
        <v>63</v>
      </c>
      <c r="D345" s="16" t="s">
        <v>64</v>
      </c>
      <c r="E345" s="17">
        <v>0.0</v>
      </c>
      <c r="F345" s="18">
        <v>2.0</v>
      </c>
      <c r="G345" s="18">
        <v>0.0</v>
      </c>
      <c r="H345" s="10">
        <v>5.0</v>
      </c>
      <c r="I345" s="19">
        <v>5.0</v>
      </c>
      <c r="J345" s="12"/>
      <c r="K345" s="12">
        <f t="shared" si="17"/>
        <v>3000</v>
      </c>
      <c r="L345" s="13" t="str">
        <f t="shared" si="15"/>
        <v>0 5-star + 2 RFC + 0 DME + 5 Patient Portal Login + 5 Completed Task</v>
      </c>
      <c r="M345" s="14"/>
      <c r="N345" s="14"/>
      <c r="O345" s="14"/>
      <c r="P345" s="14"/>
    </row>
    <row r="346" hidden="1">
      <c r="A346" s="6" t="s">
        <v>224</v>
      </c>
      <c r="B346" s="16" t="s">
        <v>65</v>
      </c>
      <c r="C346" s="16" t="s">
        <v>66</v>
      </c>
      <c r="D346" s="16" t="s">
        <v>67</v>
      </c>
      <c r="E346" s="17">
        <v>2.0</v>
      </c>
      <c r="F346" s="18">
        <v>1.0</v>
      </c>
      <c r="G346" s="18">
        <v>1.0</v>
      </c>
      <c r="H346" s="10">
        <v>1.0</v>
      </c>
      <c r="I346" s="19">
        <v>5.0</v>
      </c>
      <c r="J346" s="12"/>
      <c r="K346" s="12">
        <f t="shared" si="17"/>
        <v>2500</v>
      </c>
      <c r="L346" s="13" t="str">
        <f t="shared" si="15"/>
        <v>2 5-star + 1 RFC + 1 DME + 1 Patient Portal Login + 5 Completed Task</v>
      </c>
      <c r="M346" s="14"/>
      <c r="N346" s="14"/>
      <c r="O346" s="14"/>
      <c r="P346" s="14"/>
    </row>
    <row r="347" hidden="1">
      <c r="A347" s="6" t="s">
        <v>224</v>
      </c>
      <c r="B347" s="16" t="s">
        <v>68</v>
      </c>
      <c r="C347" s="16" t="s">
        <v>69</v>
      </c>
      <c r="D347" s="16" t="s">
        <v>70</v>
      </c>
      <c r="E347" s="17">
        <v>0.0</v>
      </c>
      <c r="F347" s="18">
        <v>2.0</v>
      </c>
      <c r="G347" s="18">
        <v>0.0</v>
      </c>
      <c r="H347" s="10">
        <v>1.0</v>
      </c>
      <c r="I347" s="19">
        <v>5.0</v>
      </c>
      <c r="J347" s="12"/>
      <c r="K347" s="12">
        <f t="shared" si="17"/>
        <v>2000</v>
      </c>
      <c r="L347" s="13" t="str">
        <f t="shared" si="15"/>
        <v>0 5-star + 2 RFC + 0 DME + 1 Patient Portal Login + 5 Completed Task</v>
      </c>
      <c r="M347" s="14"/>
      <c r="N347" s="14"/>
      <c r="O347" s="14"/>
      <c r="P347" s="14"/>
    </row>
    <row r="348" hidden="1">
      <c r="A348" s="6" t="s">
        <v>224</v>
      </c>
      <c r="B348" s="16" t="s">
        <v>71</v>
      </c>
      <c r="C348" s="16" t="s">
        <v>72</v>
      </c>
      <c r="D348" s="16" t="s">
        <v>73</v>
      </c>
      <c r="E348" s="17">
        <v>0.0</v>
      </c>
      <c r="F348" s="18">
        <v>0.0</v>
      </c>
      <c r="G348" s="18">
        <v>1.0</v>
      </c>
      <c r="H348" s="10">
        <v>21.0</v>
      </c>
      <c r="I348" s="19">
        <v>4.0</v>
      </c>
      <c r="J348" s="12"/>
      <c r="K348" s="12">
        <f t="shared" si="17"/>
        <v>6500</v>
      </c>
      <c r="L348" s="13" t="str">
        <f t="shared" si="15"/>
        <v>0 5-star + 0 RFC + 1 DME + 21 Patient Portal Login + 4 Completed Task</v>
      </c>
      <c r="M348" s="14"/>
      <c r="N348" s="14"/>
      <c r="O348" s="14"/>
      <c r="P348" s="14"/>
    </row>
    <row r="349" hidden="1">
      <c r="A349" s="6" t="s">
        <v>224</v>
      </c>
      <c r="B349" s="16" t="s">
        <v>74</v>
      </c>
      <c r="C349" s="16" t="s">
        <v>75</v>
      </c>
      <c r="D349" s="16" t="s">
        <v>76</v>
      </c>
      <c r="E349" s="17">
        <v>0.0</v>
      </c>
      <c r="F349" s="18">
        <v>0.0</v>
      </c>
      <c r="G349" s="18">
        <v>0.0</v>
      </c>
      <c r="H349" s="10">
        <v>10.0</v>
      </c>
      <c r="I349" s="19">
        <v>5.0</v>
      </c>
      <c r="J349" s="12"/>
      <c r="K349" s="12">
        <f t="shared" si="17"/>
        <v>3750</v>
      </c>
      <c r="L349" s="13" t="str">
        <f t="shared" si="15"/>
        <v>0 5-star + 0 RFC + 0 DME + 10 Patient Portal Login + 5 Completed Task</v>
      </c>
      <c r="M349" s="14"/>
      <c r="N349" s="14"/>
      <c r="O349" s="14"/>
      <c r="P349" s="14"/>
    </row>
    <row r="350" hidden="1">
      <c r="A350" s="6" t="s">
        <v>224</v>
      </c>
      <c r="B350" s="16" t="s">
        <v>80</v>
      </c>
      <c r="C350" s="16" t="s">
        <v>81</v>
      </c>
      <c r="D350" s="16" t="s">
        <v>82</v>
      </c>
      <c r="E350" s="17">
        <v>3.0</v>
      </c>
      <c r="F350" s="18">
        <v>1.0</v>
      </c>
      <c r="G350" s="18">
        <v>1.0</v>
      </c>
      <c r="H350" s="10">
        <v>9.0</v>
      </c>
      <c r="I350" s="19">
        <v>5.0</v>
      </c>
      <c r="J350" s="12"/>
      <c r="K350" s="12">
        <f t="shared" si="17"/>
        <v>4750</v>
      </c>
      <c r="L350" s="13" t="str">
        <f t="shared" si="15"/>
        <v>3 5-star + 1 RFC + 1 DME + 9 Patient Portal Login + 5 Completed Task</v>
      </c>
      <c r="M350" s="14"/>
      <c r="N350" s="14"/>
      <c r="O350" s="14"/>
      <c r="P350" s="14"/>
    </row>
    <row r="351" hidden="1">
      <c r="A351" s="6" t="s">
        <v>224</v>
      </c>
      <c r="B351" s="16" t="s">
        <v>86</v>
      </c>
      <c r="C351" s="16" t="s">
        <v>87</v>
      </c>
      <c r="D351" s="16" t="s">
        <v>88</v>
      </c>
      <c r="E351" s="17">
        <v>0.0</v>
      </c>
      <c r="F351" s="18">
        <v>2.0</v>
      </c>
      <c r="G351" s="18">
        <v>0.0</v>
      </c>
      <c r="H351" s="10">
        <v>2.0</v>
      </c>
      <c r="I351" s="19">
        <v>5.0</v>
      </c>
      <c r="J351" s="12"/>
      <c r="K351" s="12">
        <f t="shared" si="17"/>
        <v>2250</v>
      </c>
      <c r="L351" s="13" t="str">
        <f t="shared" si="15"/>
        <v>0 5-star + 2 RFC + 0 DME + 2 Patient Portal Login + 5 Completed Task</v>
      </c>
      <c r="M351" s="14"/>
      <c r="N351" s="14"/>
      <c r="O351" s="14"/>
      <c r="P351" s="14"/>
    </row>
    <row r="352" hidden="1">
      <c r="A352" s="6" t="s">
        <v>224</v>
      </c>
      <c r="B352" s="16" t="s">
        <v>92</v>
      </c>
      <c r="C352" s="16" t="s">
        <v>93</v>
      </c>
      <c r="D352" s="16" t="s">
        <v>94</v>
      </c>
      <c r="E352" s="17">
        <v>0.0</v>
      </c>
      <c r="F352" s="18">
        <v>2.0</v>
      </c>
      <c r="G352" s="18">
        <v>0.0</v>
      </c>
      <c r="H352" s="10">
        <v>16.0</v>
      </c>
      <c r="I352" s="19">
        <v>5.0</v>
      </c>
      <c r="J352" s="12"/>
      <c r="K352" s="12">
        <f t="shared" si="17"/>
        <v>5750</v>
      </c>
      <c r="L352" s="13" t="str">
        <f t="shared" si="15"/>
        <v>0 5-star + 2 RFC + 0 DME + 16 Patient Portal Login + 5 Completed Task</v>
      </c>
      <c r="M352" s="14"/>
      <c r="N352" s="14"/>
      <c r="O352" s="14"/>
      <c r="P352" s="14"/>
    </row>
    <row r="353" hidden="1">
      <c r="A353" s="6" t="s">
        <v>224</v>
      </c>
      <c r="B353" s="16" t="s">
        <v>95</v>
      </c>
      <c r="C353" s="16" t="s">
        <v>96</v>
      </c>
      <c r="D353" s="16" t="s">
        <v>97</v>
      </c>
      <c r="E353" s="17">
        <v>0.0</v>
      </c>
      <c r="F353" s="18">
        <v>3.0</v>
      </c>
      <c r="G353" s="18">
        <v>0.0</v>
      </c>
      <c r="H353" s="10">
        <v>3.0</v>
      </c>
      <c r="I353" s="19">
        <v>5.0</v>
      </c>
      <c r="J353" s="12"/>
      <c r="K353" s="12">
        <f t="shared" si="17"/>
        <v>2750</v>
      </c>
      <c r="L353" s="13" t="str">
        <f t="shared" si="15"/>
        <v>0 5-star + 3 RFC + 0 DME + 3 Patient Portal Login + 5 Completed Task</v>
      </c>
      <c r="M353" s="14"/>
      <c r="N353" s="14"/>
      <c r="O353" s="14"/>
      <c r="P353" s="14"/>
    </row>
    <row r="354" hidden="1">
      <c r="A354" s="6" t="s">
        <v>224</v>
      </c>
      <c r="B354" s="16" t="s">
        <v>101</v>
      </c>
      <c r="C354" s="16" t="s">
        <v>102</v>
      </c>
      <c r="D354" s="16" t="s">
        <v>103</v>
      </c>
      <c r="E354" s="17">
        <v>0.0</v>
      </c>
      <c r="F354" s="18">
        <v>0.0</v>
      </c>
      <c r="G354" s="18">
        <v>2.0</v>
      </c>
      <c r="H354" s="10">
        <v>1.0</v>
      </c>
      <c r="I354" s="19">
        <v>5.0</v>
      </c>
      <c r="J354" s="12"/>
      <c r="K354" s="12">
        <f t="shared" si="17"/>
        <v>2000</v>
      </c>
      <c r="L354" s="13" t="str">
        <f t="shared" si="15"/>
        <v>0 5-star + 0 RFC + 2 DME + 1 Patient Portal Login + 5 Completed Task</v>
      </c>
      <c r="M354" s="14"/>
      <c r="N354" s="14"/>
      <c r="O354" s="14"/>
      <c r="P354" s="14"/>
    </row>
    <row r="355" hidden="1">
      <c r="A355" s="6" t="s">
        <v>224</v>
      </c>
      <c r="B355" s="16" t="s">
        <v>104</v>
      </c>
      <c r="C355" s="16" t="s">
        <v>105</v>
      </c>
      <c r="D355" s="16" t="s">
        <v>106</v>
      </c>
      <c r="E355" s="17">
        <v>0.0</v>
      </c>
      <c r="F355" s="18">
        <v>0.0</v>
      </c>
      <c r="G355" s="18">
        <v>0.0</v>
      </c>
      <c r="H355" s="10">
        <v>10.0</v>
      </c>
      <c r="I355" s="19">
        <v>5.0</v>
      </c>
      <c r="J355" s="12"/>
      <c r="K355" s="12">
        <f t="shared" si="17"/>
        <v>3750</v>
      </c>
      <c r="L355" s="13" t="str">
        <f t="shared" si="15"/>
        <v>0 5-star + 0 RFC + 0 DME + 10 Patient Portal Login + 5 Completed Task</v>
      </c>
      <c r="M355" s="14"/>
      <c r="N355" s="14"/>
      <c r="O355" s="14"/>
      <c r="P355" s="14"/>
    </row>
    <row r="356" hidden="1">
      <c r="A356" s="6" t="s">
        <v>224</v>
      </c>
      <c r="B356" s="16" t="s">
        <v>107</v>
      </c>
      <c r="C356" s="16" t="s">
        <v>108</v>
      </c>
      <c r="D356" s="16" t="s">
        <v>109</v>
      </c>
      <c r="E356" s="17">
        <v>0.0</v>
      </c>
      <c r="F356" s="18">
        <v>4.0</v>
      </c>
      <c r="G356" s="18">
        <v>0.0</v>
      </c>
      <c r="H356" s="10">
        <v>4.0</v>
      </c>
      <c r="I356" s="19">
        <v>5.0</v>
      </c>
      <c r="J356" s="12"/>
      <c r="K356" s="12">
        <f t="shared" si="17"/>
        <v>3250</v>
      </c>
      <c r="L356" s="13" t="str">
        <f t="shared" si="15"/>
        <v>0 5-star + 4 RFC + 0 DME + 4 Patient Portal Login + 5 Completed Task</v>
      </c>
      <c r="M356" s="14"/>
      <c r="N356" s="14"/>
      <c r="O356" s="14"/>
      <c r="P356" s="14"/>
    </row>
    <row r="357" hidden="1">
      <c r="A357" s="6" t="s">
        <v>224</v>
      </c>
      <c r="B357" s="16" t="s">
        <v>110</v>
      </c>
      <c r="C357" s="16" t="s">
        <v>111</v>
      </c>
      <c r="D357" s="16" t="s">
        <v>112</v>
      </c>
      <c r="E357" s="17">
        <v>0.0</v>
      </c>
      <c r="F357" s="18">
        <v>0.0</v>
      </c>
      <c r="G357" s="18">
        <v>2.0</v>
      </c>
      <c r="H357" s="10">
        <v>0.0</v>
      </c>
      <c r="I357" s="19">
        <v>4.0</v>
      </c>
      <c r="J357" s="12"/>
      <c r="K357" s="12">
        <f t="shared" si="17"/>
        <v>1500</v>
      </c>
      <c r="L357" s="13" t="str">
        <f t="shared" si="15"/>
        <v>0 5-star + 0 RFC + 2 DME + 0 Patient Portal Login + 4 Completed Task</v>
      </c>
      <c r="M357" s="14"/>
      <c r="N357" s="14"/>
      <c r="O357" s="14"/>
      <c r="P357" s="14"/>
    </row>
    <row r="358" hidden="1">
      <c r="A358" s="6" t="s">
        <v>224</v>
      </c>
      <c r="B358" s="16" t="s">
        <v>113</v>
      </c>
      <c r="C358" s="16" t="s">
        <v>114</v>
      </c>
      <c r="D358" s="16" t="s">
        <v>115</v>
      </c>
      <c r="E358" s="17">
        <v>0.0</v>
      </c>
      <c r="F358" s="18">
        <v>1.0</v>
      </c>
      <c r="G358" s="18">
        <v>0.0</v>
      </c>
      <c r="H358" s="10">
        <v>6.0</v>
      </c>
      <c r="I358" s="19">
        <v>5.0</v>
      </c>
      <c r="J358" s="12"/>
      <c r="K358" s="12">
        <f t="shared" si="17"/>
        <v>3000</v>
      </c>
      <c r="L358" s="13" t="str">
        <f t="shared" si="15"/>
        <v>0 5-star + 1 RFC + 0 DME + 6 Patient Portal Login + 5 Completed Task</v>
      </c>
      <c r="M358" s="14"/>
      <c r="N358" s="14"/>
      <c r="O358" s="14"/>
      <c r="P358" s="14"/>
    </row>
    <row r="359" hidden="1">
      <c r="A359" s="6" t="s">
        <v>224</v>
      </c>
      <c r="B359" s="16" t="s">
        <v>116</v>
      </c>
      <c r="C359" s="16" t="s">
        <v>117</v>
      </c>
      <c r="D359" s="16" t="s">
        <v>118</v>
      </c>
      <c r="E359" s="17">
        <v>0.0</v>
      </c>
      <c r="F359" s="18">
        <v>4.0</v>
      </c>
      <c r="G359" s="18">
        <v>0.0</v>
      </c>
      <c r="H359" s="10">
        <v>4.0</v>
      </c>
      <c r="I359" s="19">
        <v>5.0</v>
      </c>
      <c r="J359" s="12"/>
      <c r="K359" s="12">
        <f t="shared" si="17"/>
        <v>3250</v>
      </c>
      <c r="L359" s="13" t="str">
        <f t="shared" si="15"/>
        <v>0 5-star + 4 RFC + 0 DME + 4 Patient Portal Login + 5 Completed Task</v>
      </c>
      <c r="M359" s="14"/>
      <c r="N359" s="14"/>
      <c r="O359" s="14"/>
      <c r="P359" s="14"/>
    </row>
    <row r="360" hidden="1">
      <c r="A360" s="6" t="s">
        <v>224</v>
      </c>
      <c r="B360" s="16" t="s">
        <v>122</v>
      </c>
      <c r="C360" s="16" t="s">
        <v>123</v>
      </c>
      <c r="D360" s="16" t="s">
        <v>124</v>
      </c>
      <c r="E360" s="17">
        <v>0.0</v>
      </c>
      <c r="F360" s="18">
        <v>2.0</v>
      </c>
      <c r="G360" s="18">
        <v>2.0</v>
      </c>
      <c r="H360" s="10">
        <v>10.0</v>
      </c>
      <c r="I360" s="19">
        <v>5.0</v>
      </c>
      <c r="J360" s="12"/>
      <c r="K360" s="12">
        <f t="shared" si="17"/>
        <v>4750</v>
      </c>
      <c r="L360" s="13" t="str">
        <f t="shared" si="15"/>
        <v>0 5-star + 2 RFC + 2 DME + 10 Patient Portal Login + 5 Completed Task</v>
      </c>
      <c r="M360" s="14"/>
      <c r="N360" s="14"/>
      <c r="O360" s="14"/>
      <c r="P360" s="14"/>
    </row>
    <row r="361" hidden="1">
      <c r="A361" s="6" t="s">
        <v>224</v>
      </c>
      <c r="B361" s="16" t="s">
        <v>125</v>
      </c>
      <c r="C361" s="16" t="s">
        <v>126</v>
      </c>
      <c r="D361" s="16" t="s">
        <v>127</v>
      </c>
      <c r="E361" s="17">
        <v>1.0</v>
      </c>
      <c r="F361" s="18">
        <v>0.0</v>
      </c>
      <c r="G361" s="18">
        <v>0.0</v>
      </c>
      <c r="H361" s="10">
        <v>2.0</v>
      </c>
      <c r="I361" s="19">
        <v>5.0</v>
      </c>
      <c r="J361" s="12"/>
      <c r="K361" s="12">
        <f t="shared" si="17"/>
        <v>2000</v>
      </c>
      <c r="L361" s="13" t="str">
        <f t="shared" si="15"/>
        <v>1 5-star + 0 RFC + 0 DME + 2 Patient Portal Login + 5 Completed Task</v>
      </c>
      <c r="M361" s="14"/>
      <c r="N361" s="14"/>
      <c r="O361" s="14"/>
      <c r="P361" s="14"/>
    </row>
    <row r="362" hidden="1">
      <c r="A362" s="6" t="s">
        <v>224</v>
      </c>
      <c r="B362" s="16" t="s">
        <v>128</v>
      </c>
      <c r="C362" s="16" t="s">
        <v>129</v>
      </c>
      <c r="D362" s="16" t="s">
        <v>130</v>
      </c>
      <c r="E362" s="17">
        <v>0.0</v>
      </c>
      <c r="F362" s="18">
        <v>1.0</v>
      </c>
      <c r="G362" s="18">
        <v>1.0</v>
      </c>
      <c r="H362" s="10">
        <v>7.0</v>
      </c>
      <c r="I362" s="19">
        <v>5.0</v>
      </c>
      <c r="J362" s="12"/>
      <c r="K362" s="12">
        <f t="shared" si="17"/>
        <v>3500</v>
      </c>
      <c r="L362" s="13" t="str">
        <f t="shared" si="15"/>
        <v>0 5-star + 1 RFC + 1 DME + 7 Patient Portal Login + 5 Completed Task</v>
      </c>
      <c r="M362" s="14"/>
      <c r="N362" s="14"/>
      <c r="O362" s="14"/>
      <c r="P362" s="14"/>
    </row>
    <row r="363" hidden="1">
      <c r="A363" s="6" t="s">
        <v>224</v>
      </c>
      <c r="B363" s="16" t="s">
        <v>131</v>
      </c>
      <c r="C363" s="16" t="s">
        <v>132</v>
      </c>
      <c r="D363" s="16" t="s">
        <v>133</v>
      </c>
      <c r="E363" s="17">
        <v>11.0</v>
      </c>
      <c r="F363" s="18">
        <v>3.0</v>
      </c>
      <c r="G363" s="18">
        <v>0.0</v>
      </c>
      <c r="H363" s="10">
        <v>5.0</v>
      </c>
      <c r="I363" s="19">
        <v>5.0</v>
      </c>
      <c r="J363" s="12"/>
      <c r="K363" s="12">
        <f t="shared" si="17"/>
        <v>6000</v>
      </c>
      <c r="L363" s="13" t="str">
        <f t="shared" si="15"/>
        <v>11 5-star + 3 RFC + 0 DME + 5 Patient Portal Login + 5 Completed Task</v>
      </c>
      <c r="M363" s="14"/>
      <c r="N363" s="14"/>
      <c r="O363" s="14"/>
      <c r="P363" s="14"/>
    </row>
    <row r="364" hidden="1">
      <c r="A364" s="6" t="s">
        <v>224</v>
      </c>
      <c r="B364" s="16" t="s">
        <v>134</v>
      </c>
      <c r="C364" s="16" t="s">
        <v>135</v>
      </c>
      <c r="D364" s="16" t="s">
        <v>136</v>
      </c>
      <c r="E364" s="17">
        <v>1.0</v>
      </c>
      <c r="F364" s="18">
        <v>3.0</v>
      </c>
      <c r="G364" s="18">
        <v>0.0</v>
      </c>
      <c r="H364" s="10">
        <v>0.0</v>
      </c>
      <c r="I364" s="19">
        <v>3.0</v>
      </c>
      <c r="J364" s="12"/>
      <c r="K364" s="12">
        <f t="shared" si="17"/>
        <v>1750</v>
      </c>
      <c r="L364" s="13" t="str">
        <f t="shared" si="15"/>
        <v>1 5-star + 3 RFC + 0 DME + 0 Patient Portal Login + 3 Completed Task</v>
      </c>
      <c r="M364" s="14"/>
      <c r="N364" s="14"/>
      <c r="O364" s="14"/>
      <c r="P364" s="14"/>
    </row>
    <row r="365" hidden="1">
      <c r="A365" s="6" t="s">
        <v>224</v>
      </c>
      <c r="B365" s="16" t="s">
        <v>137</v>
      </c>
      <c r="C365" s="16" t="s">
        <v>138</v>
      </c>
      <c r="D365" s="16" t="s">
        <v>139</v>
      </c>
      <c r="E365" s="17">
        <v>2.0</v>
      </c>
      <c r="F365" s="18">
        <v>12.0</v>
      </c>
      <c r="G365" s="18">
        <v>0.0</v>
      </c>
      <c r="H365" s="10">
        <v>14.0</v>
      </c>
      <c r="I365" s="19">
        <v>5.0</v>
      </c>
      <c r="J365" s="12"/>
      <c r="K365" s="12">
        <f t="shared" si="17"/>
        <v>8250</v>
      </c>
      <c r="L365" s="13" t="str">
        <f t="shared" si="15"/>
        <v>2 5-star + 12 RFC + 0 DME + 14 Patient Portal Login + 5 Completed Task</v>
      </c>
      <c r="M365" s="14"/>
      <c r="N365" s="14"/>
      <c r="O365" s="14"/>
      <c r="P365" s="14"/>
    </row>
    <row r="366" hidden="1">
      <c r="A366" s="6" t="s">
        <v>224</v>
      </c>
      <c r="B366" s="16" t="s">
        <v>140</v>
      </c>
      <c r="C366" s="16" t="s">
        <v>141</v>
      </c>
      <c r="D366" s="16" t="s">
        <v>142</v>
      </c>
      <c r="E366" s="17">
        <v>10.0</v>
      </c>
      <c r="F366" s="18">
        <v>0.0</v>
      </c>
      <c r="G366" s="18">
        <v>0.0</v>
      </c>
      <c r="H366" s="10">
        <v>2.0</v>
      </c>
      <c r="I366" s="19">
        <v>5.0</v>
      </c>
      <c r="J366" s="12"/>
      <c r="K366" s="12">
        <f t="shared" si="17"/>
        <v>4250</v>
      </c>
      <c r="L366" s="13" t="str">
        <f t="shared" si="15"/>
        <v>10 5-star + 0 RFC + 0 DME + 2 Patient Portal Login + 5 Completed Task</v>
      </c>
      <c r="M366" s="14"/>
      <c r="N366" s="14"/>
      <c r="O366" s="14"/>
      <c r="P366" s="14"/>
    </row>
    <row r="367" hidden="1">
      <c r="A367" s="6" t="s">
        <v>224</v>
      </c>
      <c r="B367" s="16" t="s">
        <v>143</v>
      </c>
      <c r="C367" s="16" t="s">
        <v>144</v>
      </c>
      <c r="D367" s="16" t="s">
        <v>145</v>
      </c>
      <c r="E367" s="17">
        <v>0.0</v>
      </c>
      <c r="F367" s="18">
        <v>0.0</v>
      </c>
      <c r="G367" s="18">
        <v>0.0</v>
      </c>
      <c r="H367" s="10">
        <v>0.0</v>
      </c>
      <c r="I367" s="19">
        <v>0.0</v>
      </c>
      <c r="J367" s="12"/>
      <c r="K367" s="12">
        <f t="shared" si="17"/>
        <v>0</v>
      </c>
      <c r="L367" s="13" t="str">
        <f t="shared" si="15"/>
        <v>0 5-star + 0 RFC + 0 DME + 0 Patient Portal Login + 0 Completed Task</v>
      </c>
      <c r="M367" s="14"/>
      <c r="N367" s="14"/>
      <c r="O367" s="14"/>
      <c r="P367" s="14"/>
    </row>
    <row r="368" hidden="1">
      <c r="A368" s="6" t="s">
        <v>224</v>
      </c>
      <c r="B368" s="16" t="s">
        <v>146</v>
      </c>
      <c r="C368" s="16" t="s">
        <v>147</v>
      </c>
      <c r="D368" s="16" t="s">
        <v>148</v>
      </c>
      <c r="E368" s="17">
        <v>0.0</v>
      </c>
      <c r="F368" s="18">
        <v>1.0</v>
      </c>
      <c r="G368" s="18">
        <v>0.0</v>
      </c>
      <c r="H368" s="10">
        <v>0.0</v>
      </c>
      <c r="I368" s="19">
        <v>4.0</v>
      </c>
      <c r="J368" s="12"/>
      <c r="K368" s="12">
        <f t="shared" si="17"/>
        <v>1250</v>
      </c>
      <c r="L368" s="13" t="str">
        <f t="shared" si="15"/>
        <v>0 5-star + 1 RFC + 0 DME + 0 Patient Portal Login + 4 Completed Task</v>
      </c>
      <c r="M368" s="14"/>
      <c r="N368" s="14"/>
      <c r="O368" s="14"/>
      <c r="P368" s="14"/>
    </row>
    <row r="369" hidden="1">
      <c r="A369" s="6" t="s">
        <v>224</v>
      </c>
      <c r="B369" s="16" t="s">
        <v>149</v>
      </c>
      <c r="C369" s="16" t="s">
        <v>150</v>
      </c>
      <c r="D369" s="16" t="s">
        <v>151</v>
      </c>
      <c r="E369" s="17">
        <v>0.0</v>
      </c>
      <c r="F369" s="18">
        <v>0.0</v>
      </c>
      <c r="G369" s="18">
        <v>1.0</v>
      </c>
      <c r="H369" s="10">
        <v>5.0</v>
      </c>
      <c r="I369" s="19">
        <v>5.0</v>
      </c>
      <c r="J369" s="12"/>
      <c r="K369" s="12">
        <f t="shared" si="17"/>
        <v>2750</v>
      </c>
      <c r="L369" s="13" t="str">
        <f> E369 &amp; " 5-star + " &amp; F369 &amp; " RFC + " &amp; G369 &amp; " DME + " &amp; H369 &amp; " Patient Portal Login + " &amp; I362 &amp; " Completed Task"
</f>
        <v>0 5-star + 0 RFC + 1 DME + 5 Patient Portal Login + 5 Completed Task</v>
      </c>
      <c r="M369" s="14"/>
      <c r="N369" s="14"/>
      <c r="O369" s="14"/>
      <c r="P369" s="14"/>
    </row>
    <row r="370" hidden="1">
      <c r="A370" s="6" t="s">
        <v>224</v>
      </c>
      <c r="B370" s="16" t="s">
        <v>152</v>
      </c>
      <c r="C370" s="16" t="s">
        <v>153</v>
      </c>
      <c r="D370" s="16" t="s">
        <v>154</v>
      </c>
      <c r="E370" s="17">
        <v>1.0</v>
      </c>
      <c r="F370" s="18">
        <v>2.0</v>
      </c>
      <c r="G370" s="18">
        <v>3.0</v>
      </c>
      <c r="H370" s="10">
        <v>7.0</v>
      </c>
      <c r="I370" s="19">
        <v>5.0</v>
      </c>
      <c r="J370" s="12"/>
      <c r="K370" s="12">
        <f t="shared" si="17"/>
        <v>4500</v>
      </c>
      <c r="L370" s="13" t="str">
        <f t="shared" ref="L370:L372" si="18"> E370 &amp; " 5-star + " &amp; F370 &amp; " RFC + " &amp; G370 &amp; " DME + " &amp; H370 &amp; " Patient Portal Login + " &amp; I370 &amp; " Completed Task"
</f>
        <v>1 5-star + 2 RFC + 3 DME + 7 Patient Portal Login + 5 Completed Task</v>
      </c>
      <c r="M370" s="14"/>
      <c r="N370" s="14"/>
      <c r="O370" s="14"/>
      <c r="P370" s="14"/>
    </row>
    <row r="371" ht="15.0" hidden="1" customHeight="1">
      <c r="A371" s="6" t="s">
        <v>224</v>
      </c>
      <c r="B371" s="16" t="s">
        <v>155</v>
      </c>
      <c r="C371" s="16" t="s">
        <v>156</v>
      </c>
      <c r="D371" s="16" t="s">
        <v>157</v>
      </c>
      <c r="E371" s="17">
        <v>22.0</v>
      </c>
      <c r="F371" s="18">
        <v>2.0</v>
      </c>
      <c r="G371" s="18">
        <v>1.0</v>
      </c>
      <c r="H371" s="10">
        <v>3.0</v>
      </c>
      <c r="I371" s="19">
        <v>5.0</v>
      </c>
      <c r="J371" s="12"/>
      <c r="K371" s="12">
        <f t="shared" si="17"/>
        <v>8250</v>
      </c>
      <c r="L371" s="13" t="str">
        <f t="shared" si="18"/>
        <v>22 5-star + 2 RFC + 1 DME + 3 Patient Portal Login + 5 Completed Task</v>
      </c>
      <c r="M371" s="14"/>
      <c r="N371" s="14"/>
      <c r="O371" s="14"/>
      <c r="P371" s="14"/>
    </row>
    <row r="372" hidden="1">
      <c r="A372" s="6" t="s">
        <v>224</v>
      </c>
      <c r="B372" s="16" t="s">
        <v>158</v>
      </c>
      <c r="C372" s="16" t="s">
        <v>159</v>
      </c>
      <c r="D372" s="16" t="s">
        <v>160</v>
      </c>
      <c r="E372" s="17">
        <v>0.0</v>
      </c>
      <c r="F372" s="18">
        <v>2.0</v>
      </c>
      <c r="G372" s="18">
        <v>0.0</v>
      </c>
      <c r="H372" s="10">
        <v>5.0</v>
      </c>
      <c r="I372" s="19">
        <v>5.0</v>
      </c>
      <c r="J372" s="12"/>
      <c r="K372" s="12">
        <f t="shared" si="17"/>
        <v>3000</v>
      </c>
      <c r="L372" s="13" t="str">
        <f t="shared" si="18"/>
        <v>0 5-star + 2 RFC + 0 DME + 5 Patient Portal Login + 5 Completed Task</v>
      </c>
      <c r="M372" s="14"/>
      <c r="N372" s="14"/>
      <c r="O372" s="14"/>
      <c r="P372" s="14"/>
    </row>
    <row r="373" hidden="1">
      <c r="A373" s="6" t="s">
        <v>224</v>
      </c>
      <c r="B373" s="20" t="s">
        <v>161</v>
      </c>
      <c r="C373" s="20" t="s">
        <v>162</v>
      </c>
      <c r="D373" s="20" t="s">
        <v>163</v>
      </c>
      <c r="E373" s="17">
        <v>0.0</v>
      </c>
      <c r="F373" s="18">
        <v>0.0</v>
      </c>
      <c r="G373" s="18">
        <v>0.0</v>
      </c>
      <c r="H373" s="10">
        <v>1.0</v>
      </c>
      <c r="I373" s="19">
        <v>5.0</v>
      </c>
      <c r="J373" s="12"/>
      <c r="K373" s="12">
        <f t="shared" si="17"/>
        <v>1500</v>
      </c>
      <c r="L373" s="13" t="str">
        <f> E373 &amp; " 5-star + " &amp; E360 &amp; " RFC + " &amp; G373 &amp; " DME + " &amp; H373 &amp; " Patient Portal Login + " &amp; I373 &amp; " Completed Task"
</f>
        <v>0 5-star + 0 RFC + 0 DME + 1 Patient Portal Login + 5 Completed Task</v>
      </c>
      <c r="M373" s="14"/>
      <c r="N373" s="14"/>
      <c r="O373" s="14"/>
      <c r="P373" s="14"/>
    </row>
    <row r="374" hidden="1">
      <c r="A374" s="6" t="s">
        <v>224</v>
      </c>
      <c r="B374" s="20" t="s">
        <v>167</v>
      </c>
      <c r="C374" s="20" t="s">
        <v>168</v>
      </c>
      <c r="D374" s="20" t="s">
        <v>169</v>
      </c>
      <c r="E374" s="17">
        <v>0.0</v>
      </c>
      <c r="F374" s="18">
        <v>5.0</v>
      </c>
      <c r="G374" s="18">
        <v>0.0</v>
      </c>
      <c r="H374" s="10">
        <v>11.0</v>
      </c>
      <c r="I374" s="19">
        <v>5.0</v>
      </c>
      <c r="J374" s="12"/>
      <c r="K374" s="12">
        <f t="shared" si="17"/>
        <v>5250</v>
      </c>
      <c r="L374" s="13" t="str">
        <f t="shared" ref="L374:L422" si="19"> E374 &amp; " 5-star + " &amp; F374 &amp; " RFC + " &amp; G374 &amp; " DME + " &amp; H374 &amp; " Patient Portal Login + " &amp; I374 &amp; " Completed Task"
</f>
        <v>0 5-star + 5 RFC + 0 DME + 11 Patient Portal Login + 5 Completed Task</v>
      </c>
      <c r="M374" s="14"/>
      <c r="N374" s="14"/>
      <c r="O374" s="14"/>
      <c r="P374" s="14"/>
    </row>
    <row r="375" hidden="1">
      <c r="A375" s="6" t="s">
        <v>224</v>
      </c>
      <c r="B375" s="20" t="s">
        <v>222</v>
      </c>
      <c r="C375" s="20" t="s">
        <v>171</v>
      </c>
      <c r="D375" s="20" t="s">
        <v>172</v>
      </c>
      <c r="E375" s="17">
        <v>0.0</v>
      </c>
      <c r="F375" s="18">
        <v>2.0</v>
      </c>
      <c r="G375" s="18">
        <v>0.0</v>
      </c>
      <c r="H375" s="10">
        <v>12.0</v>
      </c>
      <c r="I375" s="19">
        <v>5.0</v>
      </c>
      <c r="J375" s="12"/>
      <c r="K375" s="12">
        <f t="shared" si="17"/>
        <v>4750</v>
      </c>
      <c r="L375" s="13" t="str">
        <f t="shared" si="19"/>
        <v>0 5-star + 2 RFC + 0 DME + 12 Patient Portal Login + 5 Completed Task</v>
      </c>
      <c r="M375" s="32">
        <v>3000.0</v>
      </c>
      <c r="N375" s="14"/>
      <c r="O375" s="14"/>
      <c r="P375" s="14"/>
    </row>
    <row r="376" hidden="1">
      <c r="A376" s="6" t="s">
        <v>224</v>
      </c>
      <c r="B376" s="16" t="s">
        <v>173</v>
      </c>
      <c r="C376" s="16" t="s">
        <v>174</v>
      </c>
      <c r="D376" s="16" t="s">
        <v>175</v>
      </c>
      <c r="E376" s="17">
        <v>3.0</v>
      </c>
      <c r="F376" s="18">
        <v>5.0</v>
      </c>
      <c r="G376" s="18">
        <v>2.0</v>
      </c>
      <c r="H376" s="10">
        <v>2.0</v>
      </c>
      <c r="I376" s="19">
        <v>5.0</v>
      </c>
      <c r="J376" s="12"/>
      <c r="K376" s="12">
        <f t="shared" si="17"/>
        <v>4250</v>
      </c>
      <c r="L376" s="13" t="str">
        <f t="shared" si="19"/>
        <v>3 5-star + 5 RFC + 2 DME + 2 Patient Portal Login + 5 Completed Task</v>
      </c>
      <c r="M376" s="14"/>
      <c r="N376" s="14"/>
      <c r="O376" s="14"/>
      <c r="P376" s="14"/>
    </row>
    <row r="377" hidden="1">
      <c r="A377" s="6" t="s">
        <v>224</v>
      </c>
      <c r="B377" s="16" t="s">
        <v>176</v>
      </c>
      <c r="C377" s="16" t="s">
        <v>177</v>
      </c>
      <c r="D377" s="16" t="s">
        <v>178</v>
      </c>
      <c r="E377" s="17">
        <v>0.0</v>
      </c>
      <c r="F377" s="18">
        <v>0.0</v>
      </c>
      <c r="G377" s="18">
        <v>0.0</v>
      </c>
      <c r="H377" s="10">
        <v>7.0</v>
      </c>
      <c r="I377" s="19">
        <v>5.0</v>
      </c>
      <c r="J377" s="12"/>
      <c r="K377" s="12">
        <f t="shared" si="17"/>
        <v>3000</v>
      </c>
      <c r="L377" s="13" t="str">
        <f t="shared" si="19"/>
        <v>0 5-star + 0 RFC + 0 DME + 7 Patient Portal Login + 5 Completed Task</v>
      </c>
      <c r="M377" s="14"/>
      <c r="N377" s="14"/>
      <c r="O377" s="14"/>
      <c r="P377" s="14"/>
    </row>
    <row r="378" hidden="1">
      <c r="A378" s="6" t="s">
        <v>224</v>
      </c>
      <c r="B378" s="21" t="s">
        <v>179</v>
      </c>
      <c r="C378" s="21" t="s">
        <v>180</v>
      </c>
      <c r="D378" s="21" t="s">
        <v>181</v>
      </c>
      <c r="E378" s="17">
        <v>0.0</v>
      </c>
      <c r="F378" s="18">
        <v>7.0</v>
      </c>
      <c r="G378" s="18">
        <v>5.0</v>
      </c>
      <c r="H378" s="10">
        <v>30.0</v>
      </c>
      <c r="I378" s="19">
        <v>5.0</v>
      </c>
      <c r="J378" s="12"/>
      <c r="K378" s="12">
        <f t="shared" si="17"/>
        <v>11750</v>
      </c>
      <c r="L378" s="13" t="str">
        <f t="shared" si="19"/>
        <v>0 5-star + 7 RFC + 5 DME + 30 Patient Portal Login + 5 Completed Task</v>
      </c>
      <c r="M378" s="14"/>
      <c r="N378" s="14"/>
      <c r="O378" s="23"/>
      <c r="P378" s="23"/>
    </row>
    <row r="379" hidden="1">
      <c r="A379" s="6" t="s">
        <v>224</v>
      </c>
      <c r="B379" s="21" t="s">
        <v>182</v>
      </c>
      <c r="C379" s="21" t="s">
        <v>183</v>
      </c>
      <c r="D379" s="21" t="s">
        <v>184</v>
      </c>
      <c r="E379" s="17">
        <v>0.0</v>
      </c>
      <c r="F379" s="18">
        <v>0.0</v>
      </c>
      <c r="G379" s="18">
        <v>0.0</v>
      </c>
      <c r="H379" s="10">
        <v>0.0</v>
      </c>
      <c r="I379" s="19">
        <v>4.0</v>
      </c>
      <c r="J379" s="12"/>
      <c r="K379" s="12">
        <f t="shared" si="17"/>
        <v>1000</v>
      </c>
      <c r="L379" s="13" t="str">
        <f t="shared" si="19"/>
        <v>0 5-star + 0 RFC + 0 DME + 0 Patient Portal Login + 4 Completed Task</v>
      </c>
      <c r="M379" s="14"/>
      <c r="N379" s="14"/>
      <c r="O379" s="23"/>
      <c r="P379" s="23"/>
    </row>
    <row r="380" hidden="1">
      <c r="A380" s="6" t="s">
        <v>224</v>
      </c>
      <c r="B380" s="21" t="s">
        <v>185</v>
      </c>
      <c r="C380" s="21" t="s">
        <v>186</v>
      </c>
      <c r="D380" s="21" t="s">
        <v>187</v>
      </c>
      <c r="E380" s="17">
        <v>29.0</v>
      </c>
      <c r="F380" s="18">
        <v>1.0</v>
      </c>
      <c r="G380" s="18">
        <v>0.0</v>
      </c>
      <c r="H380" s="10">
        <v>2.0</v>
      </c>
      <c r="I380" s="19">
        <v>5.0</v>
      </c>
      <c r="J380" s="12"/>
      <c r="K380" s="12">
        <f t="shared" si="17"/>
        <v>9250</v>
      </c>
      <c r="L380" s="13" t="str">
        <f t="shared" si="19"/>
        <v>29 5-star + 1 RFC + 0 DME + 2 Patient Portal Login + 5 Completed Task</v>
      </c>
      <c r="M380" s="14"/>
      <c r="N380" s="14"/>
      <c r="O380" s="23"/>
      <c r="P380" s="23"/>
    </row>
    <row r="381" hidden="1">
      <c r="A381" s="6" t="s">
        <v>224</v>
      </c>
      <c r="B381" s="21" t="s">
        <v>188</v>
      </c>
      <c r="C381" s="21" t="s">
        <v>189</v>
      </c>
      <c r="D381" s="21" t="s">
        <v>190</v>
      </c>
      <c r="E381" s="17">
        <v>0.0</v>
      </c>
      <c r="F381" s="18">
        <v>2.0</v>
      </c>
      <c r="G381" s="18">
        <v>1.0</v>
      </c>
      <c r="H381" s="10">
        <v>9.0</v>
      </c>
      <c r="I381" s="19">
        <v>5.0</v>
      </c>
      <c r="J381" s="12"/>
      <c r="K381" s="12">
        <f t="shared" si="17"/>
        <v>4250</v>
      </c>
      <c r="L381" s="13" t="str">
        <f t="shared" si="19"/>
        <v>0 5-star + 2 RFC + 1 DME + 9 Patient Portal Login + 5 Completed Task</v>
      </c>
      <c r="M381" s="14"/>
      <c r="N381" s="14"/>
      <c r="O381" s="23"/>
      <c r="P381" s="23"/>
    </row>
    <row r="382" hidden="1">
      <c r="A382" s="6" t="s">
        <v>224</v>
      </c>
      <c r="B382" s="21" t="s">
        <v>191</v>
      </c>
      <c r="C382" s="21" t="s">
        <v>192</v>
      </c>
      <c r="D382" s="21" t="s">
        <v>193</v>
      </c>
      <c r="E382" s="17">
        <v>0.0</v>
      </c>
      <c r="F382" s="18">
        <v>0.0</v>
      </c>
      <c r="G382" s="18">
        <v>1.0</v>
      </c>
      <c r="H382" s="10">
        <v>1.0</v>
      </c>
      <c r="I382" s="19">
        <v>5.0</v>
      </c>
      <c r="J382" s="12"/>
      <c r="K382" s="12">
        <f t="shared" si="17"/>
        <v>1750</v>
      </c>
      <c r="L382" s="13" t="str">
        <f t="shared" si="19"/>
        <v>0 5-star + 0 RFC + 1 DME + 1 Patient Portal Login + 5 Completed Task</v>
      </c>
      <c r="M382" s="14"/>
      <c r="N382" s="14"/>
      <c r="O382" s="23"/>
      <c r="P382" s="23"/>
    </row>
    <row r="383" hidden="1">
      <c r="A383" s="6" t="s">
        <v>224</v>
      </c>
      <c r="B383" s="21" t="s">
        <v>197</v>
      </c>
      <c r="C383" s="21" t="s">
        <v>198</v>
      </c>
      <c r="D383" s="21" t="s">
        <v>199</v>
      </c>
      <c r="E383" s="17">
        <v>0.0</v>
      </c>
      <c r="F383" s="18">
        <v>2.0</v>
      </c>
      <c r="G383" s="18">
        <v>1.0</v>
      </c>
      <c r="H383" s="10">
        <v>2.0</v>
      </c>
      <c r="I383" s="19">
        <v>5.0</v>
      </c>
      <c r="J383" s="12"/>
      <c r="K383" s="12">
        <f t="shared" si="17"/>
        <v>2500</v>
      </c>
      <c r="L383" s="13" t="str">
        <f t="shared" si="19"/>
        <v>0 5-star + 2 RFC + 1 DME + 2 Patient Portal Login + 5 Completed Task</v>
      </c>
      <c r="M383" s="14"/>
      <c r="N383" s="14"/>
      <c r="O383" s="23"/>
      <c r="P383" s="23"/>
    </row>
    <row r="384" hidden="1">
      <c r="A384" s="6" t="s">
        <v>224</v>
      </c>
      <c r="B384" s="21" t="s">
        <v>200</v>
      </c>
      <c r="C384" s="21" t="s">
        <v>201</v>
      </c>
      <c r="D384" s="21" t="s">
        <v>202</v>
      </c>
      <c r="E384" s="17">
        <v>1.0</v>
      </c>
      <c r="F384" s="18">
        <v>0.0</v>
      </c>
      <c r="G384" s="18">
        <v>0.0</v>
      </c>
      <c r="H384" s="10">
        <v>1.0</v>
      </c>
      <c r="I384" s="19">
        <v>5.0</v>
      </c>
      <c r="J384" s="12"/>
      <c r="K384" s="12">
        <f t="shared" si="17"/>
        <v>1750</v>
      </c>
      <c r="L384" s="13" t="str">
        <f t="shared" si="19"/>
        <v>1 5-star + 0 RFC + 0 DME + 1 Patient Portal Login + 5 Completed Task</v>
      </c>
      <c r="M384" s="14"/>
      <c r="N384" s="14"/>
      <c r="O384" s="23"/>
      <c r="P384" s="23"/>
    </row>
    <row r="385" hidden="1">
      <c r="A385" s="6" t="s">
        <v>225</v>
      </c>
      <c r="B385" s="16" t="s">
        <v>207</v>
      </c>
      <c r="C385" s="16" t="s">
        <v>208</v>
      </c>
      <c r="D385" s="16" t="s">
        <v>209</v>
      </c>
      <c r="E385" s="17">
        <v>1.0</v>
      </c>
      <c r="F385" s="18">
        <v>4.0</v>
      </c>
      <c r="G385" s="18">
        <v>5.0</v>
      </c>
      <c r="H385" s="10">
        <v>9.0</v>
      </c>
      <c r="I385" s="19">
        <v>5.0</v>
      </c>
      <c r="J385" s="12"/>
      <c r="K385" s="12">
        <f t="shared" si="17"/>
        <v>6000</v>
      </c>
      <c r="L385" s="13" t="str">
        <f t="shared" si="19"/>
        <v>1 5-star + 4 RFC + 5 DME + 9 Patient Portal Login + 5 Completed Task</v>
      </c>
      <c r="M385" s="14"/>
      <c r="N385" s="14"/>
      <c r="O385" s="14"/>
      <c r="P385" s="14"/>
    </row>
    <row r="386" hidden="1">
      <c r="A386" s="6" t="s">
        <v>225</v>
      </c>
      <c r="B386" s="16" t="s">
        <v>210</v>
      </c>
      <c r="C386" s="16" t="s">
        <v>211</v>
      </c>
      <c r="D386" s="16" t="s">
        <v>212</v>
      </c>
      <c r="E386" s="17">
        <v>0.0</v>
      </c>
      <c r="F386" s="18">
        <v>0.0</v>
      </c>
      <c r="G386" s="18">
        <v>0.0</v>
      </c>
      <c r="H386" s="10">
        <v>0.0</v>
      </c>
      <c r="I386" s="19">
        <v>5.0</v>
      </c>
      <c r="J386" s="12"/>
      <c r="K386" s="12">
        <f t="shared" si="17"/>
        <v>1250</v>
      </c>
      <c r="L386" s="13" t="str">
        <f t="shared" si="19"/>
        <v>0 5-star + 0 RFC + 0 DME + 0 Patient Portal Login + 5 Completed Task</v>
      </c>
      <c r="M386" s="14"/>
      <c r="N386" s="14"/>
      <c r="O386" s="14"/>
      <c r="P386" s="14"/>
    </row>
    <row r="387" hidden="1">
      <c r="A387" s="6" t="s">
        <v>225</v>
      </c>
      <c r="B387" s="16" t="s">
        <v>213</v>
      </c>
      <c r="C387" s="16" t="s">
        <v>214</v>
      </c>
      <c r="D387" s="16" t="s">
        <v>215</v>
      </c>
      <c r="E387" s="17">
        <v>0.0</v>
      </c>
      <c r="F387" s="18">
        <v>2.0</v>
      </c>
      <c r="G387" s="18">
        <v>0.0</v>
      </c>
      <c r="H387" s="10">
        <v>8.0</v>
      </c>
      <c r="I387" s="19">
        <v>5.0</v>
      </c>
      <c r="J387" s="12"/>
      <c r="K387" s="12">
        <f t="shared" si="17"/>
        <v>3750</v>
      </c>
      <c r="L387" s="13" t="str">
        <f t="shared" si="19"/>
        <v>0 5-star + 2 RFC + 0 DME + 8 Patient Portal Login + 5 Completed Task</v>
      </c>
      <c r="M387" s="14"/>
      <c r="N387" s="14"/>
      <c r="O387" s="14"/>
      <c r="P387" s="14"/>
    </row>
    <row r="388" hidden="1">
      <c r="A388" s="6" t="s">
        <v>225</v>
      </c>
      <c r="B388" s="16" t="s">
        <v>216</v>
      </c>
      <c r="C388" s="16" t="s">
        <v>217</v>
      </c>
      <c r="D388" s="16" t="s">
        <v>218</v>
      </c>
      <c r="E388" s="17">
        <v>0.0</v>
      </c>
      <c r="F388" s="18">
        <v>1.0</v>
      </c>
      <c r="G388" s="18">
        <v>0.0</v>
      </c>
      <c r="H388" s="10">
        <v>19.0</v>
      </c>
      <c r="I388" s="19">
        <v>5.0</v>
      </c>
      <c r="J388" s="12"/>
      <c r="K388" s="12">
        <f t="shared" si="17"/>
        <v>6250</v>
      </c>
      <c r="L388" s="13" t="str">
        <f t="shared" si="19"/>
        <v>0 5-star + 1 RFC + 0 DME + 19 Patient Portal Login + 5 Completed Task</v>
      </c>
      <c r="M388" s="14"/>
      <c r="N388" s="14"/>
      <c r="O388" s="14"/>
      <c r="P388" s="14"/>
    </row>
    <row r="389" hidden="1">
      <c r="A389" s="6" t="s">
        <v>225</v>
      </c>
      <c r="B389" s="7" t="s">
        <v>219</v>
      </c>
      <c r="C389" s="7" t="s">
        <v>220</v>
      </c>
      <c r="D389" s="7" t="s">
        <v>221</v>
      </c>
      <c r="E389" s="17">
        <v>0.0</v>
      </c>
      <c r="F389" s="18">
        <v>1.0</v>
      </c>
      <c r="G389" s="18">
        <v>0.0</v>
      </c>
      <c r="H389" s="10">
        <v>1.0</v>
      </c>
      <c r="I389" s="19">
        <v>0.0</v>
      </c>
      <c r="J389" s="12"/>
      <c r="K389" s="12">
        <f>sum(E389*250)+(F389*500)+(G389*250)+(H389*250)+(I389*250)</f>
        <v>750</v>
      </c>
      <c r="L389" s="13" t="str">
        <f t="shared" si="19"/>
        <v>0 5-star + 1 RFC + 0 DME + 1 Patient Portal Login + 0 Completed Task</v>
      </c>
      <c r="M389" s="14"/>
      <c r="N389" s="14"/>
      <c r="O389" s="14"/>
      <c r="P389" s="14"/>
    </row>
    <row r="390" hidden="1">
      <c r="A390" s="6" t="s">
        <v>225</v>
      </c>
      <c r="B390" s="16" t="s">
        <v>41</v>
      </c>
      <c r="C390" s="16" t="s">
        <v>42</v>
      </c>
      <c r="D390" s="16" t="s">
        <v>43</v>
      </c>
      <c r="E390" s="17">
        <v>2.0</v>
      </c>
      <c r="F390" s="18">
        <v>0.0</v>
      </c>
      <c r="G390" s="18">
        <v>1.0</v>
      </c>
      <c r="H390" s="10">
        <v>5.0</v>
      </c>
      <c r="I390" s="19">
        <v>5.0</v>
      </c>
      <c r="J390" s="12"/>
      <c r="K390" s="12">
        <f t="shared" ref="K390:K432" si="20">sum(E390*250)+(F390*250)+(G390*250)+(H390*250)+(I390*250)</f>
        <v>3250</v>
      </c>
      <c r="L390" s="13" t="str">
        <f t="shared" si="19"/>
        <v>2 5-star + 0 RFC + 1 DME + 5 Patient Portal Login + 5 Completed Task</v>
      </c>
      <c r="M390" s="14"/>
      <c r="N390" s="14"/>
      <c r="O390" s="14"/>
      <c r="P390" s="14"/>
    </row>
    <row r="391" hidden="1">
      <c r="A391" s="6" t="s">
        <v>225</v>
      </c>
      <c r="B391" s="16" t="s">
        <v>47</v>
      </c>
      <c r="C391" s="16" t="s">
        <v>48</v>
      </c>
      <c r="D391" s="16" t="s">
        <v>49</v>
      </c>
      <c r="E391" s="17">
        <v>0.0</v>
      </c>
      <c r="F391" s="18">
        <v>0.0</v>
      </c>
      <c r="G391" s="18">
        <v>0.0</v>
      </c>
      <c r="H391" s="10">
        <v>18.0</v>
      </c>
      <c r="I391" s="19">
        <v>4.0</v>
      </c>
      <c r="J391" s="12"/>
      <c r="K391" s="12">
        <f t="shared" si="20"/>
        <v>5500</v>
      </c>
      <c r="L391" s="13" t="str">
        <f t="shared" si="19"/>
        <v>0 5-star + 0 RFC + 0 DME + 18 Patient Portal Login + 4 Completed Task</v>
      </c>
      <c r="M391" s="14"/>
      <c r="N391" s="14"/>
      <c r="O391" s="14"/>
      <c r="P391" s="14"/>
    </row>
    <row r="392" hidden="1">
      <c r="A392" s="6" t="s">
        <v>225</v>
      </c>
      <c r="B392" s="16" t="s">
        <v>50</v>
      </c>
      <c r="C392" s="16" t="s">
        <v>51</v>
      </c>
      <c r="D392" s="16" t="s">
        <v>52</v>
      </c>
      <c r="E392" s="17">
        <v>1.0</v>
      </c>
      <c r="F392" s="18">
        <v>1.0</v>
      </c>
      <c r="G392" s="18">
        <v>1.0</v>
      </c>
      <c r="H392" s="10">
        <v>7.0</v>
      </c>
      <c r="I392" s="19">
        <v>5.0</v>
      </c>
      <c r="J392" s="12"/>
      <c r="K392" s="12">
        <f t="shared" si="20"/>
        <v>3750</v>
      </c>
      <c r="L392" s="13" t="str">
        <f t="shared" si="19"/>
        <v>1 5-star + 1 RFC + 1 DME + 7 Patient Portal Login + 5 Completed Task</v>
      </c>
      <c r="M392" s="14"/>
      <c r="N392" s="14"/>
      <c r="O392" s="14"/>
      <c r="P392" s="14"/>
    </row>
    <row r="393" hidden="1">
      <c r="A393" s="6" t="s">
        <v>225</v>
      </c>
      <c r="B393" s="16" t="s">
        <v>53</v>
      </c>
      <c r="C393" s="16" t="s">
        <v>54</v>
      </c>
      <c r="D393" s="16" t="s">
        <v>55</v>
      </c>
      <c r="E393" s="17">
        <v>0.0</v>
      </c>
      <c r="F393" s="18">
        <v>3.0</v>
      </c>
      <c r="G393" s="18">
        <v>1.0</v>
      </c>
      <c r="H393" s="10">
        <v>5.0</v>
      </c>
      <c r="I393" s="19">
        <v>5.0</v>
      </c>
      <c r="J393" s="12"/>
      <c r="K393" s="12">
        <f t="shared" si="20"/>
        <v>3500</v>
      </c>
      <c r="L393" s="13" t="str">
        <f t="shared" si="19"/>
        <v>0 5-star + 3 RFC + 1 DME + 5 Patient Portal Login + 5 Completed Task</v>
      </c>
      <c r="M393" s="14"/>
      <c r="N393" s="14"/>
      <c r="O393" s="14"/>
      <c r="P393" s="14"/>
    </row>
    <row r="394" hidden="1">
      <c r="A394" s="6" t="s">
        <v>225</v>
      </c>
      <c r="B394" s="16" t="s">
        <v>56</v>
      </c>
      <c r="C394" s="16" t="s">
        <v>57</v>
      </c>
      <c r="D394" s="16" t="s">
        <v>58</v>
      </c>
      <c r="E394" s="17">
        <v>0.0</v>
      </c>
      <c r="F394" s="18">
        <v>3.0</v>
      </c>
      <c r="G394" s="18">
        <v>0.0</v>
      </c>
      <c r="H394" s="10">
        <v>0.0</v>
      </c>
      <c r="I394" s="19">
        <v>5.0</v>
      </c>
      <c r="J394" s="12"/>
      <c r="K394" s="12">
        <f t="shared" si="20"/>
        <v>2000</v>
      </c>
      <c r="L394" s="13" t="str">
        <f t="shared" si="19"/>
        <v>0 5-star + 3 RFC + 0 DME + 0 Patient Portal Login + 5 Completed Task</v>
      </c>
      <c r="M394" s="14"/>
      <c r="N394" s="14"/>
      <c r="O394" s="14"/>
      <c r="P394" s="14"/>
    </row>
    <row r="395" hidden="1">
      <c r="A395" s="6" t="s">
        <v>225</v>
      </c>
      <c r="B395" s="16" t="s">
        <v>62</v>
      </c>
      <c r="C395" s="16" t="s">
        <v>63</v>
      </c>
      <c r="D395" s="16" t="s">
        <v>64</v>
      </c>
      <c r="E395" s="17">
        <v>0.0</v>
      </c>
      <c r="F395" s="18">
        <v>1.0</v>
      </c>
      <c r="G395" s="18">
        <v>1.0</v>
      </c>
      <c r="H395" s="10">
        <v>3.0</v>
      </c>
      <c r="I395" s="19">
        <v>5.0</v>
      </c>
      <c r="J395" s="12"/>
      <c r="K395" s="12">
        <f t="shared" si="20"/>
        <v>2500</v>
      </c>
      <c r="L395" s="13" t="str">
        <f t="shared" si="19"/>
        <v>0 5-star + 1 RFC + 1 DME + 3 Patient Portal Login + 5 Completed Task</v>
      </c>
      <c r="M395" s="14"/>
      <c r="N395" s="14"/>
      <c r="O395" s="14"/>
      <c r="P395" s="14"/>
    </row>
    <row r="396" hidden="1">
      <c r="A396" s="6" t="s">
        <v>225</v>
      </c>
      <c r="B396" s="16" t="s">
        <v>65</v>
      </c>
      <c r="C396" s="16" t="s">
        <v>66</v>
      </c>
      <c r="D396" s="16" t="s">
        <v>67</v>
      </c>
      <c r="E396" s="17">
        <v>5.0</v>
      </c>
      <c r="F396" s="18">
        <v>0.0</v>
      </c>
      <c r="G396" s="18">
        <v>1.0</v>
      </c>
      <c r="H396" s="10">
        <v>8.0</v>
      </c>
      <c r="I396" s="19">
        <v>5.0</v>
      </c>
      <c r="J396" s="12"/>
      <c r="K396" s="12">
        <f t="shared" si="20"/>
        <v>4750</v>
      </c>
      <c r="L396" s="13" t="str">
        <f t="shared" si="19"/>
        <v>5 5-star + 0 RFC + 1 DME + 8 Patient Portal Login + 5 Completed Task</v>
      </c>
      <c r="M396" s="14"/>
      <c r="N396" s="14"/>
      <c r="O396" s="14"/>
      <c r="P396" s="14"/>
    </row>
    <row r="397" hidden="1">
      <c r="A397" s="6" t="s">
        <v>225</v>
      </c>
      <c r="B397" s="16" t="s">
        <v>68</v>
      </c>
      <c r="C397" s="16" t="s">
        <v>69</v>
      </c>
      <c r="D397" s="16" t="s">
        <v>70</v>
      </c>
      <c r="E397" s="17">
        <v>1.0</v>
      </c>
      <c r="F397" s="18">
        <v>4.0</v>
      </c>
      <c r="G397" s="18">
        <v>0.0</v>
      </c>
      <c r="H397" s="10">
        <v>0.0</v>
      </c>
      <c r="I397" s="19">
        <v>5.0</v>
      </c>
      <c r="J397" s="12"/>
      <c r="K397" s="12">
        <f t="shared" si="20"/>
        <v>2500</v>
      </c>
      <c r="L397" s="13" t="str">
        <f t="shared" si="19"/>
        <v>1 5-star + 4 RFC + 0 DME + 0 Patient Portal Login + 5 Completed Task</v>
      </c>
      <c r="M397" s="14"/>
      <c r="N397" s="14"/>
      <c r="O397" s="14"/>
      <c r="P397" s="14"/>
    </row>
    <row r="398" hidden="1">
      <c r="A398" s="6" t="s">
        <v>225</v>
      </c>
      <c r="B398" s="16" t="s">
        <v>71</v>
      </c>
      <c r="C398" s="16" t="s">
        <v>72</v>
      </c>
      <c r="D398" s="16" t="s">
        <v>73</v>
      </c>
      <c r="E398" s="17">
        <v>1.0</v>
      </c>
      <c r="F398" s="18">
        <v>3.0</v>
      </c>
      <c r="G398" s="18">
        <v>2.0</v>
      </c>
      <c r="H398" s="10">
        <v>16.0</v>
      </c>
      <c r="I398" s="19">
        <v>5.0</v>
      </c>
      <c r="J398" s="12"/>
      <c r="K398" s="12">
        <f t="shared" si="20"/>
        <v>6750</v>
      </c>
      <c r="L398" s="13" t="str">
        <f t="shared" si="19"/>
        <v>1 5-star + 3 RFC + 2 DME + 16 Patient Portal Login + 5 Completed Task</v>
      </c>
      <c r="M398" s="14"/>
      <c r="N398" s="14"/>
      <c r="O398" s="14"/>
      <c r="P398" s="14"/>
    </row>
    <row r="399" hidden="1">
      <c r="A399" s="6" t="s">
        <v>225</v>
      </c>
      <c r="B399" s="16" t="s">
        <v>74</v>
      </c>
      <c r="C399" s="16" t="s">
        <v>75</v>
      </c>
      <c r="D399" s="16" t="s">
        <v>76</v>
      </c>
      <c r="E399" s="17">
        <v>0.0</v>
      </c>
      <c r="F399" s="18">
        <v>0.0</v>
      </c>
      <c r="G399" s="18">
        <v>0.0</v>
      </c>
      <c r="H399" s="10">
        <v>24.0</v>
      </c>
      <c r="I399" s="19">
        <v>5.0</v>
      </c>
      <c r="J399" s="12"/>
      <c r="K399" s="12">
        <f t="shared" si="20"/>
        <v>7250</v>
      </c>
      <c r="L399" s="13" t="str">
        <f t="shared" si="19"/>
        <v>0 5-star + 0 RFC + 0 DME + 24 Patient Portal Login + 5 Completed Task</v>
      </c>
      <c r="M399" s="14"/>
      <c r="N399" s="14"/>
      <c r="O399" s="14"/>
      <c r="P399" s="14"/>
    </row>
    <row r="400" hidden="1">
      <c r="A400" s="6" t="s">
        <v>225</v>
      </c>
      <c r="B400" s="16" t="s">
        <v>80</v>
      </c>
      <c r="C400" s="16" t="s">
        <v>81</v>
      </c>
      <c r="D400" s="16" t="s">
        <v>82</v>
      </c>
      <c r="E400" s="17">
        <v>0.0</v>
      </c>
      <c r="F400" s="18">
        <v>1.0</v>
      </c>
      <c r="G400" s="18">
        <v>1.0</v>
      </c>
      <c r="H400" s="10">
        <v>4.0</v>
      </c>
      <c r="I400" s="19">
        <v>5.0</v>
      </c>
      <c r="J400" s="12"/>
      <c r="K400" s="12">
        <f t="shared" si="20"/>
        <v>2750</v>
      </c>
      <c r="L400" s="13" t="str">
        <f t="shared" si="19"/>
        <v>0 5-star + 1 RFC + 1 DME + 4 Patient Portal Login + 5 Completed Task</v>
      </c>
      <c r="M400" s="14"/>
      <c r="N400" s="14"/>
      <c r="O400" s="14"/>
      <c r="P400" s="14"/>
    </row>
    <row r="401" hidden="1">
      <c r="A401" s="6" t="s">
        <v>225</v>
      </c>
      <c r="B401" s="16" t="s">
        <v>86</v>
      </c>
      <c r="C401" s="16" t="s">
        <v>87</v>
      </c>
      <c r="D401" s="16" t="s">
        <v>88</v>
      </c>
      <c r="E401" s="17">
        <v>2.0</v>
      </c>
      <c r="F401" s="18">
        <v>6.0</v>
      </c>
      <c r="G401" s="18">
        <v>0.0</v>
      </c>
      <c r="H401" s="10">
        <v>2.0</v>
      </c>
      <c r="I401" s="19">
        <v>5.0</v>
      </c>
      <c r="J401" s="12"/>
      <c r="K401" s="12">
        <f t="shared" si="20"/>
        <v>3750</v>
      </c>
      <c r="L401" s="13" t="str">
        <f t="shared" si="19"/>
        <v>2 5-star + 6 RFC + 0 DME + 2 Patient Portal Login + 5 Completed Task</v>
      </c>
      <c r="M401" s="14"/>
      <c r="N401" s="14"/>
      <c r="O401" s="14"/>
      <c r="P401" s="14"/>
    </row>
    <row r="402" hidden="1">
      <c r="A402" s="6" t="s">
        <v>225</v>
      </c>
      <c r="B402" s="16" t="s">
        <v>92</v>
      </c>
      <c r="C402" s="16" t="s">
        <v>93</v>
      </c>
      <c r="D402" s="16" t="s">
        <v>94</v>
      </c>
      <c r="E402" s="17">
        <v>0.0</v>
      </c>
      <c r="F402" s="18">
        <v>0.0</v>
      </c>
      <c r="G402" s="18">
        <v>0.0</v>
      </c>
      <c r="H402" s="10">
        <v>18.0</v>
      </c>
      <c r="I402" s="19">
        <v>4.0</v>
      </c>
      <c r="J402" s="12"/>
      <c r="K402" s="12">
        <f t="shared" si="20"/>
        <v>5500</v>
      </c>
      <c r="L402" s="13" t="str">
        <f t="shared" si="19"/>
        <v>0 5-star + 0 RFC + 0 DME + 18 Patient Portal Login + 4 Completed Task</v>
      </c>
      <c r="M402" s="14"/>
      <c r="N402" s="14"/>
      <c r="O402" s="14"/>
      <c r="P402" s="14"/>
    </row>
    <row r="403" hidden="1">
      <c r="A403" s="6" t="s">
        <v>225</v>
      </c>
      <c r="B403" s="16" t="s">
        <v>95</v>
      </c>
      <c r="C403" s="16" t="s">
        <v>96</v>
      </c>
      <c r="D403" s="16" t="s">
        <v>97</v>
      </c>
      <c r="E403" s="17">
        <v>0.0</v>
      </c>
      <c r="F403" s="18">
        <v>1.0</v>
      </c>
      <c r="G403" s="18">
        <v>0.0</v>
      </c>
      <c r="H403" s="10">
        <v>5.0</v>
      </c>
      <c r="I403" s="19">
        <v>5.0</v>
      </c>
      <c r="J403" s="12"/>
      <c r="K403" s="12">
        <f t="shared" si="20"/>
        <v>2750</v>
      </c>
      <c r="L403" s="13" t="str">
        <f t="shared" si="19"/>
        <v>0 5-star + 1 RFC + 0 DME + 5 Patient Portal Login + 5 Completed Task</v>
      </c>
      <c r="M403" s="14"/>
      <c r="N403" s="14"/>
      <c r="O403" s="14"/>
      <c r="P403" s="14"/>
    </row>
    <row r="404" hidden="1">
      <c r="A404" s="6" t="s">
        <v>225</v>
      </c>
      <c r="B404" s="16" t="s">
        <v>101</v>
      </c>
      <c r="C404" s="16" t="s">
        <v>102</v>
      </c>
      <c r="D404" s="16" t="s">
        <v>103</v>
      </c>
      <c r="E404" s="17">
        <v>0.0</v>
      </c>
      <c r="F404" s="18">
        <v>1.0</v>
      </c>
      <c r="G404" s="18">
        <v>0.0</v>
      </c>
      <c r="H404" s="10">
        <v>1.0</v>
      </c>
      <c r="I404" s="19">
        <v>2.0</v>
      </c>
      <c r="J404" s="12"/>
      <c r="K404" s="12">
        <f t="shared" si="20"/>
        <v>1000</v>
      </c>
      <c r="L404" s="13" t="str">
        <f t="shared" si="19"/>
        <v>0 5-star + 1 RFC + 0 DME + 1 Patient Portal Login + 2 Completed Task</v>
      </c>
      <c r="M404" s="14"/>
      <c r="N404" s="14"/>
      <c r="O404" s="14"/>
      <c r="P404" s="14"/>
    </row>
    <row r="405" hidden="1">
      <c r="A405" s="6" t="s">
        <v>225</v>
      </c>
      <c r="B405" s="16" t="s">
        <v>104</v>
      </c>
      <c r="C405" s="16" t="s">
        <v>105</v>
      </c>
      <c r="D405" s="16" t="s">
        <v>106</v>
      </c>
      <c r="E405" s="17">
        <v>0.0</v>
      </c>
      <c r="F405" s="18">
        <v>0.0</v>
      </c>
      <c r="G405" s="18">
        <v>0.0</v>
      </c>
      <c r="H405" s="10">
        <v>0.0</v>
      </c>
      <c r="I405" s="19">
        <v>4.0</v>
      </c>
      <c r="J405" s="12"/>
      <c r="K405" s="12">
        <f t="shared" si="20"/>
        <v>1000</v>
      </c>
      <c r="L405" s="13" t="str">
        <f t="shared" si="19"/>
        <v>0 5-star + 0 RFC + 0 DME + 0 Patient Portal Login + 4 Completed Task</v>
      </c>
      <c r="M405" s="14"/>
      <c r="N405" s="14"/>
      <c r="O405" s="14"/>
      <c r="P405" s="14"/>
    </row>
    <row r="406" hidden="1">
      <c r="A406" s="6" t="s">
        <v>225</v>
      </c>
      <c r="B406" s="16" t="s">
        <v>107</v>
      </c>
      <c r="C406" s="16" t="s">
        <v>108</v>
      </c>
      <c r="D406" s="16" t="s">
        <v>109</v>
      </c>
      <c r="E406" s="17">
        <v>0.0</v>
      </c>
      <c r="F406" s="18">
        <v>0.0</v>
      </c>
      <c r="G406" s="18">
        <v>0.0</v>
      </c>
      <c r="H406" s="10">
        <v>3.0</v>
      </c>
      <c r="I406" s="19">
        <v>5.0</v>
      </c>
      <c r="J406" s="12"/>
      <c r="K406" s="12">
        <f t="shared" si="20"/>
        <v>2000</v>
      </c>
      <c r="L406" s="13" t="str">
        <f t="shared" si="19"/>
        <v>0 5-star + 0 RFC + 0 DME + 3 Patient Portal Login + 5 Completed Task</v>
      </c>
      <c r="M406" s="14"/>
      <c r="N406" s="14"/>
      <c r="O406" s="14"/>
      <c r="P406" s="14"/>
    </row>
    <row r="407" hidden="1">
      <c r="A407" s="6" t="s">
        <v>225</v>
      </c>
      <c r="B407" s="16" t="s">
        <v>110</v>
      </c>
      <c r="C407" s="16" t="s">
        <v>111</v>
      </c>
      <c r="D407" s="16" t="s">
        <v>112</v>
      </c>
      <c r="E407" s="17">
        <v>1.0</v>
      </c>
      <c r="F407" s="18">
        <v>3.0</v>
      </c>
      <c r="G407" s="18">
        <v>0.0</v>
      </c>
      <c r="H407" s="10">
        <v>0.0</v>
      </c>
      <c r="I407" s="19">
        <v>5.0</v>
      </c>
      <c r="J407" s="12"/>
      <c r="K407" s="12">
        <f t="shared" si="20"/>
        <v>2250</v>
      </c>
      <c r="L407" s="13" t="str">
        <f t="shared" si="19"/>
        <v>1 5-star + 3 RFC + 0 DME + 0 Patient Portal Login + 5 Completed Task</v>
      </c>
      <c r="M407" s="14"/>
      <c r="N407" s="14"/>
      <c r="O407" s="14"/>
      <c r="P407" s="14"/>
    </row>
    <row r="408" hidden="1">
      <c r="A408" s="6" t="s">
        <v>225</v>
      </c>
      <c r="B408" s="16" t="s">
        <v>113</v>
      </c>
      <c r="C408" s="16" t="s">
        <v>114</v>
      </c>
      <c r="D408" s="16" t="s">
        <v>115</v>
      </c>
      <c r="E408" s="17">
        <v>1.0</v>
      </c>
      <c r="F408" s="18">
        <v>0.0</v>
      </c>
      <c r="G408" s="18">
        <v>0.0</v>
      </c>
      <c r="H408" s="10">
        <v>6.0</v>
      </c>
      <c r="I408" s="19">
        <v>5.0</v>
      </c>
      <c r="J408" s="12"/>
      <c r="K408" s="12">
        <f t="shared" si="20"/>
        <v>3000</v>
      </c>
      <c r="L408" s="13" t="str">
        <f t="shared" si="19"/>
        <v>1 5-star + 0 RFC + 0 DME + 6 Patient Portal Login + 5 Completed Task</v>
      </c>
      <c r="M408" s="14"/>
      <c r="N408" s="14"/>
      <c r="O408" s="14"/>
      <c r="P408" s="14"/>
    </row>
    <row r="409" hidden="1">
      <c r="A409" s="6" t="s">
        <v>225</v>
      </c>
      <c r="B409" s="16" t="s">
        <v>116</v>
      </c>
      <c r="C409" s="16" t="s">
        <v>117</v>
      </c>
      <c r="D409" s="16" t="s">
        <v>118</v>
      </c>
      <c r="E409" s="17">
        <v>0.0</v>
      </c>
      <c r="F409" s="18">
        <v>7.0</v>
      </c>
      <c r="G409" s="18">
        <v>3.0</v>
      </c>
      <c r="H409" s="10">
        <v>7.0</v>
      </c>
      <c r="I409" s="19">
        <v>5.0</v>
      </c>
      <c r="J409" s="12"/>
      <c r="K409" s="12">
        <f t="shared" si="20"/>
        <v>5500</v>
      </c>
      <c r="L409" s="13" t="str">
        <f t="shared" si="19"/>
        <v>0 5-star + 7 RFC + 3 DME + 7 Patient Portal Login + 5 Completed Task</v>
      </c>
      <c r="M409" s="14"/>
      <c r="N409" s="14"/>
      <c r="O409" s="14"/>
      <c r="P409" s="14"/>
    </row>
    <row r="410" hidden="1">
      <c r="A410" s="6" t="s">
        <v>225</v>
      </c>
      <c r="B410" s="16" t="s">
        <v>122</v>
      </c>
      <c r="C410" s="16" t="s">
        <v>123</v>
      </c>
      <c r="D410" s="16" t="s">
        <v>124</v>
      </c>
      <c r="E410" s="17">
        <v>0.0</v>
      </c>
      <c r="F410" s="18">
        <v>1.0</v>
      </c>
      <c r="G410" s="18">
        <v>0.0</v>
      </c>
      <c r="H410" s="10">
        <v>5.0</v>
      </c>
      <c r="I410" s="19">
        <v>5.0</v>
      </c>
      <c r="J410" s="12"/>
      <c r="K410" s="12">
        <f t="shared" si="20"/>
        <v>2750</v>
      </c>
      <c r="L410" s="13" t="str">
        <f t="shared" si="19"/>
        <v>0 5-star + 1 RFC + 0 DME + 5 Patient Portal Login + 5 Completed Task</v>
      </c>
      <c r="M410" s="14"/>
      <c r="N410" s="14"/>
      <c r="O410" s="14"/>
      <c r="P410" s="14"/>
    </row>
    <row r="411" hidden="1">
      <c r="A411" s="6" t="s">
        <v>225</v>
      </c>
      <c r="B411" s="16" t="s">
        <v>125</v>
      </c>
      <c r="C411" s="16" t="s">
        <v>126</v>
      </c>
      <c r="D411" s="16" t="s">
        <v>127</v>
      </c>
      <c r="E411" s="17">
        <v>1.0</v>
      </c>
      <c r="F411" s="18">
        <v>1.0</v>
      </c>
      <c r="G411" s="18">
        <v>1.0</v>
      </c>
      <c r="H411" s="10">
        <v>4.0</v>
      </c>
      <c r="I411" s="19">
        <v>5.0</v>
      </c>
      <c r="J411" s="12"/>
      <c r="K411" s="12">
        <f t="shared" si="20"/>
        <v>3000</v>
      </c>
      <c r="L411" s="13" t="str">
        <f t="shared" si="19"/>
        <v>1 5-star + 1 RFC + 1 DME + 4 Patient Portal Login + 5 Completed Task</v>
      </c>
      <c r="M411" s="14"/>
      <c r="N411" s="14"/>
      <c r="O411" s="14"/>
      <c r="P411" s="14"/>
    </row>
    <row r="412" hidden="1">
      <c r="A412" s="6" t="s">
        <v>225</v>
      </c>
      <c r="B412" s="16" t="s">
        <v>128</v>
      </c>
      <c r="C412" s="16" t="s">
        <v>129</v>
      </c>
      <c r="D412" s="16" t="s">
        <v>130</v>
      </c>
      <c r="E412" s="17">
        <v>0.0</v>
      </c>
      <c r="F412" s="18">
        <v>0.0</v>
      </c>
      <c r="G412" s="18">
        <v>0.0</v>
      </c>
      <c r="H412" s="10">
        <v>5.0</v>
      </c>
      <c r="I412" s="19">
        <v>5.0</v>
      </c>
      <c r="J412" s="12"/>
      <c r="K412" s="12">
        <f t="shared" si="20"/>
        <v>2500</v>
      </c>
      <c r="L412" s="13" t="str">
        <f t="shared" si="19"/>
        <v>0 5-star + 0 RFC + 0 DME + 5 Patient Portal Login + 5 Completed Task</v>
      </c>
      <c r="M412" s="14"/>
      <c r="N412" s="14"/>
      <c r="O412" s="14"/>
      <c r="P412" s="14"/>
    </row>
    <row r="413" hidden="1">
      <c r="A413" s="6" t="s">
        <v>225</v>
      </c>
      <c r="B413" s="16" t="s">
        <v>131</v>
      </c>
      <c r="C413" s="16" t="s">
        <v>132</v>
      </c>
      <c r="D413" s="16" t="s">
        <v>133</v>
      </c>
      <c r="E413" s="17">
        <v>5.0</v>
      </c>
      <c r="F413" s="18">
        <v>1.0</v>
      </c>
      <c r="G413" s="18">
        <v>1.0</v>
      </c>
      <c r="H413" s="10">
        <v>2.0</v>
      </c>
      <c r="I413" s="19">
        <v>5.0</v>
      </c>
      <c r="J413" s="12"/>
      <c r="K413" s="12">
        <f t="shared" si="20"/>
        <v>3500</v>
      </c>
      <c r="L413" s="13" t="str">
        <f t="shared" si="19"/>
        <v>5 5-star + 1 RFC + 1 DME + 2 Patient Portal Login + 5 Completed Task</v>
      </c>
      <c r="M413" s="14"/>
      <c r="N413" s="14"/>
      <c r="O413" s="14"/>
      <c r="P413" s="14"/>
    </row>
    <row r="414" hidden="1">
      <c r="A414" s="6" t="s">
        <v>225</v>
      </c>
      <c r="B414" s="16" t="s">
        <v>134</v>
      </c>
      <c r="C414" s="16" t="s">
        <v>135</v>
      </c>
      <c r="D414" s="16" t="s">
        <v>136</v>
      </c>
      <c r="E414" s="17">
        <v>16.0</v>
      </c>
      <c r="F414" s="18">
        <v>2.0</v>
      </c>
      <c r="G414" s="18">
        <v>0.0</v>
      </c>
      <c r="H414" s="10">
        <v>0.0</v>
      </c>
      <c r="I414" s="19">
        <v>5.0</v>
      </c>
      <c r="J414" s="12"/>
      <c r="K414" s="12">
        <f t="shared" si="20"/>
        <v>5750</v>
      </c>
      <c r="L414" s="13" t="str">
        <f t="shared" si="19"/>
        <v>16 5-star + 2 RFC + 0 DME + 0 Patient Portal Login + 5 Completed Task</v>
      </c>
      <c r="M414" s="14"/>
      <c r="N414" s="14"/>
      <c r="O414" s="14"/>
      <c r="P414" s="14"/>
    </row>
    <row r="415" hidden="1">
      <c r="A415" s="6" t="s">
        <v>225</v>
      </c>
      <c r="B415" s="16" t="s">
        <v>137</v>
      </c>
      <c r="C415" s="16" t="s">
        <v>138</v>
      </c>
      <c r="D415" s="16" t="s">
        <v>139</v>
      </c>
      <c r="E415" s="17">
        <v>0.0</v>
      </c>
      <c r="F415" s="18">
        <v>1.0</v>
      </c>
      <c r="G415" s="18">
        <v>0.0</v>
      </c>
      <c r="H415" s="10">
        <v>12.0</v>
      </c>
      <c r="I415" s="19">
        <v>5.0</v>
      </c>
      <c r="J415" s="12"/>
      <c r="K415" s="12">
        <f t="shared" si="20"/>
        <v>4500</v>
      </c>
      <c r="L415" s="13" t="str">
        <f t="shared" si="19"/>
        <v>0 5-star + 1 RFC + 0 DME + 12 Patient Portal Login + 5 Completed Task</v>
      </c>
      <c r="M415" s="14"/>
      <c r="N415" s="14"/>
      <c r="O415" s="14"/>
      <c r="P415" s="14"/>
    </row>
    <row r="416" hidden="1">
      <c r="A416" s="6" t="s">
        <v>225</v>
      </c>
      <c r="B416" s="16" t="s">
        <v>140</v>
      </c>
      <c r="C416" s="16" t="s">
        <v>141</v>
      </c>
      <c r="D416" s="16" t="s">
        <v>142</v>
      </c>
      <c r="E416" s="17">
        <v>19.0</v>
      </c>
      <c r="F416" s="18">
        <v>3.0</v>
      </c>
      <c r="G416" s="18">
        <v>0.0</v>
      </c>
      <c r="H416" s="10">
        <v>0.0</v>
      </c>
      <c r="I416" s="19">
        <v>5.0</v>
      </c>
      <c r="J416" s="12"/>
      <c r="K416" s="12">
        <f t="shared" si="20"/>
        <v>6750</v>
      </c>
      <c r="L416" s="13" t="str">
        <f t="shared" si="19"/>
        <v>19 5-star + 3 RFC + 0 DME + 0 Patient Portal Login + 5 Completed Task</v>
      </c>
      <c r="M416" s="14"/>
      <c r="N416" s="14"/>
      <c r="O416" s="14"/>
      <c r="P416" s="14"/>
    </row>
    <row r="417" hidden="1">
      <c r="A417" s="6" t="s">
        <v>225</v>
      </c>
      <c r="B417" s="16" t="s">
        <v>143</v>
      </c>
      <c r="C417" s="16" t="s">
        <v>144</v>
      </c>
      <c r="D417" s="16" t="s">
        <v>145</v>
      </c>
      <c r="E417" s="17">
        <v>0.0</v>
      </c>
      <c r="F417" s="18">
        <v>1.0</v>
      </c>
      <c r="G417" s="18">
        <v>4.0</v>
      </c>
      <c r="H417" s="10">
        <v>0.0</v>
      </c>
      <c r="I417" s="19">
        <v>3.0</v>
      </c>
      <c r="J417" s="12"/>
      <c r="K417" s="12">
        <f t="shared" si="20"/>
        <v>2000</v>
      </c>
      <c r="L417" s="13" t="str">
        <f t="shared" si="19"/>
        <v>0 5-star + 1 RFC + 4 DME + 0 Patient Portal Login + 3 Completed Task</v>
      </c>
      <c r="M417" s="14"/>
      <c r="N417" s="14"/>
      <c r="O417" s="14"/>
      <c r="P417" s="14"/>
    </row>
    <row r="418" hidden="1">
      <c r="A418" s="6" t="s">
        <v>225</v>
      </c>
      <c r="B418" s="16" t="s">
        <v>146</v>
      </c>
      <c r="C418" s="16" t="s">
        <v>147</v>
      </c>
      <c r="D418" s="16" t="s">
        <v>148</v>
      </c>
      <c r="E418" s="17">
        <v>2.0</v>
      </c>
      <c r="F418" s="18">
        <v>0.0</v>
      </c>
      <c r="G418" s="18">
        <v>1.0</v>
      </c>
      <c r="H418" s="10">
        <v>0.0</v>
      </c>
      <c r="I418" s="19">
        <v>5.0</v>
      </c>
      <c r="J418" s="12"/>
      <c r="K418" s="12">
        <f t="shared" si="20"/>
        <v>2000</v>
      </c>
      <c r="L418" s="13" t="str">
        <f t="shared" si="19"/>
        <v>2 5-star + 0 RFC + 1 DME + 0 Patient Portal Login + 5 Completed Task</v>
      </c>
      <c r="M418" s="14"/>
      <c r="N418" s="14"/>
      <c r="O418" s="14"/>
      <c r="P418" s="14"/>
    </row>
    <row r="419" hidden="1">
      <c r="A419" s="6" t="s">
        <v>225</v>
      </c>
      <c r="B419" s="16" t="s">
        <v>149</v>
      </c>
      <c r="C419" s="16" t="s">
        <v>150</v>
      </c>
      <c r="D419" s="16" t="s">
        <v>151</v>
      </c>
      <c r="E419" s="17">
        <v>0.0</v>
      </c>
      <c r="F419" s="18">
        <v>5.0</v>
      </c>
      <c r="G419" s="18">
        <v>1.0</v>
      </c>
      <c r="H419" s="10">
        <v>1.0</v>
      </c>
      <c r="I419" s="19">
        <v>5.0</v>
      </c>
      <c r="J419" s="12"/>
      <c r="K419" s="12">
        <f t="shared" si="20"/>
        <v>3000</v>
      </c>
      <c r="L419" s="13" t="str">
        <f t="shared" si="19"/>
        <v>0 5-star + 5 RFC + 1 DME + 1 Patient Portal Login + 5 Completed Task</v>
      </c>
      <c r="M419" s="14"/>
      <c r="N419" s="14"/>
      <c r="O419" s="14"/>
      <c r="P419" s="14"/>
    </row>
    <row r="420" hidden="1">
      <c r="A420" s="6" t="s">
        <v>225</v>
      </c>
      <c r="B420" s="16" t="s">
        <v>152</v>
      </c>
      <c r="C420" s="16" t="s">
        <v>153</v>
      </c>
      <c r="D420" s="16" t="s">
        <v>154</v>
      </c>
      <c r="E420" s="17">
        <v>1.0</v>
      </c>
      <c r="F420" s="18">
        <v>0.0</v>
      </c>
      <c r="G420" s="18">
        <v>1.0</v>
      </c>
      <c r="H420" s="10">
        <v>10.0</v>
      </c>
      <c r="I420" s="19">
        <v>5.0</v>
      </c>
      <c r="J420" s="12"/>
      <c r="K420" s="12">
        <f t="shared" si="20"/>
        <v>4250</v>
      </c>
      <c r="L420" s="13" t="str">
        <f t="shared" si="19"/>
        <v>1 5-star + 0 RFC + 1 DME + 10 Patient Portal Login + 5 Completed Task</v>
      </c>
      <c r="M420" s="14"/>
      <c r="N420" s="14"/>
      <c r="O420" s="14"/>
      <c r="P420" s="14"/>
    </row>
    <row r="421" hidden="1">
      <c r="A421" s="6" t="s">
        <v>225</v>
      </c>
      <c r="B421" s="16" t="s">
        <v>155</v>
      </c>
      <c r="C421" s="16" t="s">
        <v>156</v>
      </c>
      <c r="D421" s="16" t="s">
        <v>157</v>
      </c>
      <c r="E421" s="17">
        <v>23.0</v>
      </c>
      <c r="F421" s="18">
        <v>0.0</v>
      </c>
      <c r="G421" s="18">
        <v>0.0</v>
      </c>
      <c r="H421" s="10">
        <v>5.0</v>
      </c>
      <c r="I421" s="19">
        <v>5.0</v>
      </c>
      <c r="J421" s="12"/>
      <c r="K421" s="12">
        <f t="shared" si="20"/>
        <v>8250</v>
      </c>
      <c r="L421" s="13" t="str">
        <f t="shared" si="19"/>
        <v>23 5-star + 0 RFC + 0 DME + 5 Patient Portal Login + 5 Completed Task</v>
      </c>
      <c r="M421" s="14"/>
      <c r="N421" s="14"/>
      <c r="O421" s="14"/>
      <c r="P421" s="14"/>
    </row>
    <row r="422" hidden="1">
      <c r="A422" s="6" t="s">
        <v>225</v>
      </c>
      <c r="B422" s="16" t="s">
        <v>158</v>
      </c>
      <c r="C422" s="16" t="s">
        <v>159</v>
      </c>
      <c r="D422" s="16" t="s">
        <v>160</v>
      </c>
      <c r="E422" s="17">
        <v>2.0</v>
      </c>
      <c r="F422" s="18">
        <v>1.0</v>
      </c>
      <c r="G422" s="18">
        <v>0.0</v>
      </c>
      <c r="H422" s="10">
        <v>9.0</v>
      </c>
      <c r="I422" s="19">
        <v>5.0</v>
      </c>
      <c r="J422" s="12"/>
      <c r="K422" s="12">
        <f t="shared" si="20"/>
        <v>4250</v>
      </c>
      <c r="L422" s="13" t="str">
        <f t="shared" si="19"/>
        <v>2 5-star + 1 RFC + 0 DME + 9 Patient Portal Login + 5 Completed Task</v>
      </c>
      <c r="M422" s="14"/>
      <c r="N422" s="14"/>
      <c r="O422" s="14"/>
      <c r="P422" s="14"/>
    </row>
    <row r="423" hidden="1">
      <c r="A423" s="6" t="s">
        <v>225</v>
      </c>
      <c r="B423" s="20" t="s">
        <v>161</v>
      </c>
      <c r="C423" s="20" t="s">
        <v>162</v>
      </c>
      <c r="D423" s="20" t="s">
        <v>163</v>
      </c>
      <c r="E423" s="17">
        <v>0.0</v>
      </c>
      <c r="F423" s="18">
        <v>1.0</v>
      </c>
      <c r="G423" s="18">
        <v>0.0</v>
      </c>
      <c r="H423" s="10">
        <v>0.0</v>
      </c>
      <c r="I423" s="19">
        <v>4.0</v>
      </c>
      <c r="J423" s="12"/>
      <c r="K423" s="12">
        <f t="shared" si="20"/>
        <v>1250</v>
      </c>
      <c r="L423" s="13" t="str">
        <f> E423 &amp; " 5-star + " &amp; E410 &amp; " RFC + " &amp; G423 &amp; " DME + " &amp; H423 &amp; " Patient Portal Login + " &amp; I423 &amp; " Completed Task"
</f>
        <v>0 5-star + 0 RFC + 0 DME + 0 Patient Portal Login + 4 Completed Task</v>
      </c>
      <c r="M423" s="14"/>
      <c r="N423" s="14"/>
      <c r="O423" s="14"/>
      <c r="P423" s="14"/>
    </row>
    <row r="424" hidden="1">
      <c r="A424" s="6" t="s">
        <v>225</v>
      </c>
      <c r="B424" s="20" t="s">
        <v>167</v>
      </c>
      <c r="C424" s="20" t="s">
        <v>168</v>
      </c>
      <c r="D424" s="20" t="s">
        <v>169</v>
      </c>
      <c r="E424" s="17">
        <v>0.0</v>
      </c>
      <c r="F424" s="18">
        <v>0.0</v>
      </c>
      <c r="G424" s="18">
        <v>0.0</v>
      </c>
      <c r="H424" s="10">
        <v>5.0</v>
      </c>
      <c r="I424" s="19">
        <v>5.0</v>
      </c>
      <c r="J424" s="12"/>
      <c r="K424" s="12">
        <f t="shared" si="20"/>
        <v>2500</v>
      </c>
      <c r="L424" s="13" t="str">
        <f t="shared" ref="L424:L486" si="21"> E424 &amp; " 5-star + " &amp; F424 &amp; " RFC + " &amp; G424 &amp; " DME + " &amp; H424 &amp; " Patient Portal Login + " &amp; I424 &amp; " Completed Task"
</f>
        <v>0 5-star + 0 RFC + 0 DME + 5 Patient Portal Login + 5 Completed Task</v>
      </c>
      <c r="M424" s="14"/>
      <c r="N424" s="14"/>
      <c r="O424" s="14"/>
      <c r="P424" s="14"/>
    </row>
    <row r="425" hidden="1">
      <c r="A425" s="6" t="s">
        <v>225</v>
      </c>
      <c r="B425" s="20" t="s">
        <v>222</v>
      </c>
      <c r="C425" s="20" t="s">
        <v>171</v>
      </c>
      <c r="D425" s="20" t="s">
        <v>172</v>
      </c>
      <c r="E425" s="17">
        <v>2.0</v>
      </c>
      <c r="F425" s="18">
        <v>3.0</v>
      </c>
      <c r="G425" s="18">
        <v>2.0</v>
      </c>
      <c r="H425" s="26">
        <v>15.0</v>
      </c>
      <c r="I425" s="19">
        <v>5.0</v>
      </c>
      <c r="J425" s="12"/>
      <c r="K425" s="12">
        <f t="shared" si="20"/>
        <v>6750</v>
      </c>
      <c r="L425" s="13" t="str">
        <f t="shared" si="21"/>
        <v>2 5-star + 3 RFC + 2 DME + 15 Patient Portal Login + 5 Completed Task</v>
      </c>
      <c r="M425" s="34">
        <v>3000.0</v>
      </c>
      <c r="N425" s="14"/>
      <c r="O425" s="14"/>
      <c r="P425" s="14"/>
    </row>
    <row r="426" hidden="1">
      <c r="A426" s="6" t="s">
        <v>225</v>
      </c>
      <c r="B426" s="16" t="s">
        <v>173</v>
      </c>
      <c r="C426" s="16" t="s">
        <v>174</v>
      </c>
      <c r="D426" s="16" t="s">
        <v>175</v>
      </c>
      <c r="E426" s="17">
        <v>2.0</v>
      </c>
      <c r="F426" s="18">
        <v>2.0</v>
      </c>
      <c r="G426" s="18">
        <v>1.0</v>
      </c>
      <c r="H426" s="10">
        <v>6.0</v>
      </c>
      <c r="I426" s="19">
        <v>5.0</v>
      </c>
      <c r="J426" s="12"/>
      <c r="K426" s="12">
        <f t="shared" si="20"/>
        <v>4000</v>
      </c>
      <c r="L426" s="13" t="str">
        <f t="shared" si="21"/>
        <v>2 5-star + 2 RFC + 1 DME + 6 Patient Portal Login + 5 Completed Task</v>
      </c>
      <c r="M426" s="14"/>
      <c r="N426" s="14"/>
      <c r="O426" s="14"/>
      <c r="P426" s="14"/>
    </row>
    <row r="427" hidden="1">
      <c r="A427" s="6" t="s">
        <v>225</v>
      </c>
      <c r="B427" s="16" t="s">
        <v>176</v>
      </c>
      <c r="C427" s="16" t="s">
        <v>177</v>
      </c>
      <c r="D427" s="16" t="s">
        <v>178</v>
      </c>
      <c r="E427" s="17">
        <v>0.0</v>
      </c>
      <c r="F427" s="18">
        <v>0.0</v>
      </c>
      <c r="G427" s="18">
        <v>1.0</v>
      </c>
      <c r="H427" s="10">
        <v>2.0</v>
      </c>
      <c r="I427" s="19">
        <v>4.0</v>
      </c>
      <c r="J427" s="12"/>
      <c r="K427" s="12">
        <f t="shared" si="20"/>
        <v>1750</v>
      </c>
      <c r="L427" s="13" t="str">
        <f t="shared" si="21"/>
        <v>0 5-star + 0 RFC + 1 DME + 2 Patient Portal Login + 4 Completed Task</v>
      </c>
      <c r="M427" s="14"/>
      <c r="N427" s="14"/>
      <c r="O427" s="14"/>
      <c r="P427" s="14"/>
    </row>
    <row r="428" hidden="1">
      <c r="A428" s="6" t="s">
        <v>225</v>
      </c>
      <c r="B428" s="21" t="s">
        <v>179</v>
      </c>
      <c r="C428" s="21" t="s">
        <v>180</v>
      </c>
      <c r="D428" s="21" t="s">
        <v>181</v>
      </c>
      <c r="E428" s="17">
        <v>1.0</v>
      </c>
      <c r="F428" s="18">
        <v>0.0</v>
      </c>
      <c r="G428" s="18">
        <v>4.0</v>
      </c>
      <c r="H428" s="10">
        <v>16.0</v>
      </c>
      <c r="I428" s="19">
        <v>5.0</v>
      </c>
      <c r="J428" s="12"/>
      <c r="K428" s="12">
        <f t="shared" si="20"/>
        <v>6500</v>
      </c>
      <c r="L428" s="13" t="str">
        <f t="shared" si="21"/>
        <v>1 5-star + 0 RFC + 4 DME + 16 Patient Portal Login + 5 Completed Task</v>
      </c>
      <c r="M428" s="14"/>
      <c r="N428" s="14"/>
      <c r="O428" s="23"/>
      <c r="P428" s="23"/>
    </row>
    <row r="429" hidden="1">
      <c r="A429" s="6" t="s">
        <v>225</v>
      </c>
      <c r="B429" s="21" t="s">
        <v>182</v>
      </c>
      <c r="C429" s="21" t="s">
        <v>183</v>
      </c>
      <c r="D429" s="21" t="s">
        <v>184</v>
      </c>
      <c r="E429" s="17">
        <v>1.0</v>
      </c>
      <c r="F429" s="18">
        <v>0.0</v>
      </c>
      <c r="G429" s="18">
        <v>0.0</v>
      </c>
      <c r="H429" s="10">
        <v>0.0</v>
      </c>
      <c r="I429" s="19">
        <v>5.0</v>
      </c>
      <c r="J429" s="12"/>
      <c r="K429" s="12">
        <f t="shared" si="20"/>
        <v>1500</v>
      </c>
      <c r="L429" s="13" t="str">
        <f t="shared" si="21"/>
        <v>1 5-star + 0 RFC + 0 DME + 0 Patient Portal Login + 5 Completed Task</v>
      </c>
      <c r="M429" s="14"/>
      <c r="N429" s="14"/>
      <c r="O429" s="23"/>
      <c r="P429" s="23"/>
    </row>
    <row r="430" hidden="1">
      <c r="A430" s="6" t="s">
        <v>225</v>
      </c>
      <c r="B430" s="21" t="s">
        <v>185</v>
      </c>
      <c r="C430" s="21" t="s">
        <v>186</v>
      </c>
      <c r="D430" s="21" t="s">
        <v>187</v>
      </c>
      <c r="E430" s="17">
        <v>24.0</v>
      </c>
      <c r="F430" s="18">
        <v>1.0</v>
      </c>
      <c r="G430" s="18">
        <v>1.0</v>
      </c>
      <c r="H430" s="10">
        <v>5.0</v>
      </c>
      <c r="I430" s="19">
        <v>5.0</v>
      </c>
      <c r="J430" s="12"/>
      <c r="K430" s="12">
        <f t="shared" si="20"/>
        <v>9000</v>
      </c>
      <c r="L430" s="13" t="str">
        <f t="shared" si="21"/>
        <v>24 5-star + 1 RFC + 1 DME + 5 Patient Portal Login + 5 Completed Task</v>
      </c>
      <c r="M430" s="14"/>
      <c r="N430" s="14"/>
      <c r="O430" s="23"/>
      <c r="P430" s="23"/>
    </row>
    <row r="431" hidden="1">
      <c r="A431" s="6" t="s">
        <v>225</v>
      </c>
      <c r="B431" s="21" t="s">
        <v>188</v>
      </c>
      <c r="C431" s="21" t="s">
        <v>189</v>
      </c>
      <c r="D431" s="21" t="s">
        <v>190</v>
      </c>
      <c r="E431" s="17">
        <v>3.0</v>
      </c>
      <c r="F431" s="18">
        <v>4.0</v>
      </c>
      <c r="G431" s="18">
        <v>0.0</v>
      </c>
      <c r="H431" s="10">
        <v>2.0</v>
      </c>
      <c r="I431" s="19">
        <v>5.0</v>
      </c>
      <c r="J431" s="12"/>
      <c r="K431" s="12">
        <f t="shared" si="20"/>
        <v>3500</v>
      </c>
      <c r="L431" s="13" t="str">
        <f t="shared" si="21"/>
        <v>3 5-star + 4 RFC + 0 DME + 2 Patient Portal Login + 5 Completed Task</v>
      </c>
      <c r="M431" s="14"/>
      <c r="N431" s="14"/>
      <c r="O431" s="23"/>
      <c r="P431" s="23"/>
    </row>
    <row r="432" hidden="1">
      <c r="A432" s="6" t="s">
        <v>225</v>
      </c>
      <c r="B432" s="21" t="s">
        <v>191</v>
      </c>
      <c r="C432" s="21" t="s">
        <v>192</v>
      </c>
      <c r="D432" s="21" t="s">
        <v>193</v>
      </c>
      <c r="E432" s="17">
        <v>1.0</v>
      </c>
      <c r="F432" s="18">
        <v>1.0</v>
      </c>
      <c r="G432" s="18">
        <v>2.0</v>
      </c>
      <c r="H432" s="10">
        <v>0.0</v>
      </c>
      <c r="I432" s="19">
        <v>5.0</v>
      </c>
      <c r="J432" s="12"/>
      <c r="K432" s="12">
        <f t="shared" si="20"/>
        <v>2250</v>
      </c>
      <c r="L432" s="13" t="str">
        <f t="shared" si="21"/>
        <v>1 5-star + 1 RFC + 2 DME + 0 Patient Portal Login + 5 Completed Task</v>
      </c>
      <c r="M432" s="14"/>
      <c r="N432" s="14"/>
      <c r="O432" s="23"/>
      <c r="P432" s="23"/>
    </row>
    <row r="433" hidden="1">
      <c r="A433" s="6" t="s">
        <v>225</v>
      </c>
      <c r="B433" s="21" t="s">
        <v>197</v>
      </c>
      <c r="C433" s="21" t="s">
        <v>198</v>
      </c>
      <c r="D433" s="21" t="s">
        <v>199</v>
      </c>
      <c r="E433" s="17">
        <v>0.0</v>
      </c>
      <c r="F433" s="18">
        <v>2.0</v>
      </c>
      <c r="G433" s="18">
        <v>0.0</v>
      </c>
      <c r="H433" s="10">
        <v>2.0</v>
      </c>
      <c r="I433" s="19">
        <v>5.0</v>
      </c>
      <c r="J433" s="12"/>
      <c r="K433" s="12">
        <f>sum(E433*250)+(F433*500)+(G433*250)+(H433*250)+(I433*250)</f>
        <v>2750</v>
      </c>
      <c r="L433" s="13" t="str">
        <f t="shared" si="21"/>
        <v>0 5-star + 2 RFC + 0 DME + 2 Patient Portal Login + 5 Completed Task</v>
      </c>
      <c r="M433" s="14"/>
      <c r="N433" s="14"/>
      <c r="O433" s="23"/>
      <c r="P433" s="23"/>
    </row>
    <row r="434" hidden="1">
      <c r="A434" s="6" t="s">
        <v>225</v>
      </c>
      <c r="B434" s="21" t="s">
        <v>200</v>
      </c>
      <c r="C434" s="21" t="s">
        <v>201</v>
      </c>
      <c r="D434" s="21" t="s">
        <v>202</v>
      </c>
      <c r="E434" s="17">
        <v>0.0</v>
      </c>
      <c r="F434" s="18">
        <v>0.0</v>
      </c>
      <c r="G434" s="18">
        <v>0.0</v>
      </c>
      <c r="H434" s="10">
        <v>9.0</v>
      </c>
      <c r="I434" s="19">
        <v>5.0</v>
      </c>
      <c r="J434" s="12"/>
      <c r="K434" s="12">
        <f t="shared" ref="K434:K438" si="22">sum(E434*250)+(F434*250)+(G434*250)+(H434*250)+(I434*250)</f>
        <v>3500</v>
      </c>
      <c r="L434" s="13" t="str">
        <f t="shared" si="21"/>
        <v>0 5-star + 0 RFC + 0 DME + 9 Patient Portal Login + 5 Completed Task</v>
      </c>
      <c r="M434" s="14"/>
      <c r="N434" s="14"/>
      <c r="O434" s="23"/>
      <c r="P434" s="23"/>
    </row>
    <row r="435" hidden="1">
      <c r="A435" s="6" t="s">
        <v>226</v>
      </c>
      <c r="B435" s="16" t="s">
        <v>207</v>
      </c>
      <c r="C435" s="16" t="s">
        <v>208</v>
      </c>
      <c r="D435" s="16" t="s">
        <v>209</v>
      </c>
      <c r="E435" s="17">
        <v>0.0</v>
      </c>
      <c r="F435" s="18">
        <v>1.0</v>
      </c>
      <c r="G435" s="18">
        <v>1.0</v>
      </c>
      <c r="H435" s="10">
        <v>4.0</v>
      </c>
      <c r="I435" s="19">
        <v>5.0</v>
      </c>
      <c r="J435" s="12"/>
      <c r="K435" s="12">
        <f t="shared" si="22"/>
        <v>2750</v>
      </c>
      <c r="L435" s="13" t="str">
        <f t="shared" si="21"/>
        <v>0 5-star + 1 RFC + 1 DME + 4 Patient Portal Login + 5 Completed Task</v>
      </c>
      <c r="M435" s="14"/>
      <c r="N435" s="14"/>
      <c r="O435" s="14"/>
      <c r="P435" s="14"/>
    </row>
    <row r="436" hidden="1">
      <c r="A436" s="6" t="s">
        <v>226</v>
      </c>
      <c r="B436" s="16" t="s">
        <v>210</v>
      </c>
      <c r="C436" s="16" t="s">
        <v>211</v>
      </c>
      <c r="D436" s="16" t="s">
        <v>212</v>
      </c>
      <c r="E436" s="17">
        <v>0.0</v>
      </c>
      <c r="F436" s="18">
        <v>0.0</v>
      </c>
      <c r="G436" s="18">
        <v>0.0</v>
      </c>
      <c r="H436" s="10">
        <v>0.0</v>
      </c>
      <c r="I436" s="19">
        <v>2.0</v>
      </c>
      <c r="J436" s="12"/>
      <c r="K436" s="12">
        <f t="shared" si="22"/>
        <v>500</v>
      </c>
      <c r="L436" s="13" t="str">
        <f t="shared" si="21"/>
        <v>0 5-star + 0 RFC + 0 DME + 0 Patient Portal Login + 2 Completed Task</v>
      </c>
      <c r="M436" s="14"/>
      <c r="N436" s="14"/>
      <c r="O436" s="14"/>
      <c r="P436" s="14"/>
    </row>
    <row r="437" hidden="1">
      <c r="A437" s="6" t="s">
        <v>226</v>
      </c>
      <c r="B437" s="16" t="s">
        <v>213</v>
      </c>
      <c r="C437" s="16" t="s">
        <v>214</v>
      </c>
      <c r="D437" s="16" t="s">
        <v>215</v>
      </c>
      <c r="E437" s="17">
        <v>1.0</v>
      </c>
      <c r="F437" s="18">
        <v>0.0</v>
      </c>
      <c r="G437" s="18">
        <v>0.0</v>
      </c>
      <c r="H437" s="10">
        <v>10.0</v>
      </c>
      <c r="I437" s="19">
        <v>5.0</v>
      </c>
      <c r="J437" s="12"/>
      <c r="K437" s="12">
        <f t="shared" si="22"/>
        <v>4000</v>
      </c>
      <c r="L437" s="13" t="str">
        <f t="shared" si="21"/>
        <v>1 5-star + 0 RFC + 0 DME + 10 Patient Portal Login + 5 Completed Task</v>
      </c>
      <c r="M437" s="14"/>
      <c r="N437" s="14"/>
      <c r="O437" s="14"/>
      <c r="P437" s="14"/>
    </row>
    <row r="438" hidden="1">
      <c r="A438" s="6" t="s">
        <v>226</v>
      </c>
      <c r="B438" s="16" t="s">
        <v>216</v>
      </c>
      <c r="C438" s="16" t="s">
        <v>217</v>
      </c>
      <c r="D438" s="16" t="s">
        <v>218</v>
      </c>
      <c r="E438" s="17">
        <v>1.0</v>
      </c>
      <c r="F438" s="18">
        <v>4.0</v>
      </c>
      <c r="G438" s="18">
        <v>2.0</v>
      </c>
      <c r="H438" s="10">
        <v>10.0</v>
      </c>
      <c r="I438" s="19">
        <v>5.0</v>
      </c>
      <c r="J438" s="12"/>
      <c r="K438" s="12">
        <f t="shared" si="22"/>
        <v>5500</v>
      </c>
      <c r="L438" s="13" t="str">
        <f t="shared" si="21"/>
        <v>1 5-star + 4 RFC + 2 DME + 10 Patient Portal Login + 5 Completed Task</v>
      </c>
      <c r="M438" s="14"/>
      <c r="N438" s="14"/>
      <c r="O438" s="14"/>
      <c r="P438" s="14"/>
    </row>
    <row r="439" hidden="1">
      <c r="A439" s="6" t="s">
        <v>226</v>
      </c>
      <c r="B439" s="16" t="s">
        <v>32</v>
      </c>
      <c r="C439" s="16" t="s">
        <v>227</v>
      </c>
      <c r="D439" s="16" t="s">
        <v>34</v>
      </c>
      <c r="E439" s="35"/>
      <c r="F439" s="36"/>
      <c r="G439" s="36"/>
      <c r="H439" s="37"/>
      <c r="I439" s="38"/>
      <c r="J439" s="12"/>
      <c r="K439" s="12">
        <f t="shared" ref="K439:K447" si="23">sum(E439*250)+(F439*500)+(G439*250)+(H439*250)+(I439*250)</f>
        <v>0</v>
      </c>
      <c r="L439" s="13" t="str">
        <f t="shared" si="21"/>
        <v> 5-star +  RFC +  DME +  Patient Portal Login +  Completed Task</v>
      </c>
      <c r="M439" s="14"/>
      <c r="N439" s="14"/>
      <c r="O439" s="14"/>
      <c r="P439" s="14"/>
    </row>
    <row r="440" hidden="1">
      <c r="A440" s="6" t="s">
        <v>226</v>
      </c>
      <c r="B440" s="16" t="s">
        <v>29</v>
      </c>
      <c r="C440" s="16" t="s">
        <v>228</v>
      </c>
      <c r="D440" s="16" t="s">
        <v>31</v>
      </c>
      <c r="E440" s="35"/>
      <c r="F440" s="36"/>
      <c r="G440" s="36"/>
      <c r="H440" s="37"/>
      <c r="I440" s="38"/>
      <c r="J440" s="12"/>
      <c r="K440" s="12">
        <f t="shared" si="23"/>
        <v>0</v>
      </c>
      <c r="L440" s="13" t="str">
        <f t="shared" si="21"/>
        <v> 5-star +  RFC +  DME +  Patient Portal Login +  Completed Task</v>
      </c>
      <c r="M440" s="14"/>
      <c r="N440" s="14"/>
      <c r="O440" s="14"/>
      <c r="P440" s="14"/>
    </row>
    <row r="441" hidden="1">
      <c r="A441" s="6" t="s">
        <v>226</v>
      </c>
      <c r="B441" s="16" t="s">
        <v>26</v>
      </c>
      <c r="C441" s="16" t="s">
        <v>229</v>
      </c>
      <c r="D441" s="16" t="s">
        <v>28</v>
      </c>
      <c r="E441" s="35"/>
      <c r="F441" s="36"/>
      <c r="G441" s="36"/>
      <c r="H441" s="37"/>
      <c r="I441" s="38"/>
      <c r="J441" s="12"/>
      <c r="K441" s="12">
        <f t="shared" si="23"/>
        <v>0</v>
      </c>
      <c r="L441" s="13" t="str">
        <f t="shared" si="21"/>
        <v> 5-star +  RFC +  DME +  Patient Portal Login +  Completed Task</v>
      </c>
      <c r="M441" s="14"/>
      <c r="N441" s="14"/>
      <c r="O441" s="14"/>
      <c r="P441" s="14"/>
    </row>
    <row r="442" hidden="1">
      <c r="A442" s="6" t="s">
        <v>226</v>
      </c>
      <c r="B442" s="16" t="s">
        <v>23</v>
      </c>
      <c r="C442" s="16" t="s">
        <v>230</v>
      </c>
      <c r="D442" s="16" t="s">
        <v>25</v>
      </c>
      <c r="E442" s="35"/>
      <c r="F442" s="36"/>
      <c r="G442" s="36"/>
      <c r="H442" s="37"/>
      <c r="I442" s="38"/>
      <c r="J442" s="12"/>
      <c r="K442" s="12">
        <f t="shared" si="23"/>
        <v>0</v>
      </c>
      <c r="L442" s="13" t="str">
        <f t="shared" si="21"/>
        <v> 5-star +  RFC +  DME +  Patient Portal Login +  Completed Task</v>
      </c>
      <c r="M442" s="14"/>
      <c r="N442" s="14"/>
      <c r="O442" s="14"/>
      <c r="P442" s="14"/>
    </row>
    <row r="443" hidden="1">
      <c r="A443" s="6" t="s">
        <v>226</v>
      </c>
      <c r="B443" s="16" t="s">
        <v>20</v>
      </c>
      <c r="C443" s="16" t="s">
        <v>231</v>
      </c>
      <c r="D443" s="16" t="s">
        <v>22</v>
      </c>
      <c r="E443" s="35"/>
      <c r="F443" s="36"/>
      <c r="G443" s="36"/>
      <c r="H443" s="37"/>
      <c r="I443" s="38"/>
      <c r="J443" s="12"/>
      <c r="K443" s="12">
        <f t="shared" si="23"/>
        <v>0</v>
      </c>
      <c r="L443" s="13" t="str">
        <f t="shared" si="21"/>
        <v> 5-star +  RFC +  DME +  Patient Portal Login +  Completed Task</v>
      </c>
      <c r="M443" s="14"/>
      <c r="N443" s="14"/>
      <c r="O443" s="14"/>
      <c r="P443" s="14"/>
    </row>
    <row r="444" hidden="1">
      <c r="A444" s="6" t="s">
        <v>226</v>
      </c>
      <c r="B444" s="16" t="s">
        <v>17</v>
      </c>
      <c r="C444" s="16" t="s">
        <v>232</v>
      </c>
      <c r="D444" s="16" t="s">
        <v>19</v>
      </c>
      <c r="E444" s="35"/>
      <c r="F444" s="36"/>
      <c r="G444" s="36"/>
      <c r="H444" s="37"/>
      <c r="I444" s="38"/>
      <c r="J444" s="39"/>
      <c r="K444" s="39">
        <f t="shared" si="23"/>
        <v>0</v>
      </c>
      <c r="L444" s="13" t="str">
        <f t="shared" si="21"/>
        <v> 5-star +  RFC +  DME +  Patient Portal Login +  Completed Task</v>
      </c>
      <c r="M444" s="14"/>
      <c r="N444" s="14"/>
      <c r="O444" s="14"/>
      <c r="P444" s="14"/>
    </row>
    <row r="445" hidden="1">
      <c r="A445" s="6" t="s">
        <v>226</v>
      </c>
      <c r="B445" s="16" t="s">
        <v>14</v>
      </c>
      <c r="C445" s="16" t="s">
        <v>233</v>
      </c>
      <c r="D445" s="16" t="s">
        <v>16</v>
      </c>
      <c r="E445" s="17"/>
      <c r="F445" s="18"/>
      <c r="G445" s="18"/>
      <c r="H445" s="10"/>
      <c r="I445" s="19"/>
      <c r="J445" s="39"/>
      <c r="K445" s="39">
        <f t="shared" si="23"/>
        <v>0</v>
      </c>
      <c r="L445" s="13" t="str">
        <f t="shared" si="21"/>
        <v> 5-star +  RFC +  DME +  Patient Portal Login +  Completed Task</v>
      </c>
      <c r="M445" s="14"/>
      <c r="N445" s="14"/>
      <c r="O445" s="14"/>
      <c r="P445" s="14"/>
    </row>
    <row r="446" hidden="1">
      <c r="A446" s="6" t="s">
        <v>226</v>
      </c>
      <c r="B446" s="16" t="s">
        <v>234</v>
      </c>
      <c r="C446" s="16" t="s">
        <v>235</v>
      </c>
      <c r="D446" s="16" t="s">
        <v>236</v>
      </c>
      <c r="E446" s="35"/>
      <c r="F446" s="36"/>
      <c r="G446" s="36"/>
      <c r="H446" s="37"/>
      <c r="I446" s="38"/>
      <c r="J446" s="12"/>
      <c r="K446" s="12">
        <f t="shared" si="23"/>
        <v>0</v>
      </c>
      <c r="L446" s="13" t="str">
        <f t="shared" si="21"/>
        <v> 5-star +  RFC +  DME +  Patient Portal Login +  Completed Task</v>
      </c>
      <c r="M446" s="14"/>
      <c r="N446" s="14"/>
      <c r="O446" s="14"/>
      <c r="P446" s="14"/>
    </row>
    <row r="447" hidden="1">
      <c r="A447" s="6" t="s">
        <v>226</v>
      </c>
      <c r="B447" s="16" t="s">
        <v>35</v>
      </c>
      <c r="C447" s="16" t="s">
        <v>36</v>
      </c>
      <c r="D447" s="16" t="s">
        <v>37</v>
      </c>
      <c r="E447" s="35"/>
      <c r="F447" s="36"/>
      <c r="G447" s="36"/>
      <c r="H447" s="37"/>
      <c r="I447" s="38"/>
      <c r="J447" s="12"/>
      <c r="K447" s="12">
        <f t="shared" si="23"/>
        <v>0</v>
      </c>
      <c r="L447" s="13" t="str">
        <f t="shared" si="21"/>
        <v> 5-star +  RFC +  DME +  Patient Portal Login +  Completed Task</v>
      </c>
      <c r="M447" s="14"/>
      <c r="N447" s="14"/>
      <c r="O447" s="14"/>
      <c r="P447" s="14"/>
    </row>
    <row r="448" hidden="1">
      <c r="A448" s="6" t="s">
        <v>226</v>
      </c>
      <c r="B448" s="16" t="s">
        <v>41</v>
      </c>
      <c r="C448" s="16" t="s">
        <v>42</v>
      </c>
      <c r="D448" s="16" t="s">
        <v>43</v>
      </c>
      <c r="E448" s="17">
        <v>3.0</v>
      </c>
      <c r="F448" s="18">
        <v>3.0</v>
      </c>
      <c r="G448" s="9">
        <v>0.0</v>
      </c>
      <c r="H448" s="10">
        <v>3.0</v>
      </c>
      <c r="I448" s="19">
        <v>5.0</v>
      </c>
      <c r="J448" s="12"/>
      <c r="K448" s="12">
        <f>sum(E448*250)+(F448*250)+(G448*250)+(H448*250)+(I448*250)</f>
        <v>3500</v>
      </c>
      <c r="L448" s="13" t="str">
        <f t="shared" si="21"/>
        <v>3 5-star + 3 RFC + 0 DME + 3 Patient Portal Login + 5 Completed Task</v>
      </c>
      <c r="M448" s="14"/>
      <c r="N448" s="14"/>
      <c r="O448" s="14"/>
      <c r="P448" s="14"/>
    </row>
    <row r="449" hidden="1">
      <c r="A449" s="6" t="s">
        <v>226</v>
      </c>
      <c r="B449" s="16" t="s">
        <v>44</v>
      </c>
      <c r="C449" s="16" t="s">
        <v>45</v>
      </c>
      <c r="D449" s="16" t="s">
        <v>46</v>
      </c>
      <c r="E449" s="35"/>
      <c r="F449" s="36"/>
      <c r="G449" s="36"/>
      <c r="H449" s="37"/>
      <c r="I449" s="38"/>
      <c r="J449" s="12"/>
      <c r="K449" s="12">
        <f>sum(E449*250)+(F449*500)+(G449*250)+(H449*250)+(I449*250)</f>
        <v>0</v>
      </c>
      <c r="L449" s="13" t="str">
        <f t="shared" si="21"/>
        <v> 5-star +  RFC +  DME +  Patient Portal Login +  Completed Task</v>
      </c>
      <c r="M449" s="14"/>
      <c r="N449" s="14"/>
      <c r="O449" s="14"/>
      <c r="P449" s="14"/>
    </row>
    <row r="450" hidden="1">
      <c r="A450" s="6" t="s">
        <v>226</v>
      </c>
      <c r="B450" s="16" t="s">
        <v>47</v>
      </c>
      <c r="C450" s="16" t="s">
        <v>48</v>
      </c>
      <c r="D450" s="16" t="s">
        <v>49</v>
      </c>
      <c r="E450" s="17">
        <v>1.0</v>
      </c>
      <c r="F450" s="25">
        <v>0.0</v>
      </c>
      <c r="G450" s="18">
        <v>1.0</v>
      </c>
      <c r="H450" s="10">
        <v>25.0</v>
      </c>
      <c r="I450" s="19">
        <v>5.0</v>
      </c>
      <c r="J450" s="12"/>
      <c r="K450" s="12">
        <f t="shared" ref="K450:K453" si="24">sum(E450*250)+(F450*250)+(G450*250)+(H450*250)+(I450*250)</f>
        <v>8000</v>
      </c>
      <c r="L450" s="13" t="str">
        <f t="shared" si="21"/>
        <v>1 5-star + 0 RFC + 1 DME + 25 Patient Portal Login + 5 Completed Task</v>
      </c>
      <c r="M450" s="14"/>
      <c r="N450" s="14"/>
      <c r="O450" s="14"/>
      <c r="P450" s="14"/>
    </row>
    <row r="451" hidden="1">
      <c r="A451" s="6" t="s">
        <v>226</v>
      </c>
      <c r="B451" s="16" t="s">
        <v>50</v>
      </c>
      <c r="C451" s="16" t="s">
        <v>51</v>
      </c>
      <c r="D451" s="16" t="s">
        <v>52</v>
      </c>
      <c r="E451" s="17">
        <v>2.0</v>
      </c>
      <c r="F451" s="18">
        <v>2.0</v>
      </c>
      <c r="G451" s="18">
        <v>2.0</v>
      </c>
      <c r="H451" s="10">
        <v>8.0</v>
      </c>
      <c r="I451" s="19">
        <v>5.0</v>
      </c>
      <c r="J451" s="12"/>
      <c r="K451" s="12">
        <f t="shared" si="24"/>
        <v>4750</v>
      </c>
      <c r="L451" s="13" t="str">
        <f t="shared" si="21"/>
        <v>2 5-star + 2 RFC + 2 DME + 8 Patient Portal Login + 5 Completed Task</v>
      </c>
      <c r="M451" s="14"/>
      <c r="N451" s="14"/>
      <c r="O451" s="14"/>
      <c r="P451" s="14"/>
    </row>
    <row r="452" hidden="1">
      <c r="A452" s="6" t="s">
        <v>226</v>
      </c>
      <c r="B452" s="16" t="s">
        <v>53</v>
      </c>
      <c r="C452" s="16" t="s">
        <v>54</v>
      </c>
      <c r="D452" s="16" t="s">
        <v>55</v>
      </c>
      <c r="E452" s="17">
        <v>1.0</v>
      </c>
      <c r="F452" s="18">
        <v>3.0</v>
      </c>
      <c r="G452" s="18">
        <v>0.0</v>
      </c>
      <c r="H452" s="10">
        <v>3.0</v>
      </c>
      <c r="I452" s="19">
        <v>5.0</v>
      </c>
      <c r="J452" s="12"/>
      <c r="K452" s="12">
        <f t="shared" si="24"/>
        <v>3000</v>
      </c>
      <c r="L452" s="13" t="str">
        <f t="shared" si="21"/>
        <v>1 5-star + 3 RFC + 0 DME + 3 Patient Portal Login + 5 Completed Task</v>
      </c>
      <c r="M452" s="14"/>
      <c r="N452" s="14"/>
      <c r="O452" s="14"/>
      <c r="P452" s="14"/>
    </row>
    <row r="453" hidden="1">
      <c r="A453" s="6" t="s">
        <v>226</v>
      </c>
      <c r="B453" s="16" t="s">
        <v>56</v>
      </c>
      <c r="C453" s="16" t="s">
        <v>57</v>
      </c>
      <c r="D453" s="16" t="s">
        <v>58</v>
      </c>
      <c r="E453" s="17">
        <v>1.0</v>
      </c>
      <c r="F453" s="18">
        <v>2.0</v>
      </c>
      <c r="G453" s="18">
        <v>1.0</v>
      </c>
      <c r="H453" s="10">
        <v>4.0</v>
      </c>
      <c r="I453" s="19">
        <v>5.0</v>
      </c>
      <c r="J453" s="12"/>
      <c r="K453" s="12">
        <f t="shared" si="24"/>
        <v>3250</v>
      </c>
      <c r="L453" s="13" t="str">
        <f t="shared" si="21"/>
        <v>1 5-star + 2 RFC + 1 DME + 4 Patient Portal Login + 5 Completed Task</v>
      </c>
      <c r="M453" s="14"/>
      <c r="N453" s="14"/>
      <c r="O453" s="14"/>
      <c r="P453" s="14"/>
    </row>
    <row r="454" hidden="1">
      <c r="A454" s="6" t="s">
        <v>226</v>
      </c>
      <c r="B454" s="16" t="s">
        <v>59</v>
      </c>
      <c r="C454" s="16" t="s">
        <v>60</v>
      </c>
      <c r="D454" s="16" t="s">
        <v>61</v>
      </c>
      <c r="E454" s="35"/>
      <c r="F454" s="36"/>
      <c r="G454" s="36"/>
      <c r="H454" s="37"/>
      <c r="I454" s="38"/>
      <c r="J454" s="12"/>
      <c r="K454" s="12">
        <f>sum(E454*250)+(F454*500)+(G454*250)+(H454*250)+(I454*250)</f>
        <v>0</v>
      </c>
      <c r="L454" s="13" t="str">
        <f t="shared" si="21"/>
        <v> 5-star +  RFC +  DME +  Patient Portal Login +  Completed Task</v>
      </c>
      <c r="M454" s="14"/>
      <c r="N454" s="14"/>
      <c r="O454" s="14"/>
      <c r="P454" s="14"/>
    </row>
    <row r="455" hidden="1">
      <c r="A455" s="6" t="s">
        <v>226</v>
      </c>
      <c r="B455" s="16" t="s">
        <v>62</v>
      </c>
      <c r="C455" s="16" t="s">
        <v>63</v>
      </c>
      <c r="D455" s="16" t="s">
        <v>64</v>
      </c>
      <c r="E455" s="17">
        <v>0.0</v>
      </c>
      <c r="F455" s="18">
        <v>2.0</v>
      </c>
      <c r="G455" s="18">
        <v>0.0</v>
      </c>
      <c r="H455" s="10">
        <v>5.0</v>
      </c>
      <c r="I455" s="19">
        <v>5.0</v>
      </c>
      <c r="J455" s="12"/>
      <c r="K455" s="12">
        <f t="shared" ref="K455:K461" si="25">sum(E455*250)+(F455*250)+(G455*250)+(H455*250)+(I455*250)</f>
        <v>3000</v>
      </c>
      <c r="L455" s="13" t="str">
        <f t="shared" si="21"/>
        <v>0 5-star + 2 RFC + 0 DME + 5 Patient Portal Login + 5 Completed Task</v>
      </c>
      <c r="M455" s="14"/>
      <c r="N455" s="14"/>
      <c r="O455" s="14"/>
      <c r="P455" s="14"/>
    </row>
    <row r="456" hidden="1">
      <c r="A456" s="6" t="s">
        <v>226</v>
      </c>
      <c r="B456" s="16" t="s">
        <v>65</v>
      </c>
      <c r="C456" s="16" t="s">
        <v>66</v>
      </c>
      <c r="D456" s="16" t="s">
        <v>67</v>
      </c>
      <c r="E456" s="17">
        <v>8.0</v>
      </c>
      <c r="F456" s="18">
        <v>0.0</v>
      </c>
      <c r="G456" s="9">
        <v>3.0</v>
      </c>
      <c r="H456" s="10">
        <v>5.0</v>
      </c>
      <c r="I456" s="19">
        <v>5.0</v>
      </c>
      <c r="J456" s="12"/>
      <c r="K456" s="12">
        <f t="shared" si="25"/>
        <v>5250</v>
      </c>
      <c r="L456" s="13" t="str">
        <f t="shared" si="21"/>
        <v>8 5-star + 0 RFC + 3 DME + 5 Patient Portal Login + 5 Completed Task</v>
      </c>
      <c r="M456" s="14"/>
      <c r="N456" s="14"/>
      <c r="O456" s="14"/>
      <c r="P456" s="14"/>
    </row>
    <row r="457" hidden="1">
      <c r="A457" s="6" t="s">
        <v>226</v>
      </c>
      <c r="B457" s="16" t="s">
        <v>68</v>
      </c>
      <c r="C457" s="16" t="s">
        <v>69</v>
      </c>
      <c r="D457" s="16" t="s">
        <v>70</v>
      </c>
      <c r="E457" s="17">
        <v>1.0</v>
      </c>
      <c r="F457" s="18">
        <v>4.0</v>
      </c>
      <c r="G457" s="18">
        <v>0.0</v>
      </c>
      <c r="H457" s="10">
        <v>0.0</v>
      </c>
      <c r="I457" s="19">
        <v>5.0</v>
      </c>
      <c r="J457" s="12"/>
      <c r="K457" s="12">
        <f t="shared" si="25"/>
        <v>2500</v>
      </c>
      <c r="L457" s="13" t="str">
        <f t="shared" si="21"/>
        <v>1 5-star + 4 RFC + 0 DME + 0 Patient Portal Login + 5 Completed Task</v>
      </c>
      <c r="M457" s="14"/>
      <c r="N457" s="14"/>
      <c r="O457" s="14"/>
      <c r="P457" s="14"/>
    </row>
    <row r="458" hidden="1">
      <c r="A458" s="6" t="s">
        <v>226</v>
      </c>
      <c r="B458" s="16" t="s">
        <v>71</v>
      </c>
      <c r="C458" s="16" t="s">
        <v>72</v>
      </c>
      <c r="D458" s="16" t="s">
        <v>73</v>
      </c>
      <c r="E458" s="17">
        <v>0.0</v>
      </c>
      <c r="F458" s="18">
        <v>1.0</v>
      </c>
      <c r="G458" s="18">
        <v>0.0</v>
      </c>
      <c r="H458" s="10">
        <v>19.0</v>
      </c>
      <c r="I458" s="19">
        <v>5.0</v>
      </c>
      <c r="J458" s="12"/>
      <c r="K458" s="12">
        <f t="shared" si="25"/>
        <v>6250</v>
      </c>
      <c r="L458" s="13" t="str">
        <f t="shared" si="21"/>
        <v>0 5-star + 1 RFC + 0 DME + 19 Patient Portal Login + 5 Completed Task</v>
      </c>
      <c r="M458" s="14"/>
      <c r="N458" s="14"/>
      <c r="O458" s="14"/>
      <c r="P458" s="14"/>
    </row>
    <row r="459" hidden="1">
      <c r="A459" s="6" t="s">
        <v>226</v>
      </c>
      <c r="B459" s="16" t="s">
        <v>74</v>
      </c>
      <c r="C459" s="16" t="s">
        <v>75</v>
      </c>
      <c r="D459" s="16" t="s">
        <v>76</v>
      </c>
      <c r="E459" s="17">
        <v>0.0</v>
      </c>
      <c r="F459" s="18">
        <v>0.0</v>
      </c>
      <c r="G459" s="18">
        <v>0.0</v>
      </c>
      <c r="H459" s="10">
        <v>7.0</v>
      </c>
      <c r="I459" s="19">
        <v>5.0</v>
      </c>
      <c r="J459" s="12"/>
      <c r="K459" s="12">
        <f t="shared" si="25"/>
        <v>3000</v>
      </c>
      <c r="L459" s="13" t="str">
        <f t="shared" si="21"/>
        <v>0 5-star + 0 RFC + 0 DME + 7 Patient Portal Login + 5 Completed Task</v>
      </c>
      <c r="M459" s="14"/>
      <c r="N459" s="14"/>
      <c r="O459" s="14"/>
      <c r="P459" s="14"/>
    </row>
    <row r="460" hidden="1">
      <c r="A460" s="6" t="s">
        <v>226</v>
      </c>
      <c r="B460" s="16" t="s">
        <v>77</v>
      </c>
      <c r="C460" s="16" t="s">
        <v>78</v>
      </c>
      <c r="D460" s="16" t="s">
        <v>79</v>
      </c>
      <c r="E460" s="17">
        <v>24.0</v>
      </c>
      <c r="F460" s="18">
        <v>2.0</v>
      </c>
      <c r="G460" s="18">
        <v>0.0</v>
      </c>
      <c r="H460" s="10">
        <v>0.0</v>
      </c>
      <c r="I460" s="19">
        <v>5.0</v>
      </c>
      <c r="J460" s="12"/>
      <c r="K460" s="12">
        <f t="shared" si="25"/>
        <v>7750</v>
      </c>
      <c r="L460" s="13" t="str">
        <f t="shared" si="21"/>
        <v>24 5-star + 2 RFC + 0 DME + 0 Patient Portal Login + 5 Completed Task</v>
      </c>
      <c r="M460" s="14"/>
      <c r="N460" s="14"/>
      <c r="O460" s="14"/>
      <c r="P460" s="14"/>
    </row>
    <row r="461" hidden="1">
      <c r="A461" s="6" t="s">
        <v>226</v>
      </c>
      <c r="B461" s="16" t="s">
        <v>80</v>
      </c>
      <c r="C461" s="16" t="s">
        <v>81</v>
      </c>
      <c r="D461" s="16" t="s">
        <v>82</v>
      </c>
      <c r="E461" s="17">
        <v>0.0</v>
      </c>
      <c r="F461" s="18">
        <v>0.0</v>
      </c>
      <c r="G461" s="18">
        <v>0.0</v>
      </c>
      <c r="H461" s="10">
        <v>14.0</v>
      </c>
      <c r="I461" s="19">
        <v>5.0</v>
      </c>
      <c r="J461" s="12"/>
      <c r="K461" s="12">
        <f t="shared" si="25"/>
        <v>4750</v>
      </c>
      <c r="L461" s="13" t="str">
        <f t="shared" si="21"/>
        <v>0 5-star + 0 RFC + 0 DME + 14 Patient Portal Login + 5 Completed Task</v>
      </c>
      <c r="M461" s="14"/>
      <c r="N461" s="14"/>
      <c r="O461" s="14"/>
      <c r="P461" s="14"/>
    </row>
    <row r="462" hidden="1">
      <c r="A462" s="6" t="s">
        <v>226</v>
      </c>
      <c r="B462" s="16" t="s">
        <v>83</v>
      </c>
      <c r="C462" s="16" t="s">
        <v>84</v>
      </c>
      <c r="D462" s="16" t="s">
        <v>85</v>
      </c>
      <c r="E462" s="35"/>
      <c r="F462" s="36"/>
      <c r="G462" s="36"/>
      <c r="H462" s="37"/>
      <c r="I462" s="38"/>
      <c r="J462" s="12"/>
      <c r="K462" s="12">
        <f>sum(E462*250)+(F462*500)+(G462*250)+(H462*250)+(I462*250)</f>
        <v>0</v>
      </c>
      <c r="L462" s="13" t="str">
        <f t="shared" si="21"/>
        <v> 5-star +  RFC +  DME +  Patient Portal Login +  Completed Task</v>
      </c>
      <c r="M462" s="14"/>
      <c r="N462" s="14"/>
      <c r="O462" s="14"/>
      <c r="P462" s="14"/>
    </row>
    <row r="463" hidden="1">
      <c r="A463" s="6" t="s">
        <v>226</v>
      </c>
      <c r="B463" s="16" t="s">
        <v>86</v>
      </c>
      <c r="C463" s="16" t="s">
        <v>87</v>
      </c>
      <c r="D463" s="16" t="s">
        <v>88</v>
      </c>
      <c r="E463" s="17">
        <v>1.0</v>
      </c>
      <c r="F463" s="18">
        <v>2.0</v>
      </c>
      <c r="G463" s="18">
        <v>1.0</v>
      </c>
      <c r="H463" s="10">
        <v>3.0</v>
      </c>
      <c r="I463" s="19">
        <v>5.0</v>
      </c>
      <c r="J463" s="12"/>
      <c r="K463" s="12">
        <f>sum(E463*250)+(F463*250)+(G463*250)+(H463*250)+(I463*250)</f>
        <v>3000</v>
      </c>
      <c r="L463" s="13" t="str">
        <f t="shared" si="21"/>
        <v>1 5-star + 2 RFC + 1 DME + 3 Patient Portal Login + 5 Completed Task</v>
      </c>
      <c r="M463" s="14"/>
      <c r="N463" s="14"/>
      <c r="O463" s="14"/>
      <c r="P463" s="14"/>
    </row>
    <row r="464" hidden="1">
      <c r="A464" s="6" t="s">
        <v>226</v>
      </c>
      <c r="B464" s="16" t="s">
        <v>89</v>
      </c>
      <c r="C464" s="16" t="s">
        <v>90</v>
      </c>
      <c r="D464" s="16" t="s">
        <v>91</v>
      </c>
      <c r="E464" s="35"/>
      <c r="F464" s="36"/>
      <c r="G464" s="36"/>
      <c r="H464" s="37"/>
      <c r="I464" s="38"/>
      <c r="J464" s="12"/>
      <c r="K464" s="12">
        <f>sum(E464*250)+(F464*500)+(G464*250)+(H464*250)+(I464*250)</f>
        <v>0</v>
      </c>
      <c r="L464" s="13" t="str">
        <f t="shared" si="21"/>
        <v> 5-star +  RFC +  DME +  Patient Portal Login +  Completed Task</v>
      </c>
      <c r="M464" s="14"/>
      <c r="N464" s="14"/>
      <c r="O464" s="14"/>
      <c r="P464" s="14"/>
    </row>
    <row r="465" hidden="1">
      <c r="A465" s="6" t="s">
        <v>226</v>
      </c>
      <c r="B465" s="16" t="s">
        <v>92</v>
      </c>
      <c r="C465" s="16" t="s">
        <v>93</v>
      </c>
      <c r="D465" s="16" t="s">
        <v>94</v>
      </c>
      <c r="E465" s="17">
        <v>0.0</v>
      </c>
      <c r="F465" s="18">
        <v>6.0</v>
      </c>
      <c r="G465" s="18">
        <v>0.0</v>
      </c>
      <c r="H465" s="10">
        <v>4.0</v>
      </c>
      <c r="I465" s="19">
        <v>5.0</v>
      </c>
      <c r="J465" s="12"/>
      <c r="K465" s="12">
        <f t="shared" ref="K465:K466" si="26">sum(E465*250)+(F465*250)+(G465*250)+(H465*250)+(I465*250)</f>
        <v>3750</v>
      </c>
      <c r="L465" s="13" t="str">
        <f t="shared" si="21"/>
        <v>0 5-star + 6 RFC + 0 DME + 4 Patient Portal Login + 5 Completed Task</v>
      </c>
      <c r="M465" s="14"/>
      <c r="N465" s="14"/>
      <c r="O465" s="14"/>
      <c r="P465" s="14"/>
    </row>
    <row r="466" hidden="1">
      <c r="A466" s="6" t="s">
        <v>226</v>
      </c>
      <c r="B466" s="16" t="s">
        <v>95</v>
      </c>
      <c r="C466" s="16" t="s">
        <v>96</v>
      </c>
      <c r="D466" s="16" t="s">
        <v>97</v>
      </c>
      <c r="E466" s="17">
        <v>0.0</v>
      </c>
      <c r="F466" s="18">
        <v>0.0</v>
      </c>
      <c r="G466" s="18">
        <v>0.0</v>
      </c>
      <c r="H466" s="10">
        <v>1.0</v>
      </c>
      <c r="I466" s="19">
        <v>5.0</v>
      </c>
      <c r="J466" s="12"/>
      <c r="K466" s="12">
        <f t="shared" si="26"/>
        <v>1500</v>
      </c>
      <c r="L466" s="13" t="str">
        <f t="shared" si="21"/>
        <v>0 5-star + 0 RFC + 0 DME + 1 Patient Portal Login + 5 Completed Task</v>
      </c>
      <c r="M466" s="14"/>
      <c r="N466" s="14"/>
      <c r="O466" s="14"/>
      <c r="P466" s="14"/>
    </row>
    <row r="467" hidden="1">
      <c r="A467" s="6" t="s">
        <v>226</v>
      </c>
      <c r="B467" s="16" t="s">
        <v>98</v>
      </c>
      <c r="C467" s="16" t="s">
        <v>99</v>
      </c>
      <c r="D467" s="16" t="s">
        <v>100</v>
      </c>
      <c r="E467" s="35"/>
      <c r="F467" s="36"/>
      <c r="G467" s="36"/>
      <c r="H467" s="37"/>
      <c r="I467" s="38"/>
      <c r="J467" s="12"/>
      <c r="K467" s="12">
        <f>sum(E467*250)+(F467*500)+(G467*250)+(H467*250)+(I467*250)</f>
        <v>0</v>
      </c>
      <c r="L467" s="13" t="str">
        <f t="shared" si="21"/>
        <v> 5-star +  RFC +  DME +  Patient Portal Login +  Completed Task</v>
      </c>
      <c r="M467" s="14"/>
      <c r="N467" s="14"/>
      <c r="O467" s="14"/>
      <c r="P467" s="14"/>
    </row>
    <row r="468" hidden="1">
      <c r="A468" s="6" t="s">
        <v>226</v>
      </c>
      <c r="B468" s="16" t="s">
        <v>101</v>
      </c>
      <c r="C468" s="16" t="s">
        <v>102</v>
      </c>
      <c r="D468" s="16" t="s">
        <v>103</v>
      </c>
      <c r="E468" s="17">
        <v>0.0</v>
      </c>
      <c r="F468" s="18">
        <v>1.0</v>
      </c>
      <c r="G468" s="18">
        <v>2.0</v>
      </c>
      <c r="H468" s="10">
        <v>3.0</v>
      </c>
      <c r="I468" s="19">
        <v>5.0</v>
      </c>
      <c r="J468" s="12"/>
      <c r="K468" s="12">
        <f t="shared" ref="K468:K497" si="27">sum(E468*250)+(F468*250)+(G468*250)+(H468*250)+(I468*250)</f>
        <v>2750</v>
      </c>
      <c r="L468" s="13" t="str">
        <f t="shared" si="21"/>
        <v>0 5-star + 1 RFC + 2 DME + 3 Patient Portal Login + 5 Completed Task</v>
      </c>
      <c r="M468" s="14"/>
      <c r="N468" s="14"/>
      <c r="O468" s="14"/>
      <c r="P468" s="14"/>
    </row>
    <row r="469" hidden="1">
      <c r="A469" s="6" t="s">
        <v>226</v>
      </c>
      <c r="B469" s="16" t="s">
        <v>104</v>
      </c>
      <c r="C469" s="16" t="s">
        <v>105</v>
      </c>
      <c r="D469" s="16" t="s">
        <v>106</v>
      </c>
      <c r="E469" s="17">
        <v>0.0</v>
      </c>
      <c r="F469" s="18">
        <v>0.0</v>
      </c>
      <c r="G469" s="18">
        <v>0.0</v>
      </c>
      <c r="H469" s="10">
        <v>0.0</v>
      </c>
      <c r="I469" s="19">
        <v>2.0</v>
      </c>
      <c r="J469" s="12"/>
      <c r="K469" s="12">
        <f t="shared" si="27"/>
        <v>500</v>
      </c>
      <c r="L469" s="13" t="str">
        <f t="shared" si="21"/>
        <v>0 5-star + 0 RFC + 0 DME + 0 Patient Portal Login + 2 Completed Task</v>
      </c>
      <c r="M469" s="14"/>
      <c r="N469" s="14"/>
      <c r="O469" s="14"/>
      <c r="P469" s="14"/>
    </row>
    <row r="470" hidden="1">
      <c r="A470" s="6" t="s">
        <v>226</v>
      </c>
      <c r="B470" s="16" t="s">
        <v>107</v>
      </c>
      <c r="C470" s="16" t="s">
        <v>108</v>
      </c>
      <c r="D470" s="16" t="s">
        <v>109</v>
      </c>
      <c r="E470" s="17">
        <v>0.0</v>
      </c>
      <c r="F470" s="18">
        <v>1.0</v>
      </c>
      <c r="G470" s="18">
        <v>1.0</v>
      </c>
      <c r="H470" s="10">
        <v>1.0</v>
      </c>
      <c r="I470" s="19">
        <v>5.0</v>
      </c>
      <c r="J470" s="12"/>
      <c r="K470" s="12">
        <f t="shared" si="27"/>
        <v>2000</v>
      </c>
      <c r="L470" s="13" t="str">
        <f t="shared" si="21"/>
        <v>0 5-star + 1 RFC + 1 DME + 1 Patient Portal Login + 5 Completed Task</v>
      </c>
      <c r="M470" s="14"/>
      <c r="N470" s="14"/>
      <c r="O470" s="14"/>
      <c r="P470" s="14"/>
    </row>
    <row r="471" hidden="1">
      <c r="A471" s="6" t="s">
        <v>226</v>
      </c>
      <c r="B471" s="16" t="s">
        <v>110</v>
      </c>
      <c r="C471" s="16" t="s">
        <v>111</v>
      </c>
      <c r="D471" s="16" t="s">
        <v>112</v>
      </c>
      <c r="E471" s="17">
        <v>0.0</v>
      </c>
      <c r="F471" s="18">
        <v>1.0</v>
      </c>
      <c r="G471" s="18">
        <v>0.0</v>
      </c>
      <c r="H471" s="10">
        <v>1.0</v>
      </c>
      <c r="I471" s="19">
        <v>5.0</v>
      </c>
      <c r="J471" s="12"/>
      <c r="K471" s="12">
        <f t="shared" si="27"/>
        <v>1750</v>
      </c>
      <c r="L471" s="13" t="str">
        <f t="shared" si="21"/>
        <v>0 5-star + 1 RFC + 0 DME + 1 Patient Portal Login + 5 Completed Task</v>
      </c>
      <c r="M471" s="14"/>
      <c r="N471" s="14"/>
      <c r="O471" s="14"/>
      <c r="P471" s="14"/>
    </row>
    <row r="472" hidden="1">
      <c r="A472" s="6" t="s">
        <v>226</v>
      </c>
      <c r="B472" s="16" t="s">
        <v>113</v>
      </c>
      <c r="C472" s="16" t="s">
        <v>114</v>
      </c>
      <c r="D472" s="16" t="s">
        <v>115</v>
      </c>
      <c r="E472" s="17">
        <v>0.0</v>
      </c>
      <c r="F472" s="18">
        <v>3.0</v>
      </c>
      <c r="G472" s="18">
        <v>0.0</v>
      </c>
      <c r="H472" s="10">
        <v>18.0</v>
      </c>
      <c r="I472" s="19">
        <v>5.0</v>
      </c>
      <c r="J472" s="12"/>
      <c r="K472" s="12">
        <f t="shared" si="27"/>
        <v>6500</v>
      </c>
      <c r="L472" s="13" t="str">
        <f t="shared" si="21"/>
        <v>0 5-star + 3 RFC + 0 DME + 18 Patient Portal Login + 5 Completed Task</v>
      </c>
      <c r="M472" s="14"/>
      <c r="N472" s="14"/>
      <c r="O472" s="14"/>
      <c r="P472" s="14"/>
    </row>
    <row r="473" hidden="1">
      <c r="A473" s="6" t="s">
        <v>226</v>
      </c>
      <c r="B473" s="16" t="s">
        <v>116</v>
      </c>
      <c r="C473" s="16" t="s">
        <v>117</v>
      </c>
      <c r="D473" s="16" t="s">
        <v>118</v>
      </c>
      <c r="E473" s="17">
        <v>1.0</v>
      </c>
      <c r="F473" s="18">
        <v>4.0</v>
      </c>
      <c r="G473" s="18">
        <v>0.0</v>
      </c>
      <c r="H473" s="10">
        <v>8.0</v>
      </c>
      <c r="I473" s="19">
        <v>4.0</v>
      </c>
      <c r="J473" s="12"/>
      <c r="K473" s="12">
        <f t="shared" si="27"/>
        <v>4250</v>
      </c>
      <c r="L473" s="13" t="str">
        <f t="shared" si="21"/>
        <v>1 5-star + 4 RFC + 0 DME + 8 Patient Portal Login + 4 Completed Task</v>
      </c>
      <c r="M473" s="14"/>
      <c r="N473" s="14"/>
      <c r="O473" s="14"/>
      <c r="P473" s="14"/>
    </row>
    <row r="474" hidden="1">
      <c r="A474" s="6" t="s">
        <v>226</v>
      </c>
      <c r="B474" s="16" t="s">
        <v>122</v>
      </c>
      <c r="C474" s="16" t="s">
        <v>123</v>
      </c>
      <c r="D474" s="16" t="s">
        <v>124</v>
      </c>
      <c r="E474" s="17">
        <v>0.0</v>
      </c>
      <c r="F474" s="18">
        <v>1.0</v>
      </c>
      <c r="G474" s="18">
        <v>0.0</v>
      </c>
      <c r="H474" s="10">
        <v>5.0</v>
      </c>
      <c r="I474" s="19">
        <v>5.0</v>
      </c>
      <c r="J474" s="12"/>
      <c r="K474" s="12">
        <f t="shared" si="27"/>
        <v>2750</v>
      </c>
      <c r="L474" s="13" t="str">
        <f t="shared" si="21"/>
        <v>0 5-star + 1 RFC + 0 DME + 5 Patient Portal Login + 5 Completed Task</v>
      </c>
      <c r="M474" s="14"/>
      <c r="N474" s="14"/>
      <c r="O474" s="14"/>
      <c r="P474" s="14"/>
    </row>
    <row r="475" hidden="1">
      <c r="A475" s="6" t="s">
        <v>226</v>
      </c>
      <c r="B475" s="16" t="s">
        <v>125</v>
      </c>
      <c r="C475" s="16" t="s">
        <v>126</v>
      </c>
      <c r="D475" s="16" t="s">
        <v>127</v>
      </c>
      <c r="E475" s="17">
        <v>1.0</v>
      </c>
      <c r="F475" s="18">
        <v>2.0</v>
      </c>
      <c r="G475" s="18">
        <v>1.0</v>
      </c>
      <c r="H475" s="10">
        <v>1.0</v>
      </c>
      <c r="I475" s="19">
        <v>5.0</v>
      </c>
      <c r="J475" s="12"/>
      <c r="K475" s="12">
        <f t="shared" si="27"/>
        <v>2500</v>
      </c>
      <c r="L475" s="13" t="str">
        <f t="shared" si="21"/>
        <v>1 5-star + 2 RFC + 1 DME + 1 Patient Portal Login + 5 Completed Task</v>
      </c>
      <c r="M475" s="14"/>
      <c r="N475" s="14"/>
      <c r="O475" s="14"/>
      <c r="P475" s="14"/>
    </row>
    <row r="476" hidden="1">
      <c r="A476" s="6" t="s">
        <v>226</v>
      </c>
      <c r="B476" s="16" t="s">
        <v>128</v>
      </c>
      <c r="C476" s="16" t="s">
        <v>129</v>
      </c>
      <c r="D476" s="16" t="s">
        <v>130</v>
      </c>
      <c r="E476" s="17">
        <v>0.0</v>
      </c>
      <c r="F476" s="18">
        <v>0.0</v>
      </c>
      <c r="G476" s="18">
        <v>0.0</v>
      </c>
      <c r="H476" s="10">
        <v>5.0</v>
      </c>
      <c r="I476" s="19">
        <v>5.0</v>
      </c>
      <c r="J476" s="12"/>
      <c r="K476" s="12">
        <f t="shared" si="27"/>
        <v>2500</v>
      </c>
      <c r="L476" s="13" t="str">
        <f t="shared" si="21"/>
        <v>0 5-star + 0 RFC + 0 DME + 5 Patient Portal Login + 5 Completed Task</v>
      </c>
      <c r="M476" s="14"/>
      <c r="N476" s="14"/>
      <c r="O476" s="14"/>
      <c r="P476" s="14"/>
    </row>
    <row r="477" hidden="1">
      <c r="A477" s="6" t="s">
        <v>226</v>
      </c>
      <c r="B477" s="16" t="s">
        <v>131</v>
      </c>
      <c r="C477" s="16" t="s">
        <v>132</v>
      </c>
      <c r="D477" s="16" t="s">
        <v>133</v>
      </c>
      <c r="E477" s="17">
        <v>9.0</v>
      </c>
      <c r="F477" s="18">
        <v>1.0</v>
      </c>
      <c r="G477" s="18">
        <v>0.0</v>
      </c>
      <c r="H477" s="10">
        <v>4.0</v>
      </c>
      <c r="I477" s="19">
        <v>5.0</v>
      </c>
      <c r="J477" s="12"/>
      <c r="K477" s="12">
        <f t="shared" si="27"/>
        <v>4750</v>
      </c>
      <c r="L477" s="13" t="str">
        <f t="shared" si="21"/>
        <v>9 5-star + 1 RFC + 0 DME + 4 Patient Portal Login + 5 Completed Task</v>
      </c>
      <c r="M477" s="14"/>
      <c r="N477" s="14"/>
      <c r="O477" s="14"/>
      <c r="P477" s="14"/>
    </row>
    <row r="478" hidden="1">
      <c r="A478" s="6" t="s">
        <v>226</v>
      </c>
      <c r="B478" s="16" t="s">
        <v>134</v>
      </c>
      <c r="C478" s="16" t="s">
        <v>135</v>
      </c>
      <c r="D478" s="16" t="s">
        <v>136</v>
      </c>
      <c r="E478" s="17">
        <v>4.0</v>
      </c>
      <c r="F478" s="18">
        <v>1.0</v>
      </c>
      <c r="G478" s="18">
        <v>0.0</v>
      </c>
      <c r="H478" s="10">
        <v>1.0</v>
      </c>
      <c r="I478" s="19">
        <v>5.0</v>
      </c>
      <c r="J478" s="12"/>
      <c r="K478" s="12">
        <f t="shared" si="27"/>
        <v>2750</v>
      </c>
      <c r="L478" s="13" t="str">
        <f t="shared" si="21"/>
        <v>4 5-star + 1 RFC + 0 DME + 1 Patient Portal Login + 5 Completed Task</v>
      </c>
      <c r="M478" s="14"/>
      <c r="N478" s="14"/>
      <c r="O478" s="14"/>
      <c r="P478" s="14"/>
    </row>
    <row r="479" hidden="1">
      <c r="A479" s="6" t="s">
        <v>226</v>
      </c>
      <c r="B479" s="16" t="s">
        <v>137</v>
      </c>
      <c r="C479" s="16" t="s">
        <v>138</v>
      </c>
      <c r="D479" s="16" t="s">
        <v>139</v>
      </c>
      <c r="E479" s="17">
        <v>3.0</v>
      </c>
      <c r="F479" s="18">
        <v>9.0</v>
      </c>
      <c r="G479" s="18">
        <v>1.0</v>
      </c>
      <c r="H479" s="10">
        <v>17.0</v>
      </c>
      <c r="I479" s="19">
        <v>5.0</v>
      </c>
      <c r="J479" s="12"/>
      <c r="K479" s="12">
        <f t="shared" si="27"/>
        <v>8750</v>
      </c>
      <c r="L479" s="13" t="str">
        <f t="shared" si="21"/>
        <v>3 5-star + 9 RFC + 1 DME + 17 Patient Portal Login + 5 Completed Task</v>
      </c>
      <c r="M479" s="14"/>
      <c r="N479" s="14"/>
      <c r="O479" s="14"/>
      <c r="P479" s="14"/>
    </row>
    <row r="480" hidden="1">
      <c r="A480" s="6" t="s">
        <v>226</v>
      </c>
      <c r="B480" s="16" t="s">
        <v>140</v>
      </c>
      <c r="C480" s="16" t="s">
        <v>141</v>
      </c>
      <c r="D480" s="16" t="s">
        <v>142</v>
      </c>
      <c r="E480" s="17">
        <v>14.0</v>
      </c>
      <c r="F480" s="18">
        <v>3.0</v>
      </c>
      <c r="G480" s="18">
        <v>0.0</v>
      </c>
      <c r="H480" s="10">
        <v>1.0</v>
      </c>
      <c r="I480" s="19">
        <v>4.0</v>
      </c>
      <c r="J480" s="12"/>
      <c r="K480" s="12">
        <f t="shared" si="27"/>
        <v>5500</v>
      </c>
      <c r="L480" s="13" t="str">
        <f t="shared" si="21"/>
        <v>14 5-star + 3 RFC + 0 DME + 1 Patient Portal Login + 4 Completed Task</v>
      </c>
      <c r="M480" s="14"/>
      <c r="N480" s="14"/>
      <c r="O480" s="14"/>
      <c r="P480" s="14"/>
    </row>
    <row r="481" hidden="1">
      <c r="A481" s="6" t="s">
        <v>226</v>
      </c>
      <c r="B481" s="16" t="s">
        <v>143</v>
      </c>
      <c r="C481" s="16" t="s">
        <v>144</v>
      </c>
      <c r="D481" s="16" t="s">
        <v>145</v>
      </c>
      <c r="E481" s="17">
        <v>0.0</v>
      </c>
      <c r="F481" s="18">
        <v>0.0</v>
      </c>
      <c r="G481" s="18">
        <v>2.0</v>
      </c>
      <c r="H481" s="10">
        <v>5.0</v>
      </c>
      <c r="I481" s="19">
        <v>5.0</v>
      </c>
      <c r="J481" s="12"/>
      <c r="K481" s="12">
        <f t="shared" si="27"/>
        <v>3000</v>
      </c>
      <c r="L481" s="13" t="str">
        <f t="shared" si="21"/>
        <v>0 5-star + 0 RFC + 2 DME + 5 Patient Portal Login + 5 Completed Task</v>
      </c>
      <c r="M481" s="14"/>
      <c r="N481" s="14"/>
      <c r="O481" s="14"/>
      <c r="P481" s="14"/>
    </row>
    <row r="482" hidden="1">
      <c r="A482" s="6" t="s">
        <v>226</v>
      </c>
      <c r="B482" s="16" t="s">
        <v>146</v>
      </c>
      <c r="C482" s="16" t="s">
        <v>147</v>
      </c>
      <c r="D482" s="16" t="s">
        <v>148</v>
      </c>
      <c r="E482" s="17">
        <v>0.0</v>
      </c>
      <c r="F482" s="18">
        <v>0.0</v>
      </c>
      <c r="G482" s="18">
        <v>0.0</v>
      </c>
      <c r="H482" s="10">
        <v>0.0</v>
      </c>
      <c r="I482" s="19">
        <v>5.0</v>
      </c>
      <c r="J482" s="12"/>
      <c r="K482" s="12">
        <f t="shared" si="27"/>
        <v>1250</v>
      </c>
      <c r="L482" s="13" t="str">
        <f t="shared" si="21"/>
        <v>0 5-star + 0 RFC + 0 DME + 0 Patient Portal Login + 5 Completed Task</v>
      </c>
      <c r="M482" s="14"/>
      <c r="N482" s="14"/>
      <c r="O482" s="14"/>
      <c r="P482" s="14"/>
    </row>
    <row r="483" hidden="1">
      <c r="A483" s="6" t="s">
        <v>226</v>
      </c>
      <c r="B483" s="16" t="s">
        <v>149</v>
      </c>
      <c r="C483" s="16" t="s">
        <v>150</v>
      </c>
      <c r="D483" s="16" t="s">
        <v>151</v>
      </c>
      <c r="E483" s="17">
        <v>1.0</v>
      </c>
      <c r="F483" s="18">
        <v>1.0</v>
      </c>
      <c r="G483" s="18">
        <v>0.0</v>
      </c>
      <c r="H483" s="10">
        <v>5.0</v>
      </c>
      <c r="I483" s="19">
        <v>5.0</v>
      </c>
      <c r="J483" s="12"/>
      <c r="K483" s="12">
        <f t="shared" si="27"/>
        <v>3000</v>
      </c>
      <c r="L483" s="13" t="str">
        <f t="shared" si="21"/>
        <v>1 5-star + 1 RFC + 0 DME + 5 Patient Portal Login + 5 Completed Task</v>
      </c>
      <c r="M483" s="14"/>
      <c r="N483" s="14"/>
      <c r="O483" s="14"/>
      <c r="P483" s="14"/>
    </row>
    <row r="484" hidden="1">
      <c r="A484" s="6" t="s">
        <v>226</v>
      </c>
      <c r="B484" s="16" t="s">
        <v>152</v>
      </c>
      <c r="C484" s="16" t="s">
        <v>153</v>
      </c>
      <c r="D484" s="16" t="s">
        <v>154</v>
      </c>
      <c r="E484" s="17">
        <v>2.0</v>
      </c>
      <c r="F484" s="18">
        <v>1.0</v>
      </c>
      <c r="G484" s="18">
        <v>0.0</v>
      </c>
      <c r="H484" s="10">
        <v>5.0</v>
      </c>
      <c r="I484" s="19">
        <v>5.0</v>
      </c>
      <c r="J484" s="12"/>
      <c r="K484" s="12">
        <f t="shared" si="27"/>
        <v>3250</v>
      </c>
      <c r="L484" s="13" t="str">
        <f t="shared" si="21"/>
        <v>2 5-star + 1 RFC + 0 DME + 5 Patient Portal Login + 5 Completed Task</v>
      </c>
      <c r="M484" s="14"/>
      <c r="N484" s="14"/>
      <c r="O484" s="14"/>
      <c r="P484" s="14"/>
    </row>
    <row r="485" hidden="1">
      <c r="A485" s="6" t="s">
        <v>226</v>
      </c>
      <c r="B485" s="16" t="s">
        <v>155</v>
      </c>
      <c r="C485" s="16" t="s">
        <v>156</v>
      </c>
      <c r="D485" s="16" t="s">
        <v>157</v>
      </c>
      <c r="E485" s="17">
        <v>26.0</v>
      </c>
      <c r="F485" s="18">
        <v>1.0</v>
      </c>
      <c r="G485" s="18">
        <v>1.0</v>
      </c>
      <c r="H485" s="10">
        <v>5.0</v>
      </c>
      <c r="I485" s="19">
        <v>4.0</v>
      </c>
      <c r="J485" s="12"/>
      <c r="K485" s="12">
        <f t="shared" si="27"/>
        <v>9250</v>
      </c>
      <c r="L485" s="13" t="str">
        <f t="shared" si="21"/>
        <v>26 5-star + 1 RFC + 1 DME + 5 Patient Portal Login + 4 Completed Task</v>
      </c>
      <c r="M485" s="14"/>
      <c r="N485" s="14"/>
      <c r="O485" s="14"/>
      <c r="P485" s="14"/>
    </row>
    <row r="486" hidden="1">
      <c r="A486" s="6" t="s">
        <v>226</v>
      </c>
      <c r="B486" s="16" t="s">
        <v>158</v>
      </c>
      <c r="C486" s="16" t="s">
        <v>159</v>
      </c>
      <c r="D486" s="16" t="s">
        <v>160</v>
      </c>
      <c r="E486" s="17">
        <v>0.0</v>
      </c>
      <c r="F486" s="18">
        <v>0.0</v>
      </c>
      <c r="G486" s="18">
        <v>0.0</v>
      </c>
      <c r="H486" s="10">
        <v>1.0</v>
      </c>
      <c r="I486" s="19">
        <v>5.0</v>
      </c>
      <c r="J486" s="12"/>
      <c r="K486" s="12">
        <f t="shared" si="27"/>
        <v>1500</v>
      </c>
      <c r="L486" s="13" t="str">
        <f t="shared" si="21"/>
        <v>0 5-star + 0 RFC + 0 DME + 1 Patient Portal Login + 5 Completed Task</v>
      </c>
      <c r="M486" s="14"/>
      <c r="N486" s="14"/>
      <c r="O486" s="14"/>
      <c r="P486" s="14"/>
    </row>
    <row r="487" hidden="1">
      <c r="A487" s="6" t="s">
        <v>226</v>
      </c>
      <c r="B487" s="20" t="s">
        <v>161</v>
      </c>
      <c r="C487" s="20" t="s">
        <v>162</v>
      </c>
      <c r="D487" s="20" t="s">
        <v>163</v>
      </c>
      <c r="E487" s="17">
        <v>0.0</v>
      </c>
      <c r="F487" s="18">
        <v>1.0</v>
      </c>
      <c r="G487" s="18">
        <v>0.0</v>
      </c>
      <c r="H487" s="10">
        <v>5.0</v>
      </c>
      <c r="I487" s="19">
        <v>5.0</v>
      </c>
      <c r="J487" s="12"/>
      <c r="K487" s="12">
        <f t="shared" si="27"/>
        <v>2750</v>
      </c>
      <c r="L487" s="13" t="str">
        <f> E487 &amp; " 5-star + " &amp; E474 &amp; " RFC + " &amp; G487 &amp; " DME + " &amp; H487 &amp; " Patient Portal Login + " &amp; I487 &amp; " Completed Task"
</f>
        <v>0 5-star + 0 RFC + 0 DME + 5 Patient Portal Login + 5 Completed Task</v>
      </c>
      <c r="M487" s="14"/>
      <c r="N487" s="14"/>
      <c r="O487" s="14"/>
      <c r="P487" s="14"/>
    </row>
    <row r="488" hidden="1">
      <c r="A488" s="6" t="s">
        <v>226</v>
      </c>
      <c r="B488" s="20" t="s">
        <v>164</v>
      </c>
      <c r="C488" s="20" t="s">
        <v>165</v>
      </c>
      <c r="D488" s="20" t="s">
        <v>166</v>
      </c>
      <c r="E488" s="35"/>
      <c r="F488" s="36"/>
      <c r="G488" s="36"/>
      <c r="H488" s="37"/>
      <c r="I488" s="38"/>
      <c r="J488" s="12"/>
      <c r="K488" s="12">
        <f t="shared" si="27"/>
        <v>0</v>
      </c>
      <c r="L488" s="13" t="str">
        <f t="shared" ref="L488:L552" si="28"> E488 &amp; " 5-star + " &amp; F488 &amp; " RFC + " &amp; G488 &amp; " DME + " &amp; H488 &amp; " Patient Portal Login + " &amp; I488 &amp; " Completed Task"
</f>
        <v> 5-star +  RFC +  DME +  Patient Portal Login +  Completed Task</v>
      </c>
      <c r="M488" s="14"/>
      <c r="N488" s="14"/>
      <c r="O488" s="14"/>
      <c r="P488" s="14"/>
    </row>
    <row r="489" hidden="1">
      <c r="A489" s="6" t="s">
        <v>226</v>
      </c>
      <c r="B489" s="20" t="s">
        <v>167</v>
      </c>
      <c r="C489" s="20" t="s">
        <v>168</v>
      </c>
      <c r="D489" s="20" t="s">
        <v>169</v>
      </c>
      <c r="E489" s="17">
        <v>1.0</v>
      </c>
      <c r="F489" s="18">
        <v>2.0</v>
      </c>
      <c r="G489" s="18">
        <v>3.0</v>
      </c>
      <c r="H489" s="10">
        <v>1.0</v>
      </c>
      <c r="I489" s="19">
        <v>5.0</v>
      </c>
      <c r="J489" s="12"/>
      <c r="K489" s="12">
        <f t="shared" si="27"/>
        <v>3000</v>
      </c>
      <c r="L489" s="13" t="str">
        <f t="shared" si="28"/>
        <v>1 5-star + 2 RFC + 3 DME + 1 Patient Portal Login + 5 Completed Task</v>
      </c>
      <c r="M489" s="14"/>
      <c r="N489" s="14"/>
      <c r="O489" s="14"/>
      <c r="P489" s="14"/>
    </row>
    <row r="490" hidden="1">
      <c r="A490" s="6" t="s">
        <v>226</v>
      </c>
      <c r="B490" s="20" t="s">
        <v>222</v>
      </c>
      <c r="C490" s="20" t="s">
        <v>171</v>
      </c>
      <c r="D490" s="20" t="s">
        <v>172</v>
      </c>
      <c r="E490" s="17">
        <v>3.0</v>
      </c>
      <c r="F490" s="18">
        <v>4.0</v>
      </c>
      <c r="G490" s="18">
        <v>1.0</v>
      </c>
      <c r="H490" s="10">
        <v>6.0</v>
      </c>
      <c r="I490" s="19">
        <v>5.0</v>
      </c>
      <c r="J490" s="12"/>
      <c r="K490" s="12">
        <f t="shared" si="27"/>
        <v>4750</v>
      </c>
      <c r="L490" s="13" t="str">
        <f t="shared" si="28"/>
        <v>3 5-star + 4 RFC + 1 DME + 6 Patient Portal Login + 5 Completed Task</v>
      </c>
      <c r="M490" s="14"/>
      <c r="N490" s="14"/>
      <c r="O490" s="14"/>
      <c r="P490" s="14"/>
    </row>
    <row r="491" hidden="1">
      <c r="A491" s="6" t="s">
        <v>226</v>
      </c>
      <c r="B491" s="16" t="s">
        <v>173</v>
      </c>
      <c r="C491" s="16" t="s">
        <v>174</v>
      </c>
      <c r="D491" s="16" t="s">
        <v>175</v>
      </c>
      <c r="E491" s="17">
        <v>1.0</v>
      </c>
      <c r="F491" s="18">
        <v>1.0</v>
      </c>
      <c r="G491" s="18">
        <v>1.0</v>
      </c>
      <c r="H491" s="10">
        <v>11.0</v>
      </c>
      <c r="I491" s="19">
        <v>5.0</v>
      </c>
      <c r="J491" s="12"/>
      <c r="K491" s="12">
        <f t="shared" si="27"/>
        <v>4750</v>
      </c>
      <c r="L491" s="13" t="str">
        <f t="shared" si="28"/>
        <v>1 5-star + 1 RFC + 1 DME + 11 Patient Portal Login + 5 Completed Task</v>
      </c>
      <c r="M491" s="14"/>
      <c r="N491" s="14"/>
      <c r="O491" s="14"/>
      <c r="P491" s="14"/>
    </row>
    <row r="492" hidden="1">
      <c r="A492" s="6" t="s">
        <v>226</v>
      </c>
      <c r="B492" s="16" t="s">
        <v>176</v>
      </c>
      <c r="C492" s="16" t="s">
        <v>177</v>
      </c>
      <c r="D492" s="16" t="s">
        <v>178</v>
      </c>
      <c r="E492" s="17">
        <v>1.0</v>
      </c>
      <c r="F492" s="18">
        <v>0.0</v>
      </c>
      <c r="G492" s="18">
        <v>0.0</v>
      </c>
      <c r="H492" s="10">
        <v>3.0</v>
      </c>
      <c r="I492" s="19">
        <v>5.0</v>
      </c>
      <c r="J492" s="12"/>
      <c r="K492" s="12">
        <f t="shared" si="27"/>
        <v>2250</v>
      </c>
      <c r="L492" s="13" t="str">
        <f t="shared" si="28"/>
        <v>1 5-star + 0 RFC + 0 DME + 3 Patient Portal Login + 5 Completed Task</v>
      </c>
      <c r="M492" s="14"/>
      <c r="N492" s="14"/>
      <c r="O492" s="14"/>
      <c r="P492" s="14"/>
    </row>
    <row r="493" hidden="1">
      <c r="A493" s="6" t="s">
        <v>226</v>
      </c>
      <c r="B493" s="21" t="s">
        <v>179</v>
      </c>
      <c r="C493" s="21" t="s">
        <v>180</v>
      </c>
      <c r="D493" s="21" t="s">
        <v>181</v>
      </c>
      <c r="E493" s="17">
        <v>1.0</v>
      </c>
      <c r="F493" s="18">
        <v>0.0</v>
      </c>
      <c r="G493" s="18">
        <v>1.0</v>
      </c>
      <c r="H493" s="10">
        <v>25.0</v>
      </c>
      <c r="I493" s="19">
        <v>4.0</v>
      </c>
      <c r="J493" s="12"/>
      <c r="K493" s="12">
        <f t="shared" si="27"/>
        <v>7750</v>
      </c>
      <c r="L493" s="13" t="str">
        <f t="shared" si="28"/>
        <v>1 5-star + 0 RFC + 1 DME + 25 Patient Portal Login + 4 Completed Task</v>
      </c>
      <c r="M493" s="14"/>
      <c r="N493" s="14"/>
      <c r="O493" s="23"/>
      <c r="P493" s="23"/>
    </row>
    <row r="494" hidden="1">
      <c r="A494" s="6" t="s">
        <v>226</v>
      </c>
      <c r="B494" s="21" t="s">
        <v>182</v>
      </c>
      <c r="C494" s="21" t="s">
        <v>183</v>
      </c>
      <c r="D494" s="21" t="s">
        <v>184</v>
      </c>
      <c r="E494" s="17">
        <v>1.0</v>
      </c>
      <c r="F494" s="18">
        <v>0.0</v>
      </c>
      <c r="G494" s="18">
        <v>0.0</v>
      </c>
      <c r="H494" s="10">
        <v>7.0</v>
      </c>
      <c r="I494" s="19">
        <v>4.0</v>
      </c>
      <c r="J494" s="12"/>
      <c r="K494" s="12">
        <f t="shared" si="27"/>
        <v>3000</v>
      </c>
      <c r="L494" s="13" t="str">
        <f t="shared" si="28"/>
        <v>1 5-star + 0 RFC + 0 DME + 7 Patient Portal Login + 4 Completed Task</v>
      </c>
      <c r="M494" s="14"/>
      <c r="N494" s="14"/>
      <c r="O494" s="23"/>
      <c r="P494" s="23"/>
    </row>
    <row r="495" hidden="1">
      <c r="A495" s="6" t="s">
        <v>226</v>
      </c>
      <c r="B495" s="21" t="s">
        <v>185</v>
      </c>
      <c r="C495" s="21" t="s">
        <v>186</v>
      </c>
      <c r="D495" s="21" t="s">
        <v>187</v>
      </c>
      <c r="E495" s="17">
        <v>38.0</v>
      </c>
      <c r="F495" s="18">
        <v>5.0</v>
      </c>
      <c r="G495" s="18">
        <v>0.0</v>
      </c>
      <c r="H495" s="10">
        <v>3.0</v>
      </c>
      <c r="I495" s="19">
        <v>5.0</v>
      </c>
      <c r="J495" s="12"/>
      <c r="K495" s="12">
        <f t="shared" si="27"/>
        <v>12750</v>
      </c>
      <c r="L495" s="13" t="str">
        <f t="shared" si="28"/>
        <v>38 5-star + 5 RFC + 0 DME + 3 Patient Portal Login + 5 Completed Task</v>
      </c>
      <c r="M495" s="14"/>
      <c r="N495" s="14"/>
      <c r="O495" s="23"/>
      <c r="P495" s="23"/>
    </row>
    <row r="496" hidden="1">
      <c r="A496" s="6" t="s">
        <v>226</v>
      </c>
      <c r="B496" s="21" t="s">
        <v>188</v>
      </c>
      <c r="C496" s="21" t="s">
        <v>189</v>
      </c>
      <c r="D496" s="21" t="s">
        <v>190</v>
      </c>
      <c r="E496" s="17">
        <v>3.0</v>
      </c>
      <c r="F496" s="18">
        <v>0.0</v>
      </c>
      <c r="G496" s="18">
        <v>0.0</v>
      </c>
      <c r="H496" s="10">
        <v>8.0</v>
      </c>
      <c r="I496" s="19">
        <v>5.0</v>
      </c>
      <c r="J496" s="12"/>
      <c r="K496" s="12">
        <f t="shared" si="27"/>
        <v>4000</v>
      </c>
      <c r="L496" s="13" t="str">
        <f t="shared" si="28"/>
        <v>3 5-star + 0 RFC + 0 DME + 8 Patient Portal Login + 5 Completed Task</v>
      </c>
      <c r="M496" s="14"/>
      <c r="N496" s="14"/>
      <c r="O496" s="23"/>
      <c r="P496" s="23"/>
    </row>
    <row r="497" hidden="1">
      <c r="A497" s="6" t="s">
        <v>226</v>
      </c>
      <c r="B497" s="21" t="s">
        <v>191</v>
      </c>
      <c r="C497" s="21" t="s">
        <v>192</v>
      </c>
      <c r="D497" s="21" t="s">
        <v>193</v>
      </c>
      <c r="E497" s="17">
        <v>0.0</v>
      </c>
      <c r="F497" s="18">
        <v>1.0</v>
      </c>
      <c r="G497" s="18">
        <v>1.0</v>
      </c>
      <c r="H497" s="10">
        <v>1.0</v>
      </c>
      <c r="I497" s="19">
        <v>5.0</v>
      </c>
      <c r="J497" s="12"/>
      <c r="K497" s="12">
        <f t="shared" si="27"/>
        <v>2000</v>
      </c>
      <c r="L497" s="13" t="str">
        <f t="shared" si="28"/>
        <v>0 5-star + 1 RFC + 1 DME + 1 Patient Portal Login + 5 Completed Task</v>
      </c>
      <c r="M497" s="14"/>
      <c r="N497" s="14"/>
      <c r="O497" s="23"/>
      <c r="P497" s="23"/>
    </row>
    <row r="498" hidden="1">
      <c r="A498" s="6" t="s">
        <v>226</v>
      </c>
      <c r="B498" s="21" t="s">
        <v>194</v>
      </c>
      <c r="C498" s="21" t="s">
        <v>195</v>
      </c>
      <c r="D498" s="21" t="s">
        <v>196</v>
      </c>
      <c r="E498" s="35"/>
      <c r="F498" s="36"/>
      <c r="G498" s="36"/>
      <c r="H498" s="37"/>
      <c r="I498" s="38"/>
      <c r="J498" s="12"/>
      <c r="K498" s="12">
        <f t="shared" ref="K498:K499" si="29">sum(E498*250)+(F498*500)+(G498*250)+(H498*250)+(I498*250)</f>
        <v>0</v>
      </c>
      <c r="L498" s="13" t="str">
        <f t="shared" si="28"/>
        <v> 5-star +  RFC +  DME +  Patient Portal Login +  Completed Task</v>
      </c>
      <c r="M498" s="14"/>
      <c r="N498" s="14"/>
      <c r="O498" s="23"/>
      <c r="P498" s="23"/>
    </row>
    <row r="499" hidden="1">
      <c r="A499" s="6" t="s">
        <v>226</v>
      </c>
      <c r="B499" s="21" t="s">
        <v>197</v>
      </c>
      <c r="C499" s="21" t="s">
        <v>198</v>
      </c>
      <c r="D499" s="21" t="s">
        <v>199</v>
      </c>
      <c r="E499" s="17">
        <v>0.0</v>
      </c>
      <c r="F499" s="18">
        <v>1.0</v>
      </c>
      <c r="G499" s="18">
        <v>1.0</v>
      </c>
      <c r="H499" s="10">
        <v>4.0</v>
      </c>
      <c r="I499" s="19">
        <v>5.0</v>
      </c>
      <c r="J499" s="12"/>
      <c r="K499" s="12">
        <f t="shared" si="29"/>
        <v>3000</v>
      </c>
      <c r="L499" s="13" t="str">
        <f t="shared" si="28"/>
        <v>0 5-star + 1 RFC + 1 DME + 4 Patient Portal Login + 5 Completed Task</v>
      </c>
      <c r="M499" s="14"/>
      <c r="N499" s="14"/>
      <c r="O499" s="23"/>
      <c r="P499" s="23"/>
    </row>
    <row r="500" hidden="1">
      <c r="A500" s="6" t="s">
        <v>226</v>
      </c>
      <c r="B500" s="21" t="s">
        <v>200</v>
      </c>
      <c r="C500" s="21" t="s">
        <v>201</v>
      </c>
      <c r="D500" s="21" t="s">
        <v>202</v>
      </c>
      <c r="E500" s="17">
        <v>1.0</v>
      </c>
      <c r="F500" s="18">
        <v>0.0</v>
      </c>
      <c r="G500" s="18">
        <v>0.0</v>
      </c>
      <c r="H500" s="10">
        <v>0.0</v>
      </c>
      <c r="I500" s="19">
        <v>5.0</v>
      </c>
      <c r="J500" s="12"/>
      <c r="K500" s="12">
        <f t="shared" ref="K500:K504" si="30">sum(E500*250)+(F500*250)+(G500*250)+(H500*250)+(I500*250)</f>
        <v>1500</v>
      </c>
      <c r="L500" s="13" t="str">
        <f t="shared" si="28"/>
        <v>1 5-star + 0 RFC + 0 DME + 0 Patient Portal Login + 5 Completed Task</v>
      </c>
      <c r="M500" s="14"/>
      <c r="N500" s="14"/>
      <c r="O500" s="23"/>
      <c r="P500" s="23"/>
    </row>
    <row r="501" hidden="1">
      <c r="A501" s="6" t="s">
        <v>237</v>
      </c>
      <c r="B501" s="16" t="s">
        <v>207</v>
      </c>
      <c r="C501" s="16" t="s">
        <v>208</v>
      </c>
      <c r="D501" s="16" t="s">
        <v>209</v>
      </c>
      <c r="E501" s="17">
        <v>0.0</v>
      </c>
      <c r="F501" s="18">
        <v>0.0</v>
      </c>
      <c r="G501" s="18">
        <v>0.0</v>
      </c>
      <c r="H501" s="10">
        <v>3.0</v>
      </c>
      <c r="I501" s="19">
        <v>5.0</v>
      </c>
      <c r="J501" s="12"/>
      <c r="K501" s="12">
        <f t="shared" si="30"/>
        <v>2000</v>
      </c>
      <c r="L501" s="13" t="str">
        <f t="shared" si="28"/>
        <v>0 5-star + 0 RFC + 0 DME + 3 Patient Portal Login + 5 Completed Task</v>
      </c>
      <c r="M501" s="14"/>
      <c r="N501" s="14"/>
      <c r="O501" s="14"/>
      <c r="P501" s="14"/>
    </row>
    <row r="502" hidden="1">
      <c r="A502" s="6" t="s">
        <v>237</v>
      </c>
      <c r="B502" s="16" t="s">
        <v>210</v>
      </c>
      <c r="C502" s="16" t="s">
        <v>211</v>
      </c>
      <c r="D502" s="16" t="s">
        <v>212</v>
      </c>
      <c r="E502" s="17">
        <v>0.0</v>
      </c>
      <c r="F502" s="18">
        <v>1.0</v>
      </c>
      <c r="G502" s="18">
        <v>0.0</v>
      </c>
      <c r="H502" s="10">
        <v>0.0</v>
      </c>
      <c r="I502" s="19">
        <v>5.0</v>
      </c>
      <c r="J502" s="12"/>
      <c r="K502" s="12">
        <f t="shared" si="30"/>
        <v>1500</v>
      </c>
      <c r="L502" s="13" t="str">
        <f t="shared" si="28"/>
        <v>0 5-star + 1 RFC + 0 DME + 0 Patient Portal Login + 5 Completed Task</v>
      </c>
      <c r="M502" s="14"/>
      <c r="N502" s="14"/>
      <c r="O502" s="14"/>
      <c r="P502" s="14"/>
    </row>
    <row r="503" hidden="1">
      <c r="A503" s="6" t="s">
        <v>237</v>
      </c>
      <c r="B503" s="16" t="s">
        <v>213</v>
      </c>
      <c r="C503" s="16" t="s">
        <v>214</v>
      </c>
      <c r="D503" s="16" t="s">
        <v>215</v>
      </c>
      <c r="E503" s="17">
        <v>0.0</v>
      </c>
      <c r="F503" s="18">
        <v>2.0</v>
      </c>
      <c r="G503" s="18">
        <v>1.0</v>
      </c>
      <c r="H503" s="10">
        <v>10.0</v>
      </c>
      <c r="I503" s="19">
        <v>5.0</v>
      </c>
      <c r="J503" s="12"/>
      <c r="K503" s="12">
        <f t="shared" si="30"/>
        <v>4500</v>
      </c>
      <c r="L503" s="13" t="str">
        <f t="shared" si="28"/>
        <v>0 5-star + 2 RFC + 1 DME + 10 Patient Portal Login + 5 Completed Task</v>
      </c>
      <c r="M503" s="14"/>
      <c r="N503" s="14"/>
      <c r="O503" s="14"/>
      <c r="P503" s="14"/>
    </row>
    <row r="504" hidden="1">
      <c r="A504" s="6" t="s">
        <v>237</v>
      </c>
      <c r="B504" s="16" t="s">
        <v>216</v>
      </c>
      <c r="C504" s="16" t="s">
        <v>217</v>
      </c>
      <c r="D504" s="16" t="s">
        <v>218</v>
      </c>
      <c r="E504" s="17">
        <v>0.0</v>
      </c>
      <c r="F504" s="18">
        <v>1.0</v>
      </c>
      <c r="G504" s="18">
        <v>0.0</v>
      </c>
      <c r="H504" s="10">
        <v>4.0</v>
      </c>
      <c r="I504" s="19">
        <v>5.0</v>
      </c>
      <c r="J504" s="12"/>
      <c r="K504" s="12">
        <f t="shared" si="30"/>
        <v>2500</v>
      </c>
      <c r="L504" s="13" t="str">
        <f t="shared" si="28"/>
        <v>0 5-star + 1 RFC + 0 DME + 4 Patient Portal Login + 5 Completed Task</v>
      </c>
      <c r="M504" s="14"/>
      <c r="N504" s="14"/>
      <c r="O504" s="14"/>
      <c r="P504" s="14"/>
    </row>
    <row r="505" hidden="1">
      <c r="A505" s="6" t="s">
        <v>237</v>
      </c>
      <c r="B505" s="16" t="s">
        <v>32</v>
      </c>
      <c r="C505" s="16" t="s">
        <v>227</v>
      </c>
      <c r="D505" s="16" t="s">
        <v>34</v>
      </c>
      <c r="E505" s="35"/>
      <c r="F505" s="36"/>
      <c r="G505" s="36"/>
      <c r="H505" s="37"/>
      <c r="I505" s="38"/>
      <c r="J505" s="12"/>
      <c r="K505" s="12">
        <f t="shared" ref="K505:K513" si="31">sum(E505*250)+(F505*500)+(G505*250)+(H505*250)+(I505*250)</f>
        <v>0</v>
      </c>
      <c r="L505" s="13" t="str">
        <f t="shared" si="28"/>
        <v> 5-star +  RFC +  DME +  Patient Portal Login +  Completed Task</v>
      </c>
      <c r="M505" s="14"/>
      <c r="N505" s="14"/>
      <c r="O505" s="14"/>
      <c r="P505" s="14"/>
    </row>
    <row r="506" hidden="1">
      <c r="A506" s="6" t="s">
        <v>237</v>
      </c>
      <c r="B506" s="16" t="s">
        <v>29</v>
      </c>
      <c r="C506" s="16" t="s">
        <v>228</v>
      </c>
      <c r="D506" s="16" t="s">
        <v>31</v>
      </c>
      <c r="E506" s="35"/>
      <c r="F506" s="36"/>
      <c r="G506" s="36"/>
      <c r="H506" s="37"/>
      <c r="I506" s="38"/>
      <c r="J506" s="12"/>
      <c r="K506" s="12">
        <f t="shared" si="31"/>
        <v>0</v>
      </c>
      <c r="L506" s="13" t="str">
        <f t="shared" si="28"/>
        <v> 5-star +  RFC +  DME +  Patient Portal Login +  Completed Task</v>
      </c>
      <c r="M506" s="14"/>
      <c r="N506" s="14"/>
      <c r="O506" s="14"/>
      <c r="P506" s="14"/>
    </row>
    <row r="507" hidden="1">
      <c r="A507" s="6" t="s">
        <v>237</v>
      </c>
      <c r="B507" s="16" t="s">
        <v>26</v>
      </c>
      <c r="C507" s="16" t="s">
        <v>229</v>
      </c>
      <c r="D507" s="16" t="s">
        <v>28</v>
      </c>
      <c r="E507" s="35"/>
      <c r="F507" s="36"/>
      <c r="G507" s="36"/>
      <c r="H507" s="37"/>
      <c r="I507" s="38"/>
      <c r="J507" s="12"/>
      <c r="K507" s="12">
        <f t="shared" si="31"/>
        <v>0</v>
      </c>
      <c r="L507" s="13" t="str">
        <f t="shared" si="28"/>
        <v> 5-star +  RFC +  DME +  Patient Portal Login +  Completed Task</v>
      </c>
      <c r="M507" s="14"/>
      <c r="N507" s="14"/>
      <c r="O507" s="14"/>
      <c r="P507" s="14"/>
    </row>
    <row r="508" hidden="1">
      <c r="A508" s="6" t="s">
        <v>237</v>
      </c>
      <c r="B508" s="16" t="s">
        <v>23</v>
      </c>
      <c r="C508" s="16" t="s">
        <v>230</v>
      </c>
      <c r="D508" s="16" t="s">
        <v>25</v>
      </c>
      <c r="E508" s="35"/>
      <c r="F508" s="36"/>
      <c r="G508" s="36"/>
      <c r="H508" s="37"/>
      <c r="I508" s="38"/>
      <c r="J508" s="12"/>
      <c r="K508" s="12">
        <f t="shared" si="31"/>
        <v>0</v>
      </c>
      <c r="L508" s="13" t="str">
        <f t="shared" si="28"/>
        <v> 5-star +  RFC +  DME +  Patient Portal Login +  Completed Task</v>
      </c>
      <c r="M508" s="14"/>
      <c r="N508" s="14"/>
      <c r="O508" s="14"/>
      <c r="P508" s="14"/>
    </row>
    <row r="509" hidden="1">
      <c r="A509" s="6" t="s">
        <v>237</v>
      </c>
      <c r="B509" s="16" t="s">
        <v>20</v>
      </c>
      <c r="C509" s="16" t="s">
        <v>231</v>
      </c>
      <c r="D509" s="16" t="s">
        <v>22</v>
      </c>
      <c r="E509" s="35"/>
      <c r="F509" s="36"/>
      <c r="G509" s="36"/>
      <c r="H509" s="37"/>
      <c r="I509" s="38"/>
      <c r="J509" s="12"/>
      <c r="K509" s="12">
        <f t="shared" si="31"/>
        <v>0</v>
      </c>
      <c r="L509" s="13" t="str">
        <f t="shared" si="28"/>
        <v> 5-star +  RFC +  DME +  Patient Portal Login +  Completed Task</v>
      </c>
      <c r="M509" s="14"/>
      <c r="N509" s="14"/>
      <c r="O509" s="14"/>
      <c r="P509" s="14"/>
    </row>
    <row r="510" hidden="1">
      <c r="A510" s="6" t="s">
        <v>237</v>
      </c>
      <c r="B510" s="16" t="s">
        <v>17</v>
      </c>
      <c r="C510" s="16" t="s">
        <v>232</v>
      </c>
      <c r="D510" s="16" t="s">
        <v>19</v>
      </c>
      <c r="E510" s="35"/>
      <c r="F510" s="36"/>
      <c r="G510" s="36"/>
      <c r="H510" s="37"/>
      <c r="I510" s="38"/>
      <c r="J510" s="39"/>
      <c r="K510" s="39">
        <f t="shared" si="31"/>
        <v>0</v>
      </c>
      <c r="L510" s="13" t="str">
        <f t="shared" si="28"/>
        <v> 5-star +  RFC +  DME +  Patient Portal Login +  Completed Task</v>
      </c>
      <c r="M510" s="14"/>
      <c r="N510" s="14"/>
      <c r="O510" s="14"/>
      <c r="P510" s="14"/>
    </row>
    <row r="511" hidden="1">
      <c r="A511" s="6" t="s">
        <v>237</v>
      </c>
      <c r="B511" s="16" t="s">
        <v>14</v>
      </c>
      <c r="C511" s="16" t="s">
        <v>233</v>
      </c>
      <c r="D511" s="16" t="s">
        <v>16</v>
      </c>
      <c r="E511" s="35"/>
      <c r="F511" s="36"/>
      <c r="G511" s="36"/>
      <c r="H511" s="37"/>
      <c r="I511" s="38"/>
      <c r="J511" s="39"/>
      <c r="K511" s="39">
        <f t="shared" si="31"/>
        <v>0</v>
      </c>
      <c r="L511" s="13" t="str">
        <f t="shared" si="28"/>
        <v> 5-star +  RFC +  DME +  Patient Portal Login +  Completed Task</v>
      </c>
      <c r="M511" s="14"/>
      <c r="N511" s="14"/>
      <c r="O511" s="14"/>
      <c r="P511" s="14"/>
    </row>
    <row r="512" hidden="1">
      <c r="A512" s="6" t="s">
        <v>237</v>
      </c>
      <c r="B512" s="16" t="s">
        <v>234</v>
      </c>
      <c r="C512" s="16" t="s">
        <v>235</v>
      </c>
      <c r="D512" s="16" t="s">
        <v>236</v>
      </c>
      <c r="E512" s="35"/>
      <c r="F512" s="36"/>
      <c r="G512" s="36"/>
      <c r="H512" s="37"/>
      <c r="I512" s="38"/>
      <c r="J512" s="12"/>
      <c r="K512" s="12">
        <f t="shared" si="31"/>
        <v>0</v>
      </c>
      <c r="L512" s="13" t="str">
        <f t="shared" si="28"/>
        <v> 5-star +  RFC +  DME +  Patient Portal Login +  Completed Task</v>
      </c>
      <c r="M512" s="14"/>
      <c r="N512" s="14"/>
      <c r="O512" s="14"/>
      <c r="P512" s="14"/>
    </row>
    <row r="513" hidden="1">
      <c r="A513" s="6" t="s">
        <v>237</v>
      </c>
      <c r="B513" s="16" t="s">
        <v>35</v>
      </c>
      <c r="C513" s="16" t="s">
        <v>36</v>
      </c>
      <c r="D513" s="16" t="s">
        <v>37</v>
      </c>
      <c r="E513" s="35"/>
      <c r="F513" s="36"/>
      <c r="G513" s="36"/>
      <c r="H513" s="37"/>
      <c r="I513" s="38"/>
      <c r="J513" s="12"/>
      <c r="K513" s="12">
        <f t="shared" si="31"/>
        <v>0</v>
      </c>
      <c r="L513" s="13" t="str">
        <f t="shared" si="28"/>
        <v> 5-star +  RFC +  DME +  Patient Portal Login +  Completed Task</v>
      </c>
      <c r="M513" s="14"/>
      <c r="N513" s="14"/>
      <c r="O513" s="14"/>
      <c r="P513" s="14"/>
    </row>
    <row r="514" hidden="1">
      <c r="A514" s="6" t="s">
        <v>237</v>
      </c>
      <c r="B514" s="16" t="s">
        <v>41</v>
      </c>
      <c r="C514" s="16" t="s">
        <v>42</v>
      </c>
      <c r="D514" s="16" t="s">
        <v>43</v>
      </c>
      <c r="E514" s="17">
        <v>1.0</v>
      </c>
      <c r="F514" s="18">
        <v>1.0</v>
      </c>
      <c r="G514" s="18">
        <v>0.0</v>
      </c>
      <c r="H514" s="10">
        <v>11.0</v>
      </c>
      <c r="I514" s="19">
        <v>5.0</v>
      </c>
      <c r="J514" s="12"/>
      <c r="K514" s="12">
        <f>sum(E514*250)+(F514*250)+(G514*250)+(H514*250)+(I514*250)</f>
        <v>4500</v>
      </c>
      <c r="L514" s="13" t="str">
        <f t="shared" si="28"/>
        <v>1 5-star + 1 RFC + 0 DME + 11 Patient Portal Login + 5 Completed Task</v>
      </c>
      <c r="M514" s="14"/>
      <c r="N514" s="14"/>
      <c r="O514" s="14"/>
      <c r="P514" s="14"/>
    </row>
    <row r="515" hidden="1">
      <c r="A515" s="6" t="s">
        <v>237</v>
      </c>
      <c r="B515" s="16" t="s">
        <v>44</v>
      </c>
      <c r="C515" s="16" t="s">
        <v>45</v>
      </c>
      <c r="D515" s="16" t="s">
        <v>46</v>
      </c>
      <c r="E515" s="35"/>
      <c r="F515" s="36"/>
      <c r="G515" s="36"/>
      <c r="H515" s="37"/>
      <c r="I515" s="38"/>
      <c r="J515" s="12"/>
      <c r="K515" s="12">
        <f>sum(E515*250)+(F515*500)+(G515*250)+(H515*250)+(I515*250)</f>
        <v>0</v>
      </c>
      <c r="L515" s="13" t="str">
        <f t="shared" si="28"/>
        <v> 5-star +  RFC +  DME +  Patient Portal Login +  Completed Task</v>
      </c>
      <c r="M515" s="14"/>
      <c r="N515" s="14"/>
      <c r="O515" s="14"/>
      <c r="P515" s="14"/>
    </row>
    <row r="516" hidden="1">
      <c r="A516" s="6" t="s">
        <v>237</v>
      </c>
      <c r="B516" s="16" t="s">
        <v>47</v>
      </c>
      <c r="C516" s="16" t="s">
        <v>48</v>
      </c>
      <c r="D516" s="16" t="s">
        <v>49</v>
      </c>
      <c r="E516" s="17">
        <v>0.0</v>
      </c>
      <c r="F516" s="18">
        <v>2.0</v>
      </c>
      <c r="G516" s="18">
        <v>1.0</v>
      </c>
      <c r="H516" s="10">
        <v>18.0</v>
      </c>
      <c r="I516" s="19">
        <v>4.0</v>
      </c>
      <c r="J516" s="12"/>
      <c r="K516" s="12">
        <f t="shared" ref="K516:K519" si="32">sum(E516*250)+(F516*250)+(G516*250)+(H516*250)+(I516*250)</f>
        <v>6250</v>
      </c>
      <c r="L516" s="13" t="str">
        <f t="shared" si="28"/>
        <v>0 5-star + 2 RFC + 1 DME + 18 Patient Portal Login + 4 Completed Task</v>
      </c>
      <c r="M516" s="14"/>
      <c r="N516" s="14"/>
      <c r="O516" s="14"/>
      <c r="P516" s="14"/>
    </row>
    <row r="517" hidden="1">
      <c r="A517" s="6" t="s">
        <v>237</v>
      </c>
      <c r="B517" s="16" t="s">
        <v>50</v>
      </c>
      <c r="C517" s="16" t="s">
        <v>51</v>
      </c>
      <c r="D517" s="16" t="s">
        <v>52</v>
      </c>
      <c r="E517" s="17">
        <v>0.0</v>
      </c>
      <c r="F517" s="18">
        <v>0.0</v>
      </c>
      <c r="G517" s="18">
        <v>0.0</v>
      </c>
      <c r="H517" s="10">
        <v>6.0</v>
      </c>
      <c r="I517" s="19">
        <v>5.0</v>
      </c>
      <c r="J517" s="12"/>
      <c r="K517" s="12">
        <f t="shared" si="32"/>
        <v>2750</v>
      </c>
      <c r="L517" s="13" t="str">
        <f t="shared" si="28"/>
        <v>0 5-star + 0 RFC + 0 DME + 6 Patient Portal Login + 5 Completed Task</v>
      </c>
      <c r="M517" s="14"/>
      <c r="N517" s="14"/>
      <c r="O517" s="14"/>
      <c r="P517" s="14"/>
    </row>
    <row r="518" hidden="1">
      <c r="A518" s="6" t="s">
        <v>237</v>
      </c>
      <c r="B518" s="16" t="s">
        <v>53</v>
      </c>
      <c r="C518" s="16" t="s">
        <v>54</v>
      </c>
      <c r="D518" s="16" t="s">
        <v>55</v>
      </c>
      <c r="E518" s="17">
        <v>3.0</v>
      </c>
      <c r="F518" s="18">
        <v>4.0</v>
      </c>
      <c r="G518" s="18">
        <v>1.0</v>
      </c>
      <c r="H518" s="10">
        <v>3.0</v>
      </c>
      <c r="I518" s="19">
        <v>5.0</v>
      </c>
      <c r="J518" s="12"/>
      <c r="K518" s="12">
        <f t="shared" si="32"/>
        <v>4000</v>
      </c>
      <c r="L518" s="13" t="str">
        <f t="shared" si="28"/>
        <v>3 5-star + 4 RFC + 1 DME + 3 Patient Portal Login + 5 Completed Task</v>
      </c>
      <c r="M518" s="14"/>
      <c r="N518" s="14"/>
      <c r="O518" s="14"/>
      <c r="P518" s="14"/>
    </row>
    <row r="519" hidden="1">
      <c r="A519" s="6" t="s">
        <v>237</v>
      </c>
      <c r="B519" s="16" t="s">
        <v>56</v>
      </c>
      <c r="C519" s="16" t="s">
        <v>57</v>
      </c>
      <c r="D519" s="16" t="s">
        <v>58</v>
      </c>
      <c r="E519" s="17">
        <v>1.0</v>
      </c>
      <c r="F519" s="18">
        <v>2.0</v>
      </c>
      <c r="G519" s="18">
        <v>0.0</v>
      </c>
      <c r="H519" s="10">
        <v>3.0</v>
      </c>
      <c r="I519" s="19">
        <v>5.0</v>
      </c>
      <c r="J519" s="12"/>
      <c r="K519" s="12">
        <f t="shared" si="32"/>
        <v>2750</v>
      </c>
      <c r="L519" s="13" t="str">
        <f t="shared" si="28"/>
        <v>1 5-star + 2 RFC + 0 DME + 3 Patient Portal Login + 5 Completed Task</v>
      </c>
      <c r="M519" s="14"/>
      <c r="N519" s="14"/>
      <c r="O519" s="14"/>
      <c r="P519" s="14"/>
    </row>
    <row r="520" hidden="1">
      <c r="A520" s="6" t="s">
        <v>237</v>
      </c>
      <c r="B520" s="16" t="s">
        <v>59</v>
      </c>
      <c r="C520" s="16" t="s">
        <v>60</v>
      </c>
      <c r="D520" s="16" t="s">
        <v>61</v>
      </c>
      <c r="E520" s="35"/>
      <c r="F520" s="36"/>
      <c r="G520" s="36"/>
      <c r="H520" s="37"/>
      <c r="I520" s="38"/>
      <c r="J520" s="12"/>
      <c r="K520" s="12">
        <f>sum(E520*250)+(F520*500)+(G520*250)+(H520*250)+(I520*250)</f>
        <v>0</v>
      </c>
      <c r="L520" s="13" t="str">
        <f t="shared" si="28"/>
        <v> 5-star +  RFC +  DME +  Patient Portal Login +  Completed Task</v>
      </c>
      <c r="M520" s="14"/>
      <c r="N520" s="14"/>
      <c r="O520" s="14"/>
      <c r="P520" s="14"/>
    </row>
    <row r="521" hidden="1">
      <c r="A521" s="6" t="s">
        <v>237</v>
      </c>
      <c r="B521" s="16" t="s">
        <v>62</v>
      </c>
      <c r="C521" s="16" t="s">
        <v>63</v>
      </c>
      <c r="D521" s="16" t="s">
        <v>64</v>
      </c>
      <c r="E521" s="17">
        <v>0.0</v>
      </c>
      <c r="F521" s="18">
        <v>0.0</v>
      </c>
      <c r="G521" s="18">
        <v>0.0</v>
      </c>
      <c r="H521" s="10">
        <v>7.0</v>
      </c>
      <c r="I521" s="19">
        <v>5.0</v>
      </c>
      <c r="J521" s="12"/>
      <c r="K521" s="12">
        <f t="shared" ref="K521:K527" si="33">sum(E521*250)+(F521*250)+(G521*250)+(H521*250)+(I521*250)</f>
        <v>3000</v>
      </c>
      <c r="L521" s="13" t="str">
        <f t="shared" si="28"/>
        <v>0 5-star + 0 RFC + 0 DME + 7 Patient Portal Login + 5 Completed Task</v>
      </c>
      <c r="M521" s="14"/>
      <c r="N521" s="14"/>
      <c r="O521" s="14"/>
      <c r="P521" s="14"/>
    </row>
    <row r="522" hidden="1">
      <c r="A522" s="6" t="s">
        <v>237</v>
      </c>
      <c r="B522" s="16" t="s">
        <v>65</v>
      </c>
      <c r="C522" s="16" t="s">
        <v>66</v>
      </c>
      <c r="D522" s="16" t="s">
        <v>67</v>
      </c>
      <c r="E522" s="17">
        <v>3.0</v>
      </c>
      <c r="F522" s="18">
        <v>3.0</v>
      </c>
      <c r="G522" s="18">
        <v>1.0</v>
      </c>
      <c r="H522" s="10">
        <v>5.0</v>
      </c>
      <c r="I522" s="19">
        <v>5.0</v>
      </c>
      <c r="J522" s="12"/>
      <c r="K522" s="12">
        <f t="shared" si="33"/>
        <v>4250</v>
      </c>
      <c r="L522" s="13" t="str">
        <f t="shared" si="28"/>
        <v>3 5-star + 3 RFC + 1 DME + 5 Patient Portal Login + 5 Completed Task</v>
      </c>
      <c r="M522" s="14"/>
      <c r="N522" s="14"/>
      <c r="O522" s="14"/>
      <c r="P522" s="14"/>
    </row>
    <row r="523" hidden="1">
      <c r="A523" s="6" t="s">
        <v>237</v>
      </c>
      <c r="B523" s="16" t="s">
        <v>68</v>
      </c>
      <c r="C523" s="16" t="s">
        <v>69</v>
      </c>
      <c r="D523" s="16" t="s">
        <v>70</v>
      </c>
      <c r="E523" s="17">
        <v>0.0</v>
      </c>
      <c r="F523" s="18">
        <v>0.0</v>
      </c>
      <c r="G523" s="18">
        <v>1.0</v>
      </c>
      <c r="H523" s="10">
        <v>8.0</v>
      </c>
      <c r="I523" s="19">
        <v>5.0</v>
      </c>
      <c r="J523" s="12"/>
      <c r="K523" s="12">
        <f t="shared" si="33"/>
        <v>3500</v>
      </c>
      <c r="L523" s="13" t="str">
        <f t="shared" si="28"/>
        <v>0 5-star + 0 RFC + 1 DME + 8 Patient Portal Login + 5 Completed Task</v>
      </c>
      <c r="M523" s="14"/>
      <c r="N523" s="14"/>
      <c r="O523" s="14"/>
      <c r="P523" s="14"/>
    </row>
    <row r="524" hidden="1">
      <c r="A524" s="6" t="s">
        <v>237</v>
      </c>
      <c r="B524" s="16" t="s">
        <v>71</v>
      </c>
      <c r="C524" s="16" t="s">
        <v>72</v>
      </c>
      <c r="D524" s="16" t="s">
        <v>73</v>
      </c>
      <c r="E524" s="17">
        <v>0.0</v>
      </c>
      <c r="F524" s="18">
        <v>11.0</v>
      </c>
      <c r="G524" s="18">
        <v>0.0</v>
      </c>
      <c r="H524" s="10">
        <v>15.0</v>
      </c>
      <c r="I524" s="19">
        <v>5.0</v>
      </c>
      <c r="J524" s="12"/>
      <c r="K524" s="12">
        <f t="shared" si="33"/>
        <v>7750</v>
      </c>
      <c r="L524" s="13" t="str">
        <f t="shared" si="28"/>
        <v>0 5-star + 11 RFC + 0 DME + 15 Patient Portal Login + 5 Completed Task</v>
      </c>
      <c r="M524" s="14"/>
      <c r="N524" s="14"/>
      <c r="O524" s="14"/>
      <c r="P524" s="14"/>
    </row>
    <row r="525" hidden="1">
      <c r="A525" s="6" t="s">
        <v>237</v>
      </c>
      <c r="B525" s="16" t="s">
        <v>74</v>
      </c>
      <c r="C525" s="16" t="s">
        <v>75</v>
      </c>
      <c r="D525" s="16" t="s">
        <v>76</v>
      </c>
      <c r="E525" s="17">
        <v>0.0</v>
      </c>
      <c r="F525" s="18">
        <v>0.0</v>
      </c>
      <c r="G525" s="18">
        <v>0.0</v>
      </c>
      <c r="H525" s="10">
        <v>4.0</v>
      </c>
      <c r="I525" s="19">
        <v>5.0</v>
      </c>
      <c r="J525" s="12"/>
      <c r="K525" s="12">
        <f t="shared" si="33"/>
        <v>2250</v>
      </c>
      <c r="L525" s="13" t="str">
        <f t="shared" si="28"/>
        <v>0 5-star + 0 RFC + 0 DME + 4 Patient Portal Login + 5 Completed Task</v>
      </c>
      <c r="M525" s="14"/>
      <c r="N525" s="14"/>
      <c r="O525" s="14"/>
      <c r="P525" s="14"/>
    </row>
    <row r="526" hidden="1">
      <c r="A526" s="6" t="s">
        <v>237</v>
      </c>
      <c r="B526" s="16" t="s">
        <v>77</v>
      </c>
      <c r="C526" s="16" t="s">
        <v>78</v>
      </c>
      <c r="D526" s="16" t="s">
        <v>79</v>
      </c>
      <c r="E526" s="17">
        <v>19.0</v>
      </c>
      <c r="F526" s="18">
        <v>5.0</v>
      </c>
      <c r="G526" s="18">
        <v>0.0</v>
      </c>
      <c r="H526" s="10">
        <v>2.0</v>
      </c>
      <c r="I526" s="19">
        <v>5.0</v>
      </c>
      <c r="J526" s="12"/>
      <c r="K526" s="12">
        <f t="shared" si="33"/>
        <v>7750</v>
      </c>
      <c r="L526" s="13" t="str">
        <f t="shared" si="28"/>
        <v>19 5-star + 5 RFC + 0 DME + 2 Patient Portal Login + 5 Completed Task</v>
      </c>
      <c r="M526" s="14"/>
      <c r="N526" s="14"/>
      <c r="O526" s="14"/>
      <c r="P526" s="14"/>
    </row>
    <row r="527" hidden="1">
      <c r="A527" s="6" t="s">
        <v>237</v>
      </c>
      <c r="B527" s="16" t="s">
        <v>80</v>
      </c>
      <c r="C527" s="16" t="s">
        <v>81</v>
      </c>
      <c r="D527" s="16" t="s">
        <v>82</v>
      </c>
      <c r="E527" s="17">
        <v>1.0</v>
      </c>
      <c r="F527" s="18">
        <v>0.0</v>
      </c>
      <c r="G527" s="18">
        <v>0.0</v>
      </c>
      <c r="H527" s="10">
        <v>6.0</v>
      </c>
      <c r="I527" s="19">
        <v>4.0</v>
      </c>
      <c r="J527" s="12"/>
      <c r="K527" s="12">
        <f t="shared" si="33"/>
        <v>2750</v>
      </c>
      <c r="L527" s="13" t="str">
        <f t="shared" si="28"/>
        <v>1 5-star + 0 RFC + 0 DME + 6 Patient Portal Login + 4 Completed Task</v>
      </c>
      <c r="M527" s="14"/>
      <c r="N527" s="14"/>
      <c r="O527" s="14"/>
      <c r="P527" s="14"/>
    </row>
    <row r="528" hidden="1">
      <c r="A528" s="6" t="s">
        <v>237</v>
      </c>
      <c r="B528" s="16" t="s">
        <v>83</v>
      </c>
      <c r="C528" s="16" t="s">
        <v>84</v>
      </c>
      <c r="D528" s="16" t="s">
        <v>85</v>
      </c>
      <c r="E528" s="35"/>
      <c r="F528" s="36"/>
      <c r="G528" s="36"/>
      <c r="H528" s="37"/>
      <c r="I528" s="38"/>
      <c r="J528" s="12"/>
      <c r="K528" s="12">
        <f>sum(E528*250)+(F528*500)+(G528*250)+(H528*250)+(I528*250)</f>
        <v>0</v>
      </c>
      <c r="L528" s="13" t="str">
        <f t="shared" si="28"/>
        <v> 5-star +  RFC +  DME +  Patient Portal Login +  Completed Task</v>
      </c>
      <c r="M528" s="14"/>
      <c r="N528" s="14"/>
      <c r="O528" s="14"/>
      <c r="P528" s="14"/>
    </row>
    <row r="529" hidden="1">
      <c r="A529" s="6" t="s">
        <v>237</v>
      </c>
      <c r="B529" s="16" t="s">
        <v>86</v>
      </c>
      <c r="C529" s="16" t="s">
        <v>87</v>
      </c>
      <c r="D529" s="16" t="s">
        <v>88</v>
      </c>
      <c r="E529" s="17">
        <v>0.0</v>
      </c>
      <c r="F529" s="18">
        <v>4.0</v>
      </c>
      <c r="G529" s="18">
        <v>0.0</v>
      </c>
      <c r="H529" s="10">
        <v>5.0</v>
      </c>
      <c r="I529" s="19">
        <v>5.0</v>
      </c>
      <c r="J529" s="12"/>
      <c r="K529" s="12">
        <f>sum(E529*250)+(F529*250)+(G529*250)+(H529*250)+(I529*250)</f>
        <v>3500</v>
      </c>
      <c r="L529" s="13" t="str">
        <f t="shared" si="28"/>
        <v>0 5-star + 4 RFC + 0 DME + 5 Patient Portal Login + 5 Completed Task</v>
      </c>
      <c r="M529" s="14"/>
      <c r="N529" s="14"/>
      <c r="O529" s="14"/>
      <c r="P529" s="14"/>
    </row>
    <row r="530" hidden="1">
      <c r="A530" s="6" t="s">
        <v>237</v>
      </c>
      <c r="B530" s="16" t="s">
        <v>89</v>
      </c>
      <c r="C530" s="16" t="s">
        <v>90</v>
      </c>
      <c r="D530" s="16" t="s">
        <v>91</v>
      </c>
      <c r="E530" s="35"/>
      <c r="F530" s="36"/>
      <c r="G530" s="36"/>
      <c r="H530" s="37"/>
      <c r="I530" s="38"/>
      <c r="J530" s="12"/>
      <c r="K530" s="12">
        <f>sum(E530*250)+(F530*500)+(G530*250)+(H530*250)+(I530*250)</f>
        <v>0</v>
      </c>
      <c r="L530" s="13" t="str">
        <f t="shared" si="28"/>
        <v> 5-star +  RFC +  DME +  Patient Portal Login +  Completed Task</v>
      </c>
      <c r="M530" s="14"/>
      <c r="N530" s="14"/>
      <c r="O530" s="14"/>
      <c r="P530" s="14"/>
    </row>
    <row r="531" hidden="1">
      <c r="A531" s="6" t="s">
        <v>237</v>
      </c>
      <c r="B531" s="16" t="s">
        <v>92</v>
      </c>
      <c r="C531" s="16" t="s">
        <v>93</v>
      </c>
      <c r="D531" s="16" t="s">
        <v>94</v>
      </c>
      <c r="E531" s="17">
        <v>1.0</v>
      </c>
      <c r="F531" s="18">
        <v>0.0</v>
      </c>
      <c r="G531" s="18">
        <v>0.0</v>
      </c>
      <c r="H531" s="10">
        <v>19.0</v>
      </c>
      <c r="I531" s="19">
        <v>5.0</v>
      </c>
      <c r="J531" s="12"/>
      <c r="K531" s="12">
        <f t="shared" ref="K531:K532" si="34">sum(E531*250)+(F531*250)+(G531*250)+(H531*250)+(I531*250)</f>
        <v>6250</v>
      </c>
      <c r="L531" s="13" t="str">
        <f t="shared" si="28"/>
        <v>1 5-star + 0 RFC + 0 DME + 19 Patient Portal Login + 5 Completed Task</v>
      </c>
      <c r="M531" s="14"/>
      <c r="N531" s="14"/>
      <c r="O531" s="14"/>
      <c r="P531" s="14"/>
    </row>
    <row r="532" hidden="1">
      <c r="A532" s="6" t="s">
        <v>237</v>
      </c>
      <c r="B532" s="16" t="s">
        <v>95</v>
      </c>
      <c r="C532" s="16" t="s">
        <v>96</v>
      </c>
      <c r="D532" s="16" t="s">
        <v>97</v>
      </c>
      <c r="E532" s="17">
        <v>0.0</v>
      </c>
      <c r="F532" s="18">
        <v>7.0</v>
      </c>
      <c r="G532" s="18">
        <v>0.0</v>
      </c>
      <c r="H532" s="10">
        <v>1.0</v>
      </c>
      <c r="I532" s="19">
        <v>5.0</v>
      </c>
      <c r="J532" s="12"/>
      <c r="K532" s="12">
        <f t="shared" si="34"/>
        <v>3250</v>
      </c>
      <c r="L532" s="13" t="str">
        <f t="shared" si="28"/>
        <v>0 5-star + 7 RFC + 0 DME + 1 Patient Portal Login + 5 Completed Task</v>
      </c>
      <c r="M532" s="14"/>
      <c r="N532" s="14"/>
      <c r="O532" s="14"/>
      <c r="P532" s="14"/>
    </row>
    <row r="533" hidden="1">
      <c r="A533" s="6" t="s">
        <v>237</v>
      </c>
      <c r="B533" s="16" t="s">
        <v>98</v>
      </c>
      <c r="C533" s="16" t="s">
        <v>99</v>
      </c>
      <c r="D533" s="16" t="s">
        <v>100</v>
      </c>
      <c r="E533" s="35"/>
      <c r="F533" s="36"/>
      <c r="G533" s="36"/>
      <c r="H533" s="37"/>
      <c r="I533" s="38"/>
      <c r="J533" s="12"/>
      <c r="K533" s="12">
        <f>sum(E533*250)+(F533*500)+(G533*250)+(H533*250)+(I533*250)</f>
        <v>0</v>
      </c>
      <c r="L533" s="13" t="str">
        <f t="shared" si="28"/>
        <v> 5-star +  RFC +  DME +  Patient Portal Login +  Completed Task</v>
      </c>
      <c r="M533" s="14"/>
      <c r="N533" s="14"/>
      <c r="O533" s="14"/>
      <c r="P533" s="14"/>
    </row>
    <row r="534" hidden="1">
      <c r="A534" s="6" t="s">
        <v>237</v>
      </c>
      <c r="B534" s="16" t="s">
        <v>101</v>
      </c>
      <c r="C534" s="16" t="s">
        <v>102</v>
      </c>
      <c r="D534" s="16" t="s">
        <v>103</v>
      </c>
      <c r="E534" s="17">
        <v>0.0</v>
      </c>
      <c r="F534" s="18">
        <v>0.0</v>
      </c>
      <c r="G534" s="18">
        <v>0.0</v>
      </c>
      <c r="H534" s="10">
        <v>2.0</v>
      </c>
      <c r="I534" s="19">
        <v>5.0</v>
      </c>
      <c r="J534" s="12"/>
      <c r="K534" s="12">
        <f t="shared" ref="K534:K563" si="35">sum(E534*250)+(F534*250)+(G534*250)+(H534*250)+(I534*250)</f>
        <v>1750</v>
      </c>
      <c r="L534" s="13" t="str">
        <f t="shared" si="28"/>
        <v>0 5-star + 0 RFC + 0 DME + 2 Patient Portal Login + 5 Completed Task</v>
      </c>
      <c r="M534" s="14"/>
      <c r="N534" s="14"/>
      <c r="O534" s="14"/>
      <c r="P534" s="14"/>
    </row>
    <row r="535" hidden="1">
      <c r="A535" s="6" t="s">
        <v>237</v>
      </c>
      <c r="B535" s="16" t="s">
        <v>104</v>
      </c>
      <c r="C535" s="16" t="s">
        <v>105</v>
      </c>
      <c r="D535" s="16" t="s">
        <v>106</v>
      </c>
      <c r="E535" s="17">
        <v>1.0</v>
      </c>
      <c r="F535" s="18">
        <v>0.0</v>
      </c>
      <c r="G535" s="18">
        <v>0.0</v>
      </c>
      <c r="H535" s="10">
        <v>5.0</v>
      </c>
      <c r="I535" s="19">
        <v>4.0</v>
      </c>
      <c r="J535" s="12"/>
      <c r="K535" s="12">
        <f t="shared" si="35"/>
        <v>2500</v>
      </c>
      <c r="L535" s="13" t="str">
        <f t="shared" si="28"/>
        <v>1 5-star + 0 RFC + 0 DME + 5 Patient Portal Login + 4 Completed Task</v>
      </c>
      <c r="M535" s="14"/>
      <c r="N535" s="14"/>
      <c r="O535" s="14"/>
      <c r="P535" s="14"/>
    </row>
    <row r="536" hidden="1">
      <c r="A536" s="6" t="s">
        <v>237</v>
      </c>
      <c r="B536" s="16" t="s">
        <v>107</v>
      </c>
      <c r="C536" s="16" t="s">
        <v>108</v>
      </c>
      <c r="D536" s="16" t="s">
        <v>109</v>
      </c>
      <c r="E536" s="17">
        <v>0.0</v>
      </c>
      <c r="F536" s="18">
        <v>1.0</v>
      </c>
      <c r="G536" s="18">
        <v>0.0</v>
      </c>
      <c r="H536" s="10">
        <v>3.0</v>
      </c>
      <c r="I536" s="19">
        <v>5.0</v>
      </c>
      <c r="J536" s="12"/>
      <c r="K536" s="12">
        <f t="shared" si="35"/>
        <v>2250</v>
      </c>
      <c r="L536" s="13" t="str">
        <f t="shared" si="28"/>
        <v>0 5-star + 1 RFC + 0 DME + 3 Patient Portal Login + 5 Completed Task</v>
      </c>
      <c r="M536" s="14"/>
      <c r="N536" s="14"/>
      <c r="O536" s="14"/>
      <c r="P536" s="14"/>
    </row>
    <row r="537" hidden="1">
      <c r="A537" s="6" t="s">
        <v>237</v>
      </c>
      <c r="B537" s="16" t="s">
        <v>110</v>
      </c>
      <c r="C537" s="16" t="s">
        <v>111</v>
      </c>
      <c r="D537" s="16" t="s">
        <v>112</v>
      </c>
      <c r="E537" s="17">
        <v>0.0</v>
      </c>
      <c r="F537" s="18">
        <v>1.0</v>
      </c>
      <c r="G537" s="18">
        <v>2.0</v>
      </c>
      <c r="H537" s="10">
        <v>0.0</v>
      </c>
      <c r="I537" s="19">
        <v>5.0</v>
      </c>
      <c r="J537" s="12"/>
      <c r="K537" s="12">
        <f t="shared" si="35"/>
        <v>2000</v>
      </c>
      <c r="L537" s="13" t="str">
        <f t="shared" si="28"/>
        <v>0 5-star + 1 RFC + 2 DME + 0 Patient Portal Login + 5 Completed Task</v>
      </c>
      <c r="M537" s="14"/>
      <c r="N537" s="14"/>
      <c r="O537" s="14"/>
      <c r="P537" s="14"/>
    </row>
    <row r="538" hidden="1">
      <c r="A538" s="6" t="s">
        <v>237</v>
      </c>
      <c r="B538" s="16" t="s">
        <v>113</v>
      </c>
      <c r="C538" s="16" t="s">
        <v>114</v>
      </c>
      <c r="D538" s="16" t="s">
        <v>115</v>
      </c>
      <c r="E538" s="17">
        <v>0.0</v>
      </c>
      <c r="F538" s="18">
        <v>2.0</v>
      </c>
      <c r="G538" s="18">
        <v>0.0</v>
      </c>
      <c r="H538" s="10">
        <v>16.0</v>
      </c>
      <c r="I538" s="19">
        <v>5.0</v>
      </c>
      <c r="J538" s="12"/>
      <c r="K538" s="12">
        <f t="shared" si="35"/>
        <v>5750</v>
      </c>
      <c r="L538" s="13" t="str">
        <f t="shared" si="28"/>
        <v>0 5-star + 2 RFC + 0 DME + 16 Patient Portal Login + 5 Completed Task</v>
      </c>
      <c r="M538" s="14"/>
      <c r="N538" s="14"/>
      <c r="O538" s="14"/>
      <c r="P538" s="14"/>
    </row>
    <row r="539" hidden="1">
      <c r="A539" s="6" t="s">
        <v>237</v>
      </c>
      <c r="B539" s="16" t="s">
        <v>116</v>
      </c>
      <c r="C539" s="16" t="s">
        <v>117</v>
      </c>
      <c r="D539" s="16" t="s">
        <v>118</v>
      </c>
      <c r="E539" s="17">
        <v>3.0</v>
      </c>
      <c r="F539" s="18">
        <v>0.0</v>
      </c>
      <c r="G539" s="18">
        <v>2.0</v>
      </c>
      <c r="H539" s="10">
        <v>1.0</v>
      </c>
      <c r="I539" s="19">
        <v>4.0</v>
      </c>
      <c r="J539" s="12"/>
      <c r="K539" s="12">
        <f t="shared" si="35"/>
        <v>2500</v>
      </c>
      <c r="L539" s="13" t="str">
        <f t="shared" si="28"/>
        <v>3 5-star + 0 RFC + 2 DME + 1 Patient Portal Login + 4 Completed Task</v>
      </c>
      <c r="M539" s="14"/>
      <c r="N539" s="14"/>
      <c r="O539" s="14"/>
      <c r="P539" s="14"/>
    </row>
    <row r="540" hidden="1">
      <c r="A540" s="6" t="s">
        <v>237</v>
      </c>
      <c r="B540" s="16" t="s">
        <v>122</v>
      </c>
      <c r="C540" s="16" t="s">
        <v>123</v>
      </c>
      <c r="D540" s="16" t="s">
        <v>124</v>
      </c>
      <c r="E540" s="17">
        <v>0.0</v>
      </c>
      <c r="F540" s="18">
        <v>0.0</v>
      </c>
      <c r="G540" s="18">
        <v>1.0</v>
      </c>
      <c r="H540" s="10">
        <v>2.0</v>
      </c>
      <c r="I540" s="19">
        <v>5.0</v>
      </c>
      <c r="J540" s="12"/>
      <c r="K540" s="12">
        <f t="shared" si="35"/>
        <v>2000</v>
      </c>
      <c r="L540" s="13" t="str">
        <f t="shared" si="28"/>
        <v>0 5-star + 0 RFC + 1 DME + 2 Patient Portal Login + 5 Completed Task</v>
      </c>
      <c r="M540" s="14"/>
      <c r="N540" s="14"/>
      <c r="O540" s="14"/>
      <c r="P540" s="14"/>
    </row>
    <row r="541" hidden="1">
      <c r="A541" s="6" t="s">
        <v>237</v>
      </c>
      <c r="B541" s="16" t="s">
        <v>125</v>
      </c>
      <c r="C541" s="16" t="s">
        <v>126</v>
      </c>
      <c r="D541" s="16" t="s">
        <v>127</v>
      </c>
      <c r="E541" s="17">
        <v>0.0</v>
      </c>
      <c r="F541" s="18">
        <v>2.0</v>
      </c>
      <c r="G541" s="18">
        <v>0.0</v>
      </c>
      <c r="H541" s="10">
        <v>7.0</v>
      </c>
      <c r="I541" s="19">
        <v>5.0</v>
      </c>
      <c r="J541" s="12"/>
      <c r="K541" s="12">
        <f t="shared" si="35"/>
        <v>3500</v>
      </c>
      <c r="L541" s="13" t="str">
        <f t="shared" si="28"/>
        <v>0 5-star + 2 RFC + 0 DME + 7 Patient Portal Login + 5 Completed Task</v>
      </c>
      <c r="M541" s="14"/>
      <c r="N541" s="14"/>
      <c r="O541" s="14"/>
      <c r="P541" s="14"/>
    </row>
    <row r="542" hidden="1">
      <c r="A542" s="6" t="s">
        <v>237</v>
      </c>
      <c r="B542" s="16" t="s">
        <v>128</v>
      </c>
      <c r="C542" s="16" t="s">
        <v>129</v>
      </c>
      <c r="D542" s="16" t="s">
        <v>130</v>
      </c>
      <c r="E542" s="17">
        <v>0.0</v>
      </c>
      <c r="F542" s="18">
        <v>2.0</v>
      </c>
      <c r="G542" s="18">
        <v>0.0</v>
      </c>
      <c r="H542" s="10">
        <v>0.0</v>
      </c>
      <c r="I542" s="19">
        <v>5.0</v>
      </c>
      <c r="J542" s="12"/>
      <c r="K542" s="12">
        <f t="shared" si="35"/>
        <v>1750</v>
      </c>
      <c r="L542" s="13" t="str">
        <f t="shared" si="28"/>
        <v>0 5-star + 2 RFC + 0 DME + 0 Patient Portal Login + 5 Completed Task</v>
      </c>
      <c r="M542" s="14"/>
      <c r="N542" s="14"/>
      <c r="O542" s="14"/>
      <c r="P542" s="14"/>
    </row>
    <row r="543" hidden="1">
      <c r="A543" s="6" t="s">
        <v>237</v>
      </c>
      <c r="B543" s="16" t="s">
        <v>131</v>
      </c>
      <c r="C543" s="16" t="s">
        <v>132</v>
      </c>
      <c r="D543" s="16" t="s">
        <v>133</v>
      </c>
      <c r="E543" s="17">
        <v>18.0</v>
      </c>
      <c r="F543" s="18">
        <v>1.0</v>
      </c>
      <c r="G543" s="18">
        <v>1.0</v>
      </c>
      <c r="H543" s="10">
        <v>3.0</v>
      </c>
      <c r="I543" s="19">
        <v>5.0</v>
      </c>
      <c r="J543" s="12"/>
      <c r="K543" s="12">
        <f t="shared" si="35"/>
        <v>7000</v>
      </c>
      <c r="L543" s="13" t="str">
        <f t="shared" si="28"/>
        <v>18 5-star + 1 RFC + 1 DME + 3 Patient Portal Login + 5 Completed Task</v>
      </c>
      <c r="M543" s="14"/>
      <c r="N543" s="14"/>
      <c r="O543" s="14"/>
      <c r="P543" s="14"/>
    </row>
    <row r="544" hidden="1">
      <c r="A544" s="6" t="s">
        <v>237</v>
      </c>
      <c r="B544" s="16" t="s">
        <v>134</v>
      </c>
      <c r="C544" s="16" t="s">
        <v>135</v>
      </c>
      <c r="D544" s="16" t="s">
        <v>136</v>
      </c>
      <c r="E544" s="17">
        <v>2.0</v>
      </c>
      <c r="F544" s="18">
        <v>2.0</v>
      </c>
      <c r="G544" s="18">
        <v>0.0</v>
      </c>
      <c r="H544" s="10">
        <v>4.0</v>
      </c>
      <c r="I544" s="19">
        <v>5.0</v>
      </c>
      <c r="J544" s="12"/>
      <c r="K544" s="12">
        <f t="shared" si="35"/>
        <v>3250</v>
      </c>
      <c r="L544" s="13" t="str">
        <f t="shared" si="28"/>
        <v>2 5-star + 2 RFC + 0 DME + 4 Patient Portal Login + 5 Completed Task</v>
      </c>
      <c r="M544" s="14"/>
      <c r="N544" s="14"/>
      <c r="O544" s="14"/>
      <c r="P544" s="14"/>
    </row>
    <row r="545" hidden="1">
      <c r="A545" s="6" t="s">
        <v>237</v>
      </c>
      <c r="B545" s="16" t="s">
        <v>137</v>
      </c>
      <c r="C545" s="16" t="s">
        <v>138</v>
      </c>
      <c r="D545" s="16" t="s">
        <v>139</v>
      </c>
      <c r="E545" s="17">
        <v>1.0</v>
      </c>
      <c r="F545" s="18">
        <v>10.0</v>
      </c>
      <c r="G545" s="18">
        <v>2.0</v>
      </c>
      <c r="H545" s="10">
        <v>7.0</v>
      </c>
      <c r="I545" s="19">
        <v>5.0</v>
      </c>
      <c r="J545" s="12"/>
      <c r="K545" s="12">
        <f t="shared" si="35"/>
        <v>6250</v>
      </c>
      <c r="L545" s="13" t="str">
        <f t="shared" si="28"/>
        <v>1 5-star + 10 RFC + 2 DME + 7 Patient Portal Login + 5 Completed Task</v>
      </c>
      <c r="M545" s="14"/>
      <c r="N545" s="14"/>
      <c r="O545" s="14"/>
      <c r="P545" s="14"/>
    </row>
    <row r="546" hidden="1">
      <c r="A546" s="6" t="s">
        <v>237</v>
      </c>
      <c r="B546" s="16" t="s">
        <v>140</v>
      </c>
      <c r="C546" s="16" t="s">
        <v>141</v>
      </c>
      <c r="D546" s="16" t="s">
        <v>142</v>
      </c>
      <c r="E546" s="17">
        <v>6.0</v>
      </c>
      <c r="F546" s="18">
        <v>2.0</v>
      </c>
      <c r="G546" s="18">
        <v>3.0</v>
      </c>
      <c r="H546" s="10">
        <v>5.0</v>
      </c>
      <c r="I546" s="19">
        <v>5.0</v>
      </c>
      <c r="J546" s="12"/>
      <c r="K546" s="12">
        <f t="shared" si="35"/>
        <v>5250</v>
      </c>
      <c r="L546" s="13" t="str">
        <f t="shared" si="28"/>
        <v>6 5-star + 2 RFC + 3 DME + 5 Patient Portal Login + 5 Completed Task</v>
      </c>
      <c r="M546" s="14"/>
      <c r="N546" s="14"/>
      <c r="O546" s="14"/>
      <c r="P546" s="14"/>
    </row>
    <row r="547" hidden="1">
      <c r="A547" s="6" t="s">
        <v>237</v>
      </c>
      <c r="B547" s="16" t="s">
        <v>143</v>
      </c>
      <c r="C547" s="16" t="s">
        <v>144</v>
      </c>
      <c r="D547" s="16" t="s">
        <v>145</v>
      </c>
      <c r="E547" s="17">
        <v>1.0</v>
      </c>
      <c r="F547" s="18">
        <v>3.0</v>
      </c>
      <c r="G547" s="18">
        <v>2.0</v>
      </c>
      <c r="H547" s="10">
        <v>4.0</v>
      </c>
      <c r="I547" s="19">
        <v>5.0</v>
      </c>
      <c r="J547" s="12"/>
      <c r="K547" s="12">
        <f t="shared" si="35"/>
        <v>3750</v>
      </c>
      <c r="L547" s="13" t="str">
        <f t="shared" si="28"/>
        <v>1 5-star + 3 RFC + 2 DME + 4 Patient Portal Login + 5 Completed Task</v>
      </c>
      <c r="M547" s="14"/>
      <c r="N547" s="14"/>
      <c r="O547" s="14"/>
      <c r="P547" s="14"/>
    </row>
    <row r="548" hidden="1">
      <c r="A548" s="6" t="s">
        <v>237</v>
      </c>
      <c r="B548" s="16" t="s">
        <v>146</v>
      </c>
      <c r="C548" s="16" t="s">
        <v>147</v>
      </c>
      <c r="D548" s="16" t="s">
        <v>148</v>
      </c>
      <c r="E548" s="17">
        <v>2.0</v>
      </c>
      <c r="F548" s="18">
        <v>2.0</v>
      </c>
      <c r="G548" s="18">
        <v>0.0</v>
      </c>
      <c r="H548" s="10">
        <v>0.0</v>
      </c>
      <c r="I548" s="19">
        <v>5.0</v>
      </c>
      <c r="J548" s="12"/>
      <c r="K548" s="12">
        <f t="shared" si="35"/>
        <v>2250</v>
      </c>
      <c r="L548" s="13" t="str">
        <f t="shared" si="28"/>
        <v>2 5-star + 2 RFC + 0 DME + 0 Patient Portal Login + 5 Completed Task</v>
      </c>
      <c r="M548" s="14"/>
      <c r="N548" s="14"/>
      <c r="O548" s="14"/>
      <c r="P548" s="14"/>
    </row>
    <row r="549" hidden="1">
      <c r="A549" s="6" t="s">
        <v>237</v>
      </c>
      <c r="B549" s="16" t="s">
        <v>149</v>
      </c>
      <c r="C549" s="16" t="s">
        <v>150</v>
      </c>
      <c r="D549" s="16" t="s">
        <v>151</v>
      </c>
      <c r="E549" s="17">
        <v>0.0</v>
      </c>
      <c r="F549" s="18">
        <v>2.0</v>
      </c>
      <c r="G549" s="18">
        <v>0.0</v>
      </c>
      <c r="H549" s="10">
        <v>6.0</v>
      </c>
      <c r="I549" s="19">
        <v>5.0</v>
      </c>
      <c r="J549" s="12"/>
      <c r="K549" s="12">
        <f t="shared" si="35"/>
        <v>3250</v>
      </c>
      <c r="L549" s="13" t="str">
        <f t="shared" si="28"/>
        <v>0 5-star + 2 RFC + 0 DME + 6 Patient Portal Login + 5 Completed Task</v>
      </c>
      <c r="M549" s="14"/>
      <c r="N549" s="14"/>
      <c r="O549" s="14"/>
      <c r="P549" s="14"/>
    </row>
    <row r="550" hidden="1">
      <c r="A550" s="6" t="s">
        <v>237</v>
      </c>
      <c r="B550" s="16" t="s">
        <v>152</v>
      </c>
      <c r="C550" s="16" t="s">
        <v>153</v>
      </c>
      <c r="D550" s="16" t="s">
        <v>154</v>
      </c>
      <c r="E550" s="17">
        <v>0.0</v>
      </c>
      <c r="F550" s="18">
        <v>0.0</v>
      </c>
      <c r="G550" s="18">
        <v>0.0</v>
      </c>
      <c r="H550" s="10">
        <v>9.0</v>
      </c>
      <c r="I550" s="19">
        <v>5.0</v>
      </c>
      <c r="J550" s="12"/>
      <c r="K550" s="12">
        <f t="shared" si="35"/>
        <v>3500</v>
      </c>
      <c r="L550" s="13" t="str">
        <f t="shared" si="28"/>
        <v>0 5-star + 0 RFC + 0 DME + 9 Patient Portal Login + 5 Completed Task</v>
      </c>
      <c r="M550" s="14"/>
      <c r="N550" s="14"/>
      <c r="O550" s="14"/>
      <c r="P550" s="14"/>
    </row>
    <row r="551" hidden="1">
      <c r="A551" s="6" t="s">
        <v>237</v>
      </c>
      <c r="B551" s="16" t="s">
        <v>155</v>
      </c>
      <c r="C551" s="16" t="s">
        <v>156</v>
      </c>
      <c r="D551" s="16" t="s">
        <v>157</v>
      </c>
      <c r="E551" s="17">
        <v>32.0</v>
      </c>
      <c r="F551" s="18">
        <v>1.0</v>
      </c>
      <c r="G551" s="18">
        <v>2.0</v>
      </c>
      <c r="H551" s="10">
        <v>2.0</v>
      </c>
      <c r="I551" s="19">
        <v>5.0</v>
      </c>
      <c r="J551" s="12"/>
      <c r="K551" s="12">
        <f t="shared" si="35"/>
        <v>10500</v>
      </c>
      <c r="L551" s="13" t="str">
        <f t="shared" si="28"/>
        <v>32 5-star + 1 RFC + 2 DME + 2 Patient Portal Login + 5 Completed Task</v>
      </c>
      <c r="M551" s="14"/>
      <c r="N551" s="14"/>
      <c r="O551" s="14"/>
      <c r="P551" s="14"/>
    </row>
    <row r="552" hidden="1">
      <c r="A552" s="6" t="s">
        <v>237</v>
      </c>
      <c r="B552" s="16" t="s">
        <v>158</v>
      </c>
      <c r="C552" s="16" t="s">
        <v>159</v>
      </c>
      <c r="D552" s="16" t="s">
        <v>160</v>
      </c>
      <c r="E552" s="17">
        <v>0.0</v>
      </c>
      <c r="F552" s="18">
        <v>0.0</v>
      </c>
      <c r="G552" s="18">
        <v>0.0</v>
      </c>
      <c r="H552" s="10">
        <v>0.0</v>
      </c>
      <c r="I552" s="24">
        <v>5.0</v>
      </c>
      <c r="J552" s="12"/>
      <c r="K552" s="12">
        <f t="shared" si="35"/>
        <v>1250</v>
      </c>
      <c r="L552" s="13" t="str">
        <f t="shared" si="28"/>
        <v>0 5-star + 0 RFC + 0 DME + 0 Patient Portal Login + 5 Completed Task</v>
      </c>
      <c r="M552" s="14"/>
      <c r="N552" s="14"/>
      <c r="O552" s="14"/>
      <c r="P552" s="14"/>
    </row>
    <row r="553" hidden="1">
      <c r="A553" s="6" t="s">
        <v>237</v>
      </c>
      <c r="B553" s="20" t="s">
        <v>161</v>
      </c>
      <c r="C553" s="20" t="s">
        <v>162</v>
      </c>
      <c r="D553" s="20" t="s">
        <v>163</v>
      </c>
      <c r="E553" s="17">
        <v>0.0</v>
      </c>
      <c r="F553" s="18">
        <v>0.0</v>
      </c>
      <c r="G553" s="18">
        <v>0.0</v>
      </c>
      <c r="H553" s="10">
        <v>6.0</v>
      </c>
      <c r="I553" s="19">
        <v>5.0</v>
      </c>
      <c r="J553" s="12"/>
      <c r="K553" s="12">
        <f t="shared" si="35"/>
        <v>2750</v>
      </c>
      <c r="L553" s="13" t="str">
        <f> E553 &amp; " 5-star + " &amp; E540 &amp; " RFC + " &amp; G553 &amp; " DME + " &amp; H553 &amp; " Patient Portal Login + " &amp; I553 &amp; " Completed Task"
</f>
        <v>0 5-star + 0 RFC + 0 DME + 6 Patient Portal Login + 5 Completed Task</v>
      </c>
      <c r="M553" s="14"/>
      <c r="N553" s="14"/>
      <c r="O553" s="14"/>
      <c r="P553" s="14"/>
    </row>
    <row r="554" hidden="1">
      <c r="A554" s="6" t="s">
        <v>237</v>
      </c>
      <c r="B554" s="20" t="s">
        <v>164</v>
      </c>
      <c r="C554" s="20" t="s">
        <v>165</v>
      </c>
      <c r="D554" s="20" t="s">
        <v>166</v>
      </c>
      <c r="E554" s="35"/>
      <c r="F554" s="36"/>
      <c r="G554" s="36"/>
      <c r="H554" s="37"/>
      <c r="I554" s="38"/>
      <c r="J554" s="12"/>
      <c r="K554" s="12">
        <f t="shared" si="35"/>
        <v>0</v>
      </c>
      <c r="L554" s="13" t="str">
        <f t="shared" ref="L554:L618" si="36"> E554 &amp; " 5-star + " &amp; F554 &amp; " RFC + " &amp; G554 &amp; " DME + " &amp; H554 &amp; " Patient Portal Login + " &amp; I554 &amp; " Completed Task"
</f>
        <v> 5-star +  RFC +  DME +  Patient Portal Login +  Completed Task</v>
      </c>
      <c r="M554" s="14"/>
      <c r="N554" s="14"/>
      <c r="O554" s="14"/>
      <c r="P554" s="14"/>
    </row>
    <row r="555" hidden="1">
      <c r="A555" s="6" t="s">
        <v>237</v>
      </c>
      <c r="B555" s="20" t="s">
        <v>167</v>
      </c>
      <c r="C555" s="20" t="s">
        <v>168</v>
      </c>
      <c r="D555" s="20" t="s">
        <v>169</v>
      </c>
      <c r="E555" s="17">
        <v>0.0</v>
      </c>
      <c r="F555" s="18">
        <v>0.0</v>
      </c>
      <c r="G555" s="18">
        <v>0.0</v>
      </c>
      <c r="H555" s="10">
        <v>4.0</v>
      </c>
      <c r="I555" s="19">
        <v>5.0</v>
      </c>
      <c r="J555" s="12"/>
      <c r="K555" s="12">
        <f t="shared" si="35"/>
        <v>2250</v>
      </c>
      <c r="L555" s="13" t="str">
        <f t="shared" si="36"/>
        <v>0 5-star + 0 RFC + 0 DME + 4 Patient Portal Login + 5 Completed Task</v>
      </c>
      <c r="M555" s="14"/>
      <c r="N555" s="14"/>
      <c r="O555" s="14"/>
      <c r="P555" s="14"/>
    </row>
    <row r="556" hidden="1">
      <c r="A556" s="6" t="s">
        <v>237</v>
      </c>
      <c r="B556" s="20" t="s">
        <v>222</v>
      </c>
      <c r="C556" s="20" t="s">
        <v>171</v>
      </c>
      <c r="D556" s="20" t="s">
        <v>172</v>
      </c>
      <c r="E556" s="17">
        <v>0.0</v>
      </c>
      <c r="F556" s="18">
        <v>2.0</v>
      </c>
      <c r="G556" s="18">
        <v>1.0</v>
      </c>
      <c r="H556" s="10">
        <v>13.0</v>
      </c>
      <c r="I556" s="19">
        <v>5.0</v>
      </c>
      <c r="J556" s="12"/>
      <c r="K556" s="12">
        <f t="shared" si="35"/>
        <v>5250</v>
      </c>
      <c r="L556" s="13" t="str">
        <f t="shared" si="36"/>
        <v>0 5-star + 2 RFC + 1 DME + 13 Patient Portal Login + 5 Completed Task</v>
      </c>
      <c r="M556" s="14"/>
      <c r="N556" s="14"/>
      <c r="O556" s="14"/>
      <c r="P556" s="14"/>
    </row>
    <row r="557" hidden="1">
      <c r="A557" s="6" t="s">
        <v>237</v>
      </c>
      <c r="B557" s="16" t="s">
        <v>173</v>
      </c>
      <c r="C557" s="16" t="s">
        <v>174</v>
      </c>
      <c r="D557" s="16" t="s">
        <v>175</v>
      </c>
      <c r="E557" s="17">
        <v>0.0</v>
      </c>
      <c r="F557" s="18">
        <v>1.0</v>
      </c>
      <c r="G557" s="18">
        <v>1.0</v>
      </c>
      <c r="H557" s="10">
        <v>5.0</v>
      </c>
      <c r="I557" s="19">
        <v>5.0</v>
      </c>
      <c r="J557" s="12"/>
      <c r="K557" s="12">
        <f t="shared" si="35"/>
        <v>3000</v>
      </c>
      <c r="L557" s="13" t="str">
        <f t="shared" si="36"/>
        <v>0 5-star + 1 RFC + 1 DME + 5 Patient Portal Login + 5 Completed Task</v>
      </c>
      <c r="M557" s="14"/>
      <c r="N557" s="14"/>
      <c r="O557" s="14"/>
      <c r="P557" s="14"/>
    </row>
    <row r="558" hidden="1">
      <c r="A558" s="6" t="s">
        <v>237</v>
      </c>
      <c r="B558" s="16" t="s">
        <v>176</v>
      </c>
      <c r="C558" s="16" t="s">
        <v>177</v>
      </c>
      <c r="D558" s="16" t="s">
        <v>178</v>
      </c>
      <c r="E558" s="17">
        <v>0.0</v>
      </c>
      <c r="F558" s="18">
        <v>0.0</v>
      </c>
      <c r="G558" s="18">
        <v>0.0</v>
      </c>
      <c r="H558" s="10">
        <v>9.0</v>
      </c>
      <c r="I558" s="19">
        <v>5.0</v>
      </c>
      <c r="J558" s="12"/>
      <c r="K558" s="12">
        <f t="shared" si="35"/>
        <v>3500</v>
      </c>
      <c r="L558" s="13" t="str">
        <f t="shared" si="36"/>
        <v>0 5-star + 0 RFC + 0 DME + 9 Patient Portal Login + 5 Completed Task</v>
      </c>
      <c r="M558" s="14"/>
      <c r="N558" s="14"/>
      <c r="O558" s="14"/>
      <c r="P558" s="14"/>
    </row>
    <row r="559" hidden="1">
      <c r="A559" s="6" t="s">
        <v>237</v>
      </c>
      <c r="B559" s="21" t="s">
        <v>179</v>
      </c>
      <c r="C559" s="21" t="s">
        <v>180</v>
      </c>
      <c r="D559" s="21" t="s">
        <v>181</v>
      </c>
      <c r="E559" s="17">
        <v>0.0</v>
      </c>
      <c r="F559" s="18">
        <v>5.0</v>
      </c>
      <c r="G559" s="18">
        <v>4.0</v>
      </c>
      <c r="H559" s="10">
        <v>7.0</v>
      </c>
      <c r="I559" s="19">
        <v>5.0</v>
      </c>
      <c r="J559" s="12"/>
      <c r="K559" s="12">
        <f t="shared" si="35"/>
        <v>5250</v>
      </c>
      <c r="L559" s="13" t="str">
        <f t="shared" si="36"/>
        <v>0 5-star + 5 RFC + 4 DME + 7 Patient Portal Login + 5 Completed Task</v>
      </c>
      <c r="M559" s="14"/>
      <c r="N559" s="14"/>
      <c r="O559" s="23"/>
      <c r="P559" s="23"/>
    </row>
    <row r="560" hidden="1">
      <c r="A560" s="6" t="s">
        <v>237</v>
      </c>
      <c r="B560" s="21" t="s">
        <v>182</v>
      </c>
      <c r="C560" s="21" t="s">
        <v>183</v>
      </c>
      <c r="D560" s="21" t="s">
        <v>184</v>
      </c>
      <c r="E560" s="17">
        <v>1.0</v>
      </c>
      <c r="F560" s="18">
        <v>0.0</v>
      </c>
      <c r="G560" s="18">
        <v>0.0</v>
      </c>
      <c r="H560" s="10">
        <v>10.0</v>
      </c>
      <c r="I560" s="19">
        <v>4.0</v>
      </c>
      <c r="J560" s="12"/>
      <c r="K560" s="12">
        <f t="shared" si="35"/>
        <v>3750</v>
      </c>
      <c r="L560" s="13" t="str">
        <f t="shared" si="36"/>
        <v>1 5-star + 0 RFC + 0 DME + 10 Patient Portal Login + 4 Completed Task</v>
      </c>
      <c r="M560" s="14"/>
      <c r="N560" s="14"/>
      <c r="O560" s="23"/>
      <c r="P560" s="23"/>
    </row>
    <row r="561" hidden="1">
      <c r="A561" s="6" t="s">
        <v>237</v>
      </c>
      <c r="B561" s="21" t="s">
        <v>185</v>
      </c>
      <c r="C561" s="21" t="s">
        <v>186</v>
      </c>
      <c r="D561" s="21" t="s">
        <v>187</v>
      </c>
      <c r="E561" s="17">
        <v>43.0</v>
      </c>
      <c r="F561" s="18">
        <v>1.0</v>
      </c>
      <c r="G561" s="18">
        <v>0.0</v>
      </c>
      <c r="H561" s="10">
        <v>6.0</v>
      </c>
      <c r="I561" s="19">
        <v>5.0</v>
      </c>
      <c r="J561" s="12"/>
      <c r="K561" s="12">
        <f t="shared" si="35"/>
        <v>13750</v>
      </c>
      <c r="L561" s="13" t="str">
        <f t="shared" si="36"/>
        <v>43 5-star + 1 RFC + 0 DME + 6 Patient Portal Login + 5 Completed Task</v>
      </c>
      <c r="M561" s="14"/>
      <c r="N561" s="14"/>
      <c r="O561" s="23"/>
      <c r="P561" s="23"/>
    </row>
    <row r="562" hidden="1">
      <c r="A562" s="6" t="s">
        <v>237</v>
      </c>
      <c r="B562" s="21" t="s">
        <v>188</v>
      </c>
      <c r="C562" s="21" t="s">
        <v>189</v>
      </c>
      <c r="D562" s="21" t="s">
        <v>190</v>
      </c>
      <c r="E562" s="17">
        <v>3.0</v>
      </c>
      <c r="F562" s="18">
        <v>1.0</v>
      </c>
      <c r="G562" s="18">
        <v>0.0</v>
      </c>
      <c r="H562" s="10">
        <v>16.0</v>
      </c>
      <c r="I562" s="19">
        <v>5.0</v>
      </c>
      <c r="J562" s="12"/>
      <c r="K562" s="12">
        <f t="shared" si="35"/>
        <v>6250</v>
      </c>
      <c r="L562" s="13" t="str">
        <f t="shared" si="36"/>
        <v>3 5-star + 1 RFC + 0 DME + 16 Patient Portal Login + 5 Completed Task</v>
      </c>
      <c r="M562" s="14"/>
      <c r="N562" s="14"/>
      <c r="O562" s="23"/>
      <c r="P562" s="23"/>
    </row>
    <row r="563" hidden="1">
      <c r="A563" s="6" t="s">
        <v>237</v>
      </c>
      <c r="B563" s="21" t="s">
        <v>191</v>
      </c>
      <c r="C563" s="21" t="s">
        <v>192</v>
      </c>
      <c r="D563" s="21" t="s">
        <v>193</v>
      </c>
      <c r="E563" s="17">
        <v>1.0</v>
      </c>
      <c r="F563" s="18">
        <v>1.0</v>
      </c>
      <c r="G563" s="18">
        <v>1.0</v>
      </c>
      <c r="H563" s="10">
        <v>3.0</v>
      </c>
      <c r="I563" s="19">
        <v>5.0</v>
      </c>
      <c r="J563" s="12"/>
      <c r="K563" s="12">
        <f t="shared" si="35"/>
        <v>2750</v>
      </c>
      <c r="L563" s="13" t="str">
        <f t="shared" si="36"/>
        <v>1 5-star + 1 RFC + 1 DME + 3 Patient Portal Login + 5 Completed Task</v>
      </c>
      <c r="M563" s="14"/>
      <c r="N563" s="14"/>
      <c r="O563" s="23"/>
      <c r="P563" s="23"/>
    </row>
    <row r="564" hidden="1">
      <c r="A564" s="6" t="s">
        <v>237</v>
      </c>
      <c r="B564" s="21" t="s">
        <v>194</v>
      </c>
      <c r="C564" s="21" t="s">
        <v>195</v>
      </c>
      <c r="D564" s="21" t="s">
        <v>196</v>
      </c>
      <c r="E564" s="35"/>
      <c r="F564" s="36"/>
      <c r="G564" s="36"/>
      <c r="H564" s="37"/>
      <c r="I564" s="38"/>
      <c r="J564" s="12"/>
      <c r="K564" s="12">
        <f t="shared" ref="K564:K565" si="37">sum(E564*250)+(F564*500)+(G564*250)+(H564*250)+(I564*250)</f>
        <v>0</v>
      </c>
      <c r="L564" s="13" t="str">
        <f t="shared" si="36"/>
        <v> 5-star +  RFC +  DME +  Patient Portal Login +  Completed Task</v>
      </c>
      <c r="M564" s="14"/>
      <c r="N564" s="14"/>
      <c r="O564" s="23"/>
      <c r="P564" s="23"/>
    </row>
    <row r="565" hidden="1">
      <c r="A565" s="6" t="s">
        <v>237</v>
      </c>
      <c r="B565" s="21" t="s">
        <v>197</v>
      </c>
      <c r="C565" s="21" t="s">
        <v>198</v>
      </c>
      <c r="D565" s="21" t="s">
        <v>199</v>
      </c>
      <c r="E565" s="17">
        <v>1.0</v>
      </c>
      <c r="F565" s="18">
        <v>2.0</v>
      </c>
      <c r="G565" s="18">
        <v>2.0</v>
      </c>
      <c r="H565" s="10">
        <v>4.0</v>
      </c>
      <c r="I565" s="19">
        <v>5.0</v>
      </c>
      <c r="J565" s="12"/>
      <c r="K565" s="12">
        <f t="shared" si="37"/>
        <v>4000</v>
      </c>
      <c r="L565" s="13" t="str">
        <f t="shared" si="36"/>
        <v>1 5-star + 2 RFC + 2 DME + 4 Patient Portal Login + 5 Completed Task</v>
      </c>
      <c r="M565" s="14"/>
      <c r="N565" s="14"/>
      <c r="O565" s="23"/>
      <c r="P565" s="23"/>
    </row>
    <row r="566" hidden="1">
      <c r="A566" s="6" t="s">
        <v>237</v>
      </c>
      <c r="B566" s="21" t="s">
        <v>200</v>
      </c>
      <c r="C566" s="21" t="s">
        <v>201</v>
      </c>
      <c r="D566" s="21" t="s">
        <v>202</v>
      </c>
      <c r="E566" s="17">
        <v>1.0</v>
      </c>
      <c r="F566" s="18">
        <v>0.0</v>
      </c>
      <c r="G566" s="18">
        <v>0.0</v>
      </c>
      <c r="H566" s="10">
        <v>2.0</v>
      </c>
      <c r="I566" s="19">
        <v>5.0</v>
      </c>
      <c r="J566" s="12"/>
      <c r="K566" s="12">
        <f t="shared" ref="K566:K570" si="38">sum(E566*250)+(F566*250)+(G566*250)+(H566*250)+(I566*250)</f>
        <v>2000</v>
      </c>
      <c r="L566" s="13" t="str">
        <f t="shared" si="36"/>
        <v>1 5-star + 0 RFC + 0 DME + 2 Patient Portal Login + 5 Completed Task</v>
      </c>
      <c r="M566" s="14"/>
      <c r="N566" s="14"/>
      <c r="O566" s="23"/>
      <c r="P566" s="23"/>
    </row>
    <row r="567" hidden="1">
      <c r="A567" s="6" t="s">
        <v>238</v>
      </c>
      <c r="B567" s="16" t="s">
        <v>207</v>
      </c>
      <c r="C567" s="16" t="s">
        <v>208</v>
      </c>
      <c r="D567" s="16" t="s">
        <v>209</v>
      </c>
      <c r="E567" s="17">
        <v>0.0</v>
      </c>
      <c r="F567" s="18">
        <v>2.0</v>
      </c>
      <c r="G567" s="18">
        <v>1.0</v>
      </c>
      <c r="H567" s="10">
        <v>11.0</v>
      </c>
      <c r="I567" s="19">
        <v>5.0</v>
      </c>
      <c r="J567" s="12"/>
      <c r="K567" s="12">
        <f t="shared" si="38"/>
        <v>4750</v>
      </c>
      <c r="L567" s="13" t="str">
        <f t="shared" si="36"/>
        <v>0 5-star + 2 RFC + 1 DME + 11 Patient Portal Login + 5 Completed Task</v>
      </c>
      <c r="M567" s="14"/>
      <c r="N567" s="14"/>
      <c r="O567" s="14"/>
      <c r="P567" s="14"/>
    </row>
    <row r="568" hidden="1">
      <c r="A568" s="6" t="s">
        <v>238</v>
      </c>
      <c r="B568" s="16" t="s">
        <v>210</v>
      </c>
      <c r="C568" s="16" t="s">
        <v>211</v>
      </c>
      <c r="D568" s="16" t="s">
        <v>212</v>
      </c>
      <c r="E568" s="17">
        <v>0.0</v>
      </c>
      <c r="F568" s="18">
        <v>0.0</v>
      </c>
      <c r="G568" s="18">
        <v>0.0</v>
      </c>
      <c r="H568" s="10">
        <v>0.0</v>
      </c>
      <c r="I568" s="19">
        <v>5.0</v>
      </c>
      <c r="J568" s="12"/>
      <c r="K568" s="12">
        <f t="shared" si="38"/>
        <v>1250</v>
      </c>
      <c r="L568" s="13" t="str">
        <f t="shared" si="36"/>
        <v>0 5-star + 0 RFC + 0 DME + 0 Patient Portal Login + 5 Completed Task</v>
      </c>
      <c r="M568" s="14"/>
      <c r="N568" s="14"/>
      <c r="O568" s="14"/>
      <c r="P568" s="14"/>
    </row>
    <row r="569" hidden="1">
      <c r="A569" s="6" t="s">
        <v>238</v>
      </c>
      <c r="B569" s="16" t="s">
        <v>213</v>
      </c>
      <c r="C569" s="16" t="s">
        <v>214</v>
      </c>
      <c r="D569" s="16" t="s">
        <v>215</v>
      </c>
      <c r="E569" s="17">
        <v>0.0</v>
      </c>
      <c r="F569" s="18">
        <v>7.0</v>
      </c>
      <c r="G569" s="18">
        <v>0.0</v>
      </c>
      <c r="H569" s="10">
        <v>9.0</v>
      </c>
      <c r="I569" s="19">
        <v>5.0</v>
      </c>
      <c r="J569" s="12"/>
      <c r="K569" s="12">
        <f t="shared" si="38"/>
        <v>5250</v>
      </c>
      <c r="L569" s="13" t="str">
        <f t="shared" si="36"/>
        <v>0 5-star + 7 RFC + 0 DME + 9 Patient Portal Login + 5 Completed Task</v>
      </c>
      <c r="M569" s="14"/>
      <c r="N569" s="14"/>
      <c r="O569" s="14"/>
      <c r="P569" s="14"/>
    </row>
    <row r="570" hidden="1">
      <c r="A570" s="6" t="s">
        <v>238</v>
      </c>
      <c r="B570" s="16" t="s">
        <v>216</v>
      </c>
      <c r="C570" s="16" t="s">
        <v>217</v>
      </c>
      <c r="D570" s="16" t="s">
        <v>218</v>
      </c>
      <c r="E570" s="17">
        <v>2.0</v>
      </c>
      <c r="F570" s="18">
        <v>1.0</v>
      </c>
      <c r="G570" s="18">
        <v>1.0</v>
      </c>
      <c r="H570" s="10">
        <v>2.0</v>
      </c>
      <c r="I570" s="19">
        <v>5.0</v>
      </c>
      <c r="J570" s="12"/>
      <c r="K570" s="12">
        <f t="shared" si="38"/>
        <v>2750</v>
      </c>
      <c r="L570" s="13" t="str">
        <f t="shared" si="36"/>
        <v>2 5-star + 1 RFC + 1 DME + 2 Patient Portal Login + 5 Completed Task</v>
      </c>
      <c r="M570" s="14"/>
      <c r="N570" s="14"/>
      <c r="O570" s="14"/>
      <c r="P570" s="14"/>
    </row>
    <row r="571" hidden="1">
      <c r="A571" s="6" t="s">
        <v>238</v>
      </c>
      <c r="B571" s="16" t="s">
        <v>32</v>
      </c>
      <c r="C571" s="16" t="s">
        <v>227</v>
      </c>
      <c r="D571" s="16" t="s">
        <v>34</v>
      </c>
      <c r="E571" s="35"/>
      <c r="F571" s="36"/>
      <c r="G571" s="36"/>
      <c r="H571" s="37"/>
      <c r="I571" s="38"/>
      <c r="J571" s="12"/>
      <c r="K571" s="12">
        <f t="shared" ref="K571:K579" si="39">sum(E571*250)+(F571*500)+(G571*250)+(H571*250)+(I571*250)</f>
        <v>0</v>
      </c>
      <c r="L571" s="13" t="str">
        <f t="shared" si="36"/>
        <v> 5-star +  RFC +  DME +  Patient Portal Login +  Completed Task</v>
      </c>
      <c r="M571" s="14"/>
      <c r="N571" s="14"/>
      <c r="O571" s="14"/>
      <c r="P571" s="14"/>
    </row>
    <row r="572" hidden="1">
      <c r="A572" s="6" t="s">
        <v>238</v>
      </c>
      <c r="B572" s="16" t="s">
        <v>29</v>
      </c>
      <c r="C572" s="16" t="s">
        <v>228</v>
      </c>
      <c r="D572" s="16" t="s">
        <v>31</v>
      </c>
      <c r="E572" s="35"/>
      <c r="F572" s="36"/>
      <c r="G572" s="36"/>
      <c r="H572" s="37"/>
      <c r="I572" s="38"/>
      <c r="J572" s="12"/>
      <c r="K572" s="12">
        <f t="shared" si="39"/>
        <v>0</v>
      </c>
      <c r="L572" s="13" t="str">
        <f t="shared" si="36"/>
        <v> 5-star +  RFC +  DME +  Patient Portal Login +  Completed Task</v>
      </c>
      <c r="M572" s="14"/>
      <c r="N572" s="14"/>
      <c r="O572" s="14"/>
      <c r="P572" s="14"/>
    </row>
    <row r="573" hidden="1">
      <c r="A573" s="6" t="s">
        <v>238</v>
      </c>
      <c r="B573" s="16" t="s">
        <v>26</v>
      </c>
      <c r="C573" s="16" t="s">
        <v>229</v>
      </c>
      <c r="D573" s="16" t="s">
        <v>28</v>
      </c>
      <c r="E573" s="35"/>
      <c r="F573" s="36"/>
      <c r="G573" s="36"/>
      <c r="H573" s="37"/>
      <c r="I573" s="38"/>
      <c r="J573" s="12"/>
      <c r="K573" s="12">
        <f t="shared" si="39"/>
        <v>0</v>
      </c>
      <c r="L573" s="13" t="str">
        <f t="shared" si="36"/>
        <v> 5-star +  RFC +  DME +  Patient Portal Login +  Completed Task</v>
      </c>
      <c r="M573" s="14"/>
      <c r="N573" s="14"/>
      <c r="O573" s="14"/>
      <c r="P573" s="14"/>
    </row>
    <row r="574" hidden="1">
      <c r="A574" s="6" t="s">
        <v>238</v>
      </c>
      <c r="B574" s="16" t="s">
        <v>23</v>
      </c>
      <c r="C574" s="16" t="s">
        <v>230</v>
      </c>
      <c r="D574" s="16" t="s">
        <v>25</v>
      </c>
      <c r="E574" s="35"/>
      <c r="F574" s="36"/>
      <c r="G574" s="36"/>
      <c r="H574" s="37"/>
      <c r="I574" s="38"/>
      <c r="J574" s="12"/>
      <c r="K574" s="12">
        <f t="shared" si="39"/>
        <v>0</v>
      </c>
      <c r="L574" s="13" t="str">
        <f t="shared" si="36"/>
        <v> 5-star +  RFC +  DME +  Patient Portal Login +  Completed Task</v>
      </c>
      <c r="M574" s="14"/>
      <c r="N574" s="14"/>
      <c r="O574" s="14"/>
      <c r="P574" s="14"/>
    </row>
    <row r="575" hidden="1">
      <c r="A575" s="6" t="s">
        <v>238</v>
      </c>
      <c r="B575" s="16" t="s">
        <v>20</v>
      </c>
      <c r="C575" s="16" t="s">
        <v>231</v>
      </c>
      <c r="D575" s="16" t="s">
        <v>22</v>
      </c>
      <c r="E575" s="35"/>
      <c r="F575" s="36"/>
      <c r="G575" s="36"/>
      <c r="H575" s="37"/>
      <c r="I575" s="38"/>
      <c r="J575" s="12"/>
      <c r="K575" s="12">
        <f t="shared" si="39"/>
        <v>0</v>
      </c>
      <c r="L575" s="13" t="str">
        <f t="shared" si="36"/>
        <v> 5-star +  RFC +  DME +  Patient Portal Login +  Completed Task</v>
      </c>
      <c r="M575" s="14"/>
      <c r="N575" s="14"/>
      <c r="O575" s="14"/>
      <c r="P575" s="14"/>
    </row>
    <row r="576" hidden="1">
      <c r="A576" s="6" t="s">
        <v>238</v>
      </c>
      <c r="B576" s="16" t="s">
        <v>17</v>
      </c>
      <c r="C576" s="16" t="s">
        <v>232</v>
      </c>
      <c r="D576" s="16" t="s">
        <v>19</v>
      </c>
      <c r="E576" s="35"/>
      <c r="F576" s="36"/>
      <c r="G576" s="36"/>
      <c r="H576" s="37"/>
      <c r="I576" s="38"/>
      <c r="J576" s="39"/>
      <c r="K576" s="39">
        <f t="shared" si="39"/>
        <v>0</v>
      </c>
      <c r="L576" s="13" t="str">
        <f t="shared" si="36"/>
        <v> 5-star +  RFC +  DME +  Patient Portal Login +  Completed Task</v>
      </c>
      <c r="M576" s="14"/>
      <c r="N576" s="14"/>
      <c r="O576" s="14"/>
      <c r="P576" s="14"/>
    </row>
    <row r="577" hidden="1">
      <c r="A577" s="6" t="s">
        <v>238</v>
      </c>
      <c r="B577" s="16" t="s">
        <v>14</v>
      </c>
      <c r="C577" s="16" t="s">
        <v>233</v>
      </c>
      <c r="D577" s="16" t="s">
        <v>16</v>
      </c>
      <c r="E577" s="35"/>
      <c r="F577" s="36"/>
      <c r="G577" s="36"/>
      <c r="H577" s="37"/>
      <c r="I577" s="38"/>
      <c r="J577" s="39"/>
      <c r="K577" s="39">
        <f t="shared" si="39"/>
        <v>0</v>
      </c>
      <c r="L577" s="13" t="str">
        <f t="shared" si="36"/>
        <v> 5-star +  RFC +  DME +  Patient Portal Login +  Completed Task</v>
      </c>
      <c r="M577" s="14"/>
      <c r="N577" s="14"/>
      <c r="O577" s="14"/>
      <c r="P577" s="14"/>
    </row>
    <row r="578" hidden="1">
      <c r="A578" s="6" t="s">
        <v>238</v>
      </c>
      <c r="B578" s="16" t="s">
        <v>234</v>
      </c>
      <c r="C578" s="16" t="s">
        <v>235</v>
      </c>
      <c r="D578" s="16" t="s">
        <v>236</v>
      </c>
      <c r="E578" s="35"/>
      <c r="F578" s="36"/>
      <c r="G578" s="36"/>
      <c r="H578" s="37"/>
      <c r="I578" s="38"/>
      <c r="J578" s="12"/>
      <c r="K578" s="12">
        <f t="shared" si="39"/>
        <v>0</v>
      </c>
      <c r="L578" s="13" t="str">
        <f t="shared" si="36"/>
        <v> 5-star +  RFC +  DME +  Patient Portal Login +  Completed Task</v>
      </c>
      <c r="M578" s="14"/>
      <c r="N578" s="14"/>
      <c r="O578" s="14"/>
      <c r="P578" s="14"/>
    </row>
    <row r="579" hidden="1">
      <c r="A579" s="6" t="s">
        <v>238</v>
      </c>
      <c r="B579" s="16" t="s">
        <v>35</v>
      </c>
      <c r="C579" s="16" t="s">
        <v>36</v>
      </c>
      <c r="D579" s="16" t="s">
        <v>37</v>
      </c>
      <c r="E579" s="35"/>
      <c r="F579" s="36"/>
      <c r="G579" s="36"/>
      <c r="H579" s="37"/>
      <c r="I579" s="38"/>
      <c r="J579" s="12"/>
      <c r="K579" s="12">
        <f t="shared" si="39"/>
        <v>0</v>
      </c>
      <c r="L579" s="13" t="str">
        <f t="shared" si="36"/>
        <v> 5-star +  RFC +  DME +  Patient Portal Login +  Completed Task</v>
      </c>
      <c r="M579" s="14"/>
      <c r="N579" s="14"/>
      <c r="O579" s="14"/>
      <c r="P579" s="14"/>
    </row>
    <row r="580" hidden="1">
      <c r="A580" s="6" t="s">
        <v>238</v>
      </c>
      <c r="B580" s="16" t="s">
        <v>41</v>
      </c>
      <c r="C580" s="16" t="s">
        <v>42</v>
      </c>
      <c r="D580" s="16" t="s">
        <v>43</v>
      </c>
      <c r="E580" s="17">
        <v>4.0</v>
      </c>
      <c r="F580" s="18">
        <v>2.0</v>
      </c>
      <c r="G580" s="18">
        <v>1.0</v>
      </c>
      <c r="H580" s="10">
        <v>4.0</v>
      </c>
      <c r="I580" s="19">
        <v>5.0</v>
      </c>
      <c r="J580" s="12"/>
      <c r="K580" s="12">
        <f>sum(E580*250)+(F580*250)+(G580*250)+(H580*250)+(I580*250)</f>
        <v>4000</v>
      </c>
      <c r="L580" s="13" t="str">
        <f t="shared" si="36"/>
        <v>4 5-star + 2 RFC + 1 DME + 4 Patient Portal Login + 5 Completed Task</v>
      </c>
      <c r="M580" s="14"/>
      <c r="N580" s="14"/>
      <c r="O580" s="14"/>
      <c r="P580" s="14"/>
    </row>
    <row r="581" hidden="1">
      <c r="A581" s="6" t="s">
        <v>238</v>
      </c>
      <c r="B581" s="16" t="s">
        <v>44</v>
      </c>
      <c r="C581" s="16" t="s">
        <v>45</v>
      </c>
      <c r="D581" s="16" t="s">
        <v>46</v>
      </c>
      <c r="E581" s="35"/>
      <c r="F581" s="36"/>
      <c r="G581" s="36"/>
      <c r="H581" s="37"/>
      <c r="I581" s="38"/>
      <c r="J581" s="12"/>
      <c r="K581" s="12">
        <f>sum(E581*250)+(F581*500)+(G581*250)+(H581*250)+(I581*250)</f>
        <v>0</v>
      </c>
      <c r="L581" s="13" t="str">
        <f t="shared" si="36"/>
        <v> 5-star +  RFC +  DME +  Patient Portal Login +  Completed Task</v>
      </c>
      <c r="M581" s="14"/>
      <c r="N581" s="14"/>
      <c r="O581" s="14"/>
      <c r="P581" s="14"/>
    </row>
    <row r="582" hidden="1">
      <c r="A582" s="6" t="s">
        <v>238</v>
      </c>
      <c r="B582" s="16" t="s">
        <v>47</v>
      </c>
      <c r="C582" s="16" t="s">
        <v>48</v>
      </c>
      <c r="D582" s="16" t="s">
        <v>49</v>
      </c>
      <c r="E582" s="17">
        <v>3.0</v>
      </c>
      <c r="F582" s="18">
        <v>0.0</v>
      </c>
      <c r="G582" s="18">
        <v>0.0</v>
      </c>
      <c r="H582" s="10">
        <v>30.0</v>
      </c>
      <c r="I582" s="19">
        <v>5.0</v>
      </c>
      <c r="J582" s="12"/>
      <c r="K582" s="12">
        <f t="shared" ref="K582:K585" si="40">sum(E582*250)+(F582*250)+(G582*250)+(H582*250)+(I582*250)</f>
        <v>9500</v>
      </c>
      <c r="L582" s="13" t="str">
        <f t="shared" si="36"/>
        <v>3 5-star + 0 RFC + 0 DME + 30 Patient Portal Login + 5 Completed Task</v>
      </c>
      <c r="M582" s="14"/>
      <c r="N582" s="14"/>
      <c r="O582" s="14"/>
      <c r="P582" s="14"/>
    </row>
    <row r="583" hidden="1">
      <c r="A583" s="6" t="s">
        <v>238</v>
      </c>
      <c r="B583" s="16" t="s">
        <v>50</v>
      </c>
      <c r="C583" s="16" t="s">
        <v>51</v>
      </c>
      <c r="D583" s="16" t="s">
        <v>52</v>
      </c>
      <c r="E583" s="17">
        <v>0.0</v>
      </c>
      <c r="F583" s="18">
        <v>2.0</v>
      </c>
      <c r="G583" s="18">
        <v>0.0</v>
      </c>
      <c r="H583" s="10">
        <v>2.0</v>
      </c>
      <c r="I583" s="19">
        <v>5.0</v>
      </c>
      <c r="J583" s="12"/>
      <c r="K583" s="12">
        <f t="shared" si="40"/>
        <v>2250</v>
      </c>
      <c r="L583" s="13" t="str">
        <f t="shared" si="36"/>
        <v>0 5-star + 2 RFC + 0 DME + 2 Patient Portal Login + 5 Completed Task</v>
      </c>
      <c r="M583" s="14"/>
      <c r="N583" s="14"/>
      <c r="O583" s="14"/>
      <c r="P583" s="14"/>
    </row>
    <row r="584" hidden="1">
      <c r="A584" s="6" t="s">
        <v>238</v>
      </c>
      <c r="B584" s="16" t="s">
        <v>53</v>
      </c>
      <c r="C584" s="16" t="s">
        <v>54</v>
      </c>
      <c r="D584" s="16" t="s">
        <v>55</v>
      </c>
      <c r="E584" s="17">
        <v>0.0</v>
      </c>
      <c r="F584" s="18">
        <v>3.0</v>
      </c>
      <c r="G584" s="18">
        <v>0.0</v>
      </c>
      <c r="H584" s="10">
        <v>1.0</v>
      </c>
      <c r="I584" s="19">
        <v>5.0</v>
      </c>
      <c r="J584" s="12"/>
      <c r="K584" s="12">
        <f t="shared" si="40"/>
        <v>2250</v>
      </c>
      <c r="L584" s="13" t="str">
        <f t="shared" si="36"/>
        <v>0 5-star + 3 RFC + 0 DME + 1 Patient Portal Login + 5 Completed Task</v>
      </c>
      <c r="M584" s="14"/>
      <c r="N584" s="14"/>
      <c r="O584" s="14"/>
      <c r="P584" s="14"/>
    </row>
    <row r="585" hidden="1">
      <c r="A585" s="6" t="s">
        <v>238</v>
      </c>
      <c r="B585" s="16" t="s">
        <v>56</v>
      </c>
      <c r="C585" s="16" t="s">
        <v>57</v>
      </c>
      <c r="D585" s="16" t="s">
        <v>58</v>
      </c>
      <c r="E585" s="17">
        <v>0.0</v>
      </c>
      <c r="F585" s="18">
        <v>0.0</v>
      </c>
      <c r="G585" s="18">
        <v>0.0</v>
      </c>
      <c r="H585" s="10">
        <v>1.0</v>
      </c>
      <c r="I585" s="19">
        <v>5.0</v>
      </c>
      <c r="J585" s="12"/>
      <c r="K585" s="12">
        <f t="shared" si="40"/>
        <v>1500</v>
      </c>
      <c r="L585" s="13" t="str">
        <f t="shared" si="36"/>
        <v>0 5-star + 0 RFC + 0 DME + 1 Patient Portal Login + 5 Completed Task</v>
      </c>
      <c r="M585" s="14"/>
      <c r="N585" s="14"/>
      <c r="O585" s="14"/>
      <c r="P585" s="14"/>
    </row>
    <row r="586" hidden="1">
      <c r="A586" s="6" t="s">
        <v>238</v>
      </c>
      <c r="B586" s="16" t="s">
        <v>59</v>
      </c>
      <c r="C586" s="16" t="s">
        <v>60</v>
      </c>
      <c r="D586" s="16" t="s">
        <v>61</v>
      </c>
      <c r="E586" s="35"/>
      <c r="F586" s="36"/>
      <c r="G586" s="36"/>
      <c r="H586" s="37"/>
      <c r="I586" s="38"/>
      <c r="J586" s="12"/>
      <c r="K586" s="12">
        <f>sum(E586*250)+(F586*500)+(G586*250)+(H586*250)+(I586*250)</f>
        <v>0</v>
      </c>
      <c r="L586" s="13" t="str">
        <f t="shared" si="36"/>
        <v> 5-star +  RFC +  DME +  Patient Portal Login +  Completed Task</v>
      </c>
      <c r="M586" s="14"/>
      <c r="N586" s="14"/>
      <c r="O586" s="14"/>
      <c r="P586" s="14"/>
    </row>
    <row r="587" hidden="1">
      <c r="A587" s="6" t="s">
        <v>238</v>
      </c>
      <c r="B587" s="16" t="s">
        <v>62</v>
      </c>
      <c r="C587" s="16" t="s">
        <v>63</v>
      </c>
      <c r="D587" s="16" t="s">
        <v>64</v>
      </c>
      <c r="E587" s="17">
        <v>0.0</v>
      </c>
      <c r="F587" s="18">
        <v>0.0</v>
      </c>
      <c r="G587" s="18">
        <v>1.0</v>
      </c>
      <c r="H587" s="10">
        <v>6.0</v>
      </c>
      <c r="I587" s="19">
        <v>5.0</v>
      </c>
      <c r="J587" s="12"/>
      <c r="K587" s="12">
        <f t="shared" ref="K587:K593" si="41">sum(E587*250)+(F587*250)+(G587*250)+(H587*250)+(I587*250)</f>
        <v>3000</v>
      </c>
      <c r="L587" s="13" t="str">
        <f t="shared" si="36"/>
        <v>0 5-star + 0 RFC + 1 DME + 6 Patient Portal Login + 5 Completed Task</v>
      </c>
      <c r="M587" s="14"/>
      <c r="N587" s="14"/>
      <c r="O587" s="14"/>
      <c r="P587" s="14"/>
    </row>
    <row r="588" hidden="1">
      <c r="A588" s="6" t="s">
        <v>238</v>
      </c>
      <c r="B588" s="16" t="s">
        <v>65</v>
      </c>
      <c r="C588" s="16" t="s">
        <v>66</v>
      </c>
      <c r="D588" s="16" t="s">
        <v>67</v>
      </c>
      <c r="E588" s="17">
        <v>2.0</v>
      </c>
      <c r="F588" s="18">
        <v>3.0</v>
      </c>
      <c r="G588" s="18">
        <v>2.0</v>
      </c>
      <c r="H588" s="10">
        <v>6.0</v>
      </c>
      <c r="I588" s="19">
        <v>5.0</v>
      </c>
      <c r="J588" s="12"/>
      <c r="K588" s="12">
        <f t="shared" si="41"/>
        <v>4500</v>
      </c>
      <c r="L588" s="13" t="str">
        <f t="shared" si="36"/>
        <v>2 5-star + 3 RFC + 2 DME + 6 Patient Portal Login + 5 Completed Task</v>
      </c>
      <c r="M588" s="14"/>
      <c r="N588" s="14"/>
      <c r="O588" s="14"/>
      <c r="P588" s="14"/>
    </row>
    <row r="589" hidden="1">
      <c r="A589" s="6" t="s">
        <v>238</v>
      </c>
      <c r="B589" s="16" t="s">
        <v>68</v>
      </c>
      <c r="C589" s="16" t="s">
        <v>69</v>
      </c>
      <c r="D589" s="16" t="s">
        <v>70</v>
      </c>
      <c r="E589" s="17">
        <v>0.0</v>
      </c>
      <c r="F589" s="18">
        <v>0.0</v>
      </c>
      <c r="G589" s="18">
        <v>1.0</v>
      </c>
      <c r="H589" s="10">
        <v>3.0</v>
      </c>
      <c r="I589" s="19">
        <v>5.0</v>
      </c>
      <c r="J589" s="12"/>
      <c r="K589" s="12">
        <f t="shared" si="41"/>
        <v>2250</v>
      </c>
      <c r="L589" s="13" t="str">
        <f t="shared" si="36"/>
        <v>0 5-star + 0 RFC + 1 DME + 3 Patient Portal Login + 5 Completed Task</v>
      </c>
      <c r="M589" s="14"/>
      <c r="N589" s="14"/>
      <c r="O589" s="14"/>
      <c r="P589" s="14"/>
    </row>
    <row r="590" hidden="1">
      <c r="A590" s="6" t="s">
        <v>238</v>
      </c>
      <c r="B590" s="16" t="s">
        <v>71</v>
      </c>
      <c r="C590" s="16" t="s">
        <v>72</v>
      </c>
      <c r="D590" s="16" t="s">
        <v>73</v>
      </c>
      <c r="E590" s="17">
        <v>2.0</v>
      </c>
      <c r="F590" s="18">
        <v>0.0</v>
      </c>
      <c r="G590" s="18">
        <v>1.0</v>
      </c>
      <c r="H590" s="10">
        <v>16.0</v>
      </c>
      <c r="I590" s="19">
        <v>5.0</v>
      </c>
      <c r="J590" s="12"/>
      <c r="K590" s="12">
        <f t="shared" si="41"/>
        <v>6000</v>
      </c>
      <c r="L590" s="13" t="str">
        <f t="shared" si="36"/>
        <v>2 5-star + 0 RFC + 1 DME + 16 Patient Portal Login + 5 Completed Task</v>
      </c>
      <c r="M590" s="14"/>
      <c r="N590" s="14"/>
      <c r="O590" s="14"/>
      <c r="P590" s="14"/>
    </row>
    <row r="591" hidden="1">
      <c r="A591" s="6" t="s">
        <v>238</v>
      </c>
      <c r="B591" s="16" t="s">
        <v>74</v>
      </c>
      <c r="C591" s="16" t="s">
        <v>75</v>
      </c>
      <c r="D591" s="16" t="s">
        <v>76</v>
      </c>
      <c r="E591" s="17">
        <v>0.0</v>
      </c>
      <c r="F591" s="18">
        <v>0.0</v>
      </c>
      <c r="G591" s="18">
        <v>0.0</v>
      </c>
      <c r="H591" s="10">
        <v>10.0</v>
      </c>
      <c r="I591" s="19">
        <v>4.0</v>
      </c>
      <c r="J591" s="12"/>
      <c r="K591" s="12">
        <f t="shared" si="41"/>
        <v>3500</v>
      </c>
      <c r="L591" s="13" t="str">
        <f t="shared" si="36"/>
        <v>0 5-star + 0 RFC + 0 DME + 10 Patient Portal Login + 4 Completed Task</v>
      </c>
      <c r="M591" s="14"/>
      <c r="N591" s="14"/>
      <c r="O591" s="14"/>
      <c r="P591" s="14"/>
    </row>
    <row r="592" hidden="1">
      <c r="A592" s="6" t="s">
        <v>238</v>
      </c>
      <c r="B592" s="16" t="s">
        <v>77</v>
      </c>
      <c r="C592" s="16" t="s">
        <v>78</v>
      </c>
      <c r="D592" s="16" t="s">
        <v>79</v>
      </c>
      <c r="E592" s="17">
        <v>40.0</v>
      </c>
      <c r="F592" s="18">
        <v>4.0</v>
      </c>
      <c r="G592" s="18">
        <v>0.0</v>
      </c>
      <c r="H592" s="10">
        <v>2.0</v>
      </c>
      <c r="I592" s="19">
        <v>3.0</v>
      </c>
      <c r="J592" s="12"/>
      <c r="K592" s="12">
        <f t="shared" si="41"/>
        <v>12250</v>
      </c>
      <c r="L592" s="13" t="str">
        <f t="shared" si="36"/>
        <v>40 5-star + 4 RFC + 0 DME + 2 Patient Portal Login + 3 Completed Task</v>
      </c>
      <c r="M592" s="14"/>
      <c r="N592" s="14"/>
      <c r="O592" s="14"/>
      <c r="P592" s="14"/>
    </row>
    <row r="593" hidden="1">
      <c r="A593" s="6" t="s">
        <v>238</v>
      </c>
      <c r="B593" s="16" t="s">
        <v>80</v>
      </c>
      <c r="C593" s="16" t="s">
        <v>81</v>
      </c>
      <c r="D593" s="16" t="s">
        <v>82</v>
      </c>
      <c r="E593" s="17">
        <v>0.0</v>
      </c>
      <c r="F593" s="18">
        <v>1.0</v>
      </c>
      <c r="G593" s="18">
        <v>0.0</v>
      </c>
      <c r="H593" s="10">
        <v>0.0</v>
      </c>
      <c r="I593" s="19">
        <v>5.0</v>
      </c>
      <c r="J593" s="12"/>
      <c r="K593" s="12">
        <f t="shared" si="41"/>
        <v>1500</v>
      </c>
      <c r="L593" s="13" t="str">
        <f t="shared" si="36"/>
        <v>0 5-star + 1 RFC + 0 DME + 0 Patient Portal Login + 5 Completed Task</v>
      </c>
      <c r="M593" s="14"/>
      <c r="N593" s="14"/>
      <c r="O593" s="14"/>
      <c r="P593" s="14"/>
    </row>
    <row r="594" hidden="1">
      <c r="A594" s="6" t="s">
        <v>238</v>
      </c>
      <c r="B594" s="7" t="s">
        <v>83</v>
      </c>
      <c r="C594" s="16" t="s">
        <v>84</v>
      </c>
      <c r="D594" s="16" t="s">
        <v>85</v>
      </c>
      <c r="E594" s="35"/>
      <c r="F594" s="36"/>
      <c r="G594" s="36"/>
      <c r="H594" s="37"/>
      <c r="I594" s="38"/>
      <c r="J594" s="12"/>
      <c r="K594" s="12">
        <f>sum(E594*250)+(F594*500)+(G594*250)+(H594*250)+(I594*250)</f>
        <v>0</v>
      </c>
      <c r="L594" s="13" t="str">
        <f t="shared" si="36"/>
        <v> 5-star +  RFC +  DME +  Patient Portal Login +  Completed Task</v>
      </c>
      <c r="M594" s="14"/>
      <c r="N594" s="14"/>
      <c r="O594" s="14"/>
      <c r="P594" s="14"/>
    </row>
    <row r="595" hidden="1">
      <c r="A595" s="6" t="s">
        <v>238</v>
      </c>
      <c r="B595" s="16" t="s">
        <v>86</v>
      </c>
      <c r="C595" s="16" t="s">
        <v>87</v>
      </c>
      <c r="D595" s="16" t="s">
        <v>88</v>
      </c>
      <c r="E595" s="17">
        <v>0.0</v>
      </c>
      <c r="F595" s="18">
        <v>2.0</v>
      </c>
      <c r="G595" s="18">
        <v>0.0</v>
      </c>
      <c r="H595" s="10">
        <v>4.0</v>
      </c>
      <c r="I595" s="19">
        <v>5.0</v>
      </c>
      <c r="J595" s="12"/>
      <c r="K595" s="12">
        <f>sum(E595*250)+(F595*250)+(G595*250)+(H595*250)+(I595*250)</f>
        <v>2750</v>
      </c>
      <c r="L595" s="13" t="str">
        <f t="shared" si="36"/>
        <v>0 5-star + 2 RFC + 0 DME + 4 Patient Portal Login + 5 Completed Task</v>
      </c>
      <c r="M595" s="14"/>
      <c r="N595" s="14"/>
      <c r="O595" s="14"/>
      <c r="P595" s="14"/>
    </row>
    <row r="596" hidden="1">
      <c r="A596" s="6" t="s">
        <v>238</v>
      </c>
      <c r="B596" s="16" t="s">
        <v>89</v>
      </c>
      <c r="C596" s="16" t="s">
        <v>90</v>
      </c>
      <c r="D596" s="16" t="s">
        <v>91</v>
      </c>
      <c r="E596" s="35"/>
      <c r="F596" s="36"/>
      <c r="G596" s="36"/>
      <c r="H596" s="37"/>
      <c r="I596" s="38"/>
      <c r="J596" s="12"/>
      <c r="K596" s="12">
        <f>sum(E596*250)+(F596*500)+(G596*250)+(H596*250)+(I596*250)</f>
        <v>0</v>
      </c>
      <c r="L596" s="13" t="str">
        <f t="shared" si="36"/>
        <v> 5-star +  RFC +  DME +  Patient Portal Login +  Completed Task</v>
      </c>
      <c r="M596" s="14"/>
      <c r="N596" s="14"/>
      <c r="O596" s="14"/>
      <c r="P596" s="14"/>
    </row>
    <row r="597" hidden="1">
      <c r="A597" s="6" t="s">
        <v>238</v>
      </c>
      <c r="B597" s="16" t="s">
        <v>92</v>
      </c>
      <c r="C597" s="16" t="s">
        <v>93</v>
      </c>
      <c r="D597" s="16" t="s">
        <v>94</v>
      </c>
      <c r="E597" s="17">
        <v>1.0</v>
      </c>
      <c r="F597" s="18">
        <v>3.0</v>
      </c>
      <c r="G597" s="18">
        <v>0.0</v>
      </c>
      <c r="H597" s="10">
        <v>21.0</v>
      </c>
      <c r="I597" s="19">
        <v>5.0</v>
      </c>
      <c r="J597" s="12"/>
      <c r="K597" s="12">
        <f t="shared" ref="K597:K598" si="42">sum(E597*250)+(F597*250)+(G597*250)+(H597*250)+(I597*250)</f>
        <v>7500</v>
      </c>
      <c r="L597" s="13" t="str">
        <f t="shared" si="36"/>
        <v>1 5-star + 3 RFC + 0 DME + 21 Patient Portal Login + 5 Completed Task</v>
      </c>
      <c r="M597" s="14"/>
      <c r="N597" s="14"/>
      <c r="O597" s="14"/>
      <c r="P597" s="14"/>
    </row>
    <row r="598" hidden="1">
      <c r="A598" s="6" t="s">
        <v>238</v>
      </c>
      <c r="B598" s="7" t="s">
        <v>95</v>
      </c>
      <c r="C598" s="16" t="s">
        <v>96</v>
      </c>
      <c r="D598" s="16" t="s">
        <v>97</v>
      </c>
      <c r="E598" s="17">
        <v>1.0</v>
      </c>
      <c r="F598" s="18">
        <v>2.0</v>
      </c>
      <c r="G598" s="18">
        <v>0.0</v>
      </c>
      <c r="H598" s="10">
        <v>2.0</v>
      </c>
      <c r="I598" s="19">
        <v>5.0</v>
      </c>
      <c r="J598" s="12"/>
      <c r="K598" s="12">
        <f t="shared" si="42"/>
        <v>2500</v>
      </c>
      <c r="L598" s="13" t="str">
        <f t="shared" si="36"/>
        <v>1 5-star + 2 RFC + 0 DME + 2 Patient Portal Login + 5 Completed Task</v>
      </c>
      <c r="M598" s="14"/>
      <c r="N598" s="14"/>
      <c r="O598" s="14"/>
      <c r="P598" s="14"/>
    </row>
    <row r="599" hidden="1">
      <c r="A599" s="6" t="s">
        <v>238</v>
      </c>
      <c r="B599" s="16" t="s">
        <v>98</v>
      </c>
      <c r="C599" s="16" t="s">
        <v>99</v>
      </c>
      <c r="D599" s="16" t="s">
        <v>100</v>
      </c>
      <c r="E599" s="35"/>
      <c r="F599" s="36"/>
      <c r="G599" s="36"/>
      <c r="H599" s="37"/>
      <c r="I599" s="38"/>
      <c r="J599" s="12"/>
      <c r="K599" s="12">
        <f>sum(E599*250)+(F599*500)+(G599*250)+(H599*250)+(I599*250)</f>
        <v>0</v>
      </c>
      <c r="L599" s="13" t="str">
        <f t="shared" si="36"/>
        <v> 5-star +  RFC +  DME +  Patient Portal Login +  Completed Task</v>
      </c>
      <c r="M599" s="14"/>
      <c r="N599" s="14"/>
      <c r="O599" s="14"/>
      <c r="P599" s="14"/>
    </row>
    <row r="600" hidden="1">
      <c r="A600" s="6" t="s">
        <v>238</v>
      </c>
      <c r="B600" s="7" t="s">
        <v>101</v>
      </c>
      <c r="C600" s="16" t="s">
        <v>102</v>
      </c>
      <c r="D600" s="16" t="s">
        <v>103</v>
      </c>
      <c r="E600" s="17">
        <v>0.0</v>
      </c>
      <c r="F600" s="18">
        <v>2.0</v>
      </c>
      <c r="G600" s="18">
        <v>0.0</v>
      </c>
      <c r="H600" s="10">
        <v>2.0</v>
      </c>
      <c r="I600" s="19">
        <v>4.0</v>
      </c>
      <c r="J600" s="12"/>
      <c r="K600" s="12">
        <f t="shared" ref="K600:K629" si="43">sum(E600*250)+(F600*250)+(G600*250)+(H600*250)+(I600*250)</f>
        <v>2000</v>
      </c>
      <c r="L600" s="13" t="str">
        <f t="shared" si="36"/>
        <v>0 5-star + 2 RFC + 0 DME + 2 Patient Portal Login + 4 Completed Task</v>
      </c>
      <c r="M600" s="14"/>
      <c r="N600" s="14"/>
      <c r="O600" s="14"/>
      <c r="P600" s="14"/>
    </row>
    <row r="601" hidden="1">
      <c r="A601" s="6" t="s">
        <v>238</v>
      </c>
      <c r="B601" s="16" t="s">
        <v>104</v>
      </c>
      <c r="C601" s="16" t="s">
        <v>105</v>
      </c>
      <c r="D601" s="16" t="s">
        <v>106</v>
      </c>
      <c r="E601" s="17">
        <v>0.0</v>
      </c>
      <c r="F601" s="18">
        <v>0.0</v>
      </c>
      <c r="G601" s="18">
        <v>1.0</v>
      </c>
      <c r="H601" s="10">
        <v>12.0</v>
      </c>
      <c r="I601" s="19">
        <v>5.0</v>
      </c>
      <c r="J601" s="12"/>
      <c r="K601" s="12">
        <f t="shared" si="43"/>
        <v>4500</v>
      </c>
      <c r="L601" s="13" t="str">
        <f t="shared" si="36"/>
        <v>0 5-star + 0 RFC + 1 DME + 12 Patient Portal Login + 5 Completed Task</v>
      </c>
      <c r="M601" s="14"/>
      <c r="N601" s="14"/>
      <c r="O601" s="14"/>
      <c r="P601" s="14"/>
    </row>
    <row r="602" hidden="1">
      <c r="A602" s="6" t="s">
        <v>238</v>
      </c>
      <c r="B602" s="16" t="s">
        <v>107</v>
      </c>
      <c r="C602" s="16" t="s">
        <v>108</v>
      </c>
      <c r="D602" s="16" t="s">
        <v>109</v>
      </c>
      <c r="E602" s="17">
        <v>1.0</v>
      </c>
      <c r="F602" s="18">
        <v>4.0</v>
      </c>
      <c r="G602" s="18">
        <v>1.0</v>
      </c>
      <c r="H602" s="10">
        <v>5.0</v>
      </c>
      <c r="I602" s="19">
        <v>5.0</v>
      </c>
      <c r="J602" s="12"/>
      <c r="K602" s="12">
        <f t="shared" si="43"/>
        <v>4000</v>
      </c>
      <c r="L602" s="13" t="str">
        <f t="shared" si="36"/>
        <v>1 5-star + 4 RFC + 1 DME + 5 Patient Portal Login + 5 Completed Task</v>
      </c>
      <c r="M602" s="14"/>
      <c r="N602" s="14"/>
      <c r="O602" s="14"/>
      <c r="P602" s="14"/>
    </row>
    <row r="603" hidden="1">
      <c r="A603" s="6" t="s">
        <v>238</v>
      </c>
      <c r="B603" s="16" t="s">
        <v>110</v>
      </c>
      <c r="C603" s="16" t="s">
        <v>111</v>
      </c>
      <c r="D603" s="16" t="s">
        <v>112</v>
      </c>
      <c r="E603" s="17">
        <v>0.0</v>
      </c>
      <c r="F603" s="18">
        <v>3.0</v>
      </c>
      <c r="G603" s="18">
        <v>4.0</v>
      </c>
      <c r="H603" s="10">
        <v>1.0</v>
      </c>
      <c r="I603" s="19">
        <v>5.0</v>
      </c>
      <c r="J603" s="12"/>
      <c r="K603" s="12">
        <f t="shared" si="43"/>
        <v>3250</v>
      </c>
      <c r="L603" s="13" t="str">
        <f t="shared" si="36"/>
        <v>0 5-star + 3 RFC + 4 DME + 1 Patient Portal Login + 5 Completed Task</v>
      </c>
      <c r="M603" s="14"/>
      <c r="N603" s="14"/>
      <c r="O603" s="14"/>
      <c r="P603" s="14"/>
    </row>
    <row r="604" hidden="1">
      <c r="A604" s="6" t="s">
        <v>238</v>
      </c>
      <c r="B604" s="16" t="s">
        <v>113</v>
      </c>
      <c r="C604" s="16" t="s">
        <v>114</v>
      </c>
      <c r="D604" s="16" t="s">
        <v>115</v>
      </c>
      <c r="E604" s="17">
        <v>0.0</v>
      </c>
      <c r="F604" s="18">
        <v>5.0</v>
      </c>
      <c r="G604" s="18">
        <v>0.0</v>
      </c>
      <c r="H604" s="10">
        <v>15.0</v>
      </c>
      <c r="I604" s="19">
        <v>5.0</v>
      </c>
      <c r="J604" s="12"/>
      <c r="K604" s="12">
        <f t="shared" si="43"/>
        <v>6250</v>
      </c>
      <c r="L604" s="13" t="str">
        <f t="shared" si="36"/>
        <v>0 5-star + 5 RFC + 0 DME + 15 Patient Portal Login + 5 Completed Task</v>
      </c>
      <c r="M604" s="14"/>
      <c r="N604" s="14"/>
      <c r="O604" s="14"/>
      <c r="P604" s="14"/>
    </row>
    <row r="605" hidden="1">
      <c r="A605" s="6" t="s">
        <v>238</v>
      </c>
      <c r="B605" s="7" t="s">
        <v>116</v>
      </c>
      <c r="C605" s="16" t="s">
        <v>117</v>
      </c>
      <c r="D605" s="16" t="s">
        <v>118</v>
      </c>
      <c r="E605" s="17">
        <v>5.0</v>
      </c>
      <c r="F605" s="18">
        <v>0.0</v>
      </c>
      <c r="G605" s="18">
        <v>1.0</v>
      </c>
      <c r="H605" s="10">
        <v>4.0</v>
      </c>
      <c r="I605" s="19">
        <v>5.0</v>
      </c>
      <c r="J605" s="12"/>
      <c r="K605" s="12">
        <f t="shared" si="43"/>
        <v>3750</v>
      </c>
      <c r="L605" s="13" t="str">
        <f t="shared" si="36"/>
        <v>5 5-star + 0 RFC + 1 DME + 4 Patient Portal Login + 5 Completed Task</v>
      </c>
      <c r="M605" s="14"/>
      <c r="N605" s="14"/>
      <c r="O605" s="14"/>
      <c r="P605" s="14"/>
    </row>
    <row r="606" hidden="1">
      <c r="A606" s="6" t="s">
        <v>238</v>
      </c>
      <c r="B606" s="16" t="s">
        <v>122</v>
      </c>
      <c r="C606" s="16" t="s">
        <v>123</v>
      </c>
      <c r="D606" s="16" t="s">
        <v>124</v>
      </c>
      <c r="E606" s="17">
        <v>1.0</v>
      </c>
      <c r="F606" s="18">
        <v>4.0</v>
      </c>
      <c r="G606" s="18">
        <v>2.0</v>
      </c>
      <c r="H606" s="10">
        <v>1.0</v>
      </c>
      <c r="I606" s="19">
        <v>5.0</v>
      </c>
      <c r="J606" s="12"/>
      <c r="K606" s="12">
        <f t="shared" si="43"/>
        <v>3250</v>
      </c>
      <c r="L606" s="13" t="str">
        <f t="shared" si="36"/>
        <v>1 5-star + 4 RFC + 2 DME + 1 Patient Portal Login + 5 Completed Task</v>
      </c>
      <c r="M606" s="14"/>
      <c r="N606" s="14"/>
      <c r="O606" s="14"/>
      <c r="P606" s="14"/>
    </row>
    <row r="607" hidden="1">
      <c r="A607" s="6" t="s">
        <v>238</v>
      </c>
      <c r="B607" s="16" t="s">
        <v>125</v>
      </c>
      <c r="C607" s="16" t="s">
        <v>126</v>
      </c>
      <c r="D607" s="16" t="s">
        <v>127</v>
      </c>
      <c r="E607" s="17">
        <v>1.0</v>
      </c>
      <c r="F607" s="25">
        <v>0.0</v>
      </c>
      <c r="G607" s="18">
        <v>0.0</v>
      </c>
      <c r="H607" s="10">
        <v>5.0</v>
      </c>
      <c r="I607" s="19">
        <v>5.0</v>
      </c>
      <c r="J607" s="12"/>
      <c r="K607" s="12">
        <f t="shared" si="43"/>
        <v>2750</v>
      </c>
      <c r="L607" s="13" t="str">
        <f t="shared" si="36"/>
        <v>1 5-star + 0 RFC + 0 DME + 5 Patient Portal Login + 5 Completed Task</v>
      </c>
      <c r="M607" s="14"/>
      <c r="N607" s="14"/>
      <c r="O607" s="14"/>
      <c r="P607" s="14"/>
    </row>
    <row r="608" hidden="1">
      <c r="A608" s="6" t="s">
        <v>238</v>
      </c>
      <c r="B608" s="16" t="s">
        <v>128</v>
      </c>
      <c r="C608" s="16" t="s">
        <v>129</v>
      </c>
      <c r="D608" s="16" t="s">
        <v>130</v>
      </c>
      <c r="E608" s="22">
        <v>1.0</v>
      </c>
      <c r="F608" s="18">
        <v>2.0</v>
      </c>
      <c r="G608" s="18">
        <v>0.0</v>
      </c>
      <c r="H608" s="10">
        <v>5.0</v>
      </c>
      <c r="I608" s="19">
        <v>5.0</v>
      </c>
      <c r="J608" s="12"/>
      <c r="K608" s="12">
        <f t="shared" si="43"/>
        <v>3250</v>
      </c>
      <c r="L608" s="13" t="str">
        <f t="shared" si="36"/>
        <v>1 5-star + 2 RFC + 0 DME + 5 Patient Portal Login + 5 Completed Task</v>
      </c>
      <c r="M608" s="14"/>
      <c r="N608" s="14"/>
      <c r="O608" s="14"/>
      <c r="P608" s="14"/>
    </row>
    <row r="609" hidden="1">
      <c r="A609" s="6" t="s">
        <v>238</v>
      </c>
      <c r="B609" s="16" t="s">
        <v>131</v>
      </c>
      <c r="C609" s="16" t="s">
        <v>132</v>
      </c>
      <c r="D609" s="16" t="s">
        <v>133</v>
      </c>
      <c r="E609" s="17">
        <v>1.0</v>
      </c>
      <c r="F609" s="18">
        <v>0.0</v>
      </c>
      <c r="G609" s="18">
        <v>6.0</v>
      </c>
      <c r="H609" s="10">
        <v>6.0</v>
      </c>
      <c r="I609" s="19">
        <v>3.0</v>
      </c>
      <c r="J609" s="12"/>
      <c r="K609" s="12">
        <f t="shared" si="43"/>
        <v>4000</v>
      </c>
      <c r="L609" s="13" t="str">
        <f t="shared" si="36"/>
        <v>1 5-star + 0 RFC + 6 DME + 6 Patient Portal Login + 3 Completed Task</v>
      </c>
      <c r="M609" s="14"/>
      <c r="N609" s="14"/>
      <c r="O609" s="14"/>
      <c r="P609" s="14"/>
    </row>
    <row r="610" hidden="1">
      <c r="A610" s="6" t="s">
        <v>238</v>
      </c>
      <c r="B610" s="16" t="s">
        <v>134</v>
      </c>
      <c r="C610" s="16" t="s">
        <v>135</v>
      </c>
      <c r="D610" s="16" t="s">
        <v>136</v>
      </c>
      <c r="E610" s="17">
        <v>0.0</v>
      </c>
      <c r="F610" s="18">
        <v>1.0</v>
      </c>
      <c r="G610" s="18">
        <v>0.0</v>
      </c>
      <c r="H610" s="10">
        <v>1.0</v>
      </c>
      <c r="I610" s="19">
        <v>5.0</v>
      </c>
      <c r="J610" s="12"/>
      <c r="K610" s="12">
        <f t="shared" si="43"/>
        <v>1750</v>
      </c>
      <c r="L610" s="13" t="str">
        <f t="shared" si="36"/>
        <v>0 5-star + 1 RFC + 0 DME + 1 Patient Portal Login + 5 Completed Task</v>
      </c>
      <c r="M610" s="14"/>
      <c r="N610" s="14"/>
      <c r="O610" s="14"/>
      <c r="P610" s="14"/>
    </row>
    <row r="611" hidden="1">
      <c r="A611" s="6" t="s">
        <v>238</v>
      </c>
      <c r="B611" s="16" t="s">
        <v>137</v>
      </c>
      <c r="C611" s="16" t="s">
        <v>138</v>
      </c>
      <c r="D611" s="16" t="s">
        <v>139</v>
      </c>
      <c r="E611" s="17">
        <v>0.0</v>
      </c>
      <c r="F611" s="18">
        <v>2.0</v>
      </c>
      <c r="G611" s="18">
        <v>6.0</v>
      </c>
      <c r="H611" s="10">
        <v>11.0</v>
      </c>
      <c r="I611" s="19">
        <v>5.0</v>
      </c>
      <c r="J611" s="12"/>
      <c r="K611" s="12">
        <f t="shared" si="43"/>
        <v>6000</v>
      </c>
      <c r="L611" s="13" t="str">
        <f t="shared" si="36"/>
        <v>0 5-star + 2 RFC + 6 DME + 11 Patient Portal Login + 5 Completed Task</v>
      </c>
      <c r="M611" s="14"/>
      <c r="N611" s="14"/>
      <c r="O611" s="14"/>
      <c r="P611" s="14"/>
    </row>
    <row r="612" hidden="1">
      <c r="A612" s="6" t="s">
        <v>238</v>
      </c>
      <c r="B612" s="16" t="s">
        <v>140</v>
      </c>
      <c r="C612" s="16" t="s">
        <v>141</v>
      </c>
      <c r="D612" s="16" t="s">
        <v>142</v>
      </c>
      <c r="E612" s="17">
        <v>19.0</v>
      </c>
      <c r="F612" s="18">
        <v>1.0</v>
      </c>
      <c r="G612" s="18">
        <v>0.0</v>
      </c>
      <c r="H612" s="10">
        <v>8.0</v>
      </c>
      <c r="I612" s="19">
        <v>5.0</v>
      </c>
      <c r="J612" s="12"/>
      <c r="K612" s="12">
        <f t="shared" si="43"/>
        <v>8250</v>
      </c>
      <c r="L612" s="13" t="str">
        <f t="shared" si="36"/>
        <v>19 5-star + 1 RFC + 0 DME + 8 Patient Portal Login + 5 Completed Task</v>
      </c>
      <c r="M612" s="14"/>
      <c r="N612" s="14"/>
      <c r="O612" s="14"/>
      <c r="P612" s="14"/>
    </row>
    <row r="613" hidden="1">
      <c r="A613" s="6" t="s">
        <v>238</v>
      </c>
      <c r="B613" s="16" t="s">
        <v>143</v>
      </c>
      <c r="C613" s="16" t="s">
        <v>144</v>
      </c>
      <c r="D613" s="16" t="s">
        <v>145</v>
      </c>
      <c r="E613" s="17">
        <v>1.0</v>
      </c>
      <c r="F613" s="18">
        <v>0.0</v>
      </c>
      <c r="G613" s="18">
        <v>0.0</v>
      </c>
      <c r="H613" s="10">
        <v>2.0</v>
      </c>
      <c r="I613" s="19">
        <v>5.0</v>
      </c>
      <c r="J613" s="12"/>
      <c r="K613" s="12">
        <f t="shared" si="43"/>
        <v>2000</v>
      </c>
      <c r="L613" s="13" t="str">
        <f t="shared" si="36"/>
        <v>1 5-star + 0 RFC + 0 DME + 2 Patient Portal Login + 5 Completed Task</v>
      </c>
      <c r="M613" s="14"/>
      <c r="N613" s="14"/>
      <c r="O613" s="14"/>
      <c r="P613" s="14"/>
    </row>
    <row r="614" hidden="1">
      <c r="A614" s="6" t="s">
        <v>238</v>
      </c>
      <c r="B614" s="16" t="s">
        <v>146</v>
      </c>
      <c r="C614" s="16" t="s">
        <v>147</v>
      </c>
      <c r="D614" s="16" t="s">
        <v>148</v>
      </c>
      <c r="E614" s="17">
        <v>0.0</v>
      </c>
      <c r="F614" s="18">
        <v>0.0</v>
      </c>
      <c r="G614" s="18">
        <v>1.0</v>
      </c>
      <c r="H614" s="10">
        <v>1.0</v>
      </c>
      <c r="I614" s="19">
        <v>5.0</v>
      </c>
      <c r="J614" s="12"/>
      <c r="K614" s="12">
        <f t="shared" si="43"/>
        <v>1750</v>
      </c>
      <c r="L614" s="13" t="str">
        <f t="shared" si="36"/>
        <v>0 5-star + 0 RFC + 1 DME + 1 Patient Portal Login + 5 Completed Task</v>
      </c>
      <c r="M614" s="14"/>
      <c r="N614" s="14"/>
      <c r="O614" s="14"/>
      <c r="P614" s="14"/>
    </row>
    <row r="615" hidden="1">
      <c r="A615" s="6" t="s">
        <v>238</v>
      </c>
      <c r="B615" s="16" t="s">
        <v>149</v>
      </c>
      <c r="C615" s="16" t="s">
        <v>150</v>
      </c>
      <c r="D615" s="16" t="s">
        <v>151</v>
      </c>
      <c r="E615" s="17">
        <v>0.0</v>
      </c>
      <c r="F615" s="18">
        <v>0.0</v>
      </c>
      <c r="G615" s="18">
        <v>0.0</v>
      </c>
      <c r="H615" s="10">
        <v>0.0</v>
      </c>
      <c r="I615" s="19">
        <v>5.0</v>
      </c>
      <c r="J615" s="12"/>
      <c r="K615" s="12">
        <f t="shared" si="43"/>
        <v>1250</v>
      </c>
      <c r="L615" s="13" t="str">
        <f t="shared" si="36"/>
        <v>0 5-star + 0 RFC + 0 DME + 0 Patient Portal Login + 5 Completed Task</v>
      </c>
      <c r="M615" s="14"/>
      <c r="N615" s="14"/>
      <c r="O615" s="14"/>
      <c r="P615" s="14"/>
    </row>
    <row r="616" hidden="1">
      <c r="A616" s="6" t="s">
        <v>238</v>
      </c>
      <c r="B616" s="16" t="s">
        <v>152</v>
      </c>
      <c r="C616" s="16" t="s">
        <v>153</v>
      </c>
      <c r="D616" s="16" t="s">
        <v>154</v>
      </c>
      <c r="E616" s="17">
        <v>0.0</v>
      </c>
      <c r="F616" s="18">
        <v>1.0</v>
      </c>
      <c r="G616" s="18">
        <v>3.0</v>
      </c>
      <c r="H616" s="10">
        <v>1.0</v>
      </c>
      <c r="I616" s="19">
        <v>5.0</v>
      </c>
      <c r="J616" s="12"/>
      <c r="K616" s="12">
        <f t="shared" si="43"/>
        <v>2500</v>
      </c>
      <c r="L616" s="13" t="str">
        <f t="shared" si="36"/>
        <v>0 5-star + 1 RFC + 3 DME + 1 Patient Portal Login + 5 Completed Task</v>
      </c>
      <c r="M616" s="14"/>
      <c r="N616" s="14"/>
      <c r="O616" s="14"/>
      <c r="P616" s="14"/>
    </row>
    <row r="617" hidden="1">
      <c r="A617" s="6" t="s">
        <v>238</v>
      </c>
      <c r="B617" s="16" t="s">
        <v>155</v>
      </c>
      <c r="C617" s="16" t="s">
        <v>156</v>
      </c>
      <c r="D617" s="16" t="s">
        <v>157</v>
      </c>
      <c r="E617" s="17">
        <v>21.0</v>
      </c>
      <c r="F617" s="18">
        <v>1.0</v>
      </c>
      <c r="G617" s="18">
        <v>0.0</v>
      </c>
      <c r="H617" s="10">
        <v>2.0</v>
      </c>
      <c r="I617" s="19">
        <v>5.0</v>
      </c>
      <c r="J617" s="12"/>
      <c r="K617" s="12">
        <f t="shared" si="43"/>
        <v>7250</v>
      </c>
      <c r="L617" s="13" t="str">
        <f t="shared" si="36"/>
        <v>21 5-star + 1 RFC + 0 DME + 2 Patient Portal Login + 5 Completed Task</v>
      </c>
      <c r="M617" s="14"/>
      <c r="N617" s="14"/>
      <c r="O617" s="14"/>
      <c r="P617" s="14"/>
    </row>
    <row r="618" hidden="1">
      <c r="A618" s="6" t="s">
        <v>238</v>
      </c>
      <c r="B618" s="16" t="s">
        <v>158</v>
      </c>
      <c r="C618" s="16" t="s">
        <v>159</v>
      </c>
      <c r="D618" s="16" t="s">
        <v>160</v>
      </c>
      <c r="E618" s="17">
        <v>1.0</v>
      </c>
      <c r="F618" s="18">
        <v>0.0</v>
      </c>
      <c r="G618" s="18">
        <v>1.0</v>
      </c>
      <c r="H618" s="10">
        <v>0.0</v>
      </c>
      <c r="I618" s="19">
        <v>5.0</v>
      </c>
      <c r="J618" s="12"/>
      <c r="K618" s="12">
        <f t="shared" si="43"/>
        <v>1750</v>
      </c>
      <c r="L618" s="13" t="str">
        <f t="shared" si="36"/>
        <v>1 5-star + 0 RFC + 1 DME + 0 Patient Portal Login + 5 Completed Task</v>
      </c>
      <c r="M618" s="14"/>
      <c r="N618" s="14"/>
      <c r="O618" s="14"/>
      <c r="P618" s="14"/>
    </row>
    <row r="619" hidden="1">
      <c r="A619" s="6" t="s">
        <v>238</v>
      </c>
      <c r="B619" s="20" t="s">
        <v>161</v>
      </c>
      <c r="C619" s="20" t="s">
        <v>162</v>
      </c>
      <c r="D619" s="20" t="s">
        <v>163</v>
      </c>
      <c r="E619" s="17">
        <v>0.0</v>
      </c>
      <c r="F619" s="18">
        <v>2.0</v>
      </c>
      <c r="G619" s="18">
        <v>0.0</v>
      </c>
      <c r="H619" s="10">
        <v>9.0</v>
      </c>
      <c r="I619" s="19">
        <v>5.0</v>
      </c>
      <c r="J619" s="12"/>
      <c r="K619" s="12">
        <f t="shared" si="43"/>
        <v>4000</v>
      </c>
      <c r="L619" s="13" t="str">
        <f> E619 &amp; " 5-star + " &amp; E606 &amp; " RFC + " &amp; G619 &amp; " DME + " &amp; H619 &amp; " Patient Portal Login + " &amp; I619 &amp; " Completed Task"
</f>
        <v>0 5-star + 1 RFC + 0 DME + 9 Patient Portal Login + 5 Completed Task</v>
      </c>
      <c r="M619" s="14"/>
      <c r="N619" s="14"/>
      <c r="O619" s="14"/>
      <c r="P619" s="14"/>
    </row>
    <row r="620" hidden="1">
      <c r="A620" s="6" t="s">
        <v>238</v>
      </c>
      <c r="B620" s="20" t="s">
        <v>164</v>
      </c>
      <c r="C620" s="20" t="s">
        <v>165</v>
      </c>
      <c r="D620" s="20" t="s">
        <v>166</v>
      </c>
      <c r="E620" s="35"/>
      <c r="F620" s="36"/>
      <c r="G620" s="36"/>
      <c r="H620" s="37"/>
      <c r="I620" s="38"/>
      <c r="J620" s="12"/>
      <c r="K620" s="12">
        <f t="shared" si="43"/>
        <v>0</v>
      </c>
      <c r="L620" s="13" t="str">
        <f t="shared" ref="L620:L684" si="44"> E620 &amp; " 5-star + " &amp; F620 &amp; " RFC + " &amp; G620 &amp; " DME + " &amp; H620 &amp; " Patient Portal Login + " &amp; I620 &amp; " Completed Task"
</f>
        <v> 5-star +  RFC +  DME +  Patient Portal Login +  Completed Task</v>
      </c>
      <c r="M620" s="14"/>
      <c r="N620" s="14"/>
      <c r="O620" s="14"/>
      <c r="P620" s="14"/>
    </row>
    <row r="621" hidden="1">
      <c r="A621" s="6" t="s">
        <v>238</v>
      </c>
      <c r="B621" s="20" t="s">
        <v>167</v>
      </c>
      <c r="C621" s="20" t="s">
        <v>168</v>
      </c>
      <c r="D621" s="20" t="s">
        <v>169</v>
      </c>
      <c r="E621" s="17">
        <v>0.0</v>
      </c>
      <c r="F621" s="18">
        <v>0.0</v>
      </c>
      <c r="G621" s="18">
        <v>0.0</v>
      </c>
      <c r="H621" s="10">
        <v>4.0</v>
      </c>
      <c r="I621" s="19">
        <v>5.0</v>
      </c>
      <c r="J621" s="12"/>
      <c r="K621" s="12">
        <f t="shared" si="43"/>
        <v>2250</v>
      </c>
      <c r="L621" s="13" t="str">
        <f t="shared" si="44"/>
        <v>0 5-star + 0 RFC + 0 DME + 4 Patient Portal Login + 5 Completed Task</v>
      </c>
      <c r="M621" s="14"/>
      <c r="N621" s="14"/>
      <c r="O621" s="14"/>
      <c r="P621" s="14"/>
    </row>
    <row r="622" hidden="1">
      <c r="A622" s="6" t="s">
        <v>238</v>
      </c>
      <c r="B622" s="40" t="s">
        <v>222</v>
      </c>
      <c r="C622" s="20" t="s">
        <v>171</v>
      </c>
      <c r="D622" s="20" t="s">
        <v>172</v>
      </c>
      <c r="E622" s="17">
        <v>1.0</v>
      </c>
      <c r="F622" s="18">
        <v>2.0</v>
      </c>
      <c r="G622" s="18">
        <v>0.0</v>
      </c>
      <c r="H622" s="10">
        <v>11.0</v>
      </c>
      <c r="I622" s="19">
        <v>5.0</v>
      </c>
      <c r="J622" s="12"/>
      <c r="K622" s="12">
        <f t="shared" si="43"/>
        <v>4750</v>
      </c>
      <c r="L622" s="13" t="str">
        <f t="shared" si="44"/>
        <v>1 5-star + 2 RFC + 0 DME + 11 Patient Portal Login + 5 Completed Task</v>
      </c>
      <c r="M622" s="14"/>
      <c r="N622" s="14"/>
      <c r="O622" s="14"/>
      <c r="P622" s="14"/>
    </row>
    <row r="623" hidden="1">
      <c r="A623" s="6" t="s">
        <v>238</v>
      </c>
      <c r="B623" s="16" t="s">
        <v>173</v>
      </c>
      <c r="C623" s="16" t="s">
        <v>174</v>
      </c>
      <c r="D623" s="16" t="s">
        <v>175</v>
      </c>
      <c r="E623" s="17">
        <v>1.0</v>
      </c>
      <c r="F623" s="18">
        <v>2.0</v>
      </c>
      <c r="G623" s="18">
        <v>1.0</v>
      </c>
      <c r="H623" s="10">
        <v>11.0</v>
      </c>
      <c r="I623" s="19">
        <v>5.0</v>
      </c>
      <c r="J623" s="12"/>
      <c r="K623" s="12">
        <f t="shared" si="43"/>
        <v>5000</v>
      </c>
      <c r="L623" s="13" t="str">
        <f t="shared" si="44"/>
        <v>1 5-star + 2 RFC + 1 DME + 11 Patient Portal Login + 5 Completed Task</v>
      </c>
      <c r="M623" s="14"/>
      <c r="N623" s="14"/>
      <c r="O623" s="14"/>
      <c r="P623" s="14"/>
    </row>
    <row r="624" hidden="1">
      <c r="A624" s="6" t="s">
        <v>238</v>
      </c>
      <c r="B624" s="16" t="s">
        <v>176</v>
      </c>
      <c r="C624" s="16" t="s">
        <v>177</v>
      </c>
      <c r="D624" s="16" t="s">
        <v>178</v>
      </c>
      <c r="E624" s="17">
        <v>0.0</v>
      </c>
      <c r="F624" s="18">
        <v>0.0</v>
      </c>
      <c r="G624" s="18">
        <v>0.0</v>
      </c>
      <c r="H624" s="10">
        <v>1.0</v>
      </c>
      <c r="I624" s="19">
        <v>5.0</v>
      </c>
      <c r="J624" s="12"/>
      <c r="K624" s="12">
        <f t="shared" si="43"/>
        <v>1500</v>
      </c>
      <c r="L624" s="13" t="str">
        <f t="shared" si="44"/>
        <v>0 5-star + 0 RFC + 0 DME + 1 Patient Portal Login + 5 Completed Task</v>
      </c>
      <c r="M624" s="14"/>
      <c r="N624" s="14"/>
      <c r="O624" s="14"/>
      <c r="P624" s="14"/>
    </row>
    <row r="625" hidden="1">
      <c r="A625" s="6" t="s">
        <v>238</v>
      </c>
      <c r="B625" s="21" t="s">
        <v>179</v>
      </c>
      <c r="C625" s="21" t="s">
        <v>180</v>
      </c>
      <c r="D625" s="21" t="s">
        <v>181</v>
      </c>
      <c r="E625" s="17">
        <v>1.0</v>
      </c>
      <c r="F625" s="18">
        <v>2.0</v>
      </c>
      <c r="G625" s="18">
        <v>2.0</v>
      </c>
      <c r="H625" s="10">
        <v>9.0</v>
      </c>
      <c r="I625" s="19">
        <v>5.0</v>
      </c>
      <c r="J625" s="12"/>
      <c r="K625" s="12">
        <f t="shared" si="43"/>
        <v>4750</v>
      </c>
      <c r="L625" s="13" t="str">
        <f t="shared" si="44"/>
        <v>1 5-star + 2 RFC + 2 DME + 9 Patient Portal Login + 5 Completed Task</v>
      </c>
      <c r="M625" s="14"/>
      <c r="N625" s="14"/>
      <c r="O625" s="23"/>
      <c r="P625" s="23"/>
    </row>
    <row r="626" hidden="1">
      <c r="A626" s="6" t="s">
        <v>238</v>
      </c>
      <c r="B626" s="21" t="s">
        <v>182</v>
      </c>
      <c r="C626" s="21" t="s">
        <v>183</v>
      </c>
      <c r="D626" s="21" t="s">
        <v>184</v>
      </c>
      <c r="E626" s="17">
        <v>2.0</v>
      </c>
      <c r="F626" s="18">
        <v>0.0</v>
      </c>
      <c r="G626" s="18">
        <v>0.0</v>
      </c>
      <c r="H626" s="10">
        <v>0.0</v>
      </c>
      <c r="I626" s="19">
        <v>4.0</v>
      </c>
      <c r="J626" s="12"/>
      <c r="K626" s="12">
        <f t="shared" si="43"/>
        <v>1500</v>
      </c>
      <c r="L626" s="13" t="str">
        <f t="shared" si="44"/>
        <v>2 5-star + 0 RFC + 0 DME + 0 Patient Portal Login + 4 Completed Task</v>
      </c>
      <c r="M626" s="14"/>
      <c r="N626" s="14"/>
      <c r="O626" s="23"/>
      <c r="P626" s="23"/>
    </row>
    <row r="627" hidden="1">
      <c r="A627" s="6" t="s">
        <v>238</v>
      </c>
      <c r="B627" s="21" t="s">
        <v>185</v>
      </c>
      <c r="C627" s="21" t="s">
        <v>186</v>
      </c>
      <c r="D627" s="21" t="s">
        <v>187</v>
      </c>
      <c r="E627" s="17">
        <v>9.0</v>
      </c>
      <c r="F627" s="18">
        <v>1.0</v>
      </c>
      <c r="G627" s="18">
        <v>1.0</v>
      </c>
      <c r="H627" s="10">
        <v>2.0</v>
      </c>
      <c r="I627" s="19">
        <v>3.0</v>
      </c>
      <c r="J627" s="12"/>
      <c r="K627" s="12">
        <f t="shared" si="43"/>
        <v>4000</v>
      </c>
      <c r="L627" s="13" t="str">
        <f t="shared" si="44"/>
        <v>9 5-star + 1 RFC + 1 DME + 2 Patient Portal Login + 3 Completed Task</v>
      </c>
      <c r="M627" s="14"/>
      <c r="N627" s="14"/>
      <c r="O627" s="23"/>
      <c r="P627" s="23"/>
    </row>
    <row r="628" hidden="1">
      <c r="A628" s="6" t="s">
        <v>238</v>
      </c>
      <c r="B628" s="21" t="s">
        <v>188</v>
      </c>
      <c r="C628" s="21" t="s">
        <v>189</v>
      </c>
      <c r="D628" s="21" t="s">
        <v>190</v>
      </c>
      <c r="E628" s="17">
        <v>3.0</v>
      </c>
      <c r="F628" s="18">
        <v>1.0</v>
      </c>
      <c r="G628" s="18">
        <v>1.0</v>
      </c>
      <c r="H628" s="10">
        <v>17.0</v>
      </c>
      <c r="I628" s="19">
        <v>5.0</v>
      </c>
      <c r="J628" s="12"/>
      <c r="K628" s="12">
        <f t="shared" si="43"/>
        <v>6750</v>
      </c>
      <c r="L628" s="13" t="str">
        <f t="shared" si="44"/>
        <v>3 5-star + 1 RFC + 1 DME + 17 Patient Portal Login + 5 Completed Task</v>
      </c>
      <c r="M628" s="14"/>
      <c r="N628" s="14"/>
      <c r="O628" s="23"/>
      <c r="P628" s="23"/>
    </row>
    <row r="629" hidden="1">
      <c r="A629" s="6" t="s">
        <v>238</v>
      </c>
      <c r="B629" s="21" t="s">
        <v>191</v>
      </c>
      <c r="C629" s="21" t="s">
        <v>192</v>
      </c>
      <c r="D629" s="21" t="s">
        <v>193</v>
      </c>
      <c r="E629" s="17">
        <v>0.0</v>
      </c>
      <c r="F629" s="18">
        <v>3.0</v>
      </c>
      <c r="G629" s="18">
        <v>0.0</v>
      </c>
      <c r="H629" s="10">
        <v>1.0</v>
      </c>
      <c r="I629" s="19">
        <v>5.0</v>
      </c>
      <c r="J629" s="12"/>
      <c r="K629" s="12">
        <f t="shared" si="43"/>
        <v>2250</v>
      </c>
      <c r="L629" s="13" t="str">
        <f t="shared" si="44"/>
        <v>0 5-star + 3 RFC + 0 DME + 1 Patient Portal Login + 5 Completed Task</v>
      </c>
      <c r="M629" s="14"/>
      <c r="N629" s="14"/>
      <c r="O629" s="23"/>
      <c r="P629" s="23"/>
    </row>
    <row r="630" hidden="1">
      <c r="A630" s="6" t="s">
        <v>238</v>
      </c>
      <c r="B630" s="21" t="s">
        <v>194</v>
      </c>
      <c r="C630" s="21" t="s">
        <v>195</v>
      </c>
      <c r="D630" s="21" t="s">
        <v>196</v>
      </c>
      <c r="E630" s="35"/>
      <c r="F630" s="36"/>
      <c r="G630" s="36"/>
      <c r="H630" s="37"/>
      <c r="I630" s="38"/>
      <c r="J630" s="12"/>
      <c r="K630" s="12">
        <f t="shared" ref="K630:K631" si="45">sum(E630*250)+(F630*500)+(G630*250)+(H630*250)+(I630*250)</f>
        <v>0</v>
      </c>
      <c r="L630" s="13" t="str">
        <f t="shared" si="44"/>
        <v> 5-star +  RFC +  DME +  Patient Portal Login +  Completed Task</v>
      </c>
      <c r="M630" s="14"/>
      <c r="N630" s="14"/>
      <c r="O630" s="23"/>
      <c r="P630" s="23"/>
    </row>
    <row r="631" hidden="1">
      <c r="A631" s="6" t="s">
        <v>238</v>
      </c>
      <c r="B631" s="21" t="s">
        <v>197</v>
      </c>
      <c r="C631" s="21" t="s">
        <v>198</v>
      </c>
      <c r="D631" s="21" t="s">
        <v>199</v>
      </c>
      <c r="E631" s="17">
        <v>1.0</v>
      </c>
      <c r="F631" s="18">
        <v>1.0</v>
      </c>
      <c r="G631" s="18">
        <v>0.0</v>
      </c>
      <c r="H631" s="10">
        <v>1.0</v>
      </c>
      <c r="I631" s="19">
        <v>5.0</v>
      </c>
      <c r="J631" s="12"/>
      <c r="K631" s="12">
        <f t="shared" si="45"/>
        <v>2250</v>
      </c>
      <c r="L631" s="13" t="str">
        <f t="shared" si="44"/>
        <v>1 5-star + 1 RFC + 0 DME + 1 Patient Portal Login + 5 Completed Task</v>
      </c>
      <c r="M631" s="14"/>
      <c r="N631" s="14"/>
      <c r="O631" s="23"/>
      <c r="P631" s="23"/>
    </row>
    <row r="632" hidden="1">
      <c r="A632" s="6" t="s">
        <v>238</v>
      </c>
      <c r="B632" s="21" t="s">
        <v>200</v>
      </c>
      <c r="C632" s="21" t="s">
        <v>201</v>
      </c>
      <c r="D632" s="21" t="s">
        <v>202</v>
      </c>
      <c r="E632" s="17">
        <v>3.0</v>
      </c>
      <c r="F632" s="18">
        <v>2.0</v>
      </c>
      <c r="G632" s="18">
        <v>0.0</v>
      </c>
      <c r="H632" s="10">
        <v>7.0</v>
      </c>
      <c r="I632" s="19">
        <v>5.0</v>
      </c>
      <c r="J632" s="12"/>
      <c r="K632" s="12">
        <f t="shared" ref="K632:K636" si="46">sum(E632*250)+(F632*250)+(G632*250)+(H632*250)+(I632*250)</f>
        <v>4250</v>
      </c>
      <c r="L632" s="13" t="str">
        <f t="shared" si="44"/>
        <v>3 5-star + 2 RFC + 0 DME + 7 Patient Portal Login + 5 Completed Task</v>
      </c>
      <c r="M632" s="14"/>
      <c r="N632" s="14"/>
      <c r="O632" s="23"/>
      <c r="P632" s="23"/>
    </row>
    <row r="633" hidden="1">
      <c r="A633" s="6" t="s">
        <v>239</v>
      </c>
      <c r="B633" s="16" t="s">
        <v>207</v>
      </c>
      <c r="C633" s="16" t="s">
        <v>208</v>
      </c>
      <c r="D633" s="16" t="s">
        <v>209</v>
      </c>
      <c r="E633" s="17">
        <v>1.0</v>
      </c>
      <c r="F633" s="18">
        <v>0.0</v>
      </c>
      <c r="G633" s="18">
        <v>0.0</v>
      </c>
      <c r="H633" s="10">
        <v>6.0</v>
      </c>
      <c r="I633" s="19">
        <v>5.0</v>
      </c>
      <c r="J633" s="12"/>
      <c r="K633" s="12">
        <f t="shared" si="46"/>
        <v>3000</v>
      </c>
      <c r="L633" s="13" t="str">
        <f t="shared" si="44"/>
        <v>1 5-star + 0 RFC + 0 DME + 6 Patient Portal Login + 5 Completed Task</v>
      </c>
      <c r="M633" s="14"/>
      <c r="N633" s="14"/>
      <c r="O633" s="14"/>
      <c r="P633" s="14"/>
    </row>
    <row r="634" hidden="1">
      <c r="A634" s="6" t="s">
        <v>239</v>
      </c>
      <c r="B634" s="16" t="s">
        <v>210</v>
      </c>
      <c r="C634" s="16" t="s">
        <v>211</v>
      </c>
      <c r="D634" s="16" t="s">
        <v>212</v>
      </c>
      <c r="E634" s="17">
        <v>1.0</v>
      </c>
      <c r="F634" s="41">
        <v>0.0</v>
      </c>
      <c r="G634" s="41">
        <v>0.0</v>
      </c>
      <c r="H634" s="42">
        <v>0.0</v>
      </c>
      <c r="I634" s="19">
        <v>5.0</v>
      </c>
      <c r="J634" s="12"/>
      <c r="K634" s="12">
        <f t="shared" si="46"/>
        <v>1500</v>
      </c>
      <c r="L634" s="13" t="str">
        <f t="shared" si="44"/>
        <v>1 5-star + 0 RFC + 0 DME + 0 Patient Portal Login + 5 Completed Task</v>
      </c>
      <c r="M634" s="14"/>
      <c r="N634" s="14"/>
      <c r="O634" s="14"/>
      <c r="P634" s="14"/>
    </row>
    <row r="635" hidden="1">
      <c r="A635" s="6" t="s">
        <v>239</v>
      </c>
      <c r="B635" s="16" t="s">
        <v>213</v>
      </c>
      <c r="C635" s="16" t="s">
        <v>214</v>
      </c>
      <c r="D635" s="16" t="s">
        <v>215</v>
      </c>
      <c r="E635" s="17">
        <v>0.0</v>
      </c>
      <c r="F635" s="18">
        <v>5.0</v>
      </c>
      <c r="G635" s="18">
        <v>3.0</v>
      </c>
      <c r="H635" s="10">
        <v>5.0</v>
      </c>
      <c r="I635" s="19">
        <v>5.0</v>
      </c>
      <c r="J635" s="12"/>
      <c r="K635" s="12">
        <f t="shared" si="46"/>
        <v>4500</v>
      </c>
      <c r="L635" s="13" t="str">
        <f t="shared" si="44"/>
        <v>0 5-star + 5 RFC + 3 DME + 5 Patient Portal Login + 5 Completed Task</v>
      </c>
      <c r="M635" s="14"/>
      <c r="N635" s="14"/>
      <c r="O635" s="14"/>
      <c r="P635" s="14"/>
    </row>
    <row r="636" hidden="1">
      <c r="A636" s="6" t="s">
        <v>239</v>
      </c>
      <c r="B636" s="16" t="s">
        <v>216</v>
      </c>
      <c r="C636" s="16" t="s">
        <v>217</v>
      </c>
      <c r="D636" s="16" t="s">
        <v>218</v>
      </c>
      <c r="E636" s="17">
        <v>0.0</v>
      </c>
      <c r="F636" s="18">
        <v>0.0</v>
      </c>
      <c r="G636" s="18">
        <v>1.0</v>
      </c>
      <c r="H636" s="10">
        <v>8.0</v>
      </c>
      <c r="I636" s="19">
        <v>5.0</v>
      </c>
      <c r="J636" s="12"/>
      <c r="K636" s="12">
        <f t="shared" si="46"/>
        <v>3500</v>
      </c>
      <c r="L636" s="13" t="str">
        <f t="shared" si="44"/>
        <v>0 5-star + 0 RFC + 1 DME + 8 Patient Portal Login + 5 Completed Task</v>
      </c>
      <c r="M636" s="14"/>
      <c r="N636" s="14"/>
      <c r="O636" s="14"/>
      <c r="P636" s="14"/>
    </row>
    <row r="637" hidden="1">
      <c r="A637" s="6" t="s">
        <v>239</v>
      </c>
      <c r="B637" s="16" t="s">
        <v>32</v>
      </c>
      <c r="C637" s="16" t="s">
        <v>227</v>
      </c>
      <c r="D637" s="16" t="s">
        <v>34</v>
      </c>
      <c r="E637" s="35"/>
      <c r="F637" s="36"/>
      <c r="G637" s="36"/>
      <c r="H637" s="37"/>
      <c r="I637" s="38"/>
      <c r="J637" s="12"/>
      <c r="K637" s="12">
        <f t="shared" ref="K637:K645" si="47">sum(E637*250)+(F637*500)+(G637*250)+(H637*250)+(I637*250)</f>
        <v>0</v>
      </c>
      <c r="L637" s="13" t="str">
        <f t="shared" si="44"/>
        <v> 5-star +  RFC +  DME +  Patient Portal Login +  Completed Task</v>
      </c>
      <c r="M637" s="14"/>
      <c r="N637" s="14"/>
      <c r="O637" s="14"/>
      <c r="P637" s="14"/>
    </row>
    <row r="638" hidden="1">
      <c r="A638" s="6" t="s">
        <v>239</v>
      </c>
      <c r="B638" s="16" t="s">
        <v>29</v>
      </c>
      <c r="C638" s="16" t="s">
        <v>228</v>
      </c>
      <c r="D638" s="16" t="s">
        <v>31</v>
      </c>
      <c r="E638" s="35"/>
      <c r="F638" s="36"/>
      <c r="G638" s="36"/>
      <c r="H638" s="37"/>
      <c r="I638" s="38"/>
      <c r="J638" s="12"/>
      <c r="K638" s="12">
        <f t="shared" si="47"/>
        <v>0</v>
      </c>
      <c r="L638" s="13" t="str">
        <f t="shared" si="44"/>
        <v> 5-star +  RFC +  DME +  Patient Portal Login +  Completed Task</v>
      </c>
      <c r="M638" s="14"/>
      <c r="N638" s="14"/>
      <c r="O638" s="14"/>
      <c r="P638" s="14"/>
    </row>
    <row r="639" hidden="1">
      <c r="A639" s="6" t="s">
        <v>239</v>
      </c>
      <c r="B639" s="16" t="s">
        <v>26</v>
      </c>
      <c r="C639" s="16" t="s">
        <v>229</v>
      </c>
      <c r="D639" s="16" t="s">
        <v>28</v>
      </c>
      <c r="E639" s="35"/>
      <c r="F639" s="36"/>
      <c r="G639" s="36"/>
      <c r="H639" s="37"/>
      <c r="I639" s="38"/>
      <c r="J639" s="12"/>
      <c r="K639" s="12">
        <f t="shared" si="47"/>
        <v>0</v>
      </c>
      <c r="L639" s="13" t="str">
        <f t="shared" si="44"/>
        <v> 5-star +  RFC +  DME +  Patient Portal Login +  Completed Task</v>
      </c>
      <c r="M639" s="14"/>
      <c r="N639" s="14"/>
      <c r="O639" s="14"/>
      <c r="P639" s="14"/>
    </row>
    <row r="640" hidden="1">
      <c r="A640" s="6" t="s">
        <v>239</v>
      </c>
      <c r="B640" s="16" t="s">
        <v>23</v>
      </c>
      <c r="C640" s="16" t="s">
        <v>230</v>
      </c>
      <c r="D640" s="16" t="s">
        <v>25</v>
      </c>
      <c r="E640" s="35"/>
      <c r="F640" s="36"/>
      <c r="G640" s="36"/>
      <c r="H640" s="37"/>
      <c r="I640" s="38"/>
      <c r="J640" s="12"/>
      <c r="K640" s="12">
        <f t="shared" si="47"/>
        <v>0</v>
      </c>
      <c r="L640" s="13" t="str">
        <f t="shared" si="44"/>
        <v> 5-star +  RFC +  DME +  Patient Portal Login +  Completed Task</v>
      </c>
      <c r="M640" s="14"/>
      <c r="N640" s="14"/>
      <c r="O640" s="14"/>
      <c r="P640" s="14"/>
    </row>
    <row r="641" hidden="1">
      <c r="A641" s="6" t="s">
        <v>239</v>
      </c>
      <c r="B641" s="16" t="s">
        <v>20</v>
      </c>
      <c r="C641" s="16" t="s">
        <v>231</v>
      </c>
      <c r="D641" s="16" t="s">
        <v>22</v>
      </c>
      <c r="E641" s="35"/>
      <c r="F641" s="36"/>
      <c r="G641" s="36"/>
      <c r="H641" s="37"/>
      <c r="I641" s="38"/>
      <c r="J641" s="12"/>
      <c r="K641" s="12">
        <f t="shared" si="47"/>
        <v>0</v>
      </c>
      <c r="L641" s="13" t="str">
        <f t="shared" si="44"/>
        <v> 5-star +  RFC +  DME +  Patient Portal Login +  Completed Task</v>
      </c>
      <c r="M641" s="14"/>
      <c r="N641" s="14"/>
      <c r="O641" s="14"/>
      <c r="P641" s="14"/>
    </row>
    <row r="642" hidden="1">
      <c r="A642" s="6" t="s">
        <v>239</v>
      </c>
      <c r="B642" s="16" t="s">
        <v>17</v>
      </c>
      <c r="C642" s="16" t="s">
        <v>232</v>
      </c>
      <c r="D642" s="16" t="s">
        <v>19</v>
      </c>
      <c r="E642" s="35"/>
      <c r="F642" s="36"/>
      <c r="G642" s="36"/>
      <c r="H642" s="37"/>
      <c r="I642" s="38"/>
      <c r="J642" s="39"/>
      <c r="K642" s="39">
        <f t="shared" si="47"/>
        <v>0</v>
      </c>
      <c r="L642" s="13" t="str">
        <f t="shared" si="44"/>
        <v> 5-star +  RFC +  DME +  Patient Portal Login +  Completed Task</v>
      </c>
      <c r="M642" s="14"/>
      <c r="N642" s="14"/>
      <c r="O642" s="14"/>
      <c r="P642" s="14"/>
    </row>
    <row r="643" hidden="1">
      <c r="A643" s="6" t="s">
        <v>239</v>
      </c>
      <c r="B643" s="16" t="s">
        <v>14</v>
      </c>
      <c r="C643" s="16" t="s">
        <v>233</v>
      </c>
      <c r="D643" s="16" t="s">
        <v>16</v>
      </c>
      <c r="E643" s="35"/>
      <c r="F643" s="36"/>
      <c r="G643" s="36"/>
      <c r="H643" s="37"/>
      <c r="I643" s="38"/>
      <c r="J643" s="39"/>
      <c r="K643" s="39">
        <f t="shared" si="47"/>
        <v>0</v>
      </c>
      <c r="L643" s="13" t="str">
        <f t="shared" si="44"/>
        <v> 5-star +  RFC +  DME +  Patient Portal Login +  Completed Task</v>
      </c>
      <c r="M643" s="14"/>
      <c r="N643" s="14"/>
      <c r="O643" s="14"/>
      <c r="P643" s="14"/>
    </row>
    <row r="644" hidden="1">
      <c r="A644" s="6" t="s">
        <v>239</v>
      </c>
      <c r="B644" s="16" t="s">
        <v>234</v>
      </c>
      <c r="C644" s="16" t="s">
        <v>235</v>
      </c>
      <c r="D644" s="16" t="s">
        <v>236</v>
      </c>
      <c r="E644" s="35"/>
      <c r="F644" s="36"/>
      <c r="G644" s="36"/>
      <c r="H644" s="37"/>
      <c r="I644" s="38"/>
      <c r="J644" s="12"/>
      <c r="K644" s="12">
        <f t="shared" si="47"/>
        <v>0</v>
      </c>
      <c r="L644" s="13" t="str">
        <f t="shared" si="44"/>
        <v> 5-star +  RFC +  DME +  Patient Portal Login +  Completed Task</v>
      </c>
      <c r="M644" s="14"/>
      <c r="N644" s="14"/>
      <c r="O644" s="14"/>
      <c r="P644" s="14"/>
    </row>
    <row r="645" hidden="1">
      <c r="A645" s="6" t="s">
        <v>239</v>
      </c>
      <c r="B645" s="16" t="s">
        <v>35</v>
      </c>
      <c r="C645" s="16" t="s">
        <v>36</v>
      </c>
      <c r="D645" s="16" t="s">
        <v>37</v>
      </c>
      <c r="E645" s="35"/>
      <c r="F645" s="36"/>
      <c r="G645" s="36"/>
      <c r="H645" s="37"/>
      <c r="I645" s="38"/>
      <c r="J645" s="12"/>
      <c r="K645" s="12">
        <f t="shared" si="47"/>
        <v>0</v>
      </c>
      <c r="L645" s="13" t="str">
        <f t="shared" si="44"/>
        <v> 5-star +  RFC +  DME +  Patient Portal Login +  Completed Task</v>
      </c>
      <c r="M645" s="14"/>
      <c r="N645" s="14"/>
      <c r="O645" s="14"/>
      <c r="P645" s="14"/>
    </row>
    <row r="646" hidden="1">
      <c r="A646" s="6" t="s">
        <v>239</v>
      </c>
      <c r="B646" s="16" t="s">
        <v>41</v>
      </c>
      <c r="C646" s="16" t="s">
        <v>42</v>
      </c>
      <c r="D646" s="16" t="s">
        <v>43</v>
      </c>
      <c r="E646" s="17">
        <v>0.0</v>
      </c>
      <c r="F646" s="18">
        <v>0.0</v>
      </c>
      <c r="G646" s="41">
        <v>1.0</v>
      </c>
      <c r="H646" s="10">
        <v>4.0</v>
      </c>
      <c r="I646" s="19">
        <v>5.0</v>
      </c>
      <c r="J646" s="12"/>
      <c r="K646" s="12">
        <f>sum(E646*250)+(F646*250)+(G646*250)+(H646*250)+(I646*250)</f>
        <v>2500</v>
      </c>
      <c r="L646" s="13" t="str">
        <f t="shared" si="44"/>
        <v>0 5-star + 0 RFC + 1 DME + 4 Patient Portal Login + 5 Completed Task</v>
      </c>
      <c r="M646" s="14"/>
      <c r="N646" s="14"/>
      <c r="O646" s="14"/>
      <c r="P646" s="14"/>
    </row>
    <row r="647" hidden="1">
      <c r="A647" s="6" t="s">
        <v>239</v>
      </c>
      <c r="B647" s="16" t="s">
        <v>44</v>
      </c>
      <c r="C647" s="16" t="s">
        <v>45</v>
      </c>
      <c r="D647" s="16" t="s">
        <v>46</v>
      </c>
      <c r="E647" s="35"/>
      <c r="F647" s="36"/>
      <c r="G647" s="36"/>
      <c r="H647" s="37"/>
      <c r="I647" s="38"/>
      <c r="J647" s="12"/>
      <c r="K647" s="12">
        <f>sum(E647*250)+(F647*500)+(G647*250)+(H647*250)+(I647*250)</f>
        <v>0</v>
      </c>
      <c r="L647" s="13" t="str">
        <f t="shared" si="44"/>
        <v> 5-star +  RFC +  DME +  Patient Portal Login +  Completed Task</v>
      </c>
      <c r="M647" s="14"/>
      <c r="N647" s="14"/>
      <c r="O647" s="14"/>
      <c r="P647" s="14"/>
    </row>
    <row r="648" hidden="1">
      <c r="A648" s="6" t="s">
        <v>239</v>
      </c>
      <c r="B648" s="16" t="s">
        <v>47</v>
      </c>
      <c r="C648" s="16" t="s">
        <v>48</v>
      </c>
      <c r="D648" s="16" t="s">
        <v>49</v>
      </c>
      <c r="E648" s="17">
        <v>0.0</v>
      </c>
      <c r="F648" s="18">
        <v>0.0</v>
      </c>
      <c r="G648" s="18">
        <v>1.0</v>
      </c>
      <c r="H648" s="10">
        <v>10.0</v>
      </c>
      <c r="I648" s="19">
        <v>5.0</v>
      </c>
      <c r="J648" s="12"/>
      <c r="K648" s="12">
        <f t="shared" ref="K648:K651" si="48">sum(E648*250)+(F648*250)+(G648*250)+(H648*250)+(I648*250)</f>
        <v>4000</v>
      </c>
      <c r="L648" s="13" t="str">
        <f t="shared" si="44"/>
        <v>0 5-star + 0 RFC + 1 DME + 10 Patient Portal Login + 5 Completed Task</v>
      </c>
      <c r="M648" s="14"/>
      <c r="N648" s="14"/>
      <c r="O648" s="14"/>
      <c r="P648" s="14"/>
    </row>
    <row r="649" hidden="1">
      <c r="A649" s="6" t="s">
        <v>239</v>
      </c>
      <c r="B649" s="16" t="s">
        <v>50</v>
      </c>
      <c r="C649" s="16" t="s">
        <v>51</v>
      </c>
      <c r="D649" s="16" t="s">
        <v>52</v>
      </c>
      <c r="E649" s="17">
        <v>2.0</v>
      </c>
      <c r="F649" s="18">
        <v>0.0</v>
      </c>
      <c r="G649" s="18">
        <v>0.0</v>
      </c>
      <c r="H649" s="10">
        <v>1.0</v>
      </c>
      <c r="I649" s="19">
        <v>5.0</v>
      </c>
      <c r="J649" s="12"/>
      <c r="K649" s="12">
        <f t="shared" si="48"/>
        <v>2000</v>
      </c>
      <c r="L649" s="13" t="str">
        <f t="shared" si="44"/>
        <v>2 5-star + 0 RFC + 0 DME + 1 Patient Portal Login + 5 Completed Task</v>
      </c>
      <c r="M649" s="14"/>
      <c r="N649" s="14"/>
      <c r="O649" s="14"/>
      <c r="P649" s="14"/>
    </row>
    <row r="650" hidden="1">
      <c r="A650" s="6" t="s">
        <v>239</v>
      </c>
      <c r="B650" s="16" t="s">
        <v>53</v>
      </c>
      <c r="C650" s="16" t="s">
        <v>54</v>
      </c>
      <c r="D650" s="16" t="s">
        <v>55</v>
      </c>
      <c r="E650" s="17">
        <v>3.0</v>
      </c>
      <c r="F650" s="18">
        <v>2.0</v>
      </c>
      <c r="G650" s="18">
        <v>1.0</v>
      </c>
      <c r="H650" s="10">
        <v>1.0</v>
      </c>
      <c r="I650" s="19">
        <v>5.0</v>
      </c>
      <c r="J650" s="12"/>
      <c r="K650" s="12">
        <f t="shared" si="48"/>
        <v>3000</v>
      </c>
      <c r="L650" s="13" t="str">
        <f t="shared" si="44"/>
        <v>3 5-star + 2 RFC + 1 DME + 1 Patient Portal Login + 5 Completed Task</v>
      </c>
      <c r="M650" s="14"/>
      <c r="N650" s="14"/>
      <c r="O650" s="14"/>
      <c r="P650" s="14"/>
    </row>
    <row r="651" hidden="1">
      <c r="A651" s="6" t="s">
        <v>239</v>
      </c>
      <c r="B651" s="16" t="s">
        <v>56</v>
      </c>
      <c r="C651" s="16" t="s">
        <v>57</v>
      </c>
      <c r="D651" s="16" t="s">
        <v>58</v>
      </c>
      <c r="E651" s="17">
        <v>0.0</v>
      </c>
      <c r="F651" s="18">
        <v>2.0</v>
      </c>
      <c r="G651" s="18">
        <v>1.0</v>
      </c>
      <c r="H651" s="10">
        <v>2.0</v>
      </c>
      <c r="I651" s="19">
        <v>5.0</v>
      </c>
      <c r="J651" s="12"/>
      <c r="K651" s="12">
        <f t="shared" si="48"/>
        <v>2500</v>
      </c>
      <c r="L651" s="13" t="str">
        <f t="shared" si="44"/>
        <v>0 5-star + 2 RFC + 1 DME + 2 Patient Portal Login + 5 Completed Task</v>
      </c>
      <c r="M651" s="14"/>
      <c r="N651" s="14"/>
      <c r="O651" s="14"/>
      <c r="P651" s="14"/>
    </row>
    <row r="652" hidden="1">
      <c r="A652" s="6" t="s">
        <v>239</v>
      </c>
      <c r="B652" s="16" t="s">
        <v>59</v>
      </c>
      <c r="C652" s="16" t="s">
        <v>60</v>
      </c>
      <c r="D652" s="16" t="s">
        <v>61</v>
      </c>
      <c r="E652" s="35"/>
      <c r="F652" s="36"/>
      <c r="G652" s="36"/>
      <c r="H652" s="37"/>
      <c r="I652" s="38"/>
      <c r="J652" s="12"/>
      <c r="K652" s="12">
        <f>sum(E652*250)+(F652*500)+(G652*250)+(H652*250)+(I652*250)</f>
        <v>0</v>
      </c>
      <c r="L652" s="13" t="str">
        <f t="shared" si="44"/>
        <v> 5-star +  RFC +  DME +  Patient Portal Login +  Completed Task</v>
      </c>
      <c r="M652" s="14"/>
      <c r="N652" s="14"/>
      <c r="O652" s="14"/>
      <c r="P652" s="14"/>
    </row>
    <row r="653" hidden="1">
      <c r="A653" s="6" t="s">
        <v>239</v>
      </c>
      <c r="B653" s="16" t="s">
        <v>62</v>
      </c>
      <c r="C653" s="16" t="s">
        <v>63</v>
      </c>
      <c r="D653" s="16" t="s">
        <v>64</v>
      </c>
      <c r="E653" s="17">
        <v>0.0</v>
      </c>
      <c r="F653" s="18">
        <v>2.0</v>
      </c>
      <c r="G653" s="18">
        <v>2.0</v>
      </c>
      <c r="H653" s="10">
        <v>1.0</v>
      </c>
      <c r="I653" s="19">
        <v>5.0</v>
      </c>
      <c r="J653" s="12"/>
      <c r="K653" s="12">
        <f t="shared" ref="K653:K659" si="49">sum(E653*250)+(F653*250)+(G653*250)+(H653*250)+(I653*250)</f>
        <v>2500</v>
      </c>
      <c r="L653" s="13" t="str">
        <f t="shared" si="44"/>
        <v>0 5-star + 2 RFC + 2 DME + 1 Patient Portal Login + 5 Completed Task</v>
      </c>
      <c r="M653" s="14"/>
      <c r="N653" s="14"/>
      <c r="O653" s="14"/>
      <c r="P653" s="14"/>
    </row>
    <row r="654" hidden="1">
      <c r="A654" s="6" t="s">
        <v>239</v>
      </c>
      <c r="B654" s="16" t="s">
        <v>65</v>
      </c>
      <c r="C654" s="16" t="s">
        <v>66</v>
      </c>
      <c r="D654" s="16" t="s">
        <v>67</v>
      </c>
      <c r="E654" s="17">
        <v>5.0</v>
      </c>
      <c r="F654" s="18">
        <v>1.0</v>
      </c>
      <c r="G654" s="18">
        <v>0.0</v>
      </c>
      <c r="H654" s="10">
        <v>2.0</v>
      </c>
      <c r="I654" s="19">
        <v>4.0</v>
      </c>
      <c r="J654" s="12"/>
      <c r="K654" s="12">
        <f t="shared" si="49"/>
        <v>3000</v>
      </c>
      <c r="L654" s="13" t="str">
        <f t="shared" si="44"/>
        <v>5 5-star + 1 RFC + 0 DME + 2 Patient Portal Login + 4 Completed Task</v>
      </c>
      <c r="M654" s="14"/>
      <c r="N654" s="14"/>
      <c r="O654" s="14"/>
      <c r="P654" s="14"/>
    </row>
    <row r="655" hidden="1">
      <c r="A655" s="6" t="s">
        <v>239</v>
      </c>
      <c r="B655" s="16" t="s">
        <v>68</v>
      </c>
      <c r="C655" s="16" t="s">
        <v>69</v>
      </c>
      <c r="D655" s="16" t="s">
        <v>70</v>
      </c>
      <c r="E655" s="17">
        <v>0.0</v>
      </c>
      <c r="F655" s="18">
        <v>5.0</v>
      </c>
      <c r="G655" s="18">
        <v>0.0</v>
      </c>
      <c r="H655" s="10">
        <v>1.0</v>
      </c>
      <c r="I655" s="19">
        <v>5.0</v>
      </c>
      <c r="J655" s="12"/>
      <c r="K655" s="12">
        <f t="shared" si="49"/>
        <v>2750</v>
      </c>
      <c r="L655" s="13" t="str">
        <f t="shared" si="44"/>
        <v>0 5-star + 5 RFC + 0 DME + 1 Patient Portal Login + 5 Completed Task</v>
      </c>
      <c r="M655" s="14"/>
      <c r="N655" s="14"/>
      <c r="O655" s="14"/>
      <c r="P655" s="14"/>
    </row>
    <row r="656" hidden="1">
      <c r="A656" s="6" t="s">
        <v>239</v>
      </c>
      <c r="B656" s="16" t="s">
        <v>71</v>
      </c>
      <c r="C656" s="16" t="s">
        <v>72</v>
      </c>
      <c r="D656" s="16" t="s">
        <v>73</v>
      </c>
      <c r="E656" s="17">
        <v>0.0</v>
      </c>
      <c r="F656" s="18">
        <v>3.0</v>
      </c>
      <c r="G656" s="18">
        <v>0.0</v>
      </c>
      <c r="H656" s="10">
        <v>5.0</v>
      </c>
      <c r="I656" s="19">
        <v>4.0</v>
      </c>
      <c r="J656" s="12"/>
      <c r="K656" s="12">
        <f t="shared" si="49"/>
        <v>3000</v>
      </c>
      <c r="L656" s="13" t="str">
        <f t="shared" si="44"/>
        <v>0 5-star + 3 RFC + 0 DME + 5 Patient Portal Login + 4 Completed Task</v>
      </c>
      <c r="M656" s="14"/>
      <c r="N656" s="14"/>
      <c r="O656" s="14"/>
      <c r="P656" s="14"/>
    </row>
    <row r="657" hidden="1">
      <c r="A657" s="6" t="s">
        <v>239</v>
      </c>
      <c r="B657" s="16" t="s">
        <v>74</v>
      </c>
      <c r="C657" s="16" t="s">
        <v>75</v>
      </c>
      <c r="D657" s="16" t="s">
        <v>76</v>
      </c>
      <c r="E657" s="17">
        <v>0.0</v>
      </c>
      <c r="F657" s="18">
        <v>0.0</v>
      </c>
      <c r="G657" s="18">
        <v>0.0</v>
      </c>
      <c r="H657" s="10">
        <v>0.0</v>
      </c>
      <c r="I657" s="19">
        <v>5.0</v>
      </c>
      <c r="J657" s="12"/>
      <c r="K657" s="12">
        <f t="shared" si="49"/>
        <v>1250</v>
      </c>
      <c r="L657" s="13" t="str">
        <f t="shared" si="44"/>
        <v>0 5-star + 0 RFC + 0 DME + 0 Patient Portal Login + 5 Completed Task</v>
      </c>
      <c r="M657" s="14"/>
      <c r="N657" s="14"/>
      <c r="O657" s="14"/>
      <c r="P657" s="14"/>
    </row>
    <row r="658" hidden="1">
      <c r="A658" s="6" t="s">
        <v>239</v>
      </c>
      <c r="B658" s="16" t="s">
        <v>77</v>
      </c>
      <c r="C658" s="16" t="s">
        <v>78</v>
      </c>
      <c r="D658" s="16" t="s">
        <v>79</v>
      </c>
      <c r="E658" s="17">
        <v>16.0</v>
      </c>
      <c r="F658" s="18">
        <v>12.0</v>
      </c>
      <c r="G658" s="18">
        <v>0.0</v>
      </c>
      <c r="H658" s="10">
        <v>0.0</v>
      </c>
      <c r="I658" s="19">
        <v>2.0</v>
      </c>
      <c r="J658" s="12"/>
      <c r="K658" s="12">
        <f t="shared" si="49"/>
        <v>7500</v>
      </c>
      <c r="L658" s="13" t="str">
        <f t="shared" si="44"/>
        <v>16 5-star + 12 RFC + 0 DME + 0 Patient Portal Login + 2 Completed Task</v>
      </c>
      <c r="M658" s="14"/>
      <c r="N658" s="14"/>
      <c r="O658" s="14"/>
      <c r="P658" s="14"/>
    </row>
    <row r="659" hidden="1">
      <c r="A659" s="6" t="s">
        <v>239</v>
      </c>
      <c r="B659" s="16" t="s">
        <v>80</v>
      </c>
      <c r="C659" s="16" t="s">
        <v>81</v>
      </c>
      <c r="D659" s="16" t="s">
        <v>82</v>
      </c>
      <c r="E659" s="17">
        <v>0.0</v>
      </c>
      <c r="F659" s="18">
        <v>0.0</v>
      </c>
      <c r="G659" s="18">
        <v>0.0</v>
      </c>
      <c r="H659" s="10">
        <v>0.0</v>
      </c>
      <c r="I659" s="19">
        <v>4.0</v>
      </c>
      <c r="J659" s="12"/>
      <c r="K659" s="12">
        <f t="shared" si="49"/>
        <v>1000</v>
      </c>
      <c r="L659" s="13" t="str">
        <f t="shared" si="44"/>
        <v>0 5-star + 0 RFC + 0 DME + 0 Patient Portal Login + 4 Completed Task</v>
      </c>
      <c r="M659" s="14"/>
      <c r="N659" s="14"/>
      <c r="O659" s="14"/>
      <c r="P659" s="14"/>
    </row>
    <row r="660" hidden="1">
      <c r="A660" s="6" t="s">
        <v>239</v>
      </c>
      <c r="B660" s="7" t="s">
        <v>83</v>
      </c>
      <c r="C660" s="16" t="s">
        <v>84</v>
      </c>
      <c r="D660" s="16" t="s">
        <v>85</v>
      </c>
      <c r="E660" s="35"/>
      <c r="F660" s="36"/>
      <c r="G660" s="36"/>
      <c r="H660" s="37"/>
      <c r="I660" s="38"/>
      <c r="J660" s="12"/>
      <c r="K660" s="12">
        <f>sum(E660*250)+(F660*500)+(G660*250)+(H660*250)+(I660*250)</f>
        <v>0</v>
      </c>
      <c r="L660" s="13" t="str">
        <f t="shared" si="44"/>
        <v> 5-star +  RFC +  DME +  Patient Portal Login +  Completed Task</v>
      </c>
      <c r="M660" s="14"/>
      <c r="N660" s="14"/>
      <c r="O660" s="14"/>
      <c r="P660" s="14"/>
    </row>
    <row r="661" hidden="1">
      <c r="A661" s="6" t="s">
        <v>239</v>
      </c>
      <c r="B661" s="16" t="s">
        <v>86</v>
      </c>
      <c r="C661" s="16" t="s">
        <v>87</v>
      </c>
      <c r="D661" s="16" t="s">
        <v>88</v>
      </c>
      <c r="E661" s="17">
        <v>0.0</v>
      </c>
      <c r="F661" s="18">
        <v>0.0</v>
      </c>
      <c r="G661" s="18">
        <v>0.0</v>
      </c>
      <c r="H661" s="10">
        <v>3.0</v>
      </c>
      <c r="I661" s="19">
        <v>4.0</v>
      </c>
      <c r="J661" s="12"/>
      <c r="K661" s="12">
        <f>sum(E661*250)+(F661*250)+(G661*250)+(H661*250)+(I661*250)</f>
        <v>1750</v>
      </c>
      <c r="L661" s="13" t="str">
        <f t="shared" si="44"/>
        <v>0 5-star + 0 RFC + 0 DME + 3 Patient Portal Login + 4 Completed Task</v>
      </c>
      <c r="M661" s="14"/>
      <c r="N661" s="14"/>
      <c r="O661" s="14"/>
      <c r="P661" s="14"/>
    </row>
    <row r="662" hidden="1">
      <c r="A662" s="6" t="s">
        <v>239</v>
      </c>
      <c r="B662" s="16" t="s">
        <v>89</v>
      </c>
      <c r="C662" s="16" t="s">
        <v>90</v>
      </c>
      <c r="D662" s="16" t="s">
        <v>91</v>
      </c>
      <c r="E662" s="35"/>
      <c r="F662" s="36"/>
      <c r="G662" s="36"/>
      <c r="H662" s="37"/>
      <c r="I662" s="38"/>
      <c r="J662" s="12"/>
      <c r="K662" s="12">
        <f>sum(E662*250)+(F662*500)+(G662*250)+(H662*250)+(I662*250)</f>
        <v>0</v>
      </c>
      <c r="L662" s="13" t="str">
        <f t="shared" si="44"/>
        <v> 5-star +  RFC +  DME +  Patient Portal Login +  Completed Task</v>
      </c>
      <c r="M662" s="14"/>
      <c r="N662" s="14"/>
      <c r="O662" s="14"/>
      <c r="P662" s="14"/>
    </row>
    <row r="663" hidden="1">
      <c r="A663" s="6" t="s">
        <v>239</v>
      </c>
      <c r="B663" s="16" t="s">
        <v>92</v>
      </c>
      <c r="C663" s="16" t="s">
        <v>93</v>
      </c>
      <c r="D663" s="16" t="s">
        <v>94</v>
      </c>
      <c r="E663" s="17">
        <v>1.0</v>
      </c>
      <c r="F663" s="18">
        <v>2.0</v>
      </c>
      <c r="G663" s="18">
        <v>0.0</v>
      </c>
      <c r="H663" s="10">
        <v>5.0</v>
      </c>
      <c r="I663" s="19">
        <v>5.0</v>
      </c>
      <c r="J663" s="12"/>
      <c r="K663" s="12">
        <f t="shared" ref="K663:K664" si="50">sum(E663*250)+(F663*250)+(G663*250)+(H663*250)+(I663*250)</f>
        <v>3250</v>
      </c>
      <c r="L663" s="13" t="str">
        <f t="shared" si="44"/>
        <v>1 5-star + 2 RFC + 0 DME + 5 Patient Portal Login + 5 Completed Task</v>
      </c>
      <c r="M663" s="14"/>
      <c r="N663" s="14"/>
      <c r="O663" s="14"/>
      <c r="P663" s="14"/>
    </row>
    <row r="664" hidden="1">
      <c r="A664" s="6" t="s">
        <v>239</v>
      </c>
      <c r="B664" s="7" t="s">
        <v>95</v>
      </c>
      <c r="C664" s="16" t="s">
        <v>96</v>
      </c>
      <c r="D664" s="16" t="s">
        <v>97</v>
      </c>
      <c r="E664" s="17">
        <v>0.0</v>
      </c>
      <c r="F664" s="18">
        <v>0.0</v>
      </c>
      <c r="G664" s="18">
        <v>0.0</v>
      </c>
      <c r="H664" s="10">
        <v>2.0</v>
      </c>
      <c r="I664" s="19">
        <v>5.0</v>
      </c>
      <c r="J664" s="12"/>
      <c r="K664" s="12">
        <f t="shared" si="50"/>
        <v>1750</v>
      </c>
      <c r="L664" s="13" t="str">
        <f t="shared" si="44"/>
        <v>0 5-star + 0 RFC + 0 DME + 2 Patient Portal Login + 5 Completed Task</v>
      </c>
      <c r="M664" s="14"/>
      <c r="N664" s="14"/>
      <c r="O664" s="14"/>
      <c r="P664" s="14"/>
    </row>
    <row r="665" hidden="1">
      <c r="A665" s="6" t="s">
        <v>239</v>
      </c>
      <c r="B665" s="16" t="s">
        <v>98</v>
      </c>
      <c r="C665" s="16" t="s">
        <v>99</v>
      </c>
      <c r="D665" s="16" t="s">
        <v>100</v>
      </c>
      <c r="E665" s="35"/>
      <c r="F665" s="36"/>
      <c r="G665" s="36"/>
      <c r="H665" s="37"/>
      <c r="I665" s="38"/>
      <c r="J665" s="12"/>
      <c r="K665" s="12">
        <f>sum(E665*250)+(F665*500)+(G665*250)+(H665*250)+(I665*250)</f>
        <v>0</v>
      </c>
      <c r="L665" s="13" t="str">
        <f t="shared" si="44"/>
        <v> 5-star +  RFC +  DME +  Patient Portal Login +  Completed Task</v>
      </c>
      <c r="M665" s="14"/>
      <c r="N665" s="14"/>
      <c r="O665" s="14"/>
      <c r="P665" s="14"/>
    </row>
    <row r="666" hidden="1">
      <c r="A666" s="6" t="s">
        <v>239</v>
      </c>
      <c r="B666" s="7" t="s">
        <v>101</v>
      </c>
      <c r="C666" s="16" t="s">
        <v>102</v>
      </c>
      <c r="D666" s="16" t="s">
        <v>103</v>
      </c>
      <c r="E666" s="17">
        <v>1.0</v>
      </c>
      <c r="F666" s="18">
        <v>0.0</v>
      </c>
      <c r="G666" s="18">
        <v>1.0</v>
      </c>
      <c r="H666" s="10">
        <v>2.0</v>
      </c>
      <c r="I666" s="19">
        <v>5.0</v>
      </c>
      <c r="J666" s="12"/>
      <c r="K666" s="12">
        <f t="shared" ref="K666:K695" si="51">sum(E666*250)+(F666*250)+(G666*250)+(H666*250)+(I666*250)</f>
        <v>2250</v>
      </c>
      <c r="L666" s="13" t="str">
        <f t="shared" si="44"/>
        <v>1 5-star + 0 RFC + 1 DME + 2 Patient Portal Login + 5 Completed Task</v>
      </c>
      <c r="M666" s="14"/>
      <c r="N666" s="14"/>
      <c r="O666" s="14"/>
      <c r="P666" s="14"/>
    </row>
    <row r="667" hidden="1">
      <c r="A667" s="6" t="s">
        <v>239</v>
      </c>
      <c r="B667" s="16" t="s">
        <v>104</v>
      </c>
      <c r="C667" s="16" t="s">
        <v>105</v>
      </c>
      <c r="D667" s="16" t="s">
        <v>106</v>
      </c>
      <c r="E667" s="17">
        <v>0.0</v>
      </c>
      <c r="F667" s="18">
        <v>0.0</v>
      </c>
      <c r="G667" s="18">
        <v>0.0</v>
      </c>
      <c r="H667" s="10">
        <v>15.0</v>
      </c>
      <c r="I667" s="19">
        <v>5.0</v>
      </c>
      <c r="J667" s="12"/>
      <c r="K667" s="12">
        <f t="shared" si="51"/>
        <v>5000</v>
      </c>
      <c r="L667" s="13" t="str">
        <f t="shared" si="44"/>
        <v>0 5-star + 0 RFC + 0 DME + 15 Patient Portal Login + 5 Completed Task</v>
      </c>
      <c r="M667" s="14"/>
      <c r="N667" s="14"/>
      <c r="O667" s="14"/>
      <c r="P667" s="14"/>
    </row>
    <row r="668" hidden="1">
      <c r="A668" s="6" t="s">
        <v>239</v>
      </c>
      <c r="B668" s="16" t="s">
        <v>107</v>
      </c>
      <c r="C668" s="16" t="s">
        <v>108</v>
      </c>
      <c r="D668" s="16" t="s">
        <v>109</v>
      </c>
      <c r="E668" s="17">
        <v>0.0</v>
      </c>
      <c r="F668" s="18">
        <v>2.0</v>
      </c>
      <c r="G668" s="18">
        <v>1.0</v>
      </c>
      <c r="H668" s="10">
        <v>3.0</v>
      </c>
      <c r="I668" s="19">
        <v>5.0</v>
      </c>
      <c r="J668" s="12"/>
      <c r="K668" s="12">
        <f t="shared" si="51"/>
        <v>2750</v>
      </c>
      <c r="L668" s="13" t="str">
        <f t="shared" si="44"/>
        <v>0 5-star + 2 RFC + 1 DME + 3 Patient Portal Login + 5 Completed Task</v>
      </c>
      <c r="M668" s="14"/>
      <c r="N668" s="14"/>
      <c r="O668" s="14"/>
      <c r="P668" s="14"/>
    </row>
    <row r="669" hidden="1">
      <c r="A669" s="6" t="s">
        <v>239</v>
      </c>
      <c r="B669" s="16" t="s">
        <v>110</v>
      </c>
      <c r="C669" s="16" t="s">
        <v>111</v>
      </c>
      <c r="D669" s="16" t="s">
        <v>112</v>
      </c>
      <c r="E669" s="17">
        <v>0.0</v>
      </c>
      <c r="F669" s="18">
        <v>2.0</v>
      </c>
      <c r="G669" s="18">
        <v>1.0</v>
      </c>
      <c r="H669" s="10">
        <v>0.0</v>
      </c>
      <c r="I669" s="19">
        <v>5.0</v>
      </c>
      <c r="J669" s="12"/>
      <c r="K669" s="12">
        <f t="shared" si="51"/>
        <v>2000</v>
      </c>
      <c r="L669" s="13" t="str">
        <f t="shared" si="44"/>
        <v>0 5-star + 2 RFC + 1 DME + 0 Patient Portal Login + 5 Completed Task</v>
      </c>
      <c r="M669" s="14"/>
      <c r="N669" s="14"/>
      <c r="O669" s="14"/>
      <c r="P669" s="14"/>
    </row>
    <row r="670" hidden="1">
      <c r="A670" s="6" t="s">
        <v>239</v>
      </c>
      <c r="B670" s="16" t="s">
        <v>113</v>
      </c>
      <c r="C670" s="16" t="s">
        <v>114</v>
      </c>
      <c r="D670" s="16" t="s">
        <v>115</v>
      </c>
      <c r="E670" s="17">
        <v>1.0</v>
      </c>
      <c r="F670" s="18">
        <v>0.0</v>
      </c>
      <c r="G670" s="18">
        <v>1.0</v>
      </c>
      <c r="H670" s="10">
        <v>16.0</v>
      </c>
      <c r="I670" s="19">
        <v>5.0</v>
      </c>
      <c r="J670" s="12"/>
      <c r="K670" s="12">
        <f t="shared" si="51"/>
        <v>5750</v>
      </c>
      <c r="L670" s="13" t="str">
        <f t="shared" si="44"/>
        <v>1 5-star + 0 RFC + 1 DME + 16 Patient Portal Login + 5 Completed Task</v>
      </c>
      <c r="M670" s="14"/>
      <c r="N670" s="14"/>
      <c r="O670" s="14"/>
      <c r="P670" s="14"/>
    </row>
    <row r="671" hidden="1">
      <c r="A671" s="6" t="s">
        <v>239</v>
      </c>
      <c r="B671" s="7" t="s">
        <v>116</v>
      </c>
      <c r="C671" s="16" t="s">
        <v>117</v>
      </c>
      <c r="D671" s="16" t="s">
        <v>118</v>
      </c>
      <c r="E671" s="17">
        <v>0.0</v>
      </c>
      <c r="F671" s="18">
        <v>0.0</v>
      </c>
      <c r="G671" s="18">
        <v>0.0</v>
      </c>
      <c r="H671" s="10">
        <v>0.0</v>
      </c>
      <c r="I671" s="19">
        <v>4.0</v>
      </c>
      <c r="J671" s="12"/>
      <c r="K671" s="12">
        <f t="shared" si="51"/>
        <v>1000</v>
      </c>
      <c r="L671" s="13" t="str">
        <f t="shared" si="44"/>
        <v>0 5-star + 0 RFC + 0 DME + 0 Patient Portal Login + 4 Completed Task</v>
      </c>
      <c r="M671" s="14"/>
      <c r="N671" s="14"/>
      <c r="O671" s="14"/>
      <c r="P671" s="14"/>
    </row>
    <row r="672" hidden="1">
      <c r="A672" s="6" t="s">
        <v>239</v>
      </c>
      <c r="B672" s="16" t="s">
        <v>122</v>
      </c>
      <c r="C672" s="16" t="s">
        <v>123</v>
      </c>
      <c r="D672" s="16" t="s">
        <v>124</v>
      </c>
      <c r="E672" s="17">
        <v>1.0</v>
      </c>
      <c r="F672" s="18">
        <v>1.0</v>
      </c>
      <c r="G672" s="18">
        <v>0.0</v>
      </c>
      <c r="H672" s="10">
        <v>6.0</v>
      </c>
      <c r="I672" s="19">
        <v>4.0</v>
      </c>
      <c r="J672" s="12"/>
      <c r="K672" s="12">
        <f t="shared" si="51"/>
        <v>3000</v>
      </c>
      <c r="L672" s="13" t="str">
        <f t="shared" si="44"/>
        <v>1 5-star + 1 RFC + 0 DME + 6 Patient Portal Login + 4 Completed Task</v>
      </c>
      <c r="M672" s="14"/>
      <c r="N672" s="14"/>
      <c r="O672" s="14"/>
      <c r="P672" s="14"/>
    </row>
    <row r="673" hidden="1">
      <c r="A673" s="6" t="s">
        <v>239</v>
      </c>
      <c r="B673" s="16" t="s">
        <v>125</v>
      </c>
      <c r="C673" s="16" t="s">
        <v>126</v>
      </c>
      <c r="D673" s="16" t="s">
        <v>127</v>
      </c>
      <c r="E673" s="17">
        <v>0.0</v>
      </c>
      <c r="F673" s="18">
        <v>2.0</v>
      </c>
      <c r="G673" s="18">
        <v>0.0</v>
      </c>
      <c r="H673" s="10">
        <v>1.0</v>
      </c>
      <c r="I673" s="19">
        <v>5.0</v>
      </c>
      <c r="J673" s="12"/>
      <c r="K673" s="12">
        <f t="shared" si="51"/>
        <v>2000</v>
      </c>
      <c r="L673" s="13" t="str">
        <f t="shared" si="44"/>
        <v>0 5-star + 2 RFC + 0 DME + 1 Patient Portal Login + 5 Completed Task</v>
      </c>
      <c r="M673" s="14"/>
      <c r="N673" s="14"/>
      <c r="O673" s="14"/>
      <c r="P673" s="14"/>
    </row>
    <row r="674" hidden="1">
      <c r="A674" s="6" t="s">
        <v>239</v>
      </c>
      <c r="B674" s="16" t="s">
        <v>128</v>
      </c>
      <c r="C674" s="16" t="s">
        <v>129</v>
      </c>
      <c r="D674" s="16" t="s">
        <v>130</v>
      </c>
      <c r="E674" s="17">
        <v>2.0</v>
      </c>
      <c r="F674" s="18">
        <v>2.0</v>
      </c>
      <c r="G674" s="18">
        <v>0.0</v>
      </c>
      <c r="H674" s="10">
        <v>1.0</v>
      </c>
      <c r="I674" s="19">
        <v>5.0</v>
      </c>
      <c r="J674" s="12"/>
      <c r="K674" s="12">
        <f t="shared" si="51"/>
        <v>2500</v>
      </c>
      <c r="L674" s="13" t="str">
        <f t="shared" si="44"/>
        <v>2 5-star + 2 RFC + 0 DME + 1 Patient Portal Login + 5 Completed Task</v>
      </c>
      <c r="M674" s="14"/>
      <c r="N674" s="14"/>
      <c r="O674" s="14"/>
      <c r="P674" s="14"/>
    </row>
    <row r="675" hidden="1">
      <c r="A675" s="6" t="s">
        <v>239</v>
      </c>
      <c r="B675" s="16" t="s">
        <v>131</v>
      </c>
      <c r="C675" s="16" t="s">
        <v>132</v>
      </c>
      <c r="D675" s="16" t="s">
        <v>133</v>
      </c>
      <c r="E675" s="17">
        <v>6.0</v>
      </c>
      <c r="F675" s="18">
        <v>5.0</v>
      </c>
      <c r="G675" s="18">
        <v>2.0</v>
      </c>
      <c r="H675" s="10">
        <v>6.0</v>
      </c>
      <c r="I675" s="19">
        <v>5.0</v>
      </c>
      <c r="J675" s="12"/>
      <c r="K675" s="12">
        <f t="shared" si="51"/>
        <v>6000</v>
      </c>
      <c r="L675" s="13" t="str">
        <f t="shared" si="44"/>
        <v>6 5-star + 5 RFC + 2 DME + 6 Patient Portal Login + 5 Completed Task</v>
      </c>
      <c r="M675" s="14"/>
      <c r="N675" s="14"/>
      <c r="O675" s="14"/>
      <c r="P675" s="14"/>
    </row>
    <row r="676" hidden="1">
      <c r="A676" s="6" t="s">
        <v>239</v>
      </c>
      <c r="B676" s="16" t="s">
        <v>134</v>
      </c>
      <c r="C676" s="16" t="s">
        <v>135</v>
      </c>
      <c r="D676" s="16" t="s">
        <v>136</v>
      </c>
      <c r="E676" s="17">
        <v>0.0</v>
      </c>
      <c r="F676" s="18">
        <v>0.0</v>
      </c>
      <c r="G676" s="18">
        <v>1.0</v>
      </c>
      <c r="H676" s="10">
        <v>4.0</v>
      </c>
      <c r="I676" s="19">
        <v>5.0</v>
      </c>
      <c r="J676" s="12"/>
      <c r="K676" s="12">
        <f t="shared" si="51"/>
        <v>2500</v>
      </c>
      <c r="L676" s="13" t="str">
        <f t="shared" si="44"/>
        <v>0 5-star + 0 RFC + 1 DME + 4 Patient Portal Login + 5 Completed Task</v>
      </c>
      <c r="M676" s="14"/>
      <c r="N676" s="14"/>
      <c r="O676" s="14"/>
      <c r="P676" s="14"/>
    </row>
    <row r="677" hidden="1">
      <c r="A677" s="6" t="s">
        <v>239</v>
      </c>
      <c r="B677" s="16" t="s">
        <v>137</v>
      </c>
      <c r="C677" s="16" t="s">
        <v>138</v>
      </c>
      <c r="D677" s="16" t="s">
        <v>139</v>
      </c>
      <c r="E677" s="17">
        <v>1.0</v>
      </c>
      <c r="F677" s="18">
        <v>9.0</v>
      </c>
      <c r="G677" s="18">
        <v>0.0</v>
      </c>
      <c r="H677" s="10">
        <v>15.0</v>
      </c>
      <c r="I677" s="19">
        <v>5.0</v>
      </c>
      <c r="J677" s="12"/>
      <c r="K677" s="12">
        <f t="shared" si="51"/>
        <v>7500</v>
      </c>
      <c r="L677" s="13" t="str">
        <f t="shared" si="44"/>
        <v>1 5-star + 9 RFC + 0 DME + 15 Patient Portal Login + 5 Completed Task</v>
      </c>
      <c r="M677" s="14"/>
      <c r="N677" s="14"/>
      <c r="O677" s="14"/>
      <c r="P677" s="14"/>
    </row>
    <row r="678" hidden="1">
      <c r="A678" s="6" t="s">
        <v>239</v>
      </c>
      <c r="B678" s="16" t="s">
        <v>140</v>
      </c>
      <c r="C678" s="16" t="s">
        <v>141</v>
      </c>
      <c r="D678" s="16" t="s">
        <v>142</v>
      </c>
      <c r="E678" s="17">
        <v>10.0</v>
      </c>
      <c r="F678" s="18">
        <v>2.0</v>
      </c>
      <c r="G678" s="18">
        <v>0.0</v>
      </c>
      <c r="H678" s="10">
        <v>2.0</v>
      </c>
      <c r="I678" s="19">
        <v>5.0</v>
      </c>
      <c r="J678" s="12"/>
      <c r="K678" s="12">
        <f t="shared" si="51"/>
        <v>4750</v>
      </c>
      <c r="L678" s="13" t="str">
        <f t="shared" si="44"/>
        <v>10 5-star + 2 RFC + 0 DME + 2 Patient Portal Login + 5 Completed Task</v>
      </c>
      <c r="M678" s="14"/>
      <c r="N678" s="14"/>
      <c r="O678" s="14"/>
      <c r="P678" s="14"/>
    </row>
    <row r="679" hidden="1">
      <c r="A679" s="6" t="s">
        <v>239</v>
      </c>
      <c r="B679" s="16" t="s">
        <v>143</v>
      </c>
      <c r="C679" s="16" t="s">
        <v>144</v>
      </c>
      <c r="D679" s="16" t="s">
        <v>145</v>
      </c>
      <c r="E679" s="17">
        <v>1.0</v>
      </c>
      <c r="F679" s="18">
        <v>1.0</v>
      </c>
      <c r="G679" s="18">
        <v>0.0</v>
      </c>
      <c r="H679" s="10">
        <v>2.0</v>
      </c>
      <c r="I679" s="19">
        <v>5.0</v>
      </c>
      <c r="J679" s="12"/>
      <c r="K679" s="12">
        <f t="shared" si="51"/>
        <v>2250</v>
      </c>
      <c r="L679" s="13" t="str">
        <f t="shared" si="44"/>
        <v>1 5-star + 1 RFC + 0 DME + 2 Patient Portal Login + 5 Completed Task</v>
      </c>
      <c r="M679" s="14"/>
      <c r="N679" s="14"/>
      <c r="O679" s="14"/>
      <c r="P679" s="14"/>
    </row>
    <row r="680" hidden="1">
      <c r="A680" s="6" t="s">
        <v>239</v>
      </c>
      <c r="B680" s="16" t="s">
        <v>146</v>
      </c>
      <c r="C680" s="16" t="s">
        <v>147</v>
      </c>
      <c r="D680" s="16" t="s">
        <v>148</v>
      </c>
      <c r="E680" s="17">
        <v>0.0</v>
      </c>
      <c r="F680" s="18">
        <v>0.0</v>
      </c>
      <c r="G680" s="18">
        <v>1.0</v>
      </c>
      <c r="H680" s="10">
        <v>1.0</v>
      </c>
      <c r="I680" s="19">
        <v>5.0</v>
      </c>
      <c r="J680" s="12"/>
      <c r="K680" s="12">
        <f t="shared" si="51"/>
        <v>1750</v>
      </c>
      <c r="L680" s="13" t="str">
        <f t="shared" si="44"/>
        <v>0 5-star + 0 RFC + 1 DME + 1 Patient Portal Login + 5 Completed Task</v>
      </c>
      <c r="M680" s="14"/>
      <c r="N680" s="14"/>
      <c r="O680" s="14"/>
      <c r="P680" s="14"/>
    </row>
    <row r="681" hidden="1">
      <c r="A681" s="6" t="s">
        <v>239</v>
      </c>
      <c r="B681" s="16" t="s">
        <v>149</v>
      </c>
      <c r="C681" s="16" t="s">
        <v>150</v>
      </c>
      <c r="D681" s="16" t="s">
        <v>151</v>
      </c>
      <c r="E681" s="17">
        <v>3.0</v>
      </c>
      <c r="F681" s="18">
        <v>0.0</v>
      </c>
      <c r="G681" s="18">
        <v>0.0</v>
      </c>
      <c r="H681" s="10">
        <v>4.0</v>
      </c>
      <c r="I681" s="19">
        <v>5.0</v>
      </c>
      <c r="J681" s="12"/>
      <c r="K681" s="12">
        <f t="shared" si="51"/>
        <v>3000</v>
      </c>
      <c r="L681" s="13" t="str">
        <f t="shared" si="44"/>
        <v>3 5-star + 0 RFC + 0 DME + 4 Patient Portal Login + 5 Completed Task</v>
      </c>
      <c r="M681" s="14"/>
      <c r="N681" s="14"/>
      <c r="O681" s="14"/>
      <c r="P681" s="14"/>
    </row>
    <row r="682" hidden="1">
      <c r="A682" s="6" t="s">
        <v>239</v>
      </c>
      <c r="B682" s="16" t="s">
        <v>152</v>
      </c>
      <c r="C682" s="16" t="s">
        <v>153</v>
      </c>
      <c r="D682" s="16" t="s">
        <v>154</v>
      </c>
      <c r="E682" s="17">
        <v>0.0</v>
      </c>
      <c r="F682" s="18">
        <v>1.0</v>
      </c>
      <c r="G682" s="18">
        <v>0.0</v>
      </c>
      <c r="H682" s="10">
        <v>0.0</v>
      </c>
      <c r="I682" s="19">
        <v>5.0</v>
      </c>
      <c r="J682" s="12"/>
      <c r="K682" s="12">
        <f t="shared" si="51"/>
        <v>1500</v>
      </c>
      <c r="L682" s="13" t="str">
        <f t="shared" si="44"/>
        <v>0 5-star + 1 RFC + 0 DME + 0 Patient Portal Login + 5 Completed Task</v>
      </c>
      <c r="M682" s="14"/>
      <c r="N682" s="14"/>
      <c r="O682" s="14"/>
      <c r="P682" s="14"/>
    </row>
    <row r="683" hidden="1">
      <c r="A683" s="6" t="s">
        <v>239</v>
      </c>
      <c r="B683" s="16" t="s">
        <v>155</v>
      </c>
      <c r="C683" s="16" t="s">
        <v>156</v>
      </c>
      <c r="D683" s="16" t="s">
        <v>157</v>
      </c>
      <c r="E683" s="17">
        <v>12.0</v>
      </c>
      <c r="F683" s="18">
        <v>1.0</v>
      </c>
      <c r="G683" s="18">
        <v>1.0</v>
      </c>
      <c r="H683" s="10">
        <v>2.0</v>
      </c>
      <c r="I683" s="19">
        <v>5.0</v>
      </c>
      <c r="J683" s="12"/>
      <c r="K683" s="12">
        <f t="shared" si="51"/>
        <v>5250</v>
      </c>
      <c r="L683" s="13" t="str">
        <f t="shared" si="44"/>
        <v>12 5-star + 1 RFC + 1 DME + 2 Patient Portal Login + 5 Completed Task</v>
      </c>
      <c r="M683" s="14"/>
      <c r="N683" s="14"/>
      <c r="O683" s="14"/>
      <c r="P683" s="14"/>
    </row>
    <row r="684" hidden="1">
      <c r="A684" s="6" t="s">
        <v>239</v>
      </c>
      <c r="B684" s="16" t="s">
        <v>158</v>
      </c>
      <c r="C684" s="16" t="s">
        <v>159</v>
      </c>
      <c r="D684" s="16" t="s">
        <v>160</v>
      </c>
      <c r="E684" s="17">
        <v>1.0</v>
      </c>
      <c r="F684" s="18">
        <v>0.0</v>
      </c>
      <c r="G684" s="18">
        <v>0.0</v>
      </c>
      <c r="H684" s="10">
        <v>0.0</v>
      </c>
      <c r="I684" s="19">
        <v>5.0</v>
      </c>
      <c r="J684" s="12"/>
      <c r="K684" s="12">
        <f t="shared" si="51"/>
        <v>1500</v>
      </c>
      <c r="L684" s="13" t="str">
        <f t="shared" si="44"/>
        <v>1 5-star + 0 RFC + 0 DME + 0 Patient Portal Login + 5 Completed Task</v>
      </c>
      <c r="M684" s="14"/>
      <c r="N684" s="14"/>
      <c r="O684" s="14"/>
      <c r="P684" s="14"/>
    </row>
    <row r="685" hidden="1">
      <c r="A685" s="6" t="s">
        <v>239</v>
      </c>
      <c r="B685" s="20" t="s">
        <v>161</v>
      </c>
      <c r="C685" s="20" t="s">
        <v>162</v>
      </c>
      <c r="D685" s="20" t="s">
        <v>163</v>
      </c>
      <c r="E685" s="17">
        <v>0.0</v>
      </c>
      <c r="F685" s="18">
        <v>0.0</v>
      </c>
      <c r="G685" s="18">
        <v>0.0</v>
      </c>
      <c r="H685" s="10">
        <v>0.0</v>
      </c>
      <c r="I685" s="19">
        <v>4.0</v>
      </c>
      <c r="J685" s="12"/>
      <c r="K685" s="12">
        <f t="shared" si="51"/>
        <v>1000</v>
      </c>
      <c r="L685" s="13" t="str">
        <f> E685 &amp; " 5-star + " &amp; E672 &amp; " RFC + " &amp; G685 &amp; " DME + " &amp; H685 &amp; " Patient Portal Login + " &amp; I685 &amp; " Completed Task"
</f>
        <v>0 5-star + 1 RFC + 0 DME + 0 Patient Portal Login + 4 Completed Task</v>
      </c>
      <c r="M685" s="14"/>
      <c r="N685" s="14"/>
      <c r="O685" s="14"/>
      <c r="P685" s="14"/>
    </row>
    <row r="686" hidden="1">
      <c r="A686" s="6" t="s">
        <v>239</v>
      </c>
      <c r="B686" s="20" t="s">
        <v>164</v>
      </c>
      <c r="C686" s="20" t="s">
        <v>165</v>
      </c>
      <c r="D686" s="20" t="s">
        <v>166</v>
      </c>
      <c r="E686" s="43"/>
      <c r="F686" s="44"/>
      <c r="G686" s="44"/>
      <c r="H686" s="45"/>
      <c r="I686" s="46"/>
      <c r="J686" s="12"/>
      <c r="K686" s="12">
        <f t="shared" si="51"/>
        <v>0</v>
      </c>
      <c r="L686" s="13" t="str">
        <f t="shared" ref="L686:L750" si="52"> E686 &amp; " 5-star + " &amp; F686 &amp; " RFC + " &amp; G686 &amp; " DME + " &amp; H686 &amp; " Patient Portal Login + " &amp; I686 &amp; " Completed Task"
</f>
        <v> 5-star +  RFC +  DME +  Patient Portal Login +  Completed Task</v>
      </c>
      <c r="M686" s="14"/>
      <c r="N686" s="14"/>
      <c r="O686" s="14"/>
      <c r="P686" s="14"/>
    </row>
    <row r="687" hidden="1">
      <c r="A687" s="6" t="s">
        <v>239</v>
      </c>
      <c r="B687" s="20" t="s">
        <v>167</v>
      </c>
      <c r="C687" s="20" t="s">
        <v>168</v>
      </c>
      <c r="D687" s="20" t="s">
        <v>169</v>
      </c>
      <c r="E687" s="17">
        <v>1.0</v>
      </c>
      <c r="F687" s="18">
        <v>0.0</v>
      </c>
      <c r="G687" s="18">
        <v>0.0</v>
      </c>
      <c r="H687" s="10">
        <v>4.0</v>
      </c>
      <c r="I687" s="19">
        <v>5.0</v>
      </c>
      <c r="J687" s="12"/>
      <c r="K687" s="12">
        <f t="shared" si="51"/>
        <v>2500</v>
      </c>
      <c r="L687" s="13" t="str">
        <f t="shared" si="52"/>
        <v>1 5-star + 0 RFC + 0 DME + 4 Patient Portal Login + 5 Completed Task</v>
      </c>
      <c r="M687" s="14"/>
      <c r="N687" s="14"/>
      <c r="O687" s="14"/>
      <c r="P687" s="14"/>
    </row>
    <row r="688" hidden="1">
      <c r="A688" s="6" t="s">
        <v>239</v>
      </c>
      <c r="B688" s="20" t="s">
        <v>170</v>
      </c>
      <c r="C688" s="20" t="s">
        <v>171</v>
      </c>
      <c r="D688" s="20" t="s">
        <v>172</v>
      </c>
      <c r="E688" s="17">
        <v>0.0</v>
      </c>
      <c r="F688" s="18">
        <v>4.0</v>
      </c>
      <c r="G688" s="18">
        <v>0.0</v>
      </c>
      <c r="H688" s="10">
        <v>14.0</v>
      </c>
      <c r="I688" s="19">
        <v>5.0</v>
      </c>
      <c r="J688" s="12"/>
      <c r="K688" s="12">
        <f t="shared" si="51"/>
        <v>5750</v>
      </c>
      <c r="L688" s="13" t="str">
        <f t="shared" si="52"/>
        <v>0 5-star + 4 RFC + 0 DME + 14 Patient Portal Login + 5 Completed Task</v>
      </c>
      <c r="M688" s="14"/>
      <c r="N688" s="14"/>
      <c r="O688" s="14"/>
      <c r="P688" s="14"/>
    </row>
    <row r="689" hidden="1">
      <c r="A689" s="6" t="s">
        <v>239</v>
      </c>
      <c r="B689" s="16" t="s">
        <v>173</v>
      </c>
      <c r="C689" s="16" t="s">
        <v>174</v>
      </c>
      <c r="D689" s="16" t="s">
        <v>175</v>
      </c>
      <c r="E689" s="17">
        <v>4.0</v>
      </c>
      <c r="F689" s="18">
        <v>0.0</v>
      </c>
      <c r="G689" s="18">
        <v>0.0</v>
      </c>
      <c r="H689" s="10">
        <v>3.0</v>
      </c>
      <c r="I689" s="19">
        <v>5.0</v>
      </c>
      <c r="J689" s="12"/>
      <c r="K689" s="12">
        <f t="shared" si="51"/>
        <v>3000</v>
      </c>
      <c r="L689" s="13" t="str">
        <f t="shared" si="52"/>
        <v>4 5-star + 0 RFC + 0 DME + 3 Patient Portal Login + 5 Completed Task</v>
      </c>
      <c r="M689" s="14"/>
      <c r="N689" s="14"/>
      <c r="O689" s="14"/>
      <c r="P689" s="14"/>
    </row>
    <row r="690" hidden="1">
      <c r="A690" s="6" t="s">
        <v>239</v>
      </c>
      <c r="B690" s="16" t="s">
        <v>176</v>
      </c>
      <c r="C690" s="16" t="s">
        <v>177</v>
      </c>
      <c r="D690" s="16" t="s">
        <v>178</v>
      </c>
      <c r="E690" s="17">
        <v>0.0</v>
      </c>
      <c r="F690" s="18">
        <v>0.0</v>
      </c>
      <c r="G690" s="18">
        <v>0.0</v>
      </c>
      <c r="H690" s="10">
        <v>4.0</v>
      </c>
      <c r="I690" s="19">
        <v>5.0</v>
      </c>
      <c r="J690" s="12"/>
      <c r="K690" s="12">
        <f t="shared" si="51"/>
        <v>2250</v>
      </c>
      <c r="L690" s="13" t="str">
        <f t="shared" si="52"/>
        <v>0 5-star + 0 RFC + 0 DME + 4 Patient Portal Login + 5 Completed Task</v>
      </c>
      <c r="M690" s="14"/>
      <c r="N690" s="14"/>
      <c r="O690" s="14"/>
      <c r="P690" s="14"/>
    </row>
    <row r="691" hidden="1">
      <c r="A691" s="6" t="s">
        <v>239</v>
      </c>
      <c r="B691" s="21" t="s">
        <v>179</v>
      </c>
      <c r="C691" s="21" t="s">
        <v>180</v>
      </c>
      <c r="D691" s="21" t="s">
        <v>181</v>
      </c>
      <c r="E691" s="17">
        <v>0.0</v>
      </c>
      <c r="F691" s="18">
        <v>3.0</v>
      </c>
      <c r="G691" s="18">
        <v>5.0</v>
      </c>
      <c r="H691" s="10">
        <v>4.0</v>
      </c>
      <c r="I691" s="19">
        <v>5.0</v>
      </c>
      <c r="J691" s="12"/>
      <c r="K691" s="12">
        <f t="shared" si="51"/>
        <v>4250</v>
      </c>
      <c r="L691" s="13" t="str">
        <f t="shared" si="52"/>
        <v>0 5-star + 3 RFC + 5 DME + 4 Patient Portal Login + 5 Completed Task</v>
      </c>
      <c r="M691" s="14"/>
      <c r="N691" s="14"/>
      <c r="O691" s="23"/>
      <c r="P691" s="23"/>
    </row>
    <row r="692" hidden="1">
      <c r="A692" s="6" t="s">
        <v>239</v>
      </c>
      <c r="B692" s="21" t="s">
        <v>182</v>
      </c>
      <c r="C692" s="21" t="s">
        <v>183</v>
      </c>
      <c r="D692" s="21" t="s">
        <v>184</v>
      </c>
      <c r="E692" s="17">
        <v>1.0</v>
      </c>
      <c r="F692" s="18">
        <v>1.0</v>
      </c>
      <c r="G692" s="18">
        <v>0.0</v>
      </c>
      <c r="H692" s="10">
        <v>3.0</v>
      </c>
      <c r="I692" s="19">
        <v>4.0</v>
      </c>
      <c r="J692" s="12"/>
      <c r="K692" s="12">
        <f t="shared" si="51"/>
        <v>2250</v>
      </c>
      <c r="L692" s="13" t="str">
        <f t="shared" si="52"/>
        <v>1 5-star + 1 RFC + 0 DME + 3 Patient Portal Login + 4 Completed Task</v>
      </c>
      <c r="M692" s="14"/>
      <c r="N692" s="14"/>
      <c r="O692" s="23"/>
      <c r="P692" s="23"/>
    </row>
    <row r="693" hidden="1">
      <c r="A693" s="6" t="s">
        <v>239</v>
      </c>
      <c r="B693" s="21" t="s">
        <v>185</v>
      </c>
      <c r="C693" s="21" t="s">
        <v>186</v>
      </c>
      <c r="D693" s="21" t="s">
        <v>187</v>
      </c>
      <c r="E693" s="17">
        <v>18.0</v>
      </c>
      <c r="F693" s="18">
        <v>6.0</v>
      </c>
      <c r="G693" s="18">
        <v>0.0</v>
      </c>
      <c r="H693" s="10">
        <v>6.0</v>
      </c>
      <c r="I693" s="19">
        <v>5.0</v>
      </c>
      <c r="J693" s="12"/>
      <c r="K693" s="12">
        <f t="shared" si="51"/>
        <v>8750</v>
      </c>
      <c r="L693" s="13" t="str">
        <f t="shared" si="52"/>
        <v>18 5-star + 6 RFC + 0 DME + 6 Patient Portal Login + 5 Completed Task</v>
      </c>
      <c r="M693" s="14"/>
      <c r="N693" s="14"/>
      <c r="O693" s="23"/>
      <c r="P693" s="23"/>
    </row>
    <row r="694" hidden="1">
      <c r="A694" s="6" t="s">
        <v>239</v>
      </c>
      <c r="B694" s="21" t="s">
        <v>188</v>
      </c>
      <c r="C694" s="21" t="s">
        <v>189</v>
      </c>
      <c r="D694" s="21" t="s">
        <v>190</v>
      </c>
      <c r="E694" s="17">
        <v>1.0</v>
      </c>
      <c r="F694" s="18">
        <v>0.0</v>
      </c>
      <c r="G694" s="18">
        <v>0.0</v>
      </c>
      <c r="H694" s="10">
        <v>20.0</v>
      </c>
      <c r="I694" s="19">
        <v>5.0</v>
      </c>
      <c r="J694" s="12"/>
      <c r="K694" s="12">
        <f t="shared" si="51"/>
        <v>6500</v>
      </c>
      <c r="L694" s="13" t="str">
        <f t="shared" si="52"/>
        <v>1 5-star + 0 RFC + 0 DME + 20 Patient Portal Login + 5 Completed Task</v>
      </c>
      <c r="M694" s="14"/>
      <c r="N694" s="14"/>
      <c r="O694" s="23"/>
      <c r="P694" s="23"/>
    </row>
    <row r="695" hidden="1">
      <c r="A695" s="6" t="s">
        <v>239</v>
      </c>
      <c r="B695" s="21" t="s">
        <v>191</v>
      </c>
      <c r="C695" s="21" t="s">
        <v>192</v>
      </c>
      <c r="D695" s="21" t="s">
        <v>193</v>
      </c>
      <c r="E695" s="17">
        <v>1.0</v>
      </c>
      <c r="F695" s="18">
        <v>0.0</v>
      </c>
      <c r="G695" s="18">
        <v>0.0</v>
      </c>
      <c r="H695" s="10">
        <v>1.0</v>
      </c>
      <c r="I695" s="19">
        <v>5.0</v>
      </c>
      <c r="J695" s="12"/>
      <c r="K695" s="12">
        <f t="shared" si="51"/>
        <v>1750</v>
      </c>
      <c r="L695" s="13" t="str">
        <f t="shared" si="52"/>
        <v>1 5-star + 0 RFC + 0 DME + 1 Patient Portal Login + 5 Completed Task</v>
      </c>
      <c r="M695" s="14"/>
      <c r="N695" s="14"/>
      <c r="O695" s="23"/>
      <c r="P695" s="23"/>
    </row>
    <row r="696" hidden="1">
      <c r="A696" s="6" t="s">
        <v>239</v>
      </c>
      <c r="B696" s="21" t="s">
        <v>194</v>
      </c>
      <c r="C696" s="21" t="s">
        <v>195</v>
      </c>
      <c r="D696" s="21" t="s">
        <v>196</v>
      </c>
      <c r="E696" s="35"/>
      <c r="F696" s="36"/>
      <c r="G696" s="36"/>
      <c r="H696" s="37"/>
      <c r="I696" s="38"/>
      <c r="J696" s="12"/>
      <c r="K696" s="12">
        <f t="shared" ref="K696:K697" si="53">sum(E696*250)+(F696*500)+(G696*250)+(H696*250)+(I696*250)</f>
        <v>0</v>
      </c>
      <c r="L696" s="13" t="str">
        <f t="shared" si="52"/>
        <v> 5-star +  RFC +  DME +  Patient Portal Login +  Completed Task</v>
      </c>
      <c r="M696" s="14"/>
      <c r="N696" s="14"/>
      <c r="O696" s="23"/>
      <c r="P696" s="23"/>
    </row>
    <row r="697" hidden="1">
      <c r="A697" s="6" t="s">
        <v>239</v>
      </c>
      <c r="B697" s="21" t="s">
        <v>197</v>
      </c>
      <c r="C697" s="21" t="s">
        <v>198</v>
      </c>
      <c r="D697" s="21" t="s">
        <v>199</v>
      </c>
      <c r="E697" s="17">
        <v>0.0</v>
      </c>
      <c r="F697" s="18">
        <v>0.0</v>
      </c>
      <c r="G697" s="18">
        <v>1.0</v>
      </c>
      <c r="H697" s="10">
        <v>5.0</v>
      </c>
      <c r="I697" s="19">
        <v>2.0</v>
      </c>
      <c r="J697" s="12"/>
      <c r="K697" s="12">
        <f t="shared" si="53"/>
        <v>2000</v>
      </c>
      <c r="L697" s="13" t="str">
        <f t="shared" si="52"/>
        <v>0 5-star + 0 RFC + 1 DME + 5 Patient Portal Login + 2 Completed Task</v>
      </c>
      <c r="M697" s="14"/>
      <c r="N697" s="14"/>
      <c r="O697" s="23"/>
      <c r="P697" s="23"/>
    </row>
    <row r="698" hidden="1">
      <c r="A698" s="6" t="s">
        <v>239</v>
      </c>
      <c r="B698" s="21" t="s">
        <v>200</v>
      </c>
      <c r="C698" s="21" t="s">
        <v>201</v>
      </c>
      <c r="D698" s="21" t="s">
        <v>202</v>
      </c>
      <c r="E698" s="8">
        <v>3.0</v>
      </c>
      <c r="F698" s="18">
        <v>0.0</v>
      </c>
      <c r="G698" s="9">
        <v>0.0</v>
      </c>
      <c r="H698" s="10">
        <v>5.0</v>
      </c>
      <c r="I698" s="19">
        <v>5.0</v>
      </c>
      <c r="J698" s="12"/>
      <c r="K698" s="12">
        <f t="shared" ref="K698:K702" si="54">sum(E698*250)+(F698*250)+(G698*250)+(H698*250)+(I698*250)</f>
        <v>3250</v>
      </c>
      <c r="L698" s="13" t="str">
        <f t="shared" si="52"/>
        <v>3 5-star + 0 RFC + 0 DME + 5 Patient Portal Login + 5 Completed Task</v>
      </c>
      <c r="M698" s="14"/>
      <c r="N698" s="14"/>
      <c r="O698" s="23"/>
      <c r="P698" s="23"/>
    </row>
    <row r="699" hidden="1">
      <c r="A699" s="6" t="s">
        <v>240</v>
      </c>
      <c r="B699" s="16" t="s">
        <v>207</v>
      </c>
      <c r="C699" s="16" t="s">
        <v>208</v>
      </c>
      <c r="D699" s="16" t="s">
        <v>209</v>
      </c>
      <c r="E699" s="27">
        <v>0.0</v>
      </c>
      <c r="F699" s="28">
        <v>2.0</v>
      </c>
      <c r="G699" s="28">
        <v>0.0</v>
      </c>
      <c r="H699" s="29">
        <v>4.0</v>
      </c>
      <c r="I699" s="30">
        <v>5.0</v>
      </c>
      <c r="J699" s="12"/>
      <c r="K699" s="12">
        <f t="shared" si="54"/>
        <v>2750</v>
      </c>
      <c r="L699" s="13" t="str">
        <f t="shared" si="52"/>
        <v>0 5-star + 2 RFC + 0 DME + 4 Patient Portal Login + 5 Completed Task</v>
      </c>
      <c r="M699" s="12"/>
      <c r="N699" s="12"/>
      <c r="O699" s="47"/>
      <c r="P699" s="47"/>
    </row>
    <row r="700" hidden="1">
      <c r="A700" s="6" t="s">
        <v>240</v>
      </c>
      <c r="B700" s="16" t="s">
        <v>210</v>
      </c>
      <c r="C700" s="16" t="s">
        <v>211</v>
      </c>
      <c r="D700" s="16" t="s">
        <v>212</v>
      </c>
      <c r="E700" s="27">
        <v>1.0</v>
      </c>
      <c r="F700" s="28">
        <v>0.0</v>
      </c>
      <c r="G700" s="28">
        <v>0.0</v>
      </c>
      <c r="H700" s="29">
        <v>0.0</v>
      </c>
      <c r="I700" s="30">
        <v>5.0</v>
      </c>
      <c r="J700" s="12"/>
      <c r="K700" s="12">
        <f t="shared" si="54"/>
        <v>1500</v>
      </c>
      <c r="L700" s="13" t="str">
        <f t="shared" si="52"/>
        <v>1 5-star + 0 RFC + 0 DME + 0 Patient Portal Login + 5 Completed Task</v>
      </c>
      <c r="M700" s="12"/>
      <c r="N700" s="12"/>
      <c r="O700" s="47"/>
      <c r="P700" s="47"/>
    </row>
    <row r="701" hidden="1">
      <c r="A701" s="6" t="s">
        <v>240</v>
      </c>
      <c r="B701" s="16" t="s">
        <v>213</v>
      </c>
      <c r="C701" s="16" t="s">
        <v>214</v>
      </c>
      <c r="D701" s="16" t="s">
        <v>215</v>
      </c>
      <c r="E701" s="27">
        <v>1.0</v>
      </c>
      <c r="F701" s="28">
        <v>0.0</v>
      </c>
      <c r="G701" s="28">
        <v>2.0</v>
      </c>
      <c r="H701" s="29">
        <v>0.0</v>
      </c>
      <c r="I701" s="30">
        <v>1.0</v>
      </c>
      <c r="J701" s="12"/>
      <c r="K701" s="12">
        <f t="shared" si="54"/>
        <v>1000</v>
      </c>
      <c r="L701" s="13" t="str">
        <f t="shared" si="52"/>
        <v>1 5-star + 0 RFC + 2 DME + 0 Patient Portal Login + 1 Completed Task</v>
      </c>
      <c r="M701" s="12"/>
      <c r="N701" s="12"/>
      <c r="O701" s="47"/>
      <c r="P701" s="47"/>
    </row>
    <row r="702" hidden="1">
      <c r="A702" s="6" t="s">
        <v>240</v>
      </c>
      <c r="B702" s="16" t="s">
        <v>216</v>
      </c>
      <c r="C702" s="16" t="s">
        <v>217</v>
      </c>
      <c r="D702" s="16" t="s">
        <v>218</v>
      </c>
      <c r="E702" s="27">
        <v>0.0</v>
      </c>
      <c r="F702" s="28">
        <v>2.0</v>
      </c>
      <c r="G702" s="28">
        <v>0.0</v>
      </c>
      <c r="H702" s="29">
        <v>7.0</v>
      </c>
      <c r="I702" s="30">
        <v>5.0</v>
      </c>
      <c r="J702" s="12"/>
      <c r="K702" s="12">
        <f t="shared" si="54"/>
        <v>3500</v>
      </c>
      <c r="L702" s="13" t="str">
        <f t="shared" si="52"/>
        <v>0 5-star + 2 RFC + 0 DME + 7 Patient Portal Login + 5 Completed Task</v>
      </c>
      <c r="M702" s="12"/>
      <c r="N702" s="12"/>
      <c r="O702" s="47"/>
      <c r="P702" s="47"/>
    </row>
    <row r="703" hidden="1">
      <c r="A703" s="6" t="s">
        <v>240</v>
      </c>
      <c r="B703" s="16" t="s">
        <v>32</v>
      </c>
      <c r="C703" s="16" t="s">
        <v>227</v>
      </c>
      <c r="D703" s="16" t="s">
        <v>34</v>
      </c>
      <c r="E703" s="48"/>
      <c r="F703" s="49"/>
      <c r="G703" s="49"/>
      <c r="H703" s="50"/>
      <c r="I703" s="51"/>
      <c r="J703" s="12"/>
      <c r="K703" s="12">
        <f t="shared" ref="K703:K711" si="55">sum(E703*250)+(F703*500)+(G703*250)+(H703*250)+(I703*250)</f>
        <v>0</v>
      </c>
      <c r="L703" s="13" t="str">
        <f t="shared" si="52"/>
        <v> 5-star +  RFC +  DME +  Patient Portal Login +  Completed Task</v>
      </c>
      <c r="M703" s="13"/>
      <c r="N703" s="13"/>
      <c r="O703" s="14"/>
      <c r="P703" s="14"/>
    </row>
    <row r="704" hidden="1">
      <c r="A704" s="6" t="s">
        <v>240</v>
      </c>
      <c r="B704" s="16" t="s">
        <v>29</v>
      </c>
      <c r="C704" s="16" t="s">
        <v>228</v>
      </c>
      <c r="D704" s="16" t="s">
        <v>31</v>
      </c>
      <c r="E704" s="48"/>
      <c r="F704" s="49"/>
      <c r="G704" s="49"/>
      <c r="H704" s="50"/>
      <c r="I704" s="51"/>
      <c r="J704" s="12"/>
      <c r="K704" s="12">
        <f t="shared" si="55"/>
        <v>0</v>
      </c>
      <c r="L704" s="13" t="str">
        <f t="shared" si="52"/>
        <v> 5-star +  RFC +  DME +  Patient Portal Login +  Completed Task</v>
      </c>
      <c r="M704" s="13"/>
      <c r="N704" s="13"/>
      <c r="O704" s="14"/>
      <c r="P704" s="14"/>
    </row>
    <row r="705" hidden="1">
      <c r="A705" s="6" t="s">
        <v>240</v>
      </c>
      <c r="B705" s="16" t="s">
        <v>26</v>
      </c>
      <c r="C705" s="16" t="s">
        <v>229</v>
      </c>
      <c r="D705" s="16" t="s">
        <v>28</v>
      </c>
      <c r="E705" s="48"/>
      <c r="F705" s="49"/>
      <c r="G705" s="49"/>
      <c r="H705" s="50"/>
      <c r="I705" s="51"/>
      <c r="J705" s="12"/>
      <c r="K705" s="12">
        <f t="shared" si="55"/>
        <v>0</v>
      </c>
      <c r="L705" s="13" t="str">
        <f t="shared" si="52"/>
        <v> 5-star +  RFC +  DME +  Patient Portal Login +  Completed Task</v>
      </c>
      <c r="M705" s="13"/>
      <c r="N705" s="13"/>
      <c r="O705" s="14"/>
      <c r="P705" s="14"/>
    </row>
    <row r="706" hidden="1">
      <c r="A706" s="6" t="s">
        <v>240</v>
      </c>
      <c r="B706" s="16" t="s">
        <v>23</v>
      </c>
      <c r="C706" s="16" t="s">
        <v>230</v>
      </c>
      <c r="D706" s="16" t="s">
        <v>25</v>
      </c>
      <c r="E706" s="48"/>
      <c r="F706" s="49"/>
      <c r="G706" s="49"/>
      <c r="H706" s="50"/>
      <c r="I706" s="51"/>
      <c r="J706" s="12"/>
      <c r="K706" s="12">
        <f t="shared" si="55"/>
        <v>0</v>
      </c>
      <c r="L706" s="13" t="str">
        <f t="shared" si="52"/>
        <v> 5-star +  RFC +  DME +  Patient Portal Login +  Completed Task</v>
      </c>
      <c r="M706" s="13"/>
      <c r="N706" s="13"/>
      <c r="O706" s="14"/>
      <c r="P706" s="14"/>
    </row>
    <row r="707" hidden="1">
      <c r="A707" s="6" t="s">
        <v>240</v>
      </c>
      <c r="B707" s="16" t="s">
        <v>20</v>
      </c>
      <c r="C707" s="16" t="s">
        <v>231</v>
      </c>
      <c r="D707" s="16" t="s">
        <v>22</v>
      </c>
      <c r="E707" s="48"/>
      <c r="F707" s="49"/>
      <c r="G707" s="49"/>
      <c r="H707" s="50"/>
      <c r="I707" s="51"/>
      <c r="J707" s="12"/>
      <c r="K707" s="12">
        <f t="shared" si="55"/>
        <v>0</v>
      </c>
      <c r="L707" s="13" t="str">
        <f t="shared" si="52"/>
        <v> 5-star +  RFC +  DME +  Patient Portal Login +  Completed Task</v>
      </c>
      <c r="M707" s="13"/>
      <c r="N707" s="13"/>
      <c r="O707" s="14"/>
      <c r="P707" s="14"/>
    </row>
    <row r="708" hidden="1">
      <c r="A708" s="6" t="s">
        <v>240</v>
      </c>
      <c r="B708" s="16" t="s">
        <v>17</v>
      </c>
      <c r="C708" s="16" t="s">
        <v>232</v>
      </c>
      <c r="D708" s="16" t="s">
        <v>19</v>
      </c>
      <c r="E708" s="48"/>
      <c r="F708" s="49"/>
      <c r="G708" s="49"/>
      <c r="H708" s="50"/>
      <c r="I708" s="51"/>
      <c r="J708" s="39"/>
      <c r="K708" s="39">
        <f t="shared" si="55"/>
        <v>0</v>
      </c>
      <c r="L708" s="13" t="str">
        <f t="shared" si="52"/>
        <v> 5-star +  RFC +  DME +  Patient Portal Login +  Completed Task</v>
      </c>
      <c r="M708" s="13"/>
      <c r="N708" s="13"/>
      <c r="O708" s="14"/>
      <c r="P708" s="14"/>
    </row>
    <row r="709" hidden="1">
      <c r="A709" s="6" t="s">
        <v>240</v>
      </c>
      <c r="B709" s="16" t="s">
        <v>14</v>
      </c>
      <c r="C709" s="16" t="s">
        <v>233</v>
      </c>
      <c r="D709" s="16" t="s">
        <v>16</v>
      </c>
      <c r="E709" s="48"/>
      <c r="F709" s="49"/>
      <c r="G709" s="49"/>
      <c r="H709" s="50"/>
      <c r="I709" s="51"/>
      <c r="J709" s="39"/>
      <c r="K709" s="39">
        <f t="shared" si="55"/>
        <v>0</v>
      </c>
      <c r="L709" s="13" t="str">
        <f t="shared" si="52"/>
        <v> 5-star +  RFC +  DME +  Patient Portal Login +  Completed Task</v>
      </c>
      <c r="M709" s="13"/>
      <c r="N709" s="13"/>
      <c r="O709" s="14"/>
      <c r="P709" s="14"/>
    </row>
    <row r="710" hidden="1">
      <c r="A710" s="6" t="s">
        <v>240</v>
      </c>
      <c r="B710" s="16" t="s">
        <v>234</v>
      </c>
      <c r="C710" s="16" t="s">
        <v>235</v>
      </c>
      <c r="D710" s="16" t="s">
        <v>236</v>
      </c>
      <c r="E710" s="48"/>
      <c r="F710" s="49"/>
      <c r="G710" s="49"/>
      <c r="H710" s="50"/>
      <c r="I710" s="51"/>
      <c r="J710" s="12"/>
      <c r="K710" s="12">
        <f t="shared" si="55"/>
        <v>0</v>
      </c>
      <c r="L710" s="13" t="str">
        <f t="shared" si="52"/>
        <v> 5-star +  RFC +  DME +  Patient Portal Login +  Completed Task</v>
      </c>
      <c r="M710" s="13"/>
      <c r="N710" s="13"/>
      <c r="O710" s="14"/>
      <c r="P710" s="14"/>
    </row>
    <row r="711" hidden="1">
      <c r="A711" s="6" t="s">
        <v>240</v>
      </c>
      <c r="B711" s="16" t="s">
        <v>35</v>
      </c>
      <c r="C711" s="16" t="s">
        <v>36</v>
      </c>
      <c r="D711" s="16" t="s">
        <v>37</v>
      </c>
      <c r="E711" s="48"/>
      <c r="F711" s="49"/>
      <c r="G711" s="49"/>
      <c r="H711" s="50"/>
      <c r="I711" s="51"/>
      <c r="J711" s="12"/>
      <c r="K711" s="12">
        <f t="shared" si="55"/>
        <v>0</v>
      </c>
      <c r="L711" s="13" t="str">
        <f t="shared" si="52"/>
        <v> 5-star +  RFC +  DME +  Patient Portal Login +  Completed Task</v>
      </c>
      <c r="M711" s="13"/>
      <c r="N711" s="13"/>
      <c r="O711" s="14"/>
      <c r="P711" s="14"/>
    </row>
    <row r="712" hidden="1">
      <c r="A712" s="6" t="s">
        <v>240</v>
      </c>
      <c r="B712" s="16" t="s">
        <v>41</v>
      </c>
      <c r="C712" s="16" t="s">
        <v>42</v>
      </c>
      <c r="D712" s="16" t="s">
        <v>43</v>
      </c>
      <c r="E712" s="27">
        <v>3.0</v>
      </c>
      <c r="F712" s="28">
        <v>3.0</v>
      </c>
      <c r="G712" s="28">
        <v>0.0</v>
      </c>
      <c r="H712" s="29">
        <v>4.0</v>
      </c>
      <c r="I712" s="30">
        <v>5.0</v>
      </c>
      <c r="J712" s="12"/>
      <c r="K712" s="12">
        <f>sum(E712*250)+(F712*250)+(G712*250)+(H712*250)+(I712*250)</f>
        <v>3750</v>
      </c>
      <c r="L712" s="13" t="str">
        <f t="shared" si="52"/>
        <v>3 5-star + 3 RFC + 0 DME + 4 Patient Portal Login + 5 Completed Task</v>
      </c>
      <c r="M712" s="12"/>
      <c r="N712" s="12"/>
      <c r="O712" s="47"/>
      <c r="P712" s="47"/>
    </row>
    <row r="713" hidden="1">
      <c r="A713" s="6" t="s">
        <v>240</v>
      </c>
      <c r="B713" s="16" t="s">
        <v>44</v>
      </c>
      <c r="C713" s="16" t="s">
        <v>45</v>
      </c>
      <c r="D713" s="16" t="s">
        <v>46</v>
      </c>
      <c r="E713" s="48"/>
      <c r="F713" s="49"/>
      <c r="G713" s="49"/>
      <c r="H713" s="50"/>
      <c r="I713" s="51"/>
      <c r="J713" s="12"/>
      <c r="K713" s="12">
        <f>sum(E713*250)+(F713*500)+(G713*250)+(H713*250)+(I713*250)</f>
        <v>0</v>
      </c>
      <c r="L713" s="13" t="str">
        <f t="shared" si="52"/>
        <v> 5-star +  RFC +  DME +  Patient Portal Login +  Completed Task</v>
      </c>
      <c r="M713" s="13"/>
      <c r="N713" s="13"/>
      <c r="O713" s="14"/>
      <c r="P713" s="14"/>
    </row>
    <row r="714" hidden="1">
      <c r="A714" s="6" t="s">
        <v>240</v>
      </c>
      <c r="B714" s="16" t="s">
        <v>47</v>
      </c>
      <c r="C714" s="16" t="s">
        <v>48</v>
      </c>
      <c r="D714" s="16" t="s">
        <v>49</v>
      </c>
      <c r="E714" s="27">
        <v>4.0</v>
      </c>
      <c r="F714" s="28">
        <v>2.0</v>
      </c>
      <c r="G714" s="28">
        <v>0.0</v>
      </c>
      <c r="H714" s="29">
        <v>13.0</v>
      </c>
      <c r="I714" s="30">
        <v>5.0</v>
      </c>
      <c r="J714" s="12"/>
      <c r="K714" s="12">
        <f t="shared" ref="K714:K717" si="56">sum(E714*250)+(F714*250)+(G714*250)+(H714*250)+(I714*250)</f>
        <v>6000</v>
      </c>
      <c r="L714" s="13" t="str">
        <f t="shared" si="52"/>
        <v>4 5-star + 2 RFC + 0 DME + 13 Patient Portal Login + 5 Completed Task</v>
      </c>
      <c r="M714" s="12"/>
      <c r="N714" s="12"/>
      <c r="O714" s="47"/>
      <c r="P714" s="47"/>
    </row>
    <row r="715" hidden="1">
      <c r="A715" s="6" t="s">
        <v>240</v>
      </c>
      <c r="B715" s="16" t="s">
        <v>50</v>
      </c>
      <c r="C715" s="16" t="s">
        <v>51</v>
      </c>
      <c r="D715" s="16" t="s">
        <v>52</v>
      </c>
      <c r="E715" s="27">
        <v>1.0</v>
      </c>
      <c r="F715" s="28">
        <v>0.0</v>
      </c>
      <c r="G715" s="28">
        <v>0.0</v>
      </c>
      <c r="H715" s="29">
        <v>0.0</v>
      </c>
      <c r="I715" s="30">
        <v>0.0</v>
      </c>
      <c r="J715" s="12"/>
      <c r="K715" s="12">
        <f t="shared" si="56"/>
        <v>250</v>
      </c>
      <c r="L715" s="13" t="str">
        <f t="shared" si="52"/>
        <v>1 5-star + 0 RFC + 0 DME + 0 Patient Portal Login + 0 Completed Task</v>
      </c>
      <c r="M715" s="12"/>
      <c r="N715" s="12"/>
      <c r="O715" s="47"/>
      <c r="P715" s="47"/>
    </row>
    <row r="716" hidden="1">
      <c r="A716" s="6" t="s">
        <v>240</v>
      </c>
      <c r="B716" s="16" t="s">
        <v>53</v>
      </c>
      <c r="C716" s="16" t="s">
        <v>54</v>
      </c>
      <c r="D716" s="16" t="s">
        <v>55</v>
      </c>
      <c r="E716" s="27">
        <v>2.0</v>
      </c>
      <c r="F716" s="28">
        <v>6.0</v>
      </c>
      <c r="G716" s="28">
        <v>0.0</v>
      </c>
      <c r="H716" s="29">
        <v>0.0</v>
      </c>
      <c r="I716" s="30">
        <v>5.0</v>
      </c>
      <c r="J716" s="12"/>
      <c r="K716" s="12">
        <f t="shared" si="56"/>
        <v>3250</v>
      </c>
      <c r="L716" s="13" t="str">
        <f t="shared" si="52"/>
        <v>2 5-star + 6 RFC + 0 DME + 0 Patient Portal Login + 5 Completed Task</v>
      </c>
      <c r="M716" s="12"/>
      <c r="N716" s="12"/>
      <c r="O716" s="47"/>
      <c r="P716" s="47"/>
    </row>
    <row r="717" hidden="1">
      <c r="A717" s="6" t="s">
        <v>240</v>
      </c>
      <c r="B717" s="16" t="s">
        <v>56</v>
      </c>
      <c r="C717" s="16" t="s">
        <v>57</v>
      </c>
      <c r="D717" s="16" t="s">
        <v>58</v>
      </c>
      <c r="E717" s="27">
        <v>0.0</v>
      </c>
      <c r="F717" s="28">
        <v>1.0</v>
      </c>
      <c r="G717" s="28">
        <v>2.0</v>
      </c>
      <c r="H717" s="29">
        <v>2.0</v>
      </c>
      <c r="I717" s="30">
        <v>5.0</v>
      </c>
      <c r="J717" s="12"/>
      <c r="K717" s="12">
        <f t="shared" si="56"/>
        <v>2500</v>
      </c>
      <c r="L717" s="13" t="str">
        <f t="shared" si="52"/>
        <v>0 5-star + 1 RFC + 2 DME + 2 Patient Portal Login + 5 Completed Task</v>
      </c>
      <c r="M717" s="12"/>
      <c r="N717" s="12"/>
      <c r="O717" s="47"/>
      <c r="P717" s="47"/>
    </row>
    <row r="718" hidden="1">
      <c r="A718" s="6" t="s">
        <v>240</v>
      </c>
      <c r="B718" s="16" t="s">
        <v>59</v>
      </c>
      <c r="C718" s="16" t="s">
        <v>60</v>
      </c>
      <c r="D718" s="16" t="s">
        <v>61</v>
      </c>
      <c r="E718" s="48"/>
      <c r="F718" s="49"/>
      <c r="G718" s="49"/>
      <c r="H718" s="50"/>
      <c r="I718" s="51"/>
      <c r="J718" s="12"/>
      <c r="K718" s="12">
        <f>sum(E718*250)+(F718*500)+(G718*250)+(H718*250)+(I718*250)</f>
        <v>0</v>
      </c>
      <c r="L718" s="13" t="str">
        <f t="shared" si="52"/>
        <v> 5-star +  RFC +  DME +  Patient Portal Login +  Completed Task</v>
      </c>
      <c r="M718" s="13"/>
      <c r="N718" s="13"/>
      <c r="O718" s="14"/>
      <c r="P718" s="14"/>
    </row>
    <row r="719" hidden="1">
      <c r="A719" s="6" t="s">
        <v>240</v>
      </c>
      <c r="B719" s="16" t="s">
        <v>62</v>
      </c>
      <c r="C719" s="16" t="s">
        <v>63</v>
      </c>
      <c r="D719" s="16" t="s">
        <v>64</v>
      </c>
      <c r="E719" s="27">
        <v>0.0</v>
      </c>
      <c r="F719" s="28">
        <v>2.0</v>
      </c>
      <c r="G719" s="28">
        <v>1.0</v>
      </c>
      <c r="H719" s="29">
        <v>0.0</v>
      </c>
      <c r="I719" s="30">
        <v>5.0</v>
      </c>
      <c r="J719" s="12"/>
      <c r="K719" s="12">
        <f t="shared" ref="K719:K725" si="57">sum(E719*250)+(F719*250)+(G719*250)+(H719*250)+(I719*250)</f>
        <v>2000</v>
      </c>
      <c r="L719" s="13" t="str">
        <f t="shared" si="52"/>
        <v>0 5-star + 2 RFC + 1 DME + 0 Patient Portal Login + 5 Completed Task</v>
      </c>
      <c r="M719" s="12"/>
      <c r="N719" s="12"/>
      <c r="O719" s="47"/>
      <c r="P719" s="47"/>
    </row>
    <row r="720" hidden="1">
      <c r="A720" s="6" t="s">
        <v>240</v>
      </c>
      <c r="B720" s="16" t="s">
        <v>65</v>
      </c>
      <c r="C720" s="16" t="s">
        <v>66</v>
      </c>
      <c r="D720" s="16" t="s">
        <v>67</v>
      </c>
      <c r="E720" s="27">
        <v>1.0</v>
      </c>
      <c r="F720" s="28">
        <v>0.0</v>
      </c>
      <c r="G720" s="28">
        <v>0.0</v>
      </c>
      <c r="H720" s="29">
        <v>2.0</v>
      </c>
      <c r="I720" s="30">
        <v>5.0</v>
      </c>
      <c r="J720" s="12"/>
      <c r="K720" s="12">
        <f t="shared" si="57"/>
        <v>2000</v>
      </c>
      <c r="L720" s="13" t="str">
        <f t="shared" si="52"/>
        <v>1 5-star + 0 RFC + 0 DME + 2 Patient Portal Login + 5 Completed Task</v>
      </c>
      <c r="M720" s="12"/>
      <c r="N720" s="12"/>
      <c r="O720" s="47"/>
      <c r="P720" s="47"/>
    </row>
    <row r="721" hidden="1">
      <c r="A721" s="6" t="s">
        <v>240</v>
      </c>
      <c r="B721" s="16" t="s">
        <v>68</v>
      </c>
      <c r="C721" s="16" t="s">
        <v>69</v>
      </c>
      <c r="D721" s="16" t="s">
        <v>70</v>
      </c>
      <c r="E721" s="27">
        <v>0.0</v>
      </c>
      <c r="F721" s="28">
        <v>2.0</v>
      </c>
      <c r="G721" s="28">
        <v>1.0</v>
      </c>
      <c r="H721" s="29">
        <v>4.0</v>
      </c>
      <c r="I721" s="30">
        <v>5.0</v>
      </c>
      <c r="J721" s="12"/>
      <c r="K721" s="12">
        <f t="shared" si="57"/>
        <v>3000</v>
      </c>
      <c r="L721" s="13" t="str">
        <f t="shared" si="52"/>
        <v>0 5-star + 2 RFC + 1 DME + 4 Patient Portal Login + 5 Completed Task</v>
      </c>
      <c r="M721" s="12"/>
      <c r="N721" s="12"/>
      <c r="O721" s="47"/>
      <c r="P721" s="47"/>
    </row>
    <row r="722" hidden="1">
      <c r="A722" s="6" t="s">
        <v>240</v>
      </c>
      <c r="B722" s="16" t="s">
        <v>71</v>
      </c>
      <c r="C722" s="16" t="s">
        <v>72</v>
      </c>
      <c r="D722" s="16" t="s">
        <v>73</v>
      </c>
      <c r="E722" s="27">
        <v>0.0</v>
      </c>
      <c r="F722" s="28">
        <v>9.0</v>
      </c>
      <c r="G722" s="28">
        <v>1.0</v>
      </c>
      <c r="H722" s="29">
        <v>8.0</v>
      </c>
      <c r="I722" s="30">
        <v>5.0</v>
      </c>
      <c r="J722" s="12"/>
      <c r="K722" s="12">
        <f t="shared" si="57"/>
        <v>5750</v>
      </c>
      <c r="L722" s="13" t="str">
        <f t="shared" si="52"/>
        <v>0 5-star + 9 RFC + 1 DME + 8 Patient Portal Login + 5 Completed Task</v>
      </c>
      <c r="M722" s="12"/>
      <c r="N722" s="12"/>
      <c r="O722" s="47"/>
      <c r="P722" s="47"/>
    </row>
    <row r="723" hidden="1">
      <c r="A723" s="6" t="s">
        <v>240</v>
      </c>
      <c r="B723" s="16" t="s">
        <v>74</v>
      </c>
      <c r="C723" s="16" t="s">
        <v>75</v>
      </c>
      <c r="D723" s="16" t="s">
        <v>76</v>
      </c>
      <c r="E723" s="27">
        <v>0.0</v>
      </c>
      <c r="F723" s="28">
        <v>0.0</v>
      </c>
      <c r="G723" s="28">
        <v>0.0</v>
      </c>
      <c r="H723" s="29">
        <v>3.0</v>
      </c>
      <c r="I723" s="30">
        <v>5.0</v>
      </c>
      <c r="J723" s="12"/>
      <c r="K723" s="12">
        <f t="shared" si="57"/>
        <v>2000</v>
      </c>
      <c r="L723" s="13" t="str">
        <f t="shared" si="52"/>
        <v>0 5-star + 0 RFC + 0 DME + 3 Patient Portal Login + 5 Completed Task</v>
      </c>
      <c r="M723" s="12"/>
      <c r="N723" s="12"/>
      <c r="O723" s="47"/>
      <c r="P723" s="47"/>
    </row>
    <row r="724" hidden="1">
      <c r="A724" s="6" t="s">
        <v>240</v>
      </c>
      <c r="B724" s="16" t="s">
        <v>77</v>
      </c>
      <c r="C724" s="16" t="s">
        <v>78</v>
      </c>
      <c r="D724" s="16" t="s">
        <v>79</v>
      </c>
      <c r="E724" s="27">
        <v>23.0</v>
      </c>
      <c r="F724" s="28">
        <v>3.0</v>
      </c>
      <c r="G724" s="28">
        <v>0.0</v>
      </c>
      <c r="H724" s="29">
        <v>0.0</v>
      </c>
      <c r="I724" s="30">
        <v>2.0</v>
      </c>
      <c r="J724" s="12"/>
      <c r="K724" s="12">
        <f t="shared" si="57"/>
        <v>7000</v>
      </c>
      <c r="L724" s="13" t="str">
        <f t="shared" si="52"/>
        <v>23 5-star + 3 RFC + 0 DME + 0 Patient Portal Login + 2 Completed Task</v>
      </c>
      <c r="M724" s="12"/>
      <c r="N724" s="12"/>
      <c r="O724" s="47"/>
      <c r="P724" s="47"/>
    </row>
    <row r="725" hidden="1">
      <c r="A725" s="6" t="s">
        <v>240</v>
      </c>
      <c r="B725" s="16" t="s">
        <v>80</v>
      </c>
      <c r="C725" s="16" t="s">
        <v>81</v>
      </c>
      <c r="D725" s="16" t="s">
        <v>82</v>
      </c>
      <c r="E725" s="27">
        <v>0.0</v>
      </c>
      <c r="F725" s="28">
        <v>0.0</v>
      </c>
      <c r="G725" s="28">
        <v>0.0</v>
      </c>
      <c r="H725" s="29">
        <v>0.0</v>
      </c>
      <c r="I725" s="30">
        <v>5.0</v>
      </c>
      <c r="J725" s="12"/>
      <c r="K725" s="12">
        <f t="shared" si="57"/>
        <v>1250</v>
      </c>
      <c r="L725" s="13" t="str">
        <f t="shared" si="52"/>
        <v>0 5-star + 0 RFC + 0 DME + 0 Patient Portal Login + 5 Completed Task</v>
      </c>
      <c r="M725" s="12"/>
      <c r="N725" s="12"/>
      <c r="O725" s="47"/>
      <c r="P725" s="47"/>
    </row>
    <row r="726" hidden="1">
      <c r="A726" s="6" t="s">
        <v>240</v>
      </c>
      <c r="B726" s="7" t="s">
        <v>83</v>
      </c>
      <c r="C726" s="16" t="s">
        <v>84</v>
      </c>
      <c r="D726" s="16" t="s">
        <v>85</v>
      </c>
      <c r="E726" s="48"/>
      <c r="F726" s="49"/>
      <c r="G726" s="49"/>
      <c r="H726" s="50"/>
      <c r="I726" s="52"/>
      <c r="J726" s="12"/>
      <c r="K726" s="12">
        <f>sum(E726*250)+(F726*500)+(G726*250)+(H726*250)+(I726*250)</f>
        <v>0</v>
      </c>
      <c r="L726" s="13" t="str">
        <f t="shared" si="52"/>
        <v> 5-star +  RFC +  DME +  Patient Portal Login +  Completed Task</v>
      </c>
      <c r="M726" s="13"/>
      <c r="N726" s="13"/>
      <c r="O726" s="14"/>
      <c r="P726" s="14"/>
    </row>
    <row r="727" hidden="1">
      <c r="A727" s="6" t="s">
        <v>240</v>
      </c>
      <c r="B727" s="16" t="s">
        <v>86</v>
      </c>
      <c r="C727" s="16" t="s">
        <v>87</v>
      </c>
      <c r="D727" s="16" t="s">
        <v>88</v>
      </c>
      <c r="E727" s="27">
        <v>1.0</v>
      </c>
      <c r="F727" s="28">
        <v>1.0</v>
      </c>
      <c r="G727" s="28">
        <v>0.0</v>
      </c>
      <c r="H727" s="29">
        <v>2.0</v>
      </c>
      <c r="I727" s="30">
        <v>5.0</v>
      </c>
      <c r="J727" s="12"/>
      <c r="K727" s="12">
        <f>sum(E727*250)+(F727*250)+(G727*250)+(H727*250)+(I727*250)</f>
        <v>2250</v>
      </c>
      <c r="L727" s="13" t="str">
        <f t="shared" si="52"/>
        <v>1 5-star + 1 RFC + 0 DME + 2 Patient Portal Login + 5 Completed Task</v>
      </c>
      <c r="M727" s="12"/>
      <c r="N727" s="12"/>
      <c r="O727" s="47"/>
      <c r="P727" s="47"/>
    </row>
    <row r="728" hidden="1">
      <c r="A728" s="6" t="s">
        <v>240</v>
      </c>
      <c r="B728" s="16" t="s">
        <v>89</v>
      </c>
      <c r="C728" s="16" t="s">
        <v>90</v>
      </c>
      <c r="D728" s="16" t="s">
        <v>91</v>
      </c>
      <c r="E728" s="48"/>
      <c r="F728" s="49"/>
      <c r="G728" s="49"/>
      <c r="H728" s="50"/>
      <c r="I728" s="51"/>
      <c r="J728" s="12"/>
      <c r="K728" s="12">
        <f>sum(E728*250)+(F728*500)+(G728*250)+(H728*250)+(I728*250)</f>
        <v>0</v>
      </c>
      <c r="L728" s="13" t="str">
        <f t="shared" si="52"/>
        <v> 5-star +  RFC +  DME +  Patient Portal Login +  Completed Task</v>
      </c>
      <c r="M728" s="13"/>
      <c r="N728" s="13"/>
      <c r="O728" s="14"/>
      <c r="P728" s="14"/>
    </row>
    <row r="729" hidden="1">
      <c r="A729" s="6" t="s">
        <v>240</v>
      </c>
      <c r="B729" s="16" t="s">
        <v>92</v>
      </c>
      <c r="C729" s="16" t="s">
        <v>93</v>
      </c>
      <c r="D729" s="16" t="s">
        <v>94</v>
      </c>
      <c r="E729" s="27">
        <v>0.0</v>
      </c>
      <c r="F729" s="28">
        <v>2.0</v>
      </c>
      <c r="G729" s="28">
        <v>0.0</v>
      </c>
      <c r="H729" s="29">
        <v>5.0</v>
      </c>
      <c r="I729" s="30">
        <v>4.0</v>
      </c>
      <c r="J729" s="12"/>
      <c r="K729" s="12">
        <f t="shared" ref="K729:K730" si="58">sum(E729*250)+(F729*250)+(G729*250)+(H729*250)+(I729*250)</f>
        <v>2750</v>
      </c>
      <c r="L729" s="13" t="str">
        <f t="shared" si="52"/>
        <v>0 5-star + 2 RFC + 0 DME + 5 Patient Portal Login + 4 Completed Task</v>
      </c>
      <c r="M729" s="12"/>
      <c r="N729" s="12"/>
      <c r="O729" s="47"/>
      <c r="P729" s="47"/>
    </row>
    <row r="730" hidden="1">
      <c r="A730" s="6" t="s">
        <v>240</v>
      </c>
      <c r="B730" s="7" t="s">
        <v>95</v>
      </c>
      <c r="C730" s="16" t="s">
        <v>96</v>
      </c>
      <c r="D730" s="16" t="s">
        <v>97</v>
      </c>
      <c r="E730" s="27">
        <v>0.0</v>
      </c>
      <c r="F730" s="28">
        <v>0.0</v>
      </c>
      <c r="G730" s="28">
        <v>0.0</v>
      </c>
      <c r="H730" s="29">
        <v>0.0</v>
      </c>
      <c r="I730" s="30">
        <v>5.0</v>
      </c>
      <c r="J730" s="12"/>
      <c r="K730" s="12">
        <f t="shared" si="58"/>
        <v>1250</v>
      </c>
      <c r="L730" s="13" t="str">
        <f t="shared" si="52"/>
        <v>0 5-star + 0 RFC + 0 DME + 0 Patient Portal Login + 5 Completed Task</v>
      </c>
      <c r="M730" s="12"/>
      <c r="N730" s="12"/>
      <c r="O730" s="47"/>
      <c r="P730" s="47"/>
    </row>
    <row r="731" hidden="1">
      <c r="A731" s="6" t="s">
        <v>240</v>
      </c>
      <c r="B731" s="16" t="s">
        <v>98</v>
      </c>
      <c r="C731" s="16" t="s">
        <v>99</v>
      </c>
      <c r="D731" s="16" t="s">
        <v>100</v>
      </c>
      <c r="E731" s="48"/>
      <c r="F731" s="49"/>
      <c r="G731" s="49"/>
      <c r="H731" s="50"/>
      <c r="I731" s="51"/>
      <c r="J731" s="12"/>
      <c r="K731" s="12">
        <f>sum(E731*250)+(F731*500)+(G731*250)+(H731*250)+(I731*250)</f>
        <v>0</v>
      </c>
      <c r="L731" s="13" t="str">
        <f t="shared" si="52"/>
        <v> 5-star +  RFC +  DME +  Patient Portal Login +  Completed Task</v>
      </c>
      <c r="M731" s="13"/>
      <c r="N731" s="13"/>
      <c r="O731" s="14"/>
      <c r="P731" s="14"/>
    </row>
    <row r="732" hidden="1">
      <c r="A732" s="6" t="s">
        <v>240</v>
      </c>
      <c r="B732" s="7" t="s">
        <v>101</v>
      </c>
      <c r="C732" s="16" t="s">
        <v>102</v>
      </c>
      <c r="D732" s="16" t="s">
        <v>103</v>
      </c>
      <c r="E732" s="27">
        <v>0.0</v>
      </c>
      <c r="F732" s="28">
        <v>4.0</v>
      </c>
      <c r="G732" s="28">
        <v>0.0</v>
      </c>
      <c r="H732" s="29">
        <v>4.0</v>
      </c>
      <c r="I732" s="30">
        <v>5.0</v>
      </c>
      <c r="J732" s="12"/>
      <c r="K732" s="12">
        <f t="shared" ref="K732:K761" si="59">sum(E732*250)+(F732*250)+(G732*250)+(H732*250)+(I732*250)</f>
        <v>3250</v>
      </c>
      <c r="L732" s="13" t="str">
        <f t="shared" si="52"/>
        <v>0 5-star + 4 RFC + 0 DME + 4 Patient Portal Login + 5 Completed Task</v>
      </c>
      <c r="M732" s="12"/>
      <c r="N732" s="12"/>
      <c r="O732" s="47"/>
      <c r="P732" s="47"/>
    </row>
    <row r="733" hidden="1">
      <c r="A733" s="6" t="s">
        <v>240</v>
      </c>
      <c r="B733" s="16" t="s">
        <v>104</v>
      </c>
      <c r="C733" s="16" t="s">
        <v>105</v>
      </c>
      <c r="D733" s="16" t="s">
        <v>106</v>
      </c>
      <c r="E733" s="27">
        <v>0.0</v>
      </c>
      <c r="F733" s="28">
        <v>0.0</v>
      </c>
      <c r="G733" s="28">
        <v>1.0</v>
      </c>
      <c r="H733" s="29">
        <v>10.0</v>
      </c>
      <c r="I733" s="30">
        <v>5.0</v>
      </c>
      <c r="J733" s="12"/>
      <c r="K733" s="12">
        <f t="shared" si="59"/>
        <v>4000</v>
      </c>
      <c r="L733" s="13" t="str">
        <f t="shared" si="52"/>
        <v>0 5-star + 0 RFC + 1 DME + 10 Patient Portal Login + 5 Completed Task</v>
      </c>
      <c r="M733" s="12"/>
      <c r="N733" s="12"/>
      <c r="O733" s="47"/>
      <c r="P733" s="47"/>
    </row>
    <row r="734" hidden="1">
      <c r="A734" s="6" t="s">
        <v>240</v>
      </c>
      <c r="B734" s="16" t="s">
        <v>107</v>
      </c>
      <c r="C734" s="16" t="s">
        <v>108</v>
      </c>
      <c r="D734" s="16" t="s">
        <v>109</v>
      </c>
      <c r="E734" s="27">
        <v>0.0</v>
      </c>
      <c r="F734" s="28">
        <v>1.0</v>
      </c>
      <c r="G734" s="28">
        <v>0.0</v>
      </c>
      <c r="H734" s="29">
        <v>1.0</v>
      </c>
      <c r="I734" s="30">
        <v>5.0</v>
      </c>
      <c r="J734" s="12"/>
      <c r="K734" s="12">
        <f t="shared" si="59"/>
        <v>1750</v>
      </c>
      <c r="L734" s="13" t="str">
        <f t="shared" si="52"/>
        <v>0 5-star + 1 RFC + 0 DME + 1 Patient Portal Login + 5 Completed Task</v>
      </c>
      <c r="M734" s="12"/>
      <c r="N734" s="12"/>
      <c r="O734" s="47"/>
      <c r="P734" s="47"/>
    </row>
    <row r="735" hidden="1">
      <c r="A735" s="6" t="s">
        <v>240</v>
      </c>
      <c r="B735" s="16" t="s">
        <v>110</v>
      </c>
      <c r="C735" s="16" t="s">
        <v>111</v>
      </c>
      <c r="D735" s="16" t="s">
        <v>112</v>
      </c>
      <c r="E735" s="27">
        <v>0.0</v>
      </c>
      <c r="F735" s="28">
        <v>5.0</v>
      </c>
      <c r="G735" s="28">
        <v>0.0</v>
      </c>
      <c r="H735" s="29">
        <v>1.0</v>
      </c>
      <c r="I735" s="30">
        <v>5.0</v>
      </c>
      <c r="J735" s="12"/>
      <c r="K735" s="12">
        <f t="shared" si="59"/>
        <v>2750</v>
      </c>
      <c r="L735" s="13" t="str">
        <f t="shared" si="52"/>
        <v>0 5-star + 5 RFC + 0 DME + 1 Patient Portal Login + 5 Completed Task</v>
      </c>
      <c r="M735" s="12"/>
      <c r="N735" s="12"/>
      <c r="O735" s="47"/>
      <c r="P735" s="47"/>
    </row>
    <row r="736" hidden="1">
      <c r="A736" s="6" t="s">
        <v>240</v>
      </c>
      <c r="B736" s="16" t="s">
        <v>113</v>
      </c>
      <c r="C736" s="16" t="s">
        <v>114</v>
      </c>
      <c r="D736" s="16" t="s">
        <v>115</v>
      </c>
      <c r="E736" s="27">
        <v>0.0</v>
      </c>
      <c r="F736" s="28">
        <v>4.0</v>
      </c>
      <c r="G736" s="28">
        <v>0.0</v>
      </c>
      <c r="H736" s="29">
        <v>13.0</v>
      </c>
      <c r="I736" s="30">
        <v>5.0</v>
      </c>
      <c r="J736" s="12"/>
      <c r="K736" s="12">
        <f t="shared" si="59"/>
        <v>5500</v>
      </c>
      <c r="L736" s="13" t="str">
        <f t="shared" si="52"/>
        <v>0 5-star + 4 RFC + 0 DME + 13 Patient Portal Login + 5 Completed Task</v>
      </c>
      <c r="M736" s="12"/>
      <c r="N736" s="12"/>
      <c r="O736" s="47"/>
      <c r="P736" s="47"/>
    </row>
    <row r="737" hidden="1">
      <c r="A737" s="6" t="s">
        <v>240</v>
      </c>
      <c r="B737" s="7" t="s">
        <v>116</v>
      </c>
      <c r="C737" s="16" t="s">
        <v>117</v>
      </c>
      <c r="D737" s="16" t="s">
        <v>118</v>
      </c>
      <c r="E737" s="27">
        <v>0.0</v>
      </c>
      <c r="F737" s="28">
        <v>0.0</v>
      </c>
      <c r="G737" s="28">
        <v>2.0</v>
      </c>
      <c r="H737" s="29">
        <v>7.0</v>
      </c>
      <c r="I737" s="30">
        <v>5.0</v>
      </c>
      <c r="J737" s="12"/>
      <c r="K737" s="12">
        <f t="shared" si="59"/>
        <v>3500</v>
      </c>
      <c r="L737" s="13" t="str">
        <f t="shared" si="52"/>
        <v>0 5-star + 0 RFC + 2 DME + 7 Patient Portal Login + 5 Completed Task</v>
      </c>
      <c r="M737" s="12"/>
      <c r="N737" s="12"/>
      <c r="O737" s="47"/>
      <c r="P737" s="47"/>
    </row>
    <row r="738" hidden="1">
      <c r="A738" s="6" t="s">
        <v>240</v>
      </c>
      <c r="B738" s="16" t="s">
        <v>122</v>
      </c>
      <c r="C738" s="16" t="s">
        <v>123</v>
      </c>
      <c r="D738" s="16" t="s">
        <v>124</v>
      </c>
      <c r="E738" s="27">
        <v>0.0</v>
      </c>
      <c r="F738" s="28">
        <v>0.0</v>
      </c>
      <c r="G738" s="28">
        <v>0.0</v>
      </c>
      <c r="H738" s="29">
        <v>6.0</v>
      </c>
      <c r="I738" s="30">
        <v>5.0</v>
      </c>
      <c r="J738" s="12"/>
      <c r="K738" s="12">
        <f t="shared" si="59"/>
        <v>2750</v>
      </c>
      <c r="L738" s="13" t="str">
        <f t="shared" si="52"/>
        <v>0 5-star + 0 RFC + 0 DME + 6 Patient Portal Login + 5 Completed Task</v>
      </c>
      <c r="M738" s="12"/>
      <c r="N738" s="12"/>
      <c r="O738" s="47"/>
      <c r="P738" s="47"/>
    </row>
    <row r="739" hidden="1">
      <c r="A739" s="6" t="s">
        <v>240</v>
      </c>
      <c r="B739" s="16" t="s">
        <v>125</v>
      </c>
      <c r="C739" s="16" t="s">
        <v>126</v>
      </c>
      <c r="D739" s="16" t="s">
        <v>127</v>
      </c>
      <c r="E739" s="27">
        <v>0.0</v>
      </c>
      <c r="F739" s="28">
        <v>0.0</v>
      </c>
      <c r="G739" s="28">
        <v>0.0</v>
      </c>
      <c r="H739" s="29">
        <v>1.0</v>
      </c>
      <c r="I739" s="30">
        <v>5.0</v>
      </c>
      <c r="J739" s="12"/>
      <c r="K739" s="12">
        <f t="shared" si="59"/>
        <v>1500</v>
      </c>
      <c r="L739" s="13" t="str">
        <f t="shared" si="52"/>
        <v>0 5-star + 0 RFC + 0 DME + 1 Patient Portal Login + 5 Completed Task</v>
      </c>
      <c r="M739" s="12"/>
      <c r="N739" s="12"/>
      <c r="O739" s="47"/>
      <c r="P739" s="47"/>
    </row>
    <row r="740" hidden="1">
      <c r="A740" s="6" t="s">
        <v>240</v>
      </c>
      <c r="B740" s="16" t="s">
        <v>128</v>
      </c>
      <c r="C740" s="16" t="s">
        <v>129</v>
      </c>
      <c r="D740" s="16" t="s">
        <v>130</v>
      </c>
      <c r="E740" s="27">
        <v>0.0</v>
      </c>
      <c r="F740" s="28">
        <v>1.0</v>
      </c>
      <c r="G740" s="28">
        <v>0.0</v>
      </c>
      <c r="H740" s="29">
        <v>4.0</v>
      </c>
      <c r="I740" s="30">
        <v>5.0</v>
      </c>
      <c r="J740" s="12"/>
      <c r="K740" s="12">
        <f t="shared" si="59"/>
        <v>2500</v>
      </c>
      <c r="L740" s="13" t="str">
        <f t="shared" si="52"/>
        <v>0 5-star + 1 RFC + 0 DME + 4 Patient Portal Login + 5 Completed Task</v>
      </c>
      <c r="M740" s="12"/>
      <c r="N740" s="12"/>
      <c r="O740" s="47"/>
      <c r="P740" s="47"/>
    </row>
    <row r="741" hidden="1">
      <c r="A741" s="6" t="s">
        <v>240</v>
      </c>
      <c r="B741" s="16" t="s">
        <v>131</v>
      </c>
      <c r="C741" s="16" t="s">
        <v>132</v>
      </c>
      <c r="D741" s="16" t="s">
        <v>133</v>
      </c>
      <c r="E741" s="27">
        <v>6.0</v>
      </c>
      <c r="F741" s="28">
        <v>1.0</v>
      </c>
      <c r="G741" s="28">
        <v>1.0</v>
      </c>
      <c r="H741" s="29">
        <v>4.0</v>
      </c>
      <c r="I741" s="30">
        <v>5.0</v>
      </c>
      <c r="J741" s="12"/>
      <c r="K741" s="12">
        <f t="shared" si="59"/>
        <v>4250</v>
      </c>
      <c r="L741" s="13" t="str">
        <f t="shared" si="52"/>
        <v>6 5-star + 1 RFC + 1 DME + 4 Patient Portal Login + 5 Completed Task</v>
      </c>
      <c r="M741" s="12"/>
      <c r="N741" s="12"/>
      <c r="O741" s="47"/>
      <c r="P741" s="47"/>
    </row>
    <row r="742" hidden="1">
      <c r="A742" s="6" t="s">
        <v>240</v>
      </c>
      <c r="B742" s="16" t="s">
        <v>134</v>
      </c>
      <c r="C742" s="16" t="s">
        <v>135</v>
      </c>
      <c r="D742" s="16" t="s">
        <v>136</v>
      </c>
      <c r="E742" s="27">
        <v>0.0</v>
      </c>
      <c r="F742" s="28">
        <v>3.0</v>
      </c>
      <c r="G742" s="28">
        <v>0.0</v>
      </c>
      <c r="H742" s="29">
        <v>3.0</v>
      </c>
      <c r="I742" s="30">
        <v>5.0</v>
      </c>
      <c r="J742" s="12"/>
      <c r="K742" s="12">
        <f t="shared" si="59"/>
        <v>2750</v>
      </c>
      <c r="L742" s="13" t="str">
        <f t="shared" si="52"/>
        <v>0 5-star + 3 RFC + 0 DME + 3 Patient Portal Login + 5 Completed Task</v>
      </c>
      <c r="M742" s="12"/>
      <c r="N742" s="12"/>
      <c r="O742" s="47"/>
      <c r="P742" s="47"/>
    </row>
    <row r="743" hidden="1">
      <c r="A743" s="6" t="s">
        <v>240</v>
      </c>
      <c r="B743" s="16" t="s">
        <v>137</v>
      </c>
      <c r="C743" s="16" t="s">
        <v>138</v>
      </c>
      <c r="D743" s="16" t="s">
        <v>139</v>
      </c>
      <c r="E743" s="27">
        <v>0.0</v>
      </c>
      <c r="F743" s="28">
        <v>5.0</v>
      </c>
      <c r="G743" s="28">
        <v>0.0</v>
      </c>
      <c r="H743" s="29">
        <v>21.0</v>
      </c>
      <c r="I743" s="30">
        <v>5.0</v>
      </c>
      <c r="J743" s="12"/>
      <c r="K743" s="12">
        <f t="shared" si="59"/>
        <v>7750</v>
      </c>
      <c r="L743" s="13" t="str">
        <f t="shared" si="52"/>
        <v>0 5-star + 5 RFC + 0 DME + 21 Patient Portal Login + 5 Completed Task</v>
      </c>
      <c r="M743" s="12"/>
      <c r="N743" s="12"/>
      <c r="O743" s="47"/>
      <c r="P743" s="47"/>
    </row>
    <row r="744" hidden="1">
      <c r="A744" s="6" t="s">
        <v>240</v>
      </c>
      <c r="B744" s="16" t="s">
        <v>140</v>
      </c>
      <c r="C744" s="16" t="s">
        <v>141</v>
      </c>
      <c r="D744" s="16" t="s">
        <v>142</v>
      </c>
      <c r="E744" s="27">
        <v>21.0</v>
      </c>
      <c r="F744" s="28">
        <v>0.0</v>
      </c>
      <c r="G744" s="28">
        <v>0.0</v>
      </c>
      <c r="H744" s="29">
        <v>1.0</v>
      </c>
      <c r="I744" s="30">
        <v>5.0</v>
      </c>
      <c r="J744" s="12"/>
      <c r="K744" s="12">
        <f t="shared" si="59"/>
        <v>6750</v>
      </c>
      <c r="L744" s="13" t="str">
        <f t="shared" si="52"/>
        <v>21 5-star + 0 RFC + 0 DME + 1 Patient Portal Login + 5 Completed Task</v>
      </c>
      <c r="M744" s="12"/>
      <c r="N744" s="12"/>
      <c r="O744" s="47"/>
      <c r="P744" s="47"/>
    </row>
    <row r="745" hidden="1">
      <c r="A745" s="6" t="s">
        <v>240</v>
      </c>
      <c r="B745" s="16" t="s">
        <v>143</v>
      </c>
      <c r="C745" s="16" t="s">
        <v>144</v>
      </c>
      <c r="D745" s="16" t="s">
        <v>145</v>
      </c>
      <c r="E745" s="27">
        <v>0.0</v>
      </c>
      <c r="F745" s="28">
        <v>0.0</v>
      </c>
      <c r="G745" s="28">
        <v>0.0</v>
      </c>
      <c r="H745" s="29">
        <v>0.0</v>
      </c>
      <c r="I745" s="30">
        <v>5.0</v>
      </c>
      <c r="J745" s="12"/>
      <c r="K745" s="12">
        <f t="shared" si="59"/>
        <v>1250</v>
      </c>
      <c r="L745" s="13" t="str">
        <f t="shared" si="52"/>
        <v>0 5-star + 0 RFC + 0 DME + 0 Patient Portal Login + 5 Completed Task</v>
      </c>
      <c r="M745" s="12"/>
      <c r="N745" s="12"/>
      <c r="O745" s="47"/>
      <c r="P745" s="47"/>
    </row>
    <row r="746" hidden="1">
      <c r="A746" s="6" t="s">
        <v>240</v>
      </c>
      <c r="B746" s="16" t="s">
        <v>146</v>
      </c>
      <c r="C746" s="16" t="s">
        <v>147</v>
      </c>
      <c r="D746" s="16" t="s">
        <v>148</v>
      </c>
      <c r="E746" s="27">
        <v>0.0</v>
      </c>
      <c r="F746" s="28">
        <v>0.0</v>
      </c>
      <c r="G746" s="28">
        <v>0.0</v>
      </c>
      <c r="H746" s="29">
        <v>0.0</v>
      </c>
      <c r="I746" s="30">
        <v>5.0</v>
      </c>
      <c r="J746" s="12"/>
      <c r="K746" s="12">
        <f t="shared" si="59"/>
        <v>1250</v>
      </c>
      <c r="L746" s="13" t="str">
        <f t="shared" si="52"/>
        <v>0 5-star + 0 RFC + 0 DME + 0 Patient Portal Login + 5 Completed Task</v>
      </c>
      <c r="M746" s="12"/>
      <c r="N746" s="12"/>
      <c r="O746" s="47"/>
      <c r="P746" s="47"/>
    </row>
    <row r="747" hidden="1">
      <c r="A747" s="6" t="s">
        <v>240</v>
      </c>
      <c r="B747" s="16" t="s">
        <v>149</v>
      </c>
      <c r="C747" s="16" t="s">
        <v>150</v>
      </c>
      <c r="D747" s="16" t="s">
        <v>151</v>
      </c>
      <c r="E747" s="27">
        <v>0.0</v>
      </c>
      <c r="F747" s="28">
        <v>0.0</v>
      </c>
      <c r="G747" s="28">
        <v>0.0</v>
      </c>
      <c r="H747" s="29">
        <v>0.0</v>
      </c>
      <c r="I747" s="30">
        <v>5.0</v>
      </c>
      <c r="J747" s="12"/>
      <c r="K747" s="12">
        <f t="shared" si="59"/>
        <v>1250</v>
      </c>
      <c r="L747" s="13" t="str">
        <f t="shared" si="52"/>
        <v>0 5-star + 0 RFC + 0 DME + 0 Patient Portal Login + 5 Completed Task</v>
      </c>
      <c r="M747" s="12"/>
      <c r="N747" s="12"/>
      <c r="O747" s="47"/>
      <c r="P747" s="47"/>
    </row>
    <row r="748" hidden="1">
      <c r="A748" s="6" t="s">
        <v>240</v>
      </c>
      <c r="B748" s="16" t="s">
        <v>152</v>
      </c>
      <c r="C748" s="16" t="s">
        <v>153</v>
      </c>
      <c r="D748" s="16" t="s">
        <v>154</v>
      </c>
      <c r="E748" s="27">
        <v>0.0</v>
      </c>
      <c r="F748" s="28">
        <v>5.0</v>
      </c>
      <c r="G748" s="28">
        <v>0.0</v>
      </c>
      <c r="H748" s="29">
        <v>0.0</v>
      </c>
      <c r="I748" s="30">
        <v>5.0</v>
      </c>
      <c r="J748" s="12"/>
      <c r="K748" s="12">
        <f t="shared" si="59"/>
        <v>2500</v>
      </c>
      <c r="L748" s="13" t="str">
        <f t="shared" si="52"/>
        <v>0 5-star + 5 RFC + 0 DME + 0 Patient Portal Login + 5 Completed Task</v>
      </c>
      <c r="M748" s="12"/>
      <c r="N748" s="12"/>
      <c r="O748" s="47"/>
      <c r="P748" s="47"/>
    </row>
    <row r="749" hidden="1">
      <c r="A749" s="6" t="s">
        <v>240</v>
      </c>
      <c r="B749" s="16" t="s">
        <v>155</v>
      </c>
      <c r="C749" s="16" t="s">
        <v>156</v>
      </c>
      <c r="D749" s="16" t="s">
        <v>157</v>
      </c>
      <c r="E749" s="27">
        <v>0.0</v>
      </c>
      <c r="F749" s="28">
        <v>2.0</v>
      </c>
      <c r="G749" s="28">
        <v>1.0</v>
      </c>
      <c r="H749" s="29">
        <v>1.0</v>
      </c>
      <c r="I749" s="30">
        <v>3.0</v>
      </c>
      <c r="J749" s="12"/>
      <c r="K749" s="12">
        <f t="shared" si="59"/>
        <v>1750</v>
      </c>
      <c r="L749" s="13" t="str">
        <f t="shared" si="52"/>
        <v>0 5-star + 2 RFC + 1 DME + 1 Patient Portal Login + 3 Completed Task</v>
      </c>
      <c r="M749" s="12"/>
      <c r="N749" s="12"/>
      <c r="O749" s="47"/>
      <c r="P749" s="47"/>
    </row>
    <row r="750" hidden="1">
      <c r="A750" s="6" t="s">
        <v>240</v>
      </c>
      <c r="B750" s="16" t="s">
        <v>158</v>
      </c>
      <c r="C750" s="16" t="s">
        <v>159</v>
      </c>
      <c r="D750" s="16" t="s">
        <v>160</v>
      </c>
      <c r="E750" s="27">
        <v>0.0</v>
      </c>
      <c r="F750" s="28">
        <v>1.0</v>
      </c>
      <c r="G750" s="28">
        <v>0.0</v>
      </c>
      <c r="H750" s="29">
        <v>0.0</v>
      </c>
      <c r="I750" s="30">
        <v>5.0</v>
      </c>
      <c r="J750" s="12"/>
      <c r="K750" s="12">
        <f t="shared" si="59"/>
        <v>1500</v>
      </c>
      <c r="L750" s="13" t="str">
        <f t="shared" si="52"/>
        <v>0 5-star + 1 RFC + 0 DME + 0 Patient Portal Login + 5 Completed Task</v>
      </c>
      <c r="M750" s="12"/>
      <c r="N750" s="12"/>
      <c r="O750" s="47"/>
      <c r="P750" s="47"/>
    </row>
    <row r="751" hidden="1">
      <c r="A751" s="6" t="s">
        <v>240</v>
      </c>
      <c r="B751" s="20" t="s">
        <v>161</v>
      </c>
      <c r="C751" s="20" t="s">
        <v>162</v>
      </c>
      <c r="D751" s="20" t="s">
        <v>163</v>
      </c>
      <c r="E751" s="27">
        <v>0.0</v>
      </c>
      <c r="F751" s="28">
        <v>0.0</v>
      </c>
      <c r="G751" s="28">
        <v>1.0</v>
      </c>
      <c r="H751" s="29">
        <v>1.0</v>
      </c>
      <c r="I751" s="30">
        <v>5.0</v>
      </c>
      <c r="J751" s="12"/>
      <c r="K751" s="12">
        <f t="shared" si="59"/>
        <v>1750</v>
      </c>
      <c r="L751" s="13" t="str">
        <f> E751 &amp; " 5-star + " &amp; E738 &amp; " RFC + " &amp; G751 &amp; " DME + " &amp; H751 &amp; " Patient Portal Login + " &amp; I751 &amp; " Completed Task"
</f>
        <v>0 5-star + 0 RFC + 1 DME + 1 Patient Portal Login + 5 Completed Task</v>
      </c>
      <c r="M751" s="12"/>
      <c r="N751" s="12"/>
      <c r="O751" s="47"/>
      <c r="P751" s="47"/>
    </row>
    <row r="752" hidden="1">
      <c r="A752" s="6" t="s">
        <v>240</v>
      </c>
      <c r="B752" s="20" t="s">
        <v>164</v>
      </c>
      <c r="C752" s="20" t="s">
        <v>165</v>
      </c>
      <c r="D752" s="20" t="s">
        <v>166</v>
      </c>
      <c r="E752" s="27">
        <v>0.0</v>
      </c>
      <c r="F752" s="28">
        <v>4.0</v>
      </c>
      <c r="G752" s="28">
        <v>0.0</v>
      </c>
      <c r="H752" s="29">
        <v>0.0</v>
      </c>
      <c r="I752" s="30">
        <v>3.0</v>
      </c>
      <c r="J752" s="12"/>
      <c r="K752" s="12">
        <f t="shared" si="59"/>
        <v>1750</v>
      </c>
      <c r="L752" s="13" t="str">
        <f t="shared" ref="L752:L816" si="60"> E752 &amp; " 5-star + " &amp; F752 &amp; " RFC + " &amp; G752 &amp; " DME + " &amp; H752 &amp; " Patient Portal Login + " &amp; I752 &amp; " Completed Task"
</f>
        <v>0 5-star + 4 RFC + 0 DME + 0 Patient Portal Login + 3 Completed Task</v>
      </c>
      <c r="M752" s="12"/>
      <c r="N752" s="12"/>
      <c r="O752" s="47"/>
      <c r="P752" s="47"/>
    </row>
    <row r="753" hidden="1">
      <c r="A753" s="6" t="s">
        <v>240</v>
      </c>
      <c r="B753" s="20" t="s">
        <v>167</v>
      </c>
      <c r="C753" s="20" t="s">
        <v>168</v>
      </c>
      <c r="D753" s="20" t="s">
        <v>169</v>
      </c>
      <c r="E753" s="27">
        <v>0.0</v>
      </c>
      <c r="F753" s="28">
        <v>2.0</v>
      </c>
      <c r="G753" s="28">
        <v>0.0</v>
      </c>
      <c r="H753" s="29">
        <v>2.0</v>
      </c>
      <c r="I753" s="30">
        <v>5.0</v>
      </c>
      <c r="J753" s="12"/>
      <c r="K753" s="12">
        <f t="shared" si="59"/>
        <v>2250</v>
      </c>
      <c r="L753" s="13" t="str">
        <f t="shared" si="60"/>
        <v>0 5-star + 2 RFC + 0 DME + 2 Patient Portal Login + 5 Completed Task</v>
      </c>
      <c r="M753" s="12"/>
      <c r="N753" s="12"/>
      <c r="O753" s="47"/>
      <c r="P753" s="47"/>
    </row>
    <row r="754" hidden="1">
      <c r="A754" s="6" t="s">
        <v>240</v>
      </c>
      <c r="B754" s="20" t="s">
        <v>170</v>
      </c>
      <c r="C754" s="20" t="s">
        <v>171</v>
      </c>
      <c r="D754" s="20" t="s">
        <v>172</v>
      </c>
      <c r="E754" s="27">
        <v>0.0</v>
      </c>
      <c r="F754" s="28">
        <v>4.0</v>
      </c>
      <c r="G754" s="28">
        <v>0.0</v>
      </c>
      <c r="H754" s="29">
        <v>11.0</v>
      </c>
      <c r="I754" s="30">
        <v>5.0</v>
      </c>
      <c r="J754" s="12"/>
      <c r="K754" s="12">
        <f t="shared" si="59"/>
        <v>5000</v>
      </c>
      <c r="L754" s="13" t="str">
        <f t="shared" si="60"/>
        <v>0 5-star + 4 RFC + 0 DME + 11 Patient Portal Login + 5 Completed Task</v>
      </c>
      <c r="M754" s="12"/>
      <c r="N754" s="12"/>
      <c r="O754" s="47"/>
      <c r="P754" s="47"/>
    </row>
    <row r="755" hidden="1">
      <c r="A755" s="6" t="s">
        <v>240</v>
      </c>
      <c r="B755" s="16" t="s">
        <v>173</v>
      </c>
      <c r="C755" s="16" t="s">
        <v>174</v>
      </c>
      <c r="D755" s="16" t="s">
        <v>175</v>
      </c>
      <c r="E755" s="27">
        <v>4.0</v>
      </c>
      <c r="F755" s="28">
        <v>2.0</v>
      </c>
      <c r="G755" s="28">
        <v>0.0</v>
      </c>
      <c r="H755" s="29">
        <v>5.0</v>
      </c>
      <c r="I755" s="30">
        <v>5.0</v>
      </c>
      <c r="J755" s="12"/>
      <c r="K755" s="12">
        <f t="shared" si="59"/>
        <v>4000</v>
      </c>
      <c r="L755" s="13" t="str">
        <f t="shared" si="60"/>
        <v>4 5-star + 2 RFC + 0 DME + 5 Patient Portal Login + 5 Completed Task</v>
      </c>
      <c r="M755" s="12"/>
      <c r="N755" s="12"/>
      <c r="O755" s="47"/>
      <c r="P755" s="47"/>
    </row>
    <row r="756" hidden="1">
      <c r="A756" s="6" t="s">
        <v>240</v>
      </c>
      <c r="B756" s="16" t="s">
        <v>176</v>
      </c>
      <c r="C756" s="16" t="s">
        <v>177</v>
      </c>
      <c r="D756" s="16" t="s">
        <v>178</v>
      </c>
      <c r="E756" s="27">
        <v>0.0</v>
      </c>
      <c r="F756" s="28">
        <v>0.0</v>
      </c>
      <c r="G756" s="28">
        <v>0.0</v>
      </c>
      <c r="H756" s="29">
        <v>0.0</v>
      </c>
      <c r="I756" s="30">
        <v>4.0</v>
      </c>
      <c r="J756" s="12"/>
      <c r="K756" s="12">
        <f t="shared" si="59"/>
        <v>1000</v>
      </c>
      <c r="L756" s="13" t="str">
        <f t="shared" si="60"/>
        <v>0 5-star + 0 RFC + 0 DME + 0 Patient Portal Login + 4 Completed Task</v>
      </c>
      <c r="M756" s="12"/>
      <c r="N756" s="12"/>
      <c r="O756" s="47"/>
      <c r="P756" s="47"/>
    </row>
    <row r="757" hidden="1">
      <c r="A757" s="6" t="s">
        <v>240</v>
      </c>
      <c r="B757" s="21" t="s">
        <v>179</v>
      </c>
      <c r="C757" s="21" t="s">
        <v>180</v>
      </c>
      <c r="D757" s="21" t="s">
        <v>181</v>
      </c>
      <c r="E757" s="27">
        <v>0.0</v>
      </c>
      <c r="F757" s="28">
        <v>1.0</v>
      </c>
      <c r="G757" s="28">
        <v>2.0</v>
      </c>
      <c r="H757" s="29">
        <v>6.0</v>
      </c>
      <c r="I757" s="30">
        <v>5.0</v>
      </c>
      <c r="J757" s="12"/>
      <c r="K757" s="12">
        <f t="shared" si="59"/>
        <v>3500</v>
      </c>
      <c r="L757" s="13" t="str">
        <f t="shared" si="60"/>
        <v>0 5-star + 1 RFC + 2 DME + 6 Patient Portal Login + 5 Completed Task</v>
      </c>
      <c r="M757" s="12"/>
      <c r="N757" s="12"/>
      <c r="O757" s="53"/>
      <c r="P757" s="53"/>
    </row>
    <row r="758" hidden="1">
      <c r="A758" s="6" t="s">
        <v>240</v>
      </c>
      <c r="B758" s="21" t="s">
        <v>182</v>
      </c>
      <c r="C758" s="21" t="s">
        <v>183</v>
      </c>
      <c r="D758" s="21" t="s">
        <v>184</v>
      </c>
      <c r="E758" s="27">
        <v>1.0</v>
      </c>
      <c r="F758" s="28">
        <v>0.0</v>
      </c>
      <c r="G758" s="28">
        <v>0.0</v>
      </c>
      <c r="H758" s="29">
        <v>1.0</v>
      </c>
      <c r="I758" s="30">
        <v>5.0</v>
      </c>
      <c r="J758" s="12"/>
      <c r="K758" s="12">
        <f t="shared" si="59"/>
        <v>1750</v>
      </c>
      <c r="L758" s="13" t="str">
        <f t="shared" si="60"/>
        <v>1 5-star + 0 RFC + 0 DME + 1 Patient Portal Login + 5 Completed Task</v>
      </c>
      <c r="M758" s="12"/>
      <c r="N758" s="12"/>
      <c r="O758" s="53"/>
      <c r="P758" s="53"/>
    </row>
    <row r="759" hidden="1">
      <c r="A759" s="6" t="s">
        <v>240</v>
      </c>
      <c r="B759" s="21" t="s">
        <v>185</v>
      </c>
      <c r="C759" s="21" t="s">
        <v>186</v>
      </c>
      <c r="D759" s="21" t="s">
        <v>187</v>
      </c>
      <c r="E759" s="27">
        <v>13.0</v>
      </c>
      <c r="F759" s="28">
        <v>3.0</v>
      </c>
      <c r="G759" s="28">
        <v>1.0</v>
      </c>
      <c r="H759" s="29">
        <v>10.0</v>
      </c>
      <c r="I759" s="30">
        <v>5.0</v>
      </c>
      <c r="J759" s="12"/>
      <c r="K759" s="12">
        <f t="shared" si="59"/>
        <v>8000</v>
      </c>
      <c r="L759" s="13" t="str">
        <f t="shared" si="60"/>
        <v>13 5-star + 3 RFC + 1 DME + 10 Patient Portal Login + 5 Completed Task</v>
      </c>
      <c r="M759" s="12"/>
      <c r="N759" s="12"/>
      <c r="O759" s="53"/>
      <c r="P759" s="53"/>
    </row>
    <row r="760" hidden="1">
      <c r="A760" s="6" t="s">
        <v>240</v>
      </c>
      <c r="B760" s="21" t="s">
        <v>188</v>
      </c>
      <c r="C760" s="21" t="s">
        <v>189</v>
      </c>
      <c r="D760" s="21" t="s">
        <v>190</v>
      </c>
      <c r="E760" s="27">
        <v>2.0</v>
      </c>
      <c r="F760" s="28">
        <v>5.0</v>
      </c>
      <c r="G760" s="28">
        <v>0.0</v>
      </c>
      <c r="H760" s="29">
        <v>7.0</v>
      </c>
      <c r="I760" s="30">
        <v>5.0</v>
      </c>
      <c r="J760" s="12"/>
      <c r="K760" s="12">
        <f t="shared" si="59"/>
        <v>4750</v>
      </c>
      <c r="L760" s="13" t="str">
        <f t="shared" si="60"/>
        <v>2 5-star + 5 RFC + 0 DME + 7 Patient Portal Login + 5 Completed Task</v>
      </c>
      <c r="M760" s="12"/>
      <c r="N760" s="12"/>
      <c r="O760" s="53"/>
      <c r="P760" s="53"/>
    </row>
    <row r="761" hidden="1">
      <c r="A761" s="6" t="s">
        <v>240</v>
      </c>
      <c r="B761" s="21" t="s">
        <v>191</v>
      </c>
      <c r="C761" s="21" t="s">
        <v>192</v>
      </c>
      <c r="D761" s="21" t="s">
        <v>193</v>
      </c>
      <c r="E761" s="27">
        <v>0.0</v>
      </c>
      <c r="F761" s="28">
        <v>2.0</v>
      </c>
      <c r="G761" s="28">
        <v>0.0</v>
      </c>
      <c r="H761" s="29">
        <v>0.0</v>
      </c>
      <c r="I761" s="30">
        <v>5.0</v>
      </c>
      <c r="J761" s="12"/>
      <c r="K761" s="12">
        <f t="shared" si="59"/>
        <v>1750</v>
      </c>
      <c r="L761" s="13" t="str">
        <f t="shared" si="60"/>
        <v>0 5-star + 2 RFC + 0 DME + 0 Patient Portal Login + 5 Completed Task</v>
      </c>
      <c r="M761" s="12"/>
      <c r="N761" s="12"/>
      <c r="O761" s="53"/>
      <c r="P761" s="53"/>
    </row>
    <row r="762" hidden="1">
      <c r="A762" s="6" t="s">
        <v>240</v>
      </c>
      <c r="B762" s="21" t="s">
        <v>194</v>
      </c>
      <c r="C762" s="21" t="s">
        <v>195</v>
      </c>
      <c r="D762" s="21" t="s">
        <v>196</v>
      </c>
      <c r="E762" s="48"/>
      <c r="F762" s="49"/>
      <c r="G762" s="49"/>
      <c r="H762" s="50"/>
      <c r="I762" s="51"/>
      <c r="J762" s="12"/>
      <c r="K762" s="12">
        <f t="shared" ref="K762:K763" si="61">sum(E762*250)+(F762*500)+(G762*250)+(H762*250)+(I762*250)</f>
        <v>0</v>
      </c>
      <c r="L762" s="13" t="str">
        <f t="shared" si="60"/>
        <v> 5-star +  RFC +  DME +  Patient Portal Login +  Completed Task</v>
      </c>
      <c r="M762" s="13"/>
      <c r="N762" s="13"/>
      <c r="O762" s="23"/>
      <c r="P762" s="23"/>
    </row>
    <row r="763" hidden="1">
      <c r="A763" s="6" t="s">
        <v>240</v>
      </c>
      <c r="B763" s="21" t="s">
        <v>197</v>
      </c>
      <c r="C763" s="21" t="s">
        <v>198</v>
      </c>
      <c r="D763" s="21" t="s">
        <v>199</v>
      </c>
      <c r="E763" s="17">
        <v>0.0</v>
      </c>
      <c r="F763" s="49">
        <v>0.0</v>
      </c>
      <c r="G763" s="49">
        <v>0.0</v>
      </c>
      <c r="H763" s="50">
        <v>0.0</v>
      </c>
      <c r="I763" s="51">
        <v>0.0</v>
      </c>
      <c r="J763" s="12"/>
      <c r="K763" s="12">
        <f t="shared" si="61"/>
        <v>0</v>
      </c>
      <c r="L763" s="13" t="str">
        <f t="shared" si="60"/>
        <v>0 5-star + 0 RFC + 0 DME + 0 Patient Portal Login + 0 Completed Task</v>
      </c>
      <c r="M763" s="13"/>
      <c r="N763" s="13"/>
      <c r="O763" s="23"/>
      <c r="P763" s="23"/>
    </row>
    <row r="764" hidden="1">
      <c r="A764" s="6" t="s">
        <v>240</v>
      </c>
      <c r="B764" s="21" t="s">
        <v>200</v>
      </c>
      <c r="C764" s="21" t="s">
        <v>201</v>
      </c>
      <c r="D764" s="21" t="s">
        <v>202</v>
      </c>
      <c r="E764" s="27">
        <v>4.0</v>
      </c>
      <c r="F764" s="28">
        <v>0.0</v>
      </c>
      <c r="G764" s="28">
        <v>0.0</v>
      </c>
      <c r="H764" s="29">
        <v>3.0</v>
      </c>
      <c r="I764" s="30">
        <v>5.0</v>
      </c>
      <c r="J764" s="12"/>
      <c r="K764" s="12">
        <f>sum(E764*250)+(F764*250)+(G764*250)+(H764*250)+(I764*250)</f>
        <v>3000</v>
      </c>
      <c r="L764" s="13" t="str">
        <f t="shared" si="60"/>
        <v>4 5-star + 0 RFC + 0 DME + 3 Patient Portal Login + 5 Completed Task</v>
      </c>
      <c r="M764" s="12"/>
      <c r="N764" s="12"/>
      <c r="O764" s="53"/>
      <c r="P764" s="53"/>
    </row>
    <row r="765" hidden="1">
      <c r="A765" s="54" t="s">
        <v>241</v>
      </c>
      <c r="B765" s="7" t="s">
        <v>207</v>
      </c>
      <c r="C765" s="7" t="s">
        <v>208</v>
      </c>
      <c r="D765" s="7" t="s">
        <v>209</v>
      </c>
      <c r="E765" s="17">
        <v>2.0</v>
      </c>
      <c r="F765" s="18">
        <v>0.0</v>
      </c>
      <c r="G765" s="18">
        <v>0.0</v>
      </c>
      <c r="H765" s="10">
        <v>4.0</v>
      </c>
      <c r="I765" s="19">
        <v>1.0</v>
      </c>
      <c r="J765" s="12"/>
      <c r="K765" s="12">
        <f t="shared" ref="K765:K1034" si="62">sum(E765*250)+(F765*500)+(G765*250)+(H765*250)+(I765*250)</f>
        <v>1750</v>
      </c>
      <c r="L765" s="13" t="str">
        <f t="shared" si="60"/>
        <v>2 5-star + 0 RFC + 0 DME + 4 Patient Portal Login + 1 Completed Task</v>
      </c>
      <c r="M765" s="13"/>
      <c r="N765" s="13"/>
      <c r="O765" s="14"/>
      <c r="P765" s="14"/>
    </row>
    <row r="766" hidden="1">
      <c r="A766" s="54" t="s">
        <v>241</v>
      </c>
      <c r="B766" s="7" t="s">
        <v>210</v>
      </c>
      <c r="C766" s="7" t="s">
        <v>211</v>
      </c>
      <c r="D766" s="7" t="s">
        <v>212</v>
      </c>
      <c r="E766" s="17">
        <v>0.0</v>
      </c>
      <c r="F766" s="18">
        <v>0.0</v>
      </c>
      <c r="G766" s="18">
        <v>0.0</v>
      </c>
      <c r="H766" s="10">
        <v>0.0</v>
      </c>
      <c r="I766" s="11">
        <v>0.0</v>
      </c>
      <c r="J766" s="12"/>
      <c r="K766" s="12">
        <f t="shared" si="62"/>
        <v>0</v>
      </c>
      <c r="L766" s="13" t="str">
        <f t="shared" si="60"/>
        <v>0 5-star + 0 RFC + 0 DME + 0 Patient Portal Login + 0 Completed Task</v>
      </c>
      <c r="M766" s="13"/>
      <c r="N766" s="13"/>
      <c r="O766" s="14"/>
      <c r="P766" s="14"/>
    </row>
    <row r="767" hidden="1">
      <c r="A767" s="54" t="s">
        <v>241</v>
      </c>
      <c r="B767" s="7" t="s">
        <v>213</v>
      </c>
      <c r="C767" s="7" t="s">
        <v>214</v>
      </c>
      <c r="D767" s="7" t="s">
        <v>215</v>
      </c>
      <c r="E767" s="17">
        <v>0.0</v>
      </c>
      <c r="F767" s="18">
        <v>0.0</v>
      </c>
      <c r="G767" s="18">
        <v>0.0</v>
      </c>
      <c r="H767" s="10">
        <v>0.0</v>
      </c>
      <c r="I767" s="11">
        <v>0.0</v>
      </c>
      <c r="J767" s="12"/>
      <c r="K767" s="12">
        <f t="shared" si="62"/>
        <v>0</v>
      </c>
      <c r="L767" s="13" t="str">
        <f t="shared" si="60"/>
        <v>0 5-star + 0 RFC + 0 DME + 0 Patient Portal Login + 0 Completed Task</v>
      </c>
      <c r="M767" s="13"/>
      <c r="N767" s="13"/>
      <c r="O767" s="14"/>
      <c r="P767" s="14"/>
    </row>
    <row r="768" hidden="1">
      <c r="A768" s="54" t="s">
        <v>241</v>
      </c>
      <c r="B768" s="7" t="s">
        <v>216</v>
      </c>
      <c r="C768" s="7" t="s">
        <v>217</v>
      </c>
      <c r="D768" s="7" t="s">
        <v>218</v>
      </c>
      <c r="E768" s="17">
        <v>0.0</v>
      </c>
      <c r="F768" s="18">
        <v>0.0</v>
      </c>
      <c r="G768" s="18">
        <v>0.0</v>
      </c>
      <c r="H768" s="10">
        <v>0.0</v>
      </c>
      <c r="I768" s="19">
        <v>2.0</v>
      </c>
      <c r="J768" s="12"/>
      <c r="K768" s="12">
        <f t="shared" si="62"/>
        <v>500</v>
      </c>
      <c r="L768" s="13" t="str">
        <f t="shared" si="60"/>
        <v>0 5-star + 0 RFC + 0 DME + 0 Patient Portal Login + 2 Completed Task</v>
      </c>
      <c r="M768" s="13"/>
      <c r="N768" s="13"/>
      <c r="O768" s="14"/>
      <c r="P768" s="14"/>
    </row>
    <row r="769" hidden="1">
      <c r="A769" s="6" t="s">
        <v>241</v>
      </c>
      <c r="B769" s="16" t="s">
        <v>32</v>
      </c>
      <c r="C769" s="16" t="s">
        <v>227</v>
      </c>
      <c r="D769" s="16" t="s">
        <v>34</v>
      </c>
      <c r="E769" s="17">
        <v>0.0</v>
      </c>
      <c r="F769" s="18">
        <v>3.0</v>
      </c>
      <c r="G769" s="18">
        <v>0.0</v>
      </c>
      <c r="H769" s="10">
        <v>0.0</v>
      </c>
      <c r="I769" s="11">
        <v>0.0</v>
      </c>
      <c r="J769" s="12"/>
      <c r="K769" s="12">
        <f t="shared" si="62"/>
        <v>1500</v>
      </c>
      <c r="L769" s="13" t="str">
        <f t="shared" si="60"/>
        <v>0 5-star + 3 RFC + 0 DME + 0 Patient Portal Login + 0 Completed Task</v>
      </c>
      <c r="M769" s="13"/>
      <c r="N769" s="13"/>
      <c r="O769" s="14"/>
      <c r="P769" s="14"/>
    </row>
    <row r="770" hidden="1">
      <c r="A770" s="6" t="s">
        <v>241</v>
      </c>
      <c r="B770" s="16" t="s">
        <v>29</v>
      </c>
      <c r="C770" s="16" t="s">
        <v>228</v>
      </c>
      <c r="D770" s="16" t="s">
        <v>31</v>
      </c>
      <c r="E770" s="17">
        <v>0.0</v>
      </c>
      <c r="F770" s="18">
        <v>0.0</v>
      </c>
      <c r="G770" s="18">
        <v>0.0</v>
      </c>
      <c r="H770" s="10">
        <v>0.0</v>
      </c>
      <c r="I770" s="11">
        <v>0.0</v>
      </c>
      <c r="J770" s="12"/>
      <c r="K770" s="12">
        <f t="shared" si="62"/>
        <v>0</v>
      </c>
      <c r="L770" s="13" t="str">
        <f t="shared" si="60"/>
        <v>0 5-star + 0 RFC + 0 DME + 0 Patient Portal Login + 0 Completed Task</v>
      </c>
      <c r="M770" s="13"/>
      <c r="N770" s="13"/>
      <c r="O770" s="14"/>
      <c r="P770" s="14"/>
    </row>
    <row r="771" hidden="1">
      <c r="A771" s="6" t="s">
        <v>241</v>
      </c>
      <c r="B771" s="16" t="s">
        <v>26</v>
      </c>
      <c r="C771" s="16" t="s">
        <v>229</v>
      </c>
      <c r="D771" s="16" t="s">
        <v>28</v>
      </c>
      <c r="E771" s="17">
        <v>0.0</v>
      </c>
      <c r="F771" s="18">
        <v>1.0</v>
      </c>
      <c r="G771" s="18">
        <v>0.0</v>
      </c>
      <c r="H771" s="10">
        <v>0.0</v>
      </c>
      <c r="I771" s="11">
        <v>0.0</v>
      </c>
      <c r="J771" s="12"/>
      <c r="K771" s="12">
        <f t="shared" si="62"/>
        <v>500</v>
      </c>
      <c r="L771" s="13" t="str">
        <f t="shared" si="60"/>
        <v>0 5-star + 1 RFC + 0 DME + 0 Patient Portal Login + 0 Completed Task</v>
      </c>
      <c r="M771" s="13"/>
      <c r="N771" s="13"/>
      <c r="O771" s="14"/>
      <c r="P771" s="14"/>
    </row>
    <row r="772" hidden="1">
      <c r="A772" s="6" t="s">
        <v>241</v>
      </c>
      <c r="B772" s="16" t="s">
        <v>23</v>
      </c>
      <c r="C772" s="16" t="s">
        <v>230</v>
      </c>
      <c r="D772" s="16" t="s">
        <v>25</v>
      </c>
      <c r="E772" s="17">
        <v>0.0</v>
      </c>
      <c r="F772" s="18">
        <v>0.0</v>
      </c>
      <c r="G772" s="18">
        <v>0.0</v>
      </c>
      <c r="H772" s="10">
        <v>0.0</v>
      </c>
      <c r="I772" s="11">
        <v>0.0</v>
      </c>
      <c r="J772" s="12"/>
      <c r="K772" s="12">
        <f t="shared" si="62"/>
        <v>0</v>
      </c>
      <c r="L772" s="13" t="str">
        <f t="shared" si="60"/>
        <v>0 5-star + 0 RFC + 0 DME + 0 Patient Portal Login + 0 Completed Task</v>
      </c>
      <c r="M772" s="13"/>
      <c r="N772" s="13"/>
      <c r="O772" s="14"/>
      <c r="P772" s="14"/>
    </row>
    <row r="773" hidden="1">
      <c r="A773" s="6" t="s">
        <v>241</v>
      </c>
      <c r="B773" s="16" t="s">
        <v>20</v>
      </c>
      <c r="C773" s="16" t="s">
        <v>231</v>
      </c>
      <c r="D773" s="16" t="s">
        <v>22</v>
      </c>
      <c r="E773" s="17">
        <v>1.0</v>
      </c>
      <c r="F773" s="18">
        <v>0.0</v>
      </c>
      <c r="G773" s="18">
        <v>0.0</v>
      </c>
      <c r="H773" s="10">
        <v>0.0</v>
      </c>
      <c r="I773" s="11">
        <v>0.0</v>
      </c>
      <c r="J773" s="12"/>
      <c r="K773" s="12">
        <f t="shared" si="62"/>
        <v>250</v>
      </c>
      <c r="L773" s="13" t="str">
        <f t="shared" si="60"/>
        <v>1 5-star + 0 RFC + 0 DME + 0 Patient Portal Login + 0 Completed Task</v>
      </c>
      <c r="M773" s="13"/>
      <c r="N773" s="13"/>
      <c r="O773" s="14"/>
      <c r="P773" s="14"/>
    </row>
    <row r="774" hidden="1">
      <c r="A774" s="6" t="s">
        <v>241</v>
      </c>
      <c r="B774" s="16" t="s">
        <v>17</v>
      </c>
      <c r="C774" s="16" t="s">
        <v>232</v>
      </c>
      <c r="D774" s="16" t="s">
        <v>19</v>
      </c>
      <c r="E774" s="17">
        <v>0.0</v>
      </c>
      <c r="F774" s="18">
        <v>1.0</v>
      </c>
      <c r="G774" s="18">
        <v>0.0</v>
      </c>
      <c r="H774" s="10">
        <v>0.0</v>
      </c>
      <c r="I774" s="11">
        <v>0.0</v>
      </c>
      <c r="J774" s="12"/>
      <c r="K774" s="12">
        <f t="shared" si="62"/>
        <v>500</v>
      </c>
      <c r="L774" s="13" t="str">
        <f t="shared" si="60"/>
        <v>0 5-star + 1 RFC + 0 DME + 0 Patient Portal Login + 0 Completed Task</v>
      </c>
      <c r="M774" s="13"/>
      <c r="N774" s="13"/>
      <c r="O774" s="14"/>
      <c r="P774" s="14"/>
    </row>
    <row r="775" hidden="1">
      <c r="A775" s="6" t="s">
        <v>241</v>
      </c>
      <c r="B775" s="16" t="s">
        <v>14</v>
      </c>
      <c r="C775" s="16" t="s">
        <v>233</v>
      </c>
      <c r="D775" s="16" t="s">
        <v>16</v>
      </c>
      <c r="E775" s="17">
        <v>0.0</v>
      </c>
      <c r="F775" s="18">
        <v>0.0</v>
      </c>
      <c r="G775" s="18">
        <v>0.0</v>
      </c>
      <c r="H775" s="10">
        <v>4.0</v>
      </c>
      <c r="I775" s="11">
        <v>0.0</v>
      </c>
      <c r="J775" s="55"/>
      <c r="K775" s="55">
        <f t="shared" si="62"/>
        <v>1000</v>
      </c>
      <c r="L775" s="13" t="str">
        <f t="shared" si="60"/>
        <v>0 5-star + 0 RFC + 0 DME + 4 Patient Portal Login + 0 Completed Task</v>
      </c>
      <c r="M775" s="13"/>
      <c r="N775" s="13"/>
      <c r="O775" s="14"/>
      <c r="P775" s="14"/>
    </row>
    <row r="776" hidden="1">
      <c r="A776" s="6" t="s">
        <v>241</v>
      </c>
      <c r="B776" s="16" t="s">
        <v>234</v>
      </c>
      <c r="C776" s="16" t="s">
        <v>235</v>
      </c>
      <c r="D776" s="16" t="s">
        <v>236</v>
      </c>
      <c r="E776" s="17">
        <v>0.0</v>
      </c>
      <c r="F776" s="18">
        <v>0.0</v>
      </c>
      <c r="G776" s="18">
        <v>0.0</v>
      </c>
      <c r="H776" s="10">
        <v>0.0</v>
      </c>
      <c r="I776" s="11">
        <v>0.0</v>
      </c>
      <c r="J776" s="12"/>
      <c r="K776" s="12">
        <f t="shared" si="62"/>
        <v>0</v>
      </c>
      <c r="L776" s="13" t="str">
        <f t="shared" si="60"/>
        <v>0 5-star + 0 RFC + 0 DME + 0 Patient Portal Login + 0 Completed Task</v>
      </c>
      <c r="M776" s="13"/>
      <c r="N776" s="13"/>
      <c r="O776" s="14"/>
      <c r="P776" s="14"/>
    </row>
    <row r="777" hidden="1">
      <c r="A777" s="6" t="s">
        <v>241</v>
      </c>
      <c r="B777" s="16" t="s">
        <v>35</v>
      </c>
      <c r="C777" s="16" t="s">
        <v>36</v>
      </c>
      <c r="D777" s="16" t="s">
        <v>37</v>
      </c>
      <c r="E777" s="17">
        <v>2.0</v>
      </c>
      <c r="F777" s="18">
        <v>0.0</v>
      </c>
      <c r="G777" s="18">
        <v>0.0</v>
      </c>
      <c r="H777" s="10">
        <v>0.0</v>
      </c>
      <c r="I777" s="19">
        <v>2.0</v>
      </c>
      <c r="J777" s="12"/>
      <c r="K777" s="12">
        <f t="shared" si="62"/>
        <v>1000</v>
      </c>
      <c r="L777" s="13" t="str">
        <f t="shared" si="60"/>
        <v>2 5-star + 0 RFC + 0 DME + 0 Patient Portal Login + 2 Completed Task</v>
      </c>
      <c r="M777" s="13"/>
      <c r="N777" s="13"/>
      <c r="O777" s="14"/>
      <c r="P777" s="14"/>
    </row>
    <row r="778" hidden="1">
      <c r="A778" s="6" t="s">
        <v>241</v>
      </c>
      <c r="B778" s="16" t="s">
        <v>41</v>
      </c>
      <c r="C778" s="16" t="s">
        <v>42</v>
      </c>
      <c r="D778" s="16" t="s">
        <v>43</v>
      </c>
      <c r="E778" s="17">
        <v>3.0</v>
      </c>
      <c r="F778" s="18">
        <v>5.0</v>
      </c>
      <c r="G778" s="18">
        <v>1.0</v>
      </c>
      <c r="H778" s="10">
        <v>4.0</v>
      </c>
      <c r="I778" s="19">
        <v>5.0</v>
      </c>
      <c r="J778" s="12"/>
      <c r="K778" s="12">
        <f t="shared" si="62"/>
        <v>5750</v>
      </c>
      <c r="L778" s="13" t="str">
        <f t="shared" si="60"/>
        <v>3 5-star + 5 RFC + 1 DME + 4 Patient Portal Login + 5 Completed Task</v>
      </c>
      <c r="M778" s="13"/>
      <c r="N778" s="13"/>
      <c r="O778" s="14"/>
      <c r="P778" s="14"/>
    </row>
    <row r="779" hidden="1">
      <c r="A779" s="6" t="s">
        <v>241</v>
      </c>
      <c r="B779" s="16" t="s">
        <v>44</v>
      </c>
      <c r="C779" s="16" t="s">
        <v>45</v>
      </c>
      <c r="D779" s="16" t="s">
        <v>46</v>
      </c>
      <c r="E779" s="17">
        <v>0.0</v>
      </c>
      <c r="F779" s="18">
        <v>0.0</v>
      </c>
      <c r="G779" s="18">
        <v>0.0</v>
      </c>
      <c r="H779" s="10">
        <v>0.0</v>
      </c>
      <c r="I779" s="11">
        <v>0.0</v>
      </c>
      <c r="J779" s="12"/>
      <c r="K779" s="12">
        <f t="shared" si="62"/>
        <v>0</v>
      </c>
      <c r="L779" s="13" t="str">
        <f t="shared" si="60"/>
        <v>0 5-star + 0 RFC + 0 DME + 0 Patient Portal Login + 0 Completed Task</v>
      </c>
      <c r="M779" s="13"/>
      <c r="N779" s="13"/>
      <c r="O779" s="14"/>
      <c r="P779" s="14"/>
    </row>
    <row r="780" hidden="1">
      <c r="A780" s="6" t="s">
        <v>241</v>
      </c>
      <c r="B780" s="16" t="s">
        <v>47</v>
      </c>
      <c r="C780" s="16" t="s">
        <v>48</v>
      </c>
      <c r="D780" s="16" t="s">
        <v>49</v>
      </c>
      <c r="E780" s="17">
        <v>3.0</v>
      </c>
      <c r="F780" s="18">
        <v>4.0</v>
      </c>
      <c r="G780" s="18">
        <v>1.0</v>
      </c>
      <c r="H780" s="10">
        <v>5.0</v>
      </c>
      <c r="I780" s="19">
        <v>4.0</v>
      </c>
      <c r="J780" s="12"/>
      <c r="K780" s="12">
        <f t="shared" si="62"/>
        <v>5250</v>
      </c>
      <c r="L780" s="13" t="str">
        <f t="shared" si="60"/>
        <v>3 5-star + 4 RFC + 1 DME + 5 Patient Portal Login + 4 Completed Task</v>
      </c>
      <c r="M780" s="13"/>
      <c r="N780" s="13"/>
      <c r="O780" s="14"/>
      <c r="P780" s="14"/>
    </row>
    <row r="781" hidden="1">
      <c r="A781" s="6" t="s">
        <v>241</v>
      </c>
      <c r="B781" s="16" t="s">
        <v>50</v>
      </c>
      <c r="C781" s="16" t="s">
        <v>51</v>
      </c>
      <c r="D781" s="16" t="s">
        <v>52</v>
      </c>
      <c r="E781" s="17">
        <v>0.0</v>
      </c>
      <c r="F781" s="18">
        <v>2.0</v>
      </c>
      <c r="G781" s="18">
        <v>0.0</v>
      </c>
      <c r="H781" s="10">
        <v>0.0</v>
      </c>
      <c r="I781" s="11">
        <v>0.0</v>
      </c>
      <c r="J781" s="12"/>
      <c r="K781" s="12">
        <f t="shared" si="62"/>
        <v>1000</v>
      </c>
      <c r="L781" s="13" t="str">
        <f t="shared" si="60"/>
        <v>0 5-star + 2 RFC + 0 DME + 0 Patient Portal Login + 0 Completed Task</v>
      </c>
      <c r="M781" s="13"/>
      <c r="N781" s="13"/>
      <c r="O781" s="14"/>
      <c r="P781" s="14"/>
    </row>
    <row r="782" hidden="1">
      <c r="A782" s="6" t="s">
        <v>241</v>
      </c>
      <c r="B782" s="16" t="s">
        <v>53</v>
      </c>
      <c r="C782" s="16" t="s">
        <v>54</v>
      </c>
      <c r="D782" s="16" t="s">
        <v>55</v>
      </c>
      <c r="E782" s="17">
        <v>0.0</v>
      </c>
      <c r="F782" s="18">
        <v>2.0</v>
      </c>
      <c r="G782" s="18">
        <v>0.0</v>
      </c>
      <c r="H782" s="10">
        <v>0.0</v>
      </c>
      <c r="I782" s="19">
        <v>0.0</v>
      </c>
      <c r="J782" s="12"/>
      <c r="K782" s="12">
        <f t="shared" si="62"/>
        <v>1000</v>
      </c>
      <c r="L782" s="13" t="str">
        <f t="shared" si="60"/>
        <v>0 5-star + 2 RFC + 0 DME + 0 Patient Portal Login + 0 Completed Task</v>
      </c>
      <c r="M782" s="13"/>
      <c r="N782" s="13"/>
      <c r="O782" s="14"/>
      <c r="P782" s="14"/>
    </row>
    <row r="783" hidden="1">
      <c r="A783" s="6" t="s">
        <v>241</v>
      </c>
      <c r="B783" s="16" t="s">
        <v>56</v>
      </c>
      <c r="C783" s="16" t="s">
        <v>57</v>
      </c>
      <c r="D783" s="16" t="s">
        <v>58</v>
      </c>
      <c r="E783" s="17">
        <v>0.0</v>
      </c>
      <c r="F783" s="18">
        <v>8.0</v>
      </c>
      <c r="G783" s="18">
        <v>1.0</v>
      </c>
      <c r="H783" s="10">
        <v>0.0</v>
      </c>
      <c r="I783" s="19">
        <v>5.0</v>
      </c>
      <c r="J783" s="12"/>
      <c r="K783" s="12">
        <f t="shared" si="62"/>
        <v>5500</v>
      </c>
      <c r="L783" s="13" t="str">
        <f t="shared" si="60"/>
        <v>0 5-star + 8 RFC + 1 DME + 0 Patient Portal Login + 5 Completed Task</v>
      </c>
      <c r="M783" s="13"/>
      <c r="N783" s="13"/>
      <c r="O783" s="14"/>
      <c r="P783" s="14"/>
    </row>
    <row r="784" hidden="1">
      <c r="A784" s="6" t="s">
        <v>241</v>
      </c>
      <c r="B784" s="16" t="s">
        <v>59</v>
      </c>
      <c r="C784" s="16" t="s">
        <v>60</v>
      </c>
      <c r="D784" s="16" t="s">
        <v>61</v>
      </c>
      <c r="E784" s="17">
        <v>0.0</v>
      </c>
      <c r="F784" s="18">
        <v>0.0</v>
      </c>
      <c r="G784" s="18">
        <v>0.0</v>
      </c>
      <c r="H784" s="10">
        <v>0.0</v>
      </c>
      <c r="I784" s="19">
        <v>4.0</v>
      </c>
      <c r="J784" s="12"/>
      <c r="K784" s="12">
        <f t="shared" si="62"/>
        <v>1000</v>
      </c>
      <c r="L784" s="13" t="str">
        <f t="shared" si="60"/>
        <v>0 5-star + 0 RFC + 0 DME + 0 Patient Portal Login + 4 Completed Task</v>
      </c>
      <c r="M784" s="13"/>
      <c r="N784" s="13"/>
      <c r="O784" s="14"/>
      <c r="P784" s="14"/>
    </row>
    <row r="785" hidden="1">
      <c r="A785" s="6" t="s">
        <v>241</v>
      </c>
      <c r="B785" s="16" t="s">
        <v>62</v>
      </c>
      <c r="C785" s="16" t="s">
        <v>63</v>
      </c>
      <c r="D785" s="16" t="s">
        <v>64</v>
      </c>
      <c r="E785" s="17">
        <v>1.0</v>
      </c>
      <c r="F785" s="18">
        <v>1.0</v>
      </c>
      <c r="G785" s="18">
        <v>1.0</v>
      </c>
      <c r="H785" s="10">
        <v>1.0</v>
      </c>
      <c r="I785" s="19">
        <v>5.0</v>
      </c>
      <c r="J785" s="12"/>
      <c r="K785" s="12">
        <f t="shared" si="62"/>
        <v>2500</v>
      </c>
      <c r="L785" s="13" t="str">
        <f t="shared" si="60"/>
        <v>1 5-star + 1 RFC + 1 DME + 1 Patient Portal Login + 5 Completed Task</v>
      </c>
      <c r="M785" s="13"/>
      <c r="N785" s="13"/>
      <c r="O785" s="14"/>
      <c r="P785" s="14"/>
    </row>
    <row r="786" hidden="1">
      <c r="A786" s="6" t="s">
        <v>241</v>
      </c>
      <c r="B786" s="16" t="s">
        <v>65</v>
      </c>
      <c r="C786" s="16" t="s">
        <v>66</v>
      </c>
      <c r="D786" s="16" t="s">
        <v>67</v>
      </c>
      <c r="E786" s="17">
        <v>3.0</v>
      </c>
      <c r="F786" s="18">
        <v>2.0</v>
      </c>
      <c r="G786" s="18">
        <v>1.0</v>
      </c>
      <c r="H786" s="10">
        <v>4.0</v>
      </c>
      <c r="I786" s="19">
        <v>5.0</v>
      </c>
      <c r="J786" s="12"/>
      <c r="K786" s="12">
        <f t="shared" si="62"/>
        <v>4250</v>
      </c>
      <c r="L786" s="13" t="str">
        <f t="shared" si="60"/>
        <v>3 5-star + 2 RFC + 1 DME + 4 Patient Portal Login + 5 Completed Task</v>
      </c>
      <c r="M786" s="13"/>
      <c r="N786" s="13"/>
      <c r="O786" s="14"/>
      <c r="P786" s="14"/>
    </row>
    <row r="787" hidden="1">
      <c r="A787" s="6" t="s">
        <v>241</v>
      </c>
      <c r="B787" s="16" t="s">
        <v>68</v>
      </c>
      <c r="C787" s="16" t="s">
        <v>69</v>
      </c>
      <c r="D787" s="16" t="s">
        <v>70</v>
      </c>
      <c r="E787" s="17">
        <v>0.0</v>
      </c>
      <c r="F787" s="18">
        <v>0.0</v>
      </c>
      <c r="G787" s="18">
        <v>0.0</v>
      </c>
      <c r="H787" s="10">
        <v>0.0</v>
      </c>
      <c r="I787" s="19">
        <v>5.0</v>
      </c>
      <c r="J787" s="12"/>
      <c r="K787" s="12">
        <f t="shared" si="62"/>
        <v>1250</v>
      </c>
      <c r="L787" s="13" t="str">
        <f t="shared" si="60"/>
        <v>0 5-star + 0 RFC + 0 DME + 0 Patient Portal Login + 5 Completed Task</v>
      </c>
      <c r="M787" s="13"/>
      <c r="N787" s="13"/>
      <c r="O787" s="14"/>
      <c r="P787" s="14"/>
    </row>
    <row r="788" hidden="1">
      <c r="A788" s="6" t="s">
        <v>241</v>
      </c>
      <c r="B788" s="16" t="s">
        <v>71</v>
      </c>
      <c r="C788" s="16" t="s">
        <v>72</v>
      </c>
      <c r="D788" s="16" t="s">
        <v>73</v>
      </c>
      <c r="E788" s="17">
        <v>0.0</v>
      </c>
      <c r="F788" s="18">
        <v>1.0</v>
      </c>
      <c r="G788" s="18">
        <v>1.0</v>
      </c>
      <c r="H788" s="10">
        <v>3.0</v>
      </c>
      <c r="I788" s="19">
        <v>4.0</v>
      </c>
      <c r="J788" s="12"/>
      <c r="K788" s="12">
        <f t="shared" si="62"/>
        <v>2500</v>
      </c>
      <c r="L788" s="13" t="str">
        <f t="shared" si="60"/>
        <v>0 5-star + 1 RFC + 1 DME + 3 Patient Portal Login + 4 Completed Task</v>
      </c>
      <c r="M788" s="13"/>
      <c r="N788" s="13"/>
      <c r="O788" s="14"/>
      <c r="P788" s="14"/>
    </row>
    <row r="789" hidden="1">
      <c r="A789" s="6" t="s">
        <v>241</v>
      </c>
      <c r="B789" s="16" t="s">
        <v>74</v>
      </c>
      <c r="C789" s="16" t="s">
        <v>75</v>
      </c>
      <c r="D789" s="16" t="s">
        <v>76</v>
      </c>
      <c r="E789" s="17">
        <v>0.0</v>
      </c>
      <c r="F789" s="18">
        <v>0.0</v>
      </c>
      <c r="G789" s="18">
        <v>0.0</v>
      </c>
      <c r="H789" s="10">
        <v>1.0</v>
      </c>
      <c r="I789" s="19">
        <v>5.0</v>
      </c>
      <c r="J789" s="12"/>
      <c r="K789" s="12">
        <f t="shared" si="62"/>
        <v>1500</v>
      </c>
      <c r="L789" s="13" t="str">
        <f t="shared" si="60"/>
        <v>0 5-star + 0 RFC + 0 DME + 1 Patient Portal Login + 5 Completed Task</v>
      </c>
      <c r="M789" s="13"/>
      <c r="N789" s="13"/>
      <c r="O789" s="14"/>
      <c r="P789" s="14"/>
    </row>
    <row r="790" hidden="1">
      <c r="A790" s="6" t="s">
        <v>241</v>
      </c>
      <c r="B790" s="16" t="s">
        <v>77</v>
      </c>
      <c r="C790" s="16" t="s">
        <v>78</v>
      </c>
      <c r="D790" s="16" t="s">
        <v>79</v>
      </c>
      <c r="E790" s="17">
        <v>31.0</v>
      </c>
      <c r="F790" s="18">
        <v>7.0</v>
      </c>
      <c r="G790" s="18">
        <v>0.0</v>
      </c>
      <c r="H790" s="10">
        <v>1.0</v>
      </c>
      <c r="I790" s="19">
        <v>4.0</v>
      </c>
      <c r="J790" s="12"/>
      <c r="K790" s="12">
        <f t="shared" si="62"/>
        <v>12500</v>
      </c>
      <c r="L790" s="13" t="str">
        <f t="shared" si="60"/>
        <v>31 5-star + 7 RFC + 0 DME + 1 Patient Portal Login + 4 Completed Task</v>
      </c>
      <c r="M790" s="13"/>
      <c r="N790" s="13"/>
      <c r="O790" s="14"/>
      <c r="P790" s="14"/>
    </row>
    <row r="791" hidden="1">
      <c r="A791" s="6" t="s">
        <v>241</v>
      </c>
      <c r="B791" s="16" t="s">
        <v>80</v>
      </c>
      <c r="C791" s="16" t="s">
        <v>81</v>
      </c>
      <c r="D791" s="16" t="s">
        <v>82</v>
      </c>
      <c r="E791" s="17">
        <v>0.0</v>
      </c>
      <c r="F791" s="18">
        <v>0.0</v>
      </c>
      <c r="G791" s="18">
        <v>0.0</v>
      </c>
      <c r="H791" s="10">
        <v>0.0</v>
      </c>
      <c r="I791" s="19">
        <v>4.0</v>
      </c>
      <c r="J791" s="12"/>
      <c r="K791" s="12">
        <f t="shared" si="62"/>
        <v>1000</v>
      </c>
      <c r="L791" s="13" t="str">
        <f t="shared" si="60"/>
        <v>0 5-star + 0 RFC + 0 DME + 0 Patient Portal Login + 4 Completed Task</v>
      </c>
      <c r="M791" s="13"/>
      <c r="N791" s="13"/>
      <c r="O791" s="14"/>
      <c r="P791" s="14"/>
    </row>
    <row r="792" hidden="1">
      <c r="A792" s="6" t="s">
        <v>241</v>
      </c>
      <c r="B792" s="7" t="s">
        <v>83</v>
      </c>
      <c r="C792" s="16" t="s">
        <v>84</v>
      </c>
      <c r="D792" s="16" t="s">
        <v>85</v>
      </c>
      <c r="E792" s="17">
        <v>0.0</v>
      </c>
      <c r="F792" s="18">
        <v>0.0</v>
      </c>
      <c r="G792" s="18">
        <v>0.0</v>
      </c>
      <c r="H792" s="10">
        <v>0.0</v>
      </c>
      <c r="I792" s="24">
        <v>0.0</v>
      </c>
      <c r="J792" s="12"/>
      <c r="K792" s="12">
        <f t="shared" si="62"/>
        <v>0</v>
      </c>
      <c r="L792" s="13" t="str">
        <f t="shared" si="60"/>
        <v>0 5-star + 0 RFC + 0 DME + 0 Patient Portal Login + 0 Completed Task</v>
      </c>
      <c r="M792" s="13"/>
      <c r="N792" s="13"/>
      <c r="O792" s="14"/>
      <c r="P792" s="14"/>
    </row>
    <row r="793" hidden="1">
      <c r="A793" s="6" t="s">
        <v>241</v>
      </c>
      <c r="B793" s="16" t="s">
        <v>86</v>
      </c>
      <c r="C793" s="16" t="s">
        <v>87</v>
      </c>
      <c r="D793" s="16" t="s">
        <v>88</v>
      </c>
      <c r="E793" s="17">
        <v>0.0</v>
      </c>
      <c r="F793" s="18">
        <v>2.0</v>
      </c>
      <c r="G793" s="18">
        <v>1.0</v>
      </c>
      <c r="H793" s="10">
        <v>6.0</v>
      </c>
      <c r="I793" s="19">
        <v>5.0</v>
      </c>
      <c r="J793" s="12"/>
      <c r="K793" s="12">
        <f t="shared" si="62"/>
        <v>4000</v>
      </c>
      <c r="L793" s="13" t="str">
        <f t="shared" si="60"/>
        <v>0 5-star + 2 RFC + 1 DME + 6 Patient Portal Login + 5 Completed Task</v>
      </c>
      <c r="M793" s="13"/>
      <c r="N793" s="13"/>
      <c r="O793" s="14"/>
      <c r="P793" s="14"/>
    </row>
    <row r="794" hidden="1">
      <c r="A794" s="6" t="s">
        <v>241</v>
      </c>
      <c r="B794" s="16" t="s">
        <v>89</v>
      </c>
      <c r="C794" s="16" t="s">
        <v>90</v>
      </c>
      <c r="D794" s="16" t="s">
        <v>91</v>
      </c>
      <c r="E794" s="17">
        <v>0.0</v>
      </c>
      <c r="F794" s="18">
        <v>0.0</v>
      </c>
      <c r="G794" s="18">
        <v>0.0</v>
      </c>
      <c r="H794" s="10">
        <v>0.0</v>
      </c>
      <c r="I794" s="19">
        <v>4.0</v>
      </c>
      <c r="J794" s="12"/>
      <c r="K794" s="12">
        <f t="shared" si="62"/>
        <v>1000</v>
      </c>
      <c r="L794" s="13" t="str">
        <f t="shared" si="60"/>
        <v>0 5-star + 0 RFC + 0 DME + 0 Patient Portal Login + 4 Completed Task</v>
      </c>
      <c r="M794" s="13"/>
      <c r="N794" s="13"/>
      <c r="O794" s="14"/>
      <c r="P794" s="14"/>
    </row>
    <row r="795" hidden="1">
      <c r="A795" s="6" t="s">
        <v>241</v>
      </c>
      <c r="B795" s="16" t="s">
        <v>92</v>
      </c>
      <c r="C795" s="16" t="s">
        <v>93</v>
      </c>
      <c r="D795" s="16" t="s">
        <v>94</v>
      </c>
      <c r="E795" s="17">
        <v>0.0</v>
      </c>
      <c r="F795" s="18">
        <v>1.0</v>
      </c>
      <c r="G795" s="18">
        <v>0.0</v>
      </c>
      <c r="H795" s="10">
        <v>6.0</v>
      </c>
      <c r="I795" s="19">
        <v>5.0</v>
      </c>
      <c r="J795" s="12"/>
      <c r="K795" s="12">
        <f t="shared" si="62"/>
        <v>3250</v>
      </c>
      <c r="L795" s="13" t="str">
        <f t="shared" si="60"/>
        <v>0 5-star + 1 RFC + 0 DME + 6 Patient Portal Login + 5 Completed Task</v>
      </c>
      <c r="M795" s="13"/>
      <c r="N795" s="13"/>
      <c r="O795" s="14"/>
      <c r="P795" s="14"/>
    </row>
    <row r="796" hidden="1">
      <c r="A796" s="6" t="s">
        <v>241</v>
      </c>
      <c r="B796" s="7" t="s">
        <v>95</v>
      </c>
      <c r="C796" s="16" t="s">
        <v>96</v>
      </c>
      <c r="D796" s="16" t="s">
        <v>97</v>
      </c>
      <c r="E796" s="17">
        <v>0.0</v>
      </c>
      <c r="F796" s="18">
        <v>1.0</v>
      </c>
      <c r="G796" s="18">
        <v>0.0</v>
      </c>
      <c r="H796" s="10">
        <v>1.0</v>
      </c>
      <c r="I796" s="19">
        <v>5.0</v>
      </c>
      <c r="J796" s="12"/>
      <c r="K796" s="12">
        <f t="shared" si="62"/>
        <v>2000</v>
      </c>
      <c r="L796" s="13" t="str">
        <f t="shared" si="60"/>
        <v>0 5-star + 1 RFC + 0 DME + 1 Patient Portal Login + 5 Completed Task</v>
      </c>
      <c r="M796" s="13"/>
      <c r="N796" s="13"/>
      <c r="O796" s="14"/>
      <c r="P796" s="14"/>
    </row>
    <row r="797" hidden="1">
      <c r="A797" s="6" t="s">
        <v>241</v>
      </c>
      <c r="B797" s="16" t="s">
        <v>98</v>
      </c>
      <c r="C797" s="16" t="s">
        <v>99</v>
      </c>
      <c r="D797" s="16" t="s">
        <v>100</v>
      </c>
      <c r="E797" s="17">
        <v>0.0</v>
      </c>
      <c r="F797" s="18">
        <v>0.0</v>
      </c>
      <c r="G797" s="18">
        <v>0.0</v>
      </c>
      <c r="H797" s="10">
        <v>0.0</v>
      </c>
      <c r="I797" s="11">
        <v>0.0</v>
      </c>
      <c r="J797" s="12"/>
      <c r="K797" s="12">
        <f t="shared" si="62"/>
        <v>0</v>
      </c>
      <c r="L797" s="13" t="str">
        <f t="shared" si="60"/>
        <v>0 5-star + 0 RFC + 0 DME + 0 Patient Portal Login + 0 Completed Task</v>
      </c>
      <c r="M797" s="13"/>
      <c r="N797" s="13"/>
      <c r="O797" s="14"/>
      <c r="P797" s="14"/>
    </row>
    <row r="798" hidden="1">
      <c r="A798" s="6" t="s">
        <v>241</v>
      </c>
      <c r="B798" s="7" t="s">
        <v>101</v>
      </c>
      <c r="C798" s="16" t="s">
        <v>102</v>
      </c>
      <c r="D798" s="16" t="s">
        <v>103</v>
      </c>
      <c r="E798" s="17">
        <v>1.0</v>
      </c>
      <c r="F798" s="18">
        <v>2.0</v>
      </c>
      <c r="G798" s="18">
        <v>0.0</v>
      </c>
      <c r="H798" s="10">
        <v>3.0</v>
      </c>
      <c r="I798" s="19">
        <v>4.0</v>
      </c>
      <c r="J798" s="12"/>
      <c r="K798" s="12">
        <f t="shared" si="62"/>
        <v>3000</v>
      </c>
      <c r="L798" s="13" t="str">
        <f t="shared" si="60"/>
        <v>1 5-star + 2 RFC + 0 DME + 3 Patient Portal Login + 4 Completed Task</v>
      </c>
      <c r="M798" s="13"/>
      <c r="N798" s="13"/>
      <c r="O798" s="14"/>
      <c r="P798" s="14"/>
    </row>
    <row r="799" hidden="1">
      <c r="A799" s="6" t="s">
        <v>241</v>
      </c>
      <c r="B799" s="16" t="s">
        <v>104</v>
      </c>
      <c r="C799" s="16" t="s">
        <v>105</v>
      </c>
      <c r="D799" s="16" t="s">
        <v>106</v>
      </c>
      <c r="E799" s="17">
        <v>0.0</v>
      </c>
      <c r="F799" s="18">
        <v>0.0</v>
      </c>
      <c r="G799" s="18">
        <v>0.0</v>
      </c>
      <c r="H799" s="10">
        <v>6.0</v>
      </c>
      <c r="I799" s="19">
        <v>5.0</v>
      </c>
      <c r="J799" s="12"/>
      <c r="K799" s="12">
        <f t="shared" si="62"/>
        <v>2750</v>
      </c>
      <c r="L799" s="13" t="str">
        <f t="shared" si="60"/>
        <v>0 5-star + 0 RFC + 0 DME + 6 Patient Portal Login + 5 Completed Task</v>
      </c>
      <c r="M799" s="13"/>
      <c r="N799" s="13"/>
      <c r="O799" s="14"/>
      <c r="P799" s="14"/>
    </row>
    <row r="800" hidden="1">
      <c r="A800" s="6" t="s">
        <v>241</v>
      </c>
      <c r="B800" s="16" t="s">
        <v>107</v>
      </c>
      <c r="C800" s="16" t="s">
        <v>108</v>
      </c>
      <c r="D800" s="16" t="s">
        <v>109</v>
      </c>
      <c r="E800" s="17">
        <v>1.0</v>
      </c>
      <c r="F800" s="18">
        <v>1.0</v>
      </c>
      <c r="G800" s="18">
        <v>1.0</v>
      </c>
      <c r="H800" s="10">
        <v>0.0</v>
      </c>
      <c r="I800" s="19">
        <v>5.0</v>
      </c>
      <c r="J800" s="12"/>
      <c r="K800" s="12">
        <f t="shared" si="62"/>
        <v>2250</v>
      </c>
      <c r="L800" s="13" t="str">
        <f t="shared" si="60"/>
        <v>1 5-star + 1 RFC + 1 DME + 0 Patient Portal Login + 5 Completed Task</v>
      </c>
      <c r="M800" s="13"/>
      <c r="N800" s="13"/>
      <c r="O800" s="14"/>
      <c r="P800" s="14"/>
    </row>
    <row r="801" hidden="1">
      <c r="A801" s="6" t="s">
        <v>241</v>
      </c>
      <c r="B801" s="16" t="s">
        <v>110</v>
      </c>
      <c r="C801" s="16" t="s">
        <v>111</v>
      </c>
      <c r="D801" s="16" t="s">
        <v>112</v>
      </c>
      <c r="E801" s="17">
        <v>0.0</v>
      </c>
      <c r="F801" s="18">
        <v>3.0</v>
      </c>
      <c r="G801" s="18">
        <v>0.0</v>
      </c>
      <c r="H801" s="10">
        <v>3.0</v>
      </c>
      <c r="I801" s="19">
        <v>4.0</v>
      </c>
      <c r="J801" s="12"/>
      <c r="K801" s="12">
        <f t="shared" si="62"/>
        <v>3250</v>
      </c>
      <c r="L801" s="13" t="str">
        <f t="shared" si="60"/>
        <v>0 5-star + 3 RFC + 0 DME + 3 Patient Portal Login + 4 Completed Task</v>
      </c>
      <c r="M801" s="13"/>
      <c r="N801" s="13"/>
      <c r="O801" s="14"/>
      <c r="P801" s="14"/>
    </row>
    <row r="802" hidden="1">
      <c r="A802" s="6" t="s">
        <v>241</v>
      </c>
      <c r="B802" s="16" t="s">
        <v>113</v>
      </c>
      <c r="C802" s="16" t="s">
        <v>114</v>
      </c>
      <c r="D802" s="16" t="s">
        <v>115</v>
      </c>
      <c r="E802" s="17">
        <v>0.0</v>
      </c>
      <c r="F802" s="18">
        <v>1.0</v>
      </c>
      <c r="G802" s="18">
        <v>0.0</v>
      </c>
      <c r="H802" s="10">
        <v>3.0</v>
      </c>
      <c r="I802" s="19">
        <v>5.0</v>
      </c>
      <c r="J802" s="12"/>
      <c r="K802" s="12">
        <f t="shared" si="62"/>
        <v>2500</v>
      </c>
      <c r="L802" s="13" t="str">
        <f t="shared" si="60"/>
        <v>0 5-star + 1 RFC + 0 DME + 3 Patient Portal Login + 5 Completed Task</v>
      </c>
      <c r="M802" s="13"/>
      <c r="N802" s="13"/>
      <c r="O802" s="14"/>
      <c r="P802" s="14"/>
    </row>
    <row r="803" hidden="1">
      <c r="A803" s="6" t="s">
        <v>241</v>
      </c>
      <c r="B803" s="7" t="s">
        <v>116</v>
      </c>
      <c r="C803" s="16" t="s">
        <v>117</v>
      </c>
      <c r="D803" s="16" t="s">
        <v>118</v>
      </c>
      <c r="E803" s="17">
        <v>0.0</v>
      </c>
      <c r="F803" s="18">
        <v>0.0</v>
      </c>
      <c r="G803" s="18">
        <v>0.0</v>
      </c>
      <c r="H803" s="10">
        <v>2.0</v>
      </c>
      <c r="I803" s="19">
        <v>5.0</v>
      </c>
      <c r="J803" s="12"/>
      <c r="K803" s="12">
        <f t="shared" si="62"/>
        <v>1750</v>
      </c>
      <c r="L803" s="13" t="str">
        <f t="shared" si="60"/>
        <v>0 5-star + 0 RFC + 0 DME + 2 Patient Portal Login + 5 Completed Task</v>
      </c>
      <c r="M803" s="13"/>
      <c r="N803" s="13"/>
      <c r="O803" s="14"/>
      <c r="P803" s="14"/>
    </row>
    <row r="804" hidden="1">
      <c r="A804" s="6" t="s">
        <v>241</v>
      </c>
      <c r="B804" s="16" t="s">
        <v>122</v>
      </c>
      <c r="C804" s="16" t="s">
        <v>123</v>
      </c>
      <c r="D804" s="16" t="s">
        <v>124</v>
      </c>
      <c r="E804" s="17">
        <v>0.0</v>
      </c>
      <c r="F804" s="18">
        <v>0.0</v>
      </c>
      <c r="G804" s="18">
        <v>0.0</v>
      </c>
      <c r="H804" s="10">
        <v>1.0</v>
      </c>
      <c r="I804" s="19">
        <v>5.0</v>
      </c>
      <c r="J804" s="12"/>
      <c r="K804" s="12">
        <f t="shared" si="62"/>
        <v>1500</v>
      </c>
      <c r="L804" s="13" t="str">
        <f t="shared" si="60"/>
        <v>0 5-star + 0 RFC + 0 DME + 1 Patient Portal Login + 5 Completed Task</v>
      </c>
      <c r="M804" s="13"/>
      <c r="N804" s="13"/>
      <c r="O804" s="14"/>
      <c r="P804" s="14"/>
    </row>
    <row r="805" hidden="1">
      <c r="A805" s="6" t="s">
        <v>241</v>
      </c>
      <c r="B805" s="16" t="s">
        <v>125</v>
      </c>
      <c r="C805" s="16" t="s">
        <v>126</v>
      </c>
      <c r="D805" s="16" t="s">
        <v>127</v>
      </c>
      <c r="E805" s="17">
        <v>0.0</v>
      </c>
      <c r="F805" s="18">
        <v>1.0</v>
      </c>
      <c r="G805" s="18">
        <v>0.0</v>
      </c>
      <c r="H805" s="10">
        <v>0.0</v>
      </c>
      <c r="I805" s="19">
        <v>5.0</v>
      </c>
      <c r="J805" s="12"/>
      <c r="K805" s="12">
        <f t="shared" si="62"/>
        <v>1750</v>
      </c>
      <c r="L805" s="13" t="str">
        <f t="shared" si="60"/>
        <v>0 5-star + 1 RFC + 0 DME + 0 Patient Portal Login + 5 Completed Task</v>
      </c>
      <c r="M805" s="13"/>
      <c r="N805" s="13"/>
      <c r="O805" s="14"/>
      <c r="P805" s="14"/>
    </row>
    <row r="806" hidden="1">
      <c r="A806" s="6" t="s">
        <v>241</v>
      </c>
      <c r="B806" s="16" t="s">
        <v>128</v>
      </c>
      <c r="C806" s="16" t="s">
        <v>129</v>
      </c>
      <c r="D806" s="16" t="s">
        <v>130</v>
      </c>
      <c r="E806" s="17">
        <v>1.0</v>
      </c>
      <c r="F806" s="18">
        <v>2.0</v>
      </c>
      <c r="G806" s="18">
        <v>0.0</v>
      </c>
      <c r="H806" s="10">
        <v>2.0</v>
      </c>
      <c r="I806" s="19">
        <v>5.0</v>
      </c>
      <c r="J806" s="12"/>
      <c r="K806" s="12">
        <f t="shared" si="62"/>
        <v>3000</v>
      </c>
      <c r="L806" s="13" t="str">
        <f t="shared" si="60"/>
        <v>1 5-star + 2 RFC + 0 DME + 2 Patient Portal Login + 5 Completed Task</v>
      </c>
      <c r="M806" s="13"/>
      <c r="N806" s="13"/>
      <c r="O806" s="14"/>
      <c r="P806" s="14"/>
    </row>
    <row r="807" hidden="1">
      <c r="A807" s="6" t="s">
        <v>241</v>
      </c>
      <c r="B807" s="16" t="s">
        <v>131</v>
      </c>
      <c r="C807" s="16" t="s">
        <v>132</v>
      </c>
      <c r="D807" s="16" t="s">
        <v>133</v>
      </c>
      <c r="E807" s="17">
        <v>11.0</v>
      </c>
      <c r="F807" s="18">
        <v>3.0</v>
      </c>
      <c r="G807" s="18">
        <v>0.0</v>
      </c>
      <c r="H807" s="10">
        <v>2.0</v>
      </c>
      <c r="I807" s="19">
        <v>4.0</v>
      </c>
      <c r="J807" s="12"/>
      <c r="K807" s="12">
        <f t="shared" si="62"/>
        <v>5750</v>
      </c>
      <c r="L807" s="13" t="str">
        <f t="shared" si="60"/>
        <v>11 5-star + 3 RFC + 0 DME + 2 Patient Portal Login + 4 Completed Task</v>
      </c>
      <c r="M807" s="13"/>
      <c r="N807" s="13"/>
      <c r="O807" s="14"/>
      <c r="P807" s="14"/>
    </row>
    <row r="808" hidden="1">
      <c r="A808" s="6" t="s">
        <v>241</v>
      </c>
      <c r="B808" s="16" t="s">
        <v>134</v>
      </c>
      <c r="C808" s="16" t="s">
        <v>135</v>
      </c>
      <c r="D808" s="16" t="s">
        <v>136</v>
      </c>
      <c r="E808" s="17">
        <v>0.0</v>
      </c>
      <c r="F808" s="18">
        <v>0.0</v>
      </c>
      <c r="G808" s="18">
        <v>0.0</v>
      </c>
      <c r="H808" s="10">
        <v>0.0</v>
      </c>
      <c r="I808" s="19">
        <v>5.0</v>
      </c>
      <c r="J808" s="12"/>
      <c r="K808" s="12">
        <f t="shared" si="62"/>
        <v>1250</v>
      </c>
      <c r="L808" s="13" t="str">
        <f t="shared" si="60"/>
        <v>0 5-star + 0 RFC + 0 DME + 0 Patient Portal Login + 5 Completed Task</v>
      </c>
      <c r="M808" s="13"/>
      <c r="N808" s="13"/>
      <c r="O808" s="14"/>
      <c r="P808" s="14"/>
    </row>
    <row r="809" hidden="1">
      <c r="A809" s="6" t="s">
        <v>241</v>
      </c>
      <c r="B809" s="16" t="s">
        <v>137</v>
      </c>
      <c r="C809" s="16" t="s">
        <v>138</v>
      </c>
      <c r="D809" s="16" t="s">
        <v>139</v>
      </c>
      <c r="E809" s="17">
        <v>0.0</v>
      </c>
      <c r="F809" s="18">
        <v>7.0</v>
      </c>
      <c r="G809" s="18">
        <v>0.0</v>
      </c>
      <c r="H809" s="10">
        <v>10.0</v>
      </c>
      <c r="I809" s="19">
        <v>5.0</v>
      </c>
      <c r="J809" s="12"/>
      <c r="K809" s="12">
        <f t="shared" si="62"/>
        <v>7250</v>
      </c>
      <c r="L809" s="13" t="str">
        <f t="shared" si="60"/>
        <v>0 5-star + 7 RFC + 0 DME + 10 Patient Portal Login + 5 Completed Task</v>
      </c>
      <c r="M809" s="13"/>
      <c r="N809" s="13"/>
      <c r="O809" s="14"/>
      <c r="P809" s="14"/>
    </row>
    <row r="810" hidden="1">
      <c r="A810" s="6" t="s">
        <v>241</v>
      </c>
      <c r="B810" s="16" t="s">
        <v>140</v>
      </c>
      <c r="C810" s="16" t="s">
        <v>141</v>
      </c>
      <c r="D810" s="16" t="s">
        <v>142</v>
      </c>
      <c r="E810" s="17">
        <v>8.0</v>
      </c>
      <c r="F810" s="18">
        <v>0.0</v>
      </c>
      <c r="G810" s="18">
        <v>0.0</v>
      </c>
      <c r="H810" s="10">
        <v>3.0</v>
      </c>
      <c r="I810" s="19">
        <v>4.0</v>
      </c>
      <c r="J810" s="12"/>
      <c r="K810" s="12">
        <f t="shared" si="62"/>
        <v>3750</v>
      </c>
      <c r="L810" s="13" t="str">
        <f t="shared" si="60"/>
        <v>8 5-star + 0 RFC + 0 DME + 3 Patient Portal Login + 4 Completed Task</v>
      </c>
      <c r="M810" s="13"/>
      <c r="N810" s="13"/>
      <c r="O810" s="14"/>
      <c r="P810" s="14"/>
    </row>
    <row r="811" hidden="1">
      <c r="A811" s="6" t="s">
        <v>241</v>
      </c>
      <c r="B811" s="16" t="s">
        <v>143</v>
      </c>
      <c r="C811" s="16" t="s">
        <v>144</v>
      </c>
      <c r="D811" s="16" t="s">
        <v>145</v>
      </c>
      <c r="E811" s="17">
        <v>0.0</v>
      </c>
      <c r="F811" s="18">
        <v>0.0</v>
      </c>
      <c r="G811" s="18">
        <v>0.0</v>
      </c>
      <c r="H811" s="10">
        <v>0.0</v>
      </c>
      <c r="I811" s="19">
        <v>5.0</v>
      </c>
      <c r="J811" s="12"/>
      <c r="K811" s="12">
        <f t="shared" si="62"/>
        <v>1250</v>
      </c>
      <c r="L811" s="13" t="str">
        <f t="shared" si="60"/>
        <v>0 5-star + 0 RFC + 0 DME + 0 Patient Portal Login + 5 Completed Task</v>
      </c>
      <c r="M811" s="13"/>
      <c r="N811" s="13"/>
      <c r="O811" s="14"/>
      <c r="P811" s="14"/>
    </row>
    <row r="812" hidden="1">
      <c r="A812" s="6" t="s">
        <v>241</v>
      </c>
      <c r="B812" s="16" t="s">
        <v>146</v>
      </c>
      <c r="C812" s="16" t="s">
        <v>147</v>
      </c>
      <c r="D812" s="16" t="s">
        <v>148</v>
      </c>
      <c r="E812" s="17">
        <v>0.0</v>
      </c>
      <c r="F812" s="18">
        <v>3.0</v>
      </c>
      <c r="G812" s="18">
        <v>0.0</v>
      </c>
      <c r="H812" s="10">
        <v>4.0</v>
      </c>
      <c r="I812" s="19">
        <v>5.0</v>
      </c>
      <c r="J812" s="12"/>
      <c r="K812" s="12">
        <f t="shared" si="62"/>
        <v>3750</v>
      </c>
      <c r="L812" s="13" t="str">
        <f t="shared" si="60"/>
        <v>0 5-star + 3 RFC + 0 DME + 4 Patient Portal Login + 5 Completed Task</v>
      </c>
      <c r="M812" s="13"/>
      <c r="N812" s="13"/>
      <c r="O812" s="14"/>
      <c r="P812" s="14"/>
    </row>
    <row r="813" hidden="1">
      <c r="A813" s="6" t="s">
        <v>241</v>
      </c>
      <c r="B813" s="16" t="s">
        <v>149</v>
      </c>
      <c r="C813" s="16" t="s">
        <v>150</v>
      </c>
      <c r="D813" s="16" t="s">
        <v>151</v>
      </c>
      <c r="E813" s="17">
        <v>0.0</v>
      </c>
      <c r="F813" s="18">
        <v>0.0</v>
      </c>
      <c r="G813" s="18">
        <v>0.0</v>
      </c>
      <c r="H813" s="10">
        <v>0.0</v>
      </c>
      <c r="I813" s="19">
        <v>5.0</v>
      </c>
      <c r="J813" s="12"/>
      <c r="K813" s="12">
        <f t="shared" si="62"/>
        <v>1250</v>
      </c>
      <c r="L813" s="13" t="str">
        <f t="shared" si="60"/>
        <v>0 5-star + 0 RFC + 0 DME + 0 Patient Portal Login + 5 Completed Task</v>
      </c>
      <c r="M813" s="13"/>
      <c r="N813" s="13"/>
      <c r="O813" s="14"/>
      <c r="P813" s="14"/>
    </row>
    <row r="814" hidden="1">
      <c r="A814" s="6" t="s">
        <v>241</v>
      </c>
      <c r="B814" s="16" t="s">
        <v>152</v>
      </c>
      <c r="C814" s="16" t="s">
        <v>153</v>
      </c>
      <c r="D814" s="16" t="s">
        <v>154</v>
      </c>
      <c r="E814" s="17">
        <v>0.0</v>
      </c>
      <c r="F814" s="18">
        <v>3.0</v>
      </c>
      <c r="G814" s="18">
        <v>0.0</v>
      </c>
      <c r="H814" s="10">
        <v>0.0</v>
      </c>
      <c r="I814" s="19">
        <v>5.0</v>
      </c>
      <c r="J814" s="12"/>
      <c r="K814" s="12">
        <f t="shared" si="62"/>
        <v>2750</v>
      </c>
      <c r="L814" s="13" t="str">
        <f t="shared" si="60"/>
        <v>0 5-star + 3 RFC + 0 DME + 0 Patient Portal Login + 5 Completed Task</v>
      </c>
      <c r="M814" s="13"/>
      <c r="N814" s="13"/>
      <c r="O814" s="14"/>
      <c r="P814" s="14"/>
    </row>
    <row r="815" hidden="1">
      <c r="A815" s="6" t="s">
        <v>241</v>
      </c>
      <c r="B815" s="16" t="s">
        <v>155</v>
      </c>
      <c r="C815" s="16" t="s">
        <v>156</v>
      </c>
      <c r="D815" s="16" t="s">
        <v>157</v>
      </c>
      <c r="E815" s="17">
        <v>10.0</v>
      </c>
      <c r="F815" s="18">
        <v>3.0</v>
      </c>
      <c r="G815" s="18">
        <v>0.0</v>
      </c>
      <c r="H815" s="10">
        <v>1.0</v>
      </c>
      <c r="I815" s="19">
        <v>3.0</v>
      </c>
      <c r="J815" s="12"/>
      <c r="K815" s="12">
        <f t="shared" si="62"/>
        <v>5000</v>
      </c>
      <c r="L815" s="13" t="str">
        <f t="shared" si="60"/>
        <v>10 5-star + 3 RFC + 0 DME + 1 Patient Portal Login + 3 Completed Task</v>
      </c>
      <c r="M815" s="13"/>
      <c r="N815" s="13"/>
      <c r="O815" s="14"/>
      <c r="P815" s="14"/>
    </row>
    <row r="816" hidden="1">
      <c r="A816" s="6" t="s">
        <v>241</v>
      </c>
      <c r="B816" s="16" t="s">
        <v>158</v>
      </c>
      <c r="C816" s="16" t="s">
        <v>159</v>
      </c>
      <c r="D816" s="16" t="s">
        <v>160</v>
      </c>
      <c r="E816" s="17">
        <v>0.0</v>
      </c>
      <c r="F816" s="18">
        <v>0.0</v>
      </c>
      <c r="G816" s="18">
        <v>0.0</v>
      </c>
      <c r="H816" s="10">
        <v>0.0</v>
      </c>
      <c r="I816" s="19">
        <v>5.0</v>
      </c>
      <c r="J816" s="12"/>
      <c r="K816" s="12">
        <f t="shared" si="62"/>
        <v>1250</v>
      </c>
      <c r="L816" s="13" t="str">
        <f t="shared" si="60"/>
        <v>0 5-star + 0 RFC + 0 DME + 0 Patient Portal Login + 5 Completed Task</v>
      </c>
      <c r="M816" s="13"/>
      <c r="N816" s="13"/>
      <c r="O816" s="14"/>
      <c r="P816" s="14"/>
    </row>
    <row r="817" hidden="1">
      <c r="A817" s="6" t="s">
        <v>241</v>
      </c>
      <c r="B817" s="20" t="s">
        <v>161</v>
      </c>
      <c r="C817" s="20" t="s">
        <v>162</v>
      </c>
      <c r="D817" s="20" t="s">
        <v>163</v>
      </c>
      <c r="E817" s="17">
        <v>0.0</v>
      </c>
      <c r="F817" s="18">
        <v>0.0</v>
      </c>
      <c r="G817" s="18">
        <v>1.0</v>
      </c>
      <c r="H817" s="10">
        <v>2.0</v>
      </c>
      <c r="I817" s="19">
        <v>5.0</v>
      </c>
      <c r="J817" s="12"/>
      <c r="K817" s="12">
        <f t="shared" si="62"/>
        <v>2000</v>
      </c>
      <c r="L817" s="13" t="str">
        <f> E817 &amp; " 5-star + " &amp; E804 &amp; " RFC + " &amp; G817 &amp; " DME + " &amp; H817 &amp; " Patient Portal Login + " &amp; I817 &amp; " Completed Task"
</f>
        <v>0 5-star + 0 RFC + 1 DME + 2 Patient Portal Login + 5 Completed Task</v>
      </c>
      <c r="M817" s="13"/>
      <c r="N817" s="13"/>
      <c r="O817" s="14"/>
      <c r="P817" s="14"/>
    </row>
    <row r="818" hidden="1">
      <c r="A818" s="6" t="s">
        <v>241</v>
      </c>
      <c r="B818" s="20" t="s">
        <v>164</v>
      </c>
      <c r="C818" s="20" t="s">
        <v>165</v>
      </c>
      <c r="D818" s="20" t="s">
        <v>166</v>
      </c>
      <c r="E818" s="17">
        <v>0.0</v>
      </c>
      <c r="F818" s="18">
        <v>0.0</v>
      </c>
      <c r="G818" s="18">
        <v>0.0</v>
      </c>
      <c r="H818" s="10">
        <v>0.0</v>
      </c>
      <c r="I818" s="19">
        <v>3.0</v>
      </c>
      <c r="J818" s="12"/>
      <c r="K818" s="12">
        <f t="shared" si="62"/>
        <v>750</v>
      </c>
      <c r="L818" s="13" t="str">
        <f t="shared" ref="L818:L878" si="63"> E818 &amp; " 5-star + " &amp; F818 &amp; " RFC + " &amp; G818 &amp; " DME + " &amp; H818 &amp; " Patient Portal Login + " &amp; I818 &amp; " Completed Task"
</f>
        <v>0 5-star + 0 RFC + 0 DME + 0 Patient Portal Login + 3 Completed Task</v>
      </c>
      <c r="M818" s="13"/>
      <c r="N818" s="13"/>
      <c r="O818" s="14"/>
      <c r="P818" s="14"/>
    </row>
    <row r="819" hidden="1">
      <c r="A819" s="6" t="s">
        <v>241</v>
      </c>
      <c r="B819" s="20" t="s">
        <v>167</v>
      </c>
      <c r="C819" s="20" t="s">
        <v>168</v>
      </c>
      <c r="D819" s="20" t="s">
        <v>169</v>
      </c>
      <c r="E819" s="17">
        <v>0.0</v>
      </c>
      <c r="F819" s="18">
        <v>4.0</v>
      </c>
      <c r="G819" s="18">
        <v>0.0</v>
      </c>
      <c r="H819" s="10">
        <v>5.0</v>
      </c>
      <c r="I819" s="19">
        <v>5.0</v>
      </c>
      <c r="J819" s="12"/>
      <c r="K819" s="12">
        <f t="shared" si="62"/>
        <v>4500</v>
      </c>
      <c r="L819" s="13" t="str">
        <f t="shared" si="63"/>
        <v>0 5-star + 4 RFC + 0 DME + 5 Patient Portal Login + 5 Completed Task</v>
      </c>
      <c r="M819" s="13"/>
      <c r="N819" s="13"/>
      <c r="O819" s="14"/>
      <c r="P819" s="14"/>
    </row>
    <row r="820" hidden="1">
      <c r="A820" s="6" t="s">
        <v>241</v>
      </c>
      <c r="B820" s="20" t="s">
        <v>170</v>
      </c>
      <c r="C820" s="20" t="s">
        <v>171</v>
      </c>
      <c r="D820" s="20" t="s">
        <v>172</v>
      </c>
      <c r="E820" s="17">
        <v>0.0</v>
      </c>
      <c r="F820" s="18">
        <v>0.0</v>
      </c>
      <c r="G820" s="18">
        <v>0.0</v>
      </c>
      <c r="H820" s="10">
        <v>7.0</v>
      </c>
      <c r="I820" s="19">
        <v>5.0</v>
      </c>
      <c r="J820" s="12"/>
      <c r="K820" s="12">
        <f t="shared" si="62"/>
        <v>3000</v>
      </c>
      <c r="L820" s="13" t="str">
        <f t="shared" si="63"/>
        <v>0 5-star + 0 RFC + 0 DME + 7 Patient Portal Login + 5 Completed Task</v>
      </c>
      <c r="M820" s="13"/>
      <c r="N820" s="13"/>
      <c r="O820" s="14"/>
      <c r="P820" s="14"/>
    </row>
    <row r="821" hidden="1">
      <c r="A821" s="6" t="s">
        <v>241</v>
      </c>
      <c r="B821" s="16" t="s">
        <v>173</v>
      </c>
      <c r="C821" s="16" t="s">
        <v>174</v>
      </c>
      <c r="D821" s="16" t="s">
        <v>175</v>
      </c>
      <c r="E821" s="17">
        <v>0.0</v>
      </c>
      <c r="F821" s="18">
        <v>0.0</v>
      </c>
      <c r="G821" s="18">
        <v>0.0</v>
      </c>
      <c r="H821" s="10">
        <v>16.0</v>
      </c>
      <c r="I821" s="19">
        <v>5.0</v>
      </c>
      <c r="J821" s="12"/>
      <c r="K821" s="12">
        <f t="shared" si="62"/>
        <v>5250</v>
      </c>
      <c r="L821" s="13" t="str">
        <f t="shared" si="63"/>
        <v>0 5-star + 0 RFC + 0 DME + 16 Patient Portal Login + 5 Completed Task</v>
      </c>
      <c r="M821" s="13"/>
      <c r="N821" s="13"/>
      <c r="O821" s="14"/>
      <c r="P821" s="14"/>
    </row>
    <row r="822" hidden="1">
      <c r="A822" s="6" t="s">
        <v>241</v>
      </c>
      <c r="B822" s="16" t="s">
        <v>176</v>
      </c>
      <c r="C822" s="16" t="s">
        <v>177</v>
      </c>
      <c r="D822" s="16" t="s">
        <v>178</v>
      </c>
      <c r="E822" s="17">
        <v>0.0</v>
      </c>
      <c r="F822" s="18">
        <v>2.0</v>
      </c>
      <c r="G822" s="18">
        <v>0.0</v>
      </c>
      <c r="H822" s="10">
        <v>3.0</v>
      </c>
      <c r="I822" s="19">
        <v>5.0</v>
      </c>
      <c r="J822" s="12"/>
      <c r="K822" s="12">
        <f t="shared" si="62"/>
        <v>3000</v>
      </c>
      <c r="L822" s="13" t="str">
        <f t="shared" si="63"/>
        <v>0 5-star + 2 RFC + 0 DME + 3 Patient Portal Login + 5 Completed Task</v>
      </c>
      <c r="M822" s="13"/>
      <c r="N822" s="13"/>
      <c r="O822" s="14"/>
      <c r="P822" s="14"/>
    </row>
    <row r="823" hidden="1">
      <c r="A823" s="6" t="s">
        <v>241</v>
      </c>
      <c r="B823" s="21" t="s">
        <v>179</v>
      </c>
      <c r="C823" s="21" t="s">
        <v>180</v>
      </c>
      <c r="D823" s="21" t="s">
        <v>181</v>
      </c>
      <c r="E823" s="17">
        <v>0.0</v>
      </c>
      <c r="F823" s="18">
        <v>6.0</v>
      </c>
      <c r="G823" s="18">
        <v>0.0</v>
      </c>
      <c r="H823" s="10">
        <v>5.0</v>
      </c>
      <c r="I823" s="19">
        <v>5.0</v>
      </c>
      <c r="J823" s="12"/>
      <c r="K823" s="12">
        <f t="shared" si="62"/>
        <v>5500</v>
      </c>
      <c r="L823" s="13" t="str">
        <f t="shared" si="63"/>
        <v>0 5-star + 6 RFC + 0 DME + 5 Patient Portal Login + 5 Completed Task</v>
      </c>
      <c r="M823" s="13"/>
      <c r="N823" s="13"/>
      <c r="O823" s="23"/>
      <c r="P823" s="23"/>
    </row>
    <row r="824" hidden="1">
      <c r="A824" s="6" t="s">
        <v>241</v>
      </c>
      <c r="B824" s="21" t="s">
        <v>182</v>
      </c>
      <c r="C824" s="21" t="s">
        <v>183</v>
      </c>
      <c r="D824" s="21" t="s">
        <v>184</v>
      </c>
      <c r="E824" s="17">
        <v>0.0</v>
      </c>
      <c r="F824" s="18">
        <v>0.0</v>
      </c>
      <c r="G824" s="18">
        <v>0.0</v>
      </c>
      <c r="H824" s="10">
        <v>0.0</v>
      </c>
      <c r="I824" s="19">
        <v>4.0</v>
      </c>
      <c r="J824" s="12"/>
      <c r="K824" s="12">
        <f t="shared" si="62"/>
        <v>1000</v>
      </c>
      <c r="L824" s="13" t="str">
        <f t="shared" si="63"/>
        <v>0 5-star + 0 RFC + 0 DME + 0 Patient Portal Login + 4 Completed Task</v>
      </c>
      <c r="M824" s="13"/>
      <c r="N824" s="13"/>
      <c r="O824" s="23"/>
      <c r="P824" s="23"/>
    </row>
    <row r="825" hidden="1">
      <c r="A825" s="6" t="s">
        <v>241</v>
      </c>
      <c r="B825" s="21" t="s">
        <v>185</v>
      </c>
      <c r="C825" s="21" t="s">
        <v>186</v>
      </c>
      <c r="D825" s="21" t="s">
        <v>187</v>
      </c>
      <c r="E825" s="17">
        <v>33.0</v>
      </c>
      <c r="F825" s="18">
        <v>1.0</v>
      </c>
      <c r="G825" s="18">
        <v>0.0</v>
      </c>
      <c r="H825" s="10">
        <v>12.0</v>
      </c>
      <c r="I825" s="19">
        <v>4.0</v>
      </c>
      <c r="J825" s="12"/>
      <c r="K825" s="12">
        <f t="shared" si="62"/>
        <v>12750</v>
      </c>
      <c r="L825" s="13" t="str">
        <f t="shared" si="63"/>
        <v>33 5-star + 1 RFC + 0 DME + 12 Patient Portal Login + 4 Completed Task</v>
      </c>
      <c r="M825" s="13"/>
      <c r="N825" s="13"/>
      <c r="O825" s="23"/>
      <c r="P825" s="23"/>
    </row>
    <row r="826" hidden="1">
      <c r="A826" s="6" t="s">
        <v>241</v>
      </c>
      <c r="B826" s="21" t="s">
        <v>188</v>
      </c>
      <c r="C826" s="21" t="s">
        <v>189</v>
      </c>
      <c r="D826" s="21" t="s">
        <v>190</v>
      </c>
      <c r="E826" s="17">
        <v>3.0</v>
      </c>
      <c r="F826" s="18">
        <v>0.0</v>
      </c>
      <c r="G826" s="18">
        <v>1.0</v>
      </c>
      <c r="H826" s="10">
        <v>7.0</v>
      </c>
      <c r="I826" s="19">
        <v>4.0</v>
      </c>
      <c r="J826" s="12"/>
      <c r="K826" s="12">
        <f t="shared" si="62"/>
        <v>3750</v>
      </c>
      <c r="L826" s="13" t="str">
        <f t="shared" si="63"/>
        <v>3 5-star + 0 RFC + 1 DME + 7 Patient Portal Login + 4 Completed Task</v>
      </c>
      <c r="M826" s="13"/>
      <c r="N826" s="13"/>
      <c r="O826" s="23"/>
      <c r="P826" s="23"/>
    </row>
    <row r="827" hidden="1">
      <c r="A827" s="6" t="s">
        <v>241</v>
      </c>
      <c r="B827" s="21" t="s">
        <v>191</v>
      </c>
      <c r="C827" s="21" t="s">
        <v>192</v>
      </c>
      <c r="D827" s="21" t="s">
        <v>193</v>
      </c>
      <c r="E827" s="17">
        <v>0.0</v>
      </c>
      <c r="F827" s="18">
        <v>1.0</v>
      </c>
      <c r="G827" s="18">
        <v>1.0</v>
      </c>
      <c r="H827" s="10">
        <v>0.0</v>
      </c>
      <c r="I827" s="19">
        <v>4.0</v>
      </c>
      <c r="J827" s="12"/>
      <c r="K827" s="12">
        <f t="shared" si="62"/>
        <v>1750</v>
      </c>
      <c r="L827" s="13" t="str">
        <f t="shared" si="63"/>
        <v>0 5-star + 1 RFC + 1 DME + 0 Patient Portal Login + 4 Completed Task</v>
      </c>
      <c r="M827" s="13"/>
      <c r="N827" s="13"/>
      <c r="O827" s="23"/>
      <c r="P827" s="23"/>
    </row>
    <row r="828" hidden="1">
      <c r="A828" s="6" t="s">
        <v>241</v>
      </c>
      <c r="B828" s="21" t="s">
        <v>194</v>
      </c>
      <c r="C828" s="21" t="s">
        <v>195</v>
      </c>
      <c r="D828" s="21" t="s">
        <v>196</v>
      </c>
      <c r="E828" s="17">
        <v>0.0</v>
      </c>
      <c r="F828" s="18">
        <v>0.0</v>
      </c>
      <c r="G828" s="18">
        <v>0.0</v>
      </c>
      <c r="H828" s="10">
        <v>0.0</v>
      </c>
      <c r="I828" s="11">
        <v>0.0</v>
      </c>
      <c r="J828" s="12"/>
      <c r="K828" s="12">
        <f t="shared" si="62"/>
        <v>0</v>
      </c>
      <c r="L828" s="13" t="str">
        <f t="shared" si="63"/>
        <v>0 5-star + 0 RFC + 0 DME + 0 Patient Portal Login + 0 Completed Task</v>
      </c>
      <c r="M828" s="13"/>
      <c r="N828" s="13"/>
      <c r="O828" s="23"/>
      <c r="P828" s="23"/>
    </row>
    <row r="829" hidden="1">
      <c r="A829" s="6" t="s">
        <v>241</v>
      </c>
      <c r="B829" s="21" t="s">
        <v>197</v>
      </c>
      <c r="C829" s="21" t="s">
        <v>198</v>
      </c>
      <c r="D829" s="21" t="s">
        <v>199</v>
      </c>
      <c r="E829" s="17">
        <v>0.0</v>
      </c>
      <c r="F829" s="18">
        <v>0.0</v>
      </c>
      <c r="G829" s="18">
        <v>0.0</v>
      </c>
      <c r="H829" s="10">
        <v>0.0</v>
      </c>
      <c r="I829" s="11">
        <v>0.0</v>
      </c>
      <c r="J829" s="12"/>
      <c r="K829" s="12">
        <f t="shared" si="62"/>
        <v>0</v>
      </c>
      <c r="L829" s="13" t="str">
        <f t="shared" si="63"/>
        <v>0 5-star + 0 RFC + 0 DME + 0 Patient Portal Login + 0 Completed Task</v>
      </c>
      <c r="M829" s="13"/>
      <c r="N829" s="13"/>
      <c r="O829" s="23"/>
      <c r="P829" s="23"/>
    </row>
    <row r="830" hidden="1">
      <c r="A830" s="6" t="s">
        <v>241</v>
      </c>
      <c r="B830" s="21" t="s">
        <v>200</v>
      </c>
      <c r="C830" s="21" t="s">
        <v>201</v>
      </c>
      <c r="D830" s="21" t="s">
        <v>202</v>
      </c>
      <c r="E830" s="17">
        <v>0.0</v>
      </c>
      <c r="F830" s="18">
        <v>0.0</v>
      </c>
      <c r="G830" s="18">
        <v>0.0</v>
      </c>
      <c r="H830" s="10">
        <v>2.0</v>
      </c>
      <c r="I830" s="19">
        <v>5.0</v>
      </c>
      <c r="J830" s="12"/>
      <c r="K830" s="12">
        <f t="shared" si="62"/>
        <v>1750</v>
      </c>
      <c r="L830" s="13" t="str">
        <f t="shared" si="63"/>
        <v>0 5-star + 0 RFC + 0 DME + 2 Patient Portal Login + 5 Completed Task</v>
      </c>
      <c r="M830" s="13"/>
      <c r="N830" s="13"/>
      <c r="O830" s="23"/>
      <c r="P830" s="23"/>
    </row>
    <row r="831" hidden="1">
      <c r="A831" s="54" t="s">
        <v>242</v>
      </c>
      <c r="B831" s="16" t="s">
        <v>32</v>
      </c>
      <c r="C831" s="16" t="s">
        <v>227</v>
      </c>
      <c r="D831" s="16" t="s">
        <v>34</v>
      </c>
      <c r="E831" s="17">
        <v>0.0</v>
      </c>
      <c r="F831" s="18">
        <v>0.0</v>
      </c>
      <c r="G831" s="18">
        <v>0.0</v>
      </c>
      <c r="H831" s="10">
        <v>0.0</v>
      </c>
      <c r="I831" s="19">
        <v>0.0</v>
      </c>
      <c r="J831" s="12"/>
      <c r="K831" s="12">
        <f t="shared" si="62"/>
        <v>0</v>
      </c>
      <c r="L831" s="13" t="str">
        <f t="shared" si="63"/>
        <v>0 5-star + 0 RFC + 0 DME + 0 Patient Portal Login + 0 Completed Task</v>
      </c>
      <c r="M831" s="13"/>
      <c r="N831" s="13"/>
      <c r="O831" s="14"/>
      <c r="P831" s="14"/>
    </row>
    <row r="832" hidden="1">
      <c r="A832" s="54" t="s">
        <v>242</v>
      </c>
      <c r="B832" s="7" t="s">
        <v>29</v>
      </c>
      <c r="C832" s="7" t="s">
        <v>228</v>
      </c>
      <c r="D832" s="7" t="s">
        <v>31</v>
      </c>
      <c r="E832" s="17">
        <v>0.0</v>
      </c>
      <c r="F832" s="18">
        <v>0.0</v>
      </c>
      <c r="G832" s="18">
        <v>2.0</v>
      </c>
      <c r="H832" s="10">
        <v>0.0</v>
      </c>
      <c r="I832" s="19">
        <v>0.0</v>
      </c>
      <c r="J832" s="12"/>
      <c r="K832" s="12">
        <f t="shared" si="62"/>
        <v>500</v>
      </c>
      <c r="L832" s="13" t="str">
        <f t="shared" si="63"/>
        <v>0 5-star + 0 RFC + 2 DME + 0 Patient Portal Login + 0 Completed Task</v>
      </c>
      <c r="M832" s="13"/>
      <c r="N832" s="13"/>
      <c r="O832" s="14"/>
      <c r="P832" s="14"/>
    </row>
    <row r="833" hidden="1">
      <c r="A833" s="54" t="s">
        <v>242</v>
      </c>
      <c r="B833" s="7" t="s">
        <v>26</v>
      </c>
      <c r="C833" s="7" t="s">
        <v>229</v>
      </c>
      <c r="D833" s="7" t="s">
        <v>28</v>
      </c>
      <c r="E833" s="17">
        <v>0.0</v>
      </c>
      <c r="F833" s="18">
        <v>2.0</v>
      </c>
      <c r="G833" s="18">
        <v>0.0</v>
      </c>
      <c r="H833" s="10">
        <v>1.0</v>
      </c>
      <c r="I833" s="19">
        <v>0.0</v>
      </c>
      <c r="J833" s="12"/>
      <c r="K833" s="12">
        <f t="shared" si="62"/>
        <v>1250</v>
      </c>
      <c r="L833" s="13" t="str">
        <f t="shared" si="63"/>
        <v>0 5-star + 2 RFC + 0 DME + 1 Patient Portal Login + 0 Completed Task</v>
      </c>
      <c r="M833" s="13"/>
      <c r="N833" s="13"/>
      <c r="O833" s="14"/>
      <c r="P833" s="14"/>
    </row>
    <row r="834" hidden="1">
      <c r="A834" s="54" t="s">
        <v>242</v>
      </c>
      <c r="B834" s="16" t="s">
        <v>23</v>
      </c>
      <c r="C834" s="16" t="s">
        <v>230</v>
      </c>
      <c r="D834" s="16" t="s">
        <v>25</v>
      </c>
      <c r="E834" s="17">
        <v>0.0</v>
      </c>
      <c r="F834" s="18">
        <v>0.0</v>
      </c>
      <c r="G834" s="18">
        <v>0.0</v>
      </c>
      <c r="H834" s="10">
        <v>3.0</v>
      </c>
      <c r="I834" s="19">
        <v>0.0</v>
      </c>
      <c r="J834" s="12"/>
      <c r="K834" s="12">
        <f t="shared" si="62"/>
        <v>750</v>
      </c>
      <c r="L834" s="13" t="str">
        <f t="shared" si="63"/>
        <v>0 5-star + 0 RFC + 0 DME + 3 Patient Portal Login + 0 Completed Task</v>
      </c>
      <c r="M834" s="13"/>
      <c r="N834" s="13"/>
      <c r="O834" s="14"/>
      <c r="P834" s="14"/>
    </row>
    <row r="835" hidden="1">
      <c r="A835" s="54" t="s">
        <v>242</v>
      </c>
      <c r="B835" s="16" t="s">
        <v>20</v>
      </c>
      <c r="C835" s="16" t="s">
        <v>231</v>
      </c>
      <c r="D835" s="16" t="s">
        <v>22</v>
      </c>
      <c r="E835" s="17">
        <v>0.0</v>
      </c>
      <c r="F835" s="18">
        <v>0.0</v>
      </c>
      <c r="G835" s="18">
        <v>6.0</v>
      </c>
      <c r="H835" s="10">
        <v>15.0</v>
      </c>
      <c r="I835" s="19">
        <v>0.0</v>
      </c>
      <c r="J835" s="12"/>
      <c r="K835" s="12">
        <f t="shared" si="62"/>
        <v>5250</v>
      </c>
      <c r="L835" s="13" t="str">
        <f t="shared" si="63"/>
        <v>0 5-star + 0 RFC + 6 DME + 15 Patient Portal Login + 0 Completed Task</v>
      </c>
      <c r="M835" s="13"/>
      <c r="N835" s="13"/>
      <c r="O835" s="14"/>
      <c r="P835" s="14"/>
    </row>
    <row r="836" hidden="1">
      <c r="A836" s="54" t="s">
        <v>242</v>
      </c>
      <c r="B836" s="16" t="s">
        <v>17</v>
      </c>
      <c r="C836" s="16" t="s">
        <v>232</v>
      </c>
      <c r="D836" s="16" t="s">
        <v>19</v>
      </c>
      <c r="E836" s="17">
        <v>0.0</v>
      </c>
      <c r="F836" s="18">
        <v>0.0</v>
      </c>
      <c r="G836" s="18">
        <v>0.0</v>
      </c>
      <c r="H836" s="10">
        <v>14.0</v>
      </c>
      <c r="I836" s="19">
        <v>0.0</v>
      </c>
      <c r="J836" s="12"/>
      <c r="K836" s="12">
        <f t="shared" si="62"/>
        <v>3500</v>
      </c>
      <c r="L836" s="13" t="str">
        <f t="shared" si="63"/>
        <v>0 5-star + 0 RFC + 0 DME + 14 Patient Portal Login + 0 Completed Task</v>
      </c>
      <c r="M836" s="13"/>
      <c r="N836" s="13"/>
      <c r="O836" s="14"/>
      <c r="P836" s="14"/>
    </row>
    <row r="837" hidden="1">
      <c r="A837" s="54" t="s">
        <v>242</v>
      </c>
      <c r="B837" s="16" t="s">
        <v>14</v>
      </c>
      <c r="C837" s="16" t="s">
        <v>233</v>
      </c>
      <c r="D837" s="16" t="s">
        <v>16</v>
      </c>
      <c r="E837" s="17">
        <v>0.0</v>
      </c>
      <c r="F837" s="18">
        <v>3.0</v>
      </c>
      <c r="G837" s="18">
        <v>1.0</v>
      </c>
      <c r="H837" s="10">
        <v>11.0</v>
      </c>
      <c r="I837" s="19">
        <v>0.0</v>
      </c>
      <c r="J837" s="12"/>
      <c r="K837" s="12">
        <f t="shared" si="62"/>
        <v>4500</v>
      </c>
      <c r="L837" s="13" t="str">
        <f t="shared" si="63"/>
        <v>0 5-star + 3 RFC + 1 DME + 11 Patient Portal Login + 0 Completed Task</v>
      </c>
      <c r="M837" s="13"/>
      <c r="N837" s="13"/>
      <c r="O837" s="14"/>
      <c r="P837" s="14"/>
    </row>
    <row r="838" hidden="1">
      <c r="A838" s="54" t="s">
        <v>242</v>
      </c>
      <c r="B838" s="7" t="s">
        <v>234</v>
      </c>
      <c r="C838" s="7" t="s">
        <v>235</v>
      </c>
      <c r="D838" s="7" t="s">
        <v>236</v>
      </c>
      <c r="E838" s="8">
        <v>0.0</v>
      </c>
      <c r="F838" s="9">
        <v>0.0</v>
      </c>
      <c r="G838" s="9">
        <v>0.0</v>
      </c>
      <c r="H838" s="15">
        <v>0.0</v>
      </c>
      <c r="I838" s="11">
        <v>0.0</v>
      </c>
      <c r="J838" s="12"/>
      <c r="K838" s="12">
        <f t="shared" si="62"/>
        <v>0</v>
      </c>
      <c r="L838" s="13" t="str">
        <f t="shared" si="63"/>
        <v>0 5-star + 0 RFC + 0 DME + 0 Patient Portal Login + 0 Completed Task</v>
      </c>
      <c r="M838" s="13"/>
      <c r="N838" s="13"/>
      <c r="O838" s="14"/>
      <c r="P838" s="14"/>
    </row>
    <row r="839" hidden="1">
      <c r="A839" s="6" t="s">
        <v>242</v>
      </c>
      <c r="B839" s="16" t="s">
        <v>35</v>
      </c>
      <c r="C839" s="16" t="s">
        <v>36</v>
      </c>
      <c r="D839" s="16" t="s">
        <v>37</v>
      </c>
      <c r="E839" s="17">
        <v>14.0</v>
      </c>
      <c r="F839" s="18">
        <v>0.0</v>
      </c>
      <c r="G839" s="18">
        <v>0.0</v>
      </c>
      <c r="H839" s="10">
        <v>0.0</v>
      </c>
      <c r="I839" s="19">
        <v>5.0</v>
      </c>
      <c r="J839" s="12"/>
      <c r="K839" s="12">
        <f t="shared" si="62"/>
        <v>4750</v>
      </c>
      <c r="L839" s="13" t="str">
        <f t="shared" si="63"/>
        <v>14 5-star + 0 RFC + 0 DME + 0 Patient Portal Login + 5 Completed Task</v>
      </c>
      <c r="M839" s="13"/>
      <c r="N839" s="13"/>
      <c r="O839" s="14"/>
      <c r="P839" s="14"/>
    </row>
    <row r="840" hidden="1">
      <c r="A840" s="6" t="s">
        <v>242</v>
      </c>
      <c r="B840" s="16" t="s">
        <v>41</v>
      </c>
      <c r="C840" s="16" t="s">
        <v>42</v>
      </c>
      <c r="D840" s="16" t="s">
        <v>43</v>
      </c>
      <c r="E840" s="17">
        <v>3.0</v>
      </c>
      <c r="F840" s="18">
        <v>1.0</v>
      </c>
      <c r="G840" s="18">
        <v>0.0</v>
      </c>
      <c r="H840" s="10">
        <v>5.0</v>
      </c>
      <c r="I840" s="19">
        <v>5.0</v>
      </c>
      <c r="J840" s="12"/>
      <c r="K840" s="12">
        <f t="shared" si="62"/>
        <v>3750</v>
      </c>
      <c r="L840" s="13" t="str">
        <f t="shared" si="63"/>
        <v>3 5-star + 1 RFC + 0 DME + 5 Patient Portal Login + 5 Completed Task</v>
      </c>
      <c r="M840" s="13"/>
      <c r="N840" s="13"/>
      <c r="O840" s="14"/>
      <c r="P840" s="14"/>
    </row>
    <row r="841" hidden="1">
      <c r="A841" s="6" t="s">
        <v>242</v>
      </c>
      <c r="B841" s="16" t="s">
        <v>44</v>
      </c>
      <c r="C841" s="16" t="s">
        <v>45</v>
      </c>
      <c r="D841" s="16" t="s">
        <v>46</v>
      </c>
      <c r="E841" s="17">
        <v>0.0</v>
      </c>
      <c r="F841" s="18">
        <v>2.0</v>
      </c>
      <c r="G841" s="18">
        <v>0.0</v>
      </c>
      <c r="H841" s="10">
        <v>0.0</v>
      </c>
      <c r="I841" s="19">
        <v>4.0</v>
      </c>
      <c r="J841" s="12"/>
      <c r="K841" s="12">
        <f t="shared" si="62"/>
        <v>2000</v>
      </c>
      <c r="L841" s="13" t="str">
        <f t="shared" si="63"/>
        <v>0 5-star + 2 RFC + 0 DME + 0 Patient Portal Login + 4 Completed Task</v>
      </c>
      <c r="M841" s="13"/>
      <c r="N841" s="13"/>
      <c r="O841" s="14"/>
      <c r="P841" s="14"/>
    </row>
    <row r="842" hidden="1">
      <c r="A842" s="6" t="s">
        <v>242</v>
      </c>
      <c r="B842" s="16" t="s">
        <v>47</v>
      </c>
      <c r="C842" s="16" t="s">
        <v>48</v>
      </c>
      <c r="D842" s="16" t="s">
        <v>49</v>
      </c>
      <c r="E842" s="17">
        <v>1.0</v>
      </c>
      <c r="F842" s="18">
        <v>0.0</v>
      </c>
      <c r="G842" s="18">
        <v>0.0</v>
      </c>
      <c r="H842" s="10">
        <v>1.0</v>
      </c>
      <c r="I842" s="19">
        <v>4.0</v>
      </c>
      <c r="J842" s="12"/>
      <c r="K842" s="12">
        <f t="shared" si="62"/>
        <v>1500</v>
      </c>
      <c r="L842" s="13" t="str">
        <f t="shared" si="63"/>
        <v>1 5-star + 0 RFC + 0 DME + 1 Patient Portal Login + 4 Completed Task</v>
      </c>
      <c r="M842" s="13"/>
      <c r="N842" s="13"/>
      <c r="O842" s="14"/>
      <c r="P842" s="14"/>
    </row>
    <row r="843" hidden="1">
      <c r="A843" s="6" t="s">
        <v>242</v>
      </c>
      <c r="B843" s="16" t="s">
        <v>50</v>
      </c>
      <c r="C843" s="16" t="s">
        <v>51</v>
      </c>
      <c r="D843" s="16" t="s">
        <v>52</v>
      </c>
      <c r="E843" s="8">
        <v>2.0</v>
      </c>
      <c r="F843" s="18">
        <v>3.0</v>
      </c>
      <c r="G843" s="18">
        <v>0.0</v>
      </c>
      <c r="H843" s="10">
        <v>3.0</v>
      </c>
      <c r="I843" s="19">
        <v>4.0</v>
      </c>
      <c r="J843" s="12"/>
      <c r="K843" s="12">
        <f t="shared" si="62"/>
        <v>3750</v>
      </c>
      <c r="L843" s="13" t="str">
        <f t="shared" si="63"/>
        <v>2 5-star + 3 RFC + 0 DME + 3 Patient Portal Login + 4 Completed Task</v>
      </c>
      <c r="M843" s="13"/>
      <c r="N843" s="13"/>
      <c r="O843" s="14"/>
      <c r="P843" s="14"/>
    </row>
    <row r="844" hidden="1">
      <c r="A844" s="6" t="s">
        <v>242</v>
      </c>
      <c r="B844" s="16" t="s">
        <v>53</v>
      </c>
      <c r="C844" s="16" t="s">
        <v>54</v>
      </c>
      <c r="D844" s="16" t="s">
        <v>55</v>
      </c>
      <c r="E844" s="17">
        <v>6.0</v>
      </c>
      <c r="F844" s="18">
        <v>0.0</v>
      </c>
      <c r="G844" s="18">
        <v>1.0</v>
      </c>
      <c r="H844" s="10">
        <v>1.0</v>
      </c>
      <c r="I844" s="19">
        <v>5.0</v>
      </c>
      <c r="J844" s="12"/>
      <c r="K844" s="12">
        <f t="shared" si="62"/>
        <v>3250</v>
      </c>
      <c r="L844" s="13" t="str">
        <f t="shared" si="63"/>
        <v>6 5-star + 0 RFC + 1 DME + 1 Patient Portal Login + 5 Completed Task</v>
      </c>
      <c r="M844" s="13"/>
      <c r="N844" s="13"/>
      <c r="O844" s="14"/>
      <c r="P844" s="14"/>
    </row>
    <row r="845" hidden="1">
      <c r="A845" s="6" t="s">
        <v>242</v>
      </c>
      <c r="B845" s="16" t="s">
        <v>56</v>
      </c>
      <c r="C845" s="16" t="s">
        <v>57</v>
      </c>
      <c r="D845" s="16" t="s">
        <v>58</v>
      </c>
      <c r="E845" s="17">
        <v>0.0</v>
      </c>
      <c r="F845" s="18">
        <v>0.0</v>
      </c>
      <c r="G845" s="18">
        <v>0.0</v>
      </c>
      <c r="H845" s="10">
        <v>0.0</v>
      </c>
      <c r="I845" s="19">
        <v>4.0</v>
      </c>
      <c r="J845" s="12"/>
      <c r="K845" s="12">
        <f t="shared" si="62"/>
        <v>1000</v>
      </c>
      <c r="L845" s="13" t="str">
        <f t="shared" si="63"/>
        <v>0 5-star + 0 RFC + 0 DME + 0 Patient Portal Login + 4 Completed Task</v>
      </c>
      <c r="M845" s="13"/>
      <c r="N845" s="13"/>
      <c r="O845" s="14"/>
      <c r="P845" s="14"/>
    </row>
    <row r="846" hidden="1">
      <c r="A846" s="6" t="s">
        <v>242</v>
      </c>
      <c r="B846" s="16" t="s">
        <v>59</v>
      </c>
      <c r="C846" s="16" t="s">
        <v>60</v>
      </c>
      <c r="D846" s="16" t="s">
        <v>61</v>
      </c>
      <c r="E846" s="17">
        <v>0.0</v>
      </c>
      <c r="F846" s="18">
        <v>0.0</v>
      </c>
      <c r="G846" s="18">
        <v>0.0</v>
      </c>
      <c r="H846" s="10">
        <v>0.0</v>
      </c>
      <c r="I846" s="19">
        <v>3.0</v>
      </c>
      <c r="J846" s="12"/>
      <c r="K846" s="12">
        <f t="shared" si="62"/>
        <v>750</v>
      </c>
      <c r="L846" s="13" t="str">
        <f t="shared" si="63"/>
        <v>0 5-star + 0 RFC + 0 DME + 0 Patient Portal Login + 3 Completed Task</v>
      </c>
      <c r="M846" s="13"/>
      <c r="N846" s="13"/>
      <c r="O846" s="14"/>
      <c r="P846" s="14"/>
    </row>
    <row r="847" hidden="1">
      <c r="A847" s="6" t="s">
        <v>242</v>
      </c>
      <c r="B847" s="16" t="s">
        <v>62</v>
      </c>
      <c r="C847" s="16" t="s">
        <v>63</v>
      </c>
      <c r="D847" s="16" t="s">
        <v>64</v>
      </c>
      <c r="E847" s="17">
        <v>0.0</v>
      </c>
      <c r="F847" s="18">
        <v>4.0</v>
      </c>
      <c r="G847" s="18">
        <v>0.0</v>
      </c>
      <c r="H847" s="10">
        <v>2.0</v>
      </c>
      <c r="I847" s="19">
        <v>5.0</v>
      </c>
      <c r="J847" s="12"/>
      <c r="K847" s="12">
        <f t="shared" si="62"/>
        <v>3750</v>
      </c>
      <c r="L847" s="13" t="str">
        <f t="shared" si="63"/>
        <v>0 5-star + 4 RFC + 0 DME + 2 Patient Portal Login + 5 Completed Task</v>
      </c>
      <c r="M847" s="13"/>
      <c r="N847" s="13"/>
      <c r="O847" s="14"/>
      <c r="P847" s="14"/>
    </row>
    <row r="848" hidden="1">
      <c r="A848" s="6" t="s">
        <v>242</v>
      </c>
      <c r="B848" s="16" t="s">
        <v>65</v>
      </c>
      <c r="C848" s="16" t="s">
        <v>66</v>
      </c>
      <c r="D848" s="16" t="s">
        <v>67</v>
      </c>
      <c r="E848" s="17">
        <v>0.0</v>
      </c>
      <c r="F848" s="18">
        <v>2.0</v>
      </c>
      <c r="G848" s="18">
        <v>0.0</v>
      </c>
      <c r="H848" s="10">
        <v>2.0</v>
      </c>
      <c r="I848" s="19">
        <v>4.0</v>
      </c>
      <c r="J848" s="12"/>
      <c r="K848" s="12">
        <f t="shared" si="62"/>
        <v>2500</v>
      </c>
      <c r="L848" s="13" t="str">
        <f t="shared" si="63"/>
        <v>0 5-star + 2 RFC + 0 DME + 2 Patient Portal Login + 4 Completed Task</v>
      </c>
      <c r="M848" s="13"/>
      <c r="N848" s="13"/>
      <c r="O848" s="14"/>
      <c r="P848" s="14"/>
    </row>
    <row r="849" hidden="1">
      <c r="A849" s="6" t="s">
        <v>242</v>
      </c>
      <c r="B849" s="16" t="s">
        <v>68</v>
      </c>
      <c r="C849" s="16" t="s">
        <v>69</v>
      </c>
      <c r="D849" s="16" t="s">
        <v>70</v>
      </c>
      <c r="E849" s="17">
        <v>2.0</v>
      </c>
      <c r="F849" s="18">
        <v>0.0</v>
      </c>
      <c r="G849" s="18">
        <v>0.0</v>
      </c>
      <c r="H849" s="10">
        <v>0.0</v>
      </c>
      <c r="I849" s="19">
        <v>5.0</v>
      </c>
      <c r="J849" s="12"/>
      <c r="K849" s="12">
        <f t="shared" si="62"/>
        <v>1750</v>
      </c>
      <c r="L849" s="13" t="str">
        <f t="shared" si="63"/>
        <v>2 5-star + 0 RFC + 0 DME + 0 Patient Portal Login + 5 Completed Task</v>
      </c>
      <c r="M849" s="13"/>
      <c r="N849" s="13"/>
      <c r="O849" s="14"/>
      <c r="P849" s="14"/>
    </row>
    <row r="850" hidden="1">
      <c r="A850" s="6" t="s">
        <v>242</v>
      </c>
      <c r="B850" s="16" t="s">
        <v>71</v>
      </c>
      <c r="C850" s="16" t="s">
        <v>72</v>
      </c>
      <c r="D850" s="16" t="s">
        <v>73</v>
      </c>
      <c r="E850" s="17">
        <v>0.0</v>
      </c>
      <c r="F850" s="18">
        <v>6.0</v>
      </c>
      <c r="G850" s="18">
        <v>0.0</v>
      </c>
      <c r="H850" s="10">
        <v>4.0</v>
      </c>
      <c r="I850" s="19">
        <v>5.0</v>
      </c>
      <c r="J850" s="12"/>
      <c r="K850" s="12">
        <f t="shared" si="62"/>
        <v>5250</v>
      </c>
      <c r="L850" s="13" t="str">
        <f t="shared" si="63"/>
        <v>0 5-star + 6 RFC + 0 DME + 4 Patient Portal Login + 5 Completed Task</v>
      </c>
      <c r="M850" s="13"/>
      <c r="N850" s="13"/>
      <c r="O850" s="14"/>
      <c r="P850" s="14"/>
    </row>
    <row r="851" hidden="1">
      <c r="A851" s="6" t="s">
        <v>242</v>
      </c>
      <c r="B851" s="16" t="s">
        <v>74</v>
      </c>
      <c r="C851" s="16" t="s">
        <v>75</v>
      </c>
      <c r="D851" s="16" t="s">
        <v>76</v>
      </c>
      <c r="E851" s="17">
        <v>0.0</v>
      </c>
      <c r="F851" s="18">
        <v>0.0</v>
      </c>
      <c r="G851" s="18">
        <v>0.0</v>
      </c>
      <c r="H851" s="10">
        <v>2.0</v>
      </c>
      <c r="I851" s="19">
        <v>3.0</v>
      </c>
      <c r="J851" s="12"/>
      <c r="K851" s="12">
        <f t="shared" si="62"/>
        <v>1250</v>
      </c>
      <c r="L851" s="13" t="str">
        <f t="shared" si="63"/>
        <v>0 5-star + 0 RFC + 0 DME + 2 Patient Portal Login + 3 Completed Task</v>
      </c>
      <c r="M851" s="13"/>
      <c r="N851" s="13"/>
      <c r="O851" s="14"/>
      <c r="P851" s="14"/>
    </row>
    <row r="852" hidden="1">
      <c r="A852" s="6" t="s">
        <v>242</v>
      </c>
      <c r="B852" s="16" t="s">
        <v>77</v>
      </c>
      <c r="C852" s="16" t="s">
        <v>78</v>
      </c>
      <c r="D852" s="16" t="s">
        <v>79</v>
      </c>
      <c r="E852" s="17">
        <v>25.0</v>
      </c>
      <c r="F852" s="18">
        <v>3.0</v>
      </c>
      <c r="G852" s="18">
        <v>0.0</v>
      </c>
      <c r="H852" s="10">
        <v>2.0</v>
      </c>
      <c r="I852" s="19">
        <v>2.0</v>
      </c>
      <c r="J852" s="12"/>
      <c r="K852" s="12">
        <f t="shared" si="62"/>
        <v>8750</v>
      </c>
      <c r="L852" s="13" t="str">
        <f t="shared" si="63"/>
        <v>25 5-star + 3 RFC + 0 DME + 2 Patient Portal Login + 2 Completed Task</v>
      </c>
      <c r="M852" s="13"/>
      <c r="N852" s="13"/>
      <c r="O852" s="14"/>
      <c r="P852" s="14"/>
    </row>
    <row r="853" hidden="1">
      <c r="A853" s="6" t="s">
        <v>242</v>
      </c>
      <c r="B853" s="16" t="s">
        <v>80</v>
      </c>
      <c r="C853" s="16" t="s">
        <v>81</v>
      </c>
      <c r="D853" s="16" t="s">
        <v>82</v>
      </c>
      <c r="E853" s="17">
        <v>0.0</v>
      </c>
      <c r="F853" s="18">
        <v>2.0</v>
      </c>
      <c r="G853" s="18">
        <v>0.0</v>
      </c>
      <c r="H853" s="10">
        <v>2.0</v>
      </c>
      <c r="I853" s="19">
        <v>3.0</v>
      </c>
      <c r="J853" s="12"/>
      <c r="K853" s="12">
        <f t="shared" si="62"/>
        <v>2250</v>
      </c>
      <c r="L853" s="13" t="str">
        <f t="shared" si="63"/>
        <v>0 5-star + 2 RFC + 0 DME + 2 Patient Portal Login + 3 Completed Task</v>
      </c>
      <c r="M853" s="13"/>
      <c r="N853" s="13"/>
      <c r="O853" s="14"/>
      <c r="P853" s="14"/>
    </row>
    <row r="854" hidden="1">
      <c r="A854" s="6" t="s">
        <v>242</v>
      </c>
      <c r="B854" s="7" t="s">
        <v>83</v>
      </c>
      <c r="C854" s="16" t="s">
        <v>84</v>
      </c>
      <c r="D854" s="16" t="s">
        <v>85</v>
      </c>
      <c r="E854" s="17">
        <v>0.0</v>
      </c>
      <c r="F854" s="18">
        <v>0.0</v>
      </c>
      <c r="G854" s="18">
        <v>0.0</v>
      </c>
      <c r="H854" s="10">
        <v>0.0</v>
      </c>
      <c r="I854" s="19">
        <v>4.0</v>
      </c>
      <c r="J854" s="12"/>
      <c r="K854" s="12">
        <f t="shared" si="62"/>
        <v>1000</v>
      </c>
      <c r="L854" s="13" t="str">
        <f t="shared" si="63"/>
        <v>0 5-star + 0 RFC + 0 DME + 0 Patient Portal Login + 4 Completed Task</v>
      </c>
      <c r="M854" s="13"/>
      <c r="N854" s="13"/>
      <c r="O854" s="14"/>
      <c r="P854" s="14"/>
    </row>
    <row r="855" hidden="1">
      <c r="A855" s="6" t="s">
        <v>242</v>
      </c>
      <c r="B855" s="16" t="s">
        <v>86</v>
      </c>
      <c r="C855" s="16" t="s">
        <v>87</v>
      </c>
      <c r="D855" s="16" t="s">
        <v>88</v>
      </c>
      <c r="E855" s="17">
        <v>2.0</v>
      </c>
      <c r="F855" s="18">
        <v>4.0</v>
      </c>
      <c r="G855" s="18">
        <v>0.0</v>
      </c>
      <c r="H855" s="10">
        <v>5.0</v>
      </c>
      <c r="I855" s="19">
        <v>5.0</v>
      </c>
      <c r="J855" s="12"/>
      <c r="K855" s="12">
        <f t="shared" si="62"/>
        <v>5000</v>
      </c>
      <c r="L855" s="13" t="str">
        <f t="shared" si="63"/>
        <v>2 5-star + 4 RFC + 0 DME + 5 Patient Portal Login + 5 Completed Task</v>
      </c>
      <c r="M855" s="13"/>
      <c r="N855" s="13"/>
      <c r="O855" s="14"/>
      <c r="P855" s="14"/>
    </row>
    <row r="856" hidden="1">
      <c r="A856" s="6" t="s">
        <v>242</v>
      </c>
      <c r="B856" s="16" t="s">
        <v>89</v>
      </c>
      <c r="C856" s="16" t="s">
        <v>90</v>
      </c>
      <c r="D856" s="16" t="s">
        <v>91</v>
      </c>
      <c r="E856" s="17">
        <v>0.0</v>
      </c>
      <c r="F856" s="18">
        <v>0.0</v>
      </c>
      <c r="G856" s="18">
        <v>0.0</v>
      </c>
      <c r="H856" s="10">
        <v>3.0</v>
      </c>
      <c r="I856" s="19">
        <v>5.0</v>
      </c>
      <c r="J856" s="12"/>
      <c r="K856" s="12">
        <f t="shared" si="62"/>
        <v>2000</v>
      </c>
      <c r="L856" s="13" t="str">
        <f t="shared" si="63"/>
        <v>0 5-star + 0 RFC + 0 DME + 3 Patient Portal Login + 5 Completed Task</v>
      </c>
      <c r="M856" s="13"/>
      <c r="N856" s="13"/>
      <c r="O856" s="14"/>
      <c r="P856" s="14"/>
    </row>
    <row r="857" hidden="1">
      <c r="A857" s="6" t="s">
        <v>242</v>
      </c>
      <c r="B857" s="16" t="s">
        <v>92</v>
      </c>
      <c r="C857" s="16" t="s">
        <v>93</v>
      </c>
      <c r="D857" s="16" t="s">
        <v>94</v>
      </c>
      <c r="E857" s="17">
        <v>0.0</v>
      </c>
      <c r="F857" s="18">
        <v>1.0</v>
      </c>
      <c r="G857" s="18">
        <v>0.0</v>
      </c>
      <c r="H857" s="10">
        <v>12.0</v>
      </c>
      <c r="I857" s="19">
        <v>5.0</v>
      </c>
      <c r="J857" s="12"/>
      <c r="K857" s="12">
        <f t="shared" si="62"/>
        <v>4750</v>
      </c>
      <c r="L857" s="13" t="str">
        <f t="shared" si="63"/>
        <v>0 5-star + 1 RFC + 0 DME + 12 Patient Portal Login + 5 Completed Task</v>
      </c>
      <c r="M857" s="13"/>
      <c r="N857" s="13"/>
      <c r="O857" s="14"/>
      <c r="P857" s="14"/>
    </row>
    <row r="858" hidden="1">
      <c r="A858" s="6" t="s">
        <v>242</v>
      </c>
      <c r="B858" s="7" t="s">
        <v>95</v>
      </c>
      <c r="C858" s="16" t="s">
        <v>96</v>
      </c>
      <c r="D858" s="16" t="s">
        <v>97</v>
      </c>
      <c r="E858" s="17">
        <v>0.0</v>
      </c>
      <c r="F858" s="18">
        <v>2.0</v>
      </c>
      <c r="G858" s="18">
        <v>0.0</v>
      </c>
      <c r="H858" s="10">
        <v>1.0</v>
      </c>
      <c r="I858" s="19">
        <v>5.0</v>
      </c>
      <c r="J858" s="12"/>
      <c r="K858" s="12">
        <f t="shared" si="62"/>
        <v>2500</v>
      </c>
      <c r="L858" s="13" t="str">
        <f t="shared" si="63"/>
        <v>0 5-star + 2 RFC + 0 DME + 1 Patient Portal Login + 5 Completed Task</v>
      </c>
      <c r="M858" s="13"/>
      <c r="N858" s="13"/>
      <c r="O858" s="14"/>
      <c r="P858" s="14"/>
    </row>
    <row r="859" hidden="1">
      <c r="A859" s="6" t="s">
        <v>242</v>
      </c>
      <c r="B859" s="16" t="s">
        <v>98</v>
      </c>
      <c r="C859" s="16" t="s">
        <v>99</v>
      </c>
      <c r="D859" s="16" t="s">
        <v>100</v>
      </c>
      <c r="E859" s="17">
        <v>0.0</v>
      </c>
      <c r="F859" s="18">
        <v>0.0</v>
      </c>
      <c r="G859" s="18">
        <v>0.0</v>
      </c>
      <c r="H859" s="10">
        <v>0.0</v>
      </c>
      <c r="I859" s="19">
        <v>3.0</v>
      </c>
      <c r="J859" s="12"/>
      <c r="K859" s="12">
        <f t="shared" si="62"/>
        <v>750</v>
      </c>
      <c r="L859" s="13" t="str">
        <f t="shared" si="63"/>
        <v>0 5-star + 0 RFC + 0 DME + 0 Patient Portal Login + 3 Completed Task</v>
      </c>
      <c r="M859" s="13"/>
      <c r="N859" s="13"/>
      <c r="O859" s="14"/>
      <c r="P859" s="14"/>
    </row>
    <row r="860" hidden="1">
      <c r="A860" s="6" t="s">
        <v>242</v>
      </c>
      <c r="B860" s="7" t="s">
        <v>101</v>
      </c>
      <c r="C860" s="16" t="s">
        <v>102</v>
      </c>
      <c r="D860" s="16" t="s">
        <v>103</v>
      </c>
      <c r="E860" s="17">
        <v>0.0</v>
      </c>
      <c r="F860" s="18">
        <v>2.0</v>
      </c>
      <c r="G860" s="18">
        <v>0.0</v>
      </c>
      <c r="H860" s="10">
        <v>0.0</v>
      </c>
      <c r="I860" s="19">
        <v>3.0</v>
      </c>
      <c r="J860" s="12"/>
      <c r="K860" s="12">
        <f t="shared" si="62"/>
        <v>1750</v>
      </c>
      <c r="L860" s="13" t="str">
        <f t="shared" si="63"/>
        <v>0 5-star + 2 RFC + 0 DME + 0 Patient Portal Login + 3 Completed Task</v>
      </c>
      <c r="M860" s="13"/>
      <c r="N860" s="13"/>
      <c r="O860" s="14"/>
      <c r="P860" s="14"/>
    </row>
    <row r="861" hidden="1">
      <c r="A861" s="6" t="s">
        <v>242</v>
      </c>
      <c r="B861" s="16" t="s">
        <v>104</v>
      </c>
      <c r="C861" s="16" t="s">
        <v>105</v>
      </c>
      <c r="D861" s="16" t="s">
        <v>106</v>
      </c>
      <c r="E861" s="17">
        <v>0.0</v>
      </c>
      <c r="F861" s="18">
        <v>3.0</v>
      </c>
      <c r="G861" s="18">
        <v>0.0</v>
      </c>
      <c r="H861" s="10">
        <v>4.0</v>
      </c>
      <c r="I861" s="19">
        <v>5.0</v>
      </c>
      <c r="J861" s="12"/>
      <c r="K861" s="12">
        <f t="shared" si="62"/>
        <v>3750</v>
      </c>
      <c r="L861" s="13" t="str">
        <f t="shared" si="63"/>
        <v>0 5-star + 3 RFC + 0 DME + 4 Patient Portal Login + 5 Completed Task</v>
      </c>
      <c r="M861" s="13"/>
      <c r="N861" s="13"/>
      <c r="O861" s="14"/>
      <c r="P861" s="14"/>
    </row>
    <row r="862" hidden="1">
      <c r="A862" s="6" t="s">
        <v>242</v>
      </c>
      <c r="B862" s="16" t="s">
        <v>107</v>
      </c>
      <c r="C862" s="16" t="s">
        <v>108</v>
      </c>
      <c r="D862" s="16" t="s">
        <v>109</v>
      </c>
      <c r="E862" s="17">
        <v>0.0</v>
      </c>
      <c r="F862" s="18">
        <v>2.0</v>
      </c>
      <c r="G862" s="18">
        <v>0.0</v>
      </c>
      <c r="H862" s="10">
        <v>0.0</v>
      </c>
      <c r="I862" s="19">
        <v>5.0</v>
      </c>
      <c r="J862" s="12"/>
      <c r="K862" s="12">
        <f t="shared" si="62"/>
        <v>2250</v>
      </c>
      <c r="L862" s="13" t="str">
        <f t="shared" si="63"/>
        <v>0 5-star + 2 RFC + 0 DME + 0 Patient Portal Login + 5 Completed Task</v>
      </c>
      <c r="M862" s="13"/>
      <c r="N862" s="13"/>
      <c r="O862" s="14"/>
      <c r="P862" s="14"/>
    </row>
    <row r="863" hidden="1">
      <c r="A863" s="6" t="s">
        <v>242</v>
      </c>
      <c r="B863" s="16" t="s">
        <v>110</v>
      </c>
      <c r="C863" s="16" t="s">
        <v>111</v>
      </c>
      <c r="D863" s="16" t="s">
        <v>112</v>
      </c>
      <c r="E863" s="17">
        <v>0.0</v>
      </c>
      <c r="F863" s="18">
        <v>0.0</v>
      </c>
      <c r="G863" s="18">
        <v>0.0</v>
      </c>
      <c r="H863" s="10">
        <v>0.0</v>
      </c>
      <c r="I863" s="19">
        <v>3.0</v>
      </c>
      <c r="J863" s="12"/>
      <c r="K863" s="12">
        <f t="shared" si="62"/>
        <v>750</v>
      </c>
      <c r="L863" s="13" t="str">
        <f t="shared" si="63"/>
        <v>0 5-star + 0 RFC + 0 DME + 0 Patient Portal Login + 3 Completed Task</v>
      </c>
      <c r="M863" s="13"/>
      <c r="N863" s="13"/>
      <c r="O863" s="14"/>
      <c r="P863" s="14"/>
    </row>
    <row r="864" hidden="1">
      <c r="A864" s="6" t="s">
        <v>242</v>
      </c>
      <c r="B864" s="16" t="s">
        <v>113</v>
      </c>
      <c r="C864" s="16" t="s">
        <v>114</v>
      </c>
      <c r="D864" s="16" t="s">
        <v>115</v>
      </c>
      <c r="E864" s="17">
        <v>0.0</v>
      </c>
      <c r="F864" s="18">
        <v>0.0</v>
      </c>
      <c r="G864" s="18">
        <v>2.0</v>
      </c>
      <c r="H864" s="10">
        <v>9.0</v>
      </c>
      <c r="I864" s="19">
        <v>5.0</v>
      </c>
      <c r="J864" s="12"/>
      <c r="K864" s="12">
        <f t="shared" si="62"/>
        <v>4000</v>
      </c>
      <c r="L864" s="13" t="str">
        <f t="shared" si="63"/>
        <v>0 5-star + 0 RFC + 2 DME + 9 Patient Portal Login + 5 Completed Task</v>
      </c>
      <c r="M864" s="13"/>
      <c r="N864" s="13"/>
      <c r="O864" s="14"/>
      <c r="P864" s="14"/>
    </row>
    <row r="865" hidden="1">
      <c r="A865" s="6" t="s">
        <v>242</v>
      </c>
      <c r="B865" s="7" t="s">
        <v>116</v>
      </c>
      <c r="C865" s="16" t="s">
        <v>117</v>
      </c>
      <c r="D865" s="16" t="s">
        <v>118</v>
      </c>
      <c r="E865" s="17">
        <v>1.0</v>
      </c>
      <c r="F865" s="18">
        <v>9.0</v>
      </c>
      <c r="G865" s="18">
        <v>0.0</v>
      </c>
      <c r="H865" s="10">
        <v>0.0</v>
      </c>
      <c r="I865" s="19">
        <v>3.0</v>
      </c>
      <c r="J865" s="12"/>
      <c r="K865" s="12">
        <f t="shared" si="62"/>
        <v>5500</v>
      </c>
      <c r="L865" s="13" t="str">
        <f t="shared" si="63"/>
        <v>1 5-star + 9 RFC + 0 DME + 0 Patient Portal Login + 3 Completed Task</v>
      </c>
      <c r="M865" s="13"/>
      <c r="N865" s="13"/>
      <c r="O865" s="14"/>
      <c r="P865" s="14"/>
    </row>
    <row r="866" hidden="1">
      <c r="A866" s="6" t="s">
        <v>242</v>
      </c>
      <c r="B866" s="16" t="s">
        <v>122</v>
      </c>
      <c r="C866" s="16" t="s">
        <v>123</v>
      </c>
      <c r="D866" s="16" t="s">
        <v>124</v>
      </c>
      <c r="E866" s="17">
        <v>0.0</v>
      </c>
      <c r="F866" s="18">
        <v>2.0</v>
      </c>
      <c r="G866" s="18">
        <v>0.0</v>
      </c>
      <c r="H866" s="10">
        <v>0.0</v>
      </c>
      <c r="I866" s="19">
        <v>5.0</v>
      </c>
      <c r="J866" s="12"/>
      <c r="K866" s="12">
        <f t="shared" si="62"/>
        <v>2250</v>
      </c>
      <c r="L866" s="13" t="str">
        <f t="shared" si="63"/>
        <v>0 5-star + 2 RFC + 0 DME + 0 Patient Portal Login + 5 Completed Task</v>
      </c>
      <c r="M866" s="13"/>
      <c r="N866" s="13"/>
      <c r="O866" s="14"/>
      <c r="P866" s="14"/>
    </row>
    <row r="867" hidden="1">
      <c r="A867" s="6" t="s">
        <v>242</v>
      </c>
      <c r="B867" s="16" t="s">
        <v>125</v>
      </c>
      <c r="C867" s="16" t="s">
        <v>126</v>
      </c>
      <c r="D867" s="16" t="s">
        <v>127</v>
      </c>
      <c r="E867" s="17">
        <v>0.0</v>
      </c>
      <c r="F867" s="18">
        <v>3.0</v>
      </c>
      <c r="G867" s="18">
        <v>0.0</v>
      </c>
      <c r="H867" s="10">
        <v>0.0</v>
      </c>
      <c r="I867" s="19">
        <v>5.0</v>
      </c>
      <c r="J867" s="12"/>
      <c r="K867" s="12">
        <f t="shared" si="62"/>
        <v>2750</v>
      </c>
      <c r="L867" s="13" t="str">
        <f t="shared" si="63"/>
        <v>0 5-star + 3 RFC + 0 DME + 0 Patient Portal Login + 5 Completed Task</v>
      </c>
      <c r="M867" s="13"/>
      <c r="N867" s="13"/>
      <c r="O867" s="14"/>
      <c r="P867" s="14"/>
    </row>
    <row r="868" hidden="1">
      <c r="A868" s="6" t="s">
        <v>242</v>
      </c>
      <c r="B868" s="16" t="s">
        <v>128</v>
      </c>
      <c r="C868" s="16" t="s">
        <v>129</v>
      </c>
      <c r="D868" s="16" t="s">
        <v>130</v>
      </c>
      <c r="E868" s="17">
        <v>0.0</v>
      </c>
      <c r="F868" s="18">
        <v>1.0</v>
      </c>
      <c r="G868" s="18">
        <v>0.0</v>
      </c>
      <c r="H868" s="10">
        <v>1.0</v>
      </c>
      <c r="I868" s="19">
        <v>5.0</v>
      </c>
      <c r="J868" s="12"/>
      <c r="K868" s="12">
        <f t="shared" si="62"/>
        <v>2000</v>
      </c>
      <c r="L868" s="13" t="str">
        <f t="shared" si="63"/>
        <v>0 5-star + 1 RFC + 0 DME + 1 Patient Portal Login + 5 Completed Task</v>
      </c>
      <c r="M868" s="13"/>
      <c r="N868" s="13"/>
      <c r="O868" s="14"/>
      <c r="P868" s="14"/>
    </row>
    <row r="869" hidden="1">
      <c r="A869" s="6" t="s">
        <v>242</v>
      </c>
      <c r="B869" s="16" t="s">
        <v>131</v>
      </c>
      <c r="C869" s="16" t="s">
        <v>132</v>
      </c>
      <c r="D869" s="16" t="s">
        <v>133</v>
      </c>
      <c r="E869" s="17">
        <v>13.0</v>
      </c>
      <c r="F869" s="18">
        <v>1.0</v>
      </c>
      <c r="G869" s="18">
        <v>1.0</v>
      </c>
      <c r="H869" s="10">
        <v>6.0</v>
      </c>
      <c r="I869" s="19">
        <v>5.0</v>
      </c>
      <c r="J869" s="12"/>
      <c r="K869" s="12">
        <f t="shared" si="62"/>
        <v>6750</v>
      </c>
      <c r="L869" s="13" t="str">
        <f t="shared" si="63"/>
        <v>13 5-star + 1 RFC + 1 DME + 6 Patient Portal Login + 5 Completed Task</v>
      </c>
      <c r="M869" s="13"/>
      <c r="N869" s="13"/>
      <c r="O869" s="14"/>
      <c r="P869" s="14"/>
    </row>
    <row r="870" hidden="1">
      <c r="A870" s="6" t="s">
        <v>242</v>
      </c>
      <c r="B870" s="16" t="s">
        <v>134</v>
      </c>
      <c r="C870" s="16" t="s">
        <v>135</v>
      </c>
      <c r="D870" s="16" t="s">
        <v>136</v>
      </c>
      <c r="E870" s="17">
        <v>1.0</v>
      </c>
      <c r="F870" s="18">
        <v>0.0</v>
      </c>
      <c r="G870" s="18">
        <v>0.0</v>
      </c>
      <c r="H870" s="10">
        <v>2.0</v>
      </c>
      <c r="I870" s="19">
        <v>5.0</v>
      </c>
      <c r="J870" s="12"/>
      <c r="K870" s="12">
        <f t="shared" si="62"/>
        <v>2000</v>
      </c>
      <c r="L870" s="13" t="str">
        <f t="shared" si="63"/>
        <v>1 5-star + 0 RFC + 0 DME + 2 Patient Portal Login + 5 Completed Task</v>
      </c>
      <c r="M870" s="13"/>
      <c r="N870" s="13"/>
      <c r="O870" s="14"/>
      <c r="P870" s="14"/>
    </row>
    <row r="871" hidden="1">
      <c r="A871" s="6" t="s">
        <v>242</v>
      </c>
      <c r="B871" s="16" t="s">
        <v>137</v>
      </c>
      <c r="C871" s="16" t="s">
        <v>138</v>
      </c>
      <c r="D871" s="16" t="s">
        <v>139</v>
      </c>
      <c r="E871" s="17">
        <v>0.0</v>
      </c>
      <c r="F871" s="18">
        <v>2.0</v>
      </c>
      <c r="G871" s="18">
        <v>1.0</v>
      </c>
      <c r="H871" s="10">
        <v>13.0</v>
      </c>
      <c r="I871" s="19">
        <v>5.0</v>
      </c>
      <c r="J871" s="12"/>
      <c r="K871" s="12">
        <f t="shared" si="62"/>
        <v>5750</v>
      </c>
      <c r="L871" s="13" t="str">
        <f t="shared" si="63"/>
        <v>0 5-star + 2 RFC + 1 DME + 13 Patient Portal Login + 5 Completed Task</v>
      </c>
      <c r="M871" s="13"/>
      <c r="N871" s="13"/>
      <c r="O871" s="14"/>
      <c r="P871" s="14"/>
    </row>
    <row r="872" hidden="1">
      <c r="A872" s="6" t="s">
        <v>242</v>
      </c>
      <c r="B872" s="16" t="s">
        <v>140</v>
      </c>
      <c r="C872" s="16" t="s">
        <v>141</v>
      </c>
      <c r="D872" s="16" t="s">
        <v>142</v>
      </c>
      <c r="E872" s="17">
        <v>2.0</v>
      </c>
      <c r="F872" s="18">
        <v>2.0</v>
      </c>
      <c r="G872" s="18">
        <v>0.0</v>
      </c>
      <c r="H872" s="10">
        <v>3.0</v>
      </c>
      <c r="I872" s="19">
        <v>5.0</v>
      </c>
      <c r="J872" s="12"/>
      <c r="K872" s="12">
        <f t="shared" si="62"/>
        <v>3500</v>
      </c>
      <c r="L872" s="13" t="str">
        <f t="shared" si="63"/>
        <v>2 5-star + 2 RFC + 0 DME + 3 Patient Portal Login + 5 Completed Task</v>
      </c>
      <c r="M872" s="13"/>
      <c r="N872" s="13"/>
      <c r="O872" s="14"/>
      <c r="P872" s="14"/>
    </row>
    <row r="873" hidden="1">
      <c r="A873" s="6" t="s">
        <v>242</v>
      </c>
      <c r="B873" s="16" t="s">
        <v>143</v>
      </c>
      <c r="C873" s="16" t="s">
        <v>144</v>
      </c>
      <c r="D873" s="16" t="s">
        <v>145</v>
      </c>
      <c r="E873" s="17">
        <v>1.0</v>
      </c>
      <c r="F873" s="18">
        <v>0.0</v>
      </c>
      <c r="G873" s="18">
        <v>0.0</v>
      </c>
      <c r="H873" s="10">
        <v>3.0</v>
      </c>
      <c r="I873" s="19">
        <v>5.0</v>
      </c>
      <c r="J873" s="12"/>
      <c r="K873" s="12">
        <f t="shared" si="62"/>
        <v>2250</v>
      </c>
      <c r="L873" s="13" t="str">
        <f t="shared" si="63"/>
        <v>1 5-star + 0 RFC + 0 DME + 3 Patient Portal Login + 5 Completed Task</v>
      </c>
      <c r="M873" s="13"/>
      <c r="N873" s="13"/>
      <c r="O873" s="14"/>
      <c r="P873" s="14"/>
    </row>
    <row r="874" hidden="1">
      <c r="A874" s="6" t="s">
        <v>242</v>
      </c>
      <c r="B874" s="16" t="s">
        <v>146</v>
      </c>
      <c r="C874" s="16" t="s">
        <v>147</v>
      </c>
      <c r="D874" s="16" t="s">
        <v>148</v>
      </c>
      <c r="E874" s="17">
        <v>0.0</v>
      </c>
      <c r="F874" s="18">
        <v>1.0</v>
      </c>
      <c r="G874" s="18">
        <v>2.0</v>
      </c>
      <c r="H874" s="10">
        <v>2.0</v>
      </c>
      <c r="I874" s="19">
        <v>5.0</v>
      </c>
      <c r="J874" s="12"/>
      <c r="K874" s="12">
        <f t="shared" si="62"/>
        <v>2750</v>
      </c>
      <c r="L874" s="13" t="str">
        <f t="shared" si="63"/>
        <v>0 5-star + 1 RFC + 2 DME + 2 Patient Portal Login + 5 Completed Task</v>
      </c>
      <c r="M874" s="13"/>
      <c r="N874" s="13"/>
      <c r="O874" s="14"/>
      <c r="P874" s="14"/>
    </row>
    <row r="875" hidden="1">
      <c r="A875" s="6" t="s">
        <v>242</v>
      </c>
      <c r="B875" s="16" t="s">
        <v>149</v>
      </c>
      <c r="C875" s="16" t="s">
        <v>150</v>
      </c>
      <c r="D875" s="16" t="s">
        <v>151</v>
      </c>
      <c r="E875" s="17">
        <v>0.0</v>
      </c>
      <c r="F875" s="18">
        <v>0.0</v>
      </c>
      <c r="G875" s="18">
        <v>0.0</v>
      </c>
      <c r="H875" s="10">
        <v>0.0</v>
      </c>
      <c r="I875" s="19">
        <v>4.0</v>
      </c>
      <c r="J875" s="12"/>
      <c r="K875" s="12">
        <f t="shared" si="62"/>
        <v>1000</v>
      </c>
      <c r="L875" s="13" t="str">
        <f t="shared" si="63"/>
        <v>0 5-star + 0 RFC + 0 DME + 0 Patient Portal Login + 4 Completed Task</v>
      </c>
      <c r="M875" s="13"/>
      <c r="N875" s="13"/>
      <c r="O875" s="14"/>
      <c r="P875" s="14"/>
    </row>
    <row r="876" hidden="1">
      <c r="A876" s="6" t="s">
        <v>242</v>
      </c>
      <c r="B876" s="16" t="s">
        <v>152</v>
      </c>
      <c r="C876" s="16" t="s">
        <v>153</v>
      </c>
      <c r="D876" s="16" t="s">
        <v>154</v>
      </c>
      <c r="E876" s="17">
        <v>0.0</v>
      </c>
      <c r="F876" s="18">
        <v>0.0</v>
      </c>
      <c r="G876" s="18">
        <v>0.0</v>
      </c>
      <c r="H876" s="10">
        <v>4.0</v>
      </c>
      <c r="I876" s="19">
        <v>5.0</v>
      </c>
      <c r="J876" s="12"/>
      <c r="K876" s="12">
        <f t="shared" si="62"/>
        <v>2250</v>
      </c>
      <c r="L876" s="13" t="str">
        <f t="shared" si="63"/>
        <v>0 5-star + 0 RFC + 0 DME + 4 Patient Portal Login + 5 Completed Task</v>
      </c>
      <c r="M876" s="13"/>
      <c r="N876" s="13"/>
      <c r="O876" s="14"/>
      <c r="P876" s="14"/>
    </row>
    <row r="877" hidden="1">
      <c r="A877" s="6" t="s">
        <v>242</v>
      </c>
      <c r="B877" s="16" t="s">
        <v>155</v>
      </c>
      <c r="C877" s="16" t="s">
        <v>156</v>
      </c>
      <c r="D877" s="16" t="s">
        <v>157</v>
      </c>
      <c r="E877" s="17">
        <v>4.0</v>
      </c>
      <c r="F877" s="18">
        <v>1.0</v>
      </c>
      <c r="G877" s="18">
        <v>0.0</v>
      </c>
      <c r="H877" s="10">
        <v>1.0</v>
      </c>
      <c r="I877" s="19">
        <v>4.0</v>
      </c>
      <c r="J877" s="12"/>
      <c r="K877" s="12">
        <f t="shared" si="62"/>
        <v>2750</v>
      </c>
      <c r="L877" s="13" t="str">
        <f t="shared" si="63"/>
        <v>4 5-star + 1 RFC + 0 DME + 1 Patient Portal Login + 4 Completed Task</v>
      </c>
      <c r="M877" s="13"/>
      <c r="N877" s="13"/>
      <c r="O877" s="14"/>
      <c r="P877" s="14"/>
    </row>
    <row r="878" hidden="1">
      <c r="A878" s="6" t="s">
        <v>242</v>
      </c>
      <c r="B878" s="16" t="s">
        <v>158</v>
      </c>
      <c r="C878" s="16" t="s">
        <v>159</v>
      </c>
      <c r="D878" s="16" t="s">
        <v>160</v>
      </c>
      <c r="E878" s="17">
        <v>1.0</v>
      </c>
      <c r="F878" s="18">
        <v>0.0</v>
      </c>
      <c r="G878" s="18">
        <v>1.0</v>
      </c>
      <c r="H878" s="10">
        <v>3.0</v>
      </c>
      <c r="I878" s="19">
        <v>5.0</v>
      </c>
      <c r="J878" s="12"/>
      <c r="K878" s="12">
        <f t="shared" si="62"/>
        <v>2500</v>
      </c>
      <c r="L878" s="13" t="str">
        <f t="shared" si="63"/>
        <v>1 5-star + 0 RFC + 1 DME + 3 Patient Portal Login + 5 Completed Task</v>
      </c>
      <c r="M878" s="13"/>
      <c r="N878" s="13"/>
      <c r="O878" s="14"/>
      <c r="P878" s="14"/>
    </row>
    <row r="879" hidden="1">
      <c r="A879" s="6" t="s">
        <v>242</v>
      </c>
      <c r="B879" s="20" t="s">
        <v>161</v>
      </c>
      <c r="C879" s="20" t="s">
        <v>162</v>
      </c>
      <c r="D879" s="20" t="s">
        <v>163</v>
      </c>
      <c r="E879" s="17">
        <v>0.0</v>
      </c>
      <c r="F879" s="18">
        <v>1.0</v>
      </c>
      <c r="G879" s="18">
        <v>2.0</v>
      </c>
      <c r="H879" s="10">
        <v>1.0</v>
      </c>
      <c r="I879" s="19">
        <v>5.0</v>
      </c>
      <c r="J879" s="12"/>
      <c r="K879" s="12">
        <f t="shared" si="62"/>
        <v>2500</v>
      </c>
      <c r="L879" s="13" t="str">
        <f> E879 &amp; " 5-star + " &amp; E866 &amp; " RFC + " &amp; G879 &amp; " DME + " &amp; H879 &amp; " Patient Portal Login + " &amp; I879 &amp; " Completed Task"
</f>
        <v>0 5-star + 0 RFC + 2 DME + 1 Patient Portal Login + 5 Completed Task</v>
      </c>
      <c r="M879" s="13"/>
      <c r="N879" s="13"/>
      <c r="O879" s="14"/>
      <c r="P879" s="14"/>
    </row>
    <row r="880" hidden="1">
      <c r="A880" s="6" t="s">
        <v>242</v>
      </c>
      <c r="B880" s="20" t="s">
        <v>164</v>
      </c>
      <c r="C880" s="20" t="s">
        <v>165</v>
      </c>
      <c r="D880" s="20" t="s">
        <v>166</v>
      </c>
      <c r="E880" s="17">
        <v>0.0</v>
      </c>
      <c r="F880" s="18">
        <v>0.0</v>
      </c>
      <c r="G880" s="18">
        <v>0.0</v>
      </c>
      <c r="H880" s="10">
        <v>2.0</v>
      </c>
      <c r="I880" s="19">
        <v>5.0</v>
      </c>
      <c r="J880" s="12"/>
      <c r="K880" s="12">
        <f t="shared" si="62"/>
        <v>1750</v>
      </c>
      <c r="L880" s="13" t="str">
        <f t="shared" ref="L880:L921" si="64"> E880 &amp; " 5-star + " &amp; F880 &amp; " RFC + " &amp; G880 &amp; " DME + " &amp; H880 &amp; " Patient Portal Login + " &amp; I880 &amp; " Completed Task"
</f>
        <v>0 5-star + 0 RFC + 0 DME + 2 Patient Portal Login + 5 Completed Task</v>
      </c>
      <c r="M880" s="13"/>
      <c r="N880" s="13"/>
      <c r="O880" s="14"/>
      <c r="P880" s="14"/>
    </row>
    <row r="881" hidden="1">
      <c r="A881" s="6" t="s">
        <v>242</v>
      </c>
      <c r="B881" s="20" t="s">
        <v>167</v>
      </c>
      <c r="C881" s="20" t="s">
        <v>168</v>
      </c>
      <c r="D881" s="20" t="s">
        <v>169</v>
      </c>
      <c r="E881" s="17">
        <v>0.0</v>
      </c>
      <c r="F881" s="18">
        <v>0.0</v>
      </c>
      <c r="G881" s="18">
        <v>0.0</v>
      </c>
      <c r="H881" s="10">
        <v>7.0</v>
      </c>
      <c r="I881" s="19">
        <v>5.0</v>
      </c>
      <c r="J881" s="12"/>
      <c r="K881" s="12">
        <f t="shared" si="62"/>
        <v>3000</v>
      </c>
      <c r="L881" s="13" t="str">
        <f t="shared" si="64"/>
        <v>0 5-star + 0 RFC + 0 DME + 7 Patient Portal Login + 5 Completed Task</v>
      </c>
      <c r="M881" s="13"/>
      <c r="N881" s="13"/>
      <c r="O881" s="14"/>
      <c r="P881" s="14"/>
    </row>
    <row r="882" hidden="1">
      <c r="A882" s="6" t="s">
        <v>242</v>
      </c>
      <c r="B882" s="20" t="s">
        <v>170</v>
      </c>
      <c r="C882" s="20" t="s">
        <v>171</v>
      </c>
      <c r="D882" s="20" t="s">
        <v>172</v>
      </c>
      <c r="E882" s="17">
        <v>0.0</v>
      </c>
      <c r="F882" s="18">
        <v>1.0</v>
      </c>
      <c r="G882" s="18">
        <v>0.0</v>
      </c>
      <c r="H882" s="10">
        <v>6.0</v>
      </c>
      <c r="I882" s="19">
        <v>5.0</v>
      </c>
      <c r="J882" s="12"/>
      <c r="K882" s="12">
        <f t="shared" si="62"/>
        <v>3250</v>
      </c>
      <c r="L882" s="13" t="str">
        <f t="shared" si="64"/>
        <v>0 5-star + 1 RFC + 0 DME + 6 Patient Portal Login + 5 Completed Task</v>
      </c>
      <c r="M882" s="13"/>
      <c r="N882" s="13"/>
      <c r="O882" s="14"/>
      <c r="P882" s="14"/>
    </row>
    <row r="883" hidden="1">
      <c r="A883" s="6" t="s">
        <v>242</v>
      </c>
      <c r="B883" s="16" t="s">
        <v>173</v>
      </c>
      <c r="C883" s="16" t="s">
        <v>174</v>
      </c>
      <c r="D883" s="16" t="s">
        <v>175</v>
      </c>
      <c r="E883" s="17">
        <v>2.0</v>
      </c>
      <c r="F883" s="18">
        <v>0.0</v>
      </c>
      <c r="G883" s="18">
        <v>0.0</v>
      </c>
      <c r="H883" s="10">
        <v>14.0</v>
      </c>
      <c r="I883" s="19">
        <v>5.0</v>
      </c>
      <c r="J883" s="12"/>
      <c r="K883" s="12">
        <f t="shared" si="62"/>
        <v>5250</v>
      </c>
      <c r="L883" s="13" t="str">
        <f t="shared" si="64"/>
        <v>2 5-star + 0 RFC + 0 DME + 14 Patient Portal Login + 5 Completed Task</v>
      </c>
      <c r="M883" s="13"/>
      <c r="N883" s="13"/>
      <c r="O883" s="14"/>
      <c r="P883" s="14"/>
    </row>
    <row r="884" hidden="1">
      <c r="A884" s="6" t="s">
        <v>242</v>
      </c>
      <c r="B884" s="16" t="s">
        <v>176</v>
      </c>
      <c r="C884" s="16" t="s">
        <v>177</v>
      </c>
      <c r="D884" s="16" t="s">
        <v>178</v>
      </c>
      <c r="E884" s="17">
        <v>0.0</v>
      </c>
      <c r="F884" s="18">
        <v>0.0</v>
      </c>
      <c r="G884" s="18">
        <v>0.0</v>
      </c>
      <c r="H884" s="10">
        <v>0.0</v>
      </c>
      <c r="I884" s="19">
        <v>5.0</v>
      </c>
      <c r="J884" s="12"/>
      <c r="K884" s="12">
        <f t="shared" si="62"/>
        <v>1250</v>
      </c>
      <c r="L884" s="13" t="str">
        <f t="shared" si="64"/>
        <v>0 5-star + 0 RFC + 0 DME + 0 Patient Portal Login + 5 Completed Task</v>
      </c>
      <c r="M884" s="13"/>
      <c r="N884" s="13"/>
      <c r="O884" s="14"/>
      <c r="P884" s="14"/>
    </row>
    <row r="885" hidden="1">
      <c r="A885" s="6" t="s">
        <v>242</v>
      </c>
      <c r="B885" s="21" t="s">
        <v>179</v>
      </c>
      <c r="C885" s="21" t="s">
        <v>180</v>
      </c>
      <c r="D885" s="21" t="s">
        <v>181</v>
      </c>
      <c r="E885" s="22">
        <v>0.0</v>
      </c>
      <c r="F885" s="18">
        <v>0.0</v>
      </c>
      <c r="G885" s="18">
        <v>4.0</v>
      </c>
      <c r="H885" s="10">
        <v>1.0</v>
      </c>
      <c r="I885" s="19">
        <v>5.0</v>
      </c>
      <c r="J885" s="12"/>
      <c r="K885" s="12">
        <f t="shared" si="62"/>
        <v>2500</v>
      </c>
      <c r="L885" s="13" t="str">
        <f t="shared" si="64"/>
        <v>0 5-star + 0 RFC + 4 DME + 1 Patient Portal Login + 5 Completed Task</v>
      </c>
      <c r="M885" s="13"/>
      <c r="N885" s="13"/>
      <c r="O885" s="23"/>
      <c r="P885" s="23"/>
    </row>
    <row r="886" hidden="1">
      <c r="A886" s="6" t="s">
        <v>242</v>
      </c>
      <c r="B886" s="21" t="s">
        <v>182</v>
      </c>
      <c r="C886" s="21" t="s">
        <v>183</v>
      </c>
      <c r="D886" s="21" t="s">
        <v>184</v>
      </c>
      <c r="E886" s="17">
        <v>0.0</v>
      </c>
      <c r="F886" s="18">
        <v>0.0</v>
      </c>
      <c r="G886" s="18">
        <v>0.0</v>
      </c>
      <c r="H886" s="10">
        <v>0.0</v>
      </c>
      <c r="I886" s="19">
        <v>5.0</v>
      </c>
      <c r="J886" s="12"/>
      <c r="K886" s="12">
        <f t="shared" si="62"/>
        <v>1250</v>
      </c>
      <c r="L886" s="13" t="str">
        <f t="shared" si="64"/>
        <v>0 5-star + 0 RFC + 0 DME + 0 Patient Portal Login + 5 Completed Task</v>
      </c>
      <c r="M886" s="13"/>
      <c r="N886" s="13"/>
      <c r="O886" s="23"/>
      <c r="P886" s="23"/>
    </row>
    <row r="887" hidden="1">
      <c r="A887" s="6" t="s">
        <v>242</v>
      </c>
      <c r="B887" s="21" t="s">
        <v>185</v>
      </c>
      <c r="C887" s="21" t="s">
        <v>186</v>
      </c>
      <c r="D887" s="21" t="s">
        <v>187</v>
      </c>
      <c r="E887" s="17">
        <v>46.0</v>
      </c>
      <c r="F887" s="18">
        <v>2.0</v>
      </c>
      <c r="G887" s="18">
        <v>1.0</v>
      </c>
      <c r="H887" s="10">
        <v>1.0</v>
      </c>
      <c r="I887" s="19">
        <v>5.0</v>
      </c>
      <c r="J887" s="12"/>
      <c r="K887" s="12">
        <f t="shared" si="62"/>
        <v>14250</v>
      </c>
      <c r="L887" s="13" t="str">
        <f t="shared" si="64"/>
        <v>46 5-star + 2 RFC + 1 DME + 1 Patient Portal Login + 5 Completed Task</v>
      </c>
      <c r="M887" s="13"/>
      <c r="N887" s="13"/>
      <c r="O887" s="23"/>
      <c r="P887" s="23"/>
    </row>
    <row r="888" hidden="1">
      <c r="A888" s="6" t="s">
        <v>242</v>
      </c>
      <c r="B888" s="21" t="s">
        <v>188</v>
      </c>
      <c r="C888" s="21" t="s">
        <v>189</v>
      </c>
      <c r="D888" s="21" t="s">
        <v>190</v>
      </c>
      <c r="E888" s="17">
        <v>5.0</v>
      </c>
      <c r="F888" s="18">
        <v>1.0</v>
      </c>
      <c r="G888" s="18">
        <v>0.0</v>
      </c>
      <c r="H888" s="10">
        <v>9.0</v>
      </c>
      <c r="I888" s="19">
        <v>5.0</v>
      </c>
      <c r="J888" s="12"/>
      <c r="K888" s="12">
        <f t="shared" si="62"/>
        <v>5250</v>
      </c>
      <c r="L888" s="13" t="str">
        <f t="shared" si="64"/>
        <v>5 5-star + 1 RFC + 0 DME + 9 Patient Portal Login + 5 Completed Task</v>
      </c>
      <c r="M888" s="13"/>
      <c r="N888" s="13"/>
      <c r="O888" s="23"/>
      <c r="P888" s="23"/>
    </row>
    <row r="889" hidden="1">
      <c r="A889" s="6" t="s">
        <v>242</v>
      </c>
      <c r="B889" s="21" t="s">
        <v>191</v>
      </c>
      <c r="C889" s="21" t="s">
        <v>192</v>
      </c>
      <c r="D889" s="21" t="s">
        <v>193</v>
      </c>
      <c r="E889" s="17">
        <v>0.0</v>
      </c>
      <c r="F889" s="18">
        <v>0.0</v>
      </c>
      <c r="G889" s="18">
        <v>4.0</v>
      </c>
      <c r="H889" s="10">
        <v>4.0</v>
      </c>
      <c r="I889" s="19">
        <v>5.0</v>
      </c>
      <c r="J889" s="12"/>
      <c r="K889" s="12">
        <f t="shared" si="62"/>
        <v>3250</v>
      </c>
      <c r="L889" s="13" t="str">
        <f t="shared" si="64"/>
        <v>0 5-star + 0 RFC + 4 DME + 4 Patient Portal Login + 5 Completed Task</v>
      </c>
      <c r="M889" s="13"/>
      <c r="N889" s="13"/>
      <c r="O889" s="23"/>
      <c r="P889" s="23"/>
    </row>
    <row r="890" hidden="1">
      <c r="A890" s="6" t="s">
        <v>242</v>
      </c>
      <c r="B890" s="21" t="s">
        <v>194</v>
      </c>
      <c r="C890" s="21" t="s">
        <v>195</v>
      </c>
      <c r="D890" s="21" t="s">
        <v>196</v>
      </c>
      <c r="E890" s="17">
        <v>0.0</v>
      </c>
      <c r="F890" s="18">
        <v>0.0</v>
      </c>
      <c r="G890" s="18">
        <v>1.0</v>
      </c>
      <c r="H890" s="10">
        <v>2.0</v>
      </c>
      <c r="I890" s="19">
        <v>3.0</v>
      </c>
      <c r="J890" s="12"/>
      <c r="K890" s="12">
        <f t="shared" si="62"/>
        <v>1500</v>
      </c>
      <c r="L890" s="13" t="str">
        <f t="shared" si="64"/>
        <v>0 5-star + 0 RFC + 1 DME + 2 Patient Portal Login + 3 Completed Task</v>
      </c>
      <c r="M890" s="13"/>
      <c r="N890" s="13"/>
      <c r="O890" s="23"/>
      <c r="P890" s="23"/>
    </row>
    <row r="891" hidden="1">
      <c r="A891" s="6" t="s">
        <v>242</v>
      </c>
      <c r="B891" s="21" t="s">
        <v>197</v>
      </c>
      <c r="C891" s="21" t="s">
        <v>198</v>
      </c>
      <c r="D891" s="21" t="s">
        <v>199</v>
      </c>
      <c r="E891" s="17">
        <v>0.0</v>
      </c>
      <c r="F891" s="18">
        <v>0.0</v>
      </c>
      <c r="G891" s="18">
        <v>0.0</v>
      </c>
      <c r="H891" s="10">
        <v>1.0</v>
      </c>
      <c r="I891" s="19">
        <v>5.0</v>
      </c>
      <c r="J891" s="12"/>
      <c r="K891" s="12">
        <f t="shared" si="62"/>
        <v>1500</v>
      </c>
      <c r="L891" s="13" t="str">
        <f t="shared" si="64"/>
        <v>0 5-star + 0 RFC + 0 DME + 1 Patient Portal Login + 5 Completed Task</v>
      </c>
      <c r="M891" s="13"/>
      <c r="N891" s="13"/>
      <c r="O891" s="23"/>
      <c r="P891" s="23"/>
    </row>
    <row r="892" hidden="1">
      <c r="A892" s="6" t="s">
        <v>242</v>
      </c>
      <c r="B892" s="21" t="s">
        <v>200</v>
      </c>
      <c r="C892" s="21" t="s">
        <v>201</v>
      </c>
      <c r="D892" s="21" t="s">
        <v>202</v>
      </c>
      <c r="E892" s="17">
        <v>0.0</v>
      </c>
      <c r="F892" s="18">
        <v>0.0</v>
      </c>
      <c r="G892" s="18">
        <v>0.0</v>
      </c>
      <c r="H892" s="10">
        <v>0.0</v>
      </c>
      <c r="I892" s="19">
        <v>2.0</v>
      </c>
      <c r="J892" s="12"/>
      <c r="K892" s="12">
        <f t="shared" si="62"/>
        <v>500</v>
      </c>
      <c r="L892" s="13" t="str">
        <f t="shared" si="64"/>
        <v>0 5-star + 0 RFC + 0 DME + 0 Patient Portal Login + 2 Completed Task</v>
      </c>
      <c r="M892" s="13"/>
      <c r="N892" s="13"/>
      <c r="O892" s="23"/>
      <c r="P892" s="23"/>
    </row>
    <row r="893" hidden="1">
      <c r="A893" s="6" t="s">
        <v>243</v>
      </c>
      <c r="B893" s="16" t="s">
        <v>35</v>
      </c>
      <c r="C893" s="16" t="s">
        <v>36</v>
      </c>
      <c r="D893" s="16" t="s">
        <v>37</v>
      </c>
      <c r="E893" s="17">
        <v>4.0</v>
      </c>
      <c r="F893" s="18">
        <v>0.0</v>
      </c>
      <c r="G893" s="18">
        <v>0.0</v>
      </c>
      <c r="H893" s="10">
        <v>1.0</v>
      </c>
      <c r="I893" s="19">
        <v>0.0</v>
      </c>
      <c r="J893" s="12"/>
      <c r="K893" s="12">
        <f t="shared" si="62"/>
        <v>1250</v>
      </c>
      <c r="L893" s="13" t="str">
        <f t="shared" si="64"/>
        <v>4 5-star + 0 RFC + 0 DME + 1 Patient Portal Login + 0 Completed Task</v>
      </c>
      <c r="M893" s="13"/>
      <c r="N893" s="13"/>
      <c r="O893" s="14"/>
      <c r="P893" s="14"/>
    </row>
    <row r="894" hidden="1">
      <c r="A894" s="6" t="s">
        <v>243</v>
      </c>
      <c r="B894" s="16" t="s">
        <v>38</v>
      </c>
      <c r="C894" s="16" t="s">
        <v>39</v>
      </c>
      <c r="D894" s="16" t="s">
        <v>40</v>
      </c>
      <c r="E894" s="17">
        <v>3.0</v>
      </c>
      <c r="F894" s="18">
        <v>0.0</v>
      </c>
      <c r="G894" s="18">
        <v>1.0</v>
      </c>
      <c r="H894" s="10">
        <v>2.0</v>
      </c>
      <c r="I894" s="19">
        <v>5.0</v>
      </c>
      <c r="J894" s="12"/>
      <c r="K894" s="12">
        <f t="shared" si="62"/>
        <v>2750</v>
      </c>
      <c r="L894" s="13" t="str">
        <f t="shared" si="64"/>
        <v>3 5-star + 0 RFC + 1 DME + 2 Patient Portal Login + 5 Completed Task</v>
      </c>
      <c r="M894" s="13"/>
      <c r="N894" s="13"/>
      <c r="O894" s="14"/>
      <c r="P894" s="14"/>
    </row>
    <row r="895" hidden="1">
      <c r="A895" s="6" t="s">
        <v>243</v>
      </c>
      <c r="B895" s="16" t="s">
        <v>41</v>
      </c>
      <c r="C895" s="16" t="s">
        <v>42</v>
      </c>
      <c r="D895" s="16" t="s">
        <v>43</v>
      </c>
      <c r="E895" s="17">
        <v>1.0</v>
      </c>
      <c r="F895" s="18">
        <v>2.0</v>
      </c>
      <c r="G895" s="18">
        <v>0.0</v>
      </c>
      <c r="H895" s="10">
        <v>1.0</v>
      </c>
      <c r="I895" s="19">
        <v>5.0</v>
      </c>
      <c r="J895" s="12"/>
      <c r="K895" s="12">
        <f t="shared" si="62"/>
        <v>2750</v>
      </c>
      <c r="L895" s="13" t="str">
        <f t="shared" si="64"/>
        <v>1 5-star + 2 RFC + 0 DME + 1 Patient Portal Login + 5 Completed Task</v>
      </c>
      <c r="M895" s="13"/>
      <c r="N895" s="13"/>
      <c r="O895" s="14"/>
      <c r="P895" s="14"/>
    </row>
    <row r="896" hidden="1">
      <c r="A896" s="6" t="s">
        <v>243</v>
      </c>
      <c r="B896" s="16" t="s">
        <v>44</v>
      </c>
      <c r="C896" s="16" t="s">
        <v>45</v>
      </c>
      <c r="D896" s="16" t="s">
        <v>46</v>
      </c>
      <c r="E896" s="17">
        <v>0.0</v>
      </c>
      <c r="F896" s="18">
        <v>0.0</v>
      </c>
      <c r="G896" s="18">
        <v>0.0</v>
      </c>
      <c r="H896" s="10">
        <v>15.0</v>
      </c>
      <c r="I896" s="19">
        <v>5.0</v>
      </c>
      <c r="J896" s="12"/>
      <c r="K896" s="12">
        <f t="shared" si="62"/>
        <v>5000</v>
      </c>
      <c r="L896" s="13" t="str">
        <f t="shared" si="64"/>
        <v>0 5-star + 0 RFC + 0 DME + 15 Patient Portal Login + 5 Completed Task</v>
      </c>
      <c r="M896" s="13"/>
      <c r="N896" s="13"/>
      <c r="O896" s="14"/>
      <c r="P896" s="14"/>
    </row>
    <row r="897" hidden="1">
      <c r="A897" s="6" t="s">
        <v>243</v>
      </c>
      <c r="B897" s="16" t="s">
        <v>47</v>
      </c>
      <c r="C897" s="16" t="s">
        <v>48</v>
      </c>
      <c r="D897" s="16" t="s">
        <v>49</v>
      </c>
      <c r="E897" s="17">
        <v>15.0</v>
      </c>
      <c r="F897" s="18">
        <v>0.0</v>
      </c>
      <c r="G897" s="18">
        <v>1.0</v>
      </c>
      <c r="H897" s="10">
        <v>7.0</v>
      </c>
      <c r="I897" s="19">
        <v>3.0</v>
      </c>
      <c r="J897" s="12"/>
      <c r="K897" s="12">
        <f t="shared" si="62"/>
        <v>6500</v>
      </c>
      <c r="L897" s="13" t="str">
        <f t="shared" si="64"/>
        <v>15 5-star + 0 RFC + 1 DME + 7 Patient Portal Login + 3 Completed Task</v>
      </c>
      <c r="M897" s="13"/>
      <c r="N897" s="13"/>
      <c r="O897" s="14"/>
      <c r="P897" s="14"/>
    </row>
    <row r="898" hidden="1">
      <c r="A898" s="6" t="s">
        <v>243</v>
      </c>
      <c r="B898" s="16" t="s">
        <v>50</v>
      </c>
      <c r="C898" s="16" t="s">
        <v>51</v>
      </c>
      <c r="D898" s="16" t="s">
        <v>52</v>
      </c>
      <c r="E898" s="17">
        <v>3.0</v>
      </c>
      <c r="F898" s="18">
        <v>0.0</v>
      </c>
      <c r="G898" s="18">
        <v>2.0</v>
      </c>
      <c r="H898" s="10">
        <v>1.0</v>
      </c>
      <c r="I898" s="19">
        <v>5.0</v>
      </c>
      <c r="J898" s="12"/>
      <c r="K898" s="12">
        <f t="shared" si="62"/>
        <v>2750</v>
      </c>
      <c r="L898" s="13" t="str">
        <f t="shared" si="64"/>
        <v>3 5-star + 0 RFC + 2 DME + 1 Patient Portal Login + 5 Completed Task</v>
      </c>
      <c r="M898" s="13"/>
      <c r="N898" s="13"/>
      <c r="O898" s="14"/>
      <c r="P898" s="14"/>
    </row>
    <row r="899" hidden="1">
      <c r="A899" s="6" t="s">
        <v>243</v>
      </c>
      <c r="B899" s="16" t="s">
        <v>53</v>
      </c>
      <c r="C899" s="16" t="s">
        <v>54</v>
      </c>
      <c r="D899" s="16" t="s">
        <v>55</v>
      </c>
      <c r="E899" s="17">
        <v>2.0</v>
      </c>
      <c r="F899" s="18">
        <v>4.0</v>
      </c>
      <c r="G899" s="18">
        <v>0.0</v>
      </c>
      <c r="H899" s="10">
        <v>2.0</v>
      </c>
      <c r="I899" s="19">
        <v>5.0</v>
      </c>
      <c r="J899" s="12"/>
      <c r="K899" s="12">
        <f t="shared" si="62"/>
        <v>4250</v>
      </c>
      <c r="L899" s="13" t="str">
        <f t="shared" si="64"/>
        <v>2 5-star + 4 RFC + 0 DME + 2 Patient Portal Login + 5 Completed Task</v>
      </c>
      <c r="M899" s="13"/>
      <c r="N899" s="13"/>
      <c r="O899" s="14"/>
      <c r="P899" s="14"/>
    </row>
    <row r="900" hidden="1">
      <c r="A900" s="6" t="s">
        <v>243</v>
      </c>
      <c r="B900" s="16" t="s">
        <v>56</v>
      </c>
      <c r="C900" s="16" t="s">
        <v>57</v>
      </c>
      <c r="D900" s="16" t="s">
        <v>58</v>
      </c>
      <c r="E900" s="17">
        <v>0.0</v>
      </c>
      <c r="F900" s="18">
        <v>5.0</v>
      </c>
      <c r="G900" s="18">
        <v>1.0</v>
      </c>
      <c r="H900" s="10">
        <v>0.0</v>
      </c>
      <c r="I900" s="19">
        <v>5.0</v>
      </c>
      <c r="J900" s="12"/>
      <c r="K900" s="12">
        <f t="shared" si="62"/>
        <v>4000</v>
      </c>
      <c r="L900" s="13" t="str">
        <f t="shared" si="64"/>
        <v>0 5-star + 5 RFC + 1 DME + 0 Patient Portal Login + 5 Completed Task</v>
      </c>
      <c r="M900" s="13"/>
      <c r="N900" s="13"/>
      <c r="O900" s="14"/>
      <c r="P900" s="14"/>
    </row>
    <row r="901" hidden="1">
      <c r="A901" s="6" t="s">
        <v>243</v>
      </c>
      <c r="B901" s="16" t="s">
        <v>59</v>
      </c>
      <c r="C901" s="16" t="s">
        <v>60</v>
      </c>
      <c r="D901" s="16" t="s">
        <v>61</v>
      </c>
      <c r="E901" s="17">
        <v>0.0</v>
      </c>
      <c r="F901" s="9">
        <v>6.0</v>
      </c>
      <c r="G901" s="18">
        <v>0.0</v>
      </c>
      <c r="H901" s="10">
        <v>0.0</v>
      </c>
      <c r="I901" s="19">
        <v>4.0</v>
      </c>
      <c r="J901" s="12"/>
      <c r="K901" s="12">
        <f t="shared" si="62"/>
        <v>4000</v>
      </c>
      <c r="L901" s="13" t="str">
        <f t="shared" si="64"/>
        <v>0 5-star + 6 RFC + 0 DME + 0 Patient Portal Login + 4 Completed Task</v>
      </c>
      <c r="M901" s="13"/>
      <c r="N901" s="13"/>
      <c r="O901" s="14"/>
      <c r="P901" s="14"/>
    </row>
    <row r="902" hidden="1">
      <c r="A902" s="6" t="s">
        <v>243</v>
      </c>
      <c r="B902" s="16" t="s">
        <v>62</v>
      </c>
      <c r="C902" s="16" t="s">
        <v>63</v>
      </c>
      <c r="D902" s="16" t="s">
        <v>64</v>
      </c>
      <c r="E902" s="17">
        <v>1.0</v>
      </c>
      <c r="F902" s="18">
        <v>0.0</v>
      </c>
      <c r="G902" s="18">
        <v>0.0</v>
      </c>
      <c r="H902" s="10">
        <v>3.0</v>
      </c>
      <c r="I902" s="19">
        <v>4.0</v>
      </c>
      <c r="J902" s="12"/>
      <c r="K902" s="12">
        <f t="shared" si="62"/>
        <v>2000</v>
      </c>
      <c r="L902" s="13" t="str">
        <f t="shared" si="64"/>
        <v>1 5-star + 0 RFC + 0 DME + 3 Patient Portal Login + 4 Completed Task</v>
      </c>
      <c r="M902" s="13"/>
      <c r="N902" s="13"/>
      <c r="O902" s="14"/>
      <c r="P902" s="14"/>
    </row>
    <row r="903" hidden="1">
      <c r="A903" s="6" t="s">
        <v>243</v>
      </c>
      <c r="B903" s="16" t="s">
        <v>65</v>
      </c>
      <c r="C903" s="16" t="s">
        <v>66</v>
      </c>
      <c r="D903" s="16" t="s">
        <v>67</v>
      </c>
      <c r="E903" s="17">
        <v>4.0</v>
      </c>
      <c r="F903" s="18">
        <v>4.0</v>
      </c>
      <c r="G903" s="18">
        <v>0.0</v>
      </c>
      <c r="H903" s="10">
        <v>7.0</v>
      </c>
      <c r="I903" s="19">
        <v>4.0</v>
      </c>
      <c r="J903" s="12"/>
      <c r="K903" s="12">
        <f t="shared" si="62"/>
        <v>5750</v>
      </c>
      <c r="L903" s="13" t="str">
        <f t="shared" si="64"/>
        <v>4 5-star + 4 RFC + 0 DME + 7 Patient Portal Login + 4 Completed Task</v>
      </c>
      <c r="M903" s="13"/>
      <c r="N903" s="13"/>
      <c r="O903" s="14"/>
      <c r="P903" s="14"/>
    </row>
    <row r="904" hidden="1">
      <c r="A904" s="6" t="s">
        <v>243</v>
      </c>
      <c r="B904" s="16" t="s">
        <v>68</v>
      </c>
      <c r="C904" s="16" t="s">
        <v>69</v>
      </c>
      <c r="D904" s="16" t="s">
        <v>70</v>
      </c>
      <c r="E904" s="17">
        <v>0.0</v>
      </c>
      <c r="F904" s="18">
        <v>1.0</v>
      </c>
      <c r="G904" s="18">
        <v>0.0</v>
      </c>
      <c r="H904" s="10">
        <v>0.0</v>
      </c>
      <c r="I904" s="19">
        <v>5.0</v>
      </c>
      <c r="J904" s="12"/>
      <c r="K904" s="12">
        <f t="shared" si="62"/>
        <v>1750</v>
      </c>
      <c r="L904" s="13" t="str">
        <f t="shared" si="64"/>
        <v>0 5-star + 1 RFC + 0 DME + 0 Patient Portal Login + 5 Completed Task</v>
      </c>
      <c r="M904" s="13"/>
      <c r="N904" s="13"/>
      <c r="O904" s="14"/>
      <c r="P904" s="14"/>
    </row>
    <row r="905" hidden="1">
      <c r="A905" s="6" t="s">
        <v>243</v>
      </c>
      <c r="B905" s="16" t="s">
        <v>71</v>
      </c>
      <c r="C905" s="16" t="s">
        <v>72</v>
      </c>
      <c r="D905" s="16" t="s">
        <v>73</v>
      </c>
      <c r="E905" s="17">
        <v>0.0</v>
      </c>
      <c r="F905" s="18">
        <v>2.0</v>
      </c>
      <c r="G905" s="18">
        <v>1.0</v>
      </c>
      <c r="H905" s="10">
        <v>6.0</v>
      </c>
      <c r="I905" s="19">
        <v>4.0</v>
      </c>
      <c r="J905" s="12"/>
      <c r="K905" s="12">
        <f t="shared" si="62"/>
        <v>3750</v>
      </c>
      <c r="L905" s="13" t="str">
        <f t="shared" si="64"/>
        <v>0 5-star + 2 RFC + 1 DME + 6 Patient Portal Login + 4 Completed Task</v>
      </c>
      <c r="M905" s="13"/>
      <c r="N905" s="13"/>
      <c r="O905" s="14"/>
      <c r="P905" s="14"/>
    </row>
    <row r="906" hidden="1">
      <c r="A906" s="6" t="s">
        <v>243</v>
      </c>
      <c r="B906" s="16" t="s">
        <v>74</v>
      </c>
      <c r="C906" s="16" t="s">
        <v>75</v>
      </c>
      <c r="D906" s="16" t="s">
        <v>76</v>
      </c>
      <c r="E906" s="17">
        <v>0.0</v>
      </c>
      <c r="F906" s="18">
        <v>0.0</v>
      </c>
      <c r="G906" s="18">
        <v>0.0</v>
      </c>
      <c r="H906" s="10">
        <v>3.0</v>
      </c>
      <c r="I906" s="19">
        <v>4.0</v>
      </c>
      <c r="J906" s="12"/>
      <c r="K906" s="12">
        <f t="shared" si="62"/>
        <v>1750</v>
      </c>
      <c r="L906" s="13" t="str">
        <f t="shared" si="64"/>
        <v>0 5-star + 0 RFC + 0 DME + 3 Patient Portal Login + 4 Completed Task</v>
      </c>
      <c r="M906" s="13"/>
      <c r="N906" s="13"/>
      <c r="O906" s="14"/>
      <c r="P906" s="14"/>
    </row>
    <row r="907" hidden="1">
      <c r="A907" s="6" t="s">
        <v>243</v>
      </c>
      <c r="B907" s="16" t="s">
        <v>77</v>
      </c>
      <c r="C907" s="16" t="s">
        <v>78</v>
      </c>
      <c r="D907" s="16" t="s">
        <v>79</v>
      </c>
      <c r="E907" s="17">
        <v>3.0</v>
      </c>
      <c r="F907" s="18">
        <v>6.0</v>
      </c>
      <c r="G907" s="18">
        <v>0.0</v>
      </c>
      <c r="H907" s="10">
        <v>1.0</v>
      </c>
      <c r="I907" s="19">
        <v>3.0</v>
      </c>
      <c r="J907" s="12"/>
      <c r="K907" s="12">
        <f t="shared" si="62"/>
        <v>4750</v>
      </c>
      <c r="L907" s="13" t="str">
        <f t="shared" si="64"/>
        <v>3 5-star + 6 RFC + 0 DME + 1 Patient Portal Login + 3 Completed Task</v>
      </c>
      <c r="M907" s="13"/>
      <c r="N907" s="13"/>
      <c r="O907" s="14"/>
      <c r="P907" s="14"/>
    </row>
    <row r="908" hidden="1">
      <c r="A908" s="6" t="s">
        <v>243</v>
      </c>
      <c r="B908" s="16" t="s">
        <v>80</v>
      </c>
      <c r="C908" s="16" t="s">
        <v>81</v>
      </c>
      <c r="D908" s="16" t="s">
        <v>82</v>
      </c>
      <c r="E908" s="17">
        <v>1.0</v>
      </c>
      <c r="F908" s="18">
        <v>0.0</v>
      </c>
      <c r="G908" s="18">
        <v>0.0</v>
      </c>
      <c r="H908" s="10">
        <v>0.0</v>
      </c>
      <c r="I908" s="19">
        <v>4.0</v>
      </c>
      <c r="J908" s="12"/>
      <c r="K908" s="12">
        <f t="shared" si="62"/>
        <v>1250</v>
      </c>
      <c r="L908" s="13" t="str">
        <f t="shared" si="64"/>
        <v>1 5-star + 0 RFC + 0 DME + 0 Patient Portal Login + 4 Completed Task</v>
      </c>
      <c r="M908" s="13"/>
      <c r="N908" s="13"/>
      <c r="O908" s="14"/>
      <c r="P908" s="14"/>
    </row>
    <row r="909" hidden="1">
      <c r="A909" s="6" t="s">
        <v>243</v>
      </c>
      <c r="B909" s="7" t="s">
        <v>83</v>
      </c>
      <c r="C909" s="16" t="s">
        <v>84</v>
      </c>
      <c r="D909" s="16" t="s">
        <v>85</v>
      </c>
      <c r="E909" s="17">
        <v>0.0</v>
      </c>
      <c r="F909" s="18">
        <v>0.0</v>
      </c>
      <c r="G909" s="18">
        <v>0.0</v>
      </c>
      <c r="H909" s="10">
        <v>0.0</v>
      </c>
      <c r="I909" s="19">
        <v>4.0</v>
      </c>
      <c r="J909" s="12"/>
      <c r="K909" s="12">
        <f t="shared" si="62"/>
        <v>1000</v>
      </c>
      <c r="L909" s="13" t="str">
        <f t="shared" si="64"/>
        <v>0 5-star + 0 RFC + 0 DME + 0 Patient Portal Login + 4 Completed Task</v>
      </c>
      <c r="M909" s="13"/>
      <c r="N909" s="13"/>
      <c r="O909" s="14"/>
      <c r="P909" s="14"/>
    </row>
    <row r="910" hidden="1">
      <c r="A910" s="6" t="s">
        <v>243</v>
      </c>
      <c r="B910" s="16" t="s">
        <v>86</v>
      </c>
      <c r="C910" s="16" t="s">
        <v>87</v>
      </c>
      <c r="D910" s="16" t="s">
        <v>88</v>
      </c>
      <c r="E910" s="17">
        <v>1.0</v>
      </c>
      <c r="F910" s="18">
        <v>4.0</v>
      </c>
      <c r="G910" s="18">
        <v>0.0</v>
      </c>
      <c r="H910" s="10">
        <v>2.0</v>
      </c>
      <c r="I910" s="19">
        <v>5.0</v>
      </c>
      <c r="J910" s="12"/>
      <c r="K910" s="12">
        <f t="shared" si="62"/>
        <v>4000</v>
      </c>
      <c r="L910" s="13" t="str">
        <f t="shared" si="64"/>
        <v>1 5-star + 4 RFC + 0 DME + 2 Patient Portal Login + 5 Completed Task</v>
      </c>
      <c r="M910" s="13"/>
      <c r="N910" s="13"/>
      <c r="O910" s="14"/>
      <c r="P910" s="14"/>
    </row>
    <row r="911" hidden="1">
      <c r="A911" s="6" t="s">
        <v>243</v>
      </c>
      <c r="B911" s="16" t="s">
        <v>89</v>
      </c>
      <c r="C911" s="16" t="s">
        <v>90</v>
      </c>
      <c r="D911" s="16" t="s">
        <v>91</v>
      </c>
      <c r="E911" s="17">
        <v>0.0</v>
      </c>
      <c r="F911" s="18">
        <v>0.0</v>
      </c>
      <c r="G911" s="18">
        <v>0.0</v>
      </c>
      <c r="H911" s="10">
        <v>0.0</v>
      </c>
      <c r="I911" s="19">
        <v>5.0</v>
      </c>
      <c r="J911" s="12"/>
      <c r="K911" s="12">
        <f t="shared" si="62"/>
        <v>1250</v>
      </c>
      <c r="L911" s="13" t="str">
        <f t="shared" si="64"/>
        <v>0 5-star + 0 RFC + 0 DME + 0 Patient Portal Login + 5 Completed Task</v>
      </c>
      <c r="M911" s="13"/>
      <c r="N911" s="13"/>
      <c r="O911" s="14"/>
      <c r="P911" s="14"/>
    </row>
    <row r="912" hidden="1">
      <c r="A912" s="6" t="s">
        <v>243</v>
      </c>
      <c r="B912" s="16" t="s">
        <v>92</v>
      </c>
      <c r="C912" s="16" t="s">
        <v>93</v>
      </c>
      <c r="D912" s="16" t="s">
        <v>94</v>
      </c>
      <c r="E912" s="17">
        <v>0.0</v>
      </c>
      <c r="F912" s="18">
        <v>3.0</v>
      </c>
      <c r="G912" s="18">
        <v>0.0</v>
      </c>
      <c r="H912" s="10">
        <v>10.0</v>
      </c>
      <c r="I912" s="19">
        <v>4.0</v>
      </c>
      <c r="J912" s="12"/>
      <c r="K912" s="12">
        <f t="shared" si="62"/>
        <v>5000</v>
      </c>
      <c r="L912" s="13" t="str">
        <f t="shared" si="64"/>
        <v>0 5-star + 3 RFC + 0 DME + 10 Patient Portal Login + 4 Completed Task</v>
      </c>
      <c r="M912" s="13"/>
      <c r="N912" s="13"/>
      <c r="O912" s="14"/>
      <c r="P912" s="14"/>
    </row>
    <row r="913" hidden="1">
      <c r="A913" s="6" t="s">
        <v>243</v>
      </c>
      <c r="B913" s="7" t="s">
        <v>95</v>
      </c>
      <c r="C913" s="16" t="s">
        <v>96</v>
      </c>
      <c r="D913" s="16" t="s">
        <v>97</v>
      </c>
      <c r="E913" s="17">
        <v>0.0</v>
      </c>
      <c r="F913" s="18">
        <v>2.0</v>
      </c>
      <c r="G913" s="18">
        <v>0.0</v>
      </c>
      <c r="H913" s="10">
        <v>9.0</v>
      </c>
      <c r="I913" s="19">
        <v>4.0</v>
      </c>
      <c r="J913" s="12"/>
      <c r="K913" s="12">
        <f t="shared" si="62"/>
        <v>4250</v>
      </c>
      <c r="L913" s="13" t="str">
        <f t="shared" si="64"/>
        <v>0 5-star + 2 RFC + 0 DME + 9 Patient Portal Login + 4 Completed Task</v>
      </c>
      <c r="M913" s="13"/>
      <c r="N913" s="13"/>
      <c r="O913" s="14"/>
      <c r="P913" s="14"/>
    </row>
    <row r="914" hidden="1">
      <c r="A914" s="6" t="s">
        <v>243</v>
      </c>
      <c r="B914" s="16" t="s">
        <v>98</v>
      </c>
      <c r="C914" s="16" t="s">
        <v>99</v>
      </c>
      <c r="D914" s="16" t="s">
        <v>100</v>
      </c>
      <c r="E914" s="17">
        <v>0.0</v>
      </c>
      <c r="F914" s="18">
        <v>0.0</v>
      </c>
      <c r="G914" s="18">
        <v>0.0</v>
      </c>
      <c r="H914" s="10">
        <v>0.0</v>
      </c>
      <c r="I914" s="19">
        <v>5.0</v>
      </c>
      <c r="J914" s="12"/>
      <c r="K914" s="12">
        <f t="shared" si="62"/>
        <v>1250</v>
      </c>
      <c r="L914" s="13" t="str">
        <f t="shared" si="64"/>
        <v>0 5-star + 0 RFC + 0 DME + 0 Patient Portal Login + 5 Completed Task</v>
      </c>
      <c r="M914" s="13"/>
      <c r="N914" s="13"/>
      <c r="O914" s="14"/>
      <c r="P914" s="14"/>
    </row>
    <row r="915" hidden="1">
      <c r="A915" s="6" t="s">
        <v>243</v>
      </c>
      <c r="B915" s="7" t="s">
        <v>101</v>
      </c>
      <c r="C915" s="16" t="s">
        <v>102</v>
      </c>
      <c r="D915" s="16" t="s">
        <v>103</v>
      </c>
      <c r="E915" s="17">
        <v>0.0</v>
      </c>
      <c r="F915" s="18">
        <v>0.0</v>
      </c>
      <c r="G915" s="18">
        <v>0.0</v>
      </c>
      <c r="H915" s="10">
        <v>2.0</v>
      </c>
      <c r="I915" s="19">
        <v>3.0</v>
      </c>
      <c r="J915" s="12"/>
      <c r="K915" s="12">
        <f t="shared" si="62"/>
        <v>1250</v>
      </c>
      <c r="L915" s="13" t="str">
        <f t="shared" si="64"/>
        <v>0 5-star + 0 RFC + 0 DME + 2 Patient Portal Login + 3 Completed Task</v>
      </c>
      <c r="M915" s="13"/>
      <c r="N915" s="13"/>
      <c r="O915" s="14"/>
      <c r="P915" s="14"/>
    </row>
    <row r="916" hidden="1">
      <c r="A916" s="6" t="s">
        <v>243</v>
      </c>
      <c r="B916" s="16" t="s">
        <v>104</v>
      </c>
      <c r="C916" s="16" t="s">
        <v>105</v>
      </c>
      <c r="D916" s="16" t="s">
        <v>106</v>
      </c>
      <c r="E916" s="17">
        <v>1.0</v>
      </c>
      <c r="F916" s="18">
        <v>0.0</v>
      </c>
      <c r="G916" s="18">
        <v>0.0</v>
      </c>
      <c r="H916" s="10">
        <v>5.0</v>
      </c>
      <c r="I916" s="19">
        <v>5.0</v>
      </c>
      <c r="J916" s="12"/>
      <c r="K916" s="12">
        <f t="shared" si="62"/>
        <v>2750</v>
      </c>
      <c r="L916" s="13" t="str">
        <f t="shared" si="64"/>
        <v>1 5-star + 0 RFC + 0 DME + 5 Patient Portal Login + 5 Completed Task</v>
      </c>
      <c r="M916" s="13"/>
      <c r="N916" s="13"/>
      <c r="O916" s="14"/>
      <c r="P916" s="14"/>
    </row>
    <row r="917" hidden="1">
      <c r="A917" s="6" t="s">
        <v>243</v>
      </c>
      <c r="B917" s="16" t="s">
        <v>107</v>
      </c>
      <c r="C917" s="16" t="s">
        <v>108</v>
      </c>
      <c r="D917" s="16" t="s">
        <v>109</v>
      </c>
      <c r="E917" s="17">
        <v>0.0</v>
      </c>
      <c r="F917" s="18">
        <v>0.0</v>
      </c>
      <c r="G917" s="18">
        <v>1.0</v>
      </c>
      <c r="H917" s="10">
        <v>1.0</v>
      </c>
      <c r="I917" s="19">
        <v>4.0</v>
      </c>
      <c r="J917" s="12"/>
      <c r="K917" s="12">
        <f t="shared" si="62"/>
        <v>1500</v>
      </c>
      <c r="L917" s="13" t="str">
        <f t="shared" si="64"/>
        <v>0 5-star + 0 RFC + 1 DME + 1 Patient Portal Login + 4 Completed Task</v>
      </c>
      <c r="M917" s="13"/>
      <c r="N917" s="13"/>
      <c r="O917" s="14"/>
      <c r="P917" s="14"/>
    </row>
    <row r="918" hidden="1">
      <c r="A918" s="6" t="s">
        <v>243</v>
      </c>
      <c r="B918" s="16" t="s">
        <v>110</v>
      </c>
      <c r="C918" s="16" t="s">
        <v>111</v>
      </c>
      <c r="D918" s="16" t="s">
        <v>112</v>
      </c>
      <c r="E918" s="17">
        <v>1.0</v>
      </c>
      <c r="F918" s="18">
        <v>3.0</v>
      </c>
      <c r="G918" s="18">
        <v>0.0</v>
      </c>
      <c r="H918" s="10">
        <v>2.0</v>
      </c>
      <c r="I918" s="19">
        <v>5.0</v>
      </c>
      <c r="J918" s="12"/>
      <c r="K918" s="12">
        <f t="shared" si="62"/>
        <v>3500</v>
      </c>
      <c r="L918" s="13" t="str">
        <f t="shared" si="64"/>
        <v>1 5-star + 3 RFC + 0 DME + 2 Patient Portal Login + 5 Completed Task</v>
      </c>
      <c r="M918" s="13"/>
      <c r="N918" s="13"/>
      <c r="O918" s="14"/>
      <c r="P918" s="14"/>
    </row>
    <row r="919" hidden="1">
      <c r="A919" s="6" t="s">
        <v>243</v>
      </c>
      <c r="B919" s="16" t="s">
        <v>113</v>
      </c>
      <c r="C919" s="16" t="s">
        <v>114</v>
      </c>
      <c r="D919" s="16" t="s">
        <v>115</v>
      </c>
      <c r="E919" s="17">
        <v>0.0</v>
      </c>
      <c r="F919" s="18">
        <v>2.0</v>
      </c>
      <c r="G919" s="18">
        <v>1.0</v>
      </c>
      <c r="H919" s="10">
        <v>3.0</v>
      </c>
      <c r="I919" s="19">
        <v>4.0</v>
      </c>
      <c r="J919" s="12"/>
      <c r="K919" s="12">
        <f t="shared" si="62"/>
        <v>3000</v>
      </c>
      <c r="L919" s="13" t="str">
        <f t="shared" si="64"/>
        <v>0 5-star + 2 RFC + 1 DME + 3 Patient Portal Login + 4 Completed Task</v>
      </c>
      <c r="M919" s="13"/>
      <c r="N919" s="13"/>
      <c r="O919" s="14"/>
      <c r="P919" s="14"/>
    </row>
    <row r="920" hidden="1">
      <c r="A920" s="6" t="s">
        <v>243</v>
      </c>
      <c r="B920" s="7" t="s">
        <v>116</v>
      </c>
      <c r="C920" s="16" t="s">
        <v>117</v>
      </c>
      <c r="D920" s="16" t="s">
        <v>118</v>
      </c>
      <c r="E920" s="17">
        <v>0.0</v>
      </c>
      <c r="F920" s="18">
        <v>1.0</v>
      </c>
      <c r="G920" s="18">
        <v>0.0</v>
      </c>
      <c r="H920" s="10">
        <v>2.0</v>
      </c>
      <c r="I920" s="19">
        <v>3.0</v>
      </c>
      <c r="J920" s="12"/>
      <c r="K920" s="12">
        <f t="shared" si="62"/>
        <v>1750</v>
      </c>
      <c r="L920" s="13" t="str">
        <f t="shared" si="64"/>
        <v>0 5-star + 1 RFC + 0 DME + 2 Patient Portal Login + 3 Completed Task</v>
      </c>
      <c r="M920" s="13"/>
      <c r="N920" s="13"/>
      <c r="O920" s="14"/>
      <c r="P920" s="14"/>
    </row>
    <row r="921" hidden="1">
      <c r="A921" s="6" t="s">
        <v>243</v>
      </c>
      <c r="B921" s="16" t="s">
        <v>119</v>
      </c>
      <c r="C921" s="16" t="s">
        <v>120</v>
      </c>
      <c r="D921" s="16" t="s">
        <v>121</v>
      </c>
      <c r="E921" s="17">
        <v>0.0</v>
      </c>
      <c r="F921" s="18">
        <v>1.0</v>
      </c>
      <c r="G921" s="18">
        <v>0.0</v>
      </c>
      <c r="H921" s="10">
        <v>6.0</v>
      </c>
      <c r="I921" s="19">
        <v>4.0</v>
      </c>
      <c r="J921" s="12"/>
      <c r="K921" s="12">
        <f t="shared" si="62"/>
        <v>3000</v>
      </c>
      <c r="L921" s="13" t="str">
        <f t="shared" si="64"/>
        <v>0 5-star + 1 RFC + 0 DME + 6 Patient Portal Login + 4 Completed Task</v>
      </c>
      <c r="M921" s="13"/>
      <c r="N921" s="13"/>
      <c r="O921" s="14"/>
      <c r="P921" s="14"/>
    </row>
    <row r="922" hidden="1">
      <c r="A922" s="6" t="s">
        <v>243</v>
      </c>
      <c r="B922" s="16" t="s">
        <v>122</v>
      </c>
      <c r="C922" s="16" t="s">
        <v>123</v>
      </c>
      <c r="D922" s="16" t="s">
        <v>124</v>
      </c>
      <c r="E922" s="17">
        <v>0.0</v>
      </c>
      <c r="F922" s="18">
        <v>2.0</v>
      </c>
      <c r="G922" s="18">
        <v>0.0</v>
      </c>
      <c r="H922" s="10">
        <v>5.0</v>
      </c>
      <c r="I922" s="19">
        <v>5.0</v>
      </c>
      <c r="J922" s="12"/>
      <c r="K922" s="12">
        <f t="shared" si="62"/>
        <v>3500</v>
      </c>
      <c r="L922" s="13" t="str">
        <f> E922 &amp; " 5-star + " &amp; F922 &amp; " RFC + " &amp; G921 &amp; " DME + " &amp; H922 &amp; " Patient Portal Login + " &amp; I922 &amp; " Completed Task"
</f>
        <v>0 5-star + 2 RFC + 0 DME + 5 Patient Portal Login + 5 Completed Task</v>
      </c>
      <c r="M922" s="13"/>
      <c r="N922" s="13"/>
      <c r="O922" s="14"/>
      <c r="P922" s="14"/>
    </row>
    <row r="923" hidden="1">
      <c r="A923" s="6" t="s">
        <v>243</v>
      </c>
      <c r="B923" s="16" t="s">
        <v>125</v>
      </c>
      <c r="C923" s="16" t="s">
        <v>126</v>
      </c>
      <c r="D923" s="16" t="s">
        <v>127</v>
      </c>
      <c r="E923" s="17">
        <v>2.0</v>
      </c>
      <c r="F923" s="18">
        <v>3.0</v>
      </c>
      <c r="G923" s="18">
        <v>0.0</v>
      </c>
      <c r="H923" s="10">
        <v>0.0</v>
      </c>
      <c r="I923" s="19">
        <v>4.0</v>
      </c>
      <c r="J923" s="12"/>
      <c r="K923" s="12">
        <f t="shared" si="62"/>
        <v>3000</v>
      </c>
      <c r="L923" s="13" t="str">
        <f t="shared" ref="L923:L934" si="65"> E923 &amp; " 5-star + " &amp; F923 &amp; " RFC + " &amp; G923 &amp; " DME + " &amp; H923 &amp; " Patient Portal Login + " &amp; I923 &amp; " Completed Task"
</f>
        <v>2 5-star + 3 RFC + 0 DME + 0 Patient Portal Login + 4 Completed Task</v>
      </c>
      <c r="M923" s="13"/>
      <c r="N923" s="13"/>
      <c r="O923" s="14"/>
      <c r="P923" s="14"/>
    </row>
    <row r="924" hidden="1">
      <c r="A924" s="6" t="s">
        <v>243</v>
      </c>
      <c r="B924" s="16" t="s">
        <v>128</v>
      </c>
      <c r="C924" s="16" t="s">
        <v>129</v>
      </c>
      <c r="D924" s="16" t="s">
        <v>130</v>
      </c>
      <c r="E924" s="17">
        <v>0.0</v>
      </c>
      <c r="F924" s="18">
        <v>1.0</v>
      </c>
      <c r="G924" s="18">
        <v>1.0</v>
      </c>
      <c r="H924" s="10">
        <v>0.0</v>
      </c>
      <c r="I924" s="19">
        <v>5.0</v>
      </c>
      <c r="J924" s="12"/>
      <c r="K924" s="12">
        <f t="shared" si="62"/>
        <v>2000</v>
      </c>
      <c r="L924" s="13" t="str">
        <f t="shared" si="65"/>
        <v>0 5-star + 1 RFC + 1 DME + 0 Patient Portal Login + 5 Completed Task</v>
      </c>
      <c r="M924" s="13"/>
      <c r="N924" s="13"/>
      <c r="O924" s="14"/>
      <c r="P924" s="14"/>
    </row>
    <row r="925" hidden="1">
      <c r="A925" s="6" t="s">
        <v>243</v>
      </c>
      <c r="B925" s="16" t="s">
        <v>131</v>
      </c>
      <c r="C925" s="16" t="s">
        <v>132</v>
      </c>
      <c r="D925" s="16" t="s">
        <v>133</v>
      </c>
      <c r="E925" s="17">
        <v>13.0</v>
      </c>
      <c r="F925" s="18">
        <v>0.0</v>
      </c>
      <c r="G925" s="18">
        <v>1.0</v>
      </c>
      <c r="H925" s="10">
        <v>2.0</v>
      </c>
      <c r="I925" s="19">
        <v>4.0</v>
      </c>
      <c r="J925" s="12"/>
      <c r="K925" s="12">
        <f t="shared" si="62"/>
        <v>5000</v>
      </c>
      <c r="L925" s="13" t="str">
        <f t="shared" si="65"/>
        <v>13 5-star + 0 RFC + 1 DME + 2 Patient Portal Login + 4 Completed Task</v>
      </c>
      <c r="M925" s="13"/>
      <c r="N925" s="13"/>
      <c r="O925" s="14"/>
      <c r="P925" s="14"/>
    </row>
    <row r="926" hidden="1">
      <c r="A926" s="6" t="s">
        <v>243</v>
      </c>
      <c r="B926" s="16" t="s">
        <v>134</v>
      </c>
      <c r="C926" s="16" t="s">
        <v>135</v>
      </c>
      <c r="D926" s="16" t="s">
        <v>136</v>
      </c>
      <c r="E926" s="17">
        <v>0.0</v>
      </c>
      <c r="F926" s="18">
        <v>0.0</v>
      </c>
      <c r="G926" s="18">
        <v>0.0</v>
      </c>
      <c r="H926" s="10">
        <v>5.0</v>
      </c>
      <c r="I926" s="19">
        <v>4.0</v>
      </c>
      <c r="J926" s="12"/>
      <c r="K926" s="12">
        <f t="shared" si="62"/>
        <v>2250</v>
      </c>
      <c r="L926" s="13" t="str">
        <f t="shared" si="65"/>
        <v>0 5-star + 0 RFC + 0 DME + 5 Patient Portal Login + 4 Completed Task</v>
      </c>
      <c r="M926" s="13"/>
      <c r="N926" s="13"/>
      <c r="O926" s="14"/>
      <c r="P926" s="14"/>
    </row>
    <row r="927" hidden="1">
      <c r="A927" s="6" t="s">
        <v>243</v>
      </c>
      <c r="B927" s="16" t="s">
        <v>137</v>
      </c>
      <c r="C927" s="16" t="s">
        <v>138</v>
      </c>
      <c r="D927" s="16" t="s">
        <v>139</v>
      </c>
      <c r="E927" s="17">
        <v>0.0</v>
      </c>
      <c r="F927" s="18">
        <v>4.0</v>
      </c>
      <c r="G927" s="18">
        <v>0.0</v>
      </c>
      <c r="H927" s="10">
        <v>12.0</v>
      </c>
      <c r="I927" s="19">
        <v>4.0</v>
      </c>
      <c r="J927" s="12"/>
      <c r="K927" s="12">
        <f t="shared" si="62"/>
        <v>6000</v>
      </c>
      <c r="L927" s="13" t="str">
        <f t="shared" si="65"/>
        <v>0 5-star + 4 RFC + 0 DME + 12 Patient Portal Login + 4 Completed Task</v>
      </c>
      <c r="M927" s="13"/>
      <c r="N927" s="13"/>
      <c r="O927" s="14"/>
      <c r="P927" s="14"/>
    </row>
    <row r="928" hidden="1">
      <c r="A928" s="6" t="s">
        <v>243</v>
      </c>
      <c r="B928" s="16" t="s">
        <v>140</v>
      </c>
      <c r="C928" s="16" t="s">
        <v>141</v>
      </c>
      <c r="D928" s="16" t="s">
        <v>142</v>
      </c>
      <c r="E928" s="17">
        <v>2.0</v>
      </c>
      <c r="F928" s="18">
        <v>0.0</v>
      </c>
      <c r="G928" s="18">
        <v>0.0</v>
      </c>
      <c r="H928" s="10">
        <v>3.0</v>
      </c>
      <c r="I928" s="19">
        <v>5.0</v>
      </c>
      <c r="J928" s="12"/>
      <c r="K928" s="12">
        <f t="shared" si="62"/>
        <v>2500</v>
      </c>
      <c r="L928" s="13" t="str">
        <f t="shared" si="65"/>
        <v>2 5-star + 0 RFC + 0 DME + 3 Patient Portal Login + 5 Completed Task</v>
      </c>
      <c r="M928" s="13"/>
      <c r="N928" s="13"/>
      <c r="O928" s="14"/>
      <c r="P928" s="14"/>
    </row>
    <row r="929" hidden="1">
      <c r="A929" s="6" t="s">
        <v>243</v>
      </c>
      <c r="B929" s="16" t="s">
        <v>143</v>
      </c>
      <c r="C929" s="16" t="s">
        <v>144</v>
      </c>
      <c r="D929" s="16" t="s">
        <v>145</v>
      </c>
      <c r="E929" s="17">
        <v>0.0</v>
      </c>
      <c r="F929" s="18">
        <v>1.0</v>
      </c>
      <c r="G929" s="18">
        <v>0.0</v>
      </c>
      <c r="H929" s="10">
        <v>5.0</v>
      </c>
      <c r="I929" s="19">
        <v>4.0</v>
      </c>
      <c r="J929" s="12"/>
      <c r="K929" s="12">
        <f t="shared" si="62"/>
        <v>2750</v>
      </c>
      <c r="L929" s="13" t="str">
        <f t="shared" si="65"/>
        <v>0 5-star + 1 RFC + 0 DME + 5 Patient Portal Login + 4 Completed Task</v>
      </c>
      <c r="M929" s="13"/>
      <c r="N929" s="13"/>
      <c r="O929" s="14"/>
      <c r="P929" s="14"/>
    </row>
    <row r="930" hidden="1">
      <c r="A930" s="6" t="s">
        <v>243</v>
      </c>
      <c r="B930" s="16" t="s">
        <v>146</v>
      </c>
      <c r="C930" s="16" t="s">
        <v>147</v>
      </c>
      <c r="D930" s="16" t="s">
        <v>148</v>
      </c>
      <c r="E930" s="17">
        <v>1.0</v>
      </c>
      <c r="F930" s="18">
        <v>4.0</v>
      </c>
      <c r="G930" s="18">
        <v>0.0</v>
      </c>
      <c r="H930" s="10">
        <v>2.0</v>
      </c>
      <c r="I930" s="19">
        <v>5.0</v>
      </c>
      <c r="J930" s="12"/>
      <c r="K930" s="12">
        <f t="shared" si="62"/>
        <v>4000</v>
      </c>
      <c r="L930" s="13" t="str">
        <f t="shared" si="65"/>
        <v>1 5-star + 4 RFC + 0 DME + 2 Patient Portal Login + 5 Completed Task</v>
      </c>
      <c r="M930" s="13"/>
      <c r="N930" s="13"/>
      <c r="O930" s="14"/>
      <c r="P930" s="14"/>
    </row>
    <row r="931" hidden="1">
      <c r="A931" s="6" t="s">
        <v>243</v>
      </c>
      <c r="B931" s="16" t="s">
        <v>149</v>
      </c>
      <c r="C931" s="16" t="s">
        <v>150</v>
      </c>
      <c r="D931" s="16" t="s">
        <v>151</v>
      </c>
      <c r="E931" s="17">
        <v>0.0</v>
      </c>
      <c r="F931" s="18">
        <v>2.0</v>
      </c>
      <c r="G931" s="18">
        <v>0.0</v>
      </c>
      <c r="H931" s="10">
        <v>5.0</v>
      </c>
      <c r="I931" s="19">
        <v>4.0</v>
      </c>
      <c r="J931" s="12"/>
      <c r="K931" s="12">
        <f t="shared" si="62"/>
        <v>3250</v>
      </c>
      <c r="L931" s="13" t="str">
        <f t="shared" si="65"/>
        <v>0 5-star + 2 RFC + 0 DME + 5 Patient Portal Login + 4 Completed Task</v>
      </c>
      <c r="M931" s="13"/>
      <c r="N931" s="13"/>
      <c r="O931" s="14"/>
      <c r="P931" s="14"/>
    </row>
    <row r="932" hidden="1">
      <c r="A932" s="6" t="s">
        <v>243</v>
      </c>
      <c r="B932" s="16" t="s">
        <v>152</v>
      </c>
      <c r="C932" s="16" t="s">
        <v>153</v>
      </c>
      <c r="D932" s="16" t="s">
        <v>154</v>
      </c>
      <c r="E932" s="17">
        <v>0.0</v>
      </c>
      <c r="F932" s="18">
        <v>1.0</v>
      </c>
      <c r="G932" s="18">
        <v>0.0</v>
      </c>
      <c r="H932" s="10">
        <v>3.0</v>
      </c>
      <c r="I932" s="19">
        <v>5.0</v>
      </c>
      <c r="J932" s="12"/>
      <c r="K932" s="12">
        <f t="shared" si="62"/>
        <v>2500</v>
      </c>
      <c r="L932" s="13" t="str">
        <f t="shared" si="65"/>
        <v>0 5-star + 1 RFC + 0 DME + 3 Patient Portal Login + 5 Completed Task</v>
      </c>
      <c r="M932" s="13"/>
      <c r="N932" s="13"/>
      <c r="O932" s="14"/>
      <c r="P932" s="14"/>
    </row>
    <row r="933" hidden="1">
      <c r="A933" s="6" t="s">
        <v>243</v>
      </c>
      <c r="B933" s="16" t="s">
        <v>155</v>
      </c>
      <c r="C933" s="16" t="s">
        <v>156</v>
      </c>
      <c r="D933" s="16" t="s">
        <v>157</v>
      </c>
      <c r="E933" s="17">
        <v>1.0</v>
      </c>
      <c r="F933" s="18">
        <v>0.0</v>
      </c>
      <c r="G933" s="18">
        <v>0.0</v>
      </c>
      <c r="H933" s="10">
        <v>2.0</v>
      </c>
      <c r="I933" s="19">
        <v>4.0</v>
      </c>
      <c r="J933" s="12"/>
      <c r="K933" s="12">
        <f t="shared" si="62"/>
        <v>1750</v>
      </c>
      <c r="L933" s="13" t="str">
        <f t="shared" si="65"/>
        <v>1 5-star + 0 RFC + 0 DME + 2 Patient Portal Login + 4 Completed Task</v>
      </c>
      <c r="M933" s="13"/>
      <c r="N933" s="13"/>
      <c r="O933" s="14"/>
      <c r="P933" s="14"/>
    </row>
    <row r="934" hidden="1">
      <c r="A934" s="6" t="s">
        <v>243</v>
      </c>
      <c r="B934" s="16" t="s">
        <v>158</v>
      </c>
      <c r="C934" s="16" t="s">
        <v>159</v>
      </c>
      <c r="D934" s="16" t="s">
        <v>160</v>
      </c>
      <c r="E934" s="17">
        <v>1.0</v>
      </c>
      <c r="F934" s="18">
        <v>0.0</v>
      </c>
      <c r="G934" s="18">
        <v>0.0</v>
      </c>
      <c r="H934" s="10">
        <v>5.0</v>
      </c>
      <c r="I934" s="19">
        <v>5.0</v>
      </c>
      <c r="J934" s="12"/>
      <c r="K934" s="12">
        <f t="shared" si="62"/>
        <v>2750</v>
      </c>
      <c r="L934" s="13" t="str">
        <f t="shared" si="65"/>
        <v>1 5-star + 0 RFC + 0 DME + 5 Patient Portal Login + 5 Completed Task</v>
      </c>
      <c r="M934" s="13"/>
      <c r="N934" s="13"/>
      <c r="O934" s="14"/>
      <c r="P934" s="14"/>
    </row>
    <row r="935" hidden="1">
      <c r="A935" s="6" t="s">
        <v>243</v>
      </c>
      <c r="B935" s="20" t="s">
        <v>161</v>
      </c>
      <c r="C935" s="20" t="s">
        <v>162</v>
      </c>
      <c r="D935" s="20" t="s">
        <v>163</v>
      </c>
      <c r="E935" s="17">
        <v>1.0</v>
      </c>
      <c r="F935" s="18">
        <v>0.0</v>
      </c>
      <c r="G935" s="18">
        <v>0.0</v>
      </c>
      <c r="H935" s="10">
        <v>5.0</v>
      </c>
      <c r="I935" s="19">
        <v>5.0</v>
      </c>
      <c r="J935" s="12"/>
      <c r="K935" s="12">
        <f t="shared" si="62"/>
        <v>2750</v>
      </c>
      <c r="L935" s="13" t="str">
        <f> E935 &amp; " 5-star + " &amp; E922 &amp; " RFC + " &amp; G935 &amp; " DME + " &amp; H935 &amp; " Patient Portal Login + " &amp; I935 &amp; " Completed Task"
</f>
        <v>1 5-star + 0 RFC + 0 DME + 5 Patient Portal Login + 5 Completed Task</v>
      </c>
      <c r="M935" s="13"/>
      <c r="N935" s="13"/>
      <c r="O935" s="14"/>
      <c r="P935" s="14"/>
    </row>
    <row r="936" hidden="1">
      <c r="A936" s="6" t="s">
        <v>243</v>
      </c>
      <c r="B936" s="20" t="s">
        <v>164</v>
      </c>
      <c r="C936" s="20" t="s">
        <v>165</v>
      </c>
      <c r="D936" s="20" t="s">
        <v>166</v>
      </c>
      <c r="E936" s="17">
        <v>0.0</v>
      </c>
      <c r="F936" s="18">
        <v>0.0</v>
      </c>
      <c r="G936" s="18">
        <v>0.0</v>
      </c>
      <c r="H936" s="10">
        <v>0.0</v>
      </c>
      <c r="I936" s="19">
        <v>4.0</v>
      </c>
      <c r="J936" s="12"/>
      <c r="K936" s="12">
        <f t="shared" si="62"/>
        <v>1000</v>
      </c>
      <c r="L936" s="13" t="str">
        <f t="shared" ref="L936:L977" si="66"> E936 &amp; " 5-star + " &amp; F936 &amp; " RFC + " &amp; G936 &amp; " DME + " &amp; H936 &amp; " Patient Portal Login + " &amp; I936 &amp; " Completed Task"
</f>
        <v>0 5-star + 0 RFC + 0 DME + 0 Patient Portal Login + 4 Completed Task</v>
      </c>
      <c r="M936" s="13"/>
      <c r="N936" s="13"/>
      <c r="O936" s="14"/>
      <c r="P936" s="14"/>
    </row>
    <row r="937" hidden="1">
      <c r="A937" s="6" t="s">
        <v>243</v>
      </c>
      <c r="B937" s="20" t="s">
        <v>167</v>
      </c>
      <c r="C937" s="20" t="s">
        <v>168</v>
      </c>
      <c r="D937" s="20" t="s">
        <v>169</v>
      </c>
      <c r="E937" s="17">
        <v>1.0</v>
      </c>
      <c r="F937" s="18">
        <v>0.0</v>
      </c>
      <c r="G937" s="18">
        <v>1.0</v>
      </c>
      <c r="H937" s="10">
        <v>0.0</v>
      </c>
      <c r="I937" s="19">
        <v>4.0</v>
      </c>
      <c r="J937" s="12"/>
      <c r="K937" s="12">
        <f t="shared" si="62"/>
        <v>1500</v>
      </c>
      <c r="L937" s="13" t="str">
        <f t="shared" si="66"/>
        <v>1 5-star + 0 RFC + 1 DME + 0 Patient Portal Login + 4 Completed Task</v>
      </c>
      <c r="M937" s="13"/>
      <c r="N937" s="13"/>
      <c r="O937" s="14"/>
      <c r="P937" s="14"/>
    </row>
    <row r="938" hidden="1">
      <c r="A938" s="6" t="s">
        <v>243</v>
      </c>
      <c r="B938" s="20" t="s">
        <v>170</v>
      </c>
      <c r="C938" s="20" t="s">
        <v>171</v>
      </c>
      <c r="D938" s="20" t="s">
        <v>172</v>
      </c>
      <c r="E938" s="17">
        <v>0.0</v>
      </c>
      <c r="F938" s="18">
        <v>0.0</v>
      </c>
      <c r="G938" s="18">
        <v>1.0</v>
      </c>
      <c r="H938" s="10">
        <v>9.0</v>
      </c>
      <c r="I938" s="19">
        <v>4.0</v>
      </c>
      <c r="J938" s="12"/>
      <c r="K938" s="12">
        <f t="shared" si="62"/>
        <v>3500</v>
      </c>
      <c r="L938" s="13" t="str">
        <f t="shared" si="66"/>
        <v>0 5-star + 0 RFC + 1 DME + 9 Patient Portal Login + 4 Completed Task</v>
      </c>
      <c r="M938" s="13"/>
      <c r="N938" s="13"/>
      <c r="O938" s="14"/>
      <c r="P938" s="14"/>
    </row>
    <row r="939" hidden="1">
      <c r="A939" s="6" t="s">
        <v>243</v>
      </c>
      <c r="B939" s="16" t="s">
        <v>173</v>
      </c>
      <c r="C939" s="16" t="s">
        <v>174</v>
      </c>
      <c r="D939" s="16" t="s">
        <v>175</v>
      </c>
      <c r="E939" s="17">
        <v>0.0</v>
      </c>
      <c r="F939" s="18">
        <v>1.0</v>
      </c>
      <c r="G939" s="18">
        <v>0.0</v>
      </c>
      <c r="H939" s="10">
        <v>4.0</v>
      </c>
      <c r="I939" s="19">
        <v>4.0</v>
      </c>
      <c r="J939" s="12"/>
      <c r="K939" s="12">
        <f t="shared" si="62"/>
        <v>2500</v>
      </c>
      <c r="L939" s="13" t="str">
        <f t="shared" si="66"/>
        <v>0 5-star + 1 RFC + 0 DME + 4 Patient Portal Login + 4 Completed Task</v>
      </c>
      <c r="M939" s="13"/>
      <c r="N939" s="13"/>
      <c r="O939" s="14"/>
      <c r="P939" s="14"/>
    </row>
    <row r="940" hidden="1">
      <c r="A940" s="6" t="s">
        <v>243</v>
      </c>
      <c r="B940" s="16" t="s">
        <v>176</v>
      </c>
      <c r="C940" s="16" t="s">
        <v>177</v>
      </c>
      <c r="D940" s="16" t="s">
        <v>178</v>
      </c>
      <c r="E940" s="17">
        <v>0.0</v>
      </c>
      <c r="F940" s="18">
        <v>2.0</v>
      </c>
      <c r="G940" s="18">
        <v>0.0</v>
      </c>
      <c r="H940" s="10">
        <v>0.0</v>
      </c>
      <c r="I940" s="19">
        <v>4.0</v>
      </c>
      <c r="J940" s="12"/>
      <c r="K940" s="12">
        <f t="shared" si="62"/>
        <v>2000</v>
      </c>
      <c r="L940" s="13" t="str">
        <f t="shared" si="66"/>
        <v>0 5-star + 2 RFC + 0 DME + 0 Patient Portal Login + 4 Completed Task</v>
      </c>
      <c r="M940" s="13"/>
      <c r="N940" s="13"/>
      <c r="O940" s="14"/>
      <c r="P940" s="14"/>
    </row>
    <row r="941" hidden="1">
      <c r="A941" s="6" t="s">
        <v>243</v>
      </c>
      <c r="B941" s="21" t="s">
        <v>179</v>
      </c>
      <c r="C941" s="21" t="s">
        <v>180</v>
      </c>
      <c r="D941" s="21" t="s">
        <v>181</v>
      </c>
      <c r="E941" s="17">
        <v>1.0</v>
      </c>
      <c r="F941" s="18">
        <v>1.0</v>
      </c>
      <c r="G941" s="18">
        <v>1.0</v>
      </c>
      <c r="H941" s="10">
        <v>1.0</v>
      </c>
      <c r="I941" s="19">
        <v>5.0</v>
      </c>
      <c r="J941" s="12"/>
      <c r="K941" s="12">
        <f t="shared" si="62"/>
        <v>2500</v>
      </c>
      <c r="L941" s="13" t="str">
        <f t="shared" si="66"/>
        <v>1 5-star + 1 RFC + 1 DME + 1 Patient Portal Login + 5 Completed Task</v>
      </c>
      <c r="M941" s="13"/>
      <c r="N941" s="13"/>
      <c r="O941" s="23"/>
      <c r="P941" s="23"/>
    </row>
    <row r="942" hidden="1">
      <c r="A942" s="6" t="s">
        <v>243</v>
      </c>
      <c r="B942" s="21" t="s">
        <v>182</v>
      </c>
      <c r="C942" s="21" t="s">
        <v>183</v>
      </c>
      <c r="D942" s="21" t="s">
        <v>184</v>
      </c>
      <c r="E942" s="17">
        <v>0.0</v>
      </c>
      <c r="F942" s="18">
        <v>0.0</v>
      </c>
      <c r="G942" s="18">
        <v>0.0</v>
      </c>
      <c r="H942" s="10">
        <v>0.0</v>
      </c>
      <c r="I942" s="19">
        <v>4.0</v>
      </c>
      <c r="J942" s="12"/>
      <c r="K942" s="12">
        <f t="shared" si="62"/>
        <v>1000</v>
      </c>
      <c r="L942" s="13" t="str">
        <f t="shared" si="66"/>
        <v>0 5-star + 0 RFC + 0 DME + 0 Patient Portal Login + 4 Completed Task</v>
      </c>
      <c r="M942" s="13"/>
      <c r="N942" s="13"/>
      <c r="O942" s="23"/>
      <c r="P942" s="23"/>
    </row>
    <row r="943" hidden="1">
      <c r="A943" s="6" t="s">
        <v>243</v>
      </c>
      <c r="B943" s="21" t="s">
        <v>185</v>
      </c>
      <c r="C943" s="21" t="s">
        <v>186</v>
      </c>
      <c r="D943" s="21" t="s">
        <v>187</v>
      </c>
      <c r="E943" s="17">
        <v>7.0</v>
      </c>
      <c r="F943" s="18">
        <v>0.0</v>
      </c>
      <c r="G943" s="18">
        <v>0.0</v>
      </c>
      <c r="H943" s="10">
        <v>2.0</v>
      </c>
      <c r="I943" s="19">
        <v>5.0</v>
      </c>
      <c r="J943" s="12"/>
      <c r="K943" s="12">
        <f t="shared" si="62"/>
        <v>3500</v>
      </c>
      <c r="L943" s="13" t="str">
        <f t="shared" si="66"/>
        <v>7 5-star + 0 RFC + 0 DME + 2 Patient Portal Login + 5 Completed Task</v>
      </c>
      <c r="M943" s="13"/>
      <c r="N943" s="13"/>
      <c r="O943" s="23"/>
      <c r="P943" s="23"/>
    </row>
    <row r="944" hidden="1">
      <c r="A944" s="6" t="s">
        <v>243</v>
      </c>
      <c r="B944" s="21" t="s">
        <v>188</v>
      </c>
      <c r="C944" s="21" t="s">
        <v>189</v>
      </c>
      <c r="D944" s="21" t="s">
        <v>190</v>
      </c>
      <c r="E944" s="17">
        <v>2.0</v>
      </c>
      <c r="F944" s="18">
        <v>2.0</v>
      </c>
      <c r="G944" s="18">
        <v>2.0</v>
      </c>
      <c r="H944" s="10">
        <v>1.0</v>
      </c>
      <c r="I944" s="19">
        <v>3.0</v>
      </c>
      <c r="J944" s="12"/>
      <c r="K944" s="12">
        <f t="shared" si="62"/>
        <v>3000</v>
      </c>
      <c r="L944" s="13" t="str">
        <f t="shared" si="66"/>
        <v>2 5-star + 2 RFC + 2 DME + 1 Patient Portal Login + 3 Completed Task</v>
      </c>
      <c r="M944" s="13"/>
      <c r="N944" s="13"/>
      <c r="O944" s="23"/>
      <c r="P944" s="23"/>
    </row>
    <row r="945" hidden="1">
      <c r="A945" s="6" t="s">
        <v>243</v>
      </c>
      <c r="B945" s="21" t="s">
        <v>191</v>
      </c>
      <c r="C945" s="21" t="s">
        <v>192</v>
      </c>
      <c r="D945" s="21" t="s">
        <v>193</v>
      </c>
      <c r="E945" s="17">
        <v>0.0</v>
      </c>
      <c r="F945" s="18">
        <v>3.0</v>
      </c>
      <c r="G945" s="18">
        <v>0.0</v>
      </c>
      <c r="H945" s="10">
        <v>0.0</v>
      </c>
      <c r="I945" s="19">
        <v>5.0</v>
      </c>
      <c r="J945" s="12"/>
      <c r="K945" s="12">
        <f t="shared" si="62"/>
        <v>2750</v>
      </c>
      <c r="L945" s="13" t="str">
        <f t="shared" si="66"/>
        <v>0 5-star + 3 RFC + 0 DME + 0 Patient Portal Login + 5 Completed Task</v>
      </c>
      <c r="M945" s="13"/>
      <c r="N945" s="13"/>
      <c r="O945" s="23"/>
      <c r="P945" s="23"/>
    </row>
    <row r="946" hidden="1">
      <c r="A946" s="6" t="s">
        <v>243</v>
      </c>
      <c r="B946" s="21" t="s">
        <v>194</v>
      </c>
      <c r="C946" s="21" t="s">
        <v>195</v>
      </c>
      <c r="D946" s="21" t="s">
        <v>196</v>
      </c>
      <c r="E946" s="17">
        <v>0.0</v>
      </c>
      <c r="F946" s="18">
        <v>0.0</v>
      </c>
      <c r="G946" s="18">
        <v>0.0</v>
      </c>
      <c r="H946" s="10">
        <v>0.0</v>
      </c>
      <c r="I946" s="19">
        <v>3.0</v>
      </c>
      <c r="J946" s="12"/>
      <c r="K946" s="12">
        <f t="shared" si="62"/>
        <v>750</v>
      </c>
      <c r="L946" s="13" t="str">
        <f t="shared" si="66"/>
        <v>0 5-star + 0 RFC + 0 DME + 0 Patient Portal Login + 3 Completed Task</v>
      </c>
      <c r="M946" s="13"/>
      <c r="N946" s="13"/>
      <c r="O946" s="23"/>
      <c r="P946" s="23"/>
    </row>
    <row r="947" hidden="1">
      <c r="A947" s="6" t="s">
        <v>243</v>
      </c>
      <c r="B947" s="21" t="s">
        <v>197</v>
      </c>
      <c r="C947" s="21" t="s">
        <v>198</v>
      </c>
      <c r="D947" s="21" t="s">
        <v>199</v>
      </c>
      <c r="E947" s="17">
        <v>1.0</v>
      </c>
      <c r="F947" s="18">
        <v>4.0</v>
      </c>
      <c r="G947" s="18">
        <v>0.0</v>
      </c>
      <c r="H947" s="10">
        <v>2.0</v>
      </c>
      <c r="I947" s="19">
        <v>5.0</v>
      </c>
      <c r="J947" s="12"/>
      <c r="K947" s="12">
        <f t="shared" si="62"/>
        <v>4000</v>
      </c>
      <c r="L947" s="13" t="str">
        <f t="shared" si="66"/>
        <v>1 5-star + 4 RFC + 0 DME + 2 Patient Portal Login + 5 Completed Task</v>
      </c>
      <c r="M947" s="13"/>
      <c r="N947" s="13"/>
      <c r="O947" s="23"/>
      <c r="P947" s="23"/>
    </row>
    <row r="948" hidden="1">
      <c r="A948" s="6" t="s">
        <v>243</v>
      </c>
      <c r="B948" s="21" t="s">
        <v>200</v>
      </c>
      <c r="C948" s="21" t="s">
        <v>201</v>
      </c>
      <c r="D948" s="21" t="s">
        <v>202</v>
      </c>
      <c r="E948" s="17">
        <v>0.0</v>
      </c>
      <c r="F948" s="18">
        <v>1.0</v>
      </c>
      <c r="G948" s="18">
        <v>1.0</v>
      </c>
      <c r="H948" s="10">
        <v>4.0</v>
      </c>
      <c r="I948" s="19">
        <v>5.0</v>
      </c>
      <c r="J948" s="12"/>
      <c r="K948" s="12">
        <f t="shared" si="62"/>
        <v>3000</v>
      </c>
      <c r="L948" s="13" t="str">
        <f t="shared" si="66"/>
        <v>0 5-star + 1 RFC + 1 DME + 4 Patient Portal Login + 5 Completed Task</v>
      </c>
      <c r="M948" s="13"/>
      <c r="N948" s="13"/>
      <c r="O948" s="23"/>
      <c r="P948" s="23"/>
    </row>
    <row r="949" hidden="1">
      <c r="A949" s="6" t="s">
        <v>244</v>
      </c>
      <c r="B949" s="16" t="s">
        <v>35</v>
      </c>
      <c r="C949" s="16" t="s">
        <v>36</v>
      </c>
      <c r="D949" s="16" t="s">
        <v>37</v>
      </c>
      <c r="E949" s="17">
        <v>0.0</v>
      </c>
      <c r="F949" s="18">
        <v>0.0</v>
      </c>
      <c r="G949" s="18">
        <v>0.0</v>
      </c>
      <c r="H949" s="10">
        <v>0.0</v>
      </c>
      <c r="I949" s="19">
        <v>0.0</v>
      </c>
      <c r="J949" s="12"/>
      <c r="K949" s="12">
        <f t="shared" si="62"/>
        <v>0</v>
      </c>
      <c r="L949" s="13" t="str">
        <f t="shared" si="66"/>
        <v>0 5-star + 0 RFC + 0 DME + 0 Patient Portal Login + 0 Completed Task</v>
      </c>
      <c r="M949" s="13"/>
      <c r="N949" s="13"/>
      <c r="O949" s="14"/>
      <c r="P949" s="14"/>
    </row>
    <row r="950" hidden="1">
      <c r="A950" s="6" t="s">
        <v>244</v>
      </c>
      <c r="B950" s="16" t="s">
        <v>38</v>
      </c>
      <c r="C950" s="16" t="s">
        <v>39</v>
      </c>
      <c r="D950" s="16" t="s">
        <v>40</v>
      </c>
      <c r="E950" s="17">
        <v>4.0</v>
      </c>
      <c r="F950" s="18">
        <v>0.0</v>
      </c>
      <c r="G950" s="18">
        <v>0.0</v>
      </c>
      <c r="H950" s="10">
        <v>0.0</v>
      </c>
      <c r="I950" s="19">
        <v>3.0</v>
      </c>
      <c r="J950" s="12"/>
      <c r="K950" s="12">
        <f t="shared" si="62"/>
        <v>1750</v>
      </c>
      <c r="L950" s="13" t="str">
        <f t="shared" si="66"/>
        <v>4 5-star + 0 RFC + 0 DME + 0 Patient Portal Login + 3 Completed Task</v>
      </c>
      <c r="M950" s="13"/>
      <c r="N950" s="13"/>
      <c r="O950" s="14"/>
      <c r="P950" s="14"/>
    </row>
    <row r="951" hidden="1">
      <c r="A951" s="6" t="s">
        <v>244</v>
      </c>
      <c r="B951" s="16" t="s">
        <v>41</v>
      </c>
      <c r="C951" s="16" t="s">
        <v>42</v>
      </c>
      <c r="D951" s="16" t="s">
        <v>43</v>
      </c>
      <c r="E951" s="17">
        <v>0.0</v>
      </c>
      <c r="F951" s="18">
        <v>0.0</v>
      </c>
      <c r="G951" s="18">
        <v>2.0</v>
      </c>
      <c r="H951" s="10">
        <v>0.0</v>
      </c>
      <c r="I951" s="19">
        <v>5.0</v>
      </c>
      <c r="J951" s="12"/>
      <c r="K951" s="12">
        <f t="shared" si="62"/>
        <v>1750</v>
      </c>
      <c r="L951" s="13" t="str">
        <f t="shared" si="66"/>
        <v>0 5-star + 0 RFC + 2 DME + 0 Patient Portal Login + 5 Completed Task</v>
      </c>
      <c r="M951" s="13"/>
      <c r="N951" s="13"/>
      <c r="O951" s="14"/>
      <c r="P951" s="14"/>
    </row>
    <row r="952" hidden="1">
      <c r="A952" s="6" t="s">
        <v>244</v>
      </c>
      <c r="B952" s="16" t="s">
        <v>44</v>
      </c>
      <c r="C952" s="16" t="s">
        <v>45</v>
      </c>
      <c r="D952" s="16" t="s">
        <v>46</v>
      </c>
      <c r="E952" s="17">
        <v>2.0</v>
      </c>
      <c r="F952" s="18">
        <v>0.0</v>
      </c>
      <c r="G952" s="18">
        <v>0.0</v>
      </c>
      <c r="H952" s="10">
        <v>0.0</v>
      </c>
      <c r="I952" s="19">
        <v>5.0</v>
      </c>
      <c r="J952" s="12"/>
      <c r="K952" s="12">
        <f t="shared" si="62"/>
        <v>1750</v>
      </c>
      <c r="L952" s="13" t="str">
        <f t="shared" si="66"/>
        <v>2 5-star + 0 RFC + 0 DME + 0 Patient Portal Login + 5 Completed Task</v>
      </c>
      <c r="M952" s="13"/>
      <c r="N952" s="13"/>
      <c r="O952" s="14"/>
      <c r="P952" s="14"/>
    </row>
    <row r="953" hidden="1">
      <c r="A953" s="6" t="s">
        <v>244</v>
      </c>
      <c r="B953" s="16" t="s">
        <v>47</v>
      </c>
      <c r="C953" s="16" t="s">
        <v>48</v>
      </c>
      <c r="D953" s="16" t="s">
        <v>49</v>
      </c>
      <c r="E953" s="17">
        <v>8.0</v>
      </c>
      <c r="F953" s="18">
        <v>5.0</v>
      </c>
      <c r="G953" s="18">
        <v>0.0</v>
      </c>
      <c r="H953" s="10">
        <v>5.0</v>
      </c>
      <c r="I953" s="19">
        <v>4.0</v>
      </c>
      <c r="J953" s="12"/>
      <c r="K953" s="12">
        <f t="shared" si="62"/>
        <v>6750</v>
      </c>
      <c r="L953" s="13" t="str">
        <f t="shared" si="66"/>
        <v>8 5-star + 5 RFC + 0 DME + 5 Patient Portal Login + 4 Completed Task</v>
      </c>
      <c r="M953" s="13"/>
      <c r="N953" s="13"/>
      <c r="O953" s="14"/>
      <c r="P953" s="14"/>
    </row>
    <row r="954" hidden="1">
      <c r="A954" s="6" t="s">
        <v>244</v>
      </c>
      <c r="B954" s="16" t="s">
        <v>50</v>
      </c>
      <c r="C954" s="16" t="s">
        <v>51</v>
      </c>
      <c r="D954" s="16" t="s">
        <v>52</v>
      </c>
      <c r="E954" s="17">
        <v>0.0</v>
      </c>
      <c r="F954" s="18">
        <v>0.0</v>
      </c>
      <c r="G954" s="18">
        <v>0.0</v>
      </c>
      <c r="H954" s="10">
        <v>1.0</v>
      </c>
      <c r="I954" s="19">
        <v>5.0</v>
      </c>
      <c r="J954" s="12"/>
      <c r="K954" s="12">
        <f t="shared" si="62"/>
        <v>1500</v>
      </c>
      <c r="L954" s="13" t="str">
        <f t="shared" si="66"/>
        <v>0 5-star + 0 RFC + 0 DME + 1 Patient Portal Login + 5 Completed Task</v>
      </c>
      <c r="M954" s="13"/>
      <c r="N954" s="13"/>
      <c r="O954" s="14"/>
      <c r="P954" s="14"/>
    </row>
    <row r="955" hidden="1">
      <c r="A955" s="6" t="s">
        <v>244</v>
      </c>
      <c r="B955" s="16" t="s">
        <v>53</v>
      </c>
      <c r="C955" s="16" t="s">
        <v>54</v>
      </c>
      <c r="D955" s="16" t="s">
        <v>55</v>
      </c>
      <c r="E955" s="17">
        <v>1.0</v>
      </c>
      <c r="F955" s="18">
        <v>7.0</v>
      </c>
      <c r="G955" s="18">
        <v>1.0</v>
      </c>
      <c r="H955" s="10">
        <v>9.0</v>
      </c>
      <c r="I955" s="19">
        <v>5.0</v>
      </c>
      <c r="J955" s="12"/>
      <c r="K955" s="12">
        <f t="shared" si="62"/>
        <v>7500</v>
      </c>
      <c r="L955" s="13" t="str">
        <f t="shared" si="66"/>
        <v>1 5-star + 7 RFC + 1 DME + 9 Patient Portal Login + 5 Completed Task</v>
      </c>
      <c r="M955" s="13"/>
      <c r="N955" s="13"/>
      <c r="O955" s="14"/>
      <c r="P955" s="14"/>
    </row>
    <row r="956" hidden="1">
      <c r="A956" s="6" t="s">
        <v>244</v>
      </c>
      <c r="B956" s="16" t="s">
        <v>56</v>
      </c>
      <c r="C956" s="16" t="s">
        <v>57</v>
      </c>
      <c r="D956" s="16" t="s">
        <v>58</v>
      </c>
      <c r="E956" s="17">
        <v>0.0</v>
      </c>
      <c r="F956" s="18">
        <v>2.0</v>
      </c>
      <c r="G956" s="18">
        <v>0.0</v>
      </c>
      <c r="H956" s="10">
        <v>2.0</v>
      </c>
      <c r="I956" s="19">
        <v>5.0</v>
      </c>
      <c r="J956" s="12"/>
      <c r="K956" s="12">
        <f t="shared" si="62"/>
        <v>2750</v>
      </c>
      <c r="L956" s="13" t="str">
        <f t="shared" si="66"/>
        <v>0 5-star + 2 RFC + 0 DME + 2 Patient Portal Login + 5 Completed Task</v>
      </c>
      <c r="M956" s="13"/>
      <c r="N956" s="13"/>
      <c r="O956" s="14"/>
      <c r="P956" s="14"/>
    </row>
    <row r="957" hidden="1">
      <c r="A957" s="6" t="s">
        <v>244</v>
      </c>
      <c r="B957" s="16" t="s">
        <v>59</v>
      </c>
      <c r="C957" s="16" t="s">
        <v>60</v>
      </c>
      <c r="D957" s="16" t="s">
        <v>61</v>
      </c>
      <c r="E957" s="17">
        <v>0.0</v>
      </c>
      <c r="F957" s="18">
        <v>2.0</v>
      </c>
      <c r="G957" s="18">
        <v>0.0</v>
      </c>
      <c r="H957" s="10">
        <v>0.0</v>
      </c>
      <c r="I957" s="19">
        <v>3.0</v>
      </c>
      <c r="J957" s="12"/>
      <c r="K957" s="12">
        <f t="shared" si="62"/>
        <v>1750</v>
      </c>
      <c r="L957" s="13" t="str">
        <f t="shared" si="66"/>
        <v>0 5-star + 2 RFC + 0 DME + 0 Patient Portal Login + 3 Completed Task</v>
      </c>
      <c r="M957" s="13"/>
      <c r="N957" s="13"/>
      <c r="O957" s="14"/>
      <c r="P957" s="14"/>
    </row>
    <row r="958" hidden="1">
      <c r="A958" s="6" t="s">
        <v>244</v>
      </c>
      <c r="B958" s="16" t="s">
        <v>62</v>
      </c>
      <c r="C958" s="16" t="s">
        <v>63</v>
      </c>
      <c r="D958" s="16" t="s">
        <v>64</v>
      </c>
      <c r="E958" s="17">
        <v>0.0</v>
      </c>
      <c r="F958" s="18">
        <v>0.0</v>
      </c>
      <c r="G958" s="18">
        <v>0.0</v>
      </c>
      <c r="H958" s="10">
        <v>1.0</v>
      </c>
      <c r="I958" s="19">
        <v>4.0</v>
      </c>
      <c r="J958" s="12"/>
      <c r="K958" s="12">
        <f t="shared" si="62"/>
        <v>1250</v>
      </c>
      <c r="L958" s="13" t="str">
        <f t="shared" si="66"/>
        <v>0 5-star + 0 RFC + 0 DME + 1 Patient Portal Login + 4 Completed Task</v>
      </c>
      <c r="M958" s="13"/>
      <c r="N958" s="13"/>
      <c r="O958" s="14"/>
      <c r="P958" s="14"/>
    </row>
    <row r="959" hidden="1">
      <c r="A959" s="6" t="s">
        <v>244</v>
      </c>
      <c r="B959" s="16" t="s">
        <v>65</v>
      </c>
      <c r="C959" s="16" t="s">
        <v>66</v>
      </c>
      <c r="D959" s="16" t="s">
        <v>67</v>
      </c>
      <c r="E959" s="17">
        <v>0.0</v>
      </c>
      <c r="F959" s="18">
        <v>4.0</v>
      </c>
      <c r="G959" s="18">
        <v>0.0</v>
      </c>
      <c r="H959" s="10">
        <v>6.0</v>
      </c>
      <c r="I959" s="19">
        <v>4.0</v>
      </c>
      <c r="J959" s="12"/>
      <c r="K959" s="12">
        <f t="shared" si="62"/>
        <v>4500</v>
      </c>
      <c r="L959" s="13" t="str">
        <f t="shared" si="66"/>
        <v>0 5-star + 4 RFC + 0 DME + 6 Patient Portal Login + 4 Completed Task</v>
      </c>
      <c r="M959" s="13"/>
      <c r="N959" s="13"/>
      <c r="O959" s="14"/>
      <c r="P959" s="14"/>
    </row>
    <row r="960" hidden="1">
      <c r="A960" s="6" t="s">
        <v>244</v>
      </c>
      <c r="B960" s="16" t="s">
        <v>68</v>
      </c>
      <c r="C960" s="16" t="s">
        <v>69</v>
      </c>
      <c r="D960" s="16" t="s">
        <v>70</v>
      </c>
      <c r="E960" s="17">
        <v>0.0</v>
      </c>
      <c r="F960" s="18">
        <v>2.0</v>
      </c>
      <c r="G960" s="18">
        <v>0.0</v>
      </c>
      <c r="H960" s="10">
        <v>2.0</v>
      </c>
      <c r="I960" s="19">
        <v>5.0</v>
      </c>
      <c r="J960" s="12"/>
      <c r="K960" s="12">
        <f t="shared" si="62"/>
        <v>2750</v>
      </c>
      <c r="L960" s="13" t="str">
        <f t="shared" si="66"/>
        <v>0 5-star + 2 RFC + 0 DME + 2 Patient Portal Login + 5 Completed Task</v>
      </c>
      <c r="M960" s="13"/>
      <c r="N960" s="13"/>
      <c r="O960" s="14"/>
      <c r="P960" s="14"/>
    </row>
    <row r="961" hidden="1">
      <c r="A961" s="6" t="s">
        <v>244</v>
      </c>
      <c r="B961" s="16" t="s">
        <v>71</v>
      </c>
      <c r="C961" s="16" t="s">
        <v>72</v>
      </c>
      <c r="D961" s="16" t="s">
        <v>73</v>
      </c>
      <c r="E961" s="17">
        <v>0.0</v>
      </c>
      <c r="F961" s="18">
        <v>2.0</v>
      </c>
      <c r="G961" s="18">
        <v>1.0</v>
      </c>
      <c r="H961" s="10">
        <v>0.0</v>
      </c>
      <c r="I961" s="19">
        <v>3.0</v>
      </c>
      <c r="J961" s="12"/>
      <c r="K961" s="12">
        <f t="shared" si="62"/>
        <v>2000</v>
      </c>
      <c r="L961" s="13" t="str">
        <f t="shared" si="66"/>
        <v>0 5-star + 2 RFC + 1 DME + 0 Patient Portal Login + 3 Completed Task</v>
      </c>
      <c r="M961" s="13"/>
      <c r="N961" s="13"/>
      <c r="O961" s="14"/>
      <c r="P961" s="14"/>
    </row>
    <row r="962" hidden="1">
      <c r="A962" s="6" t="s">
        <v>244</v>
      </c>
      <c r="B962" s="16" t="s">
        <v>74</v>
      </c>
      <c r="C962" s="16" t="s">
        <v>75</v>
      </c>
      <c r="D962" s="16" t="s">
        <v>76</v>
      </c>
      <c r="E962" s="17">
        <v>1.0</v>
      </c>
      <c r="F962" s="18">
        <v>0.0</v>
      </c>
      <c r="G962" s="18">
        <v>0.0</v>
      </c>
      <c r="H962" s="10">
        <v>7.0</v>
      </c>
      <c r="I962" s="19">
        <v>5.0</v>
      </c>
      <c r="J962" s="12"/>
      <c r="K962" s="12">
        <f t="shared" si="62"/>
        <v>3250</v>
      </c>
      <c r="L962" s="13" t="str">
        <f t="shared" si="66"/>
        <v>1 5-star + 0 RFC + 0 DME + 7 Patient Portal Login + 5 Completed Task</v>
      </c>
      <c r="M962" s="13"/>
      <c r="N962" s="13"/>
      <c r="O962" s="14"/>
      <c r="P962" s="14"/>
    </row>
    <row r="963" hidden="1">
      <c r="A963" s="6" t="s">
        <v>244</v>
      </c>
      <c r="B963" s="16" t="s">
        <v>77</v>
      </c>
      <c r="C963" s="16" t="s">
        <v>78</v>
      </c>
      <c r="D963" s="16" t="s">
        <v>79</v>
      </c>
      <c r="E963" s="17">
        <v>1.0</v>
      </c>
      <c r="F963" s="18">
        <v>3.0</v>
      </c>
      <c r="G963" s="18">
        <v>0.0</v>
      </c>
      <c r="H963" s="10">
        <v>0.0</v>
      </c>
      <c r="I963" s="19">
        <v>5.0</v>
      </c>
      <c r="J963" s="12"/>
      <c r="K963" s="12">
        <f t="shared" si="62"/>
        <v>3000</v>
      </c>
      <c r="L963" s="13" t="str">
        <f t="shared" si="66"/>
        <v>1 5-star + 3 RFC + 0 DME + 0 Patient Portal Login + 5 Completed Task</v>
      </c>
      <c r="M963" s="13"/>
      <c r="N963" s="13"/>
      <c r="O963" s="14"/>
      <c r="P963" s="14"/>
    </row>
    <row r="964" hidden="1">
      <c r="A964" s="6" t="s">
        <v>244</v>
      </c>
      <c r="B964" s="16" t="s">
        <v>80</v>
      </c>
      <c r="C964" s="16" t="s">
        <v>81</v>
      </c>
      <c r="D964" s="16" t="s">
        <v>82</v>
      </c>
      <c r="E964" s="17">
        <v>0.0</v>
      </c>
      <c r="F964" s="18">
        <v>0.0</v>
      </c>
      <c r="G964" s="18">
        <v>0.0</v>
      </c>
      <c r="H964" s="10">
        <v>0.0</v>
      </c>
      <c r="I964" s="19">
        <v>5.0</v>
      </c>
      <c r="J964" s="12"/>
      <c r="K964" s="12">
        <f t="shared" si="62"/>
        <v>1250</v>
      </c>
      <c r="L964" s="13" t="str">
        <f t="shared" si="66"/>
        <v>0 5-star + 0 RFC + 0 DME + 0 Patient Portal Login + 5 Completed Task</v>
      </c>
      <c r="M964" s="13"/>
      <c r="N964" s="13"/>
      <c r="O964" s="14"/>
      <c r="P964" s="14"/>
    </row>
    <row r="965" hidden="1">
      <c r="A965" s="6" t="s">
        <v>244</v>
      </c>
      <c r="B965" s="7" t="s">
        <v>83</v>
      </c>
      <c r="C965" s="16" t="s">
        <v>84</v>
      </c>
      <c r="D965" s="16" t="s">
        <v>85</v>
      </c>
      <c r="E965" s="17">
        <v>1.0</v>
      </c>
      <c r="F965" s="18">
        <v>0.0</v>
      </c>
      <c r="G965" s="18">
        <v>0.0</v>
      </c>
      <c r="H965" s="10">
        <v>0.0</v>
      </c>
      <c r="I965" s="19">
        <v>4.0</v>
      </c>
      <c r="J965" s="12"/>
      <c r="K965" s="12">
        <f t="shared" si="62"/>
        <v>1250</v>
      </c>
      <c r="L965" s="13" t="str">
        <f t="shared" si="66"/>
        <v>1 5-star + 0 RFC + 0 DME + 0 Patient Portal Login + 4 Completed Task</v>
      </c>
      <c r="M965" s="13"/>
      <c r="N965" s="13"/>
      <c r="O965" s="14"/>
      <c r="P965" s="14"/>
    </row>
    <row r="966" hidden="1">
      <c r="A966" s="6" t="s">
        <v>244</v>
      </c>
      <c r="B966" s="16" t="s">
        <v>86</v>
      </c>
      <c r="C966" s="16" t="s">
        <v>87</v>
      </c>
      <c r="D966" s="16" t="s">
        <v>88</v>
      </c>
      <c r="E966" s="17">
        <v>1.0</v>
      </c>
      <c r="F966" s="18">
        <v>2.0</v>
      </c>
      <c r="G966" s="18">
        <v>0.0</v>
      </c>
      <c r="H966" s="10">
        <v>5.0</v>
      </c>
      <c r="I966" s="19">
        <v>5.0</v>
      </c>
      <c r="J966" s="12"/>
      <c r="K966" s="12">
        <f t="shared" si="62"/>
        <v>3750</v>
      </c>
      <c r="L966" s="13" t="str">
        <f t="shared" si="66"/>
        <v>1 5-star + 2 RFC + 0 DME + 5 Patient Portal Login + 5 Completed Task</v>
      </c>
      <c r="M966" s="13"/>
      <c r="N966" s="13"/>
      <c r="O966" s="14"/>
      <c r="P966" s="14"/>
    </row>
    <row r="967" ht="15.0" hidden="1" customHeight="1">
      <c r="A967" s="6" t="s">
        <v>244</v>
      </c>
      <c r="B967" s="16" t="s">
        <v>89</v>
      </c>
      <c r="C967" s="16" t="s">
        <v>90</v>
      </c>
      <c r="D967" s="16" t="s">
        <v>91</v>
      </c>
      <c r="E967" s="17">
        <v>0.0</v>
      </c>
      <c r="F967" s="18">
        <v>0.0</v>
      </c>
      <c r="G967" s="18">
        <v>0.0</v>
      </c>
      <c r="H967" s="10">
        <v>1.0</v>
      </c>
      <c r="I967" s="19">
        <v>5.0</v>
      </c>
      <c r="J967" s="12"/>
      <c r="K967" s="12">
        <f t="shared" si="62"/>
        <v>1500</v>
      </c>
      <c r="L967" s="13" t="str">
        <f t="shared" si="66"/>
        <v>0 5-star + 0 RFC + 0 DME + 1 Patient Portal Login + 5 Completed Task</v>
      </c>
      <c r="M967" s="13"/>
      <c r="N967" s="13"/>
      <c r="O967" s="14"/>
      <c r="P967" s="14"/>
    </row>
    <row r="968" hidden="1">
      <c r="A968" s="6" t="s">
        <v>244</v>
      </c>
      <c r="B968" s="16" t="s">
        <v>92</v>
      </c>
      <c r="C968" s="16" t="s">
        <v>93</v>
      </c>
      <c r="D968" s="16" t="s">
        <v>94</v>
      </c>
      <c r="E968" s="17">
        <v>4.0</v>
      </c>
      <c r="F968" s="18">
        <v>0.0</v>
      </c>
      <c r="G968" s="18">
        <v>0.0</v>
      </c>
      <c r="H968" s="10">
        <v>6.0</v>
      </c>
      <c r="I968" s="19">
        <v>5.0</v>
      </c>
      <c r="J968" s="12"/>
      <c r="K968" s="12">
        <f t="shared" si="62"/>
        <v>3750</v>
      </c>
      <c r="L968" s="13" t="str">
        <f t="shared" si="66"/>
        <v>4 5-star + 0 RFC + 0 DME + 6 Patient Portal Login + 5 Completed Task</v>
      </c>
      <c r="M968" s="13"/>
      <c r="N968" s="13"/>
      <c r="O968" s="14"/>
      <c r="P968" s="14"/>
    </row>
    <row r="969" hidden="1">
      <c r="A969" s="6" t="s">
        <v>244</v>
      </c>
      <c r="B969" s="7" t="s">
        <v>95</v>
      </c>
      <c r="C969" s="16" t="s">
        <v>96</v>
      </c>
      <c r="D969" s="16" t="s">
        <v>97</v>
      </c>
      <c r="E969" s="17">
        <v>1.0</v>
      </c>
      <c r="F969" s="18">
        <v>6.0</v>
      </c>
      <c r="G969" s="18">
        <v>0.0</v>
      </c>
      <c r="H969" s="10">
        <v>3.0</v>
      </c>
      <c r="I969" s="19">
        <v>5.0</v>
      </c>
      <c r="J969" s="12"/>
      <c r="K969" s="12">
        <f t="shared" si="62"/>
        <v>5250</v>
      </c>
      <c r="L969" s="13" t="str">
        <f t="shared" si="66"/>
        <v>1 5-star + 6 RFC + 0 DME + 3 Patient Portal Login + 5 Completed Task</v>
      </c>
      <c r="M969" s="13"/>
      <c r="N969" s="13"/>
      <c r="O969" s="14"/>
      <c r="P969" s="14"/>
    </row>
    <row r="970" hidden="1">
      <c r="A970" s="6" t="s">
        <v>244</v>
      </c>
      <c r="B970" s="16" t="s">
        <v>98</v>
      </c>
      <c r="C970" s="16" t="s">
        <v>99</v>
      </c>
      <c r="D970" s="16" t="s">
        <v>100</v>
      </c>
      <c r="E970" s="17">
        <v>0.0</v>
      </c>
      <c r="F970" s="18">
        <v>0.0</v>
      </c>
      <c r="G970" s="18">
        <v>0.0</v>
      </c>
      <c r="H970" s="10">
        <v>2.0</v>
      </c>
      <c r="I970" s="19">
        <v>5.0</v>
      </c>
      <c r="J970" s="12"/>
      <c r="K970" s="12">
        <f t="shared" si="62"/>
        <v>1750</v>
      </c>
      <c r="L970" s="13" t="str">
        <f t="shared" si="66"/>
        <v>0 5-star + 0 RFC + 0 DME + 2 Patient Portal Login + 5 Completed Task</v>
      </c>
      <c r="M970" s="13"/>
      <c r="N970" s="13"/>
      <c r="O970" s="14"/>
      <c r="P970" s="14"/>
    </row>
    <row r="971" hidden="1">
      <c r="A971" s="6" t="s">
        <v>244</v>
      </c>
      <c r="B971" s="7" t="s">
        <v>101</v>
      </c>
      <c r="C971" s="16" t="s">
        <v>102</v>
      </c>
      <c r="D971" s="16" t="s">
        <v>103</v>
      </c>
      <c r="E971" s="17">
        <v>0.0</v>
      </c>
      <c r="F971" s="18">
        <v>0.0</v>
      </c>
      <c r="G971" s="18">
        <v>0.0</v>
      </c>
      <c r="H971" s="10">
        <v>0.0</v>
      </c>
      <c r="I971" s="19">
        <v>5.0</v>
      </c>
      <c r="J971" s="12"/>
      <c r="K971" s="12">
        <f t="shared" si="62"/>
        <v>1250</v>
      </c>
      <c r="L971" s="13" t="str">
        <f t="shared" si="66"/>
        <v>0 5-star + 0 RFC + 0 DME + 0 Patient Portal Login + 5 Completed Task</v>
      </c>
      <c r="M971" s="13"/>
      <c r="N971" s="13"/>
      <c r="O971" s="14"/>
      <c r="P971" s="14"/>
    </row>
    <row r="972" hidden="1">
      <c r="A972" s="6" t="s">
        <v>244</v>
      </c>
      <c r="B972" s="16" t="s">
        <v>104</v>
      </c>
      <c r="C972" s="16" t="s">
        <v>105</v>
      </c>
      <c r="D972" s="16" t="s">
        <v>106</v>
      </c>
      <c r="E972" s="17">
        <v>0.0</v>
      </c>
      <c r="F972" s="18">
        <v>1.0</v>
      </c>
      <c r="G972" s="18">
        <v>0.0</v>
      </c>
      <c r="H972" s="10">
        <v>4.0</v>
      </c>
      <c r="I972" s="19">
        <v>4.0</v>
      </c>
      <c r="J972" s="12"/>
      <c r="K972" s="12">
        <f t="shared" si="62"/>
        <v>2500</v>
      </c>
      <c r="L972" s="13" t="str">
        <f t="shared" si="66"/>
        <v>0 5-star + 1 RFC + 0 DME + 4 Patient Portal Login + 4 Completed Task</v>
      </c>
      <c r="M972" s="13"/>
      <c r="N972" s="13"/>
      <c r="O972" s="14"/>
      <c r="P972" s="14"/>
    </row>
    <row r="973" hidden="1">
      <c r="A973" s="6" t="s">
        <v>244</v>
      </c>
      <c r="B973" s="16" t="s">
        <v>107</v>
      </c>
      <c r="C973" s="16" t="s">
        <v>108</v>
      </c>
      <c r="D973" s="16" t="s">
        <v>109</v>
      </c>
      <c r="E973" s="17">
        <v>0.0</v>
      </c>
      <c r="F973" s="18">
        <v>0.0</v>
      </c>
      <c r="G973" s="18">
        <v>0.0</v>
      </c>
      <c r="H973" s="10">
        <v>2.0</v>
      </c>
      <c r="I973" s="19">
        <v>5.0</v>
      </c>
      <c r="J973" s="12"/>
      <c r="K973" s="12">
        <f t="shared" si="62"/>
        <v>1750</v>
      </c>
      <c r="L973" s="13" t="str">
        <f t="shared" si="66"/>
        <v>0 5-star + 0 RFC + 0 DME + 2 Patient Portal Login + 5 Completed Task</v>
      </c>
      <c r="M973" s="13"/>
      <c r="N973" s="13"/>
      <c r="O973" s="14"/>
      <c r="P973" s="14"/>
    </row>
    <row r="974" hidden="1">
      <c r="A974" s="6" t="s">
        <v>244</v>
      </c>
      <c r="B974" s="16" t="s">
        <v>110</v>
      </c>
      <c r="C974" s="16" t="s">
        <v>111</v>
      </c>
      <c r="D974" s="16" t="s">
        <v>112</v>
      </c>
      <c r="E974" s="17">
        <v>0.0</v>
      </c>
      <c r="F974" s="18">
        <v>4.0</v>
      </c>
      <c r="G974" s="18">
        <v>0.0</v>
      </c>
      <c r="H974" s="10">
        <v>1.0</v>
      </c>
      <c r="I974" s="19">
        <v>4.0</v>
      </c>
      <c r="J974" s="12"/>
      <c r="K974" s="12">
        <f t="shared" si="62"/>
        <v>3250</v>
      </c>
      <c r="L974" s="13" t="str">
        <f t="shared" si="66"/>
        <v>0 5-star + 4 RFC + 0 DME + 1 Patient Portal Login + 4 Completed Task</v>
      </c>
      <c r="M974" s="13"/>
      <c r="N974" s="13"/>
      <c r="O974" s="14"/>
      <c r="P974" s="14"/>
    </row>
    <row r="975" hidden="1">
      <c r="A975" s="6" t="s">
        <v>244</v>
      </c>
      <c r="B975" s="16" t="s">
        <v>113</v>
      </c>
      <c r="C975" s="16" t="s">
        <v>114</v>
      </c>
      <c r="D975" s="16" t="s">
        <v>115</v>
      </c>
      <c r="E975" s="17">
        <v>5.0</v>
      </c>
      <c r="F975" s="18">
        <v>0.0</v>
      </c>
      <c r="G975" s="18">
        <v>1.0</v>
      </c>
      <c r="H975" s="10">
        <v>1.0</v>
      </c>
      <c r="I975" s="19">
        <v>5.0</v>
      </c>
      <c r="J975" s="12"/>
      <c r="K975" s="12">
        <f t="shared" si="62"/>
        <v>3000</v>
      </c>
      <c r="L975" s="13" t="str">
        <f t="shared" si="66"/>
        <v>5 5-star + 0 RFC + 1 DME + 1 Patient Portal Login + 5 Completed Task</v>
      </c>
      <c r="M975" s="13"/>
      <c r="N975" s="13"/>
      <c r="O975" s="14"/>
      <c r="P975" s="14"/>
    </row>
    <row r="976" hidden="1">
      <c r="A976" s="6" t="s">
        <v>244</v>
      </c>
      <c r="B976" s="7" t="s">
        <v>116</v>
      </c>
      <c r="C976" s="16" t="s">
        <v>117</v>
      </c>
      <c r="D976" s="16" t="s">
        <v>118</v>
      </c>
      <c r="E976" s="17">
        <v>0.0</v>
      </c>
      <c r="F976" s="18">
        <v>0.0</v>
      </c>
      <c r="G976" s="18">
        <v>0.0</v>
      </c>
      <c r="H976" s="10">
        <v>2.0</v>
      </c>
      <c r="I976" s="19">
        <v>5.0</v>
      </c>
      <c r="J976" s="12"/>
      <c r="K976" s="12">
        <f t="shared" si="62"/>
        <v>1750</v>
      </c>
      <c r="L976" s="13" t="str">
        <f t="shared" si="66"/>
        <v>0 5-star + 0 RFC + 0 DME + 2 Patient Portal Login + 5 Completed Task</v>
      </c>
      <c r="M976" s="13"/>
      <c r="N976" s="13"/>
      <c r="O976" s="14"/>
      <c r="P976" s="14"/>
    </row>
    <row r="977" hidden="1">
      <c r="A977" s="6" t="s">
        <v>244</v>
      </c>
      <c r="B977" s="16" t="s">
        <v>119</v>
      </c>
      <c r="C977" s="16" t="s">
        <v>120</v>
      </c>
      <c r="D977" s="16" t="s">
        <v>121</v>
      </c>
      <c r="E977" s="17">
        <v>0.0</v>
      </c>
      <c r="F977" s="18">
        <v>0.0</v>
      </c>
      <c r="G977" s="18">
        <v>0.0</v>
      </c>
      <c r="H977" s="10">
        <v>1.0</v>
      </c>
      <c r="I977" s="19">
        <v>5.0</v>
      </c>
      <c r="J977" s="12"/>
      <c r="K977" s="12">
        <f t="shared" si="62"/>
        <v>1500</v>
      </c>
      <c r="L977" s="13" t="str">
        <f t="shared" si="66"/>
        <v>0 5-star + 0 RFC + 0 DME + 1 Patient Portal Login + 5 Completed Task</v>
      </c>
      <c r="M977" s="13"/>
      <c r="N977" s="13"/>
      <c r="O977" s="14"/>
      <c r="P977" s="14"/>
    </row>
    <row r="978" hidden="1">
      <c r="A978" s="6" t="s">
        <v>244</v>
      </c>
      <c r="B978" s="16" t="s">
        <v>122</v>
      </c>
      <c r="C978" s="16" t="s">
        <v>123</v>
      </c>
      <c r="D978" s="16" t="s">
        <v>124</v>
      </c>
      <c r="E978" s="17">
        <v>0.0</v>
      </c>
      <c r="F978" s="18">
        <v>0.0</v>
      </c>
      <c r="G978" s="18">
        <v>0.0</v>
      </c>
      <c r="H978" s="10">
        <v>5.0</v>
      </c>
      <c r="I978" s="19">
        <v>5.0</v>
      </c>
      <c r="J978" s="12"/>
      <c r="K978" s="12">
        <f t="shared" si="62"/>
        <v>2500</v>
      </c>
      <c r="L978" s="13" t="str">
        <f> E978 &amp; " 5-star + " &amp; F978 &amp; " RFC + " &amp; G977 &amp; " DME + " &amp; H978 &amp; " Patient Portal Login + " &amp; I978 &amp; " Completed Task"
</f>
        <v>0 5-star + 0 RFC + 0 DME + 5 Patient Portal Login + 5 Completed Task</v>
      </c>
      <c r="M978" s="13"/>
      <c r="N978" s="13"/>
      <c r="O978" s="14"/>
      <c r="P978" s="14"/>
    </row>
    <row r="979" hidden="1">
      <c r="A979" s="6" t="s">
        <v>244</v>
      </c>
      <c r="B979" s="16" t="s">
        <v>125</v>
      </c>
      <c r="C979" s="16" t="s">
        <v>126</v>
      </c>
      <c r="D979" s="16" t="s">
        <v>127</v>
      </c>
      <c r="E979" s="17">
        <v>1.0</v>
      </c>
      <c r="F979" s="18">
        <v>2.0</v>
      </c>
      <c r="G979" s="18">
        <v>0.0</v>
      </c>
      <c r="H979" s="10">
        <v>0.0</v>
      </c>
      <c r="I979" s="19">
        <v>5.0</v>
      </c>
      <c r="J979" s="12"/>
      <c r="K979" s="12">
        <f t="shared" si="62"/>
        <v>2500</v>
      </c>
      <c r="L979" s="13" t="str">
        <f t="shared" ref="L979:L991" si="67"> E979 &amp; " 5-star + " &amp; F979 &amp; " RFC + " &amp; G979 &amp; " DME + " &amp; H979 &amp; " Patient Portal Login + " &amp; I979 &amp; " Completed Task"
</f>
        <v>1 5-star + 2 RFC + 0 DME + 0 Patient Portal Login + 5 Completed Task</v>
      </c>
      <c r="M979" s="13"/>
      <c r="N979" s="13"/>
      <c r="O979" s="14"/>
      <c r="P979" s="14"/>
    </row>
    <row r="980" hidden="1">
      <c r="A980" s="6" t="s">
        <v>244</v>
      </c>
      <c r="B980" s="16" t="s">
        <v>128</v>
      </c>
      <c r="C980" s="16" t="s">
        <v>129</v>
      </c>
      <c r="D980" s="16" t="s">
        <v>130</v>
      </c>
      <c r="E980" s="17">
        <v>0.0</v>
      </c>
      <c r="F980" s="18">
        <v>2.0</v>
      </c>
      <c r="G980" s="18">
        <v>0.0</v>
      </c>
      <c r="H980" s="10">
        <v>11.0</v>
      </c>
      <c r="I980" s="19">
        <v>5.0</v>
      </c>
      <c r="J980" s="12"/>
      <c r="K980" s="12">
        <f t="shared" si="62"/>
        <v>5000</v>
      </c>
      <c r="L980" s="13" t="str">
        <f t="shared" si="67"/>
        <v>0 5-star + 2 RFC + 0 DME + 11 Patient Portal Login + 5 Completed Task</v>
      </c>
      <c r="M980" s="13"/>
      <c r="N980" s="13"/>
      <c r="O980" s="14"/>
      <c r="P980" s="14"/>
    </row>
    <row r="981" hidden="1">
      <c r="A981" s="6" t="s">
        <v>244</v>
      </c>
      <c r="B981" s="16" t="s">
        <v>131</v>
      </c>
      <c r="C981" s="16" t="s">
        <v>132</v>
      </c>
      <c r="D981" s="16" t="s">
        <v>133</v>
      </c>
      <c r="E981" s="17">
        <v>1.0</v>
      </c>
      <c r="F981" s="18">
        <v>0.0</v>
      </c>
      <c r="G981" s="18">
        <v>1.0</v>
      </c>
      <c r="H981" s="10">
        <v>2.0</v>
      </c>
      <c r="I981" s="19">
        <v>5.0</v>
      </c>
      <c r="J981" s="12"/>
      <c r="K981" s="12">
        <f t="shared" si="62"/>
        <v>2250</v>
      </c>
      <c r="L981" s="13" t="str">
        <f t="shared" si="67"/>
        <v>1 5-star + 0 RFC + 1 DME + 2 Patient Portal Login + 5 Completed Task</v>
      </c>
      <c r="M981" s="13"/>
      <c r="N981" s="13"/>
      <c r="O981" s="14"/>
      <c r="P981" s="14"/>
    </row>
    <row r="982" hidden="1">
      <c r="A982" s="6" t="s">
        <v>244</v>
      </c>
      <c r="B982" s="16" t="s">
        <v>134</v>
      </c>
      <c r="C982" s="16" t="s">
        <v>135</v>
      </c>
      <c r="D982" s="16" t="s">
        <v>136</v>
      </c>
      <c r="E982" s="17">
        <v>3.0</v>
      </c>
      <c r="F982" s="18">
        <v>0.0</v>
      </c>
      <c r="G982" s="18">
        <v>0.0</v>
      </c>
      <c r="H982" s="10">
        <v>0.0</v>
      </c>
      <c r="I982" s="19">
        <v>5.0</v>
      </c>
      <c r="J982" s="12"/>
      <c r="K982" s="12">
        <f t="shared" si="62"/>
        <v>2000</v>
      </c>
      <c r="L982" s="13" t="str">
        <f t="shared" si="67"/>
        <v>3 5-star + 0 RFC + 0 DME + 0 Patient Portal Login + 5 Completed Task</v>
      </c>
      <c r="M982" s="13"/>
      <c r="N982" s="13"/>
      <c r="O982" s="14"/>
      <c r="P982" s="14"/>
    </row>
    <row r="983" hidden="1">
      <c r="A983" s="6" t="s">
        <v>244</v>
      </c>
      <c r="B983" s="16" t="s">
        <v>137</v>
      </c>
      <c r="C983" s="16" t="s">
        <v>138</v>
      </c>
      <c r="D983" s="16" t="s">
        <v>139</v>
      </c>
      <c r="E983" s="17">
        <v>0.0</v>
      </c>
      <c r="F983" s="18">
        <v>3.0</v>
      </c>
      <c r="G983" s="18">
        <v>2.0</v>
      </c>
      <c r="H983" s="10">
        <v>9.0</v>
      </c>
      <c r="I983" s="19">
        <v>5.0</v>
      </c>
      <c r="J983" s="12"/>
      <c r="K983" s="12">
        <f t="shared" si="62"/>
        <v>5500</v>
      </c>
      <c r="L983" s="13" t="str">
        <f t="shared" si="67"/>
        <v>0 5-star + 3 RFC + 2 DME + 9 Patient Portal Login + 5 Completed Task</v>
      </c>
      <c r="M983" s="13"/>
      <c r="N983" s="13"/>
      <c r="O983" s="14"/>
      <c r="P983" s="14"/>
    </row>
    <row r="984" hidden="1">
      <c r="A984" s="6" t="s">
        <v>244</v>
      </c>
      <c r="B984" s="16" t="s">
        <v>140</v>
      </c>
      <c r="C984" s="16" t="s">
        <v>141</v>
      </c>
      <c r="D984" s="16" t="s">
        <v>142</v>
      </c>
      <c r="E984" s="17">
        <v>0.0</v>
      </c>
      <c r="F984" s="18">
        <v>0.0</v>
      </c>
      <c r="G984" s="18">
        <v>0.0</v>
      </c>
      <c r="H984" s="10">
        <v>1.0</v>
      </c>
      <c r="I984" s="19">
        <v>4.0</v>
      </c>
      <c r="J984" s="12"/>
      <c r="K984" s="12">
        <f t="shared" si="62"/>
        <v>1250</v>
      </c>
      <c r="L984" s="13" t="str">
        <f t="shared" si="67"/>
        <v>0 5-star + 0 RFC + 0 DME + 1 Patient Portal Login + 4 Completed Task</v>
      </c>
      <c r="M984" s="13"/>
      <c r="N984" s="13"/>
      <c r="O984" s="14"/>
      <c r="P984" s="14"/>
    </row>
    <row r="985" hidden="1">
      <c r="A985" s="6" t="s">
        <v>244</v>
      </c>
      <c r="B985" s="16" t="s">
        <v>143</v>
      </c>
      <c r="C985" s="16" t="s">
        <v>144</v>
      </c>
      <c r="D985" s="16" t="s">
        <v>145</v>
      </c>
      <c r="E985" s="17">
        <v>0.0</v>
      </c>
      <c r="F985" s="18">
        <v>1.0</v>
      </c>
      <c r="G985" s="18">
        <v>0.0</v>
      </c>
      <c r="H985" s="10">
        <v>2.0</v>
      </c>
      <c r="I985" s="19">
        <v>5.0</v>
      </c>
      <c r="J985" s="12"/>
      <c r="K985" s="12">
        <f t="shared" si="62"/>
        <v>2250</v>
      </c>
      <c r="L985" s="13" t="str">
        <f t="shared" si="67"/>
        <v>0 5-star + 1 RFC + 0 DME + 2 Patient Portal Login + 5 Completed Task</v>
      </c>
      <c r="M985" s="13"/>
      <c r="N985" s="13"/>
      <c r="O985" s="14"/>
      <c r="P985" s="14"/>
    </row>
    <row r="986" hidden="1">
      <c r="A986" s="6" t="s">
        <v>244</v>
      </c>
      <c r="B986" s="16" t="s">
        <v>146</v>
      </c>
      <c r="C986" s="16" t="s">
        <v>147</v>
      </c>
      <c r="D986" s="16" t="s">
        <v>148</v>
      </c>
      <c r="E986" s="17">
        <v>1.0</v>
      </c>
      <c r="F986" s="18">
        <v>7.0</v>
      </c>
      <c r="G986" s="18">
        <v>0.0</v>
      </c>
      <c r="H986" s="10">
        <v>5.0</v>
      </c>
      <c r="I986" s="19">
        <v>5.0</v>
      </c>
      <c r="J986" s="12"/>
      <c r="K986" s="12">
        <f t="shared" si="62"/>
        <v>6250</v>
      </c>
      <c r="L986" s="13" t="str">
        <f t="shared" si="67"/>
        <v>1 5-star + 7 RFC + 0 DME + 5 Patient Portal Login + 5 Completed Task</v>
      </c>
      <c r="M986" s="13"/>
      <c r="N986" s="13"/>
      <c r="O986" s="14"/>
      <c r="P986" s="14"/>
    </row>
    <row r="987" hidden="1">
      <c r="A987" s="6" t="s">
        <v>244</v>
      </c>
      <c r="B987" s="16" t="s">
        <v>245</v>
      </c>
      <c r="C987" s="16" t="s">
        <v>246</v>
      </c>
      <c r="D987" s="16" t="s">
        <v>247</v>
      </c>
      <c r="E987" s="17">
        <v>2.0</v>
      </c>
      <c r="F987" s="18">
        <v>2.0</v>
      </c>
      <c r="G987" s="18">
        <v>2.0</v>
      </c>
      <c r="H987" s="10">
        <v>4.0</v>
      </c>
      <c r="I987" s="19">
        <v>5.0</v>
      </c>
      <c r="J987" s="12"/>
      <c r="K987" s="12">
        <f t="shared" si="62"/>
        <v>4250</v>
      </c>
      <c r="L987" s="13" t="str">
        <f t="shared" si="67"/>
        <v>2 5-star + 2 RFC + 2 DME + 4 Patient Portal Login + 5 Completed Task</v>
      </c>
      <c r="M987" s="13"/>
      <c r="N987" s="13"/>
      <c r="O987" s="14"/>
      <c r="P987" s="14"/>
    </row>
    <row r="988" hidden="1">
      <c r="A988" s="6" t="s">
        <v>244</v>
      </c>
      <c r="B988" s="16" t="s">
        <v>149</v>
      </c>
      <c r="C988" s="16" t="s">
        <v>150</v>
      </c>
      <c r="D988" s="16" t="s">
        <v>151</v>
      </c>
      <c r="E988" s="17">
        <v>1.0</v>
      </c>
      <c r="F988" s="18">
        <v>4.0</v>
      </c>
      <c r="G988" s="18">
        <v>0.0</v>
      </c>
      <c r="H988" s="10">
        <v>2.0</v>
      </c>
      <c r="I988" s="19">
        <v>5.0</v>
      </c>
      <c r="J988" s="12"/>
      <c r="K988" s="12">
        <f t="shared" si="62"/>
        <v>4000</v>
      </c>
      <c r="L988" s="13" t="str">
        <f t="shared" si="67"/>
        <v>1 5-star + 4 RFC + 0 DME + 2 Patient Portal Login + 5 Completed Task</v>
      </c>
      <c r="M988" s="13"/>
      <c r="N988" s="13"/>
      <c r="O988" s="14"/>
      <c r="P988" s="14"/>
    </row>
    <row r="989" hidden="1">
      <c r="A989" s="6" t="s">
        <v>244</v>
      </c>
      <c r="B989" s="16" t="s">
        <v>152</v>
      </c>
      <c r="C989" s="16" t="s">
        <v>153</v>
      </c>
      <c r="D989" s="16" t="s">
        <v>154</v>
      </c>
      <c r="E989" s="17">
        <v>2.0</v>
      </c>
      <c r="F989" s="18">
        <v>1.0</v>
      </c>
      <c r="G989" s="18">
        <v>0.0</v>
      </c>
      <c r="H989" s="10">
        <v>3.0</v>
      </c>
      <c r="I989" s="19">
        <v>5.0</v>
      </c>
      <c r="J989" s="12"/>
      <c r="K989" s="12">
        <f t="shared" si="62"/>
        <v>3000</v>
      </c>
      <c r="L989" s="13" t="str">
        <f t="shared" si="67"/>
        <v>2 5-star + 1 RFC + 0 DME + 3 Patient Portal Login + 5 Completed Task</v>
      </c>
      <c r="M989" s="13"/>
      <c r="N989" s="13"/>
      <c r="O989" s="14"/>
      <c r="P989" s="14"/>
    </row>
    <row r="990" hidden="1">
      <c r="A990" s="6" t="s">
        <v>244</v>
      </c>
      <c r="B990" s="16" t="s">
        <v>155</v>
      </c>
      <c r="C990" s="16" t="s">
        <v>156</v>
      </c>
      <c r="D990" s="16" t="s">
        <v>157</v>
      </c>
      <c r="E990" s="17">
        <v>6.0</v>
      </c>
      <c r="F990" s="18">
        <v>0.0</v>
      </c>
      <c r="G990" s="18">
        <v>0.0</v>
      </c>
      <c r="H990" s="10">
        <v>2.0</v>
      </c>
      <c r="I990" s="19">
        <v>4.0</v>
      </c>
      <c r="J990" s="12"/>
      <c r="K990" s="12">
        <f t="shared" si="62"/>
        <v>3000</v>
      </c>
      <c r="L990" s="13" t="str">
        <f t="shared" si="67"/>
        <v>6 5-star + 0 RFC + 0 DME + 2 Patient Portal Login + 4 Completed Task</v>
      </c>
      <c r="M990" s="13"/>
      <c r="N990" s="13"/>
      <c r="O990" s="14"/>
      <c r="P990" s="14"/>
    </row>
    <row r="991" hidden="1">
      <c r="A991" s="6" t="s">
        <v>244</v>
      </c>
      <c r="B991" s="16" t="s">
        <v>158</v>
      </c>
      <c r="C991" s="16" t="s">
        <v>159</v>
      </c>
      <c r="D991" s="16" t="s">
        <v>160</v>
      </c>
      <c r="E991" s="17">
        <v>0.0</v>
      </c>
      <c r="F991" s="18">
        <v>0.0</v>
      </c>
      <c r="G991" s="18">
        <v>0.0</v>
      </c>
      <c r="H991" s="10">
        <v>0.0</v>
      </c>
      <c r="I991" s="19">
        <v>5.0</v>
      </c>
      <c r="J991" s="12"/>
      <c r="K991" s="12">
        <f t="shared" si="62"/>
        <v>1250</v>
      </c>
      <c r="L991" s="13" t="str">
        <f t="shared" si="67"/>
        <v>0 5-star + 0 RFC + 0 DME + 0 Patient Portal Login + 5 Completed Task</v>
      </c>
      <c r="M991" s="13"/>
      <c r="N991" s="13"/>
      <c r="O991" s="14"/>
      <c r="P991" s="14"/>
    </row>
    <row r="992" hidden="1">
      <c r="A992" s="6" t="s">
        <v>244</v>
      </c>
      <c r="B992" s="20" t="s">
        <v>161</v>
      </c>
      <c r="C992" s="20" t="s">
        <v>162</v>
      </c>
      <c r="D992" s="20" t="s">
        <v>163</v>
      </c>
      <c r="E992" s="17">
        <v>0.0</v>
      </c>
      <c r="F992" s="18">
        <v>2.0</v>
      </c>
      <c r="G992" s="18">
        <v>1.0</v>
      </c>
      <c r="H992" s="10">
        <v>1.0</v>
      </c>
      <c r="I992" s="11">
        <v>4.0</v>
      </c>
      <c r="J992" s="12"/>
      <c r="K992" s="12">
        <f t="shared" si="62"/>
        <v>2500</v>
      </c>
      <c r="L992" s="13" t="str">
        <f> E992 &amp; " 5-star + " &amp; E978 &amp; " RFC + " &amp; G992 &amp; " DME + " &amp; H992 &amp; " Patient Portal Login + " &amp; I992 &amp; " Completed Task"
</f>
        <v>0 5-star + 0 RFC + 1 DME + 1 Patient Portal Login + 4 Completed Task</v>
      </c>
      <c r="M992" s="13"/>
      <c r="N992" s="13"/>
      <c r="O992" s="14"/>
      <c r="P992" s="14"/>
    </row>
    <row r="993" hidden="1">
      <c r="A993" s="6" t="s">
        <v>244</v>
      </c>
      <c r="B993" s="20" t="s">
        <v>164</v>
      </c>
      <c r="C993" s="20" t="s">
        <v>165</v>
      </c>
      <c r="D993" s="20" t="s">
        <v>166</v>
      </c>
      <c r="E993" s="17">
        <v>0.0</v>
      </c>
      <c r="F993" s="18">
        <v>2.0</v>
      </c>
      <c r="G993" s="18">
        <v>0.0</v>
      </c>
      <c r="H993" s="10">
        <v>0.0</v>
      </c>
      <c r="I993" s="19">
        <v>4.0</v>
      </c>
      <c r="J993" s="12"/>
      <c r="K993" s="12">
        <f t="shared" si="62"/>
        <v>2000</v>
      </c>
      <c r="L993" s="13" t="str">
        <f t="shared" ref="L993:L1034" si="68"> E993 &amp; " 5-star + " &amp; F993 &amp; " RFC + " &amp; G993 &amp; " DME + " &amp; H993 &amp; " Patient Portal Login + " &amp; I993 &amp; " Completed Task"
</f>
        <v>0 5-star + 2 RFC + 0 DME + 0 Patient Portal Login + 4 Completed Task</v>
      </c>
      <c r="M993" s="13"/>
      <c r="N993" s="13"/>
      <c r="O993" s="14"/>
      <c r="P993" s="14"/>
    </row>
    <row r="994" hidden="1">
      <c r="A994" s="6" t="s">
        <v>244</v>
      </c>
      <c r="B994" s="20" t="s">
        <v>167</v>
      </c>
      <c r="C994" s="20" t="s">
        <v>168</v>
      </c>
      <c r="D994" s="20" t="s">
        <v>169</v>
      </c>
      <c r="E994" s="17">
        <v>4.0</v>
      </c>
      <c r="F994" s="18">
        <v>0.0</v>
      </c>
      <c r="G994" s="18">
        <v>0.0</v>
      </c>
      <c r="H994" s="10">
        <v>2.0</v>
      </c>
      <c r="I994" s="19">
        <v>5.0</v>
      </c>
      <c r="J994" s="12"/>
      <c r="K994" s="12">
        <f t="shared" si="62"/>
        <v>2750</v>
      </c>
      <c r="L994" s="13" t="str">
        <f t="shared" si="68"/>
        <v>4 5-star + 0 RFC + 0 DME + 2 Patient Portal Login + 5 Completed Task</v>
      </c>
      <c r="M994" s="13"/>
      <c r="N994" s="13"/>
      <c r="O994" s="14"/>
      <c r="P994" s="14"/>
    </row>
    <row r="995" hidden="1">
      <c r="A995" s="6" t="s">
        <v>244</v>
      </c>
      <c r="B995" s="20" t="s">
        <v>170</v>
      </c>
      <c r="C995" s="20" t="s">
        <v>171</v>
      </c>
      <c r="D995" s="20" t="s">
        <v>172</v>
      </c>
      <c r="E995" s="17">
        <v>0.0</v>
      </c>
      <c r="F995" s="18">
        <v>2.0</v>
      </c>
      <c r="G995" s="18">
        <v>0.0</v>
      </c>
      <c r="H995" s="10">
        <v>5.0</v>
      </c>
      <c r="I995" s="19">
        <v>5.0</v>
      </c>
      <c r="J995" s="12"/>
      <c r="K995" s="12">
        <f t="shared" si="62"/>
        <v>3500</v>
      </c>
      <c r="L995" s="13" t="str">
        <f t="shared" si="68"/>
        <v>0 5-star + 2 RFC + 0 DME + 5 Patient Portal Login + 5 Completed Task</v>
      </c>
      <c r="M995" s="13"/>
      <c r="N995" s="13"/>
      <c r="O995" s="14"/>
      <c r="P995" s="14"/>
    </row>
    <row r="996" hidden="1">
      <c r="A996" s="6" t="s">
        <v>244</v>
      </c>
      <c r="B996" s="16" t="s">
        <v>173</v>
      </c>
      <c r="C996" s="16" t="s">
        <v>174</v>
      </c>
      <c r="D996" s="16" t="s">
        <v>175</v>
      </c>
      <c r="E996" s="17">
        <v>2.0</v>
      </c>
      <c r="F996" s="18">
        <v>3.0</v>
      </c>
      <c r="G996" s="18">
        <v>0.0</v>
      </c>
      <c r="H996" s="10">
        <v>5.0</v>
      </c>
      <c r="I996" s="19">
        <v>5.0</v>
      </c>
      <c r="J996" s="12"/>
      <c r="K996" s="12">
        <f t="shared" si="62"/>
        <v>4500</v>
      </c>
      <c r="L996" s="13" t="str">
        <f t="shared" si="68"/>
        <v>2 5-star + 3 RFC + 0 DME + 5 Patient Portal Login + 5 Completed Task</v>
      </c>
      <c r="M996" s="13"/>
      <c r="N996" s="13"/>
      <c r="O996" s="14"/>
      <c r="P996" s="14"/>
    </row>
    <row r="997" hidden="1">
      <c r="A997" s="6" t="s">
        <v>244</v>
      </c>
      <c r="B997" s="16" t="s">
        <v>176</v>
      </c>
      <c r="C997" s="16" t="s">
        <v>177</v>
      </c>
      <c r="D997" s="16" t="s">
        <v>178</v>
      </c>
      <c r="E997" s="17">
        <v>1.0</v>
      </c>
      <c r="F997" s="18">
        <v>4.0</v>
      </c>
      <c r="G997" s="18">
        <v>0.0</v>
      </c>
      <c r="H997" s="10">
        <v>8.0</v>
      </c>
      <c r="I997" s="19">
        <v>4.0</v>
      </c>
      <c r="J997" s="12"/>
      <c r="K997" s="12">
        <f t="shared" si="62"/>
        <v>5250</v>
      </c>
      <c r="L997" s="13" t="str">
        <f t="shared" si="68"/>
        <v>1 5-star + 4 RFC + 0 DME + 8 Patient Portal Login + 4 Completed Task</v>
      </c>
      <c r="M997" s="13"/>
      <c r="N997" s="13"/>
      <c r="O997" s="14"/>
      <c r="P997" s="14"/>
    </row>
    <row r="998" hidden="1">
      <c r="A998" s="6" t="s">
        <v>244</v>
      </c>
      <c r="B998" s="21" t="s">
        <v>179</v>
      </c>
      <c r="C998" s="21" t="s">
        <v>180</v>
      </c>
      <c r="D998" s="21" t="s">
        <v>181</v>
      </c>
      <c r="E998" s="22">
        <v>0.0</v>
      </c>
      <c r="F998" s="18">
        <v>6.0</v>
      </c>
      <c r="G998" s="18">
        <v>3.0</v>
      </c>
      <c r="H998" s="10">
        <v>11.0</v>
      </c>
      <c r="I998" s="19">
        <v>5.0</v>
      </c>
      <c r="J998" s="12"/>
      <c r="K998" s="12">
        <f t="shared" si="62"/>
        <v>7750</v>
      </c>
      <c r="L998" s="13" t="str">
        <f t="shared" si="68"/>
        <v>0 5-star + 6 RFC + 3 DME + 11 Patient Portal Login + 5 Completed Task</v>
      </c>
      <c r="M998" s="13"/>
      <c r="N998" s="13"/>
      <c r="O998" s="23"/>
      <c r="P998" s="23"/>
    </row>
    <row r="999" hidden="1">
      <c r="A999" s="6" t="s">
        <v>244</v>
      </c>
      <c r="B999" s="21" t="s">
        <v>182</v>
      </c>
      <c r="C999" s="21" t="s">
        <v>183</v>
      </c>
      <c r="D999" s="21" t="s">
        <v>184</v>
      </c>
      <c r="E999" s="17">
        <v>0.0</v>
      </c>
      <c r="F999" s="18">
        <v>0.0</v>
      </c>
      <c r="G999" s="18">
        <v>0.0</v>
      </c>
      <c r="H999" s="10">
        <v>3.0</v>
      </c>
      <c r="I999" s="19">
        <v>5.0</v>
      </c>
      <c r="J999" s="12"/>
      <c r="K999" s="12">
        <f t="shared" si="62"/>
        <v>2000</v>
      </c>
      <c r="L999" s="13" t="str">
        <f t="shared" si="68"/>
        <v>0 5-star + 0 RFC + 0 DME + 3 Patient Portal Login + 5 Completed Task</v>
      </c>
      <c r="M999" s="13"/>
      <c r="N999" s="13"/>
      <c r="O999" s="23"/>
      <c r="P999" s="23"/>
    </row>
    <row r="1000" hidden="1">
      <c r="A1000" s="6" t="s">
        <v>244</v>
      </c>
      <c r="B1000" s="21" t="s">
        <v>185</v>
      </c>
      <c r="C1000" s="21" t="s">
        <v>186</v>
      </c>
      <c r="D1000" s="21" t="s">
        <v>187</v>
      </c>
      <c r="E1000" s="17">
        <v>7.0</v>
      </c>
      <c r="F1000" s="18">
        <v>0.0</v>
      </c>
      <c r="G1000" s="18">
        <v>2.0</v>
      </c>
      <c r="H1000" s="10">
        <v>5.0</v>
      </c>
      <c r="I1000" s="19">
        <v>5.0</v>
      </c>
      <c r="J1000" s="12"/>
      <c r="K1000" s="12">
        <f t="shared" si="62"/>
        <v>4750</v>
      </c>
      <c r="L1000" s="13" t="str">
        <f t="shared" si="68"/>
        <v>7 5-star + 0 RFC + 2 DME + 5 Patient Portal Login + 5 Completed Task</v>
      </c>
      <c r="M1000" s="13"/>
      <c r="N1000" s="13"/>
      <c r="O1000" s="23"/>
      <c r="P1000" s="23"/>
    </row>
    <row r="1001" hidden="1">
      <c r="A1001" s="6" t="s">
        <v>244</v>
      </c>
      <c r="B1001" s="21" t="s">
        <v>188</v>
      </c>
      <c r="C1001" s="21" t="s">
        <v>189</v>
      </c>
      <c r="D1001" s="21" t="s">
        <v>190</v>
      </c>
      <c r="E1001" s="17">
        <v>0.0</v>
      </c>
      <c r="F1001" s="18">
        <v>1.0</v>
      </c>
      <c r="G1001" s="18">
        <v>0.0</v>
      </c>
      <c r="H1001" s="10">
        <v>1.0</v>
      </c>
      <c r="I1001" s="19">
        <v>5.0</v>
      </c>
      <c r="J1001" s="12"/>
      <c r="K1001" s="12">
        <f t="shared" si="62"/>
        <v>2000</v>
      </c>
      <c r="L1001" s="13" t="str">
        <f t="shared" si="68"/>
        <v>0 5-star + 1 RFC + 0 DME + 1 Patient Portal Login + 5 Completed Task</v>
      </c>
      <c r="M1001" s="13"/>
      <c r="N1001" s="13"/>
      <c r="O1001" s="23"/>
      <c r="P1001" s="23"/>
    </row>
    <row r="1002" hidden="1">
      <c r="A1002" s="6" t="s">
        <v>244</v>
      </c>
      <c r="B1002" s="21" t="s">
        <v>191</v>
      </c>
      <c r="C1002" s="21" t="s">
        <v>192</v>
      </c>
      <c r="D1002" s="21" t="s">
        <v>193</v>
      </c>
      <c r="E1002" s="17">
        <v>0.0</v>
      </c>
      <c r="F1002" s="18">
        <v>0.0</v>
      </c>
      <c r="G1002" s="18">
        <v>0.0</v>
      </c>
      <c r="H1002" s="10">
        <v>3.0</v>
      </c>
      <c r="I1002" s="19">
        <v>5.0</v>
      </c>
      <c r="J1002" s="12"/>
      <c r="K1002" s="12">
        <f t="shared" si="62"/>
        <v>2000</v>
      </c>
      <c r="L1002" s="13" t="str">
        <f t="shared" si="68"/>
        <v>0 5-star + 0 RFC + 0 DME + 3 Patient Portal Login + 5 Completed Task</v>
      </c>
      <c r="M1002" s="13"/>
      <c r="N1002" s="13"/>
      <c r="O1002" s="23"/>
      <c r="P1002" s="23"/>
    </row>
    <row r="1003" hidden="1">
      <c r="A1003" s="6" t="s">
        <v>244</v>
      </c>
      <c r="B1003" s="21" t="s">
        <v>194</v>
      </c>
      <c r="C1003" s="21" t="s">
        <v>195</v>
      </c>
      <c r="D1003" s="21" t="s">
        <v>196</v>
      </c>
      <c r="E1003" s="17">
        <v>0.0</v>
      </c>
      <c r="F1003" s="18">
        <v>4.0</v>
      </c>
      <c r="G1003" s="18">
        <v>0.0</v>
      </c>
      <c r="H1003" s="10">
        <v>0.0</v>
      </c>
      <c r="I1003" s="19">
        <v>3.0</v>
      </c>
      <c r="J1003" s="12"/>
      <c r="K1003" s="12">
        <f t="shared" si="62"/>
        <v>2750</v>
      </c>
      <c r="L1003" s="13" t="str">
        <f t="shared" si="68"/>
        <v>0 5-star + 4 RFC + 0 DME + 0 Patient Portal Login + 3 Completed Task</v>
      </c>
      <c r="M1003" s="13"/>
      <c r="N1003" s="13"/>
      <c r="O1003" s="23"/>
      <c r="P1003" s="23"/>
    </row>
    <row r="1004" hidden="1">
      <c r="A1004" s="6" t="s">
        <v>244</v>
      </c>
      <c r="B1004" s="21" t="s">
        <v>197</v>
      </c>
      <c r="C1004" s="21" t="s">
        <v>198</v>
      </c>
      <c r="D1004" s="21" t="s">
        <v>199</v>
      </c>
      <c r="E1004" s="17">
        <v>0.0</v>
      </c>
      <c r="F1004" s="18">
        <v>0.0</v>
      </c>
      <c r="G1004" s="18">
        <v>0.0</v>
      </c>
      <c r="H1004" s="10">
        <v>1.0</v>
      </c>
      <c r="I1004" s="19">
        <v>5.0</v>
      </c>
      <c r="J1004" s="12"/>
      <c r="K1004" s="12">
        <f t="shared" si="62"/>
        <v>1500</v>
      </c>
      <c r="L1004" s="13" t="str">
        <f t="shared" si="68"/>
        <v>0 5-star + 0 RFC + 0 DME + 1 Patient Portal Login + 5 Completed Task</v>
      </c>
      <c r="M1004" s="13"/>
      <c r="N1004" s="13"/>
      <c r="O1004" s="23"/>
      <c r="P1004" s="23"/>
    </row>
    <row r="1005" hidden="1">
      <c r="A1005" s="6" t="s">
        <v>244</v>
      </c>
      <c r="B1005" s="21" t="s">
        <v>200</v>
      </c>
      <c r="C1005" s="21" t="s">
        <v>201</v>
      </c>
      <c r="D1005" s="21" t="s">
        <v>202</v>
      </c>
      <c r="E1005" s="17">
        <v>1.0</v>
      </c>
      <c r="F1005" s="18">
        <v>1.0</v>
      </c>
      <c r="G1005" s="18">
        <v>0.0</v>
      </c>
      <c r="H1005" s="10">
        <v>0.0</v>
      </c>
      <c r="I1005" s="19">
        <v>5.0</v>
      </c>
      <c r="J1005" s="12"/>
      <c r="K1005" s="12">
        <f t="shared" si="62"/>
        <v>2000</v>
      </c>
      <c r="L1005" s="13" t="str">
        <f t="shared" si="68"/>
        <v>1 5-star + 1 RFC + 0 DME + 0 Patient Portal Login + 5 Completed Task</v>
      </c>
      <c r="M1005" s="13"/>
      <c r="N1005" s="13"/>
      <c r="O1005" s="23"/>
      <c r="P1005" s="23"/>
    </row>
    <row r="1006" hidden="1">
      <c r="A1006" s="6" t="s">
        <v>248</v>
      </c>
      <c r="B1006" s="16" t="s">
        <v>35</v>
      </c>
      <c r="C1006" s="16" t="s">
        <v>36</v>
      </c>
      <c r="D1006" s="16" t="s">
        <v>37</v>
      </c>
      <c r="E1006" s="17">
        <v>2.0</v>
      </c>
      <c r="F1006" s="18">
        <v>0.0</v>
      </c>
      <c r="G1006" s="18">
        <v>0.0</v>
      </c>
      <c r="H1006" s="10">
        <v>0.0</v>
      </c>
      <c r="I1006" s="19">
        <v>0.0</v>
      </c>
      <c r="J1006" s="12"/>
      <c r="K1006" s="12">
        <f t="shared" si="62"/>
        <v>500</v>
      </c>
      <c r="L1006" s="13" t="str">
        <f t="shared" si="68"/>
        <v>2 5-star + 0 RFC + 0 DME + 0 Patient Portal Login + 0 Completed Task</v>
      </c>
      <c r="M1006" s="13"/>
      <c r="N1006" s="13"/>
      <c r="O1006" s="14"/>
      <c r="P1006" s="14"/>
    </row>
    <row r="1007" hidden="1">
      <c r="A1007" s="6" t="s">
        <v>248</v>
      </c>
      <c r="B1007" s="16" t="s">
        <v>38</v>
      </c>
      <c r="C1007" s="16" t="s">
        <v>39</v>
      </c>
      <c r="D1007" s="16" t="s">
        <v>40</v>
      </c>
      <c r="E1007" s="17">
        <v>0.0</v>
      </c>
      <c r="F1007" s="18">
        <v>0.0</v>
      </c>
      <c r="G1007" s="18">
        <v>0.0</v>
      </c>
      <c r="H1007" s="10">
        <v>0.0</v>
      </c>
      <c r="I1007" s="19">
        <v>1.0</v>
      </c>
      <c r="J1007" s="12"/>
      <c r="K1007" s="12">
        <f t="shared" si="62"/>
        <v>250</v>
      </c>
      <c r="L1007" s="13" t="str">
        <f t="shared" si="68"/>
        <v>0 5-star + 0 RFC + 0 DME + 0 Patient Portal Login + 1 Completed Task</v>
      </c>
      <c r="M1007" s="13"/>
      <c r="N1007" s="13"/>
      <c r="O1007" s="14"/>
      <c r="P1007" s="14"/>
    </row>
    <row r="1008" hidden="1">
      <c r="A1008" s="6" t="s">
        <v>248</v>
      </c>
      <c r="B1008" s="16" t="s">
        <v>41</v>
      </c>
      <c r="C1008" s="16" t="s">
        <v>42</v>
      </c>
      <c r="D1008" s="16" t="s">
        <v>43</v>
      </c>
      <c r="E1008" s="48">
        <v>0.0</v>
      </c>
      <c r="F1008" s="49">
        <v>0.0</v>
      </c>
      <c r="G1008" s="18">
        <v>0.0</v>
      </c>
      <c r="H1008" s="26">
        <v>3.0</v>
      </c>
      <c r="I1008" s="24">
        <v>4.0</v>
      </c>
      <c r="J1008" s="12"/>
      <c r="K1008" s="12">
        <f t="shared" si="62"/>
        <v>1750</v>
      </c>
      <c r="L1008" s="13" t="str">
        <f t="shared" si="68"/>
        <v>0 5-star + 0 RFC + 0 DME + 3 Patient Portal Login + 4 Completed Task</v>
      </c>
      <c r="M1008" s="13"/>
      <c r="N1008" s="13"/>
      <c r="O1008" s="14"/>
      <c r="P1008" s="14"/>
    </row>
    <row r="1009" hidden="1">
      <c r="A1009" s="6" t="s">
        <v>248</v>
      </c>
      <c r="B1009" s="16" t="s">
        <v>44</v>
      </c>
      <c r="C1009" s="16" t="s">
        <v>45</v>
      </c>
      <c r="D1009" s="16" t="s">
        <v>46</v>
      </c>
      <c r="E1009" s="17">
        <v>0.0</v>
      </c>
      <c r="F1009" s="18">
        <v>0.0</v>
      </c>
      <c r="G1009" s="18">
        <v>0.0</v>
      </c>
      <c r="H1009" s="10">
        <v>8.0</v>
      </c>
      <c r="I1009" s="19">
        <v>5.0</v>
      </c>
      <c r="J1009" s="12"/>
      <c r="K1009" s="12">
        <f t="shared" si="62"/>
        <v>3250</v>
      </c>
      <c r="L1009" s="13" t="str">
        <f t="shared" si="68"/>
        <v>0 5-star + 0 RFC + 0 DME + 8 Patient Portal Login + 5 Completed Task</v>
      </c>
      <c r="M1009" s="13"/>
      <c r="N1009" s="13"/>
      <c r="O1009" s="14"/>
      <c r="P1009" s="14"/>
    </row>
    <row r="1010" hidden="1">
      <c r="A1010" s="6" t="s">
        <v>248</v>
      </c>
      <c r="B1010" s="16" t="s">
        <v>47</v>
      </c>
      <c r="C1010" s="16" t="s">
        <v>48</v>
      </c>
      <c r="D1010" s="16" t="s">
        <v>49</v>
      </c>
      <c r="E1010" s="17">
        <v>7.0</v>
      </c>
      <c r="F1010" s="18">
        <v>1.0</v>
      </c>
      <c r="G1010" s="18">
        <v>0.0</v>
      </c>
      <c r="H1010" s="10">
        <v>1.0</v>
      </c>
      <c r="I1010" s="19">
        <v>5.0</v>
      </c>
      <c r="J1010" s="12"/>
      <c r="K1010" s="12">
        <f t="shared" si="62"/>
        <v>3750</v>
      </c>
      <c r="L1010" s="13" t="str">
        <f t="shared" si="68"/>
        <v>7 5-star + 1 RFC + 0 DME + 1 Patient Portal Login + 5 Completed Task</v>
      </c>
      <c r="M1010" s="13"/>
      <c r="N1010" s="13"/>
      <c r="O1010" s="14"/>
      <c r="P1010" s="14"/>
    </row>
    <row r="1011" hidden="1">
      <c r="A1011" s="6" t="s">
        <v>248</v>
      </c>
      <c r="B1011" s="16" t="s">
        <v>50</v>
      </c>
      <c r="C1011" s="16" t="s">
        <v>51</v>
      </c>
      <c r="D1011" s="16" t="s">
        <v>52</v>
      </c>
      <c r="E1011" s="17">
        <v>0.0</v>
      </c>
      <c r="F1011" s="18">
        <v>0.0</v>
      </c>
      <c r="G1011" s="18">
        <v>0.0</v>
      </c>
      <c r="H1011" s="10">
        <v>0.0</v>
      </c>
      <c r="I1011" s="19">
        <v>5.0</v>
      </c>
      <c r="J1011" s="12"/>
      <c r="K1011" s="12">
        <f t="shared" si="62"/>
        <v>1250</v>
      </c>
      <c r="L1011" s="13" t="str">
        <f t="shared" si="68"/>
        <v>0 5-star + 0 RFC + 0 DME + 0 Patient Portal Login + 5 Completed Task</v>
      </c>
      <c r="M1011" s="13"/>
      <c r="N1011" s="13"/>
      <c r="O1011" s="14"/>
      <c r="P1011" s="14"/>
    </row>
    <row r="1012" hidden="1">
      <c r="A1012" s="6" t="s">
        <v>248</v>
      </c>
      <c r="B1012" s="16" t="s">
        <v>53</v>
      </c>
      <c r="C1012" s="16" t="s">
        <v>54</v>
      </c>
      <c r="D1012" s="16" t="s">
        <v>55</v>
      </c>
      <c r="E1012" s="17">
        <v>1.0</v>
      </c>
      <c r="F1012" s="18">
        <v>4.0</v>
      </c>
      <c r="G1012" s="18">
        <v>1.0</v>
      </c>
      <c r="H1012" s="10">
        <v>8.0</v>
      </c>
      <c r="I1012" s="19">
        <v>5.0</v>
      </c>
      <c r="J1012" s="12"/>
      <c r="K1012" s="12">
        <f t="shared" si="62"/>
        <v>5750</v>
      </c>
      <c r="L1012" s="13" t="str">
        <f t="shared" si="68"/>
        <v>1 5-star + 4 RFC + 1 DME + 8 Patient Portal Login + 5 Completed Task</v>
      </c>
      <c r="M1012" s="13"/>
      <c r="N1012" s="13"/>
      <c r="O1012" s="14"/>
      <c r="P1012" s="14"/>
    </row>
    <row r="1013" hidden="1">
      <c r="A1013" s="6" t="s">
        <v>248</v>
      </c>
      <c r="B1013" s="16" t="s">
        <v>56</v>
      </c>
      <c r="C1013" s="16" t="s">
        <v>57</v>
      </c>
      <c r="D1013" s="16" t="s">
        <v>58</v>
      </c>
      <c r="E1013" s="17">
        <v>0.0</v>
      </c>
      <c r="F1013" s="18">
        <v>1.0</v>
      </c>
      <c r="G1013" s="18">
        <v>0.0</v>
      </c>
      <c r="H1013" s="10">
        <v>0.0</v>
      </c>
      <c r="I1013" s="19">
        <v>4.0</v>
      </c>
      <c r="J1013" s="12"/>
      <c r="K1013" s="12">
        <f t="shared" si="62"/>
        <v>1500</v>
      </c>
      <c r="L1013" s="13" t="str">
        <f t="shared" si="68"/>
        <v>0 5-star + 1 RFC + 0 DME + 0 Patient Portal Login + 4 Completed Task</v>
      </c>
      <c r="M1013" s="13"/>
      <c r="N1013" s="13"/>
      <c r="O1013" s="14"/>
      <c r="P1013" s="14"/>
    </row>
    <row r="1014" hidden="1">
      <c r="A1014" s="6" t="s">
        <v>248</v>
      </c>
      <c r="B1014" s="16" t="s">
        <v>59</v>
      </c>
      <c r="C1014" s="16" t="s">
        <v>60</v>
      </c>
      <c r="D1014" s="16" t="s">
        <v>61</v>
      </c>
      <c r="E1014" s="17">
        <v>0.0</v>
      </c>
      <c r="F1014" s="18">
        <v>0.0</v>
      </c>
      <c r="G1014" s="18">
        <v>0.0</v>
      </c>
      <c r="H1014" s="10">
        <v>0.0</v>
      </c>
      <c r="I1014" s="19">
        <v>3.0</v>
      </c>
      <c r="J1014" s="12"/>
      <c r="K1014" s="12">
        <f t="shared" si="62"/>
        <v>750</v>
      </c>
      <c r="L1014" s="13" t="str">
        <f t="shared" si="68"/>
        <v>0 5-star + 0 RFC + 0 DME + 0 Patient Portal Login + 3 Completed Task</v>
      </c>
      <c r="M1014" s="13"/>
      <c r="N1014" s="13"/>
      <c r="O1014" s="14"/>
      <c r="P1014" s="14"/>
    </row>
    <row r="1015" hidden="1">
      <c r="A1015" s="6" t="s">
        <v>248</v>
      </c>
      <c r="B1015" s="16" t="s">
        <v>62</v>
      </c>
      <c r="C1015" s="16" t="s">
        <v>63</v>
      </c>
      <c r="D1015" s="16" t="s">
        <v>64</v>
      </c>
      <c r="E1015" s="17">
        <v>0.0</v>
      </c>
      <c r="F1015" s="18">
        <v>3.0</v>
      </c>
      <c r="G1015" s="18">
        <v>1.0</v>
      </c>
      <c r="H1015" s="10">
        <v>1.0</v>
      </c>
      <c r="I1015" s="19">
        <v>5.0</v>
      </c>
      <c r="J1015" s="12"/>
      <c r="K1015" s="12">
        <f t="shared" si="62"/>
        <v>3250</v>
      </c>
      <c r="L1015" s="13" t="str">
        <f t="shared" si="68"/>
        <v>0 5-star + 3 RFC + 1 DME + 1 Patient Portal Login + 5 Completed Task</v>
      </c>
      <c r="M1015" s="13"/>
      <c r="N1015" s="13"/>
      <c r="O1015" s="14"/>
      <c r="P1015" s="14"/>
    </row>
    <row r="1016" hidden="1">
      <c r="A1016" s="6" t="s">
        <v>248</v>
      </c>
      <c r="B1016" s="16" t="s">
        <v>65</v>
      </c>
      <c r="C1016" s="16" t="s">
        <v>66</v>
      </c>
      <c r="D1016" s="16" t="s">
        <v>67</v>
      </c>
      <c r="E1016" s="17">
        <v>0.0</v>
      </c>
      <c r="F1016" s="18">
        <v>1.0</v>
      </c>
      <c r="G1016" s="18">
        <v>1.0</v>
      </c>
      <c r="H1016" s="10">
        <v>3.0</v>
      </c>
      <c r="I1016" s="19">
        <v>4.0</v>
      </c>
      <c r="J1016" s="12"/>
      <c r="K1016" s="12">
        <f t="shared" si="62"/>
        <v>2500</v>
      </c>
      <c r="L1016" s="13" t="str">
        <f t="shared" si="68"/>
        <v>0 5-star + 1 RFC + 1 DME + 3 Patient Portal Login + 4 Completed Task</v>
      </c>
      <c r="M1016" s="13"/>
      <c r="N1016" s="13"/>
      <c r="O1016" s="14"/>
      <c r="P1016" s="14"/>
    </row>
    <row r="1017" hidden="1">
      <c r="A1017" s="6" t="s">
        <v>248</v>
      </c>
      <c r="B1017" s="16" t="s">
        <v>68</v>
      </c>
      <c r="C1017" s="16" t="s">
        <v>69</v>
      </c>
      <c r="D1017" s="16" t="s">
        <v>70</v>
      </c>
      <c r="E1017" s="17">
        <v>1.0</v>
      </c>
      <c r="F1017" s="18">
        <v>3.0</v>
      </c>
      <c r="G1017" s="18">
        <v>0.0</v>
      </c>
      <c r="H1017" s="10">
        <v>2.0</v>
      </c>
      <c r="I1017" s="19">
        <v>5.0</v>
      </c>
      <c r="J1017" s="12"/>
      <c r="K1017" s="12">
        <f t="shared" si="62"/>
        <v>3500</v>
      </c>
      <c r="L1017" s="13" t="str">
        <f t="shared" si="68"/>
        <v>1 5-star + 3 RFC + 0 DME + 2 Patient Portal Login + 5 Completed Task</v>
      </c>
      <c r="M1017" s="13"/>
      <c r="N1017" s="13"/>
      <c r="O1017" s="14"/>
      <c r="P1017" s="14"/>
    </row>
    <row r="1018" hidden="1">
      <c r="A1018" s="6" t="s">
        <v>248</v>
      </c>
      <c r="B1018" s="16" t="s">
        <v>71</v>
      </c>
      <c r="C1018" s="16" t="s">
        <v>72</v>
      </c>
      <c r="D1018" s="16" t="s">
        <v>73</v>
      </c>
      <c r="E1018" s="17">
        <v>1.0</v>
      </c>
      <c r="F1018" s="18">
        <v>6.0</v>
      </c>
      <c r="G1018" s="18">
        <v>1.0</v>
      </c>
      <c r="H1018" s="10">
        <v>1.0</v>
      </c>
      <c r="I1018" s="19">
        <v>4.0</v>
      </c>
      <c r="J1018" s="12"/>
      <c r="K1018" s="12">
        <f t="shared" si="62"/>
        <v>4750</v>
      </c>
      <c r="L1018" s="13" t="str">
        <f t="shared" si="68"/>
        <v>1 5-star + 6 RFC + 1 DME + 1 Patient Portal Login + 4 Completed Task</v>
      </c>
      <c r="M1018" s="13"/>
      <c r="N1018" s="13"/>
      <c r="O1018" s="14"/>
      <c r="P1018" s="14"/>
    </row>
    <row r="1019" hidden="1">
      <c r="A1019" s="6" t="s">
        <v>248</v>
      </c>
      <c r="B1019" s="16" t="s">
        <v>74</v>
      </c>
      <c r="C1019" s="16" t="s">
        <v>75</v>
      </c>
      <c r="D1019" s="16" t="s">
        <v>76</v>
      </c>
      <c r="E1019" s="17">
        <v>0.0</v>
      </c>
      <c r="F1019" s="18">
        <v>0.0</v>
      </c>
      <c r="G1019" s="18">
        <v>0.0</v>
      </c>
      <c r="H1019" s="10">
        <v>5.0</v>
      </c>
      <c r="I1019" s="19">
        <v>4.0</v>
      </c>
      <c r="J1019" s="12"/>
      <c r="K1019" s="12">
        <f t="shared" si="62"/>
        <v>2250</v>
      </c>
      <c r="L1019" s="13" t="str">
        <f t="shared" si="68"/>
        <v>0 5-star + 0 RFC + 0 DME + 5 Patient Portal Login + 4 Completed Task</v>
      </c>
      <c r="M1019" s="13"/>
      <c r="N1019" s="13"/>
      <c r="O1019" s="14"/>
      <c r="P1019" s="14"/>
    </row>
    <row r="1020" hidden="1">
      <c r="A1020" s="6" t="s">
        <v>248</v>
      </c>
      <c r="B1020" s="16" t="s">
        <v>77</v>
      </c>
      <c r="C1020" s="16" t="s">
        <v>78</v>
      </c>
      <c r="D1020" s="16" t="s">
        <v>79</v>
      </c>
      <c r="E1020" s="17">
        <v>3.0</v>
      </c>
      <c r="F1020" s="18">
        <v>2.0</v>
      </c>
      <c r="G1020" s="18">
        <v>0.0</v>
      </c>
      <c r="H1020" s="10">
        <v>1.0</v>
      </c>
      <c r="I1020" s="19">
        <v>5.0</v>
      </c>
      <c r="J1020" s="12"/>
      <c r="K1020" s="12">
        <f t="shared" si="62"/>
        <v>3250</v>
      </c>
      <c r="L1020" s="13" t="str">
        <f t="shared" si="68"/>
        <v>3 5-star + 2 RFC + 0 DME + 1 Patient Portal Login + 5 Completed Task</v>
      </c>
      <c r="M1020" s="13"/>
      <c r="N1020" s="13"/>
      <c r="O1020" s="14"/>
      <c r="P1020" s="14"/>
    </row>
    <row r="1021" hidden="1">
      <c r="A1021" s="6" t="s">
        <v>248</v>
      </c>
      <c r="B1021" s="16" t="s">
        <v>80</v>
      </c>
      <c r="C1021" s="16" t="s">
        <v>81</v>
      </c>
      <c r="D1021" s="16" t="s">
        <v>82</v>
      </c>
      <c r="E1021" s="17">
        <v>0.0</v>
      </c>
      <c r="F1021" s="18">
        <v>6.0</v>
      </c>
      <c r="G1021" s="18">
        <v>0.0</v>
      </c>
      <c r="H1021" s="10">
        <v>0.0</v>
      </c>
      <c r="I1021" s="19">
        <v>5.0</v>
      </c>
      <c r="J1021" s="12"/>
      <c r="K1021" s="12">
        <f t="shared" si="62"/>
        <v>4250</v>
      </c>
      <c r="L1021" s="13" t="str">
        <f t="shared" si="68"/>
        <v>0 5-star + 6 RFC + 0 DME + 0 Patient Portal Login + 5 Completed Task</v>
      </c>
      <c r="M1021" s="13"/>
      <c r="N1021" s="13"/>
      <c r="O1021" s="14"/>
      <c r="P1021" s="14"/>
    </row>
    <row r="1022" hidden="1">
      <c r="A1022" s="6" t="s">
        <v>248</v>
      </c>
      <c r="B1022" s="7" t="s">
        <v>83</v>
      </c>
      <c r="C1022" s="16" t="s">
        <v>84</v>
      </c>
      <c r="D1022" s="16" t="s">
        <v>85</v>
      </c>
      <c r="E1022" s="17">
        <v>1.0</v>
      </c>
      <c r="F1022" s="18">
        <v>0.0</v>
      </c>
      <c r="G1022" s="18">
        <v>0.0</v>
      </c>
      <c r="H1022" s="10">
        <v>0.0</v>
      </c>
      <c r="I1022" s="19">
        <v>4.0</v>
      </c>
      <c r="J1022" s="12"/>
      <c r="K1022" s="12">
        <f t="shared" si="62"/>
        <v>1250</v>
      </c>
      <c r="L1022" s="13" t="str">
        <f t="shared" si="68"/>
        <v>1 5-star + 0 RFC + 0 DME + 0 Patient Portal Login + 4 Completed Task</v>
      </c>
      <c r="M1022" s="13"/>
      <c r="N1022" s="13"/>
      <c r="O1022" s="14"/>
      <c r="P1022" s="14"/>
    </row>
    <row r="1023" hidden="1">
      <c r="A1023" s="6" t="s">
        <v>248</v>
      </c>
      <c r="B1023" s="16" t="s">
        <v>86</v>
      </c>
      <c r="C1023" s="16" t="s">
        <v>87</v>
      </c>
      <c r="D1023" s="16" t="s">
        <v>88</v>
      </c>
      <c r="E1023" s="17">
        <v>0.0</v>
      </c>
      <c r="F1023" s="18">
        <v>1.0</v>
      </c>
      <c r="G1023" s="18">
        <v>1.0</v>
      </c>
      <c r="H1023" s="10">
        <v>7.0</v>
      </c>
      <c r="I1023" s="19">
        <v>4.0</v>
      </c>
      <c r="J1023" s="12"/>
      <c r="K1023" s="12">
        <f t="shared" si="62"/>
        <v>3500</v>
      </c>
      <c r="L1023" s="13" t="str">
        <f t="shared" si="68"/>
        <v>0 5-star + 1 RFC + 1 DME + 7 Patient Portal Login + 4 Completed Task</v>
      </c>
      <c r="M1023" s="13"/>
      <c r="N1023" s="13"/>
      <c r="O1023" s="14"/>
      <c r="P1023" s="14"/>
    </row>
    <row r="1024" hidden="1">
      <c r="A1024" s="6" t="s">
        <v>248</v>
      </c>
      <c r="B1024" s="16" t="s">
        <v>89</v>
      </c>
      <c r="C1024" s="16" t="s">
        <v>90</v>
      </c>
      <c r="D1024" s="16" t="s">
        <v>91</v>
      </c>
      <c r="E1024" s="17">
        <v>0.0</v>
      </c>
      <c r="F1024" s="18">
        <v>3.0</v>
      </c>
      <c r="G1024" s="18">
        <v>1.0</v>
      </c>
      <c r="H1024" s="10">
        <v>0.0</v>
      </c>
      <c r="I1024" s="19">
        <v>5.0</v>
      </c>
      <c r="J1024" s="12"/>
      <c r="K1024" s="12">
        <f t="shared" si="62"/>
        <v>3000</v>
      </c>
      <c r="L1024" s="13" t="str">
        <f t="shared" si="68"/>
        <v>0 5-star + 3 RFC + 1 DME + 0 Patient Portal Login + 5 Completed Task</v>
      </c>
      <c r="M1024" s="13"/>
      <c r="N1024" s="13"/>
      <c r="O1024" s="14"/>
      <c r="P1024" s="14"/>
    </row>
    <row r="1025" hidden="1">
      <c r="A1025" s="6" t="s">
        <v>248</v>
      </c>
      <c r="B1025" s="16" t="s">
        <v>92</v>
      </c>
      <c r="C1025" s="16" t="s">
        <v>93</v>
      </c>
      <c r="D1025" s="16" t="s">
        <v>94</v>
      </c>
      <c r="E1025" s="17">
        <v>0.0</v>
      </c>
      <c r="F1025" s="18">
        <v>2.0</v>
      </c>
      <c r="G1025" s="18">
        <v>0.0</v>
      </c>
      <c r="H1025" s="10">
        <v>5.0</v>
      </c>
      <c r="I1025" s="19">
        <v>5.0</v>
      </c>
      <c r="J1025" s="12"/>
      <c r="K1025" s="12">
        <f t="shared" si="62"/>
        <v>3500</v>
      </c>
      <c r="L1025" s="13" t="str">
        <f t="shared" si="68"/>
        <v>0 5-star + 2 RFC + 0 DME + 5 Patient Portal Login + 5 Completed Task</v>
      </c>
      <c r="M1025" s="13"/>
      <c r="N1025" s="13"/>
      <c r="O1025" s="14"/>
      <c r="P1025" s="14"/>
    </row>
    <row r="1026" hidden="1">
      <c r="A1026" s="6" t="s">
        <v>248</v>
      </c>
      <c r="B1026" s="7" t="s">
        <v>95</v>
      </c>
      <c r="C1026" s="16" t="s">
        <v>96</v>
      </c>
      <c r="D1026" s="16" t="s">
        <v>97</v>
      </c>
      <c r="E1026" s="17">
        <v>1.0</v>
      </c>
      <c r="F1026" s="18">
        <v>1.0</v>
      </c>
      <c r="G1026" s="18">
        <v>0.0</v>
      </c>
      <c r="H1026" s="10">
        <v>7.0</v>
      </c>
      <c r="I1026" s="19">
        <v>5.0</v>
      </c>
      <c r="J1026" s="12"/>
      <c r="K1026" s="12">
        <f t="shared" si="62"/>
        <v>3750</v>
      </c>
      <c r="L1026" s="13" t="str">
        <f t="shared" si="68"/>
        <v>1 5-star + 1 RFC + 0 DME + 7 Patient Portal Login + 5 Completed Task</v>
      </c>
      <c r="M1026" s="13"/>
      <c r="N1026" s="13"/>
      <c r="O1026" s="14"/>
      <c r="P1026" s="14"/>
    </row>
    <row r="1027" hidden="1">
      <c r="A1027" s="6" t="s">
        <v>248</v>
      </c>
      <c r="B1027" s="16" t="s">
        <v>98</v>
      </c>
      <c r="C1027" s="16" t="s">
        <v>99</v>
      </c>
      <c r="D1027" s="16" t="s">
        <v>100</v>
      </c>
      <c r="E1027" s="17">
        <v>0.0</v>
      </c>
      <c r="F1027" s="18">
        <v>0.0</v>
      </c>
      <c r="G1027" s="18">
        <v>0.0</v>
      </c>
      <c r="H1027" s="10">
        <v>2.0</v>
      </c>
      <c r="I1027" s="19">
        <v>4.0</v>
      </c>
      <c r="J1027" s="12"/>
      <c r="K1027" s="12">
        <f t="shared" si="62"/>
        <v>1500</v>
      </c>
      <c r="L1027" s="13" t="str">
        <f t="shared" si="68"/>
        <v>0 5-star + 0 RFC + 0 DME + 2 Patient Portal Login + 4 Completed Task</v>
      </c>
      <c r="M1027" s="13"/>
      <c r="N1027" s="13"/>
      <c r="O1027" s="14"/>
      <c r="P1027" s="14"/>
    </row>
    <row r="1028" hidden="1">
      <c r="A1028" s="6" t="s">
        <v>248</v>
      </c>
      <c r="B1028" s="7" t="s">
        <v>101</v>
      </c>
      <c r="C1028" s="16" t="s">
        <v>102</v>
      </c>
      <c r="D1028" s="16" t="s">
        <v>103</v>
      </c>
      <c r="E1028" s="17">
        <v>1.0</v>
      </c>
      <c r="F1028" s="18">
        <v>0.0</v>
      </c>
      <c r="G1028" s="18">
        <v>0.0</v>
      </c>
      <c r="H1028" s="10">
        <v>4.0</v>
      </c>
      <c r="I1028" s="19">
        <v>5.0</v>
      </c>
      <c r="J1028" s="12"/>
      <c r="K1028" s="12">
        <f t="shared" si="62"/>
        <v>2500</v>
      </c>
      <c r="L1028" s="13" t="str">
        <f t="shared" si="68"/>
        <v>1 5-star + 0 RFC + 0 DME + 4 Patient Portal Login + 5 Completed Task</v>
      </c>
      <c r="M1028" s="13"/>
      <c r="N1028" s="13"/>
      <c r="O1028" s="14"/>
      <c r="P1028" s="14"/>
    </row>
    <row r="1029" hidden="1">
      <c r="A1029" s="6" t="s">
        <v>248</v>
      </c>
      <c r="B1029" s="16" t="s">
        <v>104</v>
      </c>
      <c r="C1029" s="16" t="s">
        <v>105</v>
      </c>
      <c r="D1029" s="16" t="s">
        <v>106</v>
      </c>
      <c r="E1029" s="17">
        <v>1.0</v>
      </c>
      <c r="F1029" s="18">
        <v>6.0</v>
      </c>
      <c r="G1029" s="18">
        <v>0.0</v>
      </c>
      <c r="H1029" s="10">
        <v>6.0</v>
      </c>
      <c r="I1029" s="19">
        <v>5.0</v>
      </c>
      <c r="J1029" s="12"/>
      <c r="K1029" s="12">
        <f t="shared" si="62"/>
        <v>6000</v>
      </c>
      <c r="L1029" s="13" t="str">
        <f t="shared" si="68"/>
        <v>1 5-star + 6 RFC + 0 DME + 6 Patient Portal Login + 5 Completed Task</v>
      </c>
      <c r="M1029" s="13"/>
      <c r="N1029" s="13"/>
      <c r="O1029" s="14"/>
      <c r="P1029" s="14"/>
    </row>
    <row r="1030" hidden="1">
      <c r="A1030" s="6" t="s">
        <v>248</v>
      </c>
      <c r="B1030" s="16" t="s">
        <v>107</v>
      </c>
      <c r="C1030" s="16" t="s">
        <v>108</v>
      </c>
      <c r="D1030" s="16" t="s">
        <v>109</v>
      </c>
      <c r="E1030" s="17">
        <v>2.0</v>
      </c>
      <c r="F1030" s="18">
        <v>0.0</v>
      </c>
      <c r="G1030" s="18">
        <v>0.0</v>
      </c>
      <c r="H1030" s="10">
        <v>1.0</v>
      </c>
      <c r="I1030" s="19">
        <v>5.0</v>
      </c>
      <c r="J1030" s="12"/>
      <c r="K1030" s="12">
        <f t="shared" si="62"/>
        <v>2000</v>
      </c>
      <c r="L1030" s="13" t="str">
        <f t="shared" si="68"/>
        <v>2 5-star + 0 RFC + 0 DME + 1 Patient Portal Login + 5 Completed Task</v>
      </c>
      <c r="M1030" s="13"/>
      <c r="N1030" s="13"/>
      <c r="O1030" s="14"/>
      <c r="P1030" s="14"/>
    </row>
    <row r="1031" hidden="1">
      <c r="A1031" s="6" t="s">
        <v>248</v>
      </c>
      <c r="B1031" s="16" t="s">
        <v>110</v>
      </c>
      <c r="C1031" s="16" t="s">
        <v>111</v>
      </c>
      <c r="D1031" s="16" t="s">
        <v>112</v>
      </c>
      <c r="E1031" s="17">
        <v>0.0</v>
      </c>
      <c r="F1031" s="18">
        <v>4.0</v>
      </c>
      <c r="G1031" s="18">
        <v>0.0</v>
      </c>
      <c r="H1031" s="10">
        <v>2.0</v>
      </c>
      <c r="I1031" s="19">
        <v>5.0</v>
      </c>
      <c r="J1031" s="12"/>
      <c r="K1031" s="12">
        <f t="shared" si="62"/>
        <v>3750</v>
      </c>
      <c r="L1031" s="13" t="str">
        <f t="shared" si="68"/>
        <v>0 5-star + 4 RFC + 0 DME + 2 Patient Portal Login + 5 Completed Task</v>
      </c>
      <c r="M1031" s="13"/>
      <c r="N1031" s="13"/>
      <c r="O1031" s="14"/>
      <c r="P1031" s="14"/>
    </row>
    <row r="1032" hidden="1">
      <c r="A1032" s="6" t="s">
        <v>248</v>
      </c>
      <c r="B1032" s="16" t="s">
        <v>113</v>
      </c>
      <c r="C1032" s="16" t="s">
        <v>114</v>
      </c>
      <c r="D1032" s="16" t="s">
        <v>115</v>
      </c>
      <c r="E1032" s="17">
        <v>0.0</v>
      </c>
      <c r="F1032" s="18">
        <v>0.0</v>
      </c>
      <c r="G1032" s="18">
        <v>0.0</v>
      </c>
      <c r="H1032" s="10">
        <v>8.0</v>
      </c>
      <c r="I1032" s="19">
        <v>5.0</v>
      </c>
      <c r="J1032" s="12"/>
      <c r="K1032" s="12">
        <f t="shared" si="62"/>
        <v>3250</v>
      </c>
      <c r="L1032" s="13" t="str">
        <f t="shared" si="68"/>
        <v>0 5-star + 0 RFC + 0 DME + 8 Patient Portal Login + 5 Completed Task</v>
      </c>
      <c r="M1032" s="13"/>
      <c r="N1032" s="13"/>
      <c r="O1032" s="14"/>
      <c r="P1032" s="14"/>
    </row>
    <row r="1033" hidden="1">
      <c r="A1033" s="6" t="s">
        <v>248</v>
      </c>
      <c r="B1033" s="7" t="s">
        <v>116</v>
      </c>
      <c r="C1033" s="16" t="s">
        <v>117</v>
      </c>
      <c r="D1033" s="16" t="s">
        <v>118</v>
      </c>
      <c r="E1033" s="17">
        <v>3.0</v>
      </c>
      <c r="F1033" s="18">
        <v>2.0</v>
      </c>
      <c r="G1033" s="18">
        <v>1.0</v>
      </c>
      <c r="H1033" s="10">
        <v>4.0</v>
      </c>
      <c r="I1033" s="19">
        <v>4.0</v>
      </c>
      <c r="J1033" s="12"/>
      <c r="K1033" s="12">
        <f t="shared" si="62"/>
        <v>4000</v>
      </c>
      <c r="L1033" s="13" t="str">
        <f t="shared" si="68"/>
        <v>3 5-star + 2 RFC + 1 DME + 4 Patient Portal Login + 4 Completed Task</v>
      </c>
      <c r="M1033" s="13"/>
      <c r="N1033" s="13"/>
      <c r="O1033" s="14"/>
      <c r="P1033" s="14"/>
    </row>
    <row r="1034" hidden="1">
      <c r="A1034" s="6" t="s">
        <v>248</v>
      </c>
      <c r="B1034" s="16" t="s">
        <v>119</v>
      </c>
      <c r="C1034" s="16" t="s">
        <v>120</v>
      </c>
      <c r="D1034" s="16" t="s">
        <v>121</v>
      </c>
      <c r="E1034" s="17">
        <v>0.0</v>
      </c>
      <c r="F1034" s="18">
        <v>2.0</v>
      </c>
      <c r="G1034" s="18">
        <v>0.0</v>
      </c>
      <c r="H1034" s="10">
        <v>3.0</v>
      </c>
      <c r="I1034" s="19">
        <v>4.0</v>
      </c>
      <c r="J1034" s="12"/>
      <c r="K1034" s="12">
        <f t="shared" si="62"/>
        <v>2750</v>
      </c>
      <c r="L1034" s="13" t="str">
        <f t="shared" si="68"/>
        <v>0 5-star + 2 RFC + 0 DME + 3 Patient Portal Login + 4 Completed Task</v>
      </c>
      <c r="M1034" s="13"/>
      <c r="N1034" s="13"/>
      <c r="O1034" s="14"/>
      <c r="P1034" s="14"/>
    </row>
    <row r="1035" hidden="1">
      <c r="A1035" s="6" t="s">
        <v>248</v>
      </c>
      <c r="B1035" s="16" t="s">
        <v>122</v>
      </c>
      <c r="C1035" s="16" t="s">
        <v>123</v>
      </c>
      <c r="D1035" s="16" t="s">
        <v>124</v>
      </c>
      <c r="E1035" s="17">
        <v>0.0</v>
      </c>
      <c r="F1035" s="18">
        <v>0.0</v>
      </c>
      <c r="G1035" s="18">
        <v>2.0</v>
      </c>
      <c r="H1035" s="10">
        <v>3.0</v>
      </c>
      <c r="I1035" s="19">
        <v>5.0</v>
      </c>
      <c r="J1035" s="12"/>
      <c r="K1035" s="12">
        <f>sum(E1035*250)+(F1035*500)+(G1034*250)+(H1035*250)+(I1035*250)</f>
        <v>2000</v>
      </c>
      <c r="L1035" s="13" t="str">
        <f> E1035 &amp; " 5-star + " &amp; F1035 &amp; " RFC + " &amp; G1034 &amp; " DME + " &amp; H1035 &amp; " Patient Portal Login + " &amp; I1035 &amp; " Completed Task"
</f>
        <v>0 5-star + 0 RFC + 0 DME + 3 Patient Portal Login + 5 Completed Task</v>
      </c>
      <c r="M1035" s="13"/>
      <c r="N1035" s="13"/>
      <c r="O1035" s="14"/>
      <c r="P1035" s="14"/>
    </row>
    <row r="1036" hidden="1">
      <c r="A1036" s="6" t="s">
        <v>248</v>
      </c>
      <c r="B1036" s="16" t="s">
        <v>125</v>
      </c>
      <c r="C1036" s="16" t="s">
        <v>126</v>
      </c>
      <c r="D1036" s="16" t="s">
        <v>127</v>
      </c>
      <c r="E1036" s="17">
        <v>0.0</v>
      </c>
      <c r="F1036" s="18">
        <v>0.0</v>
      </c>
      <c r="G1036" s="18">
        <v>0.0</v>
      </c>
      <c r="H1036" s="10">
        <v>0.0</v>
      </c>
      <c r="I1036" s="19">
        <v>5.0</v>
      </c>
      <c r="J1036" s="12"/>
      <c r="K1036" s="12">
        <f t="shared" ref="K1036:K1089" si="69">sum(E1036*250)+(F1036*500)+(G1036*250)+(H1036*250)+(I1036*250)</f>
        <v>1250</v>
      </c>
      <c r="L1036" s="13" t="str">
        <f t="shared" ref="L1036:L1048" si="70"> E1036 &amp; " 5-star + " &amp; F1036 &amp; " RFC + " &amp; G1036 &amp; " DME + " &amp; H1036 &amp; " Patient Portal Login + " &amp; I1036 &amp; " Completed Task"
</f>
        <v>0 5-star + 0 RFC + 0 DME + 0 Patient Portal Login + 5 Completed Task</v>
      </c>
      <c r="M1036" s="13"/>
      <c r="N1036" s="13"/>
      <c r="O1036" s="14"/>
      <c r="P1036" s="14"/>
    </row>
    <row r="1037" hidden="1">
      <c r="A1037" s="6" t="s">
        <v>248</v>
      </c>
      <c r="B1037" s="16" t="s">
        <v>128</v>
      </c>
      <c r="C1037" s="16" t="s">
        <v>129</v>
      </c>
      <c r="D1037" s="16" t="s">
        <v>130</v>
      </c>
      <c r="E1037" s="48">
        <v>0.0</v>
      </c>
      <c r="F1037" s="49">
        <v>0.0</v>
      </c>
      <c r="G1037" s="25">
        <v>1.0</v>
      </c>
      <c r="H1037" s="26">
        <v>1.0</v>
      </c>
      <c r="I1037" s="24">
        <v>3.0</v>
      </c>
      <c r="J1037" s="12"/>
      <c r="K1037" s="12">
        <f t="shared" si="69"/>
        <v>1250</v>
      </c>
      <c r="L1037" s="13" t="str">
        <f t="shared" si="70"/>
        <v>0 5-star + 0 RFC + 1 DME + 1 Patient Portal Login + 3 Completed Task</v>
      </c>
      <c r="M1037" s="13"/>
      <c r="N1037" s="13"/>
      <c r="O1037" s="14"/>
      <c r="P1037" s="14"/>
    </row>
    <row r="1038" hidden="1">
      <c r="A1038" s="6" t="s">
        <v>248</v>
      </c>
      <c r="B1038" s="16" t="s">
        <v>131</v>
      </c>
      <c r="C1038" s="16" t="s">
        <v>132</v>
      </c>
      <c r="D1038" s="16" t="s">
        <v>133</v>
      </c>
      <c r="E1038" s="17">
        <v>0.0</v>
      </c>
      <c r="F1038" s="18">
        <v>1.0</v>
      </c>
      <c r="G1038" s="18">
        <v>0.0</v>
      </c>
      <c r="H1038" s="10">
        <v>2.0</v>
      </c>
      <c r="I1038" s="19">
        <v>5.0</v>
      </c>
      <c r="J1038" s="12"/>
      <c r="K1038" s="12">
        <f t="shared" si="69"/>
        <v>2250</v>
      </c>
      <c r="L1038" s="13" t="str">
        <f t="shared" si="70"/>
        <v>0 5-star + 1 RFC + 0 DME + 2 Patient Portal Login + 5 Completed Task</v>
      </c>
      <c r="M1038" s="13"/>
      <c r="N1038" s="13"/>
      <c r="O1038" s="14"/>
      <c r="P1038" s="14"/>
    </row>
    <row r="1039" hidden="1">
      <c r="A1039" s="6" t="s">
        <v>248</v>
      </c>
      <c r="B1039" s="16" t="s">
        <v>134</v>
      </c>
      <c r="C1039" s="16" t="s">
        <v>135</v>
      </c>
      <c r="D1039" s="16" t="s">
        <v>136</v>
      </c>
      <c r="E1039" s="48">
        <v>0.0</v>
      </c>
      <c r="F1039" s="49">
        <v>0.0</v>
      </c>
      <c r="G1039" s="18">
        <v>0.0</v>
      </c>
      <c r="H1039" s="50">
        <v>0.0</v>
      </c>
      <c r="I1039" s="19">
        <v>4.0</v>
      </c>
      <c r="J1039" s="12"/>
      <c r="K1039" s="12">
        <f t="shared" si="69"/>
        <v>1000</v>
      </c>
      <c r="L1039" s="13" t="str">
        <f t="shared" si="70"/>
        <v>0 5-star + 0 RFC + 0 DME + 0 Patient Portal Login + 4 Completed Task</v>
      </c>
      <c r="M1039" s="13"/>
      <c r="N1039" s="13"/>
      <c r="O1039" s="14"/>
      <c r="P1039" s="14"/>
    </row>
    <row r="1040" hidden="1">
      <c r="A1040" s="6" t="s">
        <v>248</v>
      </c>
      <c r="B1040" s="16" t="s">
        <v>137</v>
      </c>
      <c r="C1040" s="16" t="s">
        <v>138</v>
      </c>
      <c r="D1040" s="16" t="s">
        <v>139</v>
      </c>
      <c r="E1040" s="17">
        <v>1.0</v>
      </c>
      <c r="F1040" s="18">
        <v>0.0</v>
      </c>
      <c r="G1040" s="18">
        <v>0.0</v>
      </c>
      <c r="H1040" s="10">
        <v>5.0</v>
      </c>
      <c r="I1040" s="19">
        <v>5.0</v>
      </c>
      <c r="J1040" s="12"/>
      <c r="K1040" s="12">
        <f t="shared" si="69"/>
        <v>2750</v>
      </c>
      <c r="L1040" s="13" t="str">
        <f t="shared" si="70"/>
        <v>1 5-star + 0 RFC + 0 DME + 5 Patient Portal Login + 5 Completed Task</v>
      </c>
      <c r="M1040" s="13"/>
      <c r="N1040" s="13"/>
      <c r="O1040" s="14"/>
      <c r="P1040" s="14"/>
    </row>
    <row r="1041" hidden="1">
      <c r="A1041" s="6" t="s">
        <v>248</v>
      </c>
      <c r="B1041" s="16" t="s">
        <v>140</v>
      </c>
      <c r="C1041" s="16" t="s">
        <v>141</v>
      </c>
      <c r="D1041" s="16" t="s">
        <v>142</v>
      </c>
      <c r="E1041" s="48">
        <v>0.0</v>
      </c>
      <c r="F1041" s="9">
        <v>1.0</v>
      </c>
      <c r="G1041" s="49">
        <v>0.0</v>
      </c>
      <c r="H1041" s="50">
        <v>0.0</v>
      </c>
      <c r="I1041" s="19">
        <v>5.0</v>
      </c>
      <c r="J1041" s="12"/>
      <c r="K1041" s="12">
        <f t="shared" si="69"/>
        <v>1750</v>
      </c>
      <c r="L1041" s="13" t="str">
        <f t="shared" si="70"/>
        <v>0 5-star + 1 RFC + 0 DME + 0 Patient Portal Login + 5 Completed Task</v>
      </c>
      <c r="M1041" s="13"/>
      <c r="N1041" s="13"/>
      <c r="O1041" s="14"/>
      <c r="P1041" s="14"/>
    </row>
    <row r="1042" hidden="1">
      <c r="A1042" s="6" t="s">
        <v>248</v>
      </c>
      <c r="B1042" s="16" t="s">
        <v>143</v>
      </c>
      <c r="C1042" s="16" t="s">
        <v>144</v>
      </c>
      <c r="D1042" s="16" t="s">
        <v>145</v>
      </c>
      <c r="E1042" s="17">
        <v>0.0</v>
      </c>
      <c r="F1042" s="18">
        <v>0.0</v>
      </c>
      <c r="G1042" s="18">
        <v>1.0</v>
      </c>
      <c r="H1042" s="10">
        <v>3.0</v>
      </c>
      <c r="I1042" s="19">
        <v>5.0</v>
      </c>
      <c r="J1042" s="12"/>
      <c r="K1042" s="12">
        <f t="shared" si="69"/>
        <v>2250</v>
      </c>
      <c r="L1042" s="13" t="str">
        <f t="shared" si="70"/>
        <v>0 5-star + 0 RFC + 1 DME + 3 Patient Portal Login + 5 Completed Task</v>
      </c>
      <c r="M1042" s="13"/>
      <c r="N1042" s="13"/>
      <c r="O1042" s="14"/>
      <c r="P1042" s="14"/>
    </row>
    <row r="1043" hidden="1">
      <c r="A1043" s="6" t="s">
        <v>248</v>
      </c>
      <c r="B1043" s="16" t="s">
        <v>146</v>
      </c>
      <c r="C1043" s="16" t="s">
        <v>147</v>
      </c>
      <c r="D1043" s="16" t="s">
        <v>148</v>
      </c>
      <c r="E1043" s="17">
        <v>0.0</v>
      </c>
      <c r="F1043" s="18">
        <v>2.0</v>
      </c>
      <c r="G1043" s="49">
        <v>0.0</v>
      </c>
      <c r="H1043" s="50">
        <v>5.0</v>
      </c>
      <c r="I1043" s="19">
        <v>5.0</v>
      </c>
      <c r="J1043" s="12"/>
      <c r="K1043" s="12">
        <f t="shared" si="69"/>
        <v>3500</v>
      </c>
      <c r="L1043" s="13" t="str">
        <f t="shared" si="70"/>
        <v>0 5-star + 2 RFC + 0 DME + 5 Patient Portal Login + 5 Completed Task</v>
      </c>
      <c r="M1043" s="13"/>
      <c r="N1043" s="13"/>
      <c r="O1043" s="14"/>
      <c r="P1043" s="14"/>
    </row>
    <row r="1044" hidden="1">
      <c r="A1044" s="6" t="s">
        <v>248</v>
      </c>
      <c r="B1044" s="16" t="s">
        <v>245</v>
      </c>
      <c r="C1044" s="16" t="s">
        <v>246</v>
      </c>
      <c r="D1044" s="16" t="s">
        <v>247</v>
      </c>
      <c r="E1044" s="17">
        <v>0.0</v>
      </c>
      <c r="F1044" s="18">
        <v>1.0</v>
      </c>
      <c r="G1044" s="18">
        <v>1.0</v>
      </c>
      <c r="H1044" s="10">
        <v>7.0</v>
      </c>
      <c r="I1044" s="19">
        <v>5.0</v>
      </c>
      <c r="J1044" s="12"/>
      <c r="K1044" s="12">
        <f t="shared" si="69"/>
        <v>3750</v>
      </c>
      <c r="L1044" s="13" t="str">
        <f t="shared" si="70"/>
        <v>0 5-star + 1 RFC + 1 DME + 7 Patient Portal Login + 5 Completed Task</v>
      </c>
      <c r="M1044" s="13"/>
      <c r="N1044" s="13"/>
      <c r="O1044" s="14"/>
      <c r="P1044" s="14"/>
    </row>
    <row r="1045" hidden="1">
      <c r="A1045" s="6" t="s">
        <v>248</v>
      </c>
      <c r="B1045" s="16" t="s">
        <v>149</v>
      </c>
      <c r="C1045" s="16" t="s">
        <v>150</v>
      </c>
      <c r="D1045" s="16" t="s">
        <v>151</v>
      </c>
      <c r="E1045" s="17">
        <v>0.0</v>
      </c>
      <c r="F1045" s="18">
        <v>0.0</v>
      </c>
      <c r="G1045" s="18">
        <v>0.0</v>
      </c>
      <c r="H1045" s="10">
        <v>0.0</v>
      </c>
      <c r="I1045" s="19">
        <v>4.0</v>
      </c>
      <c r="J1045" s="12"/>
      <c r="K1045" s="12">
        <f t="shared" si="69"/>
        <v>1000</v>
      </c>
      <c r="L1045" s="13" t="str">
        <f t="shared" si="70"/>
        <v>0 5-star + 0 RFC + 0 DME + 0 Patient Portal Login + 4 Completed Task</v>
      </c>
      <c r="M1045" s="13"/>
      <c r="N1045" s="13"/>
      <c r="O1045" s="14"/>
      <c r="P1045" s="14"/>
    </row>
    <row r="1046" hidden="1">
      <c r="A1046" s="6" t="s">
        <v>248</v>
      </c>
      <c r="B1046" s="16" t="s">
        <v>152</v>
      </c>
      <c r="C1046" s="16" t="s">
        <v>153</v>
      </c>
      <c r="D1046" s="16" t="s">
        <v>154</v>
      </c>
      <c r="E1046" s="48">
        <v>0.0</v>
      </c>
      <c r="F1046" s="25">
        <v>2.0</v>
      </c>
      <c r="G1046" s="25">
        <v>1.0</v>
      </c>
      <c r="H1046" s="26">
        <v>1.0</v>
      </c>
      <c r="I1046" s="24">
        <v>4.0</v>
      </c>
      <c r="J1046" s="12"/>
      <c r="K1046" s="12">
        <f t="shared" si="69"/>
        <v>2500</v>
      </c>
      <c r="L1046" s="13" t="str">
        <f t="shared" si="70"/>
        <v>0 5-star + 2 RFC + 1 DME + 1 Patient Portal Login + 4 Completed Task</v>
      </c>
      <c r="M1046" s="13"/>
      <c r="N1046" s="13"/>
      <c r="O1046" s="14"/>
      <c r="P1046" s="14"/>
    </row>
    <row r="1047" hidden="1">
      <c r="A1047" s="6" t="s">
        <v>248</v>
      </c>
      <c r="B1047" s="16" t="s">
        <v>155</v>
      </c>
      <c r="C1047" s="16" t="s">
        <v>156</v>
      </c>
      <c r="D1047" s="16" t="s">
        <v>157</v>
      </c>
      <c r="E1047" s="17">
        <v>1.0</v>
      </c>
      <c r="F1047" s="18">
        <v>0.0</v>
      </c>
      <c r="G1047" s="18">
        <v>2.0</v>
      </c>
      <c r="H1047" s="10">
        <v>2.0</v>
      </c>
      <c r="I1047" s="19">
        <v>5.0</v>
      </c>
      <c r="J1047" s="12"/>
      <c r="K1047" s="12">
        <f t="shared" si="69"/>
        <v>2500</v>
      </c>
      <c r="L1047" s="13" t="str">
        <f t="shared" si="70"/>
        <v>1 5-star + 0 RFC + 2 DME + 2 Patient Portal Login + 5 Completed Task</v>
      </c>
      <c r="M1047" s="13"/>
      <c r="N1047" s="13"/>
      <c r="O1047" s="14"/>
      <c r="P1047" s="14"/>
    </row>
    <row r="1048" hidden="1">
      <c r="A1048" s="6" t="s">
        <v>248</v>
      </c>
      <c r="B1048" s="16" t="s">
        <v>158</v>
      </c>
      <c r="C1048" s="16" t="s">
        <v>159</v>
      </c>
      <c r="D1048" s="16" t="s">
        <v>160</v>
      </c>
      <c r="E1048" s="48">
        <v>0.0</v>
      </c>
      <c r="F1048" s="49">
        <v>0.0</v>
      </c>
      <c r="G1048" s="49">
        <v>0.0</v>
      </c>
      <c r="H1048" s="26">
        <v>1.0</v>
      </c>
      <c r="I1048" s="19">
        <v>5.0</v>
      </c>
      <c r="J1048" s="12"/>
      <c r="K1048" s="12">
        <f t="shared" si="69"/>
        <v>1500</v>
      </c>
      <c r="L1048" s="13" t="str">
        <f t="shared" si="70"/>
        <v>0 5-star + 0 RFC + 0 DME + 1 Patient Portal Login + 5 Completed Task</v>
      </c>
      <c r="M1048" s="13"/>
      <c r="N1048" s="13"/>
      <c r="O1048" s="14"/>
      <c r="P1048" s="14"/>
    </row>
    <row r="1049" hidden="1">
      <c r="A1049" s="6" t="s">
        <v>248</v>
      </c>
      <c r="B1049" s="20" t="s">
        <v>161</v>
      </c>
      <c r="C1049" s="20" t="s">
        <v>162</v>
      </c>
      <c r="D1049" s="20" t="s">
        <v>163</v>
      </c>
      <c r="E1049" s="17">
        <v>0.0</v>
      </c>
      <c r="F1049" s="18">
        <v>0.0</v>
      </c>
      <c r="G1049" s="18">
        <v>0.0</v>
      </c>
      <c r="H1049" s="10">
        <v>0.0</v>
      </c>
      <c r="I1049" s="19">
        <v>5.0</v>
      </c>
      <c r="J1049" s="12"/>
      <c r="K1049" s="12">
        <f t="shared" si="69"/>
        <v>1250</v>
      </c>
      <c r="L1049" s="13" t="str">
        <f> E1049 &amp; " 5-star + " &amp; E1035 &amp; " RFC + " &amp; G1049 &amp; " DME + " &amp; H1049 &amp; " Patient Portal Login + " &amp; I1049 &amp; " Completed Task"
</f>
        <v>0 5-star + 0 RFC + 0 DME + 0 Patient Portal Login + 5 Completed Task</v>
      </c>
      <c r="M1049" s="13"/>
      <c r="N1049" s="13"/>
      <c r="O1049" s="14"/>
      <c r="P1049" s="14"/>
    </row>
    <row r="1050" hidden="1">
      <c r="A1050" s="6" t="s">
        <v>248</v>
      </c>
      <c r="B1050" s="20" t="s">
        <v>164</v>
      </c>
      <c r="C1050" s="20" t="s">
        <v>165</v>
      </c>
      <c r="D1050" s="20" t="s">
        <v>166</v>
      </c>
      <c r="E1050" s="48">
        <v>0.0</v>
      </c>
      <c r="F1050" s="25">
        <v>2.0</v>
      </c>
      <c r="G1050" s="49">
        <v>0.0</v>
      </c>
      <c r="H1050" s="50">
        <v>0.0</v>
      </c>
      <c r="I1050" s="24">
        <v>4.0</v>
      </c>
      <c r="J1050" s="12"/>
      <c r="K1050" s="12">
        <f t="shared" si="69"/>
        <v>2000</v>
      </c>
      <c r="L1050" s="13" t="str">
        <f t="shared" ref="L1050:L1089" si="71"> E1050 &amp; " 5-star + " &amp; F1050 &amp; " RFC + " &amp; G1050 &amp; " DME + " &amp; H1050 &amp; " Patient Portal Login + " &amp; I1050 &amp; " Completed Task"
</f>
        <v>0 5-star + 2 RFC + 0 DME + 0 Patient Portal Login + 4 Completed Task</v>
      </c>
      <c r="M1050" s="13"/>
      <c r="N1050" s="13"/>
      <c r="O1050" s="14"/>
      <c r="P1050" s="14"/>
    </row>
    <row r="1051" hidden="1">
      <c r="A1051" s="6" t="s">
        <v>248</v>
      </c>
      <c r="B1051" s="20" t="s">
        <v>167</v>
      </c>
      <c r="C1051" s="20" t="s">
        <v>168</v>
      </c>
      <c r="D1051" s="20" t="s">
        <v>169</v>
      </c>
      <c r="E1051" s="17">
        <v>0.0</v>
      </c>
      <c r="F1051" s="18">
        <v>3.0</v>
      </c>
      <c r="G1051" s="18">
        <v>2.0</v>
      </c>
      <c r="H1051" s="10">
        <v>2.0</v>
      </c>
      <c r="I1051" s="19">
        <v>5.0</v>
      </c>
      <c r="J1051" s="12"/>
      <c r="K1051" s="12">
        <f t="shared" si="69"/>
        <v>3750</v>
      </c>
      <c r="L1051" s="13" t="str">
        <f t="shared" si="71"/>
        <v>0 5-star + 3 RFC + 2 DME + 2 Patient Portal Login + 5 Completed Task</v>
      </c>
      <c r="M1051" s="13"/>
      <c r="N1051" s="13"/>
      <c r="O1051" s="14"/>
      <c r="P1051" s="14"/>
    </row>
    <row r="1052" hidden="1">
      <c r="A1052" s="6" t="s">
        <v>248</v>
      </c>
      <c r="B1052" s="20" t="s">
        <v>170</v>
      </c>
      <c r="C1052" s="20" t="s">
        <v>171</v>
      </c>
      <c r="D1052" s="20" t="s">
        <v>172</v>
      </c>
      <c r="E1052" s="17">
        <v>0.0</v>
      </c>
      <c r="F1052" s="18">
        <v>4.0</v>
      </c>
      <c r="G1052" s="18">
        <v>0.0</v>
      </c>
      <c r="H1052" s="10">
        <v>11.0</v>
      </c>
      <c r="I1052" s="19">
        <v>5.0</v>
      </c>
      <c r="J1052" s="12"/>
      <c r="K1052" s="12">
        <f t="shared" si="69"/>
        <v>6000</v>
      </c>
      <c r="L1052" s="13" t="str">
        <f t="shared" si="71"/>
        <v>0 5-star + 4 RFC + 0 DME + 11 Patient Portal Login + 5 Completed Task</v>
      </c>
      <c r="M1052" s="13"/>
      <c r="N1052" s="13"/>
      <c r="O1052" s="14"/>
      <c r="P1052" s="14"/>
    </row>
    <row r="1053" hidden="1">
      <c r="A1053" s="6" t="s">
        <v>248</v>
      </c>
      <c r="B1053" s="16" t="s">
        <v>173</v>
      </c>
      <c r="C1053" s="16" t="s">
        <v>174</v>
      </c>
      <c r="D1053" s="16" t="s">
        <v>175</v>
      </c>
      <c r="E1053" s="17">
        <v>0.0</v>
      </c>
      <c r="F1053" s="18">
        <v>0.0</v>
      </c>
      <c r="G1053" s="18">
        <v>0.0</v>
      </c>
      <c r="H1053" s="10">
        <v>6.0</v>
      </c>
      <c r="I1053" s="19">
        <v>5.0</v>
      </c>
      <c r="J1053" s="12"/>
      <c r="K1053" s="12">
        <f t="shared" si="69"/>
        <v>2750</v>
      </c>
      <c r="L1053" s="13" t="str">
        <f t="shared" si="71"/>
        <v>0 5-star + 0 RFC + 0 DME + 6 Patient Portal Login + 5 Completed Task</v>
      </c>
      <c r="M1053" s="13"/>
      <c r="N1053" s="13"/>
      <c r="O1053" s="14"/>
      <c r="P1053" s="14"/>
    </row>
    <row r="1054" hidden="1">
      <c r="A1054" s="6" t="s">
        <v>248</v>
      </c>
      <c r="B1054" s="16" t="s">
        <v>176</v>
      </c>
      <c r="C1054" s="16" t="s">
        <v>177</v>
      </c>
      <c r="D1054" s="16" t="s">
        <v>178</v>
      </c>
      <c r="E1054" s="17">
        <v>0.0</v>
      </c>
      <c r="F1054" s="18">
        <v>0.0</v>
      </c>
      <c r="G1054" s="18">
        <v>0.0</v>
      </c>
      <c r="H1054" s="10">
        <v>3.0</v>
      </c>
      <c r="I1054" s="19">
        <v>5.0</v>
      </c>
      <c r="J1054" s="12"/>
      <c r="K1054" s="12">
        <f t="shared" si="69"/>
        <v>2000</v>
      </c>
      <c r="L1054" s="13" t="str">
        <f t="shared" si="71"/>
        <v>0 5-star + 0 RFC + 0 DME + 3 Patient Portal Login + 5 Completed Task</v>
      </c>
      <c r="M1054" s="13"/>
      <c r="N1054" s="13"/>
      <c r="O1054" s="14"/>
      <c r="P1054" s="14"/>
    </row>
    <row r="1055" hidden="1">
      <c r="A1055" s="6" t="s">
        <v>248</v>
      </c>
      <c r="B1055" s="21" t="s">
        <v>179</v>
      </c>
      <c r="C1055" s="21" t="s">
        <v>180</v>
      </c>
      <c r="D1055" s="21" t="s">
        <v>181</v>
      </c>
      <c r="E1055" s="17">
        <v>0.0</v>
      </c>
      <c r="F1055" s="18">
        <v>0.0</v>
      </c>
      <c r="G1055" s="18">
        <v>0.0</v>
      </c>
      <c r="H1055" s="10">
        <v>11.0</v>
      </c>
      <c r="I1055" s="19">
        <v>4.0</v>
      </c>
      <c r="J1055" s="12"/>
      <c r="K1055" s="12">
        <f t="shared" si="69"/>
        <v>3750</v>
      </c>
      <c r="L1055" s="13" t="str">
        <f t="shared" si="71"/>
        <v>0 5-star + 0 RFC + 0 DME + 11 Patient Portal Login + 4 Completed Task</v>
      </c>
      <c r="M1055" s="13"/>
      <c r="N1055" s="13"/>
      <c r="O1055" s="23"/>
      <c r="P1055" s="23"/>
    </row>
    <row r="1056" hidden="1">
      <c r="A1056" s="6" t="s">
        <v>248</v>
      </c>
      <c r="B1056" s="21" t="s">
        <v>182</v>
      </c>
      <c r="C1056" s="21" t="s">
        <v>183</v>
      </c>
      <c r="D1056" s="21" t="s">
        <v>184</v>
      </c>
      <c r="E1056" s="17">
        <v>1.0</v>
      </c>
      <c r="F1056" s="18">
        <v>0.0</v>
      </c>
      <c r="G1056" s="18">
        <v>0.0</v>
      </c>
      <c r="H1056" s="10">
        <v>7.0</v>
      </c>
      <c r="I1056" s="19">
        <v>4.0</v>
      </c>
      <c r="J1056" s="12"/>
      <c r="K1056" s="12">
        <f t="shared" si="69"/>
        <v>3000</v>
      </c>
      <c r="L1056" s="13" t="str">
        <f t="shared" si="71"/>
        <v>1 5-star + 0 RFC + 0 DME + 7 Patient Portal Login + 4 Completed Task</v>
      </c>
      <c r="M1056" s="13"/>
      <c r="N1056" s="13"/>
      <c r="O1056" s="23"/>
      <c r="P1056" s="23"/>
    </row>
    <row r="1057" hidden="1">
      <c r="A1057" s="6" t="s">
        <v>248</v>
      </c>
      <c r="B1057" s="21" t="s">
        <v>185</v>
      </c>
      <c r="C1057" s="21" t="s">
        <v>186</v>
      </c>
      <c r="D1057" s="21" t="s">
        <v>187</v>
      </c>
      <c r="E1057" s="17">
        <v>1.0</v>
      </c>
      <c r="F1057" s="18">
        <v>3.0</v>
      </c>
      <c r="G1057" s="18">
        <v>1.0</v>
      </c>
      <c r="H1057" s="10">
        <v>7.0</v>
      </c>
      <c r="I1057" s="19">
        <v>5.0</v>
      </c>
      <c r="J1057" s="12"/>
      <c r="K1057" s="12">
        <f t="shared" si="69"/>
        <v>5000</v>
      </c>
      <c r="L1057" s="13" t="str">
        <f t="shared" si="71"/>
        <v>1 5-star + 3 RFC + 1 DME + 7 Patient Portal Login + 5 Completed Task</v>
      </c>
      <c r="M1057" s="13"/>
      <c r="N1057" s="13"/>
      <c r="O1057" s="23"/>
      <c r="P1057" s="23"/>
    </row>
    <row r="1058" hidden="1">
      <c r="A1058" s="6" t="s">
        <v>248</v>
      </c>
      <c r="B1058" s="21" t="s">
        <v>188</v>
      </c>
      <c r="C1058" s="21" t="s">
        <v>189</v>
      </c>
      <c r="D1058" s="21" t="s">
        <v>190</v>
      </c>
      <c r="E1058" s="17">
        <v>0.0</v>
      </c>
      <c r="F1058" s="18">
        <v>1.0</v>
      </c>
      <c r="G1058" s="18">
        <v>0.0</v>
      </c>
      <c r="H1058" s="10">
        <v>0.0</v>
      </c>
      <c r="I1058" s="19">
        <v>5.0</v>
      </c>
      <c r="J1058" s="12"/>
      <c r="K1058" s="12">
        <f t="shared" si="69"/>
        <v>1750</v>
      </c>
      <c r="L1058" s="13" t="str">
        <f t="shared" si="71"/>
        <v>0 5-star + 1 RFC + 0 DME + 0 Patient Portal Login + 5 Completed Task</v>
      </c>
      <c r="M1058" s="13"/>
      <c r="N1058" s="13"/>
      <c r="O1058" s="23"/>
      <c r="P1058" s="23"/>
    </row>
    <row r="1059" hidden="1">
      <c r="A1059" s="6" t="s">
        <v>248</v>
      </c>
      <c r="B1059" s="21" t="s">
        <v>191</v>
      </c>
      <c r="C1059" s="21" t="s">
        <v>192</v>
      </c>
      <c r="D1059" s="21" t="s">
        <v>193</v>
      </c>
      <c r="E1059" s="17">
        <v>0.0</v>
      </c>
      <c r="F1059" s="18">
        <v>3.0</v>
      </c>
      <c r="G1059" s="18">
        <v>1.0</v>
      </c>
      <c r="H1059" s="10">
        <v>0.0</v>
      </c>
      <c r="I1059" s="19">
        <v>5.0</v>
      </c>
      <c r="J1059" s="12"/>
      <c r="K1059" s="12">
        <f t="shared" si="69"/>
        <v>3000</v>
      </c>
      <c r="L1059" s="13" t="str">
        <f t="shared" si="71"/>
        <v>0 5-star + 3 RFC + 1 DME + 0 Patient Portal Login + 5 Completed Task</v>
      </c>
      <c r="M1059" s="13"/>
      <c r="N1059" s="13"/>
      <c r="O1059" s="23"/>
      <c r="P1059" s="23"/>
    </row>
    <row r="1060" hidden="1">
      <c r="A1060" s="6" t="s">
        <v>248</v>
      </c>
      <c r="B1060" s="21" t="s">
        <v>194</v>
      </c>
      <c r="C1060" s="21" t="s">
        <v>195</v>
      </c>
      <c r="D1060" s="21" t="s">
        <v>196</v>
      </c>
      <c r="E1060" s="48">
        <v>0.0</v>
      </c>
      <c r="F1060" s="49">
        <v>0.0</v>
      </c>
      <c r="G1060" s="25">
        <v>0.0</v>
      </c>
      <c r="H1060" s="50">
        <v>0.0</v>
      </c>
      <c r="I1060" s="19">
        <v>3.0</v>
      </c>
      <c r="J1060" s="12"/>
      <c r="K1060" s="12">
        <f t="shared" si="69"/>
        <v>750</v>
      </c>
      <c r="L1060" s="13" t="str">
        <f t="shared" si="71"/>
        <v>0 5-star + 0 RFC + 0 DME + 0 Patient Portal Login + 3 Completed Task</v>
      </c>
      <c r="M1060" s="13"/>
      <c r="N1060" s="13"/>
      <c r="O1060" s="23"/>
      <c r="P1060" s="23"/>
    </row>
    <row r="1061" hidden="1">
      <c r="A1061" s="6" t="s">
        <v>248</v>
      </c>
      <c r="B1061" s="21" t="s">
        <v>197</v>
      </c>
      <c r="C1061" s="21" t="s">
        <v>198</v>
      </c>
      <c r="D1061" s="21" t="s">
        <v>199</v>
      </c>
      <c r="E1061" s="22">
        <v>1.0</v>
      </c>
      <c r="F1061" s="49">
        <v>0.0</v>
      </c>
      <c r="G1061" s="25">
        <v>2.0</v>
      </c>
      <c r="H1061" s="26">
        <v>8.0</v>
      </c>
      <c r="I1061" s="24">
        <v>4.0</v>
      </c>
      <c r="J1061" s="12"/>
      <c r="K1061" s="12">
        <f t="shared" si="69"/>
        <v>3750</v>
      </c>
      <c r="L1061" s="13" t="str">
        <f t="shared" si="71"/>
        <v>1 5-star + 0 RFC + 2 DME + 8 Patient Portal Login + 4 Completed Task</v>
      </c>
      <c r="M1061" s="13"/>
      <c r="N1061" s="13"/>
      <c r="O1061" s="23"/>
      <c r="P1061" s="23"/>
    </row>
    <row r="1062" hidden="1">
      <c r="A1062" s="6" t="s">
        <v>248</v>
      </c>
      <c r="B1062" s="21" t="s">
        <v>200</v>
      </c>
      <c r="C1062" s="21" t="s">
        <v>201</v>
      </c>
      <c r="D1062" s="21" t="s">
        <v>202</v>
      </c>
      <c r="E1062" s="17">
        <v>0.0</v>
      </c>
      <c r="F1062" s="18">
        <v>0.0</v>
      </c>
      <c r="G1062" s="18">
        <v>0.0</v>
      </c>
      <c r="H1062" s="10">
        <v>0.0</v>
      </c>
      <c r="I1062" s="19">
        <v>5.0</v>
      </c>
      <c r="J1062" s="12"/>
      <c r="K1062" s="12">
        <f t="shared" si="69"/>
        <v>1250</v>
      </c>
      <c r="L1062" s="13" t="str">
        <f t="shared" si="71"/>
        <v>0 5-star + 0 RFC + 0 DME + 0 Patient Portal Login + 5 Completed Task</v>
      </c>
      <c r="M1062" s="13"/>
      <c r="N1062" s="13"/>
      <c r="O1062" s="23"/>
      <c r="P1062" s="23"/>
    </row>
    <row r="1063" hidden="1">
      <c r="A1063" s="6" t="s">
        <v>249</v>
      </c>
      <c r="B1063" s="16" t="s">
        <v>41</v>
      </c>
      <c r="C1063" s="16" t="s">
        <v>42</v>
      </c>
      <c r="D1063" s="16" t="s">
        <v>43</v>
      </c>
      <c r="E1063" s="17">
        <v>0.0</v>
      </c>
      <c r="F1063" s="18">
        <v>0.0</v>
      </c>
      <c r="G1063" s="18">
        <v>0.0</v>
      </c>
      <c r="H1063" s="10">
        <v>0.0</v>
      </c>
      <c r="I1063" s="19">
        <v>1.0</v>
      </c>
      <c r="J1063" s="12"/>
      <c r="K1063" s="12">
        <f t="shared" si="69"/>
        <v>250</v>
      </c>
      <c r="L1063" s="13" t="str">
        <f t="shared" si="71"/>
        <v>0 5-star + 0 RFC + 0 DME + 0 Patient Portal Login + 1 Completed Task</v>
      </c>
      <c r="M1063" s="13"/>
      <c r="N1063" s="13"/>
      <c r="O1063" s="14"/>
      <c r="P1063" s="14"/>
    </row>
    <row r="1064" hidden="1">
      <c r="A1064" s="6" t="s">
        <v>249</v>
      </c>
      <c r="B1064" s="16" t="s">
        <v>44</v>
      </c>
      <c r="C1064" s="16" t="s">
        <v>45</v>
      </c>
      <c r="D1064" s="16" t="s">
        <v>46</v>
      </c>
      <c r="E1064" s="17">
        <v>0.0</v>
      </c>
      <c r="F1064" s="18">
        <v>0.0</v>
      </c>
      <c r="G1064" s="18">
        <v>0.0</v>
      </c>
      <c r="H1064" s="10">
        <v>0.0</v>
      </c>
      <c r="I1064" s="19">
        <v>3.0</v>
      </c>
      <c r="J1064" s="12"/>
      <c r="K1064" s="12">
        <f t="shared" si="69"/>
        <v>750</v>
      </c>
      <c r="L1064" s="13" t="str">
        <f t="shared" si="71"/>
        <v>0 5-star + 0 RFC + 0 DME + 0 Patient Portal Login + 3 Completed Task</v>
      </c>
      <c r="M1064" s="13"/>
      <c r="N1064" s="13"/>
      <c r="O1064" s="14"/>
      <c r="P1064" s="14"/>
    </row>
    <row r="1065" hidden="1">
      <c r="A1065" s="6" t="s">
        <v>249</v>
      </c>
      <c r="B1065" s="16" t="s">
        <v>47</v>
      </c>
      <c r="C1065" s="16" t="s">
        <v>48</v>
      </c>
      <c r="D1065" s="16" t="s">
        <v>49</v>
      </c>
      <c r="E1065" s="17">
        <v>5.0</v>
      </c>
      <c r="F1065" s="18">
        <v>0.0</v>
      </c>
      <c r="G1065" s="18">
        <v>0.0</v>
      </c>
      <c r="H1065" s="10">
        <v>0.0</v>
      </c>
      <c r="I1065" s="19">
        <v>2.0</v>
      </c>
      <c r="J1065" s="12"/>
      <c r="K1065" s="12">
        <f t="shared" si="69"/>
        <v>1750</v>
      </c>
      <c r="L1065" s="13" t="str">
        <f t="shared" si="71"/>
        <v>5 5-star + 0 RFC + 0 DME + 0 Patient Portal Login + 2 Completed Task</v>
      </c>
      <c r="M1065" s="13"/>
      <c r="N1065" s="13"/>
      <c r="O1065" s="14"/>
      <c r="P1065" s="14"/>
    </row>
    <row r="1066" hidden="1">
      <c r="A1066" s="6" t="s">
        <v>249</v>
      </c>
      <c r="B1066" s="16" t="s">
        <v>50</v>
      </c>
      <c r="C1066" s="16" t="s">
        <v>51</v>
      </c>
      <c r="D1066" s="16" t="s">
        <v>52</v>
      </c>
      <c r="E1066" s="17">
        <v>2.0</v>
      </c>
      <c r="F1066" s="18">
        <v>0.0</v>
      </c>
      <c r="G1066" s="18">
        <v>0.0</v>
      </c>
      <c r="H1066" s="10">
        <v>2.0</v>
      </c>
      <c r="I1066" s="19">
        <v>3.0</v>
      </c>
      <c r="J1066" s="12"/>
      <c r="K1066" s="12">
        <f t="shared" si="69"/>
        <v>1750</v>
      </c>
      <c r="L1066" s="13" t="str">
        <f t="shared" si="71"/>
        <v>2 5-star + 0 RFC + 0 DME + 2 Patient Portal Login + 3 Completed Task</v>
      </c>
      <c r="M1066" s="13"/>
      <c r="N1066" s="13"/>
      <c r="O1066" s="14"/>
      <c r="P1066" s="14"/>
    </row>
    <row r="1067" hidden="1">
      <c r="A1067" s="6" t="s">
        <v>249</v>
      </c>
      <c r="B1067" s="16" t="s">
        <v>53</v>
      </c>
      <c r="C1067" s="16" t="s">
        <v>54</v>
      </c>
      <c r="D1067" s="16" t="s">
        <v>55</v>
      </c>
      <c r="E1067" s="17">
        <v>0.0</v>
      </c>
      <c r="F1067" s="18">
        <v>4.0</v>
      </c>
      <c r="G1067" s="18">
        <v>0.0</v>
      </c>
      <c r="H1067" s="10">
        <v>15.0</v>
      </c>
      <c r="I1067" s="19">
        <v>4.0</v>
      </c>
      <c r="J1067" s="12"/>
      <c r="K1067" s="12">
        <f t="shared" si="69"/>
        <v>6750</v>
      </c>
      <c r="L1067" s="13" t="str">
        <f t="shared" si="71"/>
        <v>0 5-star + 4 RFC + 0 DME + 15 Patient Portal Login + 4 Completed Task</v>
      </c>
      <c r="M1067" s="13"/>
      <c r="N1067" s="13"/>
      <c r="O1067" s="14"/>
      <c r="P1067" s="14"/>
    </row>
    <row r="1068" hidden="1">
      <c r="A1068" s="6" t="s">
        <v>249</v>
      </c>
      <c r="B1068" s="16" t="s">
        <v>56</v>
      </c>
      <c r="C1068" s="16" t="s">
        <v>57</v>
      </c>
      <c r="D1068" s="16" t="s">
        <v>58</v>
      </c>
      <c r="E1068" s="17">
        <v>0.0</v>
      </c>
      <c r="F1068" s="18">
        <v>2.0</v>
      </c>
      <c r="G1068" s="18">
        <v>1.0</v>
      </c>
      <c r="H1068" s="10">
        <v>1.0</v>
      </c>
      <c r="I1068" s="19">
        <v>5.0</v>
      </c>
      <c r="J1068" s="12"/>
      <c r="K1068" s="12">
        <f t="shared" si="69"/>
        <v>2750</v>
      </c>
      <c r="L1068" s="13" t="str">
        <f t="shared" si="71"/>
        <v>0 5-star + 2 RFC + 1 DME + 1 Patient Portal Login + 5 Completed Task</v>
      </c>
      <c r="M1068" s="13"/>
      <c r="N1068" s="13"/>
      <c r="O1068" s="14"/>
      <c r="P1068" s="14"/>
    </row>
    <row r="1069" hidden="1">
      <c r="A1069" s="6" t="s">
        <v>249</v>
      </c>
      <c r="B1069" s="16" t="s">
        <v>59</v>
      </c>
      <c r="C1069" s="16" t="s">
        <v>60</v>
      </c>
      <c r="D1069" s="16" t="s">
        <v>61</v>
      </c>
      <c r="E1069" s="17">
        <v>0.0</v>
      </c>
      <c r="F1069" s="18">
        <v>0.0</v>
      </c>
      <c r="G1069" s="18">
        <v>0.0</v>
      </c>
      <c r="H1069" s="10">
        <v>0.0</v>
      </c>
      <c r="I1069" s="19">
        <v>3.0</v>
      </c>
      <c r="J1069" s="12"/>
      <c r="K1069" s="12">
        <f t="shared" si="69"/>
        <v>750</v>
      </c>
      <c r="L1069" s="13" t="str">
        <f t="shared" si="71"/>
        <v>0 5-star + 0 RFC + 0 DME + 0 Patient Portal Login + 3 Completed Task</v>
      </c>
      <c r="M1069" s="13"/>
      <c r="N1069" s="13"/>
      <c r="O1069" s="14"/>
      <c r="P1069" s="14"/>
    </row>
    <row r="1070" hidden="1">
      <c r="A1070" s="6" t="s">
        <v>249</v>
      </c>
      <c r="B1070" s="16" t="s">
        <v>62</v>
      </c>
      <c r="C1070" s="16" t="s">
        <v>63</v>
      </c>
      <c r="D1070" s="16" t="s">
        <v>64</v>
      </c>
      <c r="E1070" s="17">
        <v>0.0</v>
      </c>
      <c r="F1070" s="18">
        <v>1.0</v>
      </c>
      <c r="G1070" s="18">
        <v>3.0</v>
      </c>
      <c r="H1070" s="10">
        <v>2.0</v>
      </c>
      <c r="I1070" s="19">
        <v>5.0</v>
      </c>
      <c r="J1070" s="12"/>
      <c r="K1070" s="12">
        <f t="shared" si="69"/>
        <v>3000</v>
      </c>
      <c r="L1070" s="13" t="str">
        <f t="shared" si="71"/>
        <v>0 5-star + 1 RFC + 3 DME + 2 Patient Portal Login + 5 Completed Task</v>
      </c>
      <c r="M1070" s="13"/>
      <c r="N1070" s="13"/>
      <c r="O1070" s="14"/>
      <c r="P1070" s="14"/>
    </row>
    <row r="1071" hidden="1">
      <c r="A1071" s="6" t="s">
        <v>249</v>
      </c>
      <c r="B1071" s="16" t="s">
        <v>65</v>
      </c>
      <c r="C1071" s="16" t="s">
        <v>66</v>
      </c>
      <c r="D1071" s="16" t="s">
        <v>67</v>
      </c>
      <c r="E1071" s="17">
        <v>0.0</v>
      </c>
      <c r="F1071" s="18">
        <v>0.0</v>
      </c>
      <c r="G1071" s="18">
        <v>0.0</v>
      </c>
      <c r="H1071" s="10">
        <v>3.0</v>
      </c>
      <c r="I1071" s="19">
        <v>3.0</v>
      </c>
      <c r="J1071" s="12"/>
      <c r="K1071" s="12">
        <f t="shared" si="69"/>
        <v>1500</v>
      </c>
      <c r="L1071" s="13" t="str">
        <f t="shared" si="71"/>
        <v>0 5-star + 0 RFC + 0 DME + 3 Patient Portal Login + 3 Completed Task</v>
      </c>
      <c r="M1071" s="13"/>
      <c r="N1071" s="13"/>
      <c r="O1071" s="14"/>
      <c r="P1071" s="14"/>
    </row>
    <row r="1072" hidden="1">
      <c r="A1072" s="6" t="s">
        <v>249</v>
      </c>
      <c r="B1072" s="16" t="s">
        <v>68</v>
      </c>
      <c r="C1072" s="16" t="s">
        <v>69</v>
      </c>
      <c r="D1072" s="16" t="s">
        <v>70</v>
      </c>
      <c r="E1072" s="17">
        <v>0.0</v>
      </c>
      <c r="F1072" s="18">
        <v>0.0</v>
      </c>
      <c r="G1072" s="18">
        <v>1.0</v>
      </c>
      <c r="H1072" s="10">
        <v>0.0</v>
      </c>
      <c r="I1072" s="19">
        <v>4.0</v>
      </c>
      <c r="J1072" s="12"/>
      <c r="K1072" s="12">
        <f t="shared" si="69"/>
        <v>1250</v>
      </c>
      <c r="L1072" s="13" t="str">
        <f t="shared" si="71"/>
        <v>0 5-star + 0 RFC + 1 DME + 0 Patient Portal Login + 4 Completed Task</v>
      </c>
      <c r="M1072" s="13"/>
      <c r="N1072" s="13"/>
      <c r="O1072" s="14"/>
      <c r="P1072" s="14"/>
    </row>
    <row r="1073" hidden="1">
      <c r="A1073" s="6" t="s">
        <v>249</v>
      </c>
      <c r="B1073" s="16" t="s">
        <v>71</v>
      </c>
      <c r="C1073" s="16" t="s">
        <v>72</v>
      </c>
      <c r="D1073" s="16" t="s">
        <v>73</v>
      </c>
      <c r="E1073" s="17">
        <v>0.0</v>
      </c>
      <c r="F1073" s="18">
        <v>1.0</v>
      </c>
      <c r="G1073" s="18">
        <v>0.0</v>
      </c>
      <c r="H1073" s="10">
        <v>2.0</v>
      </c>
      <c r="I1073" s="19">
        <v>5.0</v>
      </c>
      <c r="J1073" s="12"/>
      <c r="K1073" s="12">
        <f t="shared" si="69"/>
        <v>2250</v>
      </c>
      <c r="L1073" s="13" t="str">
        <f t="shared" si="71"/>
        <v>0 5-star + 1 RFC + 0 DME + 2 Patient Portal Login + 5 Completed Task</v>
      </c>
      <c r="M1073" s="13"/>
      <c r="N1073" s="13"/>
      <c r="O1073" s="14"/>
      <c r="P1073" s="14"/>
    </row>
    <row r="1074" hidden="1">
      <c r="A1074" s="6" t="s">
        <v>249</v>
      </c>
      <c r="B1074" s="16" t="s">
        <v>74</v>
      </c>
      <c r="C1074" s="16" t="s">
        <v>75</v>
      </c>
      <c r="D1074" s="16" t="s">
        <v>76</v>
      </c>
      <c r="E1074" s="17">
        <v>1.0</v>
      </c>
      <c r="F1074" s="18">
        <v>0.0</v>
      </c>
      <c r="G1074" s="18">
        <v>0.0</v>
      </c>
      <c r="H1074" s="10">
        <v>8.0</v>
      </c>
      <c r="I1074" s="19">
        <v>5.0</v>
      </c>
      <c r="J1074" s="12"/>
      <c r="K1074" s="12">
        <f t="shared" si="69"/>
        <v>3500</v>
      </c>
      <c r="L1074" s="13" t="str">
        <f t="shared" si="71"/>
        <v>1 5-star + 0 RFC + 0 DME + 8 Patient Portal Login + 5 Completed Task</v>
      </c>
      <c r="M1074" s="13"/>
      <c r="N1074" s="13"/>
      <c r="O1074" s="14"/>
      <c r="P1074" s="14"/>
    </row>
    <row r="1075" hidden="1">
      <c r="A1075" s="6" t="s">
        <v>249</v>
      </c>
      <c r="B1075" s="16" t="s">
        <v>77</v>
      </c>
      <c r="C1075" s="16" t="s">
        <v>78</v>
      </c>
      <c r="D1075" s="16" t="s">
        <v>79</v>
      </c>
      <c r="E1075" s="48">
        <v>0.0</v>
      </c>
      <c r="F1075" s="49">
        <v>6.0</v>
      </c>
      <c r="G1075" s="49">
        <v>0.0</v>
      </c>
      <c r="H1075" s="50">
        <v>0.0</v>
      </c>
      <c r="I1075" s="51">
        <v>5.0</v>
      </c>
      <c r="J1075" s="12"/>
      <c r="K1075" s="12">
        <f t="shared" si="69"/>
        <v>4250</v>
      </c>
      <c r="L1075" s="13" t="str">
        <f t="shared" si="71"/>
        <v>0 5-star + 6 RFC + 0 DME + 0 Patient Portal Login + 5 Completed Task</v>
      </c>
      <c r="M1075" s="13"/>
      <c r="N1075" s="13"/>
      <c r="O1075" s="14"/>
      <c r="P1075" s="14"/>
    </row>
    <row r="1076" hidden="1">
      <c r="A1076" s="6" t="s">
        <v>249</v>
      </c>
      <c r="B1076" s="16" t="s">
        <v>80</v>
      </c>
      <c r="C1076" s="16" t="s">
        <v>81</v>
      </c>
      <c r="D1076" s="16" t="s">
        <v>82</v>
      </c>
      <c r="E1076" s="48">
        <v>0.0</v>
      </c>
      <c r="F1076" s="49">
        <v>0.0</v>
      </c>
      <c r="G1076" s="49">
        <v>0.0</v>
      </c>
      <c r="H1076" s="50">
        <v>0.0</v>
      </c>
      <c r="I1076" s="51">
        <v>4.0</v>
      </c>
      <c r="J1076" s="12"/>
      <c r="K1076" s="12">
        <f t="shared" si="69"/>
        <v>1000</v>
      </c>
      <c r="L1076" s="13" t="str">
        <f t="shared" si="71"/>
        <v>0 5-star + 0 RFC + 0 DME + 0 Patient Portal Login + 4 Completed Task</v>
      </c>
      <c r="M1076" s="13"/>
      <c r="N1076" s="13"/>
      <c r="O1076" s="14"/>
      <c r="P1076" s="14"/>
    </row>
    <row r="1077" hidden="1">
      <c r="A1077" s="6" t="s">
        <v>249</v>
      </c>
      <c r="B1077" s="7" t="s">
        <v>83</v>
      </c>
      <c r="C1077" s="16" t="s">
        <v>84</v>
      </c>
      <c r="D1077" s="16" t="s">
        <v>85</v>
      </c>
      <c r="E1077" s="17">
        <v>2.0</v>
      </c>
      <c r="F1077" s="18">
        <v>0.0</v>
      </c>
      <c r="G1077" s="18">
        <v>0.0</v>
      </c>
      <c r="H1077" s="10">
        <v>0.0</v>
      </c>
      <c r="I1077" s="19">
        <v>5.0</v>
      </c>
      <c r="J1077" s="12"/>
      <c r="K1077" s="12">
        <f t="shared" si="69"/>
        <v>1750</v>
      </c>
      <c r="L1077" s="13" t="str">
        <f t="shared" si="71"/>
        <v>2 5-star + 0 RFC + 0 DME + 0 Patient Portal Login + 5 Completed Task</v>
      </c>
      <c r="M1077" s="13"/>
      <c r="N1077" s="13"/>
      <c r="O1077" s="14"/>
      <c r="P1077" s="14"/>
    </row>
    <row r="1078" hidden="1">
      <c r="A1078" s="6" t="s">
        <v>249</v>
      </c>
      <c r="B1078" s="16" t="s">
        <v>86</v>
      </c>
      <c r="C1078" s="16" t="s">
        <v>87</v>
      </c>
      <c r="D1078" s="16" t="s">
        <v>88</v>
      </c>
      <c r="E1078" s="17">
        <v>4.0</v>
      </c>
      <c r="F1078" s="18">
        <v>6.0</v>
      </c>
      <c r="G1078" s="18">
        <v>1.0</v>
      </c>
      <c r="H1078" s="10">
        <v>6.0</v>
      </c>
      <c r="I1078" s="19">
        <v>5.0</v>
      </c>
      <c r="J1078" s="12"/>
      <c r="K1078" s="12">
        <f t="shared" si="69"/>
        <v>7000</v>
      </c>
      <c r="L1078" s="13" t="str">
        <f t="shared" si="71"/>
        <v>4 5-star + 6 RFC + 1 DME + 6 Patient Portal Login + 5 Completed Task</v>
      </c>
      <c r="M1078" s="13"/>
      <c r="N1078" s="13"/>
      <c r="O1078" s="14"/>
      <c r="P1078" s="14"/>
    </row>
    <row r="1079" hidden="1">
      <c r="A1079" s="6" t="s">
        <v>249</v>
      </c>
      <c r="B1079" s="16" t="s">
        <v>89</v>
      </c>
      <c r="C1079" s="16" t="s">
        <v>90</v>
      </c>
      <c r="D1079" s="16" t="s">
        <v>91</v>
      </c>
      <c r="E1079" s="17">
        <v>1.0</v>
      </c>
      <c r="F1079" s="18">
        <v>0.0</v>
      </c>
      <c r="G1079" s="18">
        <v>1.0</v>
      </c>
      <c r="H1079" s="10">
        <v>0.0</v>
      </c>
      <c r="I1079" s="19">
        <v>4.0</v>
      </c>
      <c r="J1079" s="12"/>
      <c r="K1079" s="12">
        <f t="shared" si="69"/>
        <v>1500</v>
      </c>
      <c r="L1079" s="13" t="str">
        <f t="shared" si="71"/>
        <v>1 5-star + 0 RFC + 1 DME + 0 Patient Portal Login + 4 Completed Task</v>
      </c>
      <c r="M1079" s="13"/>
      <c r="N1079" s="13"/>
      <c r="O1079" s="14"/>
      <c r="P1079" s="14"/>
    </row>
    <row r="1080" hidden="1">
      <c r="A1080" s="6" t="s">
        <v>249</v>
      </c>
      <c r="B1080" s="16" t="s">
        <v>92</v>
      </c>
      <c r="C1080" s="16" t="s">
        <v>93</v>
      </c>
      <c r="D1080" s="16" t="s">
        <v>94</v>
      </c>
      <c r="E1080" s="17">
        <v>0.0</v>
      </c>
      <c r="F1080" s="18">
        <v>5.0</v>
      </c>
      <c r="G1080" s="18">
        <v>0.0</v>
      </c>
      <c r="H1080" s="10">
        <v>10.0</v>
      </c>
      <c r="I1080" s="19">
        <v>5.0</v>
      </c>
      <c r="J1080" s="12"/>
      <c r="K1080" s="12">
        <f t="shared" si="69"/>
        <v>6250</v>
      </c>
      <c r="L1080" s="13" t="str">
        <f t="shared" si="71"/>
        <v>0 5-star + 5 RFC + 0 DME + 10 Patient Portal Login + 5 Completed Task</v>
      </c>
      <c r="M1080" s="13"/>
      <c r="N1080" s="13"/>
      <c r="O1080" s="14"/>
      <c r="P1080" s="14"/>
    </row>
    <row r="1081" hidden="1">
      <c r="A1081" s="6" t="s">
        <v>249</v>
      </c>
      <c r="B1081" s="7" t="s">
        <v>95</v>
      </c>
      <c r="C1081" s="16" t="s">
        <v>96</v>
      </c>
      <c r="D1081" s="16" t="s">
        <v>97</v>
      </c>
      <c r="E1081" s="17">
        <v>0.0</v>
      </c>
      <c r="F1081" s="18">
        <v>2.0</v>
      </c>
      <c r="G1081" s="18">
        <v>0.0</v>
      </c>
      <c r="H1081" s="10">
        <v>12.0</v>
      </c>
      <c r="I1081" s="19">
        <v>5.0</v>
      </c>
      <c r="J1081" s="12"/>
      <c r="K1081" s="12">
        <f t="shared" si="69"/>
        <v>5250</v>
      </c>
      <c r="L1081" s="13" t="str">
        <f t="shared" si="71"/>
        <v>0 5-star + 2 RFC + 0 DME + 12 Patient Portal Login + 5 Completed Task</v>
      </c>
      <c r="M1081" s="13"/>
      <c r="N1081" s="13"/>
      <c r="O1081" s="14"/>
      <c r="P1081" s="14"/>
    </row>
    <row r="1082" hidden="1">
      <c r="A1082" s="6" t="s">
        <v>249</v>
      </c>
      <c r="B1082" s="16" t="s">
        <v>98</v>
      </c>
      <c r="C1082" s="16" t="s">
        <v>99</v>
      </c>
      <c r="D1082" s="16" t="s">
        <v>100</v>
      </c>
      <c r="E1082" s="17">
        <v>0.0</v>
      </c>
      <c r="F1082" s="18">
        <v>2.0</v>
      </c>
      <c r="G1082" s="18">
        <v>0.0</v>
      </c>
      <c r="H1082" s="10">
        <v>5.0</v>
      </c>
      <c r="I1082" s="19">
        <v>5.0</v>
      </c>
      <c r="J1082" s="12"/>
      <c r="K1082" s="12">
        <f t="shared" si="69"/>
        <v>3500</v>
      </c>
      <c r="L1082" s="13" t="str">
        <f t="shared" si="71"/>
        <v>0 5-star + 2 RFC + 0 DME + 5 Patient Portal Login + 5 Completed Task</v>
      </c>
      <c r="M1082" s="13"/>
      <c r="N1082" s="13"/>
      <c r="O1082" s="14"/>
      <c r="P1082" s="14"/>
    </row>
    <row r="1083" hidden="1">
      <c r="A1083" s="6" t="s">
        <v>249</v>
      </c>
      <c r="B1083" s="7" t="s">
        <v>101</v>
      </c>
      <c r="C1083" s="16" t="s">
        <v>102</v>
      </c>
      <c r="D1083" s="16" t="s">
        <v>103</v>
      </c>
      <c r="E1083" s="17">
        <v>1.0</v>
      </c>
      <c r="F1083" s="18">
        <v>0.0</v>
      </c>
      <c r="G1083" s="18">
        <v>0.0</v>
      </c>
      <c r="H1083" s="10">
        <v>4.0</v>
      </c>
      <c r="I1083" s="19">
        <v>4.0</v>
      </c>
      <c r="J1083" s="12"/>
      <c r="K1083" s="12">
        <f t="shared" si="69"/>
        <v>2250</v>
      </c>
      <c r="L1083" s="13" t="str">
        <f t="shared" si="71"/>
        <v>1 5-star + 0 RFC + 0 DME + 4 Patient Portal Login + 4 Completed Task</v>
      </c>
      <c r="M1083" s="13"/>
      <c r="N1083" s="13"/>
      <c r="O1083" s="14"/>
      <c r="P1083" s="14"/>
    </row>
    <row r="1084" hidden="1">
      <c r="A1084" s="6" t="s">
        <v>249</v>
      </c>
      <c r="B1084" s="16" t="s">
        <v>104</v>
      </c>
      <c r="C1084" s="16" t="s">
        <v>105</v>
      </c>
      <c r="D1084" s="16" t="s">
        <v>106</v>
      </c>
      <c r="E1084" s="17">
        <v>1.0</v>
      </c>
      <c r="F1084" s="18">
        <v>0.0</v>
      </c>
      <c r="G1084" s="18">
        <v>1.0</v>
      </c>
      <c r="H1084" s="10">
        <v>9.0</v>
      </c>
      <c r="I1084" s="19">
        <v>5.0</v>
      </c>
      <c r="J1084" s="12"/>
      <c r="K1084" s="12">
        <f t="shared" si="69"/>
        <v>4000</v>
      </c>
      <c r="L1084" s="13" t="str">
        <f t="shared" si="71"/>
        <v>1 5-star + 0 RFC + 1 DME + 9 Patient Portal Login + 5 Completed Task</v>
      </c>
      <c r="M1084" s="13"/>
      <c r="N1084" s="13"/>
      <c r="O1084" s="14"/>
      <c r="P1084" s="14"/>
    </row>
    <row r="1085" hidden="1">
      <c r="A1085" s="6" t="s">
        <v>249</v>
      </c>
      <c r="B1085" s="16" t="s">
        <v>107</v>
      </c>
      <c r="C1085" s="16" t="s">
        <v>108</v>
      </c>
      <c r="D1085" s="16" t="s">
        <v>109</v>
      </c>
      <c r="E1085" s="17">
        <v>0.0</v>
      </c>
      <c r="F1085" s="18">
        <v>0.0</v>
      </c>
      <c r="G1085" s="18">
        <v>0.0</v>
      </c>
      <c r="H1085" s="10">
        <v>2.0</v>
      </c>
      <c r="I1085" s="19">
        <v>5.0</v>
      </c>
      <c r="J1085" s="12"/>
      <c r="K1085" s="12">
        <f t="shared" si="69"/>
        <v>1750</v>
      </c>
      <c r="L1085" s="13" t="str">
        <f t="shared" si="71"/>
        <v>0 5-star + 0 RFC + 0 DME + 2 Patient Portal Login + 5 Completed Task</v>
      </c>
      <c r="M1085" s="13"/>
      <c r="N1085" s="13"/>
      <c r="O1085" s="14"/>
      <c r="P1085" s="14"/>
    </row>
    <row r="1086" hidden="1">
      <c r="A1086" s="6" t="s">
        <v>249</v>
      </c>
      <c r="B1086" s="16" t="s">
        <v>110</v>
      </c>
      <c r="C1086" s="16" t="s">
        <v>111</v>
      </c>
      <c r="D1086" s="16" t="s">
        <v>112</v>
      </c>
      <c r="E1086" s="17">
        <v>0.0</v>
      </c>
      <c r="F1086" s="18">
        <v>3.0</v>
      </c>
      <c r="G1086" s="18">
        <v>0.0</v>
      </c>
      <c r="H1086" s="10">
        <v>0.0</v>
      </c>
      <c r="I1086" s="19">
        <v>5.0</v>
      </c>
      <c r="J1086" s="12"/>
      <c r="K1086" s="12">
        <f t="shared" si="69"/>
        <v>2750</v>
      </c>
      <c r="L1086" s="13" t="str">
        <f t="shared" si="71"/>
        <v>0 5-star + 3 RFC + 0 DME + 0 Patient Portal Login + 5 Completed Task</v>
      </c>
      <c r="M1086" s="13"/>
      <c r="N1086" s="13"/>
      <c r="O1086" s="14"/>
      <c r="P1086" s="14"/>
    </row>
    <row r="1087" hidden="1">
      <c r="A1087" s="6" t="s">
        <v>249</v>
      </c>
      <c r="B1087" s="16" t="s">
        <v>113</v>
      </c>
      <c r="C1087" s="16" t="s">
        <v>114</v>
      </c>
      <c r="D1087" s="16" t="s">
        <v>115</v>
      </c>
      <c r="E1087" s="17">
        <v>0.0</v>
      </c>
      <c r="F1087" s="18">
        <v>2.0</v>
      </c>
      <c r="G1087" s="18">
        <v>0.0</v>
      </c>
      <c r="H1087" s="10">
        <v>2.0</v>
      </c>
      <c r="I1087" s="19">
        <v>5.0</v>
      </c>
      <c r="J1087" s="12"/>
      <c r="K1087" s="12">
        <f t="shared" si="69"/>
        <v>2750</v>
      </c>
      <c r="L1087" s="13" t="str">
        <f t="shared" si="71"/>
        <v>0 5-star + 2 RFC + 0 DME + 2 Patient Portal Login + 5 Completed Task</v>
      </c>
      <c r="M1087" s="13"/>
      <c r="N1087" s="13"/>
      <c r="O1087" s="14"/>
      <c r="P1087" s="14"/>
    </row>
    <row r="1088" hidden="1">
      <c r="A1088" s="6" t="s">
        <v>249</v>
      </c>
      <c r="B1088" s="7" t="s">
        <v>116</v>
      </c>
      <c r="C1088" s="16" t="s">
        <v>117</v>
      </c>
      <c r="D1088" s="16" t="s">
        <v>118</v>
      </c>
      <c r="E1088" s="17">
        <v>0.0</v>
      </c>
      <c r="F1088" s="18">
        <v>4.0</v>
      </c>
      <c r="G1088" s="18">
        <v>1.0</v>
      </c>
      <c r="H1088" s="10">
        <v>10.0</v>
      </c>
      <c r="I1088" s="19">
        <v>5.0</v>
      </c>
      <c r="J1088" s="12"/>
      <c r="K1088" s="12">
        <f t="shared" si="69"/>
        <v>6000</v>
      </c>
      <c r="L1088" s="13" t="str">
        <f t="shared" si="71"/>
        <v>0 5-star + 4 RFC + 1 DME + 10 Patient Portal Login + 5 Completed Task</v>
      </c>
      <c r="M1088" s="13"/>
      <c r="N1088" s="13"/>
      <c r="O1088" s="14"/>
      <c r="P1088" s="14"/>
    </row>
    <row r="1089" hidden="1">
      <c r="A1089" s="6" t="s">
        <v>249</v>
      </c>
      <c r="B1089" s="16" t="s">
        <v>119</v>
      </c>
      <c r="C1089" s="16" t="s">
        <v>120</v>
      </c>
      <c r="D1089" s="16" t="s">
        <v>121</v>
      </c>
      <c r="E1089" s="17">
        <v>0.0</v>
      </c>
      <c r="F1089" s="18">
        <v>2.0</v>
      </c>
      <c r="G1089" s="18">
        <v>0.0</v>
      </c>
      <c r="H1089" s="10">
        <v>2.0</v>
      </c>
      <c r="I1089" s="19">
        <v>5.0</v>
      </c>
      <c r="J1089" s="12"/>
      <c r="K1089" s="12">
        <f t="shared" si="69"/>
        <v>2750</v>
      </c>
      <c r="L1089" s="13" t="str">
        <f t="shared" si="71"/>
        <v>0 5-star + 2 RFC + 0 DME + 2 Patient Portal Login + 5 Completed Task</v>
      </c>
      <c r="M1089" s="13"/>
      <c r="N1089" s="13"/>
      <c r="O1089" s="14"/>
      <c r="P1089" s="14"/>
    </row>
    <row r="1090" hidden="1">
      <c r="A1090" s="6" t="s">
        <v>249</v>
      </c>
      <c r="B1090" s="16" t="s">
        <v>122</v>
      </c>
      <c r="C1090" s="16" t="s">
        <v>123</v>
      </c>
      <c r="D1090" s="16" t="s">
        <v>124</v>
      </c>
      <c r="E1090" s="17">
        <v>0.0</v>
      </c>
      <c r="F1090" s="18">
        <v>1.0</v>
      </c>
      <c r="G1090" s="18">
        <v>0.0</v>
      </c>
      <c r="H1090" s="10">
        <v>0.0</v>
      </c>
      <c r="I1090" s="19">
        <v>5.0</v>
      </c>
      <c r="J1090" s="12"/>
      <c r="K1090" s="12">
        <f>sum(E1090*250)+(F1090*500)+(G1089*250)+(H1090*250)+(I1090*250)</f>
        <v>1750</v>
      </c>
      <c r="L1090" s="13" t="str">
        <f> E1090 &amp; " 5-star + " &amp; F1090 &amp; " RFC + " &amp; G1089 &amp; " DME + " &amp; H1090 &amp; " Patient Portal Login + " &amp; I1090 &amp; " Completed Task"
</f>
        <v>0 5-star + 1 RFC + 0 DME + 0 Patient Portal Login + 5 Completed Task</v>
      </c>
      <c r="M1090" s="13"/>
      <c r="N1090" s="13"/>
      <c r="O1090" s="14"/>
      <c r="P1090" s="14"/>
    </row>
    <row r="1091" hidden="1">
      <c r="A1091" s="6" t="s">
        <v>249</v>
      </c>
      <c r="B1091" s="16" t="s">
        <v>125</v>
      </c>
      <c r="C1091" s="16" t="s">
        <v>126</v>
      </c>
      <c r="D1091" s="16" t="s">
        <v>127</v>
      </c>
      <c r="E1091" s="17">
        <v>0.0</v>
      </c>
      <c r="F1091" s="18">
        <v>0.0</v>
      </c>
      <c r="G1091" s="18">
        <v>0.0</v>
      </c>
      <c r="H1091" s="10">
        <v>1.0</v>
      </c>
      <c r="I1091" s="19">
        <v>4.0</v>
      </c>
      <c r="J1091" s="12"/>
      <c r="K1091" s="12">
        <f t="shared" ref="K1091:K1145" si="72">sum(E1091*250)+(F1091*500)+(G1091*250)+(H1091*250)+(I1091*250)</f>
        <v>1250</v>
      </c>
      <c r="L1091" s="13" t="str">
        <f t="shared" ref="L1091:L1103" si="73"> E1091 &amp; " 5-star + " &amp; F1091 &amp; " RFC + " &amp; G1091 &amp; " DME + " &amp; H1091 &amp; " Patient Portal Login + " &amp; I1091 &amp; " Completed Task"
</f>
        <v>0 5-star + 0 RFC + 0 DME + 1 Patient Portal Login + 4 Completed Task</v>
      </c>
      <c r="M1091" s="13"/>
      <c r="N1091" s="13"/>
      <c r="O1091" s="14"/>
      <c r="P1091" s="14"/>
    </row>
    <row r="1092" hidden="1">
      <c r="A1092" s="6" t="s">
        <v>249</v>
      </c>
      <c r="B1092" s="16" t="s">
        <v>128</v>
      </c>
      <c r="C1092" s="16" t="s">
        <v>129</v>
      </c>
      <c r="D1092" s="16" t="s">
        <v>130</v>
      </c>
      <c r="E1092" s="17">
        <v>0.0</v>
      </c>
      <c r="F1092" s="18">
        <v>2.0</v>
      </c>
      <c r="G1092" s="18">
        <v>0.0</v>
      </c>
      <c r="H1092" s="10">
        <v>1.0</v>
      </c>
      <c r="I1092" s="19">
        <v>4.0</v>
      </c>
      <c r="J1092" s="12"/>
      <c r="K1092" s="12">
        <f t="shared" si="72"/>
        <v>2250</v>
      </c>
      <c r="L1092" s="13" t="str">
        <f t="shared" si="73"/>
        <v>0 5-star + 2 RFC + 0 DME + 1 Patient Portal Login + 4 Completed Task</v>
      </c>
      <c r="M1092" s="13"/>
      <c r="N1092" s="13"/>
      <c r="O1092" s="14"/>
      <c r="P1092" s="14"/>
    </row>
    <row r="1093" hidden="1">
      <c r="A1093" s="6" t="s">
        <v>249</v>
      </c>
      <c r="B1093" s="16" t="s">
        <v>131</v>
      </c>
      <c r="C1093" s="16" t="s">
        <v>132</v>
      </c>
      <c r="D1093" s="16" t="s">
        <v>133</v>
      </c>
      <c r="E1093" s="17">
        <v>0.0</v>
      </c>
      <c r="F1093" s="18">
        <v>1.0</v>
      </c>
      <c r="G1093" s="18">
        <v>1.0</v>
      </c>
      <c r="H1093" s="10">
        <v>0.0</v>
      </c>
      <c r="I1093" s="19">
        <v>4.0</v>
      </c>
      <c r="J1093" s="12"/>
      <c r="K1093" s="12">
        <f t="shared" si="72"/>
        <v>1750</v>
      </c>
      <c r="L1093" s="13" t="str">
        <f t="shared" si="73"/>
        <v>0 5-star + 1 RFC + 1 DME + 0 Patient Portal Login + 4 Completed Task</v>
      </c>
      <c r="M1093" s="13"/>
      <c r="N1093" s="13"/>
      <c r="O1093" s="14"/>
      <c r="P1093" s="14"/>
    </row>
    <row r="1094" hidden="1">
      <c r="A1094" s="6" t="s">
        <v>249</v>
      </c>
      <c r="B1094" s="16" t="s">
        <v>134</v>
      </c>
      <c r="C1094" s="16" t="s">
        <v>135</v>
      </c>
      <c r="D1094" s="16" t="s">
        <v>136</v>
      </c>
      <c r="E1094" s="17">
        <v>0.0</v>
      </c>
      <c r="F1094" s="18">
        <v>0.0</v>
      </c>
      <c r="G1094" s="18">
        <v>0.0</v>
      </c>
      <c r="H1094" s="10">
        <v>0.0</v>
      </c>
      <c r="I1094" s="19">
        <v>5.0</v>
      </c>
      <c r="J1094" s="12"/>
      <c r="K1094" s="12">
        <f t="shared" si="72"/>
        <v>1250</v>
      </c>
      <c r="L1094" s="13" t="str">
        <f t="shared" si="73"/>
        <v>0 5-star + 0 RFC + 0 DME + 0 Patient Portal Login + 5 Completed Task</v>
      </c>
      <c r="M1094" s="13"/>
      <c r="N1094" s="13"/>
      <c r="O1094" s="14"/>
      <c r="P1094" s="14"/>
    </row>
    <row r="1095" hidden="1">
      <c r="A1095" s="6" t="s">
        <v>249</v>
      </c>
      <c r="B1095" s="16" t="s">
        <v>137</v>
      </c>
      <c r="C1095" s="16" t="s">
        <v>138</v>
      </c>
      <c r="D1095" s="16" t="s">
        <v>139</v>
      </c>
      <c r="E1095" s="17">
        <v>0.0</v>
      </c>
      <c r="F1095" s="18">
        <v>5.0</v>
      </c>
      <c r="G1095" s="18">
        <v>0.0</v>
      </c>
      <c r="H1095" s="10">
        <v>11.0</v>
      </c>
      <c r="I1095" s="19">
        <v>5.0</v>
      </c>
      <c r="J1095" s="12"/>
      <c r="K1095" s="12">
        <f t="shared" si="72"/>
        <v>6500</v>
      </c>
      <c r="L1095" s="13" t="str">
        <f t="shared" si="73"/>
        <v>0 5-star + 5 RFC + 0 DME + 11 Patient Portal Login + 5 Completed Task</v>
      </c>
      <c r="M1095" s="13"/>
      <c r="N1095" s="13"/>
      <c r="O1095" s="14"/>
      <c r="P1095" s="14"/>
    </row>
    <row r="1096" hidden="1">
      <c r="A1096" s="6" t="s">
        <v>249</v>
      </c>
      <c r="B1096" s="16" t="s">
        <v>140</v>
      </c>
      <c r="C1096" s="16" t="s">
        <v>141</v>
      </c>
      <c r="D1096" s="16" t="s">
        <v>142</v>
      </c>
      <c r="E1096" s="17">
        <v>0.0</v>
      </c>
      <c r="F1096" s="18">
        <v>2.0</v>
      </c>
      <c r="G1096" s="18">
        <v>0.0</v>
      </c>
      <c r="H1096" s="10">
        <v>3.0</v>
      </c>
      <c r="I1096" s="19">
        <v>5.0</v>
      </c>
      <c r="J1096" s="12"/>
      <c r="K1096" s="12">
        <f t="shared" si="72"/>
        <v>3000</v>
      </c>
      <c r="L1096" s="13" t="str">
        <f t="shared" si="73"/>
        <v>0 5-star + 2 RFC + 0 DME + 3 Patient Portal Login + 5 Completed Task</v>
      </c>
      <c r="M1096" s="13"/>
      <c r="N1096" s="13"/>
      <c r="O1096" s="14"/>
      <c r="P1096" s="14"/>
    </row>
    <row r="1097" hidden="1">
      <c r="A1097" s="6" t="s">
        <v>249</v>
      </c>
      <c r="B1097" s="16" t="s">
        <v>143</v>
      </c>
      <c r="C1097" s="16" t="s">
        <v>144</v>
      </c>
      <c r="D1097" s="16" t="s">
        <v>145</v>
      </c>
      <c r="E1097" s="17">
        <v>0.0</v>
      </c>
      <c r="F1097" s="18">
        <v>2.0</v>
      </c>
      <c r="G1097" s="18">
        <v>0.0</v>
      </c>
      <c r="H1097" s="10">
        <v>5.0</v>
      </c>
      <c r="I1097" s="19">
        <v>5.0</v>
      </c>
      <c r="J1097" s="12"/>
      <c r="K1097" s="12">
        <f t="shared" si="72"/>
        <v>3500</v>
      </c>
      <c r="L1097" s="13" t="str">
        <f t="shared" si="73"/>
        <v>0 5-star + 2 RFC + 0 DME + 5 Patient Portal Login + 5 Completed Task</v>
      </c>
      <c r="M1097" s="13"/>
      <c r="N1097" s="13"/>
      <c r="O1097" s="14"/>
      <c r="P1097" s="14"/>
    </row>
    <row r="1098" hidden="1">
      <c r="A1098" s="6" t="s">
        <v>249</v>
      </c>
      <c r="B1098" s="16" t="s">
        <v>146</v>
      </c>
      <c r="C1098" s="16" t="s">
        <v>147</v>
      </c>
      <c r="D1098" s="16" t="s">
        <v>148</v>
      </c>
      <c r="E1098" s="17">
        <v>0.0</v>
      </c>
      <c r="F1098" s="18">
        <v>0.0</v>
      </c>
      <c r="G1098" s="18">
        <v>1.0</v>
      </c>
      <c r="H1098" s="10">
        <v>0.0</v>
      </c>
      <c r="I1098" s="19">
        <v>5.0</v>
      </c>
      <c r="J1098" s="12"/>
      <c r="K1098" s="12">
        <f t="shared" si="72"/>
        <v>1500</v>
      </c>
      <c r="L1098" s="13" t="str">
        <f t="shared" si="73"/>
        <v>0 5-star + 0 RFC + 1 DME + 0 Patient Portal Login + 5 Completed Task</v>
      </c>
      <c r="M1098" s="13"/>
      <c r="N1098" s="13"/>
      <c r="O1098" s="14"/>
      <c r="P1098" s="14"/>
    </row>
    <row r="1099" hidden="1">
      <c r="A1099" s="6" t="s">
        <v>249</v>
      </c>
      <c r="B1099" s="16" t="s">
        <v>245</v>
      </c>
      <c r="C1099" s="16" t="s">
        <v>246</v>
      </c>
      <c r="D1099" s="16" t="s">
        <v>247</v>
      </c>
      <c r="E1099" s="17">
        <v>0.0</v>
      </c>
      <c r="F1099" s="18">
        <v>2.0</v>
      </c>
      <c r="G1099" s="18">
        <v>0.0</v>
      </c>
      <c r="H1099" s="10">
        <v>16.0</v>
      </c>
      <c r="I1099" s="19">
        <v>5.0</v>
      </c>
      <c r="J1099" s="12"/>
      <c r="K1099" s="12">
        <f t="shared" si="72"/>
        <v>6250</v>
      </c>
      <c r="L1099" s="13" t="str">
        <f t="shared" si="73"/>
        <v>0 5-star + 2 RFC + 0 DME + 16 Patient Portal Login + 5 Completed Task</v>
      </c>
      <c r="M1099" s="13"/>
      <c r="N1099" s="13"/>
      <c r="O1099" s="14"/>
      <c r="P1099" s="14"/>
    </row>
    <row r="1100" hidden="1">
      <c r="A1100" s="6" t="s">
        <v>249</v>
      </c>
      <c r="B1100" s="16" t="s">
        <v>149</v>
      </c>
      <c r="C1100" s="16" t="s">
        <v>150</v>
      </c>
      <c r="D1100" s="16" t="s">
        <v>151</v>
      </c>
      <c r="E1100" s="17">
        <v>0.0</v>
      </c>
      <c r="F1100" s="18">
        <v>3.0</v>
      </c>
      <c r="G1100" s="18">
        <v>1.0</v>
      </c>
      <c r="H1100" s="10">
        <v>0.0</v>
      </c>
      <c r="I1100" s="19">
        <v>5.0</v>
      </c>
      <c r="J1100" s="12"/>
      <c r="K1100" s="12">
        <f t="shared" si="72"/>
        <v>3000</v>
      </c>
      <c r="L1100" s="13" t="str">
        <f t="shared" si="73"/>
        <v>0 5-star + 3 RFC + 1 DME + 0 Patient Portal Login + 5 Completed Task</v>
      </c>
      <c r="M1100" s="13"/>
      <c r="N1100" s="13"/>
      <c r="O1100" s="14"/>
      <c r="P1100" s="14"/>
    </row>
    <row r="1101" hidden="1">
      <c r="A1101" s="6" t="s">
        <v>249</v>
      </c>
      <c r="B1101" s="16" t="s">
        <v>152</v>
      </c>
      <c r="C1101" s="16" t="s">
        <v>153</v>
      </c>
      <c r="D1101" s="16" t="s">
        <v>154</v>
      </c>
      <c r="E1101" s="17">
        <v>0.0</v>
      </c>
      <c r="F1101" s="18">
        <v>0.0</v>
      </c>
      <c r="G1101" s="18">
        <v>2.0</v>
      </c>
      <c r="H1101" s="10">
        <v>4.0</v>
      </c>
      <c r="I1101" s="19">
        <v>5.0</v>
      </c>
      <c r="J1101" s="12"/>
      <c r="K1101" s="12">
        <f t="shared" si="72"/>
        <v>2750</v>
      </c>
      <c r="L1101" s="13" t="str">
        <f t="shared" si="73"/>
        <v>0 5-star + 0 RFC + 2 DME + 4 Patient Portal Login + 5 Completed Task</v>
      </c>
      <c r="M1101" s="13"/>
      <c r="N1101" s="13"/>
      <c r="O1101" s="14"/>
      <c r="P1101" s="14"/>
    </row>
    <row r="1102" hidden="1">
      <c r="A1102" s="6" t="s">
        <v>249</v>
      </c>
      <c r="B1102" s="16" t="s">
        <v>155</v>
      </c>
      <c r="C1102" s="16" t="s">
        <v>156</v>
      </c>
      <c r="D1102" s="16" t="s">
        <v>157</v>
      </c>
      <c r="E1102" s="17">
        <v>0.0</v>
      </c>
      <c r="F1102" s="18">
        <v>0.0</v>
      </c>
      <c r="G1102" s="18">
        <v>1.0</v>
      </c>
      <c r="H1102" s="10">
        <v>4.0</v>
      </c>
      <c r="I1102" s="19">
        <v>5.0</v>
      </c>
      <c r="J1102" s="12"/>
      <c r="K1102" s="12">
        <f t="shared" si="72"/>
        <v>2500</v>
      </c>
      <c r="L1102" s="13" t="str">
        <f t="shared" si="73"/>
        <v>0 5-star + 0 RFC + 1 DME + 4 Patient Portal Login + 5 Completed Task</v>
      </c>
      <c r="M1102" s="13"/>
      <c r="N1102" s="13"/>
      <c r="O1102" s="14"/>
      <c r="P1102" s="14"/>
    </row>
    <row r="1103" hidden="1">
      <c r="A1103" s="6" t="s">
        <v>249</v>
      </c>
      <c r="B1103" s="16" t="s">
        <v>158</v>
      </c>
      <c r="C1103" s="16" t="s">
        <v>159</v>
      </c>
      <c r="D1103" s="16" t="s">
        <v>160</v>
      </c>
      <c r="E1103" s="17">
        <v>0.0</v>
      </c>
      <c r="F1103" s="18">
        <v>0.0</v>
      </c>
      <c r="G1103" s="18">
        <v>0.0</v>
      </c>
      <c r="H1103" s="10">
        <v>1.0</v>
      </c>
      <c r="I1103" s="19">
        <v>5.0</v>
      </c>
      <c r="J1103" s="12"/>
      <c r="K1103" s="12">
        <f t="shared" si="72"/>
        <v>1500</v>
      </c>
      <c r="L1103" s="13" t="str">
        <f t="shared" si="73"/>
        <v>0 5-star + 0 RFC + 0 DME + 1 Patient Portal Login + 5 Completed Task</v>
      </c>
      <c r="M1103" s="13"/>
      <c r="N1103" s="13"/>
      <c r="O1103" s="14"/>
      <c r="P1103" s="14"/>
    </row>
    <row r="1104" hidden="1">
      <c r="A1104" s="6" t="s">
        <v>249</v>
      </c>
      <c r="B1104" s="20" t="s">
        <v>161</v>
      </c>
      <c r="C1104" s="20" t="s">
        <v>162</v>
      </c>
      <c r="D1104" s="20" t="s">
        <v>163</v>
      </c>
      <c r="E1104" s="17">
        <v>1.0</v>
      </c>
      <c r="F1104" s="18">
        <v>0.0</v>
      </c>
      <c r="G1104" s="18">
        <v>4.0</v>
      </c>
      <c r="H1104" s="10">
        <v>1.0</v>
      </c>
      <c r="I1104" s="19">
        <v>4.0</v>
      </c>
      <c r="J1104" s="12"/>
      <c r="K1104" s="12">
        <f t="shared" si="72"/>
        <v>2500</v>
      </c>
      <c r="L1104" s="13" t="str">
        <f> E1104 &amp; " 5-star + " &amp; E1090 &amp; " RFC + " &amp; G1104 &amp; " DME + " &amp; H1104 &amp; " Patient Portal Login + " &amp; I1104 &amp; " Completed Task"
</f>
        <v>1 5-star + 0 RFC + 4 DME + 1 Patient Portal Login + 4 Completed Task</v>
      </c>
      <c r="M1104" s="13"/>
      <c r="N1104" s="13"/>
      <c r="O1104" s="14"/>
      <c r="P1104" s="14"/>
    </row>
    <row r="1105" hidden="1">
      <c r="A1105" s="6" t="s">
        <v>249</v>
      </c>
      <c r="B1105" s="20" t="s">
        <v>164</v>
      </c>
      <c r="C1105" s="20" t="s">
        <v>165</v>
      </c>
      <c r="D1105" s="20" t="s">
        <v>166</v>
      </c>
      <c r="E1105" s="17">
        <v>0.0</v>
      </c>
      <c r="F1105" s="18">
        <v>0.0</v>
      </c>
      <c r="G1105" s="18">
        <v>0.0</v>
      </c>
      <c r="H1105" s="10">
        <v>0.0</v>
      </c>
      <c r="I1105" s="19">
        <v>4.0</v>
      </c>
      <c r="J1105" s="12"/>
      <c r="K1105" s="12">
        <f t="shared" si="72"/>
        <v>1000</v>
      </c>
      <c r="L1105" s="13" t="str">
        <f t="shared" ref="L1105:L1145" si="74"> E1105 &amp; " 5-star + " &amp; F1105 &amp; " RFC + " &amp; G1105 &amp; " DME + " &amp; H1105 &amp; " Patient Portal Login + " &amp; I1105 &amp; " Completed Task"
</f>
        <v>0 5-star + 0 RFC + 0 DME + 0 Patient Portal Login + 4 Completed Task</v>
      </c>
      <c r="M1105" s="13"/>
      <c r="N1105" s="13"/>
      <c r="O1105" s="14"/>
      <c r="P1105" s="14"/>
    </row>
    <row r="1106" hidden="1">
      <c r="A1106" s="6" t="s">
        <v>249</v>
      </c>
      <c r="B1106" s="20" t="s">
        <v>167</v>
      </c>
      <c r="C1106" s="20" t="s">
        <v>168</v>
      </c>
      <c r="D1106" s="20" t="s">
        <v>169</v>
      </c>
      <c r="E1106" s="17">
        <v>0.0</v>
      </c>
      <c r="F1106" s="18">
        <v>0.0</v>
      </c>
      <c r="G1106" s="18">
        <v>0.0</v>
      </c>
      <c r="H1106" s="10">
        <v>1.0</v>
      </c>
      <c r="I1106" s="19">
        <v>5.0</v>
      </c>
      <c r="J1106" s="12"/>
      <c r="K1106" s="12">
        <f t="shared" si="72"/>
        <v>1500</v>
      </c>
      <c r="L1106" s="13" t="str">
        <f t="shared" si="74"/>
        <v>0 5-star + 0 RFC + 0 DME + 1 Patient Portal Login + 5 Completed Task</v>
      </c>
      <c r="M1106" s="13"/>
      <c r="N1106" s="13"/>
      <c r="O1106" s="14"/>
      <c r="P1106" s="14"/>
    </row>
    <row r="1107" hidden="1">
      <c r="A1107" s="6" t="s">
        <v>249</v>
      </c>
      <c r="B1107" s="20" t="s">
        <v>170</v>
      </c>
      <c r="C1107" s="20" t="s">
        <v>171</v>
      </c>
      <c r="D1107" s="20" t="s">
        <v>172</v>
      </c>
      <c r="E1107" s="17">
        <v>0.0</v>
      </c>
      <c r="F1107" s="18">
        <v>2.0</v>
      </c>
      <c r="G1107" s="18">
        <v>0.0</v>
      </c>
      <c r="H1107" s="10">
        <v>11.0</v>
      </c>
      <c r="I1107" s="19">
        <v>5.0</v>
      </c>
      <c r="J1107" s="12"/>
      <c r="K1107" s="12">
        <f t="shared" si="72"/>
        <v>5000</v>
      </c>
      <c r="L1107" s="13" t="str">
        <f t="shared" si="74"/>
        <v>0 5-star + 2 RFC + 0 DME + 11 Patient Portal Login + 5 Completed Task</v>
      </c>
      <c r="M1107" s="13"/>
      <c r="N1107" s="13"/>
      <c r="O1107" s="14"/>
      <c r="P1107" s="14"/>
    </row>
    <row r="1108" hidden="1">
      <c r="A1108" s="6" t="s">
        <v>249</v>
      </c>
      <c r="B1108" s="16" t="s">
        <v>173</v>
      </c>
      <c r="C1108" s="16" t="s">
        <v>174</v>
      </c>
      <c r="D1108" s="16" t="s">
        <v>175</v>
      </c>
      <c r="E1108" s="17">
        <v>0.0</v>
      </c>
      <c r="F1108" s="18">
        <v>2.0</v>
      </c>
      <c r="G1108" s="18">
        <v>0.0</v>
      </c>
      <c r="H1108" s="10">
        <v>7.0</v>
      </c>
      <c r="I1108" s="19">
        <v>5.0</v>
      </c>
      <c r="J1108" s="12"/>
      <c r="K1108" s="12">
        <f t="shared" si="72"/>
        <v>4000</v>
      </c>
      <c r="L1108" s="13" t="str">
        <f t="shared" si="74"/>
        <v>0 5-star + 2 RFC + 0 DME + 7 Patient Portal Login + 5 Completed Task</v>
      </c>
      <c r="M1108" s="13"/>
      <c r="N1108" s="13"/>
      <c r="O1108" s="14"/>
      <c r="P1108" s="14"/>
    </row>
    <row r="1109" hidden="1">
      <c r="A1109" s="6" t="s">
        <v>249</v>
      </c>
      <c r="B1109" s="16" t="s">
        <v>176</v>
      </c>
      <c r="C1109" s="16" t="s">
        <v>177</v>
      </c>
      <c r="D1109" s="16" t="s">
        <v>178</v>
      </c>
      <c r="E1109" s="17">
        <v>0.0</v>
      </c>
      <c r="F1109" s="18">
        <v>0.0</v>
      </c>
      <c r="G1109" s="18">
        <v>0.0</v>
      </c>
      <c r="H1109" s="10">
        <v>0.0</v>
      </c>
      <c r="I1109" s="19">
        <v>5.0</v>
      </c>
      <c r="J1109" s="12"/>
      <c r="K1109" s="12">
        <f t="shared" si="72"/>
        <v>1250</v>
      </c>
      <c r="L1109" s="13" t="str">
        <f t="shared" si="74"/>
        <v>0 5-star + 0 RFC + 0 DME + 0 Patient Portal Login + 5 Completed Task</v>
      </c>
      <c r="M1109" s="13"/>
      <c r="N1109" s="13"/>
      <c r="O1109" s="14"/>
      <c r="P1109" s="14"/>
    </row>
    <row r="1110" hidden="1">
      <c r="A1110" s="6" t="s">
        <v>249</v>
      </c>
      <c r="B1110" s="21" t="s">
        <v>179</v>
      </c>
      <c r="C1110" s="21" t="s">
        <v>180</v>
      </c>
      <c r="D1110" s="21" t="s">
        <v>181</v>
      </c>
      <c r="E1110" s="17">
        <v>2.0</v>
      </c>
      <c r="F1110" s="18">
        <v>2.0</v>
      </c>
      <c r="G1110" s="18">
        <v>2.0</v>
      </c>
      <c r="H1110" s="10">
        <v>10.0</v>
      </c>
      <c r="I1110" s="19">
        <v>5.0</v>
      </c>
      <c r="J1110" s="12"/>
      <c r="K1110" s="12">
        <f t="shared" si="72"/>
        <v>5750</v>
      </c>
      <c r="L1110" s="13" t="str">
        <f t="shared" si="74"/>
        <v>2 5-star + 2 RFC + 2 DME + 10 Patient Portal Login + 5 Completed Task</v>
      </c>
      <c r="M1110" s="13"/>
      <c r="N1110" s="13"/>
      <c r="O1110" s="23"/>
      <c r="P1110" s="23"/>
    </row>
    <row r="1111" hidden="1">
      <c r="A1111" s="6" t="s">
        <v>249</v>
      </c>
      <c r="B1111" s="21" t="s">
        <v>182</v>
      </c>
      <c r="C1111" s="21" t="s">
        <v>183</v>
      </c>
      <c r="D1111" s="21" t="s">
        <v>184</v>
      </c>
      <c r="E1111" s="17">
        <v>0.0</v>
      </c>
      <c r="F1111" s="18">
        <v>0.0</v>
      </c>
      <c r="G1111" s="18">
        <v>0.0</v>
      </c>
      <c r="H1111" s="10">
        <v>2.0</v>
      </c>
      <c r="I1111" s="19">
        <v>4.0</v>
      </c>
      <c r="J1111" s="12"/>
      <c r="K1111" s="12">
        <f t="shared" si="72"/>
        <v>1500</v>
      </c>
      <c r="L1111" s="13" t="str">
        <f t="shared" si="74"/>
        <v>0 5-star + 0 RFC + 0 DME + 2 Patient Portal Login + 4 Completed Task</v>
      </c>
      <c r="M1111" s="13"/>
      <c r="N1111" s="13"/>
      <c r="O1111" s="23"/>
      <c r="P1111" s="23"/>
    </row>
    <row r="1112" hidden="1">
      <c r="A1112" s="6" t="s">
        <v>249</v>
      </c>
      <c r="B1112" s="21" t="s">
        <v>185</v>
      </c>
      <c r="C1112" s="21" t="s">
        <v>186</v>
      </c>
      <c r="D1112" s="21" t="s">
        <v>187</v>
      </c>
      <c r="E1112" s="17">
        <v>0.0</v>
      </c>
      <c r="F1112" s="18">
        <v>0.0</v>
      </c>
      <c r="G1112" s="18">
        <v>1.0</v>
      </c>
      <c r="H1112" s="10">
        <v>4.0</v>
      </c>
      <c r="I1112" s="19">
        <v>5.0</v>
      </c>
      <c r="J1112" s="12"/>
      <c r="K1112" s="12">
        <f t="shared" si="72"/>
        <v>2500</v>
      </c>
      <c r="L1112" s="13" t="str">
        <f t="shared" si="74"/>
        <v>0 5-star + 0 RFC + 1 DME + 4 Patient Portal Login + 5 Completed Task</v>
      </c>
      <c r="M1112" s="13"/>
      <c r="N1112" s="13"/>
      <c r="O1112" s="23"/>
      <c r="P1112" s="23"/>
    </row>
    <row r="1113" hidden="1">
      <c r="A1113" s="6" t="s">
        <v>249</v>
      </c>
      <c r="B1113" s="21" t="s">
        <v>188</v>
      </c>
      <c r="C1113" s="21" t="s">
        <v>189</v>
      </c>
      <c r="D1113" s="21" t="s">
        <v>190</v>
      </c>
      <c r="E1113" s="17">
        <v>0.0</v>
      </c>
      <c r="F1113" s="18">
        <v>0.0</v>
      </c>
      <c r="G1113" s="18">
        <v>1.0</v>
      </c>
      <c r="H1113" s="10">
        <v>2.0</v>
      </c>
      <c r="I1113" s="19">
        <v>4.0</v>
      </c>
      <c r="J1113" s="12"/>
      <c r="K1113" s="12">
        <f t="shared" si="72"/>
        <v>1750</v>
      </c>
      <c r="L1113" s="13" t="str">
        <f t="shared" si="74"/>
        <v>0 5-star + 0 RFC + 1 DME + 2 Patient Portal Login + 4 Completed Task</v>
      </c>
      <c r="M1113" s="13"/>
      <c r="N1113" s="13"/>
      <c r="O1113" s="23"/>
      <c r="P1113" s="23"/>
    </row>
    <row r="1114" hidden="1">
      <c r="A1114" s="6" t="s">
        <v>249</v>
      </c>
      <c r="B1114" s="21" t="s">
        <v>191</v>
      </c>
      <c r="C1114" s="21" t="s">
        <v>192</v>
      </c>
      <c r="D1114" s="21" t="s">
        <v>193</v>
      </c>
      <c r="E1114" s="17">
        <v>1.0</v>
      </c>
      <c r="F1114" s="18">
        <v>0.0</v>
      </c>
      <c r="G1114" s="18">
        <v>1.0</v>
      </c>
      <c r="H1114" s="10">
        <v>2.0</v>
      </c>
      <c r="I1114" s="19">
        <v>5.0</v>
      </c>
      <c r="J1114" s="12"/>
      <c r="K1114" s="12">
        <f t="shared" si="72"/>
        <v>2250</v>
      </c>
      <c r="L1114" s="13" t="str">
        <f t="shared" si="74"/>
        <v>1 5-star + 0 RFC + 1 DME + 2 Patient Portal Login + 5 Completed Task</v>
      </c>
      <c r="M1114" s="13"/>
      <c r="N1114" s="13"/>
      <c r="O1114" s="23"/>
      <c r="P1114" s="23"/>
    </row>
    <row r="1115" hidden="1">
      <c r="A1115" s="6" t="s">
        <v>249</v>
      </c>
      <c r="B1115" s="21" t="s">
        <v>194</v>
      </c>
      <c r="C1115" s="21" t="s">
        <v>195</v>
      </c>
      <c r="D1115" s="21" t="s">
        <v>196</v>
      </c>
      <c r="E1115" s="17">
        <v>0.0</v>
      </c>
      <c r="F1115" s="18">
        <v>1.0</v>
      </c>
      <c r="G1115" s="18">
        <v>0.0</v>
      </c>
      <c r="H1115" s="10">
        <v>2.0</v>
      </c>
      <c r="I1115" s="19">
        <v>3.0</v>
      </c>
      <c r="J1115" s="12"/>
      <c r="K1115" s="12">
        <f t="shared" si="72"/>
        <v>1750</v>
      </c>
      <c r="L1115" s="13" t="str">
        <f t="shared" si="74"/>
        <v>0 5-star + 1 RFC + 0 DME + 2 Patient Portal Login + 3 Completed Task</v>
      </c>
      <c r="M1115" s="13"/>
      <c r="N1115" s="13"/>
      <c r="O1115" s="23"/>
      <c r="P1115" s="23"/>
    </row>
    <row r="1116" hidden="1">
      <c r="A1116" s="6" t="s">
        <v>249</v>
      </c>
      <c r="B1116" s="21" t="s">
        <v>197</v>
      </c>
      <c r="C1116" s="21" t="s">
        <v>198</v>
      </c>
      <c r="D1116" s="21" t="s">
        <v>199</v>
      </c>
      <c r="E1116" s="17">
        <v>2.0</v>
      </c>
      <c r="F1116" s="18">
        <v>2.0</v>
      </c>
      <c r="G1116" s="18">
        <v>0.0</v>
      </c>
      <c r="H1116" s="10">
        <v>3.0</v>
      </c>
      <c r="I1116" s="19">
        <v>5.0</v>
      </c>
      <c r="J1116" s="12"/>
      <c r="K1116" s="12">
        <f t="shared" si="72"/>
        <v>3500</v>
      </c>
      <c r="L1116" s="13" t="str">
        <f t="shared" si="74"/>
        <v>2 5-star + 2 RFC + 0 DME + 3 Patient Portal Login + 5 Completed Task</v>
      </c>
      <c r="M1116" s="13"/>
      <c r="N1116" s="13"/>
      <c r="O1116" s="23"/>
      <c r="P1116" s="23"/>
    </row>
    <row r="1117" hidden="1">
      <c r="A1117" s="6" t="s">
        <v>249</v>
      </c>
      <c r="B1117" s="21" t="s">
        <v>200</v>
      </c>
      <c r="C1117" s="21" t="s">
        <v>201</v>
      </c>
      <c r="D1117" s="21" t="s">
        <v>202</v>
      </c>
      <c r="E1117" s="17">
        <v>0.0</v>
      </c>
      <c r="F1117" s="18">
        <v>0.0</v>
      </c>
      <c r="G1117" s="18">
        <v>0.0</v>
      </c>
      <c r="H1117" s="10">
        <v>0.0</v>
      </c>
      <c r="I1117" s="19">
        <v>3.0</v>
      </c>
      <c r="J1117" s="12"/>
      <c r="K1117" s="12">
        <f t="shared" si="72"/>
        <v>750</v>
      </c>
      <c r="L1117" s="13" t="str">
        <f t="shared" si="74"/>
        <v>0 5-star + 0 RFC + 0 DME + 0 Patient Portal Login + 3 Completed Task</v>
      </c>
      <c r="M1117" s="13"/>
      <c r="N1117" s="13"/>
      <c r="O1117" s="23"/>
      <c r="P1117" s="23"/>
    </row>
    <row r="1118" hidden="1">
      <c r="A1118" s="6" t="s">
        <v>250</v>
      </c>
      <c r="B1118" s="16" t="s">
        <v>41</v>
      </c>
      <c r="C1118" s="16" t="s">
        <v>42</v>
      </c>
      <c r="D1118" s="16" t="s">
        <v>43</v>
      </c>
      <c r="E1118" s="17">
        <v>0.0</v>
      </c>
      <c r="F1118" s="18">
        <v>0.0</v>
      </c>
      <c r="G1118" s="18">
        <v>0.0</v>
      </c>
      <c r="H1118" s="10">
        <v>0.0</v>
      </c>
      <c r="I1118" s="19">
        <v>0.0</v>
      </c>
      <c r="J1118" s="12"/>
      <c r="K1118" s="12">
        <f t="shared" si="72"/>
        <v>0</v>
      </c>
      <c r="L1118" s="13" t="str">
        <f t="shared" si="74"/>
        <v>0 5-star + 0 RFC + 0 DME + 0 Patient Portal Login + 0 Completed Task</v>
      </c>
      <c r="M1118" s="13"/>
      <c r="N1118" s="13"/>
      <c r="O1118" s="14"/>
      <c r="P1118" s="14"/>
    </row>
    <row r="1119" hidden="1">
      <c r="A1119" s="6" t="s">
        <v>250</v>
      </c>
      <c r="B1119" s="16" t="s">
        <v>44</v>
      </c>
      <c r="C1119" s="16" t="s">
        <v>45</v>
      </c>
      <c r="D1119" s="16" t="s">
        <v>46</v>
      </c>
      <c r="E1119" s="17">
        <v>0.0</v>
      </c>
      <c r="F1119" s="18">
        <v>0.0</v>
      </c>
      <c r="G1119" s="18">
        <v>0.0</v>
      </c>
      <c r="H1119" s="10">
        <v>0.0</v>
      </c>
      <c r="I1119" s="19">
        <v>0.0</v>
      </c>
      <c r="J1119" s="12"/>
      <c r="K1119" s="12">
        <f t="shared" si="72"/>
        <v>0</v>
      </c>
      <c r="L1119" s="13" t="str">
        <f t="shared" si="74"/>
        <v>0 5-star + 0 RFC + 0 DME + 0 Patient Portal Login + 0 Completed Task</v>
      </c>
      <c r="M1119" s="13"/>
      <c r="N1119" s="13"/>
      <c r="O1119" s="14"/>
      <c r="P1119" s="14"/>
    </row>
    <row r="1120" hidden="1">
      <c r="A1120" s="6" t="s">
        <v>250</v>
      </c>
      <c r="B1120" s="16" t="s">
        <v>47</v>
      </c>
      <c r="C1120" s="16" t="s">
        <v>48</v>
      </c>
      <c r="D1120" s="16" t="s">
        <v>49</v>
      </c>
      <c r="E1120" s="17">
        <v>0.0</v>
      </c>
      <c r="F1120" s="18">
        <v>0.0</v>
      </c>
      <c r="G1120" s="18">
        <v>0.0</v>
      </c>
      <c r="H1120" s="10">
        <v>0.0</v>
      </c>
      <c r="I1120" s="19">
        <v>1.0</v>
      </c>
      <c r="J1120" s="12"/>
      <c r="K1120" s="12">
        <f t="shared" si="72"/>
        <v>250</v>
      </c>
      <c r="L1120" s="13" t="str">
        <f t="shared" si="74"/>
        <v>0 5-star + 0 RFC + 0 DME + 0 Patient Portal Login + 1 Completed Task</v>
      </c>
      <c r="M1120" s="13"/>
      <c r="N1120" s="13"/>
      <c r="O1120" s="14"/>
      <c r="P1120" s="14"/>
    </row>
    <row r="1121" hidden="1">
      <c r="A1121" s="6" t="s">
        <v>250</v>
      </c>
      <c r="B1121" s="16" t="s">
        <v>50</v>
      </c>
      <c r="C1121" s="16" t="s">
        <v>51</v>
      </c>
      <c r="D1121" s="16" t="s">
        <v>52</v>
      </c>
      <c r="E1121" s="17">
        <v>1.0</v>
      </c>
      <c r="F1121" s="18">
        <v>0.0</v>
      </c>
      <c r="G1121" s="18">
        <v>0.0</v>
      </c>
      <c r="H1121" s="10">
        <v>1.0</v>
      </c>
      <c r="I1121" s="19">
        <v>0.0</v>
      </c>
      <c r="J1121" s="12"/>
      <c r="K1121" s="12">
        <f t="shared" si="72"/>
        <v>500</v>
      </c>
      <c r="L1121" s="13" t="str">
        <f t="shared" si="74"/>
        <v>1 5-star + 0 RFC + 0 DME + 1 Patient Portal Login + 0 Completed Task</v>
      </c>
      <c r="M1121" s="13"/>
      <c r="N1121" s="13"/>
      <c r="O1121" s="14"/>
      <c r="P1121" s="14"/>
    </row>
    <row r="1122" hidden="1">
      <c r="A1122" s="6" t="s">
        <v>250</v>
      </c>
      <c r="B1122" s="16" t="s">
        <v>53</v>
      </c>
      <c r="C1122" s="16" t="s">
        <v>54</v>
      </c>
      <c r="D1122" s="16" t="s">
        <v>55</v>
      </c>
      <c r="E1122" s="17">
        <v>3.0</v>
      </c>
      <c r="F1122" s="18">
        <v>7.0</v>
      </c>
      <c r="G1122" s="18">
        <v>1.0</v>
      </c>
      <c r="H1122" s="10">
        <v>7.0</v>
      </c>
      <c r="I1122" s="19">
        <v>5.0</v>
      </c>
      <c r="J1122" s="12"/>
      <c r="K1122" s="12">
        <f t="shared" si="72"/>
        <v>7500</v>
      </c>
      <c r="L1122" s="13" t="str">
        <f t="shared" si="74"/>
        <v>3 5-star + 7 RFC + 1 DME + 7 Patient Portal Login + 5 Completed Task</v>
      </c>
      <c r="M1122" s="13"/>
      <c r="N1122" s="13"/>
      <c r="O1122" s="14"/>
      <c r="P1122" s="14"/>
    </row>
    <row r="1123" hidden="1">
      <c r="A1123" s="6" t="s">
        <v>250</v>
      </c>
      <c r="B1123" s="16" t="s">
        <v>56</v>
      </c>
      <c r="C1123" s="16" t="s">
        <v>57</v>
      </c>
      <c r="D1123" s="16" t="s">
        <v>58</v>
      </c>
      <c r="E1123" s="17">
        <v>1.0</v>
      </c>
      <c r="F1123" s="18">
        <v>0.0</v>
      </c>
      <c r="G1123" s="18">
        <v>1.0</v>
      </c>
      <c r="H1123" s="10">
        <v>5.0</v>
      </c>
      <c r="I1123" s="19">
        <v>5.0</v>
      </c>
      <c r="J1123" s="12"/>
      <c r="K1123" s="12">
        <f t="shared" si="72"/>
        <v>3000</v>
      </c>
      <c r="L1123" s="13" t="str">
        <f t="shared" si="74"/>
        <v>1 5-star + 0 RFC + 1 DME + 5 Patient Portal Login + 5 Completed Task</v>
      </c>
      <c r="M1123" s="13"/>
      <c r="N1123" s="13"/>
      <c r="O1123" s="14"/>
      <c r="P1123" s="14"/>
    </row>
    <row r="1124" hidden="1">
      <c r="A1124" s="6" t="s">
        <v>250</v>
      </c>
      <c r="B1124" s="16" t="s">
        <v>59</v>
      </c>
      <c r="C1124" s="16" t="s">
        <v>60</v>
      </c>
      <c r="D1124" s="16" t="s">
        <v>61</v>
      </c>
      <c r="E1124" s="17">
        <v>0.0</v>
      </c>
      <c r="F1124" s="18">
        <v>1.0</v>
      </c>
      <c r="G1124" s="18">
        <v>0.0</v>
      </c>
      <c r="H1124" s="10">
        <v>0.0</v>
      </c>
      <c r="I1124" s="19">
        <v>3.0</v>
      </c>
      <c r="J1124" s="12"/>
      <c r="K1124" s="12">
        <f t="shared" si="72"/>
        <v>1250</v>
      </c>
      <c r="L1124" s="13" t="str">
        <f t="shared" si="74"/>
        <v>0 5-star + 1 RFC + 0 DME + 0 Patient Portal Login + 3 Completed Task</v>
      </c>
      <c r="M1124" s="13"/>
      <c r="N1124" s="13"/>
      <c r="O1124" s="14"/>
      <c r="P1124" s="14"/>
    </row>
    <row r="1125" hidden="1">
      <c r="A1125" s="6" t="s">
        <v>250</v>
      </c>
      <c r="B1125" s="16" t="s">
        <v>62</v>
      </c>
      <c r="C1125" s="16" t="s">
        <v>63</v>
      </c>
      <c r="D1125" s="16" t="s">
        <v>64</v>
      </c>
      <c r="E1125" s="17">
        <v>0.0</v>
      </c>
      <c r="F1125" s="18">
        <v>1.0</v>
      </c>
      <c r="G1125" s="18">
        <v>1.0</v>
      </c>
      <c r="H1125" s="10">
        <v>0.0</v>
      </c>
      <c r="I1125" s="19">
        <v>4.0</v>
      </c>
      <c r="J1125" s="12"/>
      <c r="K1125" s="12">
        <f t="shared" si="72"/>
        <v>1750</v>
      </c>
      <c r="L1125" s="13" t="str">
        <f t="shared" si="74"/>
        <v>0 5-star + 1 RFC + 1 DME + 0 Patient Portal Login + 4 Completed Task</v>
      </c>
      <c r="M1125" s="13"/>
      <c r="N1125" s="13"/>
      <c r="O1125" s="14"/>
      <c r="P1125" s="14"/>
    </row>
    <row r="1126" hidden="1">
      <c r="A1126" s="6" t="s">
        <v>250</v>
      </c>
      <c r="B1126" s="16" t="s">
        <v>251</v>
      </c>
      <c r="C1126" s="16" t="s">
        <v>252</v>
      </c>
      <c r="D1126" s="16" t="s">
        <v>253</v>
      </c>
      <c r="E1126" s="17">
        <v>1.0</v>
      </c>
      <c r="F1126" s="18">
        <v>2.0</v>
      </c>
      <c r="G1126" s="18">
        <v>2.0</v>
      </c>
      <c r="H1126" s="10">
        <v>12.0</v>
      </c>
      <c r="I1126" s="19">
        <v>0.0</v>
      </c>
      <c r="J1126" s="12"/>
      <c r="K1126" s="12">
        <f t="shared" si="72"/>
        <v>4750</v>
      </c>
      <c r="L1126" s="13" t="str">
        <f t="shared" si="74"/>
        <v>1 5-star + 2 RFC + 2 DME + 12 Patient Portal Login + 0 Completed Task</v>
      </c>
      <c r="M1126" s="13"/>
      <c r="N1126" s="13"/>
      <c r="O1126" s="14"/>
      <c r="P1126" s="14"/>
    </row>
    <row r="1127" hidden="1">
      <c r="A1127" s="6" t="s">
        <v>250</v>
      </c>
      <c r="B1127" s="16" t="s">
        <v>65</v>
      </c>
      <c r="C1127" s="16" t="s">
        <v>66</v>
      </c>
      <c r="D1127" s="16" t="s">
        <v>67</v>
      </c>
      <c r="E1127" s="17">
        <v>0.0</v>
      </c>
      <c r="F1127" s="18">
        <v>0.0</v>
      </c>
      <c r="G1127" s="18">
        <v>1.0</v>
      </c>
      <c r="H1127" s="10">
        <v>7.0</v>
      </c>
      <c r="I1127" s="19">
        <v>2.0</v>
      </c>
      <c r="J1127" s="12"/>
      <c r="K1127" s="12">
        <f t="shared" si="72"/>
        <v>2500</v>
      </c>
      <c r="L1127" s="13" t="str">
        <f t="shared" si="74"/>
        <v>0 5-star + 0 RFC + 1 DME + 7 Patient Portal Login + 2 Completed Task</v>
      </c>
      <c r="M1127" s="13"/>
      <c r="N1127" s="13"/>
      <c r="O1127" s="14"/>
      <c r="P1127" s="14"/>
    </row>
    <row r="1128" hidden="1">
      <c r="A1128" s="6" t="s">
        <v>250</v>
      </c>
      <c r="B1128" s="16" t="s">
        <v>68</v>
      </c>
      <c r="C1128" s="16" t="s">
        <v>69</v>
      </c>
      <c r="D1128" s="16" t="s">
        <v>70</v>
      </c>
      <c r="E1128" s="17">
        <v>0.0</v>
      </c>
      <c r="F1128" s="18">
        <v>0.0</v>
      </c>
      <c r="G1128" s="18">
        <v>0.0</v>
      </c>
      <c r="H1128" s="10">
        <v>1.0</v>
      </c>
      <c r="I1128" s="19">
        <v>4.0</v>
      </c>
      <c r="J1128" s="12"/>
      <c r="K1128" s="12">
        <f t="shared" si="72"/>
        <v>1250</v>
      </c>
      <c r="L1128" s="13" t="str">
        <f t="shared" si="74"/>
        <v>0 5-star + 0 RFC + 0 DME + 1 Patient Portal Login + 4 Completed Task</v>
      </c>
      <c r="M1128" s="13"/>
      <c r="N1128" s="13"/>
      <c r="O1128" s="14"/>
      <c r="P1128" s="14"/>
    </row>
    <row r="1129" hidden="1">
      <c r="A1129" s="6" t="s">
        <v>250</v>
      </c>
      <c r="B1129" s="16" t="s">
        <v>71</v>
      </c>
      <c r="C1129" s="16" t="s">
        <v>72</v>
      </c>
      <c r="D1129" s="16" t="s">
        <v>73</v>
      </c>
      <c r="E1129" s="17">
        <v>0.0</v>
      </c>
      <c r="F1129" s="18">
        <v>5.0</v>
      </c>
      <c r="G1129" s="18">
        <v>0.0</v>
      </c>
      <c r="H1129" s="10">
        <v>7.0</v>
      </c>
      <c r="I1129" s="19">
        <v>4.0</v>
      </c>
      <c r="J1129" s="12"/>
      <c r="K1129" s="12">
        <f t="shared" si="72"/>
        <v>5250</v>
      </c>
      <c r="L1129" s="13" t="str">
        <f t="shared" si="74"/>
        <v>0 5-star + 5 RFC + 0 DME + 7 Patient Portal Login + 4 Completed Task</v>
      </c>
      <c r="M1129" s="13"/>
      <c r="N1129" s="13"/>
      <c r="O1129" s="14"/>
      <c r="P1129" s="14"/>
    </row>
    <row r="1130" hidden="1">
      <c r="A1130" s="6" t="s">
        <v>250</v>
      </c>
      <c r="B1130" s="16" t="s">
        <v>74</v>
      </c>
      <c r="C1130" s="16" t="s">
        <v>75</v>
      </c>
      <c r="D1130" s="16" t="s">
        <v>76</v>
      </c>
      <c r="E1130" s="17">
        <v>0.0</v>
      </c>
      <c r="F1130" s="18">
        <v>5.0</v>
      </c>
      <c r="G1130" s="18">
        <v>0.0</v>
      </c>
      <c r="H1130" s="10">
        <v>0.0</v>
      </c>
      <c r="I1130" s="19">
        <v>5.0</v>
      </c>
      <c r="J1130" s="12"/>
      <c r="K1130" s="12">
        <f t="shared" si="72"/>
        <v>3750</v>
      </c>
      <c r="L1130" s="13" t="str">
        <f t="shared" si="74"/>
        <v>0 5-star + 5 RFC + 0 DME + 0 Patient Portal Login + 5 Completed Task</v>
      </c>
      <c r="M1130" s="13"/>
      <c r="N1130" s="13"/>
      <c r="O1130" s="14"/>
      <c r="P1130" s="14"/>
    </row>
    <row r="1131" hidden="1">
      <c r="A1131" s="6" t="s">
        <v>250</v>
      </c>
      <c r="B1131" s="16" t="s">
        <v>77</v>
      </c>
      <c r="C1131" s="16" t="s">
        <v>78</v>
      </c>
      <c r="D1131" s="16" t="s">
        <v>79</v>
      </c>
      <c r="E1131" s="17">
        <v>1.0</v>
      </c>
      <c r="F1131" s="18">
        <v>2.0</v>
      </c>
      <c r="G1131" s="18">
        <v>0.0</v>
      </c>
      <c r="H1131" s="10">
        <v>0.0</v>
      </c>
      <c r="I1131" s="19">
        <v>5.0</v>
      </c>
      <c r="J1131" s="12"/>
      <c r="K1131" s="12">
        <f t="shared" si="72"/>
        <v>2500</v>
      </c>
      <c r="L1131" s="13" t="str">
        <f t="shared" si="74"/>
        <v>1 5-star + 2 RFC + 0 DME + 0 Patient Portal Login + 5 Completed Task</v>
      </c>
      <c r="M1131" s="13"/>
      <c r="N1131" s="13"/>
      <c r="O1131" s="14"/>
      <c r="P1131" s="14"/>
    </row>
    <row r="1132" hidden="1">
      <c r="A1132" s="6" t="s">
        <v>250</v>
      </c>
      <c r="B1132" s="16" t="s">
        <v>80</v>
      </c>
      <c r="C1132" s="16" t="s">
        <v>81</v>
      </c>
      <c r="D1132" s="16" t="s">
        <v>82</v>
      </c>
      <c r="E1132" s="17">
        <v>0.0</v>
      </c>
      <c r="F1132" s="18">
        <v>0.0</v>
      </c>
      <c r="G1132" s="18">
        <v>0.0</v>
      </c>
      <c r="H1132" s="10">
        <v>0.0</v>
      </c>
      <c r="I1132" s="19">
        <v>5.0</v>
      </c>
      <c r="J1132" s="12"/>
      <c r="K1132" s="12">
        <f t="shared" si="72"/>
        <v>1250</v>
      </c>
      <c r="L1132" s="13" t="str">
        <f t="shared" si="74"/>
        <v>0 5-star + 0 RFC + 0 DME + 0 Patient Portal Login + 5 Completed Task</v>
      </c>
      <c r="M1132" s="13"/>
      <c r="N1132" s="13"/>
      <c r="O1132" s="14"/>
      <c r="P1132" s="14"/>
    </row>
    <row r="1133" hidden="1">
      <c r="A1133" s="6" t="s">
        <v>250</v>
      </c>
      <c r="B1133" s="7" t="s">
        <v>83</v>
      </c>
      <c r="C1133" s="16" t="s">
        <v>84</v>
      </c>
      <c r="D1133" s="16" t="s">
        <v>85</v>
      </c>
      <c r="E1133" s="17">
        <v>2.0</v>
      </c>
      <c r="F1133" s="18">
        <v>0.0</v>
      </c>
      <c r="G1133" s="18">
        <v>0.0</v>
      </c>
      <c r="H1133" s="10">
        <v>0.0</v>
      </c>
      <c r="I1133" s="19">
        <v>5.0</v>
      </c>
      <c r="J1133" s="12"/>
      <c r="K1133" s="12">
        <f t="shared" si="72"/>
        <v>1750</v>
      </c>
      <c r="L1133" s="13" t="str">
        <f t="shared" si="74"/>
        <v>2 5-star + 0 RFC + 0 DME + 0 Patient Portal Login + 5 Completed Task</v>
      </c>
      <c r="M1133" s="13"/>
      <c r="N1133" s="13"/>
      <c r="O1133" s="14"/>
      <c r="P1133" s="14"/>
    </row>
    <row r="1134" hidden="1">
      <c r="A1134" s="6" t="s">
        <v>250</v>
      </c>
      <c r="B1134" s="16" t="s">
        <v>86</v>
      </c>
      <c r="C1134" s="16" t="s">
        <v>87</v>
      </c>
      <c r="D1134" s="16" t="s">
        <v>88</v>
      </c>
      <c r="E1134" s="17">
        <v>0.0</v>
      </c>
      <c r="F1134" s="18">
        <v>1.0</v>
      </c>
      <c r="G1134" s="18">
        <v>2.0</v>
      </c>
      <c r="H1134" s="10">
        <v>1.0</v>
      </c>
      <c r="I1134" s="19">
        <v>5.0</v>
      </c>
      <c r="J1134" s="12"/>
      <c r="K1134" s="12">
        <f t="shared" si="72"/>
        <v>2500</v>
      </c>
      <c r="L1134" s="13" t="str">
        <f t="shared" si="74"/>
        <v>0 5-star + 1 RFC + 2 DME + 1 Patient Portal Login + 5 Completed Task</v>
      </c>
      <c r="M1134" s="13"/>
      <c r="N1134" s="13"/>
      <c r="O1134" s="14"/>
      <c r="P1134" s="14"/>
    </row>
    <row r="1135" hidden="1">
      <c r="A1135" s="6" t="s">
        <v>250</v>
      </c>
      <c r="B1135" s="16" t="s">
        <v>89</v>
      </c>
      <c r="C1135" s="16" t="s">
        <v>90</v>
      </c>
      <c r="D1135" s="16" t="s">
        <v>91</v>
      </c>
      <c r="E1135" s="17">
        <v>0.0</v>
      </c>
      <c r="F1135" s="18">
        <v>1.0</v>
      </c>
      <c r="G1135" s="18">
        <v>0.0</v>
      </c>
      <c r="H1135" s="10">
        <v>5.0</v>
      </c>
      <c r="I1135" s="19">
        <v>5.0</v>
      </c>
      <c r="J1135" s="12"/>
      <c r="K1135" s="12">
        <f t="shared" si="72"/>
        <v>3000</v>
      </c>
      <c r="L1135" s="13" t="str">
        <f t="shared" si="74"/>
        <v>0 5-star + 1 RFC + 0 DME + 5 Patient Portal Login + 5 Completed Task</v>
      </c>
      <c r="M1135" s="13"/>
      <c r="N1135" s="13"/>
      <c r="O1135" s="14"/>
      <c r="P1135" s="14"/>
    </row>
    <row r="1136" hidden="1">
      <c r="A1136" s="6" t="s">
        <v>250</v>
      </c>
      <c r="B1136" s="16" t="s">
        <v>92</v>
      </c>
      <c r="C1136" s="16" t="s">
        <v>93</v>
      </c>
      <c r="D1136" s="16" t="s">
        <v>94</v>
      </c>
      <c r="E1136" s="17">
        <v>0.0</v>
      </c>
      <c r="F1136" s="18">
        <v>1.0</v>
      </c>
      <c r="G1136" s="18">
        <v>0.0</v>
      </c>
      <c r="H1136" s="10">
        <v>12.0</v>
      </c>
      <c r="I1136" s="19">
        <v>5.0</v>
      </c>
      <c r="J1136" s="12"/>
      <c r="K1136" s="12">
        <f t="shared" si="72"/>
        <v>4750</v>
      </c>
      <c r="L1136" s="13" t="str">
        <f t="shared" si="74"/>
        <v>0 5-star + 1 RFC + 0 DME + 12 Patient Portal Login + 5 Completed Task</v>
      </c>
      <c r="M1136" s="13"/>
      <c r="N1136" s="13"/>
      <c r="O1136" s="14"/>
      <c r="P1136" s="14"/>
    </row>
    <row r="1137" hidden="1">
      <c r="A1137" s="6" t="s">
        <v>250</v>
      </c>
      <c r="B1137" s="7" t="s">
        <v>95</v>
      </c>
      <c r="C1137" s="16" t="s">
        <v>96</v>
      </c>
      <c r="D1137" s="16" t="s">
        <v>97</v>
      </c>
      <c r="E1137" s="17">
        <v>0.0</v>
      </c>
      <c r="F1137" s="18">
        <v>3.0</v>
      </c>
      <c r="G1137" s="18">
        <v>1.0</v>
      </c>
      <c r="H1137" s="10">
        <v>11.0</v>
      </c>
      <c r="I1137" s="19">
        <v>5.0</v>
      </c>
      <c r="J1137" s="12"/>
      <c r="K1137" s="12">
        <f t="shared" si="72"/>
        <v>5750</v>
      </c>
      <c r="L1137" s="13" t="str">
        <f t="shared" si="74"/>
        <v>0 5-star + 3 RFC + 1 DME + 11 Patient Portal Login + 5 Completed Task</v>
      </c>
      <c r="M1137" s="13"/>
      <c r="N1137" s="13"/>
      <c r="O1137" s="14"/>
      <c r="P1137" s="14"/>
    </row>
    <row r="1138" hidden="1">
      <c r="A1138" s="6" t="s">
        <v>250</v>
      </c>
      <c r="B1138" s="16" t="s">
        <v>98</v>
      </c>
      <c r="C1138" s="16" t="s">
        <v>99</v>
      </c>
      <c r="D1138" s="16" t="s">
        <v>100</v>
      </c>
      <c r="E1138" s="17">
        <v>0.0</v>
      </c>
      <c r="F1138" s="18">
        <v>0.0</v>
      </c>
      <c r="G1138" s="18">
        <v>0.0</v>
      </c>
      <c r="H1138" s="10">
        <v>2.0</v>
      </c>
      <c r="I1138" s="19">
        <v>4.0</v>
      </c>
      <c r="J1138" s="12"/>
      <c r="K1138" s="12">
        <f t="shared" si="72"/>
        <v>1500</v>
      </c>
      <c r="L1138" s="13" t="str">
        <f t="shared" si="74"/>
        <v>0 5-star + 0 RFC + 0 DME + 2 Patient Portal Login + 4 Completed Task</v>
      </c>
      <c r="M1138" s="13"/>
      <c r="N1138" s="13"/>
      <c r="O1138" s="14"/>
      <c r="P1138" s="14"/>
    </row>
    <row r="1139" hidden="1">
      <c r="A1139" s="6" t="s">
        <v>250</v>
      </c>
      <c r="B1139" s="7" t="s">
        <v>101</v>
      </c>
      <c r="C1139" s="16" t="s">
        <v>102</v>
      </c>
      <c r="D1139" s="16" t="s">
        <v>103</v>
      </c>
      <c r="E1139" s="17">
        <v>0.0</v>
      </c>
      <c r="F1139" s="18">
        <v>2.0</v>
      </c>
      <c r="G1139" s="18">
        <v>1.0</v>
      </c>
      <c r="H1139" s="10">
        <v>7.0</v>
      </c>
      <c r="I1139" s="19">
        <v>5.0</v>
      </c>
      <c r="J1139" s="12"/>
      <c r="K1139" s="12">
        <f t="shared" si="72"/>
        <v>4250</v>
      </c>
      <c r="L1139" s="13" t="str">
        <f t="shared" si="74"/>
        <v>0 5-star + 2 RFC + 1 DME + 7 Patient Portal Login + 5 Completed Task</v>
      </c>
      <c r="M1139" s="13"/>
      <c r="N1139" s="13"/>
      <c r="O1139" s="14"/>
      <c r="P1139" s="14"/>
    </row>
    <row r="1140" hidden="1">
      <c r="A1140" s="6" t="s">
        <v>250</v>
      </c>
      <c r="B1140" s="16" t="s">
        <v>104</v>
      </c>
      <c r="C1140" s="16" t="s">
        <v>105</v>
      </c>
      <c r="D1140" s="16" t="s">
        <v>106</v>
      </c>
      <c r="E1140" s="17">
        <v>0.0</v>
      </c>
      <c r="F1140" s="18">
        <v>1.0</v>
      </c>
      <c r="G1140" s="18">
        <v>0.0</v>
      </c>
      <c r="H1140" s="10">
        <v>2.0</v>
      </c>
      <c r="I1140" s="19">
        <v>5.0</v>
      </c>
      <c r="J1140" s="12"/>
      <c r="K1140" s="12">
        <f t="shared" si="72"/>
        <v>2250</v>
      </c>
      <c r="L1140" s="13" t="str">
        <f t="shared" si="74"/>
        <v>0 5-star + 1 RFC + 0 DME + 2 Patient Portal Login + 5 Completed Task</v>
      </c>
      <c r="M1140" s="13"/>
      <c r="N1140" s="13"/>
      <c r="O1140" s="14"/>
      <c r="P1140" s="14"/>
    </row>
    <row r="1141" hidden="1">
      <c r="A1141" s="6" t="s">
        <v>250</v>
      </c>
      <c r="B1141" s="16" t="s">
        <v>107</v>
      </c>
      <c r="C1141" s="16" t="s">
        <v>108</v>
      </c>
      <c r="D1141" s="16" t="s">
        <v>109</v>
      </c>
      <c r="E1141" s="17">
        <v>0.0</v>
      </c>
      <c r="F1141" s="18">
        <v>0.0</v>
      </c>
      <c r="G1141" s="18">
        <v>0.0</v>
      </c>
      <c r="H1141" s="10">
        <v>2.0</v>
      </c>
      <c r="I1141" s="19">
        <v>5.0</v>
      </c>
      <c r="J1141" s="12"/>
      <c r="K1141" s="12">
        <f t="shared" si="72"/>
        <v>1750</v>
      </c>
      <c r="L1141" s="13" t="str">
        <f t="shared" si="74"/>
        <v>0 5-star + 0 RFC + 0 DME + 2 Patient Portal Login + 5 Completed Task</v>
      </c>
      <c r="M1141" s="13"/>
      <c r="N1141" s="13"/>
      <c r="O1141" s="14"/>
      <c r="P1141" s="14"/>
    </row>
    <row r="1142" hidden="1">
      <c r="A1142" s="6" t="s">
        <v>250</v>
      </c>
      <c r="B1142" s="16" t="s">
        <v>110</v>
      </c>
      <c r="C1142" s="16" t="s">
        <v>111</v>
      </c>
      <c r="D1142" s="16" t="s">
        <v>112</v>
      </c>
      <c r="E1142" s="17">
        <v>0.0</v>
      </c>
      <c r="F1142" s="18">
        <v>3.0</v>
      </c>
      <c r="G1142" s="18">
        <v>1.0</v>
      </c>
      <c r="H1142" s="10">
        <v>1.0</v>
      </c>
      <c r="I1142" s="19">
        <v>5.0</v>
      </c>
      <c r="J1142" s="12"/>
      <c r="K1142" s="12">
        <f t="shared" si="72"/>
        <v>3250</v>
      </c>
      <c r="L1142" s="13" t="str">
        <f t="shared" si="74"/>
        <v>0 5-star + 3 RFC + 1 DME + 1 Patient Portal Login + 5 Completed Task</v>
      </c>
      <c r="M1142" s="13"/>
      <c r="N1142" s="13"/>
      <c r="O1142" s="14"/>
      <c r="P1142" s="14"/>
    </row>
    <row r="1143" hidden="1">
      <c r="A1143" s="6" t="s">
        <v>250</v>
      </c>
      <c r="B1143" s="16" t="s">
        <v>113</v>
      </c>
      <c r="C1143" s="16" t="s">
        <v>114</v>
      </c>
      <c r="D1143" s="16" t="s">
        <v>115</v>
      </c>
      <c r="E1143" s="17">
        <v>0.0</v>
      </c>
      <c r="F1143" s="18">
        <v>2.0</v>
      </c>
      <c r="G1143" s="18">
        <v>0.0</v>
      </c>
      <c r="H1143" s="10">
        <v>5.0</v>
      </c>
      <c r="I1143" s="19">
        <v>5.0</v>
      </c>
      <c r="J1143" s="12"/>
      <c r="K1143" s="12">
        <f t="shared" si="72"/>
        <v>3500</v>
      </c>
      <c r="L1143" s="13" t="str">
        <f t="shared" si="74"/>
        <v>0 5-star + 2 RFC + 0 DME + 5 Patient Portal Login + 5 Completed Task</v>
      </c>
      <c r="M1143" s="13"/>
      <c r="N1143" s="13"/>
      <c r="O1143" s="14"/>
      <c r="P1143" s="14"/>
    </row>
    <row r="1144" hidden="1">
      <c r="A1144" s="6" t="s">
        <v>250</v>
      </c>
      <c r="B1144" s="7" t="s">
        <v>116</v>
      </c>
      <c r="C1144" s="16" t="s">
        <v>117</v>
      </c>
      <c r="D1144" s="16" t="s">
        <v>118</v>
      </c>
      <c r="E1144" s="17">
        <v>0.0</v>
      </c>
      <c r="F1144" s="18">
        <v>0.0</v>
      </c>
      <c r="G1144" s="18">
        <v>0.0</v>
      </c>
      <c r="H1144" s="10">
        <v>2.0</v>
      </c>
      <c r="I1144" s="19">
        <v>4.0</v>
      </c>
      <c r="J1144" s="12"/>
      <c r="K1144" s="12">
        <f t="shared" si="72"/>
        <v>1500</v>
      </c>
      <c r="L1144" s="13" t="str">
        <f t="shared" si="74"/>
        <v>0 5-star + 0 RFC + 0 DME + 2 Patient Portal Login + 4 Completed Task</v>
      </c>
      <c r="M1144" s="13"/>
      <c r="N1144" s="13"/>
      <c r="O1144" s="14"/>
      <c r="P1144" s="14"/>
    </row>
    <row r="1145" hidden="1">
      <c r="A1145" s="6" t="s">
        <v>250</v>
      </c>
      <c r="B1145" s="16" t="s">
        <v>119</v>
      </c>
      <c r="C1145" s="16" t="s">
        <v>120</v>
      </c>
      <c r="D1145" s="16" t="s">
        <v>121</v>
      </c>
      <c r="E1145" s="17">
        <v>1.0</v>
      </c>
      <c r="F1145" s="18">
        <v>4.0</v>
      </c>
      <c r="G1145" s="18">
        <v>0.0</v>
      </c>
      <c r="H1145" s="10">
        <v>3.0</v>
      </c>
      <c r="I1145" s="19">
        <v>5.0</v>
      </c>
      <c r="J1145" s="12"/>
      <c r="K1145" s="12">
        <f t="shared" si="72"/>
        <v>4250</v>
      </c>
      <c r="L1145" s="13" t="str">
        <f t="shared" si="74"/>
        <v>1 5-star + 4 RFC + 0 DME + 3 Patient Portal Login + 5 Completed Task</v>
      </c>
      <c r="M1145" s="13"/>
      <c r="N1145" s="13"/>
      <c r="O1145" s="14"/>
      <c r="P1145" s="14"/>
    </row>
    <row r="1146" hidden="1">
      <c r="A1146" s="6" t="s">
        <v>250</v>
      </c>
      <c r="B1146" s="16" t="s">
        <v>122</v>
      </c>
      <c r="C1146" s="16" t="s">
        <v>123</v>
      </c>
      <c r="D1146" s="16" t="s">
        <v>124</v>
      </c>
      <c r="E1146" s="17">
        <v>0.0</v>
      </c>
      <c r="F1146" s="18">
        <v>0.0</v>
      </c>
      <c r="G1146" s="18">
        <v>0.0</v>
      </c>
      <c r="H1146" s="10">
        <v>0.0</v>
      </c>
      <c r="I1146" s="19">
        <v>4.0</v>
      </c>
      <c r="J1146" s="12"/>
      <c r="K1146" s="12">
        <f>sum(E1146*250)+(F1146*500)+(G1145*250)+(H1146*250)+(I1146*250)</f>
        <v>1000</v>
      </c>
      <c r="L1146" s="13" t="str">
        <f> E1146 &amp; " 5-star + " &amp; F1146 &amp; " RFC + " &amp; G1145 &amp; " DME + " &amp; H1146 &amp; " Patient Portal Login + " &amp; I1146 &amp; " Completed Task"
</f>
        <v>0 5-star + 0 RFC + 0 DME + 0 Patient Portal Login + 4 Completed Task</v>
      </c>
      <c r="M1146" s="13"/>
      <c r="N1146" s="13"/>
      <c r="O1146" s="14"/>
      <c r="P1146" s="14"/>
    </row>
    <row r="1147" hidden="1">
      <c r="A1147" s="6" t="s">
        <v>250</v>
      </c>
      <c r="B1147" s="16" t="s">
        <v>125</v>
      </c>
      <c r="C1147" s="16" t="s">
        <v>126</v>
      </c>
      <c r="D1147" s="16" t="s">
        <v>127</v>
      </c>
      <c r="E1147" s="17">
        <v>0.0</v>
      </c>
      <c r="F1147" s="18">
        <v>0.0</v>
      </c>
      <c r="G1147" s="18">
        <v>0.0</v>
      </c>
      <c r="H1147" s="10">
        <v>0.0</v>
      </c>
      <c r="I1147" s="19">
        <v>5.0</v>
      </c>
      <c r="J1147" s="12"/>
      <c r="K1147" s="12">
        <f t="shared" ref="K1147:K1198" si="75">sum(E1147*250)+(F1147*500)+(G1147*250)+(H1147*250)+(I1147*250)</f>
        <v>1250</v>
      </c>
      <c r="L1147" s="13" t="str">
        <f t="shared" ref="L1147:L1159" si="76"> E1147 &amp; " 5-star + " &amp; F1147 &amp; " RFC + " &amp; G1147 &amp; " DME + " &amp; H1147 &amp; " Patient Portal Login + " &amp; I1147 &amp; " Completed Task"
</f>
        <v>0 5-star + 0 RFC + 0 DME + 0 Patient Portal Login + 5 Completed Task</v>
      </c>
      <c r="M1147" s="13"/>
      <c r="N1147" s="13"/>
      <c r="O1147" s="14"/>
      <c r="P1147" s="14"/>
    </row>
    <row r="1148" hidden="1">
      <c r="A1148" s="6" t="s">
        <v>250</v>
      </c>
      <c r="B1148" s="16" t="s">
        <v>128</v>
      </c>
      <c r="C1148" s="16" t="s">
        <v>129</v>
      </c>
      <c r="D1148" s="16" t="s">
        <v>130</v>
      </c>
      <c r="E1148" s="17">
        <v>0.0</v>
      </c>
      <c r="F1148" s="18">
        <v>0.0</v>
      </c>
      <c r="G1148" s="18">
        <v>1.0</v>
      </c>
      <c r="H1148" s="10">
        <v>5.0</v>
      </c>
      <c r="I1148" s="19">
        <v>5.0</v>
      </c>
      <c r="J1148" s="12"/>
      <c r="K1148" s="12">
        <f t="shared" si="75"/>
        <v>2750</v>
      </c>
      <c r="L1148" s="13" t="str">
        <f t="shared" si="76"/>
        <v>0 5-star + 0 RFC + 1 DME + 5 Patient Portal Login + 5 Completed Task</v>
      </c>
      <c r="M1148" s="13"/>
      <c r="N1148" s="13"/>
      <c r="O1148" s="14"/>
      <c r="P1148" s="14"/>
    </row>
    <row r="1149" hidden="1">
      <c r="A1149" s="6" t="s">
        <v>250</v>
      </c>
      <c r="B1149" s="16" t="s">
        <v>131</v>
      </c>
      <c r="C1149" s="16" t="s">
        <v>132</v>
      </c>
      <c r="D1149" s="16" t="s">
        <v>133</v>
      </c>
      <c r="E1149" s="17">
        <v>0.0</v>
      </c>
      <c r="F1149" s="18">
        <v>3.0</v>
      </c>
      <c r="G1149" s="18">
        <v>0.0</v>
      </c>
      <c r="H1149" s="10">
        <v>4.0</v>
      </c>
      <c r="I1149" s="19">
        <v>5.0</v>
      </c>
      <c r="J1149" s="12"/>
      <c r="K1149" s="12">
        <f t="shared" si="75"/>
        <v>3750</v>
      </c>
      <c r="L1149" s="13" t="str">
        <f t="shared" si="76"/>
        <v>0 5-star + 3 RFC + 0 DME + 4 Patient Portal Login + 5 Completed Task</v>
      </c>
      <c r="M1149" s="13"/>
      <c r="N1149" s="13"/>
      <c r="O1149" s="14"/>
      <c r="P1149" s="14"/>
    </row>
    <row r="1150" hidden="1">
      <c r="A1150" s="6" t="s">
        <v>250</v>
      </c>
      <c r="B1150" s="16" t="s">
        <v>134</v>
      </c>
      <c r="C1150" s="16" t="s">
        <v>135</v>
      </c>
      <c r="D1150" s="16" t="s">
        <v>136</v>
      </c>
      <c r="E1150" s="17">
        <v>1.0</v>
      </c>
      <c r="F1150" s="18">
        <v>0.0</v>
      </c>
      <c r="G1150" s="18">
        <v>0.0</v>
      </c>
      <c r="H1150" s="10">
        <v>4.0</v>
      </c>
      <c r="I1150" s="19">
        <v>4.0</v>
      </c>
      <c r="J1150" s="12"/>
      <c r="K1150" s="12">
        <f t="shared" si="75"/>
        <v>2250</v>
      </c>
      <c r="L1150" s="13" t="str">
        <f t="shared" si="76"/>
        <v>1 5-star + 0 RFC + 0 DME + 4 Patient Portal Login + 4 Completed Task</v>
      </c>
      <c r="M1150" s="13"/>
      <c r="N1150" s="13"/>
      <c r="O1150" s="14"/>
      <c r="P1150" s="14"/>
    </row>
    <row r="1151" hidden="1">
      <c r="A1151" s="6" t="s">
        <v>250</v>
      </c>
      <c r="B1151" s="16" t="s">
        <v>137</v>
      </c>
      <c r="C1151" s="16" t="s">
        <v>138</v>
      </c>
      <c r="D1151" s="16" t="s">
        <v>139</v>
      </c>
      <c r="E1151" s="17">
        <v>0.0</v>
      </c>
      <c r="F1151" s="18">
        <v>0.0</v>
      </c>
      <c r="G1151" s="18">
        <v>1.0</v>
      </c>
      <c r="H1151" s="10">
        <v>10.0</v>
      </c>
      <c r="I1151" s="19">
        <v>5.0</v>
      </c>
      <c r="J1151" s="12"/>
      <c r="K1151" s="12">
        <f t="shared" si="75"/>
        <v>4000</v>
      </c>
      <c r="L1151" s="13" t="str">
        <f t="shared" si="76"/>
        <v>0 5-star + 0 RFC + 1 DME + 10 Patient Portal Login + 5 Completed Task</v>
      </c>
      <c r="M1151" s="13"/>
      <c r="N1151" s="13"/>
      <c r="O1151" s="14"/>
      <c r="P1151" s="14"/>
    </row>
    <row r="1152" hidden="1">
      <c r="A1152" s="6" t="s">
        <v>250</v>
      </c>
      <c r="B1152" s="16" t="s">
        <v>140</v>
      </c>
      <c r="C1152" s="16" t="s">
        <v>141</v>
      </c>
      <c r="D1152" s="16" t="s">
        <v>142</v>
      </c>
      <c r="E1152" s="17">
        <v>1.0</v>
      </c>
      <c r="F1152" s="18">
        <v>1.0</v>
      </c>
      <c r="G1152" s="18">
        <v>0.0</v>
      </c>
      <c r="H1152" s="10">
        <v>0.0</v>
      </c>
      <c r="I1152" s="19">
        <v>5.0</v>
      </c>
      <c r="J1152" s="12"/>
      <c r="K1152" s="12">
        <f t="shared" si="75"/>
        <v>2000</v>
      </c>
      <c r="L1152" s="13" t="str">
        <f t="shared" si="76"/>
        <v>1 5-star + 1 RFC + 0 DME + 0 Patient Portal Login + 5 Completed Task</v>
      </c>
      <c r="M1152" s="13"/>
      <c r="N1152" s="13"/>
      <c r="O1152" s="14"/>
      <c r="P1152" s="14"/>
    </row>
    <row r="1153" hidden="1">
      <c r="A1153" s="6" t="s">
        <v>250</v>
      </c>
      <c r="B1153" s="16" t="s">
        <v>143</v>
      </c>
      <c r="C1153" s="16" t="s">
        <v>144</v>
      </c>
      <c r="D1153" s="16" t="s">
        <v>145</v>
      </c>
      <c r="E1153" s="17">
        <v>0.0</v>
      </c>
      <c r="F1153" s="18">
        <v>1.0</v>
      </c>
      <c r="G1153" s="18">
        <v>0.0</v>
      </c>
      <c r="H1153" s="10">
        <v>1.0</v>
      </c>
      <c r="I1153" s="19">
        <v>4.0</v>
      </c>
      <c r="J1153" s="12"/>
      <c r="K1153" s="12">
        <f t="shared" si="75"/>
        <v>1750</v>
      </c>
      <c r="L1153" s="13" t="str">
        <f t="shared" si="76"/>
        <v>0 5-star + 1 RFC + 0 DME + 1 Patient Portal Login + 4 Completed Task</v>
      </c>
      <c r="M1153" s="13"/>
      <c r="N1153" s="13"/>
      <c r="O1153" s="14"/>
      <c r="P1153" s="14"/>
    </row>
    <row r="1154" hidden="1">
      <c r="A1154" s="6" t="s">
        <v>250</v>
      </c>
      <c r="B1154" s="16" t="s">
        <v>146</v>
      </c>
      <c r="C1154" s="16" t="s">
        <v>147</v>
      </c>
      <c r="D1154" s="16" t="s">
        <v>148</v>
      </c>
      <c r="E1154" s="17">
        <v>0.0</v>
      </c>
      <c r="F1154" s="18">
        <v>1.0</v>
      </c>
      <c r="G1154" s="18">
        <v>0.0</v>
      </c>
      <c r="H1154" s="10">
        <v>1.0</v>
      </c>
      <c r="I1154" s="19">
        <v>5.0</v>
      </c>
      <c r="J1154" s="12"/>
      <c r="K1154" s="12">
        <f t="shared" si="75"/>
        <v>2000</v>
      </c>
      <c r="L1154" s="13" t="str">
        <f t="shared" si="76"/>
        <v>0 5-star + 1 RFC + 0 DME + 1 Patient Portal Login + 5 Completed Task</v>
      </c>
      <c r="M1154" s="13"/>
      <c r="N1154" s="13"/>
      <c r="O1154" s="14"/>
      <c r="P1154" s="14"/>
    </row>
    <row r="1155" hidden="1">
      <c r="A1155" s="6" t="s">
        <v>250</v>
      </c>
      <c r="B1155" s="16" t="s">
        <v>245</v>
      </c>
      <c r="C1155" s="16" t="s">
        <v>246</v>
      </c>
      <c r="D1155" s="16" t="s">
        <v>247</v>
      </c>
      <c r="E1155" s="17">
        <v>0.0</v>
      </c>
      <c r="F1155" s="18">
        <v>0.0</v>
      </c>
      <c r="G1155" s="18">
        <v>0.0</v>
      </c>
      <c r="H1155" s="10">
        <v>0.0</v>
      </c>
      <c r="I1155" s="19">
        <v>5.0</v>
      </c>
      <c r="J1155" s="12"/>
      <c r="K1155" s="12">
        <f t="shared" si="75"/>
        <v>1250</v>
      </c>
      <c r="L1155" s="13" t="str">
        <f t="shared" si="76"/>
        <v>0 5-star + 0 RFC + 0 DME + 0 Patient Portal Login + 5 Completed Task</v>
      </c>
      <c r="M1155" s="13"/>
      <c r="N1155" s="13"/>
      <c r="O1155" s="14"/>
      <c r="P1155" s="14"/>
    </row>
    <row r="1156" hidden="1">
      <c r="A1156" s="6" t="s">
        <v>250</v>
      </c>
      <c r="B1156" s="16" t="s">
        <v>149</v>
      </c>
      <c r="C1156" s="16" t="s">
        <v>150</v>
      </c>
      <c r="D1156" s="16" t="s">
        <v>151</v>
      </c>
      <c r="E1156" s="17">
        <v>0.0</v>
      </c>
      <c r="F1156" s="18">
        <v>0.0</v>
      </c>
      <c r="G1156" s="18">
        <v>0.0</v>
      </c>
      <c r="H1156" s="10">
        <v>0.0</v>
      </c>
      <c r="I1156" s="19">
        <v>5.0</v>
      </c>
      <c r="J1156" s="12"/>
      <c r="K1156" s="12">
        <f t="shared" si="75"/>
        <v>1250</v>
      </c>
      <c r="L1156" s="13" t="str">
        <f t="shared" si="76"/>
        <v>0 5-star + 0 RFC + 0 DME + 0 Patient Portal Login + 5 Completed Task</v>
      </c>
      <c r="M1156" s="13"/>
      <c r="N1156" s="13"/>
      <c r="O1156" s="14"/>
      <c r="P1156" s="14"/>
    </row>
    <row r="1157" hidden="1">
      <c r="A1157" s="6" t="s">
        <v>250</v>
      </c>
      <c r="B1157" s="16" t="s">
        <v>152</v>
      </c>
      <c r="C1157" s="16" t="s">
        <v>153</v>
      </c>
      <c r="D1157" s="16" t="s">
        <v>154</v>
      </c>
      <c r="E1157" s="17">
        <v>0.0</v>
      </c>
      <c r="F1157" s="18">
        <v>0.0</v>
      </c>
      <c r="G1157" s="18">
        <v>1.0</v>
      </c>
      <c r="H1157" s="10">
        <v>4.0</v>
      </c>
      <c r="I1157" s="19">
        <v>5.0</v>
      </c>
      <c r="J1157" s="12"/>
      <c r="K1157" s="12">
        <f t="shared" si="75"/>
        <v>2500</v>
      </c>
      <c r="L1157" s="13" t="str">
        <f t="shared" si="76"/>
        <v>0 5-star + 0 RFC + 1 DME + 4 Patient Portal Login + 5 Completed Task</v>
      </c>
      <c r="M1157" s="13"/>
      <c r="N1157" s="13"/>
      <c r="O1157" s="14"/>
      <c r="P1157" s="14"/>
    </row>
    <row r="1158" hidden="1">
      <c r="A1158" s="6" t="s">
        <v>250</v>
      </c>
      <c r="B1158" s="16" t="s">
        <v>155</v>
      </c>
      <c r="C1158" s="16" t="s">
        <v>156</v>
      </c>
      <c r="D1158" s="16" t="s">
        <v>157</v>
      </c>
      <c r="E1158" s="17">
        <v>0.0</v>
      </c>
      <c r="F1158" s="18">
        <v>1.0</v>
      </c>
      <c r="G1158" s="18">
        <v>0.0</v>
      </c>
      <c r="H1158" s="10">
        <v>0.0</v>
      </c>
      <c r="I1158" s="19">
        <v>3.0</v>
      </c>
      <c r="J1158" s="12"/>
      <c r="K1158" s="12">
        <f t="shared" si="75"/>
        <v>1250</v>
      </c>
      <c r="L1158" s="13" t="str">
        <f t="shared" si="76"/>
        <v>0 5-star + 1 RFC + 0 DME + 0 Patient Portal Login + 3 Completed Task</v>
      </c>
      <c r="M1158" s="13"/>
      <c r="N1158" s="13"/>
      <c r="O1158" s="14"/>
      <c r="P1158" s="14"/>
    </row>
    <row r="1159" hidden="1">
      <c r="A1159" s="6" t="s">
        <v>250</v>
      </c>
      <c r="B1159" s="16" t="s">
        <v>158</v>
      </c>
      <c r="C1159" s="16" t="s">
        <v>159</v>
      </c>
      <c r="D1159" s="16" t="s">
        <v>160</v>
      </c>
      <c r="E1159" s="17">
        <v>0.0</v>
      </c>
      <c r="F1159" s="18">
        <v>0.0</v>
      </c>
      <c r="G1159" s="18">
        <v>0.0</v>
      </c>
      <c r="H1159" s="10">
        <v>1.0</v>
      </c>
      <c r="I1159" s="19">
        <v>5.0</v>
      </c>
      <c r="J1159" s="12"/>
      <c r="K1159" s="12">
        <f t="shared" si="75"/>
        <v>1500</v>
      </c>
      <c r="L1159" s="13" t="str">
        <f t="shared" si="76"/>
        <v>0 5-star + 0 RFC + 0 DME + 1 Patient Portal Login + 5 Completed Task</v>
      </c>
      <c r="M1159" s="13"/>
      <c r="N1159" s="13"/>
      <c r="O1159" s="14"/>
      <c r="P1159" s="14"/>
    </row>
    <row r="1160" hidden="1">
      <c r="A1160" s="6" t="s">
        <v>250</v>
      </c>
      <c r="B1160" s="20" t="s">
        <v>161</v>
      </c>
      <c r="C1160" s="20" t="s">
        <v>162</v>
      </c>
      <c r="D1160" s="20" t="s">
        <v>163</v>
      </c>
      <c r="E1160" s="17">
        <v>0.0</v>
      </c>
      <c r="F1160" s="18">
        <v>0.0</v>
      </c>
      <c r="G1160" s="18">
        <v>0.0</v>
      </c>
      <c r="H1160" s="10">
        <v>0.0</v>
      </c>
      <c r="I1160" s="19">
        <v>4.0</v>
      </c>
      <c r="J1160" s="12"/>
      <c r="K1160" s="12">
        <f t="shared" si="75"/>
        <v>1000</v>
      </c>
      <c r="L1160" s="13" t="str">
        <f> E1160 &amp; " 5-star + " &amp; E1146 &amp; " RFC + " &amp; G1160 &amp; " DME + " &amp; H1160 &amp; " Patient Portal Login + " &amp; I1160 &amp; " Completed Task"
</f>
        <v>0 5-star + 0 RFC + 0 DME + 0 Patient Portal Login + 4 Completed Task</v>
      </c>
      <c r="M1160" s="13"/>
      <c r="N1160" s="13"/>
      <c r="O1160" s="14"/>
      <c r="P1160" s="14"/>
    </row>
    <row r="1161" hidden="1">
      <c r="A1161" s="6" t="s">
        <v>250</v>
      </c>
      <c r="B1161" s="20" t="s">
        <v>164</v>
      </c>
      <c r="C1161" s="20" t="s">
        <v>165</v>
      </c>
      <c r="D1161" s="20" t="s">
        <v>166</v>
      </c>
      <c r="E1161" s="17">
        <v>0.0</v>
      </c>
      <c r="F1161" s="18">
        <v>0.0</v>
      </c>
      <c r="G1161" s="18">
        <v>0.0</v>
      </c>
      <c r="H1161" s="10">
        <v>0.0</v>
      </c>
      <c r="I1161" s="19">
        <v>5.0</v>
      </c>
      <c r="J1161" s="12"/>
      <c r="K1161" s="12">
        <f t="shared" si="75"/>
        <v>1250</v>
      </c>
      <c r="L1161" s="13" t="str">
        <f t="shared" ref="L1161:L1198" si="77"> E1161 &amp; " 5-star + " &amp; F1161 &amp; " RFC + " &amp; G1161 &amp; " DME + " &amp; H1161 &amp; " Patient Portal Login + " &amp; I1161 &amp; " Completed Task"
</f>
        <v>0 5-star + 0 RFC + 0 DME + 0 Patient Portal Login + 5 Completed Task</v>
      </c>
      <c r="M1161" s="13"/>
      <c r="N1161" s="13"/>
      <c r="O1161" s="14"/>
      <c r="P1161" s="14"/>
    </row>
    <row r="1162" hidden="1">
      <c r="A1162" s="6" t="s">
        <v>250</v>
      </c>
      <c r="B1162" s="20" t="s">
        <v>167</v>
      </c>
      <c r="C1162" s="20" t="s">
        <v>168</v>
      </c>
      <c r="D1162" s="20" t="s">
        <v>169</v>
      </c>
      <c r="E1162" s="17">
        <v>0.0</v>
      </c>
      <c r="F1162" s="18">
        <v>3.0</v>
      </c>
      <c r="G1162" s="18">
        <v>3.0</v>
      </c>
      <c r="H1162" s="10">
        <v>0.0</v>
      </c>
      <c r="I1162" s="19">
        <v>5.0</v>
      </c>
      <c r="J1162" s="12"/>
      <c r="K1162" s="12">
        <f t="shared" si="75"/>
        <v>3500</v>
      </c>
      <c r="L1162" s="13" t="str">
        <f t="shared" si="77"/>
        <v>0 5-star + 3 RFC + 3 DME + 0 Patient Portal Login + 5 Completed Task</v>
      </c>
      <c r="M1162" s="13"/>
      <c r="N1162" s="13"/>
      <c r="O1162" s="14"/>
      <c r="P1162" s="14"/>
    </row>
    <row r="1163" hidden="1">
      <c r="A1163" s="6" t="s">
        <v>250</v>
      </c>
      <c r="B1163" s="20" t="s">
        <v>170</v>
      </c>
      <c r="C1163" s="20" t="s">
        <v>171</v>
      </c>
      <c r="D1163" s="20" t="s">
        <v>172</v>
      </c>
      <c r="E1163" s="17">
        <v>0.0</v>
      </c>
      <c r="F1163" s="18">
        <v>2.0</v>
      </c>
      <c r="G1163" s="18">
        <v>1.0</v>
      </c>
      <c r="H1163" s="10">
        <v>6.0</v>
      </c>
      <c r="I1163" s="19">
        <v>5.0</v>
      </c>
      <c r="J1163" s="12"/>
      <c r="K1163" s="12">
        <f t="shared" si="75"/>
        <v>4000</v>
      </c>
      <c r="L1163" s="13" t="str">
        <f t="shared" si="77"/>
        <v>0 5-star + 2 RFC + 1 DME + 6 Patient Portal Login + 5 Completed Task</v>
      </c>
      <c r="M1163" s="13"/>
      <c r="N1163" s="13"/>
      <c r="O1163" s="14"/>
      <c r="P1163" s="14"/>
    </row>
    <row r="1164" hidden="1">
      <c r="A1164" s="6" t="s">
        <v>250</v>
      </c>
      <c r="B1164" s="16" t="s">
        <v>173</v>
      </c>
      <c r="C1164" s="16" t="s">
        <v>174</v>
      </c>
      <c r="D1164" s="16" t="s">
        <v>175</v>
      </c>
      <c r="E1164" s="17">
        <v>0.0</v>
      </c>
      <c r="F1164" s="18">
        <v>0.0</v>
      </c>
      <c r="G1164" s="18">
        <v>0.0</v>
      </c>
      <c r="H1164" s="10">
        <v>12.0</v>
      </c>
      <c r="I1164" s="19">
        <v>4.0</v>
      </c>
      <c r="J1164" s="12"/>
      <c r="K1164" s="12">
        <f t="shared" si="75"/>
        <v>4000</v>
      </c>
      <c r="L1164" s="13" t="str">
        <f t="shared" si="77"/>
        <v>0 5-star + 0 RFC + 0 DME + 12 Patient Portal Login + 4 Completed Task</v>
      </c>
      <c r="M1164" s="13"/>
      <c r="N1164" s="13"/>
      <c r="O1164" s="14"/>
      <c r="P1164" s="14"/>
    </row>
    <row r="1165" hidden="1">
      <c r="A1165" s="6" t="s">
        <v>250</v>
      </c>
      <c r="B1165" s="16" t="s">
        <v>176</v>
      </c>
      <c r="C1165" s="16" t="s">
        <v>177</v>
      </c>
      <c r="D1165" s="16" t="s">
        <v>178</v>
      </c>
      <c r="E1165" s="17">
        <v>0.0</v>
      </c>
      <c r="F1165" s="18">
        <v>0.0</v>
      </c>
      <c r="G1165" s="18">
        <v>0.0</v>
      </c>
      <c r="H1165" s="10">
        <v>0.0</v>
      </c>
      <c r="I1165" s="19">
        <v>5.0</v>
      </c>
      <c r="J1165" s="12"/>
      <c r="K1165" s="12">
        <f t="shared" si="75"/>
        <v>1250</v>
      </c>
      <c r="L1165" s="13" t="str">
        <f t="shared" si="77"/>
        <v>0 5-star + 0 RFC + 0 DME + 0 Patient Portal Login + 5 Completed Task</v>
      </c>
      <c r="M1165" s="13"/>
      <c r="N1165" s="13"/>
      <c r="O1165" s="14"/>
      <c r="P1165" s="14"/>
    </row>
    <row r="1166" hidden="1">
      <c r="A1166" s="6" t="s">
        <v>250</v>
      </c>
      <c r="B1166" s="21" t="s">
        <v>179</v>
      </c>
      <c r="C1166" s="21" t="s">
        <v>180</v>
      </c>
      <c r="D1166" s="21" t="s">
        <v>181</v>
      </c>
      <c r="E1166" s="17">
        <v>0.0</v>
      </c>
      <c r="F1166" s="18">
        <v>3.0</v>
      </c>
      <c r="G1166" s="18">
        <v>2.0</v>
      </c>
      <c r="H1166" s="10">
        <v>25.0</v>
      </c>
      <c r="I1166" s="19">
        <v>5.0</v>
      </c>
      <c r="J1166" s="12"/>
      <c r="K1166" s="12">
        <f t="shared" si="75"/>
        <v>9500</v>
      </c>
      <c r="L1166" s="13" t="str">
        <f t="shared" si="77"/>
        <v>0 5-star + 3 RFC + 2 DME + 25 Patient Portal Login + 5 Completed Task</v>
      </c>
      <c r="M1166" s="13"/>
      <c r="N1166" s="13"/>
      <c r="O1166" s="23"/>
      <c r="P1166" s="23"/>
    </row>
    <row r="1167" hidden="1">
      <c r="A1167" s="6" t="s">
        <v>250</v>
      </c>
      <c r="B1167" s="21" t="s">
        <v>182</v>
      </c>
      <c r="C1167" s="21" t="s">
        <v>183</v>
      </c>
      <c r="D1167" s="21" t="s">
        <v>184</v>
      </c>
      <c r="E1167" s="17">
        <v>0.0</v>
      </c>
      <c r="F1167" s="18">
        <v>1.0</v>
      </c>
      <c r="G1167" s="18">
        <v>1.0</v>
      </c>
      <c r="H1167" s="10">
        <v>7.0</v>
      </c>
      <c r="I1167" s="11">
        <v>2.0</v>
      </c>
      <c r="J1167" s="12"/>
      <c r="K1167" s="12">
        <f t="shared" si="75"/>
        <v>3000</v>
      </c>
      <c r="L1167" s="13" t="str">
        <f t="shared" si="77"/>
        <v>0 5-star + 1 RFC + 1 DME + 7 Patient Portal Login + 2 Completed Task</v>
      </c>
      <c r="M1167" s="13"/>
      <c r="N1167" s="13"/>
      <c r="O1167" s="23"/>
      <c r="P1167" s="23"/>
    </row>
    <row r="1168" hidden="1">
      <c r="A1168" s="6" t="s">
        <v>250</v>
      </c>
      <c r="B1168" s="21" t="s">
        <v>185</v>
      </c>
      <c r="C1168" s="21" t="s">
        <v>186</v>
      </c>
      <c r="D1168" s="21" t="s">
        <v>187</v>
      </c>
      <c r="E1168" s="17">
        <v>3.0</v>
      </c>
      <c r="F1168" s="18">
        <v>1.0</v>
      </c>
      <c r="G1168" s="18">
        <v>1.0</v>
      </c>
      <c r="H1168" s="10">
        <v>3.0</v>
      </c>
      <c r="I1168" s="19">
        <v>4.0</v>
      </c>
      <c r="J1168" s="12"/>
      <c r="K1168" s="12">
        <f t="shared" si="75"/>
        <v>3250</v>
      </c>
      <c r="L1168" s="13" t="str">
        <f t="shared" si="77"/>
        <v>3 5-star + 1 RFC + 1 DME + 3 Patient Portal Login + 4 Completed Task</v>
      </c>
      <c r="M1168" s="13"/>
      <c r="N1168" s="13"/>
      <c r="O1168" s="23"/>
      <c r="P1168" s="23"/>
    </row>
    <row r="1169" hidden="1">
      <c r="A1169" s="6" t="s">
        <v>250</v>
      </c>
      <c r="B1169" s="21" t="s">
        <v>188</v>
      </c>
      <c r="C1169" s="21" t="s">
        <v>189</v>
      </c>
      <c r="D1169" s="21" t="s">
        <v>190</v>
      </c>
      <c r="E1169" s="17">
        <v>0.0</v>
      </c>
      <c r="F1169" s="18">
        <v>1.0</v>
      </c>
      <c r="G1169" s="18">
        <v>0.0</v>
      </c>
      <c r="H1169" s="10">
        <v>0.0</v>
      </c>
      <c r="I1169" s="19">
        <v>3.0</v>
      </c>
      <c r="J1169" s="12"/>
      <c r="K1169" s="12">
        <f t="shared" si="75"/>
        <v>1250</v>
      </c>
      <c r="L1169" s="13" t="str">
        <f t="shared" si="77"/>
        <v>0 5-star + 1 RFC + 0 DME + 0 Patient Portal Login + 3 Completed Task</v>
      </c>
      <c r="M1169" s="13"/>
      <c r="N1169" s="13"/>
      <c r="O1169" s="23"/>
      <c r="P1169" s="23"/>
    </row>
    <row r="1170" hidden="1">
      <c r="A1170" s="6" t="s">
        <v>250</v>
      </c>
      <c r="B1170" s="21" t="s">
        <v>191</v>
      </c>
      <c r="C1170" s="21" t="s">
        <v>192</v>
      </c>
      <c r="D1170" s="21" t="s">
        <v>193</v>
      </c>
      <c r="E1170" s="17">
        <v>0.0</v>
      </c>
      <c r="F1170" s="18">
        <v>1.0</v>
      </c>
      <c r="G1170" s="18">
        <v>0.0</v>
      </c>
      <c r="H1170" s="10">
        <v>8.0</v>
      </c>
      <c r="I1170" s="19">
        <v>5.0</v>
      </c>
      <c r="J1170" s="12"/>
      <c r="K1170" s="12">
        <f t="shared" si="75"/>
        <v>3750</v>
      </c>
      <c r="L1170" s="13" t="str">
        <f t="shared" si="77"/>
        <v>0 5-star + 1 RFC + 0 DME + 8 Patient Portal Login + 5 Completed Task</v>
      </c>
      <c r="M1170" s="13"/>
      <c r="N1170" s="13"/>
      <c r="O1170" s="23"/>
      <c r="P1170" s="23"/>
    </row>
    <row r="1171" hidden="1">
      <c r="A1171" s="6" t="s">
        <v>250</v>
      </c>
      <c r="B1171" s="21" t="s">
        <v>194</v>
      </c>
      <c r="C1171" s="21" t="s">
        <v>195</v>
      </c>
      <c r="D1171" s="21" t="s">
        <v>196</v>
      </c>
      <c r="E1171" s="17">
        <v>0.0</v>
      </c>
      <c r="F1171" s="18">
        <v>2.0</v>
      </c>
      <c r="G1171" s="18">
        <v>0.0</v>
      </c>
      <c r="H1171" s="10">
        <v>4.0</v>
      </c>
      <c r="I1171" s="19">
        <v>5.0</v>
      </c>
      <c r="J1171" s="12"/>
      <c r="K1171" s="12">
        <f t="shared" si="75"/>
        <v>3250</v>
      </c>
      <c r="L1171" s="13" t="str">
        <f t="shared" si="77"/>
        <v>0 5-star + 2 RFC + 0 DME + 4 Patient Portal Login + 5 Completed Task</v>
      </c>
      <c r="M1171" s="13"/>
      <c r="N1171" s="13"/>
      <c r="O1171" s="23"/>
      <c r="P1171" s="23"/>
    </row>
    <row r="1172" hidden="1">
      <c r="A1172" s="6" t="s">
        <v>250</v>
      </c>
      <c r="B1172" s="21" t="s">
        <v>197</v>
      </c>
      <c r="C1172" s="21" t="s">
        <v>198</v>
      </c>
      <c r="D1172" s="21" t="s">
        <v>199</v>
      </c>
      <c r="E1172" s="17">
        <v>0.0</v>
      </c>
      <c r="F1172" s="18">
        <v>0.0</v>
      </c>
      <c r="G1172" s="18">
        <v>0.0</v>
      </c>
      <c r="H1172" s="10">
        <v>5.0</v>
      </c>
      <c r="I1172" s="19">
        <v>5.0</v>
      </c>
      <c r="J1172" s="12"/>
      <c r="K1172" s="12">
        <f t="shared" si="75"/>
        <v>2500</v>
      </c>
      <c r="L1172" s="13" t="str">
        <f t="shared" si="77"/>
        <v>0 5-star + 0 RFC + 0 DME + 5 Patient Portal Login + 5 Completed Task</v>
      </c>
      <c r="M1172" s="13"/>
      <c r="N1172" s="13"/>
      <c r="O1172" s="23"/>
      <c r="P1172" s="23"/>
    </row>
    <row r="1173" hidden="1">
      <c r="A1173" s="6" t="s">
        <v>250</v>
      </c>
      <c r="B1173" s="21" t="s">
        <v>200</v>
      </c>
      <c r="C1173" s="21" t="s">
        <v>201</v>
      </c>
      <c r="D1173" s="21" t="s">
        <v>202</v>
      </c>
      <c r="E1173" s="17">
        <v>0.0</v>
      </c>
      <c r="F1173" s="18">
        <v>0.0</v>
      </c>
      <c r="G1173" s="18">
        <v>0.0</v>
      </c>
      <c r="H1173" s="10">
        <v>2.0</v>
      </c>
      <c r="I1173" s="19">
        <v>3.0</v>
      </c>
      <c r="J1173" s="12"/>
      <c r="K1173" s="12">
        <f t="shared" si="75"/>
        <v>1250</v>
      </c>
      <c r="L1173" s="13" t="str">
        <f t="shared" si="77"/>
        <v>0 5-star + 0 RFC + 0 DME + 2 Patient Portal Login + 3 Completed Task</v>
      </c>
      <c r="M1173" s="13"/>
      <c r="N1173" s="13"/>
      <c r="O1173" s="23"/>
      <c r="P1173" s="23"/>
    </row>
    <row r="1174" hidden="1">
      <c r="A1174" s="6" t="s">
        <v>254</v>
      </c>
      <c r="B1174" s="16" t="s">
        <v>53</v>
      </c>
      <c r="C1174" s="16" t="s">
        <v>54</v>
      </c>
      <c r="D1174" s="16" t="s">
        <v>55</v>
      </c>
      <c r="E1174" s="17">
        <v>1.0</v>
      </c>
      <c r="F1174" s="18">
        <v>4.0</v>
      </c>
      <c r="G1174" s="18">
        <v>1.0</v>
      </c>
      <c r="H1174" s="10">
        <v>7.0</v>
      </c>
      <c r="I1174" s="19">
        <v>5.0</v>
      </c>
      <c r="J1174" s="12"/>
      <c r="K1174" s="12">
        <f t="shared" si="75"/>
        <v>5500</v>
      </c>
      <c r="L1174" s="13" t="str">
        <f t="shared" si="77"/>
        <v>1 5-star + 4 RFC + 1 DME + 7 Patient Portal Login + 5 Completed Task</v>
      </c>
      <c r="M1174" s="13"/>
      <c r="N1174" s="13"/>
      <c r="O1174" s="14"/>
      <c r="P1174" s="14"/>
    </row>
    <row r="1175" hidden="1">
      <c r="A1175" s="6" t="s">
        <v>254</v>
      </c>
      <c r="B1175" s="16" t="s">
        <v>56</v>
      </c>
      <c r="C1175" s="16" t="s">
        <v>57</v>
      </c>
      <c r="D1175" s="16" t="s">
        <v>58</v>
      </c>
      <c r="E1175" s="17">
        <v>0.0</v>
      </c>
      <c r="F1175" s="18">
        <v>1.0</v>
      </c>
      <c r="G1175" s="18">
        <v>0.0</v>
      </c>
      <c r="H1175" s="10">
        <v>0.0</v>
      </c>
      <c r="I1175" s="19">
        <v>5.0</v>
      </c>
      <c r="J1175" s="12"/>
      <c r="K1175" s="12">
        <f t="shared" si="75"/>
        <v>1750</v>
      </c>
      <c r="L1175" s="13" t="str">
        <f t="shared" si="77"/>
        <v>0 5-star + 1 RFC + 0 DME + 0 Patient Portal Login + 5 Completed Task</v>
      </c>
      <c r="M1175" s="13"/>
      <c r="N1175" s="13"/>
      <c r="O1175" s="14"/>
      <c r="P1175" s="14"/>
    </row>
    <row r="1176" hidden="1">
      <c r="A1176" s="6" t="s">
        <v>254</v>
      </c>
      <c r="B1176" s="16" t="s">
        <v>59</v>
      </c>
      <c r="C1176" s="16" t="s">
        <v>60</v>
      </c>
      <c r="D1176" s="16" t="s">
        <v>61</v>
      </c>
      <c r="E1176" s="17">
        <v>1.0</v>
      </c>
      <c r="F1176" s="18">
        <v>0.0</v>
      </c>
      <c r="G1176" s="18">
        <v>0.0</v>
      </c>
      <c r="H1176" s="10">
        <v>0.0</v>
      </c>
      <c r="I1176" s="19">
        <v>0.0</v>
      </c>
      <c r="J1176" s="12"/>
      <c r="K1176" s="12">
        <f t="shared" si="75"/>
        <v>250</v>
      </c>
      <c r="L1176" s="13" t="str">
        <f t="shared" si="77"/>
        <v>1 5-star + 0 RFC + 0 DME + 0 Patient Portal Login + 0 Completed Task</v>
      </c>
      <c r="M1176" s="13"/>
      <c r="N1176" s="13"/>
      <c r="O1176" s="14"/>
      <c r="P1176" s="14"/>
    </row>
    <row r="1177" hidden="1">
      <c r="A1177" s="6" t="s">
        <v>254</v>
      </c>
      <c r="B1177" s="16" t="s">
        <v>62</v>
      </c>
      <c r="C1177" s="16" t="s">
        <v>63</v>
      </c>
      <c r="D1177" s="16" t="s">
        <v>64</v>
      </c>
      <c r="E1177" s="17">
        <v>1.0</v>
      </c>
      <c r="F1177" s="18">
        <v>0.0</v>
      </c>
      <c r="G1177" s="18">
        <v>0.0</v>
      </c>
      <c r="H1177" s="10">
        <v>4.0</v>
      </c>
      <c r="I1177" s="19">
        <v>4.0</v>
      </c>
      <c r="J1177" s="12"/>
      <c r="K1177" s="12">
        <f t="shared" si="75"/>
        <v>2250</v>
      </c>
      <c r="L1177" s="13" t="str">
        <f t="shared" si="77"/>
        <v>1 5-star + 0 RFC + 0 DME + 4 Patient Portal Login + 4 Completed Task</v>
      </c>
      <c r="M1177" s="13"/>
      <c r="N1177" s="13"/>
      <c r="O1177" s="14"/>
      <c r="P1177" s="14"/>
    </row>
    <row r="1178" hidden="1">
      <c r="A1178" s="6" t="s">
        <v>254</v>
      </c>
      <c r="B1178" s="16" t="s">
        <v>251</v>
      </c>
      <c r="C1178" s="16" t="s">
        <v>252</v>
      </c>
      <c r="D1178" s="16" t="s">
        <v>253</v>
      </c>
      <c r="E1178" s="17">
        <v>2.0</v>
      </c>
      <c r="F1178" s="18">
        <v>5.0</v>
      </c>
      <c r="G1178" s="18">
        <v>3.0</v>
      </c>
      <c r="H1178" s="10">
        <v>13.0</v>
      </c>
      <c r="I1178" s="19">
        <v>2.0</v>
      </c>
      <c r="J1178" s="12"/>
      <c r="K1178" s="12">
        <f t="shared" si="75"/>
        <v>7500</v>
      </c>
      <c r="L1178" s="13" t="str">
        <f t="shared" si="77"/>
        <v>2 5-star + 5 RFC + 3 DME + 13 Patient Portal Login + 2 Completed Task</v>
      </c>
      <c r="M1178" s="13"/>
      <c r="N1178" s="13"/>
      <c r="O1178" s="14"/>
      <c r="P1178" s="14"/>
    </row>
    <row r="1179" hidden="1">
      <c r="A1179" s="6" t="s">
        <v>254</v>
      </c>
      <c r="B1179" s="16" t="s">
        <v>65</v>
      </c>
      <c r="C1179" s="16" t="s">
        <v>66</v>
      </c>
      <c r="D1179" s="16" t="s">
        <v>67</v>
      </c>
      <c r="E1179" s="17">
        <v>0.0</v>
      </c>
      <c r="F1179" s="18">
        <v>0.0</v>
      </c>
      <c r="G1179" s="18">
        <v>0.0</v>
      </c>
      <c r="H1179" s="10">
        <v>3.0</v>
      </c>
      <c r="I1179" s="19">
        <v>3.0</v>
      </c>
      <c r="J1179" s="12"/>
      <c r="K1179" s="12">
        <f t="shared" si="75"/>
        <v>1500</v>
      </c>
      <c r="L1179" s="13" t="str">
        <f t="shared" si="77"/>
        <v>0 5-star + 0 RFC + 0 DME + 3 Patient Portal Login + 3 Completed Task</v>
      </c>
      <c r="M1179" s="13"/>
      <c r="N1179" s="13"/>
      <c r="O1179" s="14"/>
      <c r="P1179" s="14"/>
    </row>
    <row r="1180" hidden="1">
      <c r="A1180" s="6" t="s">
        <v>254</v>
      </c>
      <c r="B1180" s="16" t="s">
        <v>68</v>
      </c>
      <c r="C1180" s="16" t="s">
        <v>69</v>
      </c>
      <c r="D1180" s="16" t="s">
        <v>70</v>
      </c>
      <c r="E1180" s="17">
        <v>0.0</v>
      </c>
      <c r="F1180" s="18">
        <v>0.0</v>
      </c>
      <c r="G1180" s="18">
        <v>1.0</v>
      </c>
      <c r="H1180" s="10">
        <v>4.0</v>
      </c>
      <c r="I1180" s="19">
        <v>2.0</v>
      </c>
      <c r="J1180" s="12"/>
      <c r="K1180" s="12">
        <f t="shared" si="75"/>
        <v>1750</v>
      </c>
      <c r="L1180" s="13" t="str">
        <f t="shared" si="77"/>
        <v>0 5-star + 0 RFC + 1 DME + 4 Patient Portal Login + 2 Completed Task</v>
      </c>
      <c r="M1180" s="13"/>
      <c r="N1180" s="13"/>
      <c r="O1180" s="14"/>
      <c r="P1180" s="14"/>
    </row>
    <row r="1181" hidden="1">
      <c r="A1181" s="6" t="s">
        <v>254</v>
      </c>
      <c r="B1181" s="16" t="s">
        <v>71</v>
      </c>
      <c r="C1181" s="16" t="s">
        <v>72</v>
      </c>
      <c r="D1181" s="16" t="s">
        <v>73</v>
      </c>
      <c r="E1181" s="17">
        <v>0.0</v>
      </c>
      <c r="F1181" s="18">
        <v>0.0</v>
      </c>
      <c r="G1181" s="18">
        <v>0.0</v>
      </c>
      <c r="H1181" s="10">
        <v>5.0</v>
      </c>
      <c r="I1181" s="19">
        <v>2.0</v>
      </c>
      <c r="J1181" s="12"/>
      <c r="K1181" s="12">
        <f t="shared" si="75"/>
        <v>1750</v>
      </c>
      <c r="L1181" s="13" t="str">
        <f t="shared" si="77"/>
        <v>0 5-star + 0 RFC + 0 DME + 5 Patient Portal Login + 2 Completed Task</v>
      </c>
      <c r="M1181" s="13"/>
      <c r="N1181" s="13"/>
      <c r="O1181" s="14"/>
      <c r="P1181" s="14"/>
    </row>
    <row r="1182" hidden="1">
      <c r="A1182" s="6" t="s">
        <v>254</v>
      </c>
      <c r="B1182" s="16" t="s">
        <v>74</v>
      </c>
      <c r="C1182" s="16" t="s">
        <v>75</v>
      </c>
      <c r="D1182" s="16" t="s">
        <v>76</v>
      </c>
      <c r="E1182" s="17">
        <v>2.0</v>
      </c>
      <c r="F1182" s="18">
        <v>1.0</v>
      </c>
      <c r="G1182" s="18">
        <v>0.0</v>
      </c>
      <c r="H1182" s="10">
        <v>9.0</v>
      </c>
      <c r="I1182" s="19">
        <v>5.0</v>
      </c>
      <c r="J1182" s="12"/>
      <c r="K1182" s="12">
        <f t="shared" si="75"/>
        <v>4500</v>
      </c>
      <c r="L1182" s="13" t="str">
        <f t="shared" si="77"/>
        <v>2 5-star + 1 RFC + 0 DME + 9 Patient Portal Login + 5 Completed Task</v>
      </c>
      <c r="M1182" s="13"/>
      <c r="N1182" s="13"/>
      <c r="O1182" s="14"/>
      <c r="P1182" s="14"/>
    </row>
    <row r="1183" hidden="1">
      <c r="A1183" s="6" t="s">
        <v>254</v>
      </c>
      <c r="B1183" s="16" t="s">
        <v>77</v>
      </c>
      <c r="C1183" s="16" t="s">
        <v>78</v>
      </c>
      <c r="D1183" s="16" t="s">
        <v>79</v>
      </c>
      <c r="E1183" s="17">
        <v>6.0</v>
      </c>
      <c r="F1183" s="18">
        <v>0.0</v>
      </c>
      <c r="G1183" s="18">
        <v>0.0</v>
      </c>
      <c r="H1183" s="10">
        <v>2.0</v>
      </c>
      <c r="I1183" s="19">
        <v>2.0</v>
      </c>
      <c r="J1183" s="12"/>
      <c r="K1183" s="12">
        <f t="shared" si="75"/>
        <v>2500</v>
      </c>
      <c r="L1183" s="13" t="str">
        <f t="shared" si="77"/>
        <v>6 5-star + 0 RFC + 0 DME + 2 Patient Portal Login + 2 Completed Task</v>
      </c>
      <c r="M1183" s="13"/>
      <c r="N1183" s="13"/>
      <c r="O1183" s="14"/>
      <c r="P1183" s="14"/>
    </row>
    <row r="1184" hidden="1">
      <c r="A1184" s="6" t="s">
        <v>254</v>
      </c>
      <c r="B1184" s="16" t="s">
        <v>80</v>
      </c>
      <c r="C1184" s="16" t="s">
        <v>81</v>
      </c>
      <c r="D1184" s="16" t="s">
        <v>82</v>
      </c>
      <c r="E1184" s="17">
        <v>0.0</v>
      </c>
      <c r="F1184" s="18">
        <v>0.0</v>
      </c>
      <c r="G1184" s="18">
        <v>0.0</v>
      </c>
      <c r="H1184" s="10">
        <v>0.0</v>
      </c>
      <c r="I1184" s="19">
        <v>3.0</v>
      </c>
      <c r="J1184" s="12"/>
      <c r="K1184" s="12">
        <f t="shared" si="75"/>
        <v>750</v>
      </c>
      <c r="L1184" s="13" t="str">
        <f t="shared" si="77"/>
        <v>0 5-star + 0 RFC + 0 DME + 0 Patient Portal Login + 3 Completed Task</v>
      </c>
      <c r="M1184" s="13"/>
      <c r="N1184" s="13"/>
      <c r="O1184" s="14"/>
      <c r="P1184" s="14"/>
    </row>
    <row r="1185" hidden="1">
      <c r="A1185" s="6" t="s">
        <v>254</v>
      </c>
      <c r="B1185" s="7" t="s">
        <v>83</v>
      </c>
      <c r="C1185" s="16" t="s">
        <v>84</v>
      </c>
      <c r="D1185" s="16" t="s">
        <v>85</v>
      </c>
      <c r="E1185" s="17">
        <v>2.0</v>
      </c>
      <c r="F1185" s="18">
        <v>5.0</v>
      </c>
      <c r="G1185" s="18">
        <v>3.0</v>
      </c>
      <c r="H1185" s="10">
        <v>13.0</v>
      </c>
      <c r="I1185" s="19">
        <v>2.0</v>
      </c>
      <c r="J1185" s="12"/>
      <c r="K1185" s="12">
        <f t="shared" si="75"/>
        <v>7500</v>
      </c>
      <c r="L1185" s="13" t="str">
        <f t="shared" si="77"/>
        <v>2 5-star + 5 RFC + 3 DME + 13 Patient Portal Login + 2 Completed Task</v>
      </c>
      <c r="M1185" s="13"/>
      <c r="N1185" s="13"/>
      <c r="O1185" s="14"/>
      <c r="P1185" s="14"/>
    </row>
    <row r="1186" hidden="1">
      <c r="A1186" s="56" t="s">
        <v>254</v>
      </c>
      <c r="B1186" s="57" t="s">
        <v>255</v>
      </c>
      <c r="C1186" s="57" t="s">
        <v>256</v>
      </c>
      <c r="D1186" s="57" t="s">
        <v>257</v>
      </c>
      <c r="E1186" s="58">
        <v>0.0</v>
      </c>
      <c r="F1186" s="58">
        <v>1.0</v>
      </c>
      <c r="G1186" s="58">
        <v>0.0</v>
      </c>
      <c r="H1186" s="58">
        <v>0.0</v>
      </c>
      <c r="I1186" s="58">
        <v>0.0</v>
      </c>
      <c r="J1186" s="55"/>
      <c r="K1186" s="55">
        <f t="shared" si="75"/>
        <v>500</v>
      </c>
      <c r="L1186" s="59" t="str">
        <f t="shared" si="77"/>
        <v>0 5-star + 1 RFC + 0 DME + 0 Patient Portal Login + 0 Completed Task</v>
      </c>
      <c r="M1186" s="59"/>
      <c r="N1186" s="59"/>
      <c r="O1186" s="60"/>
      <c r="P1186" s="60"/>
    </row>
    <row r="1187" hidden="1">
      <c r="A1187" s="6" t="s">
        <v>254</v>
      </c>
      <c r="B1187" s="16" t="s">
        <v>86</v>
      </c>
      <c r="C1187" s="16" t="s">
        <v>87</v>
      </c>
      <c r="D1187" s="16" t="s">
        <v>88</v>
      </c>
      <c r="E1187" s="17">
        <v>0.0</v>
      </c>
      <c r="F1187" s="18">
        <v>2.0</v>
      </c>
      <c r="G1187" s="18">
        <v>0.0</v>
      </c>
      <c r="H1187" s="10">
        <v>1.0</v>
      </c>
      <c r="I1187" s="19">
        <v>5.0</v>
      </c>
      <c r="J1187" s="12"/>
      <c r="K1187" s="12">
        <f t="shared" si="75"/>
        <v>2500</v>
      </c>
      <c r="L1187" s="13" t="str">
        <f t="shared" si="77"/>
        <v>0 5-star + 2 RFC + 0 DME + 1 Patient Portal Login + 5 Completed Task</v>
      </c>
      <c r="M1187" s="13"/>
      <c r="N1187" s="13"/>
      <c r="O1187" s="14"/>
      <c r="P1187" s="14"/>
    </row>
    <row r="1188" hidden="1">
      <c r="A1188" s="6" t="s">
        <v>254</v>
      </c>
      <c r="B1188" s="16" t="s">
        <v>89</v>
      </c>
      <c r="C1188" s="16" t="s">
        <v>90</v>
      </c>
      <c r="D1188" s="16" t="s">
        <v>91</v>
      </c>
      <c r="E1188" s="17">
        <v>0.0</v>
      </c>
      <c r="F1188" s="18">
        <v>1.0</v>
      </c>
      <c r="G1188" s="18">
        <v>0.0</v>
      </c>
      <c r="H1188" s="10">
        <v>2.0</v>
      </c>
      <c r="I1188" s="19">
        <v>1.0</v>
      </c>
      <c r="J1188" s="12"/>
      <c r="K1188" s="12">
        <f t="shared" si="75"/>
        <v>1250</v>
      </c>
      <c r="L1188" s="13" t="str">
        <f t="shared" si="77"/>
        <v>0 5-star + 1 RFC + 0 DME + 2 Patient Portal Login + 1 Completed Task</v>
      </c>
      <c r="M1188" s="13"/>
      <c r="N1188" s="13"/>
      <c r="O1188" s="14"/>
      <c r="P1188" s="14"/>
    </row>
    <row r="1189" hidden="1">
      <c r="A1189" s="6" t="s">
        <v>254</v>
      </c>
      <c r="B1189" s="16" t="s">
        <v>92</v>
      </c>
      <c r="C1189" s="16" t="s">
        <v>93</v>
      </c>
      <c r="D1189" s="16" t="s">
        <v>94</v>
      </c>
      <c r="E1189" s="17">
        <v>1.0</v>
      </c>
      <c r="F1189" s="18">
        <v>0.0</v>
      </c>
      <c r="G1189" s="18">
        <v>0.0</v>
      </c>
      <c r="H1189" s="10">
        <v>1.0</v>
      </c>
      <c r="I1189" s="19">
        <v>5.0</v>
      </c>
      <c r="J1189" s="12"/>
      <c r="K1189" s="12">
        <f t="shared" si="75"/>
        <v>1750</v>
      </c>
      <c r="L1189" s="13" t="str">
        <f t="shared" si="77"/>
        <v>1 5-star + 0 RFC + 0 DME + 1 Patient Portal Login + 5 Completed Task</v>
      </c>
      <c r="M1189" s="13"/>
      <c r="N1189" s="13"/>
      <c r="O1189" s="14"/>
      <c r="P1189" s="14"/>
    </row>
    <row r="1190" hidden="1">
      <c r="A1190" s="6" t="s">
        <v>254</v>
      </c>
      <c r="B1190" s="7" t="s">
        <v>95</v>
      </c>
      <c r="C1190" s="16" t="s">
        <v>96</v>
      </c>
      <c r="D1190" s="16" t="s">
        <v>97</v>
      </c>
      <c r="E1190" s="17">
        <v>0.0</v>
      </c>
      <c r="F1190" s="18">
        <v>0.0</v>
      </c>
      <c r="G1190" s="18">
        <v>1.0</v>
      </c>
      <c r="H1190" s="10">
        <v>12.0</v>
      </c>
      <c r="I1190" s="19">
        <v>5.0</v>
      </c>
      <c r="J1190" s="12"/>
      <c r="K1190" s="12">
        <f t="shared" si="75"/>
        <v>4500</v>
      </c>
      <c r="L1190" s="13" t="str">
        <f t="shared" si="77"/>
        <v>0 5-star + 0 RFC + 1 DME + 12 Patient Portal Login + 5 Completed Task</v>
      </c>
      <c r="M1190" s="13"/>
      <c r="N1190" s="13"/>
      <c r="O1190" s="14"/>
      <c r="P1190" s="14"/>
    </row>
    <row r="1191" hidden="1">
      <c r="A1191" s="6" t="s">
        <v>254</v>
      </c>
      <c r="B1191" s="16" t="s">
        <v>98</v>
      </c>
      <c r="C1191" s="16" t="s">
        <v>99</v>
      </c>
      <c r="D1191" s="16" t="s">
        <v>100</v>
      </c>
      <c r="E1191" s="17">
        <v>0.0</v>
      </c>
      <c r="F1191" s="18">
        <v>0.0</v>
      </c>
      <c r="G1191" s="18">
        <v>0.0</v>
      </c>
      <c r="H1191" s="10">
        <v>1.0</v>
      </c>
      <c r="I1191" s="19">
        <v>4.0</v>
      </c>
      <c r="J1191" s="12"/>
      <c r="K1191" s="12">
        <f t="shared" si="75"/>
        <v>1250</v>
      </c>
      <c r="L1191" s="13" t="str">
        <f t="shared" si="77"/>
        <v>0 5-star + 0 RFC + 0 DME + 1 Patient Portal Login + 4 Completed Task</v>
      </c>
      <c r="M1191" s="13"/>
      <c r="N1191" s="13"/>
      <c r="O1191" s="14"/>
      <c r="P1191" s="14"/>
    </row>
    <row r="1192" hidden="1">
      <c r="A1192" s="6" t="s">
        <v>254</v>
      </c>
      <c r="B1192" s="7" t="s">
        <v>101</v>
      </c>
      <c r="C1192" s="16" t="s">
        <v>102</v>
      </c>
      <c r="D1192" s="16" t="s">
        <v>103</v>
      </c>
      <c r="E1192" s="17">
        <v>0.0</v>
      </c>
      <c r="F1192" s="18">
        <v>0.0</v>
      </c>
      <c r="G1192" s="18">
        <v>1.0</v>
      </c>
      <c r="H1192" s="10">
        <v>3.0</v>
      </c>
      <c r="I1192" s="19">
        <v>3.0</v>
      </c>
      <c r="J1192" s="12"/>
      <c r="K1192" s="12">
        <f t="shared" si="75"/>
        <v>1750</v>
      </c>
      <c r="L1192" s="13" t="str">
        <f t="shared" si="77"/>
        <v>0 5-star + 0 RFC + 1 DME + 3 Patient Portal Login + 3 Completed Task</v>
      </c>
      <c r="M1192" s="13"/>
      <c r="N1192" s="13"/>
      <c r="O1192" s="14"/>
      <c r="P1192" s="14"/>
    </row>
    <row r="1193" hidden="1">
      <c r="A1193" s="6" t="s">
        <v>254</v>
      </c>
      <c r="B1193" s="16" t="s">
        <v>104</v>
      </c>
      <c r="C1193" s="16" t="s">
        <v>105</v>
      </c>
      <c r="D1193" s="16" t="s">
        <v>106</v>
      </c>
      <c r="E1193" s="17">
        <v>1.0</v>
      </c>
      <c r="F1193" s="18">
        <v>3.0</v>
      </c>
      <c r="G1193" s="18">
        <v>0.0</v>
      </c>
      <c r="H1193" s="10">
        <v>5.0</v>
      </c>
      <c r="I1193" s="19">
        <v>5.0</v>
      </c>
      <c r="J1193" s="12"/>
      <c r="K1193" s="12">
        <f t="shared" si="75"/>
        <v>4250</v>
      </c>
      <c r="L1193" s="13" t="str">
        <f t="shared" si="77"/>
        <v>1 5-star + 3 RFC + 0 DME + 5 Patient Portal Login + 5 Completed Task</v>
      </c>
      <c r="M1193" s="13"/>
      <c r="N1193" s="13"/>
      <c r="O1193" s="14"/>
      <c r="P1193" s="14"/>
    </row>
    <row r="1194" hidden="1">
      <c r="A1194" s="6" t="s">
        <v>254</v>
      </c>
      <c r="B1194" s="16" t="s">
        <v>107</v>
      </c>
      <c r="C1194" s="16" t="s">
        <v>108</v>
      </c>
      <c r="D1194" s="16" t="s">
        <v>109</v>
      </c>
      <c r="E1194" s="17">
        <v>0.0</v>
      </c>
      <c r="F1194" s="18">
        <v>0.0</v>
      </c>
      <c r="G1194" s="18">
        <v>0.0</v>
      </c>
      <c r="H1194" s="10">
        <v>1.0</v>
      </c>
      <c r="I1194" s="19">
        <v>4.0</v>
      </c>
      <c r="J1194" s="12"/>
      <c r="K1194" s="12">
        <f t="shared" si="75"/>
        <v>1250</v>
      </c>
      <c r="L1194" s="13" t="str">
        <f t="shared" si="77"/>
        <v>0 5-star + 0 RFC + 0 DME + 1 Patient Portal Login + 4 Completed Task</v>
      </c>
      <c r="M1194" s="13"/>
      <c r="N1194" s="13"/>
      <c r="O1194" s="14"/>
      <c r="P1194" s="14"/>
    </row>
    <row r="1195" hidden="1">
      <c r="A1195" s="6" t="s">
        <v>254</v>
      </c>
      <c r="B1195" s="16" t="s">
        <v>110</v>
      </c>
      <c r="C1195" s="16" t="s">
        <v>111</v>
      </c>
      <c r="D1195" s="16" t="s">
        <v>112</v>
      </c>
      <c r="E1195" s="17">
        <v>0.0</v>
      </c>
      <c r="F1195" s="18">
        <v>2.0</v>
      </c>
      <c r="G1195" s="18">
        <v>0.0</v>
      </c>
      <c r="H1195" s="10">
        <v>0.0</v>
      </c>
      <c r="I1195" s="19">
        <v>4.0</v>
      </c>
      <c r="J1195" s="12"/>
      <c r="K1195" s="12">
        <f t="shared" si="75"/>
        <v>2000</v>
      </c>
      <c r="L1195" s="13" t="str">
        <f t="shared" si="77"/>
        <v>0 5-star + 2 RFC + 0 DME + 0 Patient Portal Login + 4 Completed Task</v>
      </c>
      <c r="M1195" s="13"/>
      <c r="N1195" s="13"/>
      <c r="O1195" s="14"/>
      <c r="P1195" s="14"/>
    </row>
    <row r="1196" hidden="1">
      <c r="A1196" s="6" t="s">
        <v>254</v>
      </c>
      <c r="B1196" s="16" t="s">
        <v>113</v>
      </c>
      <c r="C1196" s="16" t="s">
        <v>114</v>
      </c>
      <c r="D1196" s="16" t="s">
        <v>115</v>
      </c>
      <c r="E1196" s="17">
        <v>0.0</v>
      </c>
      <c r="F1196" s="18">
        <v>2.0</v>
      </c>
      <c r="G1196" s="18">
        <v>0.0</v>
      </c>
      <c r="H1196" s="10">
        <v>9.0</v>
      </c>
      <c r="I1196" s="19">
        <v>5.0</v>
      </c>
      <c r="J1196" s="12"/>
      <c r="K1196" s="12">
        <f t="shared" si="75"/>
        <v>4500</v>
      </c>
      <c r="L1196" s="13" t="str">
        <f t="shared" si="77"/>
        <v>0 5-star + 2 RFC + 0 DME + 9 Patient Portal Login + 5 Completed Task</v>
      </c>
      <c r="M1196" s="13"/>
      <c r="N1196" s="13"/>
      <c r="O1196" s="14"/>
      <c r="P1196" s="14"/>
    </row>
    <row r="1197" hidden="1">
      <c r="A1197" s="6" t="s">
        <v>254</v>
      </c>
      <c r="B1197" s="7" t="s">
        <v>116</v>
      </c>
      <c r="C1197" s="16" t="s">
        <v>117</v>
      </c>
      <c r="D1197" s="16" t="s">
        <v>118</v>
      </c>
      <c r="E1197" s="17">
        <v>0.0</v>
      </c>
      <c r="F1197" s="18">
        <v>0.0</v>
      </c>
      <c r="G1197" s="18">
        <v>0.0</v>
      </c>
      <c r="H1197" s="10">
        <v>1.0</v>
      </c>
      <c r="I1197" s="19">
        <v>3.0</v>
      </c>
      <c r="J1197" s="12"/>
      <c r="K1197" s="12">
        <f t="shared" si="75"/>
        <v>1000</v>
      </c>
      <c r="L1197" s="13" t="str">
        <f t="shared" si="77"/>
        <v>0 5-star + 0 RFC + 0 DME + 1 Patient Portal Login + 3 Completed Task</v>
      </c>
      <c r="M1197" s="13"/>
      <c r="N1197" s="13"/>
      <c r="O1197" s="14"/>
      <c r="P1197" s="14"/>
    </row>
    <row r="1198" hidden="1">
      <c r="A1198" s="6" t="s">
        <v>254</v>
      </c>
      <c r="B1198" s="16" t="s">
        <v>119</v>
      </c>
      <c r="C1198" s="16" t="s">
        <v>120</v>
      </c>
      <c r="D1198" s="16" t="s">
        <v>121</v>
      </c>
      <c r="E1198" s="17">
        <v>0.0</v>
      </c>
      <c r="F1198" s="18">
        <v>0.0</v>
      </c>
      <c r="G1198" s="18">
        <v>0.0</v>
      </c>
      <c r="H1198" s="10">
        <v>0.0</v>
      </c>
      <c r="I1198" s="19">
        <v>5.0</v>
      </c>
      <c r="J1198" s="12"/>
      <c r="K1198" s="12">
        <f t="shared" si="75"/>
        <v>1250</v>
      </c>
      <c r="L1198" s="13" t="str">
        <f t="shared" si="77"/>
        <v>0 5-star + 0 RFC + 0 DME + 0 Patient Portal Login + 5 Completed Task</v>
      </c>
      <c r="M1198" s="13"/>
      <c r="N1198" s="13"/>
      <c r="O1198" s="14"/>
      <c r="P1198" s="14"/>
    </row>
    <row r="1199" hidden="1">
      <c r="A1199" s="6" t="s">
        <v>254</v>
      </c>
      <c r="B1199" s="16" t="s">
        <v>122</v>
      </c>
      <c r="C1199" s="16" t="s">
        <v>123</v>
      </c>
      <c r="D1199" s="16" t="s">
        <v>124</v>
      </c>
      <c r="E1199" s="17">
        <v>0.0</v>
      </c>
      <c r="F1199" s="18">
        <v>0.0</v>
      </c>
      <c r="G1199" s="18">
        <v>0.0</v>
      </c>
      <c r="H1199" s="10">
        <v>3.0</v>
      </c>
      <c r="I1199" s="19">
        <v>5.0</v>
      </c>
      <c r="J1199" s="12"/>
      <c r="K1199" s="12">
        <f>sum(E1199*250)+(F1199*500)+(G1198*250)+(H1199*250)+(I1199*250)</f>
        <v>2000</v>
      </c>
      <c r="L1199" s="13" t="str">
        <f> E1199 &amp; " 5-star + " &amp; F1199 &amp; " RFC + " &amp; G1198 &amp; " DME + " &amp; H1199 &amp; " Patient Portal Login + " &amp; I1199 &amp; " Completed Task"
</f>
        <v>0 5-star + 0 RFC + 0 DME + 3 Patient Portal Login + 5 Completed Task</v>
      </c>
      <c r="M1199" s="13"/>
      <c r="N1199" s="13"/>
      <c r="O1199" s="14"/>
      <c r="P1199" s="14"/>
    </row>
    <row r="1200" hidden="1">
      <c r="A1200" s="6" t="s">
        <v>254</v>
      </c>
      <c r="B1200" s="16" t="s">
        <v>125</v>
      </c>
      <c r="C1200" s="16" t="s">
        <v>126</v>
      </c>
      <c r="D1200" s="16" t="s">
        <v>127</v>
      </c>
      <c r="E1200" s="17">
        <v>0.0</v>
      </c>
      <c r="F1200" s="18">
        <v>1.0</v>
      </c>
      <c r="G1200" s="18">
        <v>1.0</v>
      </c>
      <c r="H1200" s="10">
        <v>0.0</v>
      </c>
      <c r="I1200" s="19">
        <v>4.0</v>
      </c>
      <c r="J1200" s="12"/>
      <c r="K1200" s="12">
        <f t="shared" ref="K1200:K1252" si="78">sum(E1200*250)+(F1200*500)+(G1200*250)+(H1200*250)+(I1200*250)</f>
        <v>1750</v>
      </c>
      <c r="L1200" s="13" t="str">
        <f t="shared" ref="L1200:L1212" si="79"> E1200 &amp; " 5-star + " &amp; F1200 &amp; " RFC + " &amp; G1200 &amp; " DME + " &amp; H1200 &amp; " Patient Portal Login + " &amp; I1200 &amp; " Completed Task"
</f>
        <v>0 5-star + 1 RFC + 1 DME + 0 Patient Portal Login + 4 Completed Task</v>
      </c>
      <c r="M1200" s="13"/>
      <c r="N1200" s="13"/>
      <c r="O1200" s="14"/>
      <c r="P1200" s="14"/>
    </row>
    <row r="1201" hidden="1">
      <c r="A1201" s="6" t="s">
        <v>254</v>
      </c>
      <c r="B1201" s="16" t="s">
        <v>128</v>
      </c>
      <c r="C1201" s="16" t="s">
        <v>129</v>
      </c>
      <c r="D1201" s="16" t="s">
        <v>130</v>
      </c>
      <c r="E1201" s="17">
        <v>0.0</v>
      </c>
      <c r="F1201" s="18">
        <v>1.0</v>
      </c>
      <c r="G1201" s="18">
        <v>1.0</v>
      </c>
      <c r="H1201" s="10">
        <v>6.0</v>
      </c>
      <c r="I1201" s="19">
        <v>5.0</v>
      </c>
      <c r="J1201" s="12"/>
      <c r="K1201" s="12">
        <f t="shared" si="78"/>
        <v>3500</v>
      </c>
      <c r="L1201" s="13" t="str">
        <f t="shared" si="79"/>
        <v>0 5-star + 1 RFC + 1 DME + 6 Patient Portal Login + 5 Completed Task</v>
      </c>
      <c r="M1201" s="13"/>
      <c r="N1201" s="13"/>
      <c r="O1201" s="14"/>
      <c r="P1201" s="14"/>
    </row>
    <row r="1202" hidden="1">
      <c r="A1202" s="6" t="s">
        <v>254</v>
      </c>
      <c r="B1202" s="16" t="s">
        <v>131</v>
      </c>
      <c r="C1202" s="16" t="s">
        <v>132</v>
      </c>
      <c r="D1202" s="16" t="s">
        <v>133</v>
      </c>
      <c r="E1202" s="17">
        <v>0.0</v>
      </c>
      <c r="F1202" s="18">
        <v>2.0</v>
      </c>
      <c r="G1202" s="18">
        <v>0.0</v>
      </c>
      <c r="H1202" s="10">
        <v>3.0</v>
      </c>
      <c r="I1202" s="19">
        <v>3.0</v>
      </c>
      <c r="J1202" s="12"/>
      <c r="K1202" s="12">
        <f t="shared" si="78"/>
        <v>2500</v>
      </c>
      <c r="L1202" s="13" t="str">
        <f t="shared" si="79"/>
        <v>0 5-star + 2 RFC + 0 DME + 3 Patient Portal Login + 3 Completed Task</v>
      </c>
      <c r="M1202" s="13"/>
      <c r="N1202" s="13"/>
      <c r="O1202" s="14"/>
      <c r="P1202" s="14"/>
    </row>
    <row r="1203" hidden="1">
      <c r="A1203" s="6" t="s">
        <v>254</v>
      </c>
      <c r="B1203" s="16" t="s">
        <v>134</v>
      </c>
      <c r="C1203" s="16" t="s">
        <v>135</v>
      </c>
      <c r="D1203" s="16" t="s">
        <v>136</v>
      </c>
      <c r="E1203" s="17">
        <v>0.0</v>
      </c>
      <c r="F1203" s="18">
        <v>0.0</v>
      </c>
      <c r="G1203" s="18">
        <v>0.0</v>
      </c>
      <c r="H1203" s="10">
        <v>0.0</v>
      </c>
      <c r="I1203" s="19">
        <v>4.0</v>
      </c>
      <c r="J1203" s="12"/>
      <c r="K1203" s="12">
        <f t="shared" si="78"/>
        <v>1000</v>
      </c>
      <c r="L1203" s="13" t="str">
        <f t="shared" si="79"/>
        <v>0 5-star + 0 RFC + 0 DME + 0 Patient Portal Login + 4 Completed Task</v>
      </c>
      <c r="M1203" s="13"/>
      <c r="N1203" s="13"/>
      <c r="O1203" s="14"/>
      <c r="P1203" s="14"/>
    </row>
    <row r="1204" hidden="1">
      <c r="A1204" s="6" t="s">
        <v>254</v>
      </c>
      <c r="B1204" s="16" t="s">
        <v>137</v>
      </c>
      <c r="C1204" s="16" t="s">
        <v>138</v>
      </c>
      <c r="D1204" s="16" t="s">
        <v>139</v>
      </c>
      <c r="E1204" s="17">
        <v>0.0</v>
      </c>
      <c r="F1204" s="18">
        <v>2.0</v>
      </c>
      <c r="G1204" s="18">
        <v>0.0</v>
      </c>
      <c r="H1204" s="10">
        <v>13.0</v>
      </c>
      <c r="I1204" s="19">
        <v>5.0</v>
      </c>
      <c r="J1204" s="12"/>
      <c r="K1204" s="12">
        <f t="shared" si="78"/>
        <v>5500</v>
      </c>
      <c r="L1204" s="13" t="str">
        <f t="shared" si="79"/>
        <v>0 5-star + 2 RFC + 0 DME + 13 Patient Portal Login + 5 Completed Task</v>
      </c>
      <c r="M1204" s="13"/>
      <c r="N1204" s="13"/>
      <c r="O1204" s="14"/>
      <c r="P1204" s="14"/>
    </row>
    <row r="1205" hidden="1">
      <c r="A1205" s="6" t="s">
        <v>254</v>
      </c>
      <c r="B1205" s="16" t="s">
        <v>140</v>
      </c>
      <c r="C1205" s="16" t="s">
        <v>141</v>
      </c>
      <c r="D1205" s="16" t="s">
        <v>142</v>
      </c>
      <c r="E1205" s="17">
        <v>0.0</v>
      </c>
      <c r="F1205" s="18">
        <v>0.0</v>
      </c>
      <c r="G1205" s="18">
        <v>0.0</v>
      </c>
      <c r="H1205" s="10">
        <v>0.0</v>
      </c>
      <c r="I1205" s="19">
        <v>4.0</v>
      </c>
      <c r="J1205" s="12"/>
      <c r="K1205" s="12">
        <f t="shared" si="78"/>
        <v>1000</v>
      </c>
      <c r="L1205" s="13" t="str">
        <f t="shared" si="79"/>
        <v>0 5-star + 0 RFC + 0 DME + 0 Patient Portal Login + 4 Completed Task</v>
      </c>
      <c r="M1205" s="13"/>
      <c r="N1205" s="13"/>
      <c r="O1205" s="14"/>
      <c r="P1205" s="14"/>
    </row>
    <row r="1206" hidden="1">
      <c r="A1206" s="6" t="s">
        <v>254</v>
      </c>
      <c r="B1206" s="16" t="s">
        <v>143</v>
      </c>
      <c r="C1206" s="16" t="s">
        <v>144</v>
      </c>
      <c r="D1206" s="16" t="s">
        <v>145</v>
      </c>
      <c r="E1206" s="17">
        <v>0.0</v>
      </c>
      <c r="F1206" s="18">
        <v>1.0</v>
      </c>
      <c r="G1206" s="18">
        <v>0.0</v>
      </c>
      <c r="H1206" s="10">
        <v>1.0</v>
      </c>
      <c r="I1206" s="19">
        <v>3.0</v>
      </c>
      <c r="J1206" s="12"/>
      <c r="K1206" s="12">
        <f t="shared" si="78"/>
        <v>1500</v>
      </c>
      <c r="L1206" s="13" t="str">
        <f t="shared" si="79"/>
        <v>0 5-star + 1 RFC + 0 DME + 1 Patient Portal Login + 3 Completed Task</v>
      </c>
      <c r="M1206" s="13"/>
      <c r="N1206" s="13"/>
      <c r="O1206" s="14"/>
      <c r="P1206" s="14"/>
    </row>
    <row r="1207" hidden="1">
      <c r="A1207" s="6" t="s">
        <v>254</v>
      </c>
      <c r="B1207" s="16" t="s">
        <v>146</v>
      </c>
      <c r="C1207" s="16" t="s">
        <v>147</v>
      </c>
      <c r="D1207" s="16" t="s">
        <v>148</v>
      </c>
      <c r="E1207" s="17">
        <v>1.0</v>
      </c>
      <c r="F1207" s="18">
        <v>8.0</v>
      </c>
      <c r="G1207" s="18">
        <v>0.0</v>
      </c>
      <c r="H1207" s="10">
        <v>5.0</v>
      </c>
      <c r="I1207" s="19">
        <v>5.0</v>
      </c>
      <c r="J1207" s="12"/>
      <c r="K1207" s="12">
        <f t="shared" si="78"/>
        <v>6750</v>
      </c>
      <c r="L1207" s="13" t="str">
        <f t="shared" si="79"/>
        <v>1 5-star + 8 RFC + 0 DME + 5 Patient Portal Login + 5 Completed Task</v>
      </c>
      <c r="M1207" s="13"/>
      <c r="N1207" s="13"/>
      <c r="O1207" s="14"/>
      <c r="P1207" s="14"/>
    </row>
    <row r="1208" hidden="1">
      <c r="A1208" s="6" t="s">
        <v>254</v>
      </c>
      <c r="B1208" s="16" t="s">
        <v>245</v>
      </c>
      <c r="C1208" s="16" t="s">
        <v>246</v>
      </c>
      <c r="D1208" s="16" t="s">
        <v>247</v>
      </c>
      <c r="E1208" s="17">
        <v>0.0</v>
      </c>
      <c r="F1208" s="18">
        <v>2.0</v>
      </c>
      <c r="G1208" s="18">
        <v>0.0</v>
      </c>
      <c r="H1208" s="10">
        <v>0.0</v>
      </c>
      <c r="I1208" s="19">
        <v>5.0</v>
      </c>
      <c r="J1208" s="12"/>
      <c r="K1208" s="12">
        <f t="shared" si="78"/>
        <v>2250</v>
      </c>
      <c r="L1208" s="13" t="str">
        <f t="shared" si="79"/>
        <v>0 5-star + 2 RFC + 0 DME + 0 Patient Portal Login + 5 Completed Task</v>
      </c>
      <c r="M1208" s="13"/>
      <c r="N1208" s="13"/>
      <c r="O1208" s="14"/>
      <c r="P1208" s="14"/>
    </row>
    <row r="1209" hidden="1">
      <c r="A1209" s="6" t="s">
        <v>254</v>
      </c>
      <c r="B1209" s="16" t="s">
        <v>149</v>
      </c>
      <c r="C1209" s="16" t="s">
        <v>150</v>
      </c>
      <c r="D1209" s="16" t="s">
        <v>151</v>
      </c>
      <c r="E1209" s="17">
        <v>1.0</v>
      </c>
      <c r="F1209" s="18">
        <v>2.0</v>
      </c>
      <c r="G1209" s="18">
        <v>0.0</v>
      </c>
      <c r="H1209" s="10">
        <v>1.0</v>
      </c>
      <c r="I1209" s="19">
        <v>2.0</v>
      </c>
      <c r="J1209" s="12"/>
      <c r="K1209" s="12">
        <f t="shared" si="78"/>
        <v>2000</v>
      </c>
      <c r="L1209" s="13" t="str">
        <f t="shared" si="79"/>
        <v>1 5-star + 2 RFC + 0 DME + 1 Patient Portal Login + 2 Completed Task</v>
      </c>
      <c r="M1209" s="13"/>
      <c r="N1209" s="13"/>
      <c r="O1209" s="14"/>
      <c r="P1209" s="14"/>
    </row>
    <row r="1210" hidden="1">
      <c r="A1210" s="6" t="s">
        <v>254</v>
      </c>
      <c r="B1210" s="16" t="s">
        <v>152</v>
      </c>
      <c r="C1210" s="16" t="s">
        <v>153</v>
      </c>
      <c r="D1210" s="16" t="s">
        <v>154</v>
      </c>
      <c r="E1210" s="17">
        <v>0.0</v>
      </c>
      <c r="F1210" s="18">
        <v>1.0</v>
      </c>
      <c r="G1210" s="18">
        <v>0.0</v>
      </c>
      <c r="H1210" s="10">
        <v>2.0</v>
      </c>
      <c r="I1210" s="19">
        <v>5.0</v>
      </c>
      <c r="J1210" s="12"/>
      <c r="K1210" s="12">
        <f t="shared" si="78"/>
        <v>2250</v>
      </c>
      <c r="L1210" s="13" t="str">
        <f t="shared" si="79"/>
        <v>0 5-star + 1 RFC + 0 DME + 2 Patient Portal Login + 5 Completed Task</v>
      </c>
      <c r="M1210" s="13"/>
      <c r="N1210" s="13"/>
      <c r="O1210" s="14"/>
      <c r="P1210" s="14"/>
    </row>
    <row r="1211" hidden="1">
      <c r="A1211" s="6" t="s">
        <v>254</v>
      </c>
      <c r="B1211" s="16" t="s">
        <v>155</v>
      </c>
      <c r="C1211" s="16" t="s">
        <v>156</v>
      </c>
      <c r="D1211" s="16" t="s">
        <v>157</v>
      </c>
      <c r="E1211" s="17">
        <v>0.0</v>
      </c>
      <c r="F1211" s="18">
        <v>0.0</v>
      </c>
      <c r="G1211" s="18">
        <v>0.0</v>
      </c>
      <c r="H1211" s="10">
        <v>2.0</v>
      </c>
      <c r="I1211" s="19">
        <v>1.0</v>
      </c>
      <c r="J1211" s="12"/>
      <c r="K1211" s="12">
        <f t="shared" si="78"/>
        <v>750</v>
      </c>
      <c r="L1211" s="13" t="str">
        <f t="shared" si="79"/>
        <v>0 5-star + 0 RFC + 0 DME + 2 Patient Portal Login + 1 Completed Task</v>
      </c>
      <c r="M1211" s="13"/>
      <c r="N1211" s="13"/>
      <c r="O1211" s="14"/>
      <c r="P1211" s="14"/>
    </row>
    <row r="1212" hidden="1">
      <c r="A1212" s="6" t="s">
        <v>254</v>
      </c>
      <c r="B1212" s="16" t="s">
        <v>158</v>
      </c>
      <c r="C1212" s="16" t="s">
        <v>159</v>
      </c>
      <c r="D1212" s="16" t="s">
        <v>160</v>
      </c>
      <c r="E1212" s="17">
        <v>1.0</v>
      </c>
      <c r="F1212" s="18">
        <v>0.0</v>
      </c>
      <c r="G1212" s="18">
        <v>0.0</v>
      </c>
      <c r="H1212" s="10">
        <v>1.0</v>
      </c>
      <c r="I1212" s="19">
        <v>3.0</v>
      </c>
      <c r="J1212" s="12"/>
      <c r="K1212" s="12">
        <f t="shared" si="78"/>
        <v>1250</v>
      </c>
      <c r="L1212" s="13" t="str">
        <f t="shared" si="79"/>
        <v>1 5-star + 0 RFC + 0 DME + 1 Patient Portal Login + 3 Completed Task</v>
      </c>
      <c r="M1212" s="13"/>
      <c r="N1212" s="13"/>
      <c r="O1212" s="14"/>
      <c r="P1212" s="14"/>
    </row>
    <row r="1213" hidden="1">
      <c r="A1213" s="6" t="s">
        <v>254</v>
      </c>
      <c r="B1213" s="20" t="s">
        <v>161</v>
      </c>
      <c r="C1213" s="20" t="s">
        <v>162</v>
      </c>
      <c r="D1213" s="20" t="s">
        <v>163</v>
      </c>
      <c r="E1213" s="17">
        <v>3.0</v>
      </c>
      <c r="F1213" s="18">
        <v>1.0</v>
      </c>
      <c r="G1213" s="18">
        <v>0.0</v>
      </c>
      <c r="H1213" s="10">
        <v>3.0</v>
      </c>
      <c r="I1213" s="19">
        <v>5.0</v>
      </c>
      <c r="J1213" s="12"/>
      <c r="K1213" s="12">
        <f t="shared" si="78"/>
        <v>3250</v>
      </c>
      <c r="L1213" s="13" t="str">
        <f> E1213 &amp; " 5-star + " &amp; E1199 &amp; " RFC + " &amp; G1213 &amp; " DME + " &amp; H1213 &amp; " Patient Portal Login + " &amp; I1213 &amp; " Completed Task"
</f>
        <v>3 5-star + 0 RFC + 0 DME + 3 Patient Portal Login + 5 Completed Task</v>
      </c>
      <c r="M1213" s="13"/>
      <c r="N1213" s="13"/>
      <c r="O1213" s="14"/>
      <c r="P1213" s="14"/>
    </row>
    <row r="1214" hidden="1">
      <c r="A1214" s="6" t="s">
        <v>254</v>
      </c>
      <c r="B1214" s="20" t="s">
        <v>164</v>
      </c>
      <c r="C1214" s="20" t="s">
        <v>165</v>
      </c>
      <c r="D1214" s="20" t="s">
        <v>166</v>
      </c>
      <c r="E1214" s="17">
        <v>0.0</v>
      </c>
      <c r="F1214" s="18">
        <v>0.0</v>
      </c>
      <c r="G1214" s="18">
        <v>0.0</v>
      </c>
      <c r="H1214" s="10">
        <v>0.0</v>
      </c>
      <c r="I1214" s="19">
        <v>3.0</v>
      </c>
      <c r="J1214" s="12"/>
      <c r="K1214" s="12">
        <f t="shared" si="78"/>
        <v>750</v>
      </c>
      <c r="L1214" s="13" t="str">
        <f t="shared" ref="L1214:L1252" si="80"> E1214 &amp; " 5-star + " &amp; F1214 &amp; " RFC + " &amp; G1214 &amp; " DME + " &amp; H1214 &amp; " Patient Portal Login + " &amp; I1214 &amp; " Completed Task"
</f>
        <v>0 5-star + 0 RFC + 0 DME + 0 Patient Portal Login + 3 Completed Task</v>
      </c>
      <c r="M1214" s="13"/>
      <c r="N1214" s="13"/>
      <c r="O1214" s="14"/>
      <c r="P1214" s="14"/>
    </row>
    <row r="1215" hidden="1">
      <c r="A1215" s="6" t="s">
        <v>254</v>
      </c>
      <c r="B1215" s="20" t="s">
        <v>167</v>
      </c>
      <c r="C1215" s="20" t="s">
        <v>168</v>
      </c>
      <c r="D1215" s="20" t="s">
        <v>169</v>
      </c>
      <c r="E1215" s="17">
        <v>1.0</v>
      </c>
      <c r="F1215" s="18">
        <v>0.0</v>
      </c>
      <c r="G1215" s="18">
        <v>0.0</v>
      </c>
      <c r="H1215" s="10">
        <v>2.0</v>
      </c>
      <c r="I1215" s="19">
        <v>5.0</v>
      </c>
      <c r="J1215" s="12"/>
      <c r="K1215" s="12">
        <f t="shared" si="78"/>
        <v>2000</v>
      </c>
      <c r="L1215" s="13" t="str">
        <f t="shared" si="80"/>
        <v>1 5-star + 0 RFC + 0 DME + 2 Patient Portal Login + 5 Completed Task</v>
      </c>
      <c r="M1215" s="13"/>
      <c r="N1215" s="13"/>
      <c r="O1215" s="14"/>
      <c r="P1215" s="14"/>
    </row>
    <row r="1216" hidden="1">
      <c r="A1216" s="6" t="s">
        <v>254</v>
      </c>
      <c r="B1216" s="20" t="s">
        <v>170</v>
      </c>
      <c r="C1216" s="20" t="s">
        <v>171</v>
      </c>
      <c r="D1216" s="20" t="s">
        <v>172</v>
      </c>
      <c r="E1216" s="17">
        <v>0.0</v>
      </c>
      <c r="F1216" s="18">
        <v>2.0</v>
      </c>
      <c r="G1216" s="18">
        <v>0.0</v>
      </c>
      <c r="H1216" s="10">
        <v>5.0</v>
      </c>
      <c r="I1216" s="19">
        <v>5.0</v>
      </c>
      <c r="J1216" s="12"/>
      <c r="K1216" s="12">
        <f t="shared" si="78"/>
        <v>3500</v>
      </c>
      <c r="L1216" s="13" t="str">
        <f t="shared" si="80"/>
        <v>0 5-star + 2 RFC + 0 DME + 5 Patient Portal Login + 5 Completed Task</v>
      </c>
      <c r="M1216" s="13"/>
      <c r="N1216" s="13"/>
      <c r="O1216" s="14"/>
      <c r="P1216" s="14"/>
    </row>
    <row r="1217" hidden="1">
      <c r="A1217" s="6" t="s">
        <v>254</v>
      </c>
      <c r="B1217" s="16" t="s">
        <v>173</v>
      </c>
      <c r="C1217" s="16" t="s">
        <v>174</v>
      </c>
      <c r="D1217" s="16" t="s">
        <v>175</v>
      </c>
      <c r="E1217" s="17">
        <v>0.0</v>
      </c>
      <c r="F1217" s="18">
        <v>1.0</v>
      </c>
      <c r="G1217" s="18">
        <v>0.0</v>
      </c>
      <c r="H1217" s="10">
        <v>16.0</v>
      </c>
      <c r="I1217" s="19">
        <v>4.0</v>
      </c>
      <c r="J1217" s="12"/>
      <c r="K1217" s="12">
        <f t="shared" si="78"/>
        <v>5500</v>
      </c>
      <c r="L1217" s="13" t="str">
        <f t="shared" si="80"/>
        <v>0 5-star + 1 RFC + 0 DME + 16 Patient Portal Login + 4 Completed Task</v>
      </c>
      <c r="M1217" s="13"/>
      <c r="N1217" s="13"/>
      <c r="O1217" s="14"/>
      <c r="P1217" s="14"/>
    </row>
    <row r="1218" hidden="1">
      <c r="A1218" s="6" t="s">
        <v>254</v>
      </c>
      <c r="B1218" s="16" t="s">
        <v>176</v>
      </c>
      <c r="C1218" s="16" t="s">
        <v>177</v>
      </c>
      <c r="D1218" s="16" t="s">
        <v>178</v>
      </c>
      <c r="E1218" s="17">
        <v>0.0</v>
      </c>
      <c r="F1218" s="18">
        <v>5.0</v>
      </c>
      <c r="G1218" s="18">
        <v>0.0</v>
      </c>
      <c r="H1218" s="10">
        <v>1.0</v>
      </c>
      <c r="I1218" s="19">
        <v>4.0</v>
      </c>
      <c r="J1218" s="12"/>
      <c r="K1218" s="12">
        <f t="shared" si="78"/>
        <v>3750</v>
      </c>
      <c r="L1218" s="13" t="str">
        <f t="shared" si="80"/>
        <v>0 5-star + 5 RFC + 0 DME + 1 Patient Portal Login + 4 Completed Task</v>
      </c>
      <c r="M1218" s="13"/>
      <c r="N1218" s="13"/>
      <c r="O1218" s="14"/>
      <c r="P1218" s="14"/>
    </row>
    <row r="1219" hidden="1">
      <c r="A1219" s="6" t="s">
        <v>254</v>
      </c>
      <c r="B1219" s="21" t="s">
        <v>179</v>
      </c>
      <c r="C1219" s="21" t="s">
        <v>180</v>
      </c>
      <c r="D1219" s="21" t="s">
        <v>181</v>
      </c>
      <c r="E1219" s="17">
        <v>2.0</v>
      </c>
      <c r="F1219" s="18">
        <v>2.0</v>
      </c>
      <c r="G1219" s="18">
        <v>3.0</v>
      </c>
      <c r="H1219" s="10">
        <v>31.0</v>
      </c>
      <c r="I1219" s="19">
        <v>3.0</v>
      </c>
      <c r="J1219" s="12"/>
      <c r="K1219" s="12">
        <f t="shared" si="78"/>
        <v>10750</v>
      </c>
      <c r="L1219" s="13" t="str">
        <f t="shared" si="80"/>
        <v>2 5-star + 2 RFC + 3 DME + 31 Patient Portal Login + 3 Completed Task</v>
      </c>
      <c r="M1219" s="13"/>
      <c r="N1219" s="13"/>
      <c r="O1219" s="23"/>
      <c r="P1219" s="23"/>
    </row>
    <row r="1220" hidden="1">
      <c r="A1220" s="6" t="s">
        <v>254</v>
      </c>
      <c r="B1220" s="21" t="s">
        <v>182</v>
      </c>
      <c r="C1220" s="21" t="s">
        <v>183</v>
      </c>
      <c r="D1220" s="21" t="s">
        <v>184</v>
      </c>
      <c r="E1220" s="17">
        <v>0.0</v>
      </c>
      <c r="F1220" s="18">
        <v>1.0</v>
      </c>
      <c r="G1220" s="18">
        <v>1.0</v>
      </c>
      <c r="H1220" s="10">
        <v>2.0</v>
      </c>
      <c r="I1220" s="19">
        <v>3.0</v>
      </c>
      <c r="J1220" s="12"/>
      <c r="K1220" s="12">
        <f t="shared" si="78"/>
        <v>2000</v>
      </c>
      <c r="L1220" s="13" t="str">
        <f t="shared" si="80"/>
        <v>0 5-star + 1 RFC + 1 DME + 2 Patient Portal Login + 3 Completed Task</v>
      </c>
      <c r="M1220" s="13"/>
      <c r="N1220" s="13"/>
      <c r="O1220" s="23"/>
      <c r="P1220" s="23"/>
    </row>
    <row r="1221" hidden="1">
      <c r="A1221" s="6" t="s">
        <v>254</v>
      </c>
      <c r="B1221" s="21" t="s">
        <v>185</v>
      </c>
      <c r="C1221" s="21" t="s">
        <v>186</v>
      </c>
      <c r="D1221" s="21" t="s">
        <v>187</v>
      </c>
      <c r="E1221" s="17">
        <v>1.0</v>
      </c>
      <c r="F1221" s="18">
        <v>2.0</v>
      </c>
      <c r="G1221" s="18">
        <v>2.0</v>
      </c>
      <c r="H1221" s="10">
        <v>1.0</v>
      </c>
      <c r="I1221" s="19">
        <v>3.0</v>
      </c>
      <c r="J1221" s="12"/>
      <c r="K1221" s="12">
        <f t="shared" si="78"/>
        <v>2750</v>
      </c>
      <c r="L1221" s="13" t="str">
        <f t="shared" si="80"/>
        <v>1 5-star + 2 RFC + 2 DME + 1 Patient Portal Login + 3 Completed Task</v>
      </c>
      <c r="M1221" s="13"/>
      <c r="N1221" s="13"/>
      <c r="O1221" s="23"/>
      <c r="P1221" s="23"/>
    </row>
    <row r="1222" hidden="1">
      <c r="A1222" s="6" t="s">
        <v>254</v>
      </c>
      <c r="B1222" s="21" t="s">
        <v>188</v>
      </c>
      <c r="C1222" s="21" t="s">
        <v>189</v>
      </c>
      <c r="D1222" s="21" t="s">
        <v>190</v>
      </c>
      <c r="E1222" s="17">
        <v>0.0</v>
      </c>
      <c r="F1222" s="18">
        <v>1.0</v>
      </c>
      <c r="G1222" s="18">
        <v>0.0</v>
      </c>
      <c r="H1222" s="10">
        <v>1.0</v>
      </c>
      <c r="I1222" s="19">
        <v>2.0</v>
      </c>
      <c r="J1222" s="12"/>
      <c r="K1222" s="12">
        <f t="shared" si="78"/>
        <v>1250</v>
      </c>
      <c r="L1222" s="13" t="str">
        <f t="shared" si="80"/>
        <v>0 5-star + 1 RFC + 0 DME + 1 Patient Portal Login + 2 Completed Task</v>
      </c>
      <c r="M1222" s="13"/>
      <c r="N1222" s="13"/>
      <c r="O1222" s="23"/>
      <c r="P1222" s="23"/>
    </row>
    <row r="1223" hidden="1">
      <c r="A1223" s="6" t="s">
        <v>254</v>
      </c>
      <c r="B1223" s="61" t="s">
        <v>258</v>
      </c>
      <c r="C1223" s="21" t="s">
        <v>259</v>
      </c>
      <c r="D1223" s="21" t="s">
        <v>260</v>
      </c>
      <c r="E1223" s="17">
        <v>2.0</v>
      </c>
      <c r="F1223" s="18">
        <v>1.0</v>
      </c>
      <c r="G1223" s="18">
        <v>0.0</v>
      </c>
      <c r="H1223" s="10">
        <v>0.0</v>
      </c>
      <c r="I1223" s="19">
        <v>2.0</v>
      </c>
      <c r="J1223" s="12"/>
      <c r="K1223" s="12">
        <f t="shared" si="78"/>
        <v>1500</v>
      </c>
      <c r="L1223" s="13" t="str">
        <f t="shared" si="80"/>
        <v>2 5-star + 1 RFC + 0 DME + 0 Patient Portal Login + 2 Completed Task</v>
      </c>
      <c r="M1223" s="13"/>
      <c r="N1223" s="13"/>
      <c r="O1223" s="23"/>
      <c r="P1223" s="23"/>
    </row>
    <row r="1224" hidden="1">
      <c r="A1224" s="6" t="s">
        <v>254</v>
      </c>
      <c r="B1224" s="21" t="s">
        <v>191</v>
      </c>
      <c r="C1224" s="21" t="s">
        <v>192</v>
      </c>
      <c r="D1224" s="21" t="s">
        <v>193</v>
      </c>
      <c r="E1224" s="17">
        <v>0.0</v>
      </c>
      <c r="F1224" s="18">
        <v>0.0</v>
      </c>
      <c r="G1224" s="18">
        <v>0.0</v>
      </c>
      <c r="H1224" s="10">
        <v>7.0</v>
      </c>
      <c r="I1224" s="19">
        <v>4.0</v>
      </c>
      <c r="J1224" s="12"/>
      <c r="K1224" s="12">
        <f t="shared" si="78"/>
        <v>2750</v>
      </c>
      <c r="L1224" s="13" t="str">
        <f t="shared" si="80"/>
        <v>0 5-star + 0 RFC + 0 DME + 7 Patient Portal Login + 4 Completed Task</v>
      </c>
      <c r="M1224" s="13"/>
      <c r="N1224" s="13"/>
      <c r="O1224" s="23"/>
      <c r="P1224" s="23"/>
    </row>
    <row r="1225" hidden="1">
      <c r="A1225" s="6" t="s">
        <v>254</v>
      </c>
      <c r="B1225" s="21" t="s">
        <v>194</v>
      </c>
      <c r="C1225" s="21" t="s">
        <v>195</v>
      </c>
      <c r="D1225" s="21" t="s">
        <v>196</v>
      </c>
      <c r="E1225" s="17">
        <v>0.0</v>
      </c>
      <c r="F1225" s="18">
        <v>3.0</v>
      </c>
      <c r="G1225" s="18">
        <v>0.0</v>
      </c>
      <c r="H1225" s="10">
        <v>5.0</v>
      </c>
      <c r="I1225" s="11">
        <v>3.0</v>
      </c>
      <c r="J1225" s="12"/>
      <c r="K1225" s="12">
        <f t="shared" si="78"/>
        <v>3500</v>
      </c>
      <c r="L1225" s="13" t="str">
        <f t="shared" si="80"/>
        <v>0 5-star + 3 RFC + 0 DME + 5 Patient Portal Login + 3 Completed Task</v>
      </c>
      <c r="M1225" s="13"/>
      <c r="N1225" s="13"/>
      <c r="O1225" s="23"/>
      <c r="P1225" s="23"/>
    </row>
    <row r="1226" hidden="1">
      <c r="A1226" s="6" t="s">
        <v>254</v>
      </c>
      <c r="B1226" s="21" t="s">
        <v>197</v>
      </c>
      <c r="C1226" s="21" t="s">
        <v>198</v>
      </c>
      <c r="D1226" s="21" t="s">
        <v>199</v>
      </c>
      <c r="E1226" s="17">
        <v>2.0</v>
      </c>
      <c r="F1226" s="18">
        <v>0.0</v>
      </c>
      <c r="G1226" s="18">
        <v>0.0</v>
      </c>
      <c r="H1226" s="10">
        <v>0.0</v>
      </c>
      <c r="I1226" s="19">
        <v>3.0</v>
      </c>
      <c r="J1226" s="12"/>
      <c r="K1226" s="12">
        <f t="shared" si="78"/>
        <v>1250</v>
      </c>
      <c r="L1226" s="13" t="str">
        <f t="shared" si="80"/>
        <v>2 5-star + 0 RFC + 0 DME + 0 Patient Portal Login + 3 Completed Task</v>
      </c>
      <c r="M1226" s="13"/>
      <c r="N1226" s="13"/>
      <c r="O1226" s="23"/>
      <c r="P1226" s="23"/>
    </row>
    <row r="1227" hidden="1">
      <c r="A1227" s="6" t="s">
        <v>254</v>
      </c>
      <c r="B1227" s="21" t="s">
        <v>200</v>
      </c>
      <c r="C1227" s="21" t="s">
        <v>201</v>
      </c>
      <c r="D1227" s="21" t="s">
        <v>202</v>
      </c>
      <c r="E1227" s="17">
        <v>0.0</v>
      </c>
      <c r="F1227" s="18">
        <v>1.0</v>
      </c>
      <c r="G1227" s="18">
        <v>0.0</v>
      </c>
      <c r="H1227" s="10">
        <v>1.0</v>
      </c>
      <c r="I1227" s="19">
        <v>0.0</v>
      </c>
      <c r="J1227" s="12"/>
      <c r="K1227" s="12">
        <f t="shared" si="78"/>
        <v>750</v>
      </c>
      <c r="L1227" s="13" t="str">
        <f t="shared" si="80"/>
        <v>0 5-star + 1 RFC + 0 DME + 1 Patient Portal Login + 0 Completed Task</v>
      </c>
      <c r="M1227" s="13"/>
      <c r="N1227" s="13"/>
      <c r="O1227" s="23"/>
      <c r="P1227" s="23"/>
    </row>
    <row r="1228" hidden="1">
      <c r="A1228" s="6" t="s">
        <v>261</v>
      </c>
      <c r="B1228" s="16" t="s">
        <v>53</v>
      </c>
      <c r="C1228" s="16" t="s">
        <v>54</v>
      </c>
      <c r="D1228" s="16" t="s">
        <v>55</v>
      </c>
      <c r="E1228" s="17">
        <v>1.0</v>
      </c>
      <c r="F1228" s="18">
        <v>4.0</v>
      </c>
      <c r="G1228" s="18">
        <v>5.0</v>
      </c>
      <c r="H1228" s="10">
        <v>6.0</v>
      </c>
      <c r="I1228" s="19">
        <v>5.0</v>
      </c>
      <c r="J1228" s="12"/>
      <c r="K1228" s="12">
        <f t="shared" si="78"/>
        <v>6250</v>
      </c>
      <c r="L1228" s="13" t="str">
        <f t="shared" si="80"/>
        <v>1 5-star + 4 RFC + 5 DME + 6 Patient Portal Login + 5 Completed Task</v>
      </c>
      <c r="M1228" s="13"/>
      <c r="N1228" s="13"/>
      <c r="O1228" s="14"/>
      <c r="P1228" s="14"/>
    </row>
    <row r="1229" hidden="1">
      <c r="A1229" s="6" t="s">
        <v>261</v>
      </c>
      <c r="B1229" s="16" t="s">
        <v>56</v>
      </c>
      <c r="C1229" s="16" t="s">
        <v>57</v>
      </c>
      <c r="D1229" s="16" t="s">
        <v>58</v>
      </c>
      <c r="E1229" s="17">
        <v>1.0</v>
      </c>
      <c r="F1229" s="18">
        <v>4.0</v>
      </c>
      <c r="G1229" s="18">
        <v>0.0</v>
      </c>
      <c r="H1229" s="10">
        <v>5.0</v>
      </c>
      <c r="I1229" s="19">
        <v>5.0</v>
      </c>
      <c r="J1229" s="12"/>
      <c r="K1229" s="12">
        <f t="shared" si="78"/>
        <v>4750</v>
      </c>
      <c r="L1229" s="13" t="str">
        <f t="shared" si="80"/>
        <v>1 5-star + 4 RFC + 0 DME + 5 Patient Portal Login + 5 Completed Task</v>
      </c>
      <c r="M1229" s="13"/>
      <c r="N1229" s="13"/>
      <c r="O1229" s="14"/>
      <c r="P1229" s="14"/>
    </row>
    <row r="1230" hidden="1">
      <c r="A1230" s="6" t="s">
        <v>261</v>
      </c>
      <c r="B1230" s="16" t="s">
        <v>59</v>
      </c>
      <c r="C1230" s="16" t="s">
        <v>60</v>
      </c>
      <c r="D1230" s="16" t="s">
        <v>61</v>
      </c>
      <c r="E1230" s="17">
        <v>1.0</v>
      </c>
      <c r="F1230" s="18">
        <v>0.0</v>
      </c>
      <c r="G1230" s="18">
        <v>0.0</v>
      </c>
      <c r="H1230" s="10">
        <v>2.0</v>
      </c>
      <c r="I1230" s="19">
        <v>4.0</v>
      </c>
      <c r="J1230" s="12"/>
      <c r="K1230" s="12">
        <f t="shared" si="78"/>
        <v>1750</v>
      </c>
      <c r="L1230" s="13" t="str">
        <f t="shared" si="80"/>
        <v>1 5-star + 0 RFC + 0 DME + 2 Patient Portal Login + 4 Completed Task</v>
      </c>
      <c r="M1230" s="13"/>
      <c r="N1230" s="13"/>
      <c r="O1230" s="14"/>
      <c r="P1230" s="14"/>
    </row>
    <row r="1231" hidden="1">
      <c r="A1231" s="6" t="s">
        <v>261</v>
      </c>
      <c r="B1231" s="16" t="s">
        <v>62</v>
      </c>
      <c r="C1231" s="16" t="s">
        <v>63</v>
      </c>
      <c r="D1231" s="16" t="s">
        <v>64</v>
      </c>
      <c r="E1231" s="17">
        <v>0.0</v>
      </c>
      <c r="F1231" s="18">
        <v>0.0</v>
      </c>
      <c r="G1231" s="18">
        <v>0.0</v>
      </c>
      <c r="H1231" s="10">
        <v>14.0</v>
      </c>
      <c r="I1231" s="19">
        <v>4.0</v>
      </c>
      <c r="J1231" s="12"/>
      <c r="K1231" s="12">
        <f t="shared" si="78"/>
        <v>4500</v>
      </c>
      <c r="L1231" s="13" t="str">
        <f t="shared" si="80"/>
        <v>0 5-star + 0 RFC + 0 DME + 14 Patient Portal Login + 4 Completed Task</v>
      </c>
      <c r="M1231" s="13"/>
      <c r="N1231" s="13"/>
      <c r="O1231" s="14"/>
      <c r="P1231" s="14"/>
    </row>
    <row r="1232" hidden="1">
      <c r="A1232" s="6" t="s">
        <v>261</v>
      </c>
      <c r="B1232" s="16" t="s">
        <v>251</v>
      </c>
      <c r="C1232" s="16" t="s">
        <v>252</v>
      </c>
      <c r="D1232" s="16" t="s">
        <v>253</v>
      </c>
      <c r="E1232" s="17">
        <v>1.0</v>
      </c>
      <c r="F1232" s="18">
        <v>5.0</v>
      </c>
      <c r="G1232" s="18">
        <v>0.0</v>
      </c>
      <c r="H1232" s="10">
        <v>5.0</v>
      </c>
      <c r="I1232" s="19">
        <v>3.0</v>
      </c>
      <c r="J1232" s="12"/>
      <c r="K1232" s="12">
        <f t="shared" si="78"/>
        <v>4750</v>
      </c>
      <c r="L1232" s="13" t="str">
        <f t="shared" si="80"/>
        <v>1 5-star + 5 RFC + 0 DME + 5 Patient Portal Login + 3 Completed Task</v>
      </c>
      <c r="M1232" s="13"/>
      <c r="N1232" s="13"/>
      <c r="O1232" s="14"/>
      <c r="P1232" s="14"/>
    </row>
    <row r="1233" hidden="1">
      <c r="A1233" s="6" t="s">
        <v>261</v>
      </c>
      <c r="B1233" s="16" t="s">
        <v>65</v>
      </c>
      <c r="C1233" s="16" t="s">
        <v>66</v>
      </c>
      <c r="D1233" s="16" t="s">
        <v>67</v>
      </c>
      <c r="E1233" s="17">
        <v>1.0</v>
      </c>
      <c r="F1233" s="18">
        <v>0.0</v>
      </c>
      <c r="G1233" s="18">
        <v>0.0</v>
      </c>
      <c r="H1233" s="10">
        <v>2.0</v>
      </c>
      <c r="I1233" s="19">
        <v>2.0</v>
      </c>
      <c r="J1233" s="12"/>
      <c r="K1233" s="12">
        <f t="shared" si="78"/>
        <v>1250</v>
      </c>
      <c r="L1233" s="13" t="str">
        <f t="shared" si="80"/>
        <v>1 5-star + 0 RFC + 0 DME + 2 Patient Portal Login + 2 Completed Task</v>
      </c>
      <c r="M1233" s="13"/>
      <c r="N1233" s="13"/>
      <c r="O1233" s="14"/>
      <c r="P1233" s="14"/>
    </row>
    <row r="1234" hidden="1">
      <c r="A1234" s="6" t="s">
        <v>261</v>
      </c>
      <c r="B1234" s="16" t="s">
        <v>68</v>
      </c>
      <c r="C1234" s="16" t="s">
        <v>69</v>
      </c>
      <c r="D1234" s="16" t="s">
        <v>70</v>
      </c>
      <c r="E1234" s="17">
        <v>0.0</v>
      </c>
      <c r="F1234" s="18">
        <v>0.0</v>
      </c>
      <c r="G1234" s="18">
        <v>0.0</v>
      </c>
      <c r="H1234" s="10">
        <v>6.0</v>
      </c>
      <c r="I1234" s="19">
        <v>4.0</v>
      </c>
      <c r="J1234" s="12"/>
      <c r="K1234" s="12">
        <f t="shared" si="78"/>
        <v>2500</v>
      </c>
      <c r="L1234" s="13" t="str">
        <f t="shared" si="80"/>
        <v>0 5-star + 0 RFC + 0 DME + 6 Patient Portal Login + 4 Completed Task</v>
      </c>
      <c r="M1234" s="13"/>
      <c r="N1234" s="13"/>
      <c r="O1234" s="14"/>
      <c r="P1234" s="14"/>
    </row>
    <row r="1235" hidden="1">
      <c r="A1235" s="6" t="s">
        <v>261</v>
      </c>
      <c r="B1235" s="16" t="s">
        <v>71</v>
      </c>
      <c r="C1235" s="16" t="s">
        <v>72</v>
      </c>
      <c r="D1235" s="16" t="s">
        <v>73</v>
      </c>
      <c r="E1235" s="17">
        <v>2.0</v>
      </c>
      <c r="F1235" s="18">
        <v>1.0</v>
      </c>
      <c r="G1235" s="18">
        <v>1.0</v>
      </c>
      <c r="H1235" s="10">
        <v>6.0</v>
      </c>
      <c r="I1235" s="19">
        <v>4.0</v>
      </c>
      <c r="J1235" s="12"/>
      <c r="K1235" s="12">
        <f t="shared" si="78"/>
        <v>3750</v>
      </c>
      <c r="L1235" s="13" t="str">
        <f t="shared" si="80"/>
        <v>2 5-star + 1 RFC + 1 DME + 6 Patient Portal Login + 4 Completed Task</v>
      </c>
      <c r="M1235" s="13"/>
      <c r="N1235" s="13"/>
      <c r="O1235" s="14"/>
      <c r="P1235" s="14"/>
    </row>
    <row r="1236" hidden="1">
      <c r="A1236" s="6" t="s">
        <v>261</v>
      </c>
      <c r="B1236" s="16" t="s">
        <v>74</v>
      </c>
      <c r="C1236" s="16" t="s">
        <v>75</v>
      </c>
      <c r="D1236" s="16" t="s">
        <v>76</v>
      </c>
      <c r="E1236" s="17">
        <v>1.0</v>
      </c>
      <c r="F1236" s="18">
        <v>0.0</v>
      </c>
      <c r="G1236" s="18">
        <v>0.0</v>
      </c>
      <c r="H1236" s="10">
        <v>5.0</v>
      </c>
      <c r="I1236" s="19">
        <v>5.0</v>
      </c>
      <c r="J1236" s="12"/>
      <c r="K1236" s="12">
        <f t="shared" si="78"/>
        <v>2750</v>
      </c>
      <c r="L1236" s="13" t="str">
        <f t="shared" si="80"/>
        <v>1 5-star + 0 RFC + 0 DME + 5 Patient Portal Login + 5 Completed Task</v>
      </c>
      <c r="M1236" s="13"/>
      <c r="N1236" s="13"/>
      <c r="O1236" s="14"/>
      <c r="P1236" s="14"/>
    </row>
    <row r="1237" hidden="1">
      <c r="A1237" s="6" t="s">
        <v>261</v>
      </c>
      <c r="B1237" s="16" t="s">
        <v>77</v>
      </c>
      <c r="C1237" s="16" t="s">
        <v>78</v>
      </c>
      <c r="D1237" s="16" t="s">
        <v>79</v>
      </c>
      <c r="E1237" s="17">
        <v>4.0</v>
      </c>
      <c r="F1237" s="18">
        <v>0.0</v>
      </c>
      <c r="G1237" s="18">
        <v>0.0</v>
      </c>
      <c r="H1237" s="10">
        <v>2.0</v>
      </c>
      <c r="I1237" s="19">
        <v>2.0</v>
      </c>
      <c r="J1237" s="12"/>
      <c r="K1237" s="12">
        <f t="shared" si="78"/>
        <v>2000</v>
      </c>
      <c r="L1237" s="13" t="str">
        <f t="shared" si="80"/>
        <v>4 5-star + 0 RFC + 0 DME + 2 Patient Portal Login + 2 Completed Task</v>
      </c>
      <c r="M1237" s="13"/>
      <c r="N1237" s="13"/>
      <c r="O1237" s="14"/>
      <c r="P1237" s="14"/>
    </row>
    <row r="1238" hidden="1">
      <c r="A1238" s="6" t="s">
        <v>261</v>
      </c>
      <c r="B1238" s="16" t="s">
        <v>80</v>
      </c>
      <c r="C1238" s="16" t="s">
        <v>81</v>
      </c>
      <c r="D1238" s="16" t="s">
        <v>82</v>
      </c>
      <c r="E1238" s="17">
        <v>0.0</v>
      </c>
      <c r="F1238" s="18">
        <v>0.0</v>
      </c>
      <c r="G1238" s="18">
        <v>0.0</v>
      </c>
      <c r="H1238" s="10">
        <v>1.0</v>
      </c>
      <c r="I1238" s="19">
        <v>3.0</v>
      </c>
      <c r="J1238" s="12"/>
      <c r="K1238" s="12">
        <f t="shared" si="78"/>
        <v>1000</v>
      </c>
      <c r="L1238" s="13" t="str">
        <f t="shared" si="80"/>
        <v>0 5-star + 0 RFC + 0 DME + 1 Patient Portal Login + 3 Completed Task</v>
      </c>
      <c r="M1238" s="13"/>
      <c r="N1238" s="13"/>
      <c r="O1238" s="14"/>
      <c r="P1238" s="14"/>
    </row>
    <row r="1239" hidden="1">
      <c r="A1239" s="6" t="s">
        <v>261</v>
      </c>
      <c r="B1239" s="7" t="s">
        <v>83</v>
      </c>
      <c r="C1239" s="16" t="s">
        <v>84</v>
      </c>
      <c r="D1239" s="16" t="s">
        <v>85</v>
      </c>
      <c r="E1239" s="17">
        <v>0.0</v>
      </c>
      <c r="F1239" s="18">
        <v>0.0</v>
      </c>
      <c r="G1239" s="18">
        <v>0.0</v>
      </c>
      <c r="H1239" s="10">
        <v>0.0</v>
      </c>
      <c r="I1239" s="19">
        <v>5.0</v>
      </c>
      <c r="J1239" s="12"/>
      <c r="K1239" s="12">
        <f t="shared" si="78"/>
        <v>1250</v>
      </c>
      <c r="L1239" s="13" t="str">
        <f t="shared" si="80"/>
        <v>0 5-star + 0 RFC + 0 DME + 0 Patient Portal Login + 5 Completed Task</v>
      </c>
      <c r="M1239" s="13"/>
      <c r="N1239" s="13"/>
      <c r="O1239" s="14"/>
      <c r="P1239" s="14"/>
    </row>
    <row r="1240" hidden="1">
      <c r="A1240" s="6" t="s">
        <v>261</v>
      </c>
      <c r="B1240" s="16" t="s">
        <v>255</v>
      </c>
      <c r="C1240" s="16" t="s">
        <v>256</v>
      </c>
      <c r="D1240" s="16" t="s">
        <v>257</v>
      </c>
      <c r="E1240" s="17">
        <v>0.0</v>
      </c>
      <c r="F1240" s="18">
        <v>0.0</v>
      </c>
      <c r="G1240" s="18">
        <v>0.0</v>
      </c>
      <c r="H1240" s="10">
        <v>4.0</v>
      </c>
      <c r="I1240" s="19">
        <v>4.0</v>
      </c>
      <c r="J1240" s="12"/>
      <c r="K1240" s="12">
        <f t="shared" si="78"/>
        <v>2000</v>
      </c>
      <c r="L1240" s="13" t="str">
        <f t="shared" si="80"/>
        <v>0 5-star + 0 RFC + 0 DME + 4 Patient Portal Login + 4 Completed Task</v>
      </c>
      <c r="M1240" s="13"/>
      <c r="N1240" s="13"/>
      <c r="O1240" s="14"/>
      <c r="P1240" s="14"/>
    </row>
    <row r="1241" hidden="1">
      <c r="A1241" s="6" t="s">
        <v>261</v>
      </c>
      <c r="B1241" s="16" t="s">
        <v>86</v>
      </c>
      <c r="C1241" s="16" t="s">
        <v>87</v>
      </c>
      <c r="D1241" s="16" t="s">
        <v>88</v>
      </c>
      <c r="E1241" s="17">
        <v>0.0</v>
      </c>
      <c r="F1241" s="18">
        <v>2.0</v>
      </c>
      <c r="G1241" s="18">
        <v>0.0</v>
      </c>
      <c r="H1241" s="10">
        <v>2.0</v>
      </c>
      <c r="I1241" s="19">
        <v>5.0</v>
      </c>
      <c r="J1241" s="12"/>
      <c r="K1241" s="12">
        <f t="shared" si="78"/>
        <v>2750</v>
      </c>
      <c r="L1241" s="13" t="str">
        <f t="shared" si="80"/>
        <v>0 5-star + 2 RFC + 0 DME + 2 Patient Portal Login + 5 Completed Task</v>
      </c>
      <c r="M1241" s="13"/>
      <c r="N1241" s="13"/>
      <c r="O1241" s="14"/>
      <c r="P1241" s="14"/>
    </row>
    <row r="1242" hidden="1">
      <c r="A1242" s="6" t="s">
        <v>261</v>
      </c>
      <c r="B1242" s="16" t="s">
        <v>89</v>
      </c>
      <c r="C1242" s="16" t="s">
        <v>90</v>
      </c>
      <c r="D1242" s="16" t="s">
        <v>91</v>
      </c>
      <c r="E1242" s="17">
        <v>0.0</v>
      </c>
      <c r="F1242" s="18">
        <v>3.0</v>
      </c>
      <c r="G1242" s="18">
        <v>3.0</v>
      </c>
      <c r="H1242" s="10">
        <v>4.0</v>
      </c>
      <c r="I1242" s="19">
        <v>5.0</v>
      </c>
      <c r="J1242" s="12"/>
      <c r="K1242" s="12">
        <f t="shared" si="78"/>
        <v>4500</v>
      </c>
      <c r="L1242" s="13" t="str">
        <f t="shared" si="80"/>
        <v>0 5-star + 3 RFC + 3 DME + 4 Patient Portal Login + 5 Completed Task</v>
      </c>
      <c r="M1242" s="13"/>
      <c r="N1242" s="13"/>
      <c r="O1242" s="14"/>
      <c r="P1242" s="14"/>
    </row>
    <row r="1243" hidden="1">
      <c r="A1243" s="6" t="s">
        <v>261</v>
      </c>
      <c r="B1243" s="16" t="s">
        <v>92</v>
      </c>
      <c r="C1243" s="16" t="s">
        <v>93</v>
      </c>
      <c r="D1243" s="16" t="s">
        <v>94</v>
      </c>
      <c r="E1243" s="17">
        <v>0.0</v>
      </c>
      <c r="F1243" s="18">
        <v>1.0</v>
      </c>
      <c r="G1243" s="18">
        <v>1.0</v>
      </c>
      <c r="H1243" s="10">
        <v>0.0</v>
      </c>
      <c r="I1243" s="19">
        <v>5.0</v>
      </c>
      <c r="J1243" s="12"/>
      <c r="K1243" s="12">
        <f t="shared" si="78"/>
        <v>2000</v>
      </c>
      <c r="L1243" s="13" t="str">
        <f t="shared" si="80"/>
        <v>0 5-star + 1 RFC + 1 DME + 0 Patient Portal Login + 5 Completed Task</v>
      </c>
      <c r="M1243" s="13"/>
      <c r="N1243" s="13"/>
      <c r="O1243" s="14"/>
      <c r="P1243" s="14"/>
    </row>
    <row r="1244" hidden="1">
      <c r="A1244" s="6" t="s">
        <v>261</v>
      </c>
      <c r="B1244" s="7" t="s">
        <v>95</v>
      </c>
      <c r="C1244" s="16" t="s">
        <v>96</v>
      </c>
      <c r="D1244" s="16" t="s">
        <v>97</v>
      </c>
      <c r="E1244" s="17">
        <v>0.0</v>
      </c>
      <c r="F1244" s="18">
        <v>4.0</v>
      </c>
      <c r="G1244" s="18">
        <v>0.0</v>
      </c>
      <c r="H1244" s="10">
        <v>4.0</v>
      </c>
      <c r="I1244" s="19">
        <v>5.0</v>
      </c>
      <c r="J1244" s="12"/>
      <c r="K1244" s="12">
        <f t="shared" si="78"/>
        <v>4250</v>
      </c>
      <c r="L1244" s="13" t="str">
        <f t="shared" si="80"/>
        <v>0 5-star + 4 RFC + 0 DME + 4 Patient Portal Login + 5 Completed Task</v>
      </c>
      <c r="M1244" s="13"/>
      <c r="N1244" s="13"/>
      <c r="O1244" s="14"/>
      <c r="P1244" s="14"/>
    </row>
    <row r="1245" hidden="1">
      <c r="A1245" s="6" t="s">
        <v>261</v>
      </c>
      <c r="B1245" s="16" t="s">
        <v>98</v>
      </c>
      <c r="C1245" s="16" t="s">
        <v>99</v>
      </c>
      <c r="D1245" s="16" t="s">
        <v>100</v>
      </c>
      <c r="E1245" s="17">
        <v>0.0</v>
      </c>
      <c r="F1245" s="18">
        <v>0.0</v>
      </c>
      <c r="G1245" s="18">
        <v>0.0</v>
      </c>
      <c r="H1245" s="10">
        <v>1.0</v>
      </c>
      <c r="I1245" s="19">
        <v>4.0</v>
      </c>
      <c r="J1245" s="12"/>
      <c r="K1245" s="12">
        <f t="shared" si="78"/>
        <v>1250</v>
      </c>
      <c r="L1245" s="13" t="str">
        <f t="shared" si="80"/>
        <v>0 5-star + 0 RFC + 0 DME + 1 Patient Portal Login + 4 Completed Task</v>
      </c>
      <c r="M1245" s="13"/>
      <c r="N1245" s="13"/>
      <c r="O1245" s="14"/>
      <c r="P1245" s="14"/>
    </row>
    <row r="1246" hidden="1">
      <c r="A1246" s="6" t="s">
        <v>261</v>
      </c>
      <c r="B1246" s="7" t="s">
        <v>101</v>
      </c>
      <c r="C1246" s="16" t="s">
        <v>102</v>
      </c>
      <c r="D1246" s="16" t="s">
        <v>103</v>
      </c>
      <c r="E1246" s="17">
        <v>0.0</v>
      </c>
      <c r="F1246" s="18">
        <v>0.0</v>
      </c>
      <c r="G1246" s="18">
        <v>0.0</v>
      </c>
      <c r="H1246" s="10">
        <v>0.0</v>
      </c>
      <c r="I1246" s="19">
        <v>4.0</v>
      </c>
      <c r="J1246" s="12"/>
      <c r="K1246" s="12">
        <f t="shared" si="78"/>
        <v>1000</v>
      </c>
      <c r="L1246" s="13" t="str">
        <f t="shared" si="80"/>
        <v>0 5-star + 0 RFC + 0 DME + 0 Patient Portal Login + 4 Completed Task</v>
      </c>
      <c r="M1246" s="13"/>
      <c r="N1246" s="13"/>
      <c r="O1246" s="14"/>
      <c r="P1246" s="14"/>
    </row>
    <row r="1247" hidden="1">
      <c r="A1247" s="6" t="s">
        <v>261</v>
      </c>
      <c r="B1247" s="16" t="s">
        <v>104</v>
      </c>
      <c r="C1247" s="16" t="s">
        <v>105</v>
      </c>
      <c r="D1247" s="16" t="s">
        <v>106</v>
      </c>
      <c r="E1247" s="17">
        <v>0.0</v>
      </c>
      <c r="F1247" s="18">
        <v>0.0</v>
      </c>
      <c r="G1247" s="18">
        <v>0.0</v>
      </c>
      <c r="H1247" s="10">
        <v>8.0</v>
      </c>
      <c r="I1247" s="19">
        <v>5.0</v>
      </c>
      <c r="J1247" s="12"/>
      <c r="K1247" s="12">
        <f t="shared" si="78"/>
        <v>3250</v>
      </c>
      <c r="L1247" s="13" t="str">
        <f t="shared" si="80"/>
        <v>0 5-star + 0 RFC + 0 DME + 8 Patient Portal Login + 5 Completed Task</v>
      </c>
      <c r="M1247" s="13"/>
      <c r="N1247" s="13"/>
      <c r="O1247" s="14"/>
      <c r="P1247" s="14"/>
    </row>
    <row r="1248" hidden="1">
      <c r="A1248" s="6" t="s">
        <v>261</v>
      </c>
      <c r="B1248" s="16" t="s">
        <v>107</v>
      </c>
      <c r="C1248" s="16" t="s">
        <v>108</v>
      </c>
      <c r="D1248" s="16" t="s">
        <v>109</v>
      </c>
      <c r="E1248" s="17">
        <v>1.0</v>
      </c>
      <c r="F1248" s="18">
        <v>0.0</v>
      </c>
      <c r="G1248" s="18">
        <v>0.0</v>
      </c>
      <c r="H1248" s="10">
        <v>1.0</v>
      </c>
      <c r="I1248" s="19">
        <v>5.0</v>
      </c>
      <c r="J1248" s="12"/>
      <c r="K1248" s="12">
        <f t="shared" si="78"/>
        <v>1750</v>
      </c>
      <c r="L1248" s="13" t="str">
        <f t="shared" si="80"/>
        <v>1 5-star + 0 RFC + 0 DME + 1 Patient Portal Login + 5 Completed Task</v>
      </c>
      <c r="M1248" s="13"/>
      <c r="N1248" s="13"/>
      <c r="O1248" s="14"/>
      <c r="P1248" s="14"/>
    </row>
    <row r="1249" hidden="1">
      <c r="A1249" s="6" t="s">
        <v>261</v>
      </c>
      <c r="B1249" s="16" t="s">
        <v>110</v>
      </c>
      <c r="C1249" s="16" t="s">
        <v>111</v>
      </c>
      <c r="D1249" s="16" t="s">
        <v>112</v>
      </c>
      <c r="E1249" s="17">
        <v>0.0</v>
      </c>
      <c r="F1249" s="18">
        <v>1.0</v>
      </c>
      <c r="G1249" s="18">
        <v>0.0</v>
      </c>
      <c r="H1249" s="10">
        <v>3.0</v>
      </c>
      <c r="I1249" s="19">
        <v>2.0</v>
      </c>
      <c r="J1249" s="12"/>
      <c r="K1249" s="12">
        <f t="shared" si="78"/>
        <v>1750</v>
      </c>
      <c r="L1249" s="13" t="str">
        <f t="shared" si="80"/>
        <v>0 5-star + 1 RFC + 0 DME + 3 Patient Portal Login + 2 Completed Task</v>
      </c>
      <c r="M1249" s="13"/>
      <c r="N1249" s="13"/>
      <c r="O1249" s="14"/>
      <c r="P1249" s="14"/>
    </row>
    <row r="1250" hidden="1">
      <c r="A1250" s="6" t="s">
        <v>261</v>
      </c>
      <c r="B1250" s="16" t="s">
        <v>113</v>
      </c>
      <c r="C1250" s="16" t="s">
        <v>114</v>
      </c>
      <c r="D1250" s="16" t="s">
        <v>115</v>
      </c>
      <c r="E1250" s="17">
        <v>0.0</v>
      </c>
      <c r="F1250" s="18">
        <v>1.0</v>
      </c>
      <c r="G1250" s="18">
        <v>1.0</v>
      </c>
      <c r="H1250" s="10">
        <v>7.0</v>
      </c>
      <c r="I1250" s="19">
        <v>4.0</v>
      </c>
      <c r="J1250" s="12"/>
      <c r="K1250" s="12">
        <f t="shared" si="78"/>
        <v>3500</v>
      </c>
      <c r="L1250" s="13" t="str">
        <f t="shared" si="80"/>
        <v>0 5-star + 1 RFC + 1 DME + 7 Patient Portal Login + 4 Completed Task</v>
      </c>
      <c r="M1250" s="13"/>
      <c r="N1250" s="13"/>
      <c r="O1250" s="14"/>
      <c r="P1250" s="14"/>
    </row>
    <row r="1251" hidden="1">
      <c r="A1251" s="6" t="s">
        <v>261</v>
      </c>
      <c r="B1251" s="7" t="s">
        <v>116</v>
      </c>
      <c r="C1251" s="16" t="s">
        <v>117</v>
      </c>
      <c r="D1251" s="16" t="s">
        <v>118</v>
      </c>
      <c r="E1251" s="17">
        <v>1.0</v>
      </c>
      <c r="F1251" s="18">
        <v>1.0</v>
      </c>
      <c r="G1251" s="18">
        <v>0.0</v>
      </c>
      <c r="H1251" s="10">
        <v>2.0</v>
      </c>
      <c r="I1251" s="19">
        <v>5.0</v>
      </c>
      <c r="J1251" s="12"/>
      <c r="K1251" s="12">
        <f t="shared" si="78"/>
        <v>2500</v>
      </c>
      <c r="L1251" s="13" t="str">
        <f t="shared" si="80"/>
        <v>1 5-star + 1 RFC + 0 DME + 2 Patient Portal Login + 5 Completed Task</v>
      </c>
      <c r="M1251" s="13"/>
      <c r="N1251" s="13"/>
      <c r="O1251" s="14"/>
      <c r="P1251" s="14"/>
    </row>
    <row r="1252" hidden="1">
      <c r="A1252" s="6" t="s">
        <v>261</v>
      </c>
      <c r="B1252" s="16" t="s">
        <v>119</v>
      </c>
      <c r="C1252" s="16" t="s">
        <v>120</v>
      </c>
      <c r="D1252" s="16" t="s">
        <v>121</v>
      </c>
      <c r="E1252" s="17">
        <v>0.0</v>
      </c>
      <c r="F1252" s="18">
        <v>0.0</v>
      </c>
      <c r="G1252" s="18">
        <v>0.0</v>
      </c>
      <c r="H1252" s="10">
        <v>0.0</v>
      </c>
      <c r="I1252" s="19">
        <v>5.0</v>
      </c>
      <c r="J1252" s="12"/>
      <c r="K1252" s="12">
        <f t="shared" si="78"/>
        <v>1250</v>
      </c>
      <c r="L1252" s="13" t="str">
        <f t="shared" si="80"/>
        <v>0 5-star + 0 RFC + 0 DME + 0 Patient Portal Login + 5 Completed Task</v>
      </c>
      <c r="M1252" s="13"/>
      <c r="N1252" s="13"/>
      <c r="O1252" s="14"/>
      <c r="P1252" s="14"/>
    </row>
    <row r="1253" hidden="1">
      <c r="A1253" s="6" t="s">
        <v>261</v>
      </c>
      <c r="B1253" s="16" t="s">
        <v>122</v>
      </c>
      <c r="C1253" s="16" t="s">
        <v>123</v>
      </c>
      <c r="D1253" s="16" t="s">
        <v>124</v>
      </c>
      <c r="E1253" s="17">
        <v>0.0</v>
      </c>
      <c r="F1253" s="18">
        <v>2.0</v>
      </c>
      <c r="G1253" s="18">
        <v>0.0</v>
      </c>
      <c r="H1253" s="10">
        <v>4.0</v>
      </c>
      <c r="I1253" s="19">
        <v>4.0</v>
      </c>
      <c r="J1253" s="12"/>
      <c r="K1253" s="12">
        <f>sum(E1253*250)+(F1253*500)+(G1252*250)+(H1253*250)+(I1253*250)</f>
        <v>3000</v>
      </c>
      <c r="L1253" s="13" t="str">
        <f> E1253 &amp; " 5-star + " &amp; F1253 &amp; " RFC + " &amp; G1252 &amp; " DME + " &amp; H1253 &amp; " Patient Portal Login + " &amp; I1253 &amp; " Completed Task"
</f>
        <v>0 5-star + 2 RFC + 0 DME + 4 Patient Portal Login + 4 Completed Task</v>
      </c>
      <c r="M1253" s="13"/>
      <c r="N1253" s="13"/>
      <c r="O1253" s="14"/>
      <c r="P1253" s="14"/>
    </row>
    <row r="1254" hidden="1">
      <c r="A1254" s="6" t="s">
        <v>261</v>
      </c>
      <c r="B1254" s="16" t="s">
        <v>125</v>
      </c>
      <c r="C1254" s="16" t="s">
        <v>126</v>
      </c>
      <c r="D1254" s="16" t="s">
        <v>127</v>
      </c>
      <c r="E1254" s="17">
        <v>1.0</v>
      </c>
      <c r="F1254" s="18">
        <v>2.0</v>
      </c>
      <c r="G1254" s="18">
        <v>0.0</v>
      </c>
      <c r="H1254" s="10">
        <v>0.0</v>
      </c>
      <c r="I1254" s="19">
        <v>4.0</v>
      </c>
      <c r="J1254" s="12"/>
      <c r="K1254" s="12">
        <f t="shared" ref="K1254:K1442" si="81">sum(E1254*250)+(F1254*500)+(G1254*250)+(H1254*250)+(I1254*250)</f>
        <v>2250</v>
      </c>
      <c r="L1254" s="13" t="str">
        <f t="shared" ref="L1254:L1266" si="82"> E1254 &amp; " 5-star + " &amp; F1254 &amp; " RFC + " &amp; G1254 &amp; " DME + " &amp; H1254 &amp; " Patient Portal Login + " &amp; I1254 &amp; " Completed Task"
</f>
        <v>1 5-star + 2 RFC + 0 DME + 0 Patient Portal Login + 4 Completed Task</v>
      </c>
      <c r="M1254" s="13"/>
      <c r="N1254" s="13"/>
      <c r="O1254" s="14"/>
      <c r="P1254" s="14"/>
    </row>
    <row r="1255" hidden="1">
      <c r="A1255" s="6" t="s">
        <v>261</v>
      </c>
      <c r="B1255" s="16" t="s">
        <v>128</v>
      </c>
      <c r="C1255" s="16" t="s">
        <v>129</v>
      </c>
      <c r="D1255" s="16" t="s">
        <v>130</v>
      </c>
      <c r="E1255" s="17">
        <v>0.0</v>
      </c>
      <c r="F1255" s="18">
        <v>3.0</v>
      </c>
      <c r="G1255" s="18">
        <v>0.0</v>
      </c>
      <c r="H1255" s="10">
        <v>0.0</v>
      </c>
      <c r="I1255" s="19">
        <v>5.0</v>
      </c>
      <c r="J1255" s="12"/>
      <c r="K1255" s="12">
        <f t="shared" si="81"/>
        <v>2750</v>
      </c>
      <c r="L1255" s="13" t="str">
        <f t="shared" si="82"/>
        <v>0 5-star + 3 RFC + 0 DME + 0 Patient Portal Login + 5 Completed Task</v>
      </c>
      <c r="M1255" s="13"/>
      <c r="N1255" s="13"/>
      <c r="O1255" s="14"/>
      <c r="P1255" s="14"/>
    </row>
    <row r="1256" hidden="1">
      <c r="A1256" s="6" t="s">
        <v>261</v>
      </c>
      <c r="B1256" s="16" t="s">
        <v>131</v>
      </c>
      <c r="C1256" s="16" t="s">
        <v>132</v>
      </c>
      <c r="D1256" s="16" t="s">
        <v>133</v>
      </c>
      <c r="E1256" s="17">
        <v>0.0</v>
      </c>
      <c r="F1256" s="18">
        <v>1.0</v>
      </c>
      <c r="G1256" s="18">
        <v>0.0</v>
      </c>
      <c r="H1256" s="10">
        <v>12.0</v>
      </c>
      <c r="I1256" s="19">
        <v>3.0</v>
      </c>
      <c r="J1256" s="12"/>
      <c r="K1256" s="12">
        <f t="shared" si="81"/>
        <v>4250</v>
      </c>
      <c r="L1256" s="13" t="str">
        <f t="shared" si="82"/>
        <v>0 5-star + 1 RFC + 0 DME + 12 Patient Portal Login + 3 Completed Task</v>
      </c>
      <c r="M1256" s="13"/>
      <c r="N1256" s="13"/>
      <c r="O1256" s="14"/>
      <c r="P1256" s="14"/>
    </row>
    <row r="1257" hidden="1">
      <c r="A1257" s="6" t="s">
        <v>261</v>
      </c>
      <c r="B1257" s="16" t="s">
        <v>134</v>
      </c>
      <c r="C1257" s="16" t="s">
        <v>135</v>
      </c>
      <c r="D1257" s="16" t="s">
        <v>136</v>
      </c>
      <c r="E1257" s="17">
        <v>0.0</v>
      </c>
      <c r="F1257" s="18">
        <v>0.0</v>
      </c>
      <c r="G1257" s="18">
        <v>0.0</v>
      </c>
      <c r="H1257" s="10">
        <v>7.0</v>
      </c>
      <c r="I1257" s="19">
        <v>5.0</v>
      </c>
      <c r="J1257" s="12"/>
      <c r="K1257" s="12">
        <f t="shared" si="81"/>
        <v>3000</v>
      </c>
      <c r="L1257" s="13" t="str">
        <f t="shared" si="82"/>
        <v>0 5-star + 0 RFC + 0 DME + 7 Patient Portal Login + 5 Completed Task</v>
      </c>
      <c r="M1257" s="13"/>
      <c r="N1257" s="13"/>
      <c r="O1257" s="14"/>
      <c r="P1257" s="14"/>
    </row>
    <row r="1258" hidden="1">
      <c r="A1258" s="6" t="s">
        <v>261</v>
      </c>
      <c r="B1258" s="16" t="s">
        <v>137</v>
      </c>
      <c r="C1258" s="16" t="s">
        <v>138</v>
      </c>
      <c r="D1258" s="16" t="s">
        <v>139</v>
      </c>
      <c r="E1258" s="17">
        <v>0.0</v>
      </c>
      <c r="F1258" s="18">
        <v>2.0</v>
      </c>
      <c r="G1258" s="18">
        <v>0.0</v>
      </c>
      <c r="H1258" s="10">
        <v>14.0</v>
      </c>
      <c r="I1258" s="19">
        <v>5.0</v>
      </c>
      <c r="J1258" s="12"/>
      <c r="K1258" s="12">
        <f t="shared" si="81"/>
        <v>5750</v>
      </c>
      <c r="L1258" s="13" t="str">
        <f t="shared" si="82"/>
        <v>0 5-star + 2 RFC + 0 DME + 14 Patient Portal Login + 5 Completed Task</v>
      </c>
      <c r="M1258" s="13"/>
      <c r="N1258" s="13"/>
      <c r="O1258" s="14"/>
      <c r="P1258" s="14"/>
    </row>
    <row r="1259" hidden="1">
      <c r="A1259" s="6" t="s">
        <v>261</v>
      </c>
      <c r="B1259" s="16" t="s">
        <v>140</v>
      </c>
      <c r="C1259" s="16" t="s">
        <v>141</v>
      </c>
      <c r="D1259" s="16" t="s">
        <v>142</v>
      </c>
      <c r="E1259" s="17">
        <v>0.0</v>
      </c>
      <c r="F1259" s="18">
        <v>3.0</v>
      </c>
      <c r="G1259" s="18">
        <v>0.0</v>
      </c>
      <c r="H1259" s="10">
        <v>0.0</v>
      </c>
      <c r="I1259" s="19">
        <v>5.0</v>
      </c>
      <c r="J1259" s="12"/>
      <c r="K1259" s="12">
        <f t="shared" si="81"/>
        <v>2750</v>
      </c>
      <c r="L1259" s="13" t="str">
        <f t="shared" si="82"/>
        <v>0 5-star + 3 RFC + 0 DME + 0 Patient Portal Login + 5 Completed Task</v>
      </c>
      <c r="M1259" s="13"/>
      <c r="N1259" s="13"/>
      <c r="O1259" s="14"/>
      <c r="P1259" s="14"/>
    </row>
    <row r="1260" hidden="1">
      <c r="A1260" s="6" t="s">
        <v>261</v>
      </c>
      <c r="B1260" s="16" t="s">
        <v>143</v>
      </c>
      <c r="C1260" s="16" t="s">
        <v>144</v>
      </c>
      <c r="D1260" s="16" t="s">
        <v>145</v>
      </c>
      <c r="E1260" s="17">
        <v>0.0</v>
      </c>
      <c r="F1260" s="18">
        <v>1.0</v>
      </c>
      <c r="G1260" s="18">
        <v>1.0</v>
      </c>
      <c r="H1260" s="10">
        <v>1.0</v>
      </c>
      <c r="I1260" s="19">
        <v>5.0</v>
      </c>
      <c r="J1260" s="12"/>
      <c r="K1260" s="12">
        <f t="shared" si="81"/>
        <v>2250</v>
      </c>
      <c r="L1260" s="13" t="str">
        <f t="shared" si="82"/>
        <v>0 5-star + 1 RFC + 1 DME + 1 Patient Portal Login + 5 Completed Task</v>
      </c>
      <c r="M1260" s="13"/>
      <c r="N1260" s="13"/>
      <c r="O1260" s="14"/>
      <c r="P1260" s="14"/>
    </row>
    <row r="1261" hidden="1">
      <c r="A1261" s="6" t="s">
        <v>261</v>
      </c>
      <c r="B1261" s="16" t="s">
        <v>146</v>
      </c>
      <c r="C1261" s="16" t="s">
        <v>147</v>
      </c>
      <c r="D1261" s="16" t="s">
        <v>148</v>
      </c>
      <c r="E1261" s="17">
        <v>0.0</v>
      </c>
      <c r="F1261" s="18">
        <v>0.0</v>
      </c>
      <c r="G1261" s="18">
        <v>0.0</v>
      </c>
      <c r="H1261" s="10">
        <v>7.0</v>
      </c>
      <c r="I1261" s="19">
        <v>5.0</v>
      </c>
      <c r="J1261" s="12"/>
      <c r="K1261" s="12">
        <f t="shared" si="81"/>
        <v>3000</v>
      </c>
      <c r="L1261" s="13" t="str">
        <f t="shared" si="82"/>
        <v>0 5-star + 0 RFC + 0 DME + 7 Patient Portal Login + 5 Completed Task</v>
      </c>
      <c r="M1261" s="13"/>
      <c r="N1261" s="13"/>
      <c r="O1261" s="14"/>
      <c r="P1261" s="14"/>
    </row>
    <row r="1262" hidden="1">
      <c r="A1262" s="6" t="s">
        <v>261</v>
      </c>
      <c r="B1262" s="16" t="s">
        <v>245</v>
      </c>
      <c r="C1262" s="16" t="s">
        <v>246</v>
      </c>
      <c r="D1262" s="16" t="s">
        <v>247</v>
      </c>
      <c r="E1262" s="17">
        <v>0.0</v>
      </c>
      <c r="F1262" s="18">
        <v>0.0</v>
      </c>
      <c r="G1262" s="18">
        <v>0.0</v>
      </c>
      <c r="H1262" s="10">
        <v>0.0</v>
      </c>
      <c r="I1262" s="19">
        <v>5.0</v>
      </c>
      <c r="J1262" s="12"/>
      <c r="K1262" s="12">
        <f t="shared" si="81"/>
        <v>1250</v>
      </c>
      <c r="L1262" s="13" t="str">
        <f t="shared" si="82"/>
        <v>0 5-star + 0 RFC + 0 DME + 0 Patient Portal Login + 5 Completed Task</v>
      </c>
      <c r="M1262" s="13"/>
      <c r="N1262" s="13"/>
      <c r="O1262" s="14"/>
      <c r="P1262" s="14"/>
    </row>
    <row r="1263" hidden="1">
      <c r="A1263" s="6" t="s">
        <v>261</v>
      </c>
      <c r="B1263" s="16" t="s">
        <v>149</v>
      </c>
      <c r="C1263" s="16" t="s">
        <v>150</v>
      </c>
      <c r="D1263" s="16" t="s">
        <v>151</v>
      </c>
      <c r="E1263" s="17">
        <v>0.0</v>
      </c>
      <c r="F1263" s="18">
        <v>4.0</v>
      </c>
      <c r="G1263" s="18">
        <v>1.0</v>
      </c>
      <c r="H1263" s="10">
        <v>0.0</v>
      </c>
      <c r="I1263" s="19">
        <v>3.0</v>
      </c>
      <c r="J1263" s="12"/>
      <c r="K1263" s="12">
        <f t="shared" si="81"/>
        <v>3000</v>
      </c>
      <c r="L1263" s="13" t="str">
        <f t="shared" si="82"/>
        <v>0 5-star + 4 RFC + 1 DME + 0 Patient Portal Login + 3 Completed Task</v>
      </c>
      <c r="M1263" s="13"/>
      <c r="N1263" s="13"/>
      <c r="O1263" s="14"/>
      <c r="P1263" s="14"/>
    </row>
    <row r="1264" hidden="1">
      <c r="A1264" s="6" t="s">
        <v>261</v>
      </c>
      <c r="B1264" s="16" t="s">
        <v>152</v>
      </c>
      <c r="C1264" s="16" t="s">
        <v>153</v>
      </c>
      <c r="D1264" s="16" t="s">
        <v>154</v>
      </c>
      <c r="E1264" s="17">
        <v>0.0</v>
      </c>
      <c r="F1264" s="18">
        <v>1.0</v>
      </c>
      <c r="G1264" s="18">
        <v>0.0</v>
      </c>
      <c r="H1264" s="10">
        <v>1.0</v>
      </c>
      <c r="I1264" s="19">
        <v>5.0</v>
      </c>
      <c r="J1264" s="12"/>
      <c r="K1264" s="12">
        <f t="shared" si="81"/>
        <v>2000</v>
      </c>
      <c r="L1264" s="13" t="str">
        <f t="shared" si="82"/>
        <v>0 5-star + 1 RFC + 0 DME + 1 Patient Portal Login + 5 Completed Task</v>
      </c>
      <c r="M1264" s="13"/>
      <c r="N1264" s="13"/>
      <c r="O1264" s="14"/>
      <c r="P1264" s="14"/>
    </row>
    <row r="1265" hidden="1">
      <c r="A1265" s="6" t="s">
        <v>261</v>
      </c>
      <c r="B1265" s="16" t="s">
        <v>155</v>
      </c>
      <c r="C1265" s="16" t="s">
        <v>156</v>
      </c>
      <c r="D1265" s="16" t="s">
        <v>157</v>
      </c>
      <c r="E1265" s="17">
        <v>0.0</v>
      </c>
      <c r="F1265" s="18">
        <v>0.0</v>
      </c>
      <c r="G1265" s="18">
        <v>0.0</v>
      </c>
      <c r="H1265" s="10">
        <v>4.0</v>
      </c>
      <c r="I1265" s="19">
        <v>3.0</v>
      </c>
      <c r="J1265" s="12"/>
      <c r="K1265" s="12">
        <f t="shared" si="81"/>
        <v>1750</v>
      </c>
      <c r="L1265" s="13" t="str">
        <f t="shared" si="82"/>
        <v>0 5-star + 0 RFC + 0 DME + 4 Patient Portal Login + 3 Completed Task</v>
      </c>
      <c r="M1265" s="13"/>
      <c r="N1265" s="13"/>
      <c r="O1265" s="14"/>
      <c r="P1265" s="14"/>
    </row>
    <row r="1266" hidden="1">
      <c r="A1266" s="6" t="s">
        <v>261</v>
      </c>
      <c r="B1266" s="16" t="s">
        <v>158</v>
      </c>
      <c r="C1266" s="16" t="s">
        <v>159</v>
      </c>
      <c r="D1266" s="16" t="s">
        <v>160</v>
      </c>
      <c r="E1266" s="8">
        <v>1.0</v>
      </c>
      <c r="F1266" s="9">
        <v>1.0</v>
      </c>
      <c r="G1266" s="18">
        <v>0.0</v>
      </c>
      <c r="H1266" s="15">
        <v>1.0</v>
      </c>
      <c r="I1266" s="19">
        <v>5.0</v>
      </c>
      <c r="J1266" s="12"/>
      <c r="K1266" s="12">
        <f t="shared" si="81"/>
        <v>2250</v>
      </c>
      <c r="L1266" s="13" t="str">
        <f t="shared" si="82"/>
        <v>1 5-star + 1 RFC + 0 DME + 1 Patient Portal Login + 5 Completed Task</v>
      </c>
      <c r="M1266" s="13"/>
      <c r="N1266" s="13"/>
      <c r="O1266" s="14"/>
      <c r="P1266" s="14"/>
    </row>
    <row r="1267" hidden="1">
      <c r="A1267" s="6" t="s">
        <v>261</v>
      </c>
      <c r="B1267" s="20" t="s">
        <v>161</v>
      </c>
      <c r="C1267" s="20" t="s">
        <v>162</v>
      </c>
      <c r="D1267" s="20" t="s">
        <v>163</v>
      </c>
      <c r="E1267" s="8">
        <v>1.0</v>
      </c>
      <c r="F1267" s="18">
        <v>0.0</v>
      </c>
      <c r="G1267" s="18">
        <v>0.0</v>
      </c>
      <c r="H1267" s="10">
        <v>2.0</v>
      </c>
      <c r="I1267" s="19">
        <v>5.0</v>
      </c>
      <c r="J1267" s="12"/>
      <c r="K1267" s="12">
        <f t="shared" si="81"/>
        <v>2000</v>
      </c>
      <c r="L1267" s="13" t="str">
        <f> E1267 &amp; " 5-star + " &amp; E1253 &amp; " RFC + " &amp; G1267 &amp; " DME + " &amp; H1267 &amp; " Patient Portal Login + " &amp; I1267 &amp; " Completed Task"
</f>
        <v>1 5-star + 0 RFC + 0 DME + 2 Patient Portal Login + 5 Completed Task</v>
      </c>
      <c r="M1267" s="13"/>
      <c r="N1267" s="13"/>
      <c r="O1267" s="14"/>
      <c r="P1267" s="14"/>
    </row>
    <row r="1268" hidden="1">
      <c r="A1268" s="6" t="s">
        <v>261</v>
      </c>
      <c r="B1268" s="20" t="s">
        <v>164</v>
      </c>
      <c r="C1268" s="20" t="s">
        <v>165</v>
      </c>
      <c r="D1268" s="20" t="s">
        <v>166</v>
      </c>
      <c r="E1268" s="17">
        <v>0.0</v>
      </c>
      <c r="F1268" s="18">
        <v>4.0</v>
      </c>
      <c r="G1268" s="18">
        <v>0.0</v>
      </c>
      <c r="H1268" s="10">
        <v>5.0</v>
      </c>
      <c r="I1268" s="19">
        <v>5.0</v>
      </c>
      <c r="J1268" s="12"/>
      <c r="K1268" s="12">
        <f t="shared" si="81"/>
        <v>4500</v>
      </c>
      <c r="L1268" s="13" t="str">
        <f t="shared" ref="L1268:L1321" si="83"> E1268 &amp; " 5-star + " &amp; F1268 &amp; " RFC + " &amp; G1268 &amp; " DME + " &amp; H1268 &amp; " Patient Portal Login + " &amp; I1268 &amp; " Completed Task"
</f>
        <v>0 5-star + 4 RFC + 0 DME + 5 Patient Portal Login + 5 Completed Task</v>
      </c>
      <c r="M1268" s="13"/>
      <c r="N1268" s="13"/>
      <c r="O1268" s="14"/>
      <c r="P1268" s="14"/>
    </row>
    <row r="1269" hidden="1">
      <c r="A1269" s="6" t="s">
        <v>261</v>
      </c>
      <c r="B1269" s="20" t="s">
        <v>167</v>
      </c>
      <c r="C1269" s="20" t="s">
        <v>168</v>
      </c>
      <c r="D1269" s="20" t="s">
        <v>169</v>
      </c>
      <c r="E1269" s="17">
        <v>0.0</v>
      </c>
      <c r="F1269" s="18">
        <v>0.0</v>
      </c>
      <c r="G1269" s="18">
        <v>0.0</v>
      </c>
      <c r="H1269" s="10">
        <v>1.0</v>
      </c>
      <c r="I1269" s="19">
        <v>5.0</v>
      </c>
      <c r="J1269" s="12"/>
      <c r="K1269" s="12">
        <f t="shared" si="81"/>
        <v>1500</v>
      </c>
      <c r="L1269" s="13" t="str">
        <f t="shared" si="83"/>
        <v>0 5-star + 0 RFC + 0 DME + 1 Patient Portal Login + 5 Completed Task</v>
      </c>
      <c r="M1269" s="13"/>
      <c r="N1269" s="13"/>
      <c r="O1269" s="14"/>
      <c r="P1269" s="14"/>
    </row>
    <row r="1270" hidden="1">
      <c r="A1270" s="6" t="s">
        <v>261</v>
      </c>
      <c r="B1270" s="20" t="s">
        <v>170</v>
      </c>
      <c r="C1270" s="20" t="s">
        <v>171</v>
      </c>
      <c r="D1270" s="20" t="s">
        <v>172</v>
      </c>
      <c r="E1270" s="17">
        <v>0.0</v>
      </c>
      <c r="F1270" s="18">
        <v>14.0</v>
      </c>
      <c r="G1270" s="18">
        <v>0.0</v>
      </c>
      <c r="H1270" s="10">
        <v>11.0</v>
      </c>
      <c r="I1270" s="19">
        <v>5.0</v>
      </c>
      <c r="J1270" s="12"/>
      <c r="K1270" s="12">
        <f t="shared" si="81"/>
        <v>11000</v>
      </c>
      <c r="L1270" s="13" t="str">
        <f t="shared" si="83"/>
        <v>0 5-star + 14 RFC + 0 DME + 11 Patient Portal Login + 5 Completed Task</v>
      </c>
      <c r="M1270" s="13"/>
      <c r="N1270" s="13"/>
      <c r="O1270" s="14"/>
      <c r="P1270" s="14"/>
    </row>
    <row r="1271" hidden="1">
      <c r="A1271" s="6" t="s">
        <v>261</v>
      </c>
      <c r="B1271" s="16" t="s">
        <v>173</v>
      </c>
      <c r="C1271" s="16" t="s">
        <v>174</v>
      </c>
      <c r="D1271" s="16" t="s">
        <v>175</v>
      </c>
      <c r="E1271" s="17">
        <v>1.0</v>
      </c>
      <c r="F1271" s="18">
        <v>0.0</v>
      </c>
      <c r="G1271" s="18">
        <v>0.0</v>
      </c>
      <c r="H1271" s="10">
        <v>8.0</v>
      </c>
      <c r="I1271" s="19">
        <v>4.0</v>
      </c>
      <c r="J1271" s="12"/>
      <c r="K1271" s="12">
        <f t="shared" si="81"/>
        <v>3250</v>
      </c>
      <c r="L1271" s="13" t="str">
        <f t="shared" si="83"/>
        <v>1 5-star + 0 RFC + 0 DME + 8 Patient Portal Login + 4 Completed Task</v>
      </c>
      <c r="M1271" s="13"/>
      <c r="N1271" s="13"/>
      <c r="O1271" s="14"/>
      <c r="P1271" s="14"/>
    </row>
    <row r="1272" hidden="1">
      <c r="A1272" s="6" t="s">
        <v>261</v>
      </c>
      <c r="B1272" s="16" t="s">
        <v>176</v>
      </c>
      <c r="C1272" s="16" t="s">
        <v>177</v>
      </c>
      <c r="D1272" s="16" t="s">
        <v>178</v>
      </c>
      <c r="E1272" s="17">
        <v>0.0</v>
      </c>
      <c r="F1272" s="18">
        <v>0.0</v>
      </c>
      <c r="G1272" s="18">
        <v>0.0</v>
      </c>
      <c r="H1272" s="10">
        <v>0.0</v>
      </c>
      <c r="I1272" s="19">
        <v>5.0</v>
      </c>
      <c r="J1272" s="12"/>
      <c r="K1272" s="12">
        <f t="shared" si="81"/>
        <v>1250</v>
      </c>
      <c r="L1272" s="13" t="str">
        <f t="shared" si="83"/>
        <v>0 5-star + 0 RFC + 0 DME + 0 Patient Portal Login + 5 Completed Task</v>
      </c>
      <c r="M1272" s="13"/>
      <c r="N1272" s="13"/>
      <c r="O1272" s="14"/>
      <c r="P1272" s="14"/>
    </row>
    <row r="1273" hidden="1">
      <c r="A1273" s="6" t="s">
        <v>261</v>
      </c>
      <c r="B1273" s="21" t="s">
        <v>179</v>
      </c>
      <c r="C1273" s="21" t="s">
        <v>180</v>
      </c>
      <c r="D1273" s="21" t="s">
        <v>181</v>
      </c>
      <c r="E1273" s="17">
        <v>0.0</v>
      </c>
      <c r="F1273" s="18">
        <v>3.0</v>
      </c>
      <c r="G1273" s="18">
        <v>2.0</v>
      </c>
      <c r="H1273" s="10">
        <v>40.0</v>
      </c>
      <c r="I1273" s="19">
        <v>4.0</v>
      </c>
      <c r="J1273" s="12"/>
      <c r="K1273" s="12">
        <f t="shared" si="81"/>
        <v>13000</v>
      </c>
      <c r="L1273" s="13" t="str">
        <f t="shared" si="83"/>
        <v>0 5-star + 3 RFC + 2 DME + 40 Patient Portal Login + 4 Completed Task</v>
      </c>
      <c r="M1273" s="13"/>
      <c r="N1273" s="13"/>
      <c r="O1273" s="23"/>
      <c r="P1273" s="23"/>
    </row>
    <row r="1274" hidden="1">
      <c r="A1274" s="6" t="s">
        <v>261</v>
      </c>
      <c r="B1274" s="21" t="s">
        <v>182</v>
      </c>
      <c r="C1274" s="21" t="s">
        <v>183</v>
      </c>
      <c r="D1274" s="21" t="s">
        <v>184</v>
      </c>
      <c r="E1274" s="17">
        <v>0.0</v>
      </c>
      <c r="F1274" s="18">
        <v>0.0</v>
      </c>
      <c r="G1274" s="18">
        <v>0.0</v>
      </c>
      <c r="H1274" s="10">
        <v>10.0</v>
      </c>
      <c r="I1274" s="19">
        <v>3.0</v>
      </c>
      <c r="J1274" s="12"/>
      <c r="K1274" s="12">
        <f t="shared" si="81"/>
        <v>3250</v>
      </c>
      <c r="L1274" s="13" t="str">
        <f t="shared" si="83"/>
        <v>0 5-star + 0 RFC + 0 DME + 10 Patient Portal Login + 3 Completed Task</v>
      </c>
      <c r="M1274" s="13"/>
      <c r="N1274" s="13"/>
      <c r="O1274" s="23"/>
      <c r="P1274" s="23"/>
    </row>
    <row r="1275" hidden="1">
      <c r="A1275" s="6" t="s">
        <v>261</v>
      </c>
      <c r="B1275" s="21" t="s">
        <v>185</v>
      </c>
      <c r="C1275" s="21" t="s">
        <v>186</v>
      </c>
      <c r="D1275" s="21" t="s">
        <v>187</v>
      </c>
      <c r="E1275" s="17">
        <v>1.0</v>
      </c>
      <c r="F1275" s="18">
        <v>13.0</v>
      </c>
      <c r="G1275" s="18">
        <v>2.0</v>
      </c>
      <c r="H1275" s="10">
        <v>6.0</v>
      </c>
      <c r="I1275" s="19">
        <v>4.0</v>
      </c>
      <c r="J1275" s="12"/>
      <c r="K1275" s="12">
        <f t="shared" si="81"/>
        <v>9750</v>
      </c>
      <c r="L1275" s="13" t="str">
        <f t="shared" si="83"/>
        <v>1 5-star + 13 RFC + 2 DME + 6 Patient Portal Login + 4 Completed Task</v>
      </c>
      <c r="M1275" s="13"/>
      <c r="N1275" s="13"/>
      <c r="O1275" s="23"/>
      <c r="P1275" s="23"/>
    </row>
    <row r="1276" hidden="1">
      <c r="A1276" s="6" t="s">
        <v>261</v>
      </c>
      <c r="B1276" s="21" t="s">
        <v>188</v>
      </c>
      <c r="C1276" s="21" t="s">
        <v>189</v>
      </c>
      <c r="D1276" s="21" t="s">
        <v>190</v>
      </c>
      <c r="E1276" s="17">
        <v>0.0</v>
      </c>
      <c r="F1276" s="18">
        <v>4.0</v>
      </c>
      <c r="G1276" s="18">
        <v>0.0</v>
      </c>
      <c r="H1276" s="10">
        <v>4.0</v>
      </c>
      <c r="I1276" s="19">
        <v>4.0</v>
      </c>
      <c r="J1276" s="12"/>
      <c r="K1276" s="12">
        <f t="shared" si="81"/>
        <v>4000</v>
      </c>
      <c r="L1276" s="13" t="str">
        <f t="shared" si="83"/>
        <v>0 5-star + 4 RFC + 0 DME + 4 Patient Portal Login + 4 Completed Task</v>
      </c>
      <c r="M1276" s="13"/>
      <c r="N1276" s="13"/>
      <c r="O1276" s="23"/>
      <c r="P1276" s="23"/>
    </row>
    <row r="1277" hidden="1">
      <c r="A1277" s="6" t="s">
        <v>261</v>
      </c>
      <c r="B1277" s="61" t="s">
        <v>258</v>
      </c>
      <c r="C1277" s="21" t="s">
        <v>259</v>
      </c>
      <c r="D1277" s="21" t="s">
        <v>260</v>
      </c>
      <c r="E1277" s="17">
        <v>0.0</v>
      </c>
      <c r="F1277" s="18">
        <v>0.0</v>
      </c>
      <c r="G1277" s="18">
        <v>0.0</v>
      </c>
      <c r="H1277" s="10">
        <v>0.0</v>
      </c>
      <c r="I1277" s="19">
        <v>3.0</v>
      </c>
      <c r="J1277" s="12"/>
      <c r="K1277" s="12">
        <f t="shared" si="81"/>
        <v>750</v>
      </c>
      <c r="L1277" s="13" t="str">
        <f t="shared" si="83"/>
        <v>0 5-star + 0 RFC + 0 DME + 0 Patient Portal Login + 3 Completed Task</v>
      </c>
      <c r="M1277" s="13"/>
      <c r="N1277" s="13"/>
      <c r="O1277" s="23"/>
      <c r="P1277" s="23"/>
    </row>
    <row r="1278" hidden="1">
      <c r="A1278" s="6" t="s">
        <v>261</v>
      </c>
      <c r="B1278" s="21" t="s">
        <v>262</v>
      </c>
      <c r="C1278" s="21" t="s">
        <v>263</v>
      </c>
      <c r="D1278" s="21" t="s">
        <v>264</v>
      </c>
      <c r="E1278" s="17">
        <v>13.0</v>
      </c>
      <c r="F1278" s="18">
        <v>0.0</v>
      </c>
      <c r="G1278" s="18">
        <v>0.0</v>
      </c>
      <c r="H1278" s="10">
        <v>0.0</v>
      </c>
      <c r="I1278" s="19">
        <v>5.0</v>
      </c>
      <c r="J1278" s="12"/>
      <c r="K1278" s="12">
        <f t="shared" si="81"/>
        <v>4500</v>
      </c>
      <c r="L1278" s="13" t="str">
        <f t="shared" si="83"/>
        <v>13 5-star + 0 RFC + 0 DME + 0 Patient Portal Login + 5 Completed Task</v>
      </c>
      <c r="M1278" s="13"/>
      <c r="N1278" s="13"/>
      <c r="O1278" s="23"/>
      <c r="P1278" s="23"/>
    </row>
    <row r="1279" hidden="1">
      <c r="A1279" s="6" t="s">
        <v>261</v>
      </c>
      <c r="B1279" s="21" t="s">
        <v>191</v>
      </c>
      <c r="C1279" s="21" t="s">
        <v>192</v>
      </c>
      <c r="D1279" s="21" t="s">
        <v>193</v>
      </c>
      <c r="E1279" s="17">
        <v>0.0</v>
      </c>
      <c r="F1279" s="18">
        <v>0.0</v>
      </c>
      <c r="G1279" s="18">
        <v>1.0</v>
      </c>
      <c r="H1279" s="10">
        <v>6.0</v>
      </c>
      <c r="I1279" s="19">
        <v>5.0</v>
      </c>
      <c r="J1279" s="12"/>
      <c r="K1279" s="12">
        <f t="shared" si="81"/>
        <v>3000</v>
      </c>
      <c r="L1279" s="13" t="str">
        <f t="shared" si="83"/>
        <v>0 5-star + 0 RFC + 1 DME + 6 Patient Portal Login + 5 Completed Task</v>
      </c>
      <c r="M1279" s="13"/>
      <c r="N1279" s="13"/>
      <c r="O1279" s="23"/>
      <c r="P1279" s="23"/>
    </row>
    <row r="1280" hidden="1">
      <c r="A1280" s="6" t="s">
        <v>261</v>
      </c>
      <c r="B1280" s="21" t="s">
        <v>194</v>
      </c>
      <c r="C1280" s="21" t="s">
        <v>195</v>
      </c>
      <c r="D1280" s="21" t="s">
        <v>196</v>
      </c>
      <c r="E1280" s="17">
        <v>0.0</v>
      </c>
      <c r="F1280" s="18">
        <v>1.0</v>
      </c>
      <c r="G1280" s="18">
        <v>0.0</v>
      </c>
      <c r="H1280" s="10">
        <v>5.0</v>
      </c>
      <c r="I1280" s="19">
        <v>4.0</v>
      </c>
      <c r="J1280" s="12"/>
      <c r="K1280" s="12">
        <f t="shared" si="81"/>
        <v>2750</v>
      </c>
      <c r="L1280" s="13" t="str">
        <f t="shared" si="83"/>
        <v>0 5-star + 1 RFC + 0 DME + 5 Patient Portal Login + 4 Completed Task</v>
      </c>
      <c r="M1280" s="13"/>
      <c r="N1280" s="13"/>
      <c r="O1280" s="23"/>
      <c r="P1280" s="23"/>
    </row>
    <row r="1281" hidden="1">
      <c r="A1281" s="6" t="s">
        <v>261</v>
      </c>
      <c r="B1281" s="21" t="s">
        <v>197</v>
      </c>
      <c r="C1281" s="21" t="s">
        <v>198</v>
      </c>
      <c r="D1281" s="21" t="s">
        <v>199</v>
      </c>
      <c r="E1281" s="17">
        <v>0.0</v>
      </c>
      <c r="F1281" s="18">
        <v>0.0</v>
      </c>
      <c r="G1281" s="18">
        <v>0.0</v>
      </c>
      <c r="H1281" s="10">
        <v>5.0</v>
      </c>
      <c r="I1281" s="19">
        <v>4.0</v>
      </c>
      <c r="J1281" s="12"/>
      <c r="K1281" s="12">
        <f t="shared" si="81"/>
        <v>2250</v>
      </c>
      <c r="L1281" s="13" t="str">
        <f t="shared" si="83"/>
        <v>0 5-star + 0 RFC + 0 DME + 5 Patient Portal Login + 4 Completed Task</v>
      </c>
      <c r="M1281" s="13"/>
      <c r="N1281" s="13"/>
      <c r="O1281" s="23"/>
      <c r="P1281" s="23"/>
    </row>
    <row r="1282" hidden="1">
      <c r="A1282" s="6" t="s">
        <v>261</v>
      </c>
      <c r="B1282" s="21" t="s">
        <v>200</v>
      </c>
      <c r="C1282" s="21" t="s">
        <v>201</v>
      </c>
      <c r="D1282" s="21" t="s">
        <v>202</v>
      </c>
      <c r="E1282" s="17">
        <v>0.0</v>
      </c>
      <c r="F1282" s="18">
        <v>0.0</v>
      </c>
      <c r="G1282" s="18">
        <v>0.0</v>
      </c>
      <c r="H1282" s="10">
        <v>4.0</v>
      </c>
      <c r="I1282" s="19">
        <v>4.0</v>
      </c>
      <c r="J1282" s="12"/>
      <c r="K1282" s="12">
        <f t="shared" si="81"/>
        <v>2000</v>
      </c>
      <c r="L1282" s="13" t="str">
        <f t="shared" si="83"/>
        <v>0 5-star + 0 RFC + 0 DME + 4 Patient Portal Login + 4 Completed Task</v>
      </c>
      <c r="M1282" s="13"/>
      <c r="N1282" s="13"/>
      <c r="O1282" s="23"/>
      <c r="P1282" s="23"/>
    </row>
    <row r="1283" hidden="1">
      <c r="A1283" s="6" t="s">
        <v>265</v>
      </c>
      <c r="B1283" s="16" t="s">
        <v>53</v>
      </c>
      <c r="C1283" s="16" t="s">
        <v>54</v>
      </c>
      <c r="D1283" s="16" t="s">
        <v>55</v>
      </c>
      <c r="E1283" s="62">
        <v>5.0</v>
      </c>
      <c r="F1283" s="63">
        <v>2.0</v>
      </c>
      <c r="G1283" s="63">
        <v>1.0</v>
      </c>
      <c r="H1283" s="64">
        <v>0.0</v>
      </c>
      <c r="I1283" s="65">
        <v>4.0</v>
      </c>
      <c r="J1283" s="12"/>
      <c r="K1283" s="12">
        <f t="shared" si="81"/>
        <v>3500</v>
      </c>
      <c r="L1283" s="13" t="str">
        <f t="shared" si="83"/>
        <v>5 5-star + 2 RFC + 1 DME + 0 Patient Portal Login + 4 Completed Task</v>
      </c>
      <c r="M1283" s="13"/>
      <c r="N1283" s="13"/>
      <c r="O1283" s="14"/>
      <c r="P1283" s="14"/>
    </row>
    <row r="1284" hidden="1">
      <c r="A1284" s="6" t="s">
        <v>265</v>
      </c>
      <c r="B1284" s="16" t="s">
        <v>56</v>
      </c>
      <c r="C1284" s="16" t="s">
        <v>57</v>
      </c>
      <c r="D1284" s="16" t="s">
        <v>58</v>
      </c>
      <c r="E1284" s="62">
        <v>0.0</v>
      </c>
      <c r="F1284" s="63">
        <v>1.0</v>
      </c>
      <c r="G1284" s="63">
        <v>6.0</v>
      </c>
      <c r="H1284" s="64">
        <v>2.0</v>
      </c>
      <c r="I1284" s="65">
        <v>4.0</v>
      </c>
      <c r="J1284" s="12"/>
      <c r="K1284" s="12">
        <f t="shared" si="81"/>
        <v>3500</v>
      </c>
      <c r="L1284" s="13" t="str">
        <f t="shared" si="83"/>
        <v>0 5-star + 1 RFC + 6 DME + 2 Patient Portal Login + 4 Completed Task</v>
      </c>
      <c r="M1284" s="13"/>
      <c r="N1284" s="13"/>
      <c r="O1284" s="14"/>
      <c r="P1284" s="14"/>
    </row>
    <row r="1285" hidden="1">
      <c r="A1285" s="6" t="s">
        <v>265</v>
      </c>
      <c r="B1285" s="16" t="s">
        <v>59</v>
      </c>
      <c r="C1285" s="16" t="s">
        <v>60</v>
      </c>
      <c r="D1285" s="16" t="s">
        <v>61</v>
      </c>
      <c r="E1285" s="62">
        <v>0.0</v>
      </c>
      <c r="F1285" s="63">
        <v>0.0</v>
      </c>
      <c r="G1285" s="63">
        <v>0.0</v>
      </c>
      <c r="H1285" s="64">
        <v>5.0</v>
      </c>
      <c r="I1285" s="65">
        <v>2.0</v>
      </c>
      <c r="J1285" s="12"/>
      <c r="K1285" s="12">
        <f t="shared" si="81"/>
        <v>1750</v>
      </c>
      <c r="L1285" s="13" t="str">
        <f t="shared" si="83"/>
        <v>0 5-star + 0 RFC + 0 DME + 5 Patient Portal Login + 2 Completed Task</v>
      </c>
      <c r="M1285" s="13"/>
      <c r="N1285" s="13"/>
      <c r="O1285" s="14"/>
      <c r="P1285" s="14"/>
    </row>
    <row r="1286" hidden="1">
      <c r="A1286" s="6" t="s">
        <v>265</v>
      </c>
      <c r="B1286" s="16" t="s">
        <v>62</v>
      </c>
      <c r="C1286" s="16" t="s">
        <v>63</v>
      </c>
      <c r="D1286" s="16" t="s">
        <v>64</v>
      </c>
      <c r="E1286" s="62">
        <v>0.0</v>
      </c>
      <c r="F1286" s="63">
        <v>0.0</v>
      </c>
      <c r="G1286" s="63">
        <v>2.0</v>
      </c>
      <c r="H1286" s="64">
        <v>5.0</v>
      </c>
      <c r="I1286" s="65">
        <v>3.0</v>
      </c>
      <c r="J1286" s="12"/>
      <c r="K1286" s="12">
        <f t="shared" si="81"/>
        <v>2500</v>
      </c>
      <c r="L1286" s="13" t="str">
        <f t="shared" si="83"/>
        <v>0 5-star + 0 RFC + 2 DME + 5 Patient Portal Login + 3 Completed Task</v>
      </c>
      <c r="M1286" s="13"/>
      <c r="N1286" s="13"/>
      <c r="O1286" s="14"/>
      <c r="P1286" s="14"/>
    </row>
    <row r="1287" hidden="1">
      <c r="A1287" s="6" t="s">
        <v>265</v>
      </c>
      <c r="B1287" s="16" t="s">
        <v>251</v>
      </c>
      <c r="C1287" s="16" t="s">
        <v>252</v>
      </c>
      <c r="D1287" s="16" t="s">
        <v>253</v>
      </c>
      <c r="E1287" s="62">
        <v>0.0</v>
      </c>
      <c r="F1287" s="63">
        <v>1.0</v>
      </c>
      <c r="G1287" s="63">
        <v>0.0</v>
      </c>
      <c r="H1287" s="64">
        <v>1.0</v>
      </c>
      <c r="I1287" s="65">
        <v>1.0</v>
      </c>
      <c r="J1287" s="12"/>
      <c r="K1287" s="12">
        <f t="shared" si="81"/>
        <v>1000</v>
      </c>
      <c r="L1287" s="13" t="str">
        <f t="shared" si="83"/>
        <v>0 5-star + 1 RFC + 0 DME + 1 Patient Portal Login + 1 Completed Task</v>
      </c>
      <c r="M1287" s="13"/>
      <c r="N1287" s="13"/>
      <c r="O1287" s="14"/>
      <c r="P1287" s="14"/>
    </row>
    <row r="1288" hidden="1">
      <c r="A1288" s="6" t="s">
        <v>265</v>
      </c>
      <c r="B1288" s="16" t="s">
        <v>65</v>
      </c>
      <c r="C1288" s="16" t="s">
        <v>66</v>
      </c>
      <c r="D1288" s="16" t="s">
        <v>67</v>
      </c>
      <c r="E1288" s="62">
        <v>1.0</v>
      </c>
      <c r="F1288" s="63">
        <v>2.0</v>
      </c>
      <c r="G1288" s="63">
        <v>0.0</v>
      </c>
      <c r="H1288" s="64">
        <v>6.0</v>
      </c>
      <c r="I1288" s="65">
        <v>2.0</v>
      </c>
      <c r="J1288" s="12"/>
      <c r="K1288" s="12">
        <f t="shared" si="81"/>
        <v>3250</v>
      </c>
      <c r="L1288" s="13" t="str">
        <f t="shared" si="83"/>
        <v>1 5-star + 2 RFC + 0 DME + 6 Patient Portal Login + 2 Completed Task</v>
      </c>
      <c r="M1288" s="13"/>
      <c r="N1288" s="13"/>
      <c r="O1288" s="14"/>
      <c r="P1288" s="14"/>
    </row>
    <row r="1289" hidden="1">
      <c r="A1289" s="6" t="s">
        <v>265</v>
      </c>
      <c r="B1289" s="16" t="s">
        <v>68</v>
      </c>
      <c r="C1289" s="16" t="s">
        <v>69</v>
      </c>
      <c r="D1289" s="16" t="s">
        <v>70</v>
      </c>
      <c r="E1289" s="62">
        <v>0.0</v>
      </c>
      <c r="F1289" s="63">
        <v>2.0</v>
      </c>
      <c r="G1289" s="63">
        <v>1.0</v>
      </c>
      <c r="H1289" s="64">
        <v>2.0</v>
      </c>
      <c r="I1289" s="65">
        <v>2.0</v>
      </c>
      <c r="J1289" s="12"/>
      <c r="K1289" s="12">
        <f t="shared" si="81"/>
        <v>2250</v>
      </c>
      <c r="L1289" s="13" t="str">
        <f t="shared" si="83"/>
        <v>0 5-star + 2 RFC + 1 DME + 2 Patient Portal Login + 2 Completed Task</v>
      </c>
      <c r="M1289" s="13"/>
      <c r="N1289" s="13"/>
      <c r="O1289" s="14"/>
      <c r="P1289" s="14"/>
    </row>
    <row r="1290" hidden="1">
      <c r="A1290" s="6" t="s">
        <v>265</v>
      </c>
      <c r="B1290" s="16" t="s">
        <v>71</v>
      </c>
      <c r="C1290" s="16" t="s">
        <v>72</v>
      </c>
      <c r="D1290" s="16" t="s">
        <v>73</v>
      </c>
      <c r="E1290" s="62">
        <v>1.0</v>
      </c>
      <c r="F1290" s="63">
        <v>0.0</v>
      </c>
      <c r="G1290" s="63">
        <v>2.0</v>
      </c>
      <c r="H1290" s="64">
        <v>2.0</v>
      </c>
      <c r="I1290" s="65">
        <v>2.0</v>
      </c>
      <c r="J1290" s="12"/>
      <c r="K1290" s="12">
        <f t="shared" si="81"/>
        <v>1750</v>
      </c>
      <c r="L1290" s="13" t="str">
        <f t="shared" si="83"/>
        <v>1 5-star + 0 RFC + 2 DME + 2 Patient Portal Login + 2 Completed Task</v>
      </c>
      <c r="M1290" s="13"/>
      <c r="N1290" s="13"/>
      <c r="O1290" s="14"/>
      <c r="P1290" s="14"/>
    </row>
    <row r="1291" hidden="1">
      <c r="A1291" s="6" t="s">
        <v>265</v>
      </c>
      <c r="B1291" s="16" t="s">
        <v>74</v>
      </c>
      <c r="C1291" s="16" t="s">
        <v>75</v>
      </c>
      <c r="D1291" s="16" t="s">
        <v>76</v>
      </c>
      <c r="E1291" s="62">
        <v>2.0</v>
      </c>
      <c r="F1291" s="63">
        <v>0.0</v>
      </c>
      <c r="G1291" s="63">
        <v>0.0</v>
      </c>
      <c r="H1291" s="64">
        <v>12.0</v>
      </c>
      <c r="I1291" s="65">
        <v>4.0</v>
      </c>
      <c r="J1291" s="12"/>
      <c r="K1291" s="12">
        <f t="shared" si="81"/>
        <v>4500</v>
      </c>
      <c r="L1291" s="13" t="str">
        <f t="shared" si="83"/>
        <v>2 5-star + 0 RFC + 0 DME + 12 Patient Portal Login + 4 Completed Task</v>
      </c>
      <c r="M1291" s="13"/>
      <c r="N1291" s="13"/>
      <c r="O1291" s="14"/>
      <c r="P1291" s="14"/>
    </row>
    <row r="1292" hidden="1">
      <c r="A1292" s="6" t="s">
        <v>265</v>
      </c>
      <c r="B1292" s="16" t="s">
        <v>77</v>
      </c>
      <c r="C1292" s="16" t="s">
        <v>78</v>
      </c>
      <c r="D1292" s="16" t="s">
        <v>79</v>
      </c>
      <c r="E1292" s="66">
        <v>5.0</v>
      </c>
      <c r="F1292" s="63">
        <v>0.0</v>
      </c>
      <c r="G1292" s="63">
        <v>0.0</v>
      </c>
      <c r="H1292" s="64">
        <v>6.0</v>
      </c>
      <c r="I1292" s="65">
        <v>2.0</v>
      </c>
      <c r="J1292" s="12"/>
      <c r="K1292" s="12">
        <f t="shared" si="81"/>
        <v>3250</v>
      </c>
      <c r="L1292" s="13" t="str">
        <f t="shared" si="83"/>
        <v>5 5-star + 0 RFC + 0 DME + 6 Patient Portal Login + 2 Completed Task</v>
      </c>
      <c r="M1292" s="13"/>
      <c r="N1292" s="13"/>
      <c r="O1292" s="14"/>
      <c r="P1292" s="14"/>
    </row>
    <row r="1293" hidden="1">
      <c r="A1293" s="6" t="s">
        <v>265</v>
      </c>
      <c r="B1293" s="16" t="s">
        <v>80</v>
      </c>
      <c r="C1293" s="16" t="s">
        <v>81</v>
      </c>
      <c r="D1293" s="16" t="s">
        <v>82</v>
      </c>
      <c r="E1293" s="62">
        <v>0.0</v>
      </c>
      <c r="F1293" s="63">
        <v>0.0</v>
      </c>
      <c r="G1293" s="63">
        <v>0.0</v>
      </c>
      <c r="H1293" s="64">
        <v>0.0</v>
      </c>
      <c r="I1293" s="65">
        <v>3.0</v>
      </c>
      <c r="J1293" s="12"/>
      <c r="K1293" s="12">
        <f t="shared" si="81"/>
        <v>750</v>
      </c>
      <c r="L1293" s="13" t="str">
        <f t="shared" si="83"/>
        <v>0 5-star + 0 RFC + 0 DME + 0 Patient Portal Login + 3 Completed Task</v>
      </c>
      <c r="M1293" s="13"/>
      <c r="N1293" s="13"/>
      <c r="O1293" s="14"/>
      <c r="P1293" s="14"/>
    </row>
    <row r="1294" hidden="1">
      <c r="A1294" s="6" t="s">
        <v>265</v>
      </c>
      <c r="B1294" s="7" t="s">
        <v>83</v>
      </c>
      <c r="C1294" s="16" t="s">
        <v>84</v>
      </c>
      <c r="D1294" s="16" t="s">
        <v>85</v>
      </c>
      <c r="E1294" s="62">
        <v>0.0</v>
      </c>
      <c r="F1294" s="63">
        <v>0.0</v>
      </c>
      <c r="G1294" s="63">
        <v>0.0</v>
      </c>
      <c r="H1294" s="64">
        <v>0.0</v>
      </c>
      <c r="I1294" s="65">
        <v>4.0</v>
      </c>
      <c r="J1294" s="12"/>
      <c r="K1294" s="12">
        <f t="shared" si="81"/>
        <v>1000</v>
      </c>
      <c r="L1294" s="13" t="str">
        <f t="shared" si="83"/>
        <v>0 5-star + 0 RFC + 0 DME + 0 Patient Portal Login + 4 Completed Task</v>
      </c>
      <c r="M1294" s="13"/>
      <c r="N1294" s="13"/>
      <c r="O1294" s="14"/>
      <c r="P1294" s="14"/>
    </row>
    <row r="1295" hidden="1">
      <c r="A1295" s="6" t="s">
        <v>265</v>
      </c>
      <c r="B1295" s="16" t="s">
        <v>255</v>
      </c>
      <c r="C1295" s="16" t="s">
        <v>256</v>
      </c>
      <c r="D1295" s="16" t="s">
        <v>257</v>
      </c>
      <c r="E1295" s="62">
        <v>0.0</v>
      </c>
      <c r="F1295" s="63">
        <v>3.0</v>
      </c>
      <c r="G1295" s="63">
        <v>1.0</v>
      </c>
      <c r="H1295" s="64">
        <v>8.0</v>
      </c>
      <c r="I1295" s="65">
        <v>3.0</v>
      </c>
      <c r="J1295" s="12"/>
      <c r="K1295" s="12">
        <f t="shared" si="81"/>
        <v>4500</v>
      </c>
      <c r="L1295" s="13" t="str">
        <f t="shared" si="83"/>
        <v>0 5-star + 3 RFC + 1 DME + 8 Patient Portal Login + 3 Completed Task</v>
      </c>
      <c r="M1295" s="13"/>
      <c r="N1295" s="13"/>
      <c r="O1295" s="14"/>
      <c r="P1295" s="14"/>
    </row>
    <row r="1296" hidden="1">
      <c r="A1296" s="6" t="s">
        <v>265</v>
      </c>
      <c r="B1296" s="16" t="s">
        <v>86</v>
      </c>
      <c r="C1296" s="16" t="s">
        <v>87</v>
      </c>
      <c r="D1296" s="16" t="s">
        <v>88</v>
      </c>
      <c r="E1296" s="62">
        <v>1.0</v>
      </c>
      <c r="F1296" s="63">
        <v>3.0</v>
      </c>
      <c r="G1296" s="63">
        <v>0.0</v>
      </c>
      <c r="H1296" s="64">
        <v>6.0</v>
      </c>
      <c r="I1296" s="65">
        <v>4.0</v>
      </c>
      <c r="J1296" s="12"/>
      <c r="K1296" s="12">
        <f t="shared" si="81"/>
        <v>4250</v>
      </c>
      <c r="L1296" s="13" t="str">
        <f t="shared" si="83"/>
        <v>1 5-star + 3 RFC + 0 DME + 6 Patient Portal Login + 4 Completed Task</v>
      </c>
      <c r="M1296" s="13"/>
      <c r="N1296" s="13"/>
      <c r="O1296" s="14"/>
      <c r="P1296" s="14"/>
    </row>
    <row r="1297" hidden="1">
      <c r="A1297" s="6" t="s">
        <v>265</v>
      </c>
      <c r="B1297" s="16" t="s">
        <v>89</v>
      </c>
      <c r="C1297" s="16" t="s">
        <v>90</v>
      </c>
      <c r="D1297" s="16" t="s">
        <v>91</v>
      </c>
      <c r="E1297" s="62">
        <v>0.0</v>
      </c>
      <c r="F1297" s="63">
        <v>0.0</v>
      </c>
      <c r="G1297" s="63">
        <v>1.0</v>
      </c>
      <c r="H1297" s="64">
        <v>4.0</v>
      </c>
      <c r="I1297" s="65">
        <v>3.0</v>
      </c>
      <c r="J1297" s="12"/>
      <c r="K1297" s="12">
        <f t="shared" si="81"/>
        <v>2000</v>
      </c>
      <c r="L1297" s="13" t="str">
        <f t="shared" si="83"/>
        <v>0 5-star + 0 RFC + 1 DME + 4 Patient Portal Login + 3 Completed Task</v>
      </c>
      <c r="M1297" s="13"/>
      <c r="N1297" s="13"/>
      <c r="O1297" s="14"/>
      <c r="P1297" s="14"/>
    </row>
    <row r="1298" hidden="1">
      <c r="A1298" s="6" t="s">
        <v>265</v>
      </c>
      <c r="B1298" s="16" t="s">
        <v>92</v>
      </c>
      <c r="C1298" s="16" t="s">
        <v>93</v>
      </c>
      <c r="D1298" s="16" t="s">
        <v>94</v>
      </c>
      <c r="E1298" s="62">
        <v>0.0</v>
      </c>
      <c r="F1298" s="63">
        <v>0.0</v>
      </c>
      <c r="G1298" s="63">
        <v>0.0</v>
      </c>
      <c r="H1298" s="64">
        <v>11.0</v>
      </c>
      <c r="I1298" s="65">
        <v>4.0</v>
      </c>
      <c r="J1298" s="12"/>
      <c r="K1298" s="12">
        <f t="shared" si="81"/>
        <v>3750</v>
      </c>
      <c r="L1298" s="13" t="str">
        <f t="shared" si="83"/>
        <v>0 5-star + 0 RFC + 0 DME + 11 Patient Portal Login + 4 Completed Task</v>
      </c>
      <c r="M1298" s="13"/>
      <c r="N1298" s="13"/>
      <c r="O1298" s="14"/>
      <c r="P1298" s="14"/>
    </row>
    <row r="1299" hidden="1">
      <c r="A1299" s="6" t="s">
        <v>265</v>
      </c>
      <c r="B1299" s="7" t="s">
        <v>95</v>
      </c>
      <c r="C1299" s="16" t="s">
        <v>96</v>
      </c>
      <c r="D1299" s="16" t="s">
        <v>97</v>
      </c>
      <c r="E1299" s="62">
        <v>0.0</v>
      </c>
      <c r="F1299" s="63">
        <v>3.0</v>
      </c>
      <c r="G1299" s="63">
        <v>0.0</v>
      </c>
      <c r="H1299" s="64">
        <v>1.0</v>
      </c>
      <c r="I1299" s="65">
        <v>4.0</v>
      </c>
      <c r="J1299" s="12"/>
      <c r="K1299" s="12">
        <f t="shared" si="81"/>
        <v>2750</v>
      </c>
      <c r="L1299" s="13" t="str">
        <f t="shared" si="83"/>
        <v>0 5-star + 3 RFC + 0 DME + 1 Patient Portal Login + 4 Completed Task</v>
      </c>
      <c r="M1299" s="13"/>
      <c r="N1299" s="13"/>
      <c r="O1299" s="14"/>
      <c r="P1299" s="14"/>
    </row>
    <row r="1300" hidden="1">
      <c r="A1300" s="6" t="s">
        <v>265</v>
      </c>
      <c r="B1300" s="16" t="s">
        <v>98</v>
      </c>
      <c r="C1300" s="16" t="s">
        <v>99</v>
      </c>
      <c r="D1300" s="16" t="s">
        <v>100</v>
      </c>
      <c r="E1300" s="62">
        <v>0.0</v>
      </c>
      <c r="F1300" s="63">
        <v>4.0</v>
      </c>
      <c r="G1300" s="63">
        <v>0.0</v>
      </c>
      <c r="H1300" s="64">
        <v>0.0</v>
      </c>
      <c r="I1300" s="65">
        <v>4.0</v>
      </c>
      <c r="J1300" s="12"/>
      <c r="K1300" s="12">
        <f t="shared" si="81"/>
        <v>3000</v>
      </c>
      <c r="L1300" s="13" t="str">
        <f t="shared" si="83"/>
        <v>0 5-star + 4 RFC + 0 DME + 0 Patient Portal Login + 4 Completed Task</v>
      </c>
      <c r="M1300" s="13"/>
      <c r="N1300" s="13"/>
      <c r="O1300" s="14"/>
      <c r="P1300" s="14"/>
    </row>
    <row r="1301" hidden="1">
      <c r="A1301" s="6" t="s">
        <v>265</v>
      </c>
      <c r="B1301" s="7" t="s">
        <v>101</v>
      </c>
      <c r="C1301" s="16" t="s">
        <v>102</v>
      </c>
      <c r="D1301" s="16" t="s">
        <v>103</v>
      </c>
      <c r="E1301" s="62">
        <v>0.0</v>
      </c>
      <c r="F1301" s="63">
        <v>0.0</v>
      </c>
      <c r="G1301" s="63">
        <v>0.0</v>
      </c>
      <c r="H1301" s="64">
        <v>4.0</v>
      </c>
      <c r="I1301" s="65">
        <v>4.0</v>
      </c>
      <c r="J1301" s="12"/>
      <c r="K1301" s="12">
        <f t="shared" si="81"/>
        <v>2000</v>
      </c>
      <c r="L1301" s="13" t="str">
        <f t="shared" si="83"/>
        <v>0 5-star + 0 RFC + 0 DME + 4 Patient Portal Login + 4 Completed Task</v>
      </c>
      <c r="M1301" s="13"/>
      <c r="N1301" s="13"/>
      <c r="O1301" s="14"/>
      <c r="P1301" s="14"/>
    </row>
    <row r="1302" hidden="1">
      <c r="A1302" s="6" t="s">
        <v>265</v>
      </c>
      <c r="B1302" s="16" t="s">
        <v>104</v>
      </c>
      <c r="C1302" s="16" t="s">
        <v>105</v>
      </c>
      <c r="D1302" s="16" t="s">
        <v>106</v>
      </c>
      <c r="E1302" s="62">
        <v>0.0</v>
      </c>
      <c r="F1302" s="63">
        <v>1.0</v>
      </c>
      <c r="G1302" s="63">
        <v>0.0</v>
      </c>
      <c r="H1302" s="64">
        <v>7.0</v>
      </c>
      <c r="I1302" s="65">
        <v>4.0</v>
      </c>
      <c r="J1302" s="12"/>
      <c r="K1302" s="12">
        <f t="shared" si="81"/>
        <v>3250</v>
      </c>
      <c r="L1302" s="13" t="str">
        <f t="shared" si="83"/>
        <v>0 5-star + 1 RFC + 0 DME + 7 Patient Portal Login + 4 Completed Task</v>
      </c>
      <c r="M1302" s="13"/>
      <c r="N1302" s="13"/>
      <c r="O1302" s="14"/>
      <c r="P1302" s="14"/>
    </row>
    <row r="1303" hidden="1">
      <c r="A1303" s="6" t="s">
        <v>265</v>
      </c>
      <c r="B1303" s="16" t="s">
        <v>107</v>
      </c>
      <c r="C1303" s="16" t="s">
        <v>108</v>
      </c>
      <c r="D1303" s="16" t="s">
        <v>109</v>
      </c>
      <c r="E1303" s="62">
        <v>0.0</v>
      </c>
      <c r="F1303" s="63">
        <v>1.0</v>
      </c>
      <c r="G1303" s="63">
        <v>1.0</v>
      </c>
      <c r="H1303" s="64">
        <v>5.0</v>
      </c>
      <c r="I1303" s="65">
        <v>4.0</v>
      </c>
      <c r="J1303" s="12"/>
      <c r="K1303" s="12">
        <f t="shared" si="81"/>
        <v>3000</v>
      </c>
      <c r="L1303" s="13" t="str">
        <f t="shared" si="83"/>
        <v>0 5-star + 1 RFC + 1 DME + 5 Patient Portal Login + 4 Completed Task</v>
      </c>
      <c r="M1303" s="13"/>
      <c r="N1303" s="13"/>
      <c r="O1303" s="14"/>
      <c r="P1303" s="14"/>
    </row>
    <row r="1304" hidden="1">
      <c r="A1304" s="6" t="s">
        <v>265</v>
      </c>
      <c r="B1304" s="16" t="s">
        <v>110</v>
      </c>
      <c r="C1304" s="16" t="s">
        <v>111</v>
      </c>
      <c r="D1304" s="16" t="s">
        <v>112</v>
      </c>
      <c r="E1304" s="66">
        <v>0.0</v>
      </c>
      <c r="F1304" s="63">
        <v>0.0</v>
      </c>
      <c r="G1304" s="63">
        <v>0.0</v>
      </c>
      <c r="H1304" s="64">
        <v>0.0</v>
      </c>
      <c r="I1304" s="65">
        <v>4.0</v>
      </c>
      <c r="J1304" s="12"/>
      <c r="K1304" s="12">
        <f t="shared" si="81"/>
        <v>1000</v>
      </c>
      <c r="L1304" s="13" t="str">
        <f t="shared" si="83"/>
        <v>0 5-star + 0 RFC + 0 DME + 0 Patient Portal Login + 4 Completed Task</v>
      </c>
      <c r="M1304" s="13"/>
      <c r="N1304" s="13"/>
      <c r="O1304" s="14"/>
      <c r="P1304" s="14"/>
    </row>
    <row r="1305" hidden="1">
      <c r="A1305" s="6" t="s">
        <v>265</v>
      </c>
      <c r="B1305" s="16" t="s">
        <v>113</v>
      </c>
      <c r="C1305" s="16" t="s">
        <v>114</v>
      </c>
      <c r="D1305" s="16" t="s">
        <v>115</v>
      </c>
      <c r="E1305" s="62">
        <v>0.0</v>
      </c>
      <c r="F1305" s="63">
        <v>1.0</v>
      </c>
      <c r="G1305" s="63">
        <v>1.0</v>
      </c>
      <c r="H1305" s="64">
        <v>1.0</v>
      </c>
      <c r="I1305" s="65">
        <v>4.0</v>
      </c>
      <c r="J1305" s="12"/>
      <c r="K1305" s="12">
        <f t="shared" si="81"/>
        <v>2000</v>
      </c>
      <c r="L1305" s="13" t="str">
        <f t="shared" si="83"/>
        <v>0 5-star + 1 RFC + 1 DME + 1 Patient Portal Login + 4 Completed Task</v>
      </c>
      <c r="M1305" s="13"/>
      <c r="N1305" s="13"/>
      <c r="O1305" s="14"/>
      <c r="P1305" s="14"/>
    </row>
    <row r="1306" hidden="1">
      <c r="A1306" s="6" t="s">
        <v>265</v>
      </c>
      <c r="B1306" s="7" t="s">
        <v>116</v>
      </c>
      <c r="C1306" s="16" t="s">
        <v>117</v>
      </c>
      <c r="D1306" s="16" t="s">
        <v>118</v>
      </c>
      <c r="E1306" s="62">
        <v>0.0</v>
      </c>
      <c r="F1306" s="63">
        <v>0.0</v>
      </c>
      <c r="G1306" s="63">
        <v>0.0</v>
      </c>
      <c r="H1306" s="64">
        <v>0.0</v>
      </c>
      <c r="I1306" s="65">
        <v>4.0</v>
      </c>
      <c r="J1306" s="12"/>
      <c r="K1306" s="12">
        <f t="shared" si="81"/>
        <v>1000</v>
      </c>
      <c r="L1306" s="13" t="str">
        <f t="shared" si="83"/>
        <v>0 5-star + 0 RFC + 0 DME + 0 Patient Portal Login + 4 Completed Task</v>
      </c>
      <c r="M1306" s="13"/>
      <c r="N1306" s="13"/>
      <c r="O1306" s="14"/>
      <c r="P1306" s="14"/>
    </row>
    <row r="1307" hidden="1">
      <c r="A1307" s="6" t="s">
        <v>265</v>
      </c>
      <c r="B1307" s="16" t="s">
        <v>119</v>
      </c>
      <c r="C1307" s="16" t="s">
        <v>120</v>
      </c>
      <c r="D1307" s="16" t="s">
        <v>121</v>
      </c>
      <c r="E1307" s="62">
        <v>0.0</v>
      </c>
      <c r="F1307" s="63">
        <v>0.0</v>
      </c>
      <c r="G1307" s="63">
        <v>0.0</v>
      </c>
      <c r="H1307" s="64">
        <v>2.0</v>
      </c>
      <c r="I1307" s="65">
        <v>4.0</v>
      </c>
      <c r="J1307" s="12"/>
      <c r="K1307" s="12">
        <f t="shared" si="81"/>
        <v>1500</v>
      </c>
      <c r="L1307" s="13" t="str">
        <f t="shared" si="83"/>
        <v>0 5-star + 0 RFC + 0 DME + 2 Patient Portal Login + 4 Completed Task</v>
      </c>
      <c r="M1307" s="13"/>
      <c r="N1307" s="13"/>
      <c r="O1307" s="14"/>
      <c r="P1307" s="14"/>
    </row>
    <row r="1308" hidden="1">
      <c r="A1308" s="6" t="s">
        <v>265</v>
      </c>
      <c r="B1308" s="16" t="s">
        <v>122</v>
      </c>
      <c r="C1308" s="16" t="s">
        <v>123</v>
      </c>
      <c r="D1308" s="16" t="s">
        <v>124</v>
      </c>
      <c r="E1308" s="62">
        <v>0.0</v>
      </c>
      <c r="F1308" s="63">
        <v>0.0</v>
      </c>
      <c r="G1308" s="63">
        <v>0.0</v>
      </c>
      <c r="H1308" s="64">
        <v>0.0</v>
      </c>
      <c r="I1308" s="65">
        <v>4.0</v>
      </c>
      <c r="J1308" s="12"/>
      <c r="K1308" s="12">
        <f t="shared" si="81"/>
        <v>1000</v>
      </c>
      <c r="L1308" s="13" t="str">
        <f t="shared" si="83"/>
        <v>0 5-star + 0 RFC + 0 DME + 0 Patient Portal Login + 4 Completed Task</v>
      </c>
      <c r="M1308" s="13"/>
      <c r="N1308" s="13"/>
      <c r="O1308" s="14"/>
      <c r="P1308" s="14"/>
    </row>
    <row r="1309" hidden="1">
      <c r="A1309" s="6" t="s">
        <v>265</v>
      </c>
      <c r="B1309" s="16" t="s">
        <v>125</v>
      </c>
      <c r="C1309" s="16" t="s">
        <v>126</v>
      </c>
      <c r="D1309" s="16" t="s">
        <v>127</v>
      </c>
      <c r="E1309" s="62">
        <v>0.0</v>
      </c>
      <c r="F1309" s="63">
        <v>1.0</v>
      </c>
      <c r="G1309" s="63">
        <v>0.0</v>
      </c>
      <c r="H1309" s="64">
        <v>1.0</v>
      </c>
      <c r="I1309" s="65">
        <v>4.0</v>
      </c>
      <c r="J1309" s="12"/>
      <c r="K1309" s="12">
        <f t="shared" si="81"/>
        <v>1750</v>
      </c>
      <c r="L1309" s="13" t="str">
        <f t="shared" si="83"/>
        <v>0 5-star + 1 RFC + 0 DME + 1 Patient Portal Login + 4 Completed Task</v>
      </c>
      <c r="M1309" s="13"/>
      <c r="N1309" s="13"/>
      <c r="O1309" s="14"/>
      <c r="P1309" s="14"/>
    </row>
    <row r="1310" hidden="1">
      <c r="A1310" s="6" t="s">
        <v>265</v>
      </c>
      <c r="B1310" s="16" t="s">
        <v>128</v>
      </c>
      <c r="C1310" s="16" t="s">
        <v>129</v>
      </c>
      <c r="D1310" s="16" t="s">
        <v>130</v>
      </c>
      <c r="E1310" s="62">
        <v>0.0</v>
      </c>
      <c r="F1310" s="63">
        <v>0.0</v>
      </c>
      <c r="G1310" s="63">
        <v>1.0</v>
      </c>
      <c r="H1310" s="64">
        <v>9.0</v>
      </c>
      <c r="I1310" s="65">
        <v>4.0</v>
      </c>
      <c r="J1310" s="12"/>
      <c r="K1310" s="12">
        <f t="shared" si="81"/>
        <v>3500</v>
      </c>
      <c r="L1310" s="13" t="str">
        <f t="shared" si="83"/>
        <v>0 5-star + 0 RFC + 1 DME + 9 Patient Portal Login + 4 Completed Task</v>
      </c>
      <c r="M1310" s="13"/>
      <c r="N1310" s="13"/>
      <c r="O1310" s="14"/>
      <c r="P1310" s="14"/>
    </row>
    <row r="1311" hidden="1">
      <c r="A1311" s="6" t="s">
        <v>265</v>
      </c>
      <c r="B1311" s="16" t="s">
        <v>131</v>
      </c>
      <c r="C1311" s="16" t="s">
        <v>132</v>
      </c>
      <c r="D1311" s="16" t="s">
        <v>133</v>
      </c>
      <c r="E1311" s="62">
        <v>1.0</v>
      </c>
      <c r="F1311" s="63">
        <v>5.0</v>
      </c>
      <c r="G1311" s="63">
        <v>1.0</v>
      </c>
      <c r="H1311" s="64">
        <v>16.0</v>
      </c>
      <c r="I1311" s="65">
        <v>3.0</v>
      </c>
      <c r="J1311" s="12"/>
      <c r="K1311" s="12">
        <f t="shared" si="81"/>
        <v>7750</v>
      </c>
      <c r="L1311" s="13" t="str">
        <f t="shared" si="83"/>
        <v>1 5-star + 5 RFC + 1 DME + 16 Patient Portal Login + 3 Completed Task</v>
      </c>
      <c r="M1311" s="13"/>
      <c r="N1311" s="13"/>
      <c r="O1311" s="14"/>
      <c r="P1311" s="14"/>
    </row>
    <row r="1312" hidden="1">
      <c r="A1312" s="6" t="s">
        <v>265</v>
      </c>
      <c r="B1312" s="16" t="s">
        <v>134</v>
      </c>
      <c r="C1312" s="16" t="s">
        <v>135</v>
      </c>
      <c r="D1312" s="16" t="s">
        <v>136</v>
      </c>
      <c r="E1312" s="62">
        <v>0.0</v>
      </c>
      <c r="F1312" s="63">
        <v>1.0</v>
      </c>
      <c r="G1312" s="63">
        <v>1.0</v>
      </c>
      <c r="H1312" s="64">
        <v>3.0</v>
      </c>
      <c r="I1312" s="65">
        <v>4.0</v>
      </c>
      <c r="J1312" s="12"/>
      <c r="K1312" s="12">
        <f t="shared" si="81"/>
        <v>2500</v>
      </c>
      <c r="L1312" s="13" t="str">
        <f t="shared" si="83"/>
        <v>0 5-star + 1 RFC + 1 DME + 3 Patient Portal Login + 4 Completed Task</v>
      </c>
      <c r="M1312" s="13"/>
      <c r="N1312" s="13"/>
      <c r="O1312" s="14"/>
      <c r="P1312" s="14"/>
    </row>
    <row r="1313" hidden="1">
      <c r="A1313" s="6" t="s">
        <v>265</v>
      </c>
      <c r="B1313" s="16" t="s">
        <v>137</v>
      </c>
      <c r="C1313" s="16" t="s">
        <v>138</v>
      </c>
      <c r="D1313" s="16" t="s">
        <v>139</v>
      </c>
      <c r="E1313" s="62">
        <v>1.0</v>
      </c>
      <c r="F1313" s="63">
        <v>6.0</v>
      </c>
      <c r="G1313" s="63">
        <v>0.0</v>
      </c>
      <c r="H1313" s="64">
        <v>5.0</v>
      </c>
      <c r="I1313" s="65">
        <v>4.0</v>
      </c>
      <c r="J1313" s="12"/>
      <c r="K1313" s="12">
        <f t="shared" si="81"/>
        <v>5500</v>
      </c>
      <c r="L1313" s="13" t="str">
        <f t="shared" si="83"/>
        <v>1 5-star + 6 RFC + 0 DME + 5 Patient Portal Login + 4 Completed Task</v>
      </c>
      <c r="M1313" s="13"/>
      <c r="N1313" s="13"/>
      <c r="O1313" s="14"/>
      <c r="P1313" s="14"/>
    </row>
    <row r="1314" hidden="1">
      <c r="A1314" s="6" t="s">
        <v>265</v>
      </c>
      <c r="B1314" s="16" t="s">
        <v>140</v>
      </c>
      <c r="C1314" s="16" t="s">
        <v>141</v>
      </c>
      <c r="D1314" s="16" t="s">
        <v>142</v>
      </c>
      <c r="E1314" s="62">
        <v>0.0</v>
      </c>
      <c r="F1314" s="63">
        <v>0.0</v>
      </c>
      <c r="G1314" s="63">
        <v>0.0</v>
      </c>
      <c r="H1314" s="64">
        <v>3.0</v>
      </c>
      <c r="I1314" s="65">
        <v>4.0</v>
      </c>
      <c r="J1314" s="12"/>
      <c r="K1314" s="12">
        <f t="shared" si="81"/>
        <v>1750</v>
      </c>
      <c r="L1314" s="13" t="str">
        <f t="shared" si="83"/>
        <v>0 5-star + 0 RFC + 0 DME + 3 Patient Portal Login + 4 Completed Task</v>
      </c>
      <c r="M1314" s="13"/>
      <c r="N1314" s="13"/>
      <c r="O1314" s="14"/>
      <c r="P1314" s="14"/>
    </row>
    <row r="1315" hidden="1">
      <c r="A1315" s="6" t="s">
        <v>265</v>
      </c>
      <c r="B1315" s="16" t="s">
        <v>143</v>
      </c>
      <c r="C1315" s="16" t="s">
        <v>144</v>
      </c>
      <c r="D1315" s="16" t="s">
        <v>145</v>
      </c>
      <c r="E1315" s="62">
        <v>0.0</v>
      </c>
      <c r="F1315" s="63">
        <v>2.0</v>
      </c>
      <c r="G1315" s="63">
        <v>0.0</v>
      </c>
      <c r="H1315" s="64">
        <v>6.0</v>
      </c>
      <c r="I1315" s="65">
        <v>4.0</v>
      </c>
      <c r="J1315" s="12"/>
      <c r="K1315" s="12">
        <f t="shared" si="81"/>
        <v>3500</v>
      </c>
      <c r="L1315" s="13" t="str">
        <f t="shared" si="83"/>
        <v>0 5-star + 2 RFC + 0 DME + 6 Patient Portal Login + 4 Completed Task</v>
      </c>
      <c r="M1315" s="13"/>
      <c r="N1315" s="13"/>
      <c r="O1315" s="14"/>
      <c r="P1315" s="14"/>
    </row>
    <row r="1316" hidden="1">
      <c r="A1316" s="6" t="s">
        <v>265</v>
      </c>
      <c r="B1316" s="16" t="s">
        <v>146</v>
      </c>
      <c r="C1316" s="16" t="s">
        <v>147</v>
      </c>
      <c r="D1316" s="16" t="s">
        <v>148</v>
      </c>
      <c r="E1316" s="62">
        <v>0.0</v>
      </c>
      <c r="F1316" s="63">
        <v>4.0</v>
      </c>
      <c r="G1316" s="63">
        <v>0.0</v>
      </c>
      <c r="H1316" s="64">
        <v>5.0</v>
      </c>
      <c r="I1316" s="65">
        <v>4.0</v>
      </c>
      <c r="J1316" s="12"/>
      <c r="K1316" s="12">
        <f t="shared" si="81"/>
        <v>4250</v>
      </c>
      <c r="L1316" s="13" t="str">
        <f t="shared" si="83"/>
        <v>0 5-star + 4 RFC + 0 DME + 5 Patient Portal Login + 4 Completed Task</v>
      </c>
      <c r="M1316" s="13"/>
      <c r="N1316" s="13"/>
      <c r="O1316" s="14"/>
      <c r="P1316" s="14"/>
    </row>
    <row r="1317" hidden="1">
      <c r="A1317" s="6" t="s">
        <v>265</v>
      </c>
      <c r="B1317" s="16" t="s">
        <v>245</v>
      </c>
      <c r="C1317" s="16" t="s">
        <v>246</v>
      </c>
      <c r="D1317" s="16" t="s">
        <v>247</v>
      </c>
      <c r="E1317" s="62">
        <v>0.0</v>
      </c>
      <c r="F1317" s="63">
        <v>1.0</v>
      </c>
      <c r="G1317" s="63">
        <v>0.0</v>
      </c>
      <c r="H1317" s="67">
        <v>0.0</v>
      </c>
      <c r="I1317" s="65">
        <v>4.0</v>
      </c>
      <c r="J1317" s="12"/>
      <c r="K1317" s="12">
        <f t="shared" si="81"/>
        <v>1500</v>
      </c>
      <c r="L1317" s="13" t="str">
        <f t="shared" si="83"/>
        <v>0 5-star + 1 RFC + 0 DME + 0 Patient Portal Login + 4 Completed Task</v>
      </c>
      <c r="M1317" s="13"/>
      <c r="N1317" s="13"/>
      <c r="O1317" s="14"/>
      <c r="P1317" s="14"/>
    </row>
    <row r="1318" hidden="1">
      <c r="A1318" s="6" t="s">
        <v>265</v>
      </c>
      <c r="B1318" s="16" t="s">
        <v>149</v>
      </c>
      <c r="C1318" s="16" t="s">
        <v>150</v>
      </c>
      <c r="D1318" s="16" t="s">
        <v>151</v>
      </c>
      <c r="E1318" s="62">
        <v>0.0</v>
      </c>
      <c r="F1318" s="63">
        <v>2.0</v>
      </c>
      <c r="G1318" s="63">
        <v>0.0</v>
      </c>
      <c r="H1318" s="64">
        <v>4.0</v>
      </c>
      <c r="I1318" s="65">
        <v>3.0</v>
      </c>
      <c r="J1318" s="12"/>
      <c r="K1318" s="12">
        <f t="shared" si="81"/>
        <v>2750</v>
      </c>
      <c r="L1318" s="13" t="str">
        <f t="shared" si="83"/>
        <v>0 5-star + 2 RFC + 0 DME + 4 Patient Portal Login + 3 Completed Task</v>
      </c>
      <c r="M1318" s="13"/>
      <c r="N1318" s="13"/>
      <c r="O1318" s="14"/>
      <c r="P1318" s="14"/>
    </row>
    <row r="1319" hidden="1">
      <c r="A1319" s="6" t="s">
        <v>265</v>
      </c>
      <c r="B1319" s="16" t="s">
        <v>152</v>
      </c>
      <c r="C1319" s="16" t="s">
        <v>153</v>
      </c>
      <c r="D1319" s="16" t="s">
        <v>154</v>
      </c>
      <c r="E1319" s="62">
        <v>2.0</v>
      </c>
      <c r="F1319" s="63">
        <v>0.0</v>
      </c>
      <c r="G1319" s="63">
        <v>0.0</v>
      </c>
      <c r="H1319" s="64">
        <v>0.0</v>
      </c>
      <c r="I1319" s="65">
        <v>4.0</v>
      </c>
      <c r="J1319" s="12"/>
      <c r="K1319" s="12">
        <f t="shared" si="81"/>
        <v>1500</v>
      </c>
      <c r="L1319" s="13" t="str">
        <f t="shared" si="83"/>
        <v>2 5-star + 0 RFC + 0 DME + 0 Patient Portal Login + 4 Completed Task</v>
      </c>
      <c r="M1319" s="13"/>
      <c r="N1319" s="13"/>
      <c r="O1319" s="14"/>
      <c r="P1319" s="14"/>
    </row>
    <row r="1320" hidden="1">
      <c r="A1320" s="6" t="s">
        <v>265</v>
      </c>
      <c r="B1320" s="16" t="s">
        <v>155</v>
      </c>
      <c r="C1320" s="16" t="s">
        <v>156</v>
      </c>
      <c r="D1320" s="16" t="s">
        <v>157</v>
      </c>
      <c r="E1320" s="62">
        <v>0.0</v>
      </c>
      <c r="F1320" s="63">
        <v>1.0</v>
      </c>
      <c r="G1320" s="63">
        <v>0.0</v>
      </c>
      <c r="H1320" s="64">
        <v>4.0</v>
      </c>
      <c r="I1320" s="65">
        <v>2.0</v>
      </c>
      <c r="J1320" s="12"/>
      <c r="K1320" s="12">
        <f t="shared" si="81"/>
        <v>2000</v>
      </c>
      <c r="L1320" s="13" t="str">
        <f t="shared" si="83"/>
        <v>0 5-star + 1 RFC + 0 DME + 4 Patient Portal Login + 2 Completed Task</v>
      </c>
      <c r="M1320" s="13"/>
      <c r="N1320" s="13"/>
      <c r="O1320" s="14"/>
      <c r="P1320" s="14"/>
    </row>
    <row r="1321" hidden="1">
      <c r="A1321" s="6" t="s">
        <v>265</v>
      </c>
      <c r="B1321" s="16" t="s">
        <v>158</v>
      </c>
      <c r="C1321" s="16" t="s">
        <v>159</v>
      </c>
      <c r="D1321" s="16" t="s">
        <v>160</v>
      </c>
      <c r="E1321" s="62">
        <v>0.0</v>
      </c>
      <c r="F1321" s="63">
        <v>1.0</v>
      </c>
      <c r="G1321" s="63">
        <v>0.0</v>
      </c>
      <c r="H1321" s="64">
        <v>0.0</v>
      </c>
      <c r="I1321" s="65">
        <v>4.0</v>
      </c>
      <c r="J1321" s="12"/>
      <c r="K1321" s="12">
        <f t="shared" si="81"/>
        <v>1500</v>
      </c>
      <c r="L1321" s="13" t="str">
        <f t="shared" si="83"/>
        <v>0 5-star + 1 RFC + 0 DME + 0 Patient Portal Login + 4 Completed Task</v>
      </c>
      <c r="M1321" s="13"/>
      <c r="N1321" s="13"/>
      <c r="O1321" s="14"/>
      <c r="P1321" s="14"/>
    </row>
    <row r="1322" hidden="1">
      <c r="A1322" s="6" t="s">
        <v>265</v>
      </c>
      <c r="B1322" s="20" t="s">
        <v>161</v>
      </c>
      <c r="C1322" s="20" t="s">
        <v>162</v>
      </c>
      <c r="D1322" s="20" t="s">
        <v>163</v>
      </c>
      <c r="E1322" s="62">
        <v>0.0</v>
      </c>
      <c r="F1322" s="63">
        <v>0.0</v>
      </c>
      <c r="G1322" s="63">
        <v>2.0</v>
      </c>
      <c r="H1322" s="64">
        <v>4.0</v>
      </c>
      <c r="I1322" s="65">
        <v>4.0</v>
      </c>
      <c r="J1322" s="12"/>
      <c r="K1322" s="12">
        <f t="shared" si="81"/>
        <v>2500</v>
      </c>
      <c r="L1322" s="13" t="str">
        <f> E1322 &amp; " 5-star + " &amp; E1308 &amp; " RFC + " &amp; G1322 &amp; " DME + " &amp; H1322 &amp; " Patient Portal Login + " &amp; I1322 &amp; " Completed Task"
</f>
        <v>0 5-star + 0 RFC + 2 DME + 4 Patient Portal Login + 4 Completed Task</v>
      </c>
      <c r="M1322" s="13"/>
      <c r="N1322" s="13"/>
      <c r="O1322" s="14"/>
      <c r="P1322" s="14"/>
    </row>
    <row r="1323" hidden="1">
      <c r="A1323" s="6" t="s">
        <v>265</v>
      </c>
      <c r="B1323" s="20" t="s">
        <v>164</v>
      </c>
      <c r="C1323" s="20" t="s">
        <v>165</v>
      </c>
      <c r="D1323" s="20" t="s">
        <v>166</v>
      </c>
      <c r="E1323" s="62">
        <v>0.0</v>
      </c>
      <c r="F1323" s="63">
        <v>2.0</v>
      </c>
      <c r="G1323" s="63">
        <v>0.0</v>
      </c>
      <c r="H1323" s="64">
        <v>2.0</v>
      </c>
      <c r="I1323" s="65">
        <v>4.0</v>
      </c>
      <c r="J1323" s="12"/>
      <c r="K1323" s="12">
        <f t="shared" si="81"/>
        <v>2500</v>
      </c>
      <c r="L1323" s="13" t="str">
        <f t="shared" ref="L1323:L1377" si="84"> E1323 &amp; " 5-star + " &amp; F1323 &amp; " RFC + " &amp; G1323 &amp; " DME + " &amp; H1323 &amp; " Patient Portal Login + " &amp; I1323 &amp; " Completed Task"
</f>
        <v>0 5-star + 2 RFC + 0 DME + 2 Patient Portal Login + 4 Completed Task</v>
      </c>
      <c r="M1323" s="13"/>
      <c r="N1323" s="13"/>
      <c r="O1323" s="14"/>
      <c r="P1323" s="14"/>
    </row>
    <row r="1324" hidden="1">
      <c r="A1324" s="6" t="s">
        <v>265</v>
      </c>
      <c r="B1324" s="20" t="s">
        <v>167</v>
      </c>
      <c r="C1324" s="20" t="s">
        <v>168</v>
      </c>
      <c r="D1324" s="20" t="s">
        <v>169</v>
      </c>
      <c r="E1324" s="62">
        <v>0.0</v>
      </c>
      <c r="F1324" s="63">
        <v>0.0</v>
      </c>
      <c r="G1324" s="63">
        <v>0.0</v>
      </c>
      <c r="H1324" s="64">
        <v>1.0</v>
      </c>
      <c r="I1324" s="65">
        <v>4.0</v>
      </c>
      <c r="J1324" s="12"/>
      <c r="K1324" s="12">
        <f t="shared" si="81"/>
        <v>1250</v>
      </c>
      <c r="L1324" s="13" t="str">
        <f t="shared" si="84"/>
        <v>0 5-star + 0 RFC + 0 DME + 1 Patient Portal Login + 4 Completed Task</v>
      </c>
      <c r="M1324" s="13"/>
      <c r="N1324" s="13"/>
      <c r="O1324" s="14"/>
      <c r="P1324" s="14"/>
    </row>
    <row r="1325" hidden="1">
      <c r="A1325" s="6" t="s">
        <v>265</v>
      </c>
      <c r="B1325" s="20" t="s">
        <v>170</v>
      </c>
      <c r="C1325" s="20" t="s">
        <v>171</v>
      </c>
      <c r="D1325" s="20" t="s">
        <v>172</v>
      </c>
      <c r="E1325" s="62">
        <v>0.0</v>
      </c>
      <c r="F1325" s="63">
        <v>6.0</v>
      </c>
      <c r="G1325" s="63">
        <v>0.0</v>
      </c>
      <c r="H1325" s="64">
        <v>10.0</v>
      </c>
      <c r="I1325" s="65">
        <v>4.0</v>
      </c>
      <c r="J1325" s="12"/>
      <c r="K1325" s="12">
        <f t="shared" si="81"/>
        <v>6500</v>
      </c>
      <c r="L1325" s="13" t="str">
        <f t="shared" si="84"/>
        <v>0 5-star + 6 RFC + 0 DME + 10 Patient Portal Login + 4 Completed Task</v>
      </c>
      <c r="M1325" s="13"/>
      <c r="N1325" s="13"/>
      <c r="O1325" s="14"/>
      <c r="P1325" s="14"/>
    </row>
    <row r="1326" hidden="1">
      <c r="A1326" s="6" t="s">
        <v>265</v>
      </c>
      <c r="B1326" s="16" t="s">
        <v>173</v>
      </c>
      <c r="C1326" s="16" t="s">
        <v>174</v>
      </c>
      <c r="D1326" s="16" t="s">
        <v>175</v>
      </c>
      <c r="E1326" s="62">
        <v>0.0</v>
      </c>
      <c r="F1326" s="63">
        <v>0.0</v>
      </c>
      <c r="G1326" s="63">
        <v>0.0</v>
      </c>
      <c r="H1326" s="64">
        <v>13.0</v>
      </c>
      <c r="I1326" s="65">
        <v>4.0</v>
      </c>
      <c r="J1326" s="12"/>
      <c r="K1326" s="12">
        <f t="shared" si="81"/>
        <v>4250</v>
      </c>
      <c r="L1326" s="13" t="str">
        <f t="shared" si="84"/>
        <v>0 5-star + 0 RFC + 0 DME + 13 Patient Portal Login + 4 Completed Task</v>
      </c>
      <c r="M1326" s="13"/>
      <c r="N1326" s="13"/>
      <c r="O1326" s="14"/>
      <c r="P1326" s="14"/>
    </row>
    <row r="1327" hidden="1">
      <c r="A1327" s="6" t="s">
        <v>265</v>
      </c>
      <c r="B1327" s="16" t="s">
        <v>176</v>
      </c>
      <c r="C1327" s="16" t="s">
        <v>177</v>
      </c>
      <c r="D1327" s="16" t="s">
        <v>178</v>
      </c>
      <c r="E1327" s="62">
        <v>0.0</v>
      </c>
      <c r="F1327" s="63">
        <v>0.0</v>
      </c>
      <c r="G1327" s="63">
        <v>0.0</v>
      </c>
      <c r="H1327" s="64">
        <v>3.0</v>
      </c>
      <c r="I1327" s="65">
        <v>4.0</v>
      </c>
      <c r="J1327" s="12"/>
      <c r="K1327" s="12">
        <f t="shared" si="81"/>
        <v>1750</v>
      </c>
      <c r="L1327" s="13" t="str">
        <f t="shared" si="84"/>
        <v>0 5-star + 0 RFC + 0 DME + 3 Patient Portal Login + 4 Completed Task</v>
      </c>
      <c r="M1327" s="13"/>
      <c r="N1327" s="13"/>
      <c r="O1327" s="14"/>
      <c r="P1327" s="14"/>
    </row>
    <row r="1328" hidden="1">
      <c r="A1328" s="6" t="s">
        <v>265</v>
      </c>
      <c r="B1328" s="21" t="s">
        <v>179</v>
      </c>
      <c r="C1328" s="21" t="s">
        <v>180</v>
      </c>
      <c r="D1328" s="21" t="s">
        <v>181</v>
      </c>
      <c r="E1328" s="66">
        <v>1.0</v>
      </c>
      <c r="F1328" s="63">
        <v>5.0</v>
      </c>
      <c r="G1328" s="63">
        <v>2.0</v>
      </c>
      <c r="H1328" s="64">
        <v>25.0</v>
      </c>
      <c r="I1328" s="65">
        <v>4.0</v>
      </c>
      <c r="J1328" s="12"/>
      <c r="K1328" s="12">
        <f t="shared" si="81"/>
        <v>10500</v>
      </c>
      <c r="L1328" s="13" t="str">
        <f t="shared" si="84"/>
        <v>1 5-star + 5 RFC + 2 DME + 25 Patient Portal Login + 4 Completed Task</v>
      </c>
      <c r="M1328" s="13"/>
      <c r="N1328" s="13"/>
      <c r="O1328" s="23"/>
      <c r="P1328" s="23"/>
    </row>
    <row r="1329" hidden="1">
      <c r="A1329" s="6" t="s">
        <v>265</v>
      </c>
      <c r="B1329" s="21" t="s">
        <v>182</v>
      </c>
      <c r="C1329" s="21" t="s">
        <v>183</v>
      </c>
      <c r="D1329" s="21" t="s">
        <v>184</v>
      </c>
      <c r="E1329" s="62">
        <v>1.0</v>
      </c>
      <c r="F1329" s="63">
        <v>0.0</v>
      </c>
      <c r="G1329" s="63">
        <v>0.0</v>
      </c>
      <c r="H1329" s="64">
        <v>0.0</v>
      </c>
      <c r="I1329" s="65">
        <v>3.0</v>
      </c>
      <c r="J1329" s="12"/>
      <c r="K1329" s="12">
        <f t="shared" si="81"/>
        <v>1000</v>
      </c>
      <c r="L1329" s="13" t="str">
        <f t="shared" si="84"/>
        <v>1 5-star + 0 RFC + 0 DME + 0 Patient Portal Login + 3 Completed Task</v>
      </c>
      <c r="M1329" s="13"/>
      <c r="N1329" s="13"/>
      <c r="O1329" s="23"/>
      <c r="P1329" s="23"/>
    </row>
    <row r="1330" hidden="1">
      <c r="A1330" s="6" t="s">
        <v>265</v>
      </c>
      <c r="B1330" s="21" t="s">
        <v>185</v>
      </c>
      <c r="C1330" s="21" t="s">
        <v>186</v>
      </c>
      <c r="D1330" s="21" t="s">
        <v>187</v>
      </c>
      <c r="E1330" s="62">
        <v>0.0</v>
      </c>
      <c r="F1330" s="63">
        <v>4.0</v>
      </c>
      <c r="G1330" s="63">
        <v>0.0</v>
      </c>
      <c r="H1330" s="64">
        <v>11.0</v>
      </c>
      <c r="I1330" s="65">
        <v>3.0</v>
      </c>
      <c r="J1330" s="12"/>
      <c r="K1330" s="12">
        <f t="shared" si="81"/>
        <v>5500</v>
      </c>
      <c r="L1330" s="13" t="str">
        <f t="shared" si="84"/>
        <v>0 5-star + 4 RFC + 0 DME + 11 Patient Portal Login + 3 Completed Task</v>
      </c>
      <c r="M1330" s="13"/>
      <c r="N1330" s="13"/>
      <c r="O1330" s="23"/>
      <c r="P1330" s="23"/>
    </row>
    <row r="1331" hidden="1">
      <c r="A1331" s="6" t="s">
        <v>265</v>
      </c>
      <c r="B1331" s="21" t="s">
        <v>188</v>
      </c>
      <c r="C1331" s="21" t="s">
        <v>189</v>
      </c>
      <c r="D1331" s="21" t="s">
        <v>190</v>
      </c>
      <c r="E1331" s="62">
        <v>0.0</v>
      </c>
      <c r="F1331" s="63">
        <v>0.0</v>
      </c>
      <c r="G1331" s="63">
        <v>0.0</v>
      </c>
      <c r="H1331" s="64">
        <v>3.0</v>
      </c>
      <c r="I1331" s="65">
        <v>3.0</v>
      </c>
      <c r="J1331" s="12"/>
      <c r="K1331" s="12">
        <f t="shared" si="81"/>
        <v>1500</v>
      </c>
      <c r="L1331" s="13" t="str">
        <f t="shared" si="84"/>
        <v>0 5-star + 0 RFC + 0 DME + 3 Patient Portal Login + 3 Completed Task</v>
      </c>
      <c r="M1331" s="13"/>
      <c r="N1331" s="13"/>
      <c r="O1331" s="23"/>
      <c r="P1331" s="23"/>
    </row>
    <row r="1332" hidden="1">
      <c r="A1332" s="6" t="s">
        <v>265</v>
      </c>
      <c r="B1332" s="61" t="s">
        <v>258</v>
      </c>
      <c r="C1332" s="21" t="s">
        <v>259</v>
      </c>
      <c r="D1332" s="21" t="s">
        <v>260</v>
      </c>
      <c r="E1332" s="62">
        <v>1.0</v>
      </c>
      <c r="F1332" s="63">
        <v>0.0</v>
      </c>
      <c r="G1332" s="63">
        <v>0.0</v>
      </c>
      <c r="H1332" s="64">
        <v>1.0</v>
      </c>
      <c r="I1332" s="65">
        <v>4.0</v>
      </c>
      <c r="J1332" s="12"/>
      <c r="K1332" s="12">
        <f t="shared" si="81"/>
        <v>1500</v>
      </c>
      <c r="L1332" s="13" t="str">
        <f t="shared" si="84"/>
        <v>1 5-star + 0 RFC + 0 DME + 1 Patient Portal Login + 4 Completed Task</v>
      </c>
      <c r="M1332" s="13"/>
      <c r="N1332" s="13"/>
      <c r="O1332" s="23"/>
      <c r="P1332" s="23"/>
    </row>
    <row r="1333" hidden="1">
      <c r="A1333" s="6" t="s">
        <v>265</v>
      </c>
      <c r="B1333" s="21" t="s">
        <v>262</v>
      </c>
      <c r="C1333" s="21" t="s">
        <v>263</v>
      </c>
      <c r="D1333" s="21" t="s">
        <v>264</v>
      </c>
      <c r="E1333" s="62">
        <v>2.0</v>
      </c>
      <c r="F1333" s="63">
        <v>0.0</v>
      </c>
      <c r="G1333" s="63">
        <v>0.0</v>
      </c>
      <c r="H1333" s="64">
        <v>0.0</v>
      </c>
      <c r="I1333" s="65">
        <v>4.0</v>
      </c>
      <c r="J1333" s="12"/>
      <c r="K1333" s="12">
        <f t="shared" si="81"/>
        <v>1500</v>
      </c>
      <c r="L1333" s="13" t="str">
        <f t="shared" si="84"/>
        <v>2 5-star + 0 RFC + 0 DME + 0 Patient Portal Login + 4 Completed Task</v>
      </c>
      <c r="M1333" s="13"/>
      <c r="N1333" s="13"/>
      <c r="O1333" s="23"/>
      <c r="P1333" s="23"/>
    </row>
    <row r="1334" hidden="1">
      <c r="A1334" s="6" t="s">
        <v>265</v>
      </c>
      <c r="B1334" s="21" t="s">
        <v>191</v>
      </c>
      <c r="C1334" s="21" t="s">
        <v>192</v>
      </c>
      <c r="D1334" s="21" t="s">
        <v>193</v>
      </c>
      <c r="E1334" s="62">
        <v>0.0</v>
      </c>
      <c r="F1334" s="63">
        <v>0.0</v>
      </c>
      <c r="G1334" s="63">
        <v>0.0</v>
      </c>
      <c r="H1334" s="64">
        <v>13.0</v>
      </c>
      <c r="I1334" s="65">
        <v>5.0</v>
      </c>
      <c r="J1334" s="12"/>
      <c r="K1334" s="12">
        <f t="shared" si="81"/>
        <v>4500</v>
      </c>
      <c r="L1334" s="13" t="str">
        <f t="shared" si="84"/>
        <v>0 5-star + 0 RFC + 0 DME + 13 Patient Portal Login + 5 Completed Task</v>
      </c>
      <c r="M1334" s="13"/>
      <c r="N1334" s="13"/>
      <c r="O1334" s="23"/>
      <c r="P1334" s="23"/>
    </row>
    <row r="1335" hidden="1">
      <c r="A1335" s="6" t="s">
        <v>265</v>
      </c>
      <c r="B1335" s="21" t="s">
        <v>194</v>
      </c>
      <c r="C1335" s="21" t="s">
        <v>195</v>
      </c>
      <c r="D1335" s="21" t="s">
        <v>196</v>
      </c>
      <c r="E1335" s="62">
        <v>1.0</v>
      </c>
      <c r="F1335" s="63">
        <v>0.0</v>
      </c>
      <c r="G1335" s="63">
        <v>0.0</v>
      </c>
      <c r="H1335" s="64">
        <v>0.0</v>
      </c>
      <c r="I1335" s="65">
        <v>4.0</v>
      </c>
      <c r="J1335" s="12"/>
      <c r="K1335" s="12">
        <f t="shared" si="81"/>
        <v>1250</v>
      </c>
      <c r="L1335" s="13" t="str">
        <f t="shared" si="84"/>
        <v>1 5-star + 0 RFC + 0 DME + 0 Patient Portal Login + 4 Completed Task</v>
      </c>
      <c r="M1335" s="13"/>
      <c r="N1335" s="13"/>
      <c r="O1335" s="23"/>
      <c r="P1335" s="23"/>
    </row>
    <row r="1336" hidden="1">
      <c r="A1336" s="6" t="s">
        <v>265</v>
      </c>
      <c r="B1336" s="21" t="s">
        <v>197</v>
      </c>
      <c r="C1336" s="21" t="s">
        <v>198</v>
      </c>
      <c r="D1336" s="21" t="s">
        <v>199</v>
      </c>
      <c r="E1336" s="62">
        <v>0.0</v>
      </c>
      <c r="F1336" s="63">
        <v>1.0</v>
      </c>
      <c r="G1336" s="63">
        <v>0.0</v>
      </c>
      <c r="H1336" s="64">
        <v>9.0</v>
      </c>
      <c r="I1336" s="65">
        <v>4.0</v>
      </c>
      <c r="J1336" s="12"/>
      <c r="K1336" s="12">
        <f t="shared" si="81"/>
        <v>3750</v>
      </c>
      <c r="L1336" s="13" t="str">
        <f t="shared" si="84"/>
        <v>0 5-star + 1 RFC + 0 DME + 9 Patient Portal Login + 4 Completed Task</v>
      </c>
      <c r="M1336" s="13"/>
      <c r="N1336" s="13"/>
      <c r="O1336" s="23"/>
      <c r="P1336" s="23"/>
    </row>
    <row r="1337" hidden="1">
      <c r="A1337" s="6" t="s">
        <v>265</v>
      </c>
      <c r="B1337" s="21" t="s">
        <v>200</v>
      </c>
      <c r="C1337" s="21" t="s">
        <v>201</v>
      </c>
      <c r="D1337" s="21" t="s">
        <v>202</v>
      </c>
      <c r="E1337" s="62">
        <v>0.0</v>
      </c>
      <c r="F1337" s="63">
        <v>0.0</v>
      </c>
      <c r="G1337" s="63">
        <v>0.0</v>
      </c>
      <c r="H1337" s="64">
        <v>5.0</v>
      </c>
      <c r="I1337" s="65">
        <v>1.0</v>
      </c>
      <c r="J1337" s="12"/>
      <c r="K1337" s="12">
        <f t="shared" si="81"/>
        <v>1500</v>
      </c>
      <c r="L1337" s="13" t="str">
        <f t="shared" si="84"/>
        <v>0 5-star + 0 RFC + 0 DME + 5 Patient Portal Login + 1 Completed Task</v>
      </c>
      <c r="M1337" s="13"/>
      <c r="N1337" s="13"/>
      <c r="O1337" s="23"/>
      <c r="P1337" s="23"/>
    </row>
    <row r="1338" hidden="1">
      <c r="A1338" s="6" t="s">
        <v>266</v>
      </c>
      <c r="B1338" s="16" t="s">
        <v>53</v>
      </c>
      <c r="C1338" s="16" t="s">
        <v>54</v>
      </c>
      <c r="D1338" s="16" t="s">
        <v>55</v>
      </c>
      <c r="E1338" s="62">
        <v>5.0</v>
      </c>
      <c r="F1338" s="63">
        <v>2.0</v>
      </c>
      <c r="G1338" s="63">
        <v>0.0</v>
      </c>
      <c r="H1338" s="64">
        <v>1.0</v>
      </c>
      <c r="I1338" s="65">
        <v>3.0</v>
      </c>
      <c r="J1338" s="12"/>
      <c r="K1338" s="12">
        <f t="shared" si="81"/>
        <v>3250</v>
      </c>
      <c r="L1338" s="13" t="str">
        <f t="shared" si="84"/>
        <v>5 5-star + 2 RFC + 0 DME + 1 Patient Portal Login + 3 Completed Task</v>
      </c>
      <c r="M1338" s="13"/>
      <c r="N1338" s="13"/>
      <c r="O1338" s="14"/>
      <c r="P1338" s="14"/>
    </row>
    <row r="1339" hidden="1">
      <c r="A1339" s="6" t="s">
        <v>266</v>
      </c>
      <c r="B1339" s="16" t="s">
        <v>56</v>
      </c>
      <c r="C1339" s="16" t="s">
        <v>57</v>
      </c>
      <c r="D1339" s="16" t="s">
        <v>58</v>
      </c>
      <c r="E1339" s="62">
        <v>0.0</v>
      </c>
      <c r="F1339" s="63">
        <v>1.0</v>
      </c>
      <c r="G1339" s="63">
        <v>0.0</v>
      </c>
      <c r="H1339" s="64">
        <v>3.0</v>
      </c>
      <c r="I1339" s="65">
        <v>5.0</v>
      </c>
      <c r="J1339" s="12"/>
      <c r="K1339" s="12">
        <f t="shared" si="81"/>
        <v>2500</v>
      </c>
      <c r="L1339" s="13" t="str">
        <f t="shared" si="84"/>
        <v>0 5-star + 1 RFC + 0 DME + 3 Patient Portal Login + 5 Completed Task</v>
      </c>
      <c r="M1339" s="13"/>
      <c r="N1339" s="13"/>
      <c r="O1339" s="14"/>
      <c r="P1339" s="14"/>
    </row>
    <row r="1340" hidden="1">
      <c r="A1340" s="6" t="s">
        <v>266</v>
      </c>
      <c r="B1340" s="16" t="s">
        <v>59</v>
      </c>
      <c r="C1340" s="16" t="s">
        <v>60</v>
      </c>
      <c r="D1340" s="16" t="s">
        <v>61</v>
      </c>
      <c r="E1340" s="62">
        <v>2.0</v>
      </c>
      <c r="F1340" s="63">
        <v>2.0</v>
      </c>
      <c r="G1340" s="63">
        <v>0.0</v>
      </c>
      <c r="H1340" s="64">
        <v>1.0</v>
      </c>
      <c r="I1340" s="65">
        <v>2.0</v>
      </c>
      <c r="J1340" s="12"/>
      <c r="K1340" s="12">
        <f t="shared" si="81"/>
        <v>2250</v>
      </c>
      <c r="L1340" s="13" t="str">
        <f t="shared" si="84"/>
        <v>2 5-star + 2 RFC + 0 DME + 1 Patient Portal Login + 2 Completed Task</v>
      </c>
      <c r="M1340" s="13"/>
      <c r="N1340" s="13"/>
      <c r="O1340" s="14"/>
      <c r="P1340" s="14"/>
    </row>
    <row r="1341" hidden="1">
      <c r="A1341" s="6" t="s">
        <v>266</v>
      </c>
      <c r="B1341" s="16" t="s">
        <v>62</v>
      </c>
      <c r="C1341" s="16" t="s">
        <v>63</v>
      </c>
      <c r="D1341" s="16" t="s">
        <v>64</v>
      </c>
      <c r="E1341" s="62">
        <v>1.0</v>
      </c>
      <c r="F1341" s="63">
        <v>0.0</v>
      </c>
      <c r="G1341" s="63">
        <v>0.0</v>
      </c>
      <c r="H1341" s="64">
        <v>6.0</v>
      </c>
      <c r="I1341" s="65">
        <v>3.0</v>
      </c>
      <c r="J1341" s="12"/>
      <c r="K1341" s="12">
        <f t="shared" si="81"/>
        <v>2500</v>
      </c>
      <c r="L1341" s="13" t="str">
        <f t="shared" si="84"/>
        <v>1 5-star + 0 RFC + 0 DME + 6 Patient Portal Login + 3 Completed Task</v>
      </c>
      <c r="M1341" s="13"/>
      <c r="N1341" s="13"/>
      <c r="O1341" s="14"/>
      <c r="P1341" s="14"/>
    </row>
    <row r="1342" hidden="1">
      <c r="A1342" s="6" t="s">
        <v>266</v>
      </c>
      <c r="B1342" s="16" t="s">
        <v>251</v>
      </c>
      <c r="C1342" s="16" t="s">
        <v>252</v>
      </c>
      <c r="D1342" s="16" t="s">
        <v>253</v>
      </c>
      <c r="E1342" s="62">
        <v>2.0</v>
      </c>
      <c r="F1342" s="63">
        <v>2.0</v>
      </c>
      <c r="G1342" s="63">
        <v>0.0</v>
      </c>
      <c r="H1342" s="64">
        <v>1.0</v>
      </c>
      <c r="I1342" s="65">
        <v>3.0</v>
      </c>
      <c r="J1342" s="12"/>
      <c r="K1342" s="12">
        <f t="shared" si="81"/>
        <v>2500</v>
      </c>
      <c r="L1342" s="13" t="str">
        <f t="shared" si="84"/>
        <v>2 5-star + 2 RFC + 0 DME + 1 Patient Portal Login + 3 Completed Task</v>
      </c>
      <c r="M1342" s="13"/>
      <c r="N1342" s="13"/>
      <c r="O1342" s="14"/>
      <c r="P1342" s="14"/>
    </row>
    <row r="1343" hidden="1">
      <c r="A1343" s="6" t="s">
        <v>266</v>
      </c>
      <c r="B1343" s="16" t="s">
        <v>65</v>
      </c>
      <c r="C1343" s="16" t="s">
        <v>66</v>
      </c>
      <c r="D1343" s="16" t="s">
        <v>67</v>
      </c>
      <c r="E1343" s="62">
        <v>0.0</v>
      </c>
      <c r="F1343" s="63">
        <v>0.0</v>
      </c>
      <c r="G1343" s="63">
        <v>0.0</v>
      </c>
      <c r="H1343" s="64">
        <v>0.0</v>
      </c>
      <c r="I1343" s="65">
        <v>3.0</v>
      </c>
      <c r="J1343" s="12"/>
      <c r="K1343" s="12">
        <f t="shared" si="81"/>
        <v>750</v>
      </c>
      <c r="L1343" s="13" t="str">
        <f t="shared" si="84"/>
        <v>0 5-star + 0 RFC + 0 DME + 0 Patient Portal Login + 3 Completed Task</v>
      </c>
      <c r="M1343" s="13"/>
      <c r="N1343" s="13"/>
      <c r="O1343" s="14"/>
      <c r="P1343" s="14"/>
    </row>
    <row r="1344" hidden="1">
      <c r="A1344" s="6" t="s">
        <v>266</v>
      </c>
      <c r="B1344" s="16" t="s">
        <v>68</v>
      </c>
      <c r="C1344" s="16" t="s">
        <v>69</v>
      </c>
      <c r="D1344" s="16" t="s">
        <v>70</v>
      </c>
      <c r="E1344" s="62">
        <v>0.0</v>
      </c>
      <c r="F1344" s="63">
        <v>0.0</v>
      </c>
      <c r="G1344" s="63">
        <v>1.0</v>
      </c>
      <c r="H1344" s="64">
        <v>8.0</v>
      </c>
      <c r="I1344" s="65">
        <v>5.0</v>
      </c>
      <c r="J1344" s="12"/>
      <c r="K1344" s="12">
        <f t="shared" si="81"/>
        <v>3500</v>
      </c>
      <c r="L1344" s="13" t="str">
        <f t="shared" si="84"/>
        <v>0 5-star + 0 RFC + 1 DME + 8 Patient Portal Login + 5 Completed Task</v>
      </c>
      <c r="M1344" s="13"/>
      <c r="N1344" s="13"/>
      <c r="O1344" s="14"/>
      <c r="P1344" s="14"/>
    </row>
    <row r="1345" hidden="1">
      <c r="A1345" s="6" t="s">
        <v>266</v>
      </c>
      <c r="B1345" s="16" t="s">
        <v>71</v>
      </c>
      <c r="C1345" s="16" t="s">
        <v>72</v>
      </c>
      <c r="D1345" s="16" t="s">
        <v>73</v>
      </c>
      <c r="E1345" s="62">
        <v>0.0</v>
      </c>
      <c r="F1345" s="63">
        <v>4.0</v>
      </c>
      <c r="G1345" s="63">
        <v>0.0</v>
      </c>
      <c r="H1345" s="64">
        <v>3.0</v>
      </c>
      <c r="I1345" s="65">
        <v>4.0</v>
      </c>
      <c r="J1345" s="12"/>
      <c r="K1345" s="12">
        <f t="shared" si="81"/>
        <v>3750</v>
      </c>
      <c r="L1345" s="13" t="str">
        <f t="shared" si="84"/>
        <v>0 5-star + 4 RFC + 0 DME + 3 Patient Portal Login + 4 Completed Task</v>
      </c>
      <c r="M1345" s="13"/>
      <c r="N1345" s="13"/>
      <c r="O1345" s="14"/>
      <c r="P1345" s="14"/>
    </row>
    <row r="1346" hidden="1">
      <c r="A1346" s="6" t="s">
        <v>266</v>
      </c>
      <c r="B1346" s="16" t="s">
        <v>74</v>
      </c>
      <c r="C1346" s="16" t="s">
        <v>75</v>
      </c>
      <c r="D1346" s="16" t="s">
        <v>76</v>
      </c>
      <c r="E1346" s="62">
        <v>2.0</v>
      </c>
      <c r="F1346" s="63">
        <v>0.0</v>
      </c>
      <c r="G1346" s="63">
        <v>0.0</v>
      </c>
      <c r="H1346" s="64">
        <v>6.0</v>
      </c>
      <c r="I1346" s="65">
        <v>5.0</v>
      </c>
      <c r="J1346" s="12"/>
      <c r="K1346" s="12">
        <f t="shared" si="81"/>
        <v>3250</v>
      </c>
      <c r="L1346" s="13" t="str">
        <f t="shared" si="84"/>
        <v>2 5-star + 0 RFC + 0 DME + 6 Patient Portal Login + 5 Completed Task</v>
      </c>
      <c r="M1346" s="13"/>
      <c r="N1346" s="13"/>
      <c r="O1346" s="14"/>
      <c r="P1346" s="14"/>
    </row>
    <row r="1347" hidden="1">
      <c r="A1347" s="6" t="s">
        <v>266</v>
      </c>
      <c r="B1347" s="16" t="s">
        <v>77</v>
      </c>
      <c r="C1347" s="16" t="s">
        <v>78</v>
      </c>
      <c r="D1347" s="16" t="s">
        <v>79</v>
      </c>
      <c r="E1347" s="66">
        <v>3.0</v>
      </c>
      <c r="F1347" s="63">
        <v>0.0</v>
      </c>
      <c r="G1347" s="63">
        <v>0.0</v>
      </c>
      <c r="H1347" s="64">
        <v>0.0</v>
      </c>
      <c r="I1347" s="65">
        <v>5.0</v>
      </c>
      <c r="J1347" s="12"/>
      <c r="K1347" s="12">
        <f t="shared" si="81"/>
        <v>2000</v>
      </c>
      <c r="L1347" s="13" t="str">
        <f t="shared" si="84"/>
        <v>3 5-star + 0 RFC + 0 DME + 0 Patient Portal Login + 5 Completed Task</v>
      </c>
      <c r="M1347" s="13"/>
      <c r="N1347" s="13"/>
      <c r="O1347" s="14"/>
      <c r="P1347" s="14"/>
    </row>
    <row r="1348" hidden="1">
      <c r="A1348" s="6" t="s">
        <v>266</v>
      </c>
      <c r="B1348" s="16" t="s">
        <v>80</v>
      </c>
      <c r="C1348" s="16" t="s">
        <v>81</v>
      </c>
      <c r="D1348" s="16" t="s">
        <v>82</v>
      </c>
      <c r="E1348" s="62">
        <v>0.0</v>
      </c>
      <c r="F1348" s="63">
        <v>0.0</v>
      </c>
      <c r="G1348" s="63">
        <v>0.0</v>
      </c>
      <c r="H1348" s="64">
        <v>0.0</v>
      </c>
      <c r="I1348" s="65">
        <v>4.0</v>
      </c>
      <c r="J1348" s="12"/>
      <c r="K1348" s="12">
        <f t="shared" si="81"/>
        <v>1000</v>
      </c>
      <c r="L1348" s="13" t="str">
        <f t="shared" si="84"/>
        <v>0 5-star + 0 RFC + 0 DME + 0 Patient Portal Login + 4 Completed Task</v>
      </c>
      <c r="M1348" s="13"/>
      <c r="N1348" s="13"/>
      <c r="O1348" s="14"/>
      <c r="P1348" s="14"/>
    </row>
    <row r="1349" hidden="1">
      <c r="A1349" s="6" t="s">
        <v>266</v>
      </c>
      <c r="B1349" s="7" t="s">
        <v>83</v>
      </c>
      <c r="C1349" s="16" t="s">
        <v>84</v>
      </c>
      <c r="D1349" s="16" t="s">
        <v>85</v>
      </c>
      <c r="E1349" s="62">
        <v>1.0</v>
      </c>
      <c r="F1349" s="63">
        <v>0.0</v>
      </c>
      <c r="G1349" s="63">
        <v>0.0</v>
      </c>
      <c r="H1349" s="64">
        <v>0.0</v>
      </c>
      <c r="I1349" s="65">
        <v>3.0</v>
      </c>
      <c r="J1349" s="12"/>
      <c r="K1349" s="12">
        <f t="shared" si="81"/>
        <v>1000</v>
      </c>
      <c r="L1349" s="13" t="str">
        <f t="shared" si="84"/>
        <v>1 5-star + 0 RFC + 0 DME + 0 Patient Portal Login + 3 Completed Task</v>
      </c>
      <c r="M1349" s="13"/>
      <c r="N1349" s="13"/>
      <c r="O1349" s="14"/>
      <c r="P1349" s="14"/>
    </row>
    <row r="1350" hidden="1">
      <c r="A1350" s="6" t="s">
        <v>266</v>
      </c>
      <c r="B1350" s="16" t="s">
        <v>255</v>
      </c>
      <c r="C1350" s="16" t="s">
        <v>256</v>
      </c>
      <c r="D1350" s="16" t="s">
        <v>257</v>
      </c>
      <c r="E1350" s="62">
        <v>0.0</v>
      </c>
      <c r="F1350" s="63">
        <v>2.0</v>
      </c>
      <c r="G1350" s="63">
        <v>0.0</v>
      </c>
      <c r="H1350" s="64">
        <v>6.0</v>
      </c>
      <c r="I1350" s="65">
        <v>4.0</v>
      </c>
      <c r="J1350" s="12"/>
      <c r="K1350" s="12">
        <f t="shared" si="81"/>
        <v>3500</v>
      </c>
      <c r="L1350" s="13" t="str">
        <f t="shared" si="84"/>
        <v>0 5-star + 2 RFC + 0 DME + 6 Patient Portal Login + 4 Completed Task</v>
      </c>
      <c r="M1350" s="13"/>
      <c r="N1350" s="13"/>
      <c r="O1350" s="14"/>
      <c r="P1350" s="14"/>
    </row>
    <row r="1351" hidden="1">
      <c r="A1351" s="6" t="s">
        <v>266</v>
      </c>
      <c r="B1351" s="16" t="s">
        <v>86</v>
      </c>
      <c r="C1351" s="16" t="s">
        <v>87</v>
      </c>
      <c r="D1351" s="16" t="s">
        <v>88</v>
      </c>
      <c r="E1351" s="62">
        <v>0.0</v>
      </c>
      <c r="F1351" s="63">
        <v>1.0</v>
      </c>
      <c r="G1351" s="63">
        <v>1.0</v>
      </c>
      <c r="H1351" s="64">
        <v>6.0</v>
      </c>
      <c r="I1351" s="65">
        <v>4.0</v>
      </c>
      <c r="J1351" s="12"/>
      <c r="K1351" s="12">
        <f t="shared" si="81"/>
        <v>3250</v>
      </c>
      <c r="L1351" s="13" t="str">
        <f t="shared" si="84"/>
        <v>0 5-star + 1 RFC + 1 DME + 6 Patient Portal Login + 4 Completed Task</v>
      </c>
      <c r="M1351" s="13"/>
      <c r="N1351" s="13"/>
      <c r="O1351" s="14"/>
      <c r="P1351" s="14"/>
    </row>
    <row r="1352" hidden="1">
      <c r="A1352" s="6" t="s">
        <v>266</v>
      </c>
      <c r="B1352" s="16" t="s">
        <v>89</v>
      </c>
      <c r="C1352" s="16" t="s">
        <v>90</v>
      </c>
      <c r="D1352" s="16" t="s">
        <v>91</v>
      </c>
      <c r="E1352" s="62">
        <v>0.0</v>
      </c>
      <c r="F1352" s="63">
        <v>1.0</v>
      </c>
      <c r="G1352" s="63">
        <v>0.0</v>
      </c>
      <c r="H1352" s="64">
        <v>2.0</v>
      </c>
      <c r="I1352" s="65">
        <v>5.0</v>
      </c>
      <c r="J1352" s="12"/>
      <c r="K1352" s="12">
        <f t="shared" si="81"/>
        <v>2250</v>
      </c>
      <c r="L1352" s="13" t="str">
        <f t="shared" si="84"/>
        <v>0 5-star + 1 RFC + 0 DME + 2 Patient Portal Login + 5 Completed Task</v>
      </c>
      <c r="M1352" s="13"/>
      <c r="N1352" s="13"/>
      <c r="O1352" s="14"/>
      <c r="P1352" s="14"/>
    </row>
    <row r="1353" hidden="1">
      <c r="A1353" s="6" t="s">
        <v>266</v>
      </c>
      <c r="B1353" s="16" t="s">
        <v>92</v>
      </c>
      <c r="C1353" s="16" t="s">
        <v>93</v>
      </c>
      <c r="D1353" s="16" t="s">
        <v>94</v>
      </c>
      <c r="E1353" s="62">
        <v>1.0</v>
      </c>
      <c r="F1353" s="63">
        <v>0.0</v>
      </c>
      <c r="G1353" s="63">
        <v>0.0</v>
      </c>
      <c r="H1353" s="64">
        <v>10.0</v>
      </c>
      <c r="I1353" s="65">
        <v>5.0</v>
      </c>
      <c r="J1353" s="12"/>
      <c r="K1353" s="12">
        <f t="shared" si="81"/>
        <v>4000</v>
      </c>
      <c r="L1353" s="13" t="str">
        <f t="shared" si="84"/>
        <v>1 5-star + 0 RFC + 0 DME + 10 Patient Portal Login + 5 Completed Task</v>
      </c>
      <c r="M1353" s="13"/>
      <c r="N1353" s="13"/>
      <c r="O1353" s="14"/>
      <c r="P1353" s="14"/>
    </row>
    <row r="1354" hidden="1">
      <c r="A1354" s="6" t="s">
        <v>266</v>
      </c>
      <c r="B1354" s="7" t="s">
        <v>95</v>
      </c>
      <c r="C1354" s="16" t="s">
        <v>96</v>
      </c>
      <c r="D1354" s="16" t="s">
        <v>97</v>
      </c>
      <c r="E1354" s="62">
        <v>0.0</v>
      </c>
      <c r="F1354" s="63">
        <v>1.0</v>
      </c>
      <c r="G1354" s="63">
        <v>1.0</v>
      </c>
      <c r="H1354" s="64">
        <v>1.0</v>
      </c>
      <c r="I1354" s="65">
        <v>5.0</v>
      </c>
      <c r="J1354" s="12"/>
      <c r="K1354" s="12">
        <f t="shared" si="81"/>
        <v>2250</v>
      </c>
      <c r="L1354" s="13" t="str">
        <f t="shared" si="84"/>
        <v>0 5-star + 1 RFC + 1 DME + 1 Patient Portal Login + 5 Completed Task</v>
      </c>
      <c r="M1354" s="13"/>
      <c r="N1354" s="13"/>
      <c r="O1354" s="14"/>
      <c r="P1354" s="14"/>
    </row>
    <row r="1355" hidden="1">
      <c r="A1355" s="6" t="s">
        <v>266</v>
      </c>
      <c r="B1355" s="16" t="s">
        <v>98</v>
      </c>
      <c r="C1355" s="16" t="s">
        <v>99</v>
      </c>
      <c r="D1355" s="16" t="s">
        <v>100</v>
      </c>
      <c r="E1355" s="62">
        <v>0.0</v>
      </c>
      <c r="F1355" s="63">
        <v>0.0</v>
      </c>
      <c r="G1355" s="63">
        <v>0.0</v>
      </c>
      <c r="H1355" s="64">
        <v>3.0</v>
      </c>
      <c r="I1355" s="65">
        <v>5.0</v>
      </c>
      <c r="J1355" s="12"/>
      <c r="K1355" s="12">
        <f t="shared" si="81"/>
        <v>2000</v>
      </c>
      <c r="L1355" s="13" t="str">
        <f t="shared" si="84"/>
        <v>0 5-star + 0 RFC + 0 DME + 3 Patient Portal Login + 5 Completed Task</v>
      </c>
      <c r="M1355" s="13"/>
      <c r="N1355" s="13"/>
      <c r="O1355" s="14"/>
      <c r="P1355" s="14"/>
    </row>
    <row r="1356" hidden="1">
      <c r="A1356" s="6" t="s">
        <v>266</v>
      </c>
      <c r="B1356" s="7" t="s">
        <v>101</v>
      </c>
      <c r="C1356" s="16" t="s">
        <v>102</v>
      </c>
      <c r="D1356" s="16" t="s">
        <v>103</v>
      </c>
      <c r="E1356" s="62">
        <v>0.0</v>
      </c>
      <c r="F1356" s="63">
        <v>3.0</v>
      </c>
      <c r="G1356" s="63">
        <v>1.0</v>
      </c>
      <c r="H1356" s="64">
        <v>2.0</v>
      </c>
      <c r="I1356" s="65">
        <v>5.0</v>
      </c>
      <c r="J1356" s="12"/>
      <c r="K1356" s="12">
        <f t="shared" si="81"/>
        <v>3500</v>
      </c>
      <c r="L1356" s="13" t="str">
        <f t="shared" si="84"/>
        <v>0 5-star + 3 RFC + 1 DME + 2 Patient Portal Login + 5 Completed Task</v>
      </c>
      <c r="M1356" s="13"/>
      <c r="N1356" s="13"/>
      <c r="O1356" s="14"/>
      <c r="P1356" s="14"/>
    </row>
    <row r="1357" hidden="1">
      <c r="A1357" s="6" t="s">
        <v>266</v>
      </c>
      <c r="B1357" s="16" t="s">
        <v>104</v>
      </c>
      <c r="C1357" s="16" t="s">
        <v>105</v>
      </c>
      <c r="D1357" s="16" t="s">
        <v>106</v>
      </c>
      <c r="E1357" s="62">
        <v>0.0</v>
      </c>
      <c r="F1357" s="63">
        <v>0.0</v>
      </c>
      <c r="G1357" s="63">
        <v>0.0</v>
      </c>
      <c r="H1357" s="64">
        <v>5.0</v>
      </c>
      <c r="I1357" s="65">
        <v>5.0</v>
      </c>
      <c r="J1357" s="12"/>
      <c r="K1357" s="12">
        <f t="shared" si="81"/>
        <v>2500</v>
      </c>
      <c r="L1357" s="13" t="str">
        <f t="shared" si="84"/>
        <v>0 5-star + 0 RFC + 0 DME + 5 Patient Portal Login + 5 Completed Task</v>
      </c>
      <c r="M1357" s="13"/>
      <c r="N1357" s="13"/>
      <c r="O1357" s="14"/>
      <c r="P1357" s="14"/>
    </row>
    <row r="1358" hidden="1">
      <c r="A1358" s="6" t="s">
        <v>266</v>
      </c>
      <c r="B1358" s="16" t="s">
        <v>107</v>
      </c>
      <c r="C1358" s="16" t="s">
        <v>108</v>
      </c>
      <c r="D1358" s="16" t="s">
        <v>109</v>
      </c>
      <c r="E1358" s="62">
        <v>0.0</v>
      </c>
      <c r="F1358" s="63">
        <v>2.0</v>
      </c>
      <c r="G1358" s="63">
        <v>0.0</v>
      </c>
      <c r="H1358" s="64">
        <v>1.0</v>
      </c>
      <c r="I1358" s="65">
        <v>5.0</v>
      </c>
      <c r="J1358" s="12"/>
      <c r="K1358" s="12">
        <f t="shared" si="81"/>
        <v>2500</v>
      </c>
      <c r="L1358" s="13" t="str">
        <f t="shared" si="84"/>
        <v>0 5-star + 2 RFC + 0 DME + 1 Patient Portal Login + 5 Completed Task</v>
      </c>
      <c r="M1358" s="13"/>
      <c r="N1358" s="13"/>
      <c r="O1358" s="14"/>
      <c r="P1358" s="14"/>
    </row>
    <row r="1359" hidden="1">
      <c r="A1359" s="6" t="s">
        <v>266</v>
      </c>
      <c r="B1359" s="16" t="s">
        <v>110</v>
      </c>
      <c r="C1359" s="16" t="s">
        <v>111</v>
      </c>
      <c r="D1359" s="16" t="s">
        <v>112</v>
      </c>
      <c r="E1359" s="66">
        <v>1.0</v>
      </c>
      <c r="F1359" s="63">
        <v>0.0</v>
      </c>
      <c r="G1359" s="63">
        <v>0.0</v>
      </c>
      <c r="H1359" s="64">
        <v>6.0</v>
      </c>
      <c r="I1359" s="65">
        <v>5.0</v>
      </c>
      <c r="J1359" s="12"/>
      <c r="K1359" s="12">
        <f t="shared" si="81"/>
        <v>3000</v>
      </c>
      <c r="L1359" s="13" t="str">
        <f t="shared" si="84"/>
        <v>1 5-star + 0 RFC + 0 DME + 6 Patient Portal Login + 5 Completed Task</v>
      </c>
      <c r="M1359" s="13"/>
      <c r="N1359" s="13"/>
      <c r="O1359" s="14"/>
      <c r="P1359" s="14"/>
    </row>
    <row r="1360" hidden="1">
      <c r="A1360" s="6" t="s">
        <v>266</v>
      </c>
      <c r="B1360" s="16" t="s">
        <v>113</v>
      </c>
      <c r="C1360" s="16" t="s">
        <v>114</v>
      </c>
      <c r="D1360" s="16" t="s">
        <v>115</v>
      </c>
      <c r="E1360" s="62">
        <v>0.0</v>
      </c>
      <c r="F1360" s="63">
        <v>0.0</v>
      </c>
      <c r="G1360" s="63">
        <v>0.0</v>
      </c>
      <c r="H1360" s="64">
        <v>11.0</v>
      </c>
      <c r="I1360" s="65">
        <v>5.0</v>
      </c>
      <c r="J1360" s="12"/>
      <c r="K1360" s="12">
        <f t="shared" si="81"/>
        <v>4000</v>
      </c>
      <c r="L1360" s="13" t="str">
        <f t="shared" si="84"/>
        <v>0 5-star + 0 RFC + 0 DME + 11 Patient Portal Login + 5 Completed Task</v>
      </c>
      <c r="M1360" s="13"/>
      <c r="N1360" s="13"/>
      <c r="O1360" s="14"/>
      <c r="P1360" s="14"/>
    </row>
    <row r="1361" hidden="1">
      <c r="A1361" s="6" t="s">
        <v>266</v>
      </c>
      <c r="B1361" s="7" t="s">
        <v>116</v>
      </c>
      <c r="C1361" s="16" t="s">
        <v>117</v>
      </c>
      <c r="D1361" s="16" t="s">
        <v>118</v>
      </c>
      <c r="E1361" s="62">
        <v>0.0</v>
      </c>
      <c r="F1361" s="63">
        <v>3.0</v>
      </c>
      <c r="G1361" s="63">
        <v>0.0</v>
      </c>
      <c r="H1361" s="64">
        <v>0.0</v>
      </c>
      <c r="I1361" s="65">
        <v>5.0</v>
      </c>
      <c r="J1361" s="12"/>
      <c r="K1361" s="12">
        <f t="shared" si="81"/>
        <v>2750</v>
      </c>
      <c r="L1361" s="13" t="str">
        <f t="shared" si="84"/>
        <v>0 5-star + 3 RFC + 0 DME + 0 Patient Portal Login + 5 Completed Task</v>
      </c>
      <c r="M1361" s="13"/>
      <c r="N1361" s="13"/>
      <c r="O1361" s="14"/>
      <c r="P1361" s="14"/>
    </row>
    <row r="1362" hidden="1">
      <c r="A1362" s="6" t="s">
        <v>266</v>
      </c>
      <c r="B1362" s="16" t="s">
        <v>119</v>
      </c>
      <c r="C1362" s="16" t="s">
        <v>120</v>
      </c>
      <c r="D1362" s="16" t="s">
        <v>121</v>
      </c>
      <c r="E1362" s="62">
        <v>0.0</v>
      </c>
      <c r="F1362" s="63">
        <v>1.0</v>
      </c>
      <c r="G1362" s="63">
        <v>0.0</v>
      </c>
      <c r="H1362" s="64">
        <v>7.0</v>
      </c>
      <c r="I1362" s="65">
        <v>5.0</v>
      </c>
      <c r="J1362" s="12"/>
      <c r="K1362" s="12">
        <f t="shared" si="81"/>
        <v>3500</v>
      </c>
      <c r="L1362" s="13" t="str">
        <f t="shared" si="84"/>
        <v>0 5-star + 1 RFC + 0 DME + 7 Patient Portal Login + 5 Completed Task</v>
      </c>
      <c r="M1362" s="13"/>
      <c r="N1362" s="13"/>
      <c r="O1362" s="14"/>
      <c r="P1362" s="14"/>
    </row>
    <row r="1363" hidden="1">
      <c r="A1363" s="6" t="s">
        <v>266</v>
      </c>
      <c r="B1363" s="16" t="s">
        <v>267</v>
      </c>
      <c r="C1363" s="16" t="s">
        <v>268</v>
      </c>
      <c r="D1363" s="16" t="s">
        <v>269</v>
      </c>
      <c r="E1363" s="62">
        <v>0.0</v>
      </c>
      <c r="F1363" s="63">
        <v>5.0</v>
      </c>
      <c r="G1363" s="63">
        <v>1.0</v>
      </c>
      <c r="H1363" s="64">
        <v>7.0</v>
      </c>
      <c r="I1363" s="65">
        <v>5.0</v>
      </c>
      <c r="J1363" s="12"/>
      <c r="K1363" s="12">
        <f t="shared" si="81"/>
        <v>5750</v>
      </c>
      <c r="L1363" s="13" t="str">
        <f t="shared" si="84"/>
        <v>0 5-star + 5 RFC + 1 DME + 7 Patient Portal Login + 5 Completed Task</v>
      </c>
      <c r="M1363" s="13"/>
      <c r="N1363" s="13"/>
      <c r="O1363" s="14"/>
      <c r="P1363" s="14"/>
    </row>
    <row r="1364" hidden="1">
      <c r="A1364" s="6" t="s">
        <v>266</v>
      </c>
      <c r="B1364" s="16" t="s">
        <v>122</v>
      </c>
      <c r="C1364" s="16" t="s">
        <v>123</v>
      </c>
      <c r="D1364" s="16" t="s">
        <v>124</v>
      </c>
      <c r="E1364" s="62">
        <v>0.0</v>
      </c>
      <c r="F1364" s="63">
        <v>1.0</v>
      </c>
      <c r="G1364" s="63">
        <v>0.0</v>
      </c>
      <c r="H1364" s="64">
        <v>0.0</v>
      </c>
      <c r="I1364" s="65">
        <v>5.0</v>
      </c>
      <c r="J1364" s="12"/>
      <c r="K1364" s="12">
        <f t="shared" si="81"/>
        <v>1750</v>
      </c>
      <c r="L1364" s="13" t="str">
        <f t="shared" si="84"/>
        <v>0 5-star + 1 RFC + 0 DME + 0 Patient Portal Login + 5 Completed Task</v>
      </c>
      <c r="M1364" s="13"/>
      <c r="N1364" s="13"/>
      <c r="O1364" s="14"/>
      <c r="P1364" s="14"/>
    </row>
    <row r="1365" hidden="1">
      <c r="A1365" s="6" t="s">
        <v>266</v>
      </c>
      <c r="B1365" s="16" t="s">
        <v>125</v>
      </c>
      <c r="C1365" s="16" t="s">
        <v>126</v>
      </c>
      <c r="D1365" s="16" t="s">
        <v>127</v>
      </c>
      <c r="E1365" s="62">
        <v>0.0</v>
      </c>
      <c r="F1365" s="63">
        <v>0.0</v>
      </c>
      <c r="G1365" s="63">
        <v>0.0</v>
      </c>
      <c r="H1365" s="64">
        <v>0.0</v>
      </c>
      <c r="I1365" s="65">
        <v>5.0</v>
      </c>
      <c r="J1365" s="12"/>
      <c r="K1365" s="12">
        <f t="shared" si="81"/>
        <v>1250</v>
      </c>
      <c r="L1365" s="13" t="str">
        <f t="shared" si="84"/>
        <v>0 5-star + 0 RFC + 0 DME + 0 Patient Portal Login + 5 Completed Task</v>
      </c>
      <c r="M1365" s="13"/>
      <c r="N1365" s="13"/>
      <c r="O1365" s="14"/>
      <c r="P1365" s="14"/>
    </row>
    <row r="1366" hidden="1">
      <c r="A1366" s="6" t="s">
        <v>266</v>
      </c>
      <c r="B1366" s="16" t="s">
        <v>128</v>
      </c>
      <c r="C1366" s="16" t="s">
        <v>129</v>
      </c>
      <c r="D1366" s="16" t="s">
        <v>130</v>
      </c>
      <c r="E1366" s="62">
        <v>0.0</v>
      </c>
      <c r="F1366" s="63">
        <v>3.0</v>
      </c>
      <c r="G1366" s="63">
        <v>0.0</v>
      </c>
      <c r="H1366" s="64">
        <v>15.0</v>
      </c>
      <c r="I1366" s="65">
        <v>5.0</v>
      </c>
      <c r="J1366" s="12"/>
      <c r="K1366" s="12">
        <f t="shared" si="81"/>
        <v>6500</v>
      </c>
      <c r="L1366" s="13" t="str">
        <f t="shared" si="84"/>
        <v>0 5-star + 3 RFC + 0 DME + 15 Patient Portal Login + 5 Completed Task</v>
      </c>
      <c r="M1366" s="13"/>
      <c r="N1366" s="13"/>
      <c r="O1366" s="14"/>
      <c r="P1366" s="14"/>
    </row>
    <row r="1367" hidden="1">
      <c r="A1367" s="6" t="s">
        <v>266</v>
      </c>
      <c r="B1367" s="16" t="s">
        <v>131</v>
      </c>
      <c r="C1367" s="16" t="s">
        <v>132</v>
      </c>
      <c r="D1367" s="16" t="s">
        <v>133</v>
      </c>
      <c r="E1367" s="62">
        <v>0.0</v>
      </c>
      <c r="F1367" s="63">
        <v>2.0</v>
      </c>
      <c r="G1367" s="63">
        <v>1.0</v>
      </c>
      <c r="H1367" s="64">
        <v>9.0</v>
      </c>
      <c r="I1367" s="65">
        <v>5.0</v>
      </c>
      <c r="J1367" s="12"/>
      <c r="K1367" s="12">
        <f t="shared" si="81"/>
        <v>4750</v>
      </c>
      <c r="L1367" s="13" t="str">
        <f t="shared" si="84"/>
        <v>0 5-star + 2 RFC + 1 DME + 9 Patient Portal Login + 5 Completed Task</v>
      </c>
      <c r="M1367" s="13"/>
      <c r="N1367" s="13"/>
      <c r="O1367" s="14"/>
      <c r="P1367" s="14"/>
    </row>
    <row r="1368" hidden="1">
      <c r="A1368" s="6" t="s">
        <v>266</v>
      </c>
      <c r="B1368" s="16" t="s">
        <v>134</v>
      </c>
      <c r="C1368" s="16" t="s">
        <v>135</v>
      </c>
      <c r="D1368" s="16" t="s">
        <v>136</v>
      </c>
      <c r="E1368" s="62">
        <v>0.0</v>
      </c>
      <c r="F1368" s="63">
        <v>0.0</v>
      </c>
      <c r="G1368" s="63">
        <v>0.0</v>
      </c>
      <c r="H1368" s="64">
        <v>6.0</v>
      </c>
      <c r="I1368" s="65">
        <v>5.0</v>
      </c>
      <c r="J1368" s="12"/>
      <c r="K1368" s="12">
        <f t="shared" si="81"/>
        <v>2750</v>
      </c>
      <c r="L1368" s="13" t="str">
        <f t="shared" si="84"/>
        <v>0 5-star + 0 RFC + 0 DME + 6 Patient Portal Login + 5 Completed Task</v>
      </c>
      <c r="M1368" s="13"/>
      <c r="N1368" s="13"/>
      <c r="O1368" s="14"/>
      <c r="P1368" s="14"/>
    </row>
    <row r="1369" hidden="1">
      <c r="A1369" s="6" t="s">
        <v>266</v>
      </c>
      <c r="B1369" s="16" t="s">
        <v>137</v>
      </c>
      <c r="C1369" s="16" t="s">
        <v>138</v>
      </c>
      <c r="D1369" s="16" t="s">
        <v>139</v>
      </c>
      <c r="E1369" s="62">
        <v>0.0</v>
      </c>
      <c r="F1369" s="63">
        <v>2.0</v>
      </c>
      <c r="G1369" s="63">
        <v>0.0</v>
      </c>
      <c r="H1369" s="64">
        <v>7.0</v>
      </c>
      <c r="I1369" s="65">
        <v>5.0</v>
      </c>
      <c r="J1369" s="12"/>
      <c r="K1369" s="12">
        <f t="shared" si="81"/>
        <v>4000</v>
      </c>
      <c r="L1369" s="13" t="str">
        <f t="shared" si="84"/>
        <v>0 5-star + 2 RFC + 0 DME + 7 Patient Portal Login + 5 Completed Task</v>
      </c>
      <c r="M1369" s="13"/>
      <c r="N1369" s="13"/>
      <c r="O1369" s="14"/>
      <c r="P1369" s="14"/>
    </row>
    <row r="1370" hidden="1">
      <c r="A1370" s="6" t="s">
        <v>266</v>
      </c>
      <c r="B1370" s="16" t="s">
        <v>140</v>
      </c>
      <c r="C1370" s="16" t="s">
        <v>141</v>
      </c>
      <c r="D1370" s="16" t="s">
        <v>142</v>
      </c>
      <c r="E1370" s="62">
        <v>1.0</v>
      </c>
      <c r="F1370" s="63">
        <v>0.0</v>
      </c>
      <c r="G1370" s="63">
        <v>0.0</v>
      </c>
      <c r="H1370" s="64">
        <v>1.0</v>
      </c>
      <c r="I1370" s="65">
        <v>5.0</v>
      </c>
      <c r="J1370" s="12"/>
      <c r="K1370" s="12">
        <f t="shared" si="81"/>
        <v>1750</v>
      </c>
      <c r="L1370" s="13" t="str">
        <f t="shared" si="84"/>
        <v>1 5-star + 0 RFC + 0 DME + 1 Patient Portal Login + 5 Completed Task</v>
      </c>
      <c r="M1370" s="13"/>
      <c r="N1370" s="13"/>
      <c r="O1370" s="14"/>
      <c r="P1370" s="14"/>
    </row>
    <row r="1371" hidden="1">
      <c r="A1371" s="6" t="s">
        <v>266</v>
      </c>
      <c r="B1371" s="16" t="s">
        <v>143</v>
      </c>
      <c r="C1371" s="16" t="s">
        <v>144</v>
      </c>
      <c r="D1371" s="16" t="s">
        <v>145</v>
      </c>
      <c r="E1371" s="62">
        <v>0.0</v>
      </c>
      <c r="F1371" s="63">
        <v>2.0</v>
      </c>
      <c r="G1371" s="63">
        <v>0.0</v>
      </c>
      <c r="H1371" s="64">
        <v>1.0</v>
      </c>
      <c r="I1371" s="65">
        <v>5.0</v>
      </c>
      <c r="J1371" s="12"/>
      <c r="K1371" s="12">
        <f t="shared" si="81"/>
        <v>2500</v>
      </c>
      <c r="L1371" s="13" t="str">
        <f t="shared" si="84"/>
        <v>0 5-star + 2 RFC + 0 DME + 1 Patient Portal Login + 5 Completed Task</v>
      </c>
      <c r="M1371" s="13"/>
      <c r="N1371" s="13"/>
      <c r="O1371" s="14"/>
      <c r="P1371" s="14"/>
    </row>
    <row r="1372" hidden="1">
      <c r="A1372" s="6" t="s">
        <v>266</v>
      </c>
      <c r="B1372" s="16" t="s">
        <v>146</v>
      </c>
      <c r="C1372" s="16" t="s">
        <v>147</v>
      </c>
      <c r="D1372" s="16" t="s">
        <v>148</v>
      </c>
      <c r="E1372" s="62">
        <v>0.0</v>
      </c>
      <c r="F1372" s="63">
        <v>4.0</v>
      </c>
      <c r="G1372" s="63">
        <v>0.0</v>
      </c>
      <c r="H1372" s="64">
        <v>3.0</v>
      </c>
      <c r="I1372" s="65">
        <v>5.0</v>
      </c>
      <c r="J1372" s="12"/>
      <c r="K1372" s="12">
        <f t="shared" si="81"/>
        <v>4000</v>
      </c>
      <c r="L1372" s="13" t="str">
        <f t="shared" si="84"/>
        <v>0 5-star + 4 RFC + 0 DME + 3 Patient Portal Login + 5 Completed Task</v>
      </c>
      <c r="M1372" s="13"/>
      <c r="N1372" s="13"/>
      <c r="O1372" s="14"/>
      <c r="P1372" s="14"/>
    </row>
    <row r="1373" hidden="1">
      <c r="A1373" s="6" t="s">
        <v>266</v>
      </c>
      <c r="B1373" s="16" t="s">
        <v>245</v>
      </c>
      <c r="C1373" s="16" t="s">
        <v>246</v>
      </c>
      <c r="D1373" s="16" t="s">
        <v>247</v>
      </c>
      <c r="E1373" s="62">
        <v>0.0</v>
      </c>
      <c r="F1373" s="63">
        <v>0.0</v>
      </c>
      <c r="G1373" s="63">
        <v>0.0</v>
      </c>
      <c r="H1373" s="64">
        <v>11.0</v>
      </c>
      <c r="I1373" s="65">
        <v>5.0</v>
      </c>
      <c r="J1373" s="12"/>
      <c r="K1373" s="12">
        <f t="shared" si="81"/>
        <v>4000</v>
      </c>
      <c r="L1373" s="13" t="str">
        <f t="shared" si="84"/>
        <v>0 5-star + 0 RFC + 0 DME + 11 Patient Portal Login + 5 Completed Task</v>
      </c>
      <c r="M1373" s="13"/>
      <c r="N1373" s="13"/>
      <c r="O1373" s="14"/>
      <c r="P1373" s="14"/>
    </row>
    <row r="1374" hidden="1">
      <c r="A1374" s="6" t="s">
        <v>266</v>
      </c>
      <c r="B1374" s="16" t="s">
        <v>149</v>
      </c>
      <c r="C1374" s="16" t="s">
        <v>150</v>
      </c>
      <c r="D1374" s="16" t="s">
        <v>151</v>
      </c>
      <c r="E1374" s="62">
        <v>0.0</v>
      </c>
      <c r="F1374" s="63">
        <v>0.0</v>
      </c>
      <c r="G1374" s="63">
        <v>0.0</v>
      </c>
      <c r="H1374" s="64">
        <v>5.0</v>
      </c>
      <c r="I1374" s="65">
        <v>5.0</v>
      </c>
      <c r="J1374" s="12"/>
      <c r="K1374" s="12">
        <f t="shared" si="81"/>
        <v>2500</v>
      </c>
      <c r="L1374" s="13" t="str">
        <f t="shared" si="84"/>
        <v>0 5-star + 0 RFC + 0 DME + 5 Patient Portal Login + 5 Completed Task</v>
      </c>
      <c r="M1374" s="13"/>
      <c r="N1374" s="13"/>
      <c r="O1374" s="14"/>
      <c r="P1374" s="14"/>
    </row>
    <row r="1375" hidden="1">
      <c r="A1375" s="6" t="s">
        <v>266</v>
      </c>
      <c r="B1375" s="16" t="s">
        <v>152</v>
      </c>
      <c r="C1375" s="16" t="s">
        <v>153</v>
      </c>
      <c r="D1375" s="16" t="s">
        <v>154</v>
      </c>
      <c r="E1375" s="62">
        <v>0.0</v>
      </c>
      <c r="F1375" s="63">
        <v>3.0</v>
      </c>
      <c r="G1375" s="63">
        <v>2.0</v>
      </c>
      <c r="H1375" s="64">
        <v>1.0</v>
      </c>
      <c r="I1375" s="65">
        <v>5.0</v>
      </c>
      <c r="J1375" s="12"/>
      <c r="K1375" s="12">
        <f t="shared" si="81"/>
        <v>3500</v>
      </c>
      <c r="L1375" s="13" t="str">
        <f t="shared" si="84"/>
        <v>0 5-star + 3 RFC + 2 DME + 1 Patient Portal Login + 5 Completed Task</v>
      </c>
      <c r="M1375" s="13"/>
      <c r="N1375" s="13"/>
      <c r="O1375" s="14"/>
      <c r="P1375" s="14"/>
    </row>
    <row r="1376" hidden="1">
      <c r="A1376" s="6" t="s">
        <v>266</v>
      </c>
      <c r="B1376" s="16" t="s">
        <v>155</v>
      </c>
      <c r="C1376" s="16" t="s">
        <v>156</v>
      </c>
      <c r="D1376" s="16" t="s">
        <v>157</v>
      </c>
      <c r="E1376" s="62">
        <v>0.0</v>
      </c>
      <c r="F1376" s="63">
        <v>3.0</v>
      </c>
      <c r="G1376" s="63">
        <v>0.0</v>
      </c>
      <c r="H1376" s="64">
        <v>2.0</v>
      </c>
      <c r="I1376" s="65">
        <v>5.0</v>
      </c>
      <c r="J1376" s="12"/>
      <c r="K1376" s="12">
        <f t="shared" si="81"/>
        <v>3250</v>
      </c>
      <c r="L1376" s="13" t="str">
        <f t="shared" si="84"/>
        <v>0 5-star + 3 RFC + 0 DME + 2 Patient Portal Login + 5 Completed Task</v>
      </c>
      <c r="M1376" s="13"/>
      <c r="N1376" s="13"/>
      <c r="O1376" s="14"/>
      <c r="P1376" s="14"/>
    </row>
    <row r="1377" hidden="1">
      <c r="A1377" s="6" t="s">
        <v>266</v>
      </c>
      <c r="B1377" s="16" t="s">
        <v>158</v>
      </c>
      <c r="C1377" s="16" t="s">
        <v>159</v>
      </c>
      <c r="D1377" s="16" t="s">
        <v>160</v>
      </c>
      <c r="E1377" s="62">
        <v>0.0</v>
      </c>
      <c r="F1377" s="63">
        <v>0.0</v>
      </c>
      <c r="G1377" s="63">
        <v>0.0</v>
      </c>
      <c r="H1377" s="64">
        <v>1.0</v>
      </c>
      <c r="I1377" s="65">
        <v>5.0</v>
      </c>
      <c r="J1377" s="12"/>
      <c r="K1377" s="12">
        <f t="shared" si="81"/>
        <v>1500</v>
      </c>
      <c r="L1377" s="13" t="str">
        <f t="shared" si="84"/>
        <v>0 5-star + 0 RFC + 0 DME + 1 Patient Portal Login + 5 Completed Task</v>
      </c>
      <c r="M1377" s="13"/>
      <c r="N1377" s="13"/>
      <c r="O1377" s="14"/>
      <c r="P1377" s="14"/>
    </row>
    <row r="1378" hidden="1">
      <c r="A1378" s="6" t="s">
        <v>266</v>
      </c>
      <c r="B1378" s="20" t="s">
        <v>161</v>
      </c>
      <c r="C1378" s="20" t="s">
        <v>162</v>
      </c>
      <c r="D1378" s="20" t="s">
        <v>163</v>
      </c>
      <c r="E1378" s="62">
        <v>1.0</v>
      </c>
      <c r="F1378" s="63">
        <v>1.0</v>
      </c>
      <c r="G1378" s="63">
        <v>0.0</v>
      </c>
      <c r="H1378" s="64">
        <v>4.0</v>
      </c>
      <c r="I1378" s="65">
        <v>4.0</v>
      </c>
      <c r="J1378" s="12"/>
      <c r="K1378" s="12">
        <f t="shared" si="81"/>
        <v>2750</v>
      </c>
      <c r="L1378" s="13" t="str">
        <f> E1378 &amp; " 5-star + " &amp; E1364 &amp; " RFC + " &amp; G1378 &amp; " DME + " &amp; H1378 &amp; " Patient Portal Login + " &amp; I1378 &amp; " Completed Task"
</f>
        <v>1 5-star + 0 RFC + 0 DME + 4 Patient Portal Login + 4 Completed Task</v>
      </c>
      <c r="M1378" s="13"/>
      <c r="N1378" s="13"/>
      <c r="O1378" s="14"/>
      <c r="P1378" s="14"/>
    </row>
    <row r="1379" hidden="1">
      <c r="A1379" s="6" t="s">
        <v>266</v>
      </c>
      <c r="B1379" s="20" t="s">
        <v>164</v>
      </c>
      <c r="C1379" s="20" t="s">
        <v>165</v>
      </c>
      <c r="D1379" s="20" t="s">
        <v>166</v>
      </c>
      <c r="E1379" s="62">
        <v>0.0</v>
      </c>
      <c r="F1379" s="63">
        <v>5.0</v>
      </c>
      <c r="G1379" s="63">
        <v>2.0</v>
      </c>
      <c r="H1379" s="64">
        <v>2.0</v>
      </c>
      <c r="I1379" s="65">
        <v>5.0</v>
      </c>
      <c r="J1379" s="12"/>
      <c r="K1379" s="12">
        <f t="shared" si="81"/>
        <v>4750</v>
      </c>
      <c r="L1379" s="13" t="str">
        <f t="shared" ref="L1379:L1442" si="85"> E1379 &amp; " 5-star + " &amp; F1379 &amp; " RFC + " &amp; G1379 &amp; " DME + " &amp; H1379 &amp; " Patient Portal Login + " &amp; I1379 &amp; " Completed Task"
</f>
        <v>0 5-star + 5 RFC + 2 DME + 2 Patient Portal Login + 5 Completed Task</v>
      </c>
      <c r="M1379" s="13"/>
      <c r="N1379" s="13"/>
      <c r="O1379" s="14"/>
      <c r="P1379" s="14"/>
    </row>
    <row r="1380" hidden="1">
      <c r="A1380" s="6" t="s">
        <v>266</v>
      </c>
      <c r="B1380" s="20" t="s">
        <v>167</v>
      </c>
      <c r="C1380" s="20" t="s">
        <v>168</v>
      </c>
      <c r="D1380" s="20" t="s">
        <v>169</v>
      </c>
      <c r="E1380" s="62">
        <v>0.0</v>
      </c>
      <c r="F1380" s="63">
        <v>2.0</v>
      </c>
      <c r="G1380" s="63">
        <v>2.0</v>
      </c>
      <c r="H1380" s="64">
        <v>2.0</v>
      </c>
      <c r="I1380" s="65">
        <v>5.0</v>
      </c>
      <c r="J1380" s="12"/>
      <c r="K1380" s="12">
        <f t="shared" si="81"/>
        <v>3250</v>
      </c>
      <c r="L1380" s="13" t="str">
        <f t="shared" si="85"/>
        <v>0 5-star + 2 RFC + 2 DME + 2 Patient Portal Login + 5 Completed Task</v>
      </c>
      <c r="M1380" s="13"/>
      <c r="N1380" s="13"/>
      <c r="O1380" s="14"/>
      <c r="P1380" s="14"/>
    </row>
    <row r="1381" hidden="1">
      <c r="A1381" s="6" t="s">
        <v>266</v>
      </c>
      <c r="B1381" s="20" t="s">
        <v>170</v>
      </c>
      <c r="C1381" s="20" t="s">
        <v>171</v>
      </c>
      <c r="D1381" s="20" t="s">
        <v>172</v>
      </c>
      <c r="E1381" s="62">
        <v>0.0</v>
      </c>
      <c r="F1381" s="63">
        <v>1.0</v>
      </c>
      <c r="G1381" s="63">
        <v>1.0</v>
      </c>
      <c r="H1381" s="64">
        <v>11.0</v>
      </c>
      <c r="I1381" s="65">
        <v>4.0</v>
      </c>
      <c r="J1381" s="12"/>
      <c r="K1381" s="12">
        <f t="shared" si="81"/>
        <v>4500</v>
      </c>
      <c r="L1381" s="13" t="str">
        <f t="shared" si="85"/>
        <v>0 5-star + 1 RFC + 1 DME + 11 Patient Portal Login + 4 Completed Task</v>
      </c>
      <c r="M1381" s="13"/>
      <c r="N1381" s="13"/>
      <c r="O1381" s="14"/>
      <c r="P1381" s="14"/>
    </row>
    <row r="1382" hidden="1">
      <c r="A1382" s="6" t="s">
        <v>266</v>
      </c>
      <c r="B1382" s="16" t="s">
        <v>173</v>
      </c>
      <c r="C1382" s="16" t="s">
        <v>174</v>
      </c>
      <c r="D1382" s="16" t="s">
        <v>175</v>
      </c>
      <c r="E1382" s="62">
        <v>0.0</v>
      </c>
      <c r="F1382" s="63">
        <v>0.0</v>
      </c>
      <c r="G1382" s="63">
        <v>0.0</v>
      </c>
      <c r="H1382" s="64">
        <v>8.0</v>
      </c>
      <c r="I1382" s="65">
        <v>4.0</v>
      </c>
      <c r="J1382" s="12"/>
      <c r="K1382" s="12">
        <f t="shared" si="81"/>
        <v>3000</v>
      </c>
      <c r="L1382" s="13" t="str">
        <f t="shared" si="85"/>
        <v>0 5-star + 0 RFC + 0 DME + 8 Patient Portal Login + 4 Completed Task</v>
      </c>
      <c r="M1382" s="13"/>
      <c r="N1382" s="13"/>
      <c r="O1382" s="14"/>
      <c r="P1382" s="14"/>
    </row>
    <row r="1383" hidden="1">
      <c r="A1383" s="6" t="s">
        <v>266</v>
      </c>
      <c r="B1383" s="16" t="s">
        <v>176</v>
      </c>
      <c r="C1383" s="16" t="s">
        <v>177</v>
      </c>
      <c r="D1383" s="16" t="s">
        <v>178</v>
      </c>
      <c r="E1383" s="62">
        <v>0.0</v>
      </c>
      <c r="F1383" s="63">
        <v>0.0</v>
      </c>
      <c r="G1383" s="63">
        <v>0.0</v>
      </c>
      <c r="H1383" s="64">
        <v>1.0</v>
      </c>
      <c r="I1383" s="65">
        <v>5.0</v>
      </c>
      <c r="J1383" s="12"/>
      <c r="K1383" s="12">
        <f t="shared" si="81"/>
        <v>1500</v>
      </c>
      <c r="L1383" s="13" t="str">
        <f t="shared" si="85"/>
        <v>0 5-star + 0 RFC + 0 DME + 1 Patient Portal Login + 5 Completed Task</v>
      </c>
      <c r="M1383" s="13"/>
      <c r="N1383" s="13"/>
      <c r="O1383" s="14"/>
      <c r="P1383" s="14"/>
    </row>
    <row r="1384" hidden="1">
      <c r="A1384" s="6" t="s">
        <v>266</v>
      </c>
      <c r="B1384" s="21" t="s">
        <v>179</v>
      </c>
      <c r="C1384" s="21" t="s">
        <v>180</v>
      </c>
      <c r="D1384" s="21" t="s">
        <v>181</v>
      </c>
      <c r="E1384" s="66">
        <v>4.0</v>
      </c>
      <c r="F1384" s="63">
        <v>6.0</v>
      </c>
      <c r="G1384" s="63">
        <v>1.0</v>
      </c>
      <c r="H1384" s="64">
        <v>26.0</v>
      </c>
      <c r="I1384" s="65">
        <v>5.0</v>
      </c>
      <c r="J1384" s="12"/>
      <c r="K1384" s="12">
        <f t="shared" si="81"/>
        <v>12000</v>
      </c>
      <c r="L1384" s="13" t="str">
        <f t="shared" si="85"/>
        <v>4 5-star + 6 RFC + 1 DME + 26 Patient Portal Login + 5 Completed Task</v>
      </c>
      <c r="M1384" s="13"/>
      <c r="N1384" s="13"/>
      <c r="O1384" s="23"/>
      <c r="P1384" s="23"/>
    </row>
    <row r="1385" hidden="1">
      <c r="A1385" s="6" t="s">
        <v>266</v>
      </c>
      <c r="B1385" s="21" t="s">
        <v>182</v>
      </c>
      <c r="C1385" s="21" t="s">
        <v>183</v>
      </c>
      <c r="D1385" s="21" t="s">
        <v>184</v>
      </c>
      <c r="E1385" s="62">
        <v>0.0</v>
      </c>
      <c r="F1385" s="63">
        <v>0.0</v>
      </c>
      <c r="G1385" s="63">
        <v>1.0</v>
      </c>
      <c r="H1385" s="64">
        <v>2.0</v>
      </c>
      <c r="I1385" s="65">
        <v>4.0</v>
      </c>
      <c r="J1385" s="12"/>
      <c r="K1385" s="12">
        <f t="shared" si="81"/>
        <v>1750</v>
      </c>
      <c r="L1385" s="13" t="str">
        <f t="shared" si="85"/>
        <v>0 5-star + 0 RFC + 1 DME + 2 Patient Portal Login + 4 Completed Task</v>
      </c>
      <c r="M1385" s="13"/>
      <c r="N1385" s="13"/>
      <c r="O1385" s="23"/>
      <c r="P1385" s="23"/>
    </row>
    <row r="1386" hidden="1">
      <c r="A1386" s="6" t="s">
        <v>266</v>
      </c>
      <c r="B1386" s="21" t="s">
        <v>185</v>
      </c>
      <c r="C1386" s="21" t="s">
        <v>186</v>
      </c>
      <c r="D1386" s="21" t="s">
        <v>187</v>
      </c>
      <c r="E1386" s="62">
        <v>0.0</v>
      </c>
      <c r="F1386" s="63">
        <v>3.0</v>
      </c>
      <c r="G1386" s="63">
        <v>1.0</v>
      </c>
      <c r="H1386" s="64">
        <v>20.0</v>
      </c>
      <c r="I1386" s="65">
        <v>5.0</v>
      </c>
      <c r="J1386" s="12"/>
      <c r="K1386" s="12">
        <f t="shared" si="81"/>
        <v>8000</v>
      </c>
      <c r="L1386" s="13" t="str">
        <f t="shared" si="85"/>
        <v>0 5-star + 3 RFC + 1 DME + 20 Patient Portal Login + 5 Completed Task</v>
      </c>
      <c r="M1386" s="13"/>
      <c r="N1386" s="13"/>
      <c r="O1386" s="23"/>
      <c r="P1386" s="23"/>
    </row>
    <row r="1387" hidden="1">
      <c r="A1387" s="6" t="s">
        <v>266</v>
      </c>
      <c r="B1387" s="21" t="s">
        <v>188</v>
      </c>
      <c r="C1387" s="21" t="s">
        <v>189</v>
      </c>
      <c r="D1387" s="21" t="s">
        <v>190</v>
      </c>
      <c r="E1387" s="62">
        <v>0.0</v>
      </c>
      <c r="F1387" s="63">
        <v>2.0</v>
      </c>
      <c r="G1387" s="63">
        <v>0.0</v>
      </c>
      <c r="H1387" s="64">
        <v>2.0</v>
      </c>
      <c r="I1387" s="65">
        <v>5.0</v>
      </c>
      <c r="J1387" s="12"/>
      <c r="K1387" s="12">
        <f t="shared" si="81"/>
        <v>2750</v>
      </c>
      <c r="L1387" s="13" t="str">
        <f t="shared" si="85"/>
        <v>0 5-star + 2 RFC + 0 DME + 2 Patient Portal Login + 5 Completed Task</v>
      </c>
      <c r="M1387" s="13"/>
      <c r="N1387" s="13"/>
      <c r="O1387" s="23"/>
      <c r="P1387" s="23"/>
    </row>
    <row r="1388" hidden="1">
      <c r="A1388" s="6" t="s">
        <v>266</v>
      </c>
      <c r="B1388" s="61" t="s">
        <v>258</v>
      </c>
      <c r="C1388" s="21" t="s">
        <v>259</v>
      </c>
      <c r="D1388" s="21" t="s">
        <v>260</v>
      </c>
      <c r="E1388" s="62">
        <v>1.0</v>
      </c>
      <c r="F1388" s="63">
        <v>0.0</v>
      </c>
      <c r="G1388" s="63">
        <v>0.0</v>
      </c>
      <c r="H1388" s="64">
        <v>2.0</v>
      </c>
      <c r="I1388" s="65">
        <v>4.0</v>
      </c>
      <c r="J1388" s="12"/>
      <c r="K1388" s="12">
        <f t="shared" si="81"/>
        <v>1750</v>
      </c>
      <c r="L1388" s="13" t="str">
        <f t="shared" si="85"/>
        <v>1 5-star + 0 RFC + 0 DME + 2 Patient Portal Login + 4 Completed Task</v>
      </c>
      <c r="M1388" s="13"/>
      <c r="N1388" s="13"/>
      <c r="O1388" s="23"/>
      <c r="P1388" s="23"/>
    </row>
    <row r="1389" hidden="1">
      <c r="A1389" s="6" t="s">
        <v>266</v>
      </c>
      <c r="B1389" s="21" t="s">
        <v>262</v>
      </c>
      <c r="C1389" s="21" t="s">
        <v>263</v>
      </c>
      <c r="D1389" s="21" t="s">
        <v>264</v>
      </c>
      <c r="E1389" s="62">
        <v>9.0</v>
      </c>
      <c r="F1389" s="63">
        <v>0.0</v>
      </c>
      <c r="G1389" s="63">
        <v>0.0</v>
      </c>
      <c r="H1389" s="64">
        <v>4.0</v>
      </c>
      <c r="I1389" s="65">
        <v>5.0</v>
      </c>
      <c r="J1389" s="12"/>
      <c r="K1389" s="12">
        <f t="shared" si="81"/>
        <v>4500</v>
      </c>
      <c r="L1389" s="13" t="str">
        <f t="shared" si="85"/>
        <v>9 5-star + 0 RFC + 0 DME + 4 Patient Portal Login + 5 Completed Task</v>
      </c>
      <c r="M1389" s="13"/>
      <c r="N1389" s="13"/>
      <c r="O1389" s="23"/>
      <c r="P1389" s="23"/>
    </row>
    <row r="1390" hidden="1">
      <c r="A1390" s="6" t="s">
        <v>266</v>
      </c>
      <c r="B1390" s="21" t="s">
        <v>191</v>
      </c>
      <c r="C1390" s="21" t="s">
        <v>192</v>
      </c>
      <c r="D1390" s="21" t="s">
        <v>193</v>
      </c>
      <c r="E1390" s="66">
        <v>0.0</v>
      </c>
      <c r="F1390" s="63">
        <v>0.0</v>
      </c>
      <c r="G1390" s="63">
        <v>1.0</v>
      </c>
      <c r="H1390" s="64">
        <v>7.0</v>
      </c>
      <c r="I1390" s="65">
        <v>5.0</v>
      </c>
      <c r="J1390" s="12"/>
      <c r="K1390" s="12">
        <f t="shared" si="81"/>
        <v>3250</v>
      </c>
      <c r="L1390" s="13" t="str">
        <f t="shared" si="85"/>
        <v>0 5-star + 0 RFC + 1 DME + 7 Patient Portal Login + 5 Completed Task</v>
      </c>
      <c r="M1390" s="13"/>
      <c r="N1390" s="13"/>
      <c r="O1390" s="23"/>
      <c r="P1390" s="23"/>
    </row>
    <row r="1391" hidden="1">
      <c r="A1391" s="6" t="s">
        <v>266</v>
      </c>
      <c r="B1391" s="21" t="s">
        <v>194</v>
      </c>
      <c r="C1391" s="21" t="s">
        <v>195</v>
      </c>
      <c r="D1391" s="21" t="s">
        <v>196</v>
      </c>
      <c r="E1391" s="66">
        <v>0.0</v>
      </c>
      <c r="F1391" s="63">
        <v>0.0</v>
      </c>
      <c r="G1391" s="63">
        <v>0.0</v>
      </c>
      <c r="H1391" s="64">
        <v>1.0</v>
      </c>
      <c r="I1391" s="65">
        <v>5.0</v>
      </c>
      <c r="J1391" s="12"/>
      <c r="K1391" s="12">
        <f t="shared" si="81"/>
        <v>1500</v>
      </c>
      <c r="L1391" s="13" t="str">
        <f t="shared" si="85"/>
        <v>0 5-star + 0 RFC + 0 DME + 1 Patient Portal Login + 5 Completed Task</v>
      </c>
      <c r="M1391" s="13"/>
      <c r="N1391" s="13"/>
      <c r="O1391" s="23"/>
      <c r="P1391" s="23"/>
    </row>
    <row r="1392" hidden="1">
      <c r="A1392" s="6" t="s">
        <v>266</v>
      </c>
      <c r="B1392" s="21" t="s">
        <v>197</v>
      </c>
      <c r="C1392" s="21" t="s">
        <v>198</v>
      </c>
      <c r="D1392" s="21" t="s">
        <v>199</v>
      </c>
      <c r="E1392" s="62">
        <v>2.0</v>
      </c>
      <c r="F1392" s="63">
        <v>0.0</v>
      </c>
      <c r="G1392" s="63">
        <v>0.0</v>
      </c>
      <c r="H1392" s="64">
        <v>12.0</v>
      </c>
      <c r="I1392" s="65">
        <v>5.0</v>
      </c>
      <c r="J1392" s="12"/>
      <c r="K1392" s="12">
        <f t="shared" si="81"/>
        <v>4750</v>
      </c>
      <c r="L1392" s="13" t="str">
        <f t="shared" si="85"/>
        <v>2 5-star + 0 RFC + 0 DME + 12 Patient Portal Login + 5 Completed Task</v>
      </c>
      <c r="M1392" s="13"/>
      <c r="N1392" s="13"/>
      <c r="O1392" s="23"/>
      <c r="P1392" s="23"/>
    </row>
    <row r="1393" hidden="1">
      <c r="A1393" s="6" t="s">
        <v>266</v>
      </c>
      <c r="B1393" s="21" t="s">
        <v>200</v>
      </c>
      <c r="C1393" s="21" t="s">
        <v>201</v>
      </c>
      <c r="D1393" s="21" t="s">
        <v>202</v>
      </c>
      <c r="E1393" s="62">
        <v>0.0</v>
      </c>
      <c r="F1393" s="63">
        <v>1.0</v>
      </c>
      <c r="G1393" s="63">
        <v>0.0</v>
      </c>
      <c r="H1393" s="64">
        <v>1.0</v>
      </c>
      <c r="I1393" s="65">
        <v>4.0</v>
      </c>
      <c r="J1393" s="12"/>
      <c r="K1393" s="12">
        <f t="shared" si="81"/>
        <v>1750</v>
      </c>
      <c r="L1393" s="13" t="str">
        <f t="shared" si="85"/>
        <v>0 5-star + 1 RFC + 0 DME + 1 Patient Portal Login + 4 Completed Task</v>
      </c>
      <c r="M1393" s="13"/>
      <c r="N1393" s="13"/>
      <c r="O1393" s="23"/>
      <c r="P1393" s="23"/>
    </row>
    <row r="1394" hidden="1">
      <c r="A1394" s="6" t="s">
        <v>270</v>
      </c>
      <c r="B1394" s="16" t="s">
        <v>53</v>
      </c>
      <c r="C1394" s="16" t="s">
        <v>54</v>
      </c>
      <c r="D1394" s="16" t="s">
        <v>55</v>
      </c>
      <c r="E1394" s="68">
        <v>1.0</v>
      </c>
      <c r="F1394" s="69">
        <v>0.0</v>
      </c>
      <c r="G1394" s="69">
        <v>0.0</v>
      </c>
      <c r="H1394" s="70">
        <v>0.0</v>
      </c>
      <c r="I1394" s="71">
        <v>0.0</v>
      </c>
      <c r="J1394" s="12"/>
      <c r="K1394" s="12">
        <f t="shared" si="81"/>
        <v>250</v>
      </c>
      <c r="L1394" s="13" t="str">
        <f t="shared" si="85"/>
        <v>1 5-star + 0 RFC + 0 DME + 0 Patient Portal Login + 0 Completed Task</v>
      </c>
      <c r="M1394" s="13"/>
      <c r="N1394" s="13"/>
      <c r="O1394" s="47"/>
      <c r="P1394" s="47"/>
    </row>
    <row r="1395" hidden="1">
      <c r="A1395" s="6" t="s">
        <v>270</v>
      </c>
      <c r="B1395" s="16" t="s">
        <v>56</v>
      </c>
      <c r="C1395" s="16" t="s">
        <v>57</v>
      </c>
      <c r="D1395" s="16" t="s">
        <v>58</v>
      </c>
      <c r="E1395" s="68">
        <v>0.0</v>
      </c>
      <c r="F1395" s="69">
        <v>0.0</v>
      </c>
      <c r="G1395" s="69">
        <v>0.0</v>
      </c>
      <c r="H1395" s="70">
        <v>1.0</v>
      </c>
      <c r="I1395" s="72">
        <v>5.0</v>
      </c>
      <c r="J1395" s="12"/>
      <c r="K1395" s="12">
        <f t="shared" si="81"/>
        <v>1500</v>
      </c>
      <c r="L1395" s="13" t="str">
        <f t="shared" si="85"/>
        <v>0 5-star + 0 RFC + 0 DME + 1 Patient Portal Login + 5 Completed Task</v>
      </c>
      <c r="M1395" s="13"/>
      <c r="N1395" s="13"/>
      <c r="O1395" s="47"/>
      <c r="P1395" s="47"/>
    </row>
    <row r="1396" hidden="1">
      <c r="A1396" s="6" t="s">
        <v>270</v>
      </c>
      <c r="B1396" s="16" t="s">
        <v>59</v>
      </c>
      <c r="C1396" s="16" t="s">
        <v>60</v>
      </c>
      <c r="D1396" s="16" t="s">
        <v>61</v>
      </c>
      <c r="E1396" s="68">
        <v>0.0</v>
      </c>
      <c r="F1396" s="69">
        <v>0.0</v>
      </c>
      <c r="G1396" s="69">
        <v>0.0</v>
      </c>
      <c r="H1396" s="70">
        <v>2.0</v>
      </c>
      <c r="I1396" s="72">
        <v>5.0</v>
      </c>
      <c r="J1396" s="12"/>
      <c r="K1396" s="12">
        <f t="shared" si="81"/>
        <v>1750</v>
      </c>
      <c r="L1396" s="13" t="str">
        <f t="shared" si="85"/>
        <v>0 5-star + 0 RFC + 0 DME + 2 Patient Portal Login + 5 Completed Task</v>
      </c>
      <c r="M1396" s="13"/>
      <c r="N1396" s="13"/>
      <c r="O1396" s="47"/>
      <c r="P1396" s="47"/>
    </row>
    <row r="1397" hidden="1">
      <c r="A1397" s="6" t="s">
        <v>270</v>
      </c>
      <c r="B1397" s="16" t="s">
        <v>62</v>
      </c>
      <c r="C1397" s="16" t="s">
        <v>63</v>
      </c>
      <c r="D1397" s="16" t="s">
        <v>64</v>
      </c>
      <c r="E1397" s="68">
        <v>0.0</v>
      </c>
      <c r="F1397" s="69">
        <v>0.0</v>
      </c>
      <c r="G1397" s="69">
        <v>0.0</v>
      </c>
      <c r="H1397" s="70">
        <v>6.0</v>
      </c>
      <c r="I1397" s="72">
        <v>4.0</v>
      </c>
      <c r="J1397" s="12"/>
      <c r="K1397" s="12">
        <f t="shared" si="81"/>
        <v>2500</v>
      </c>
      <c r="L1397" s="13" t="str">
        <f t="shared" si="85"/>
        <v>0 5-star + 0 RFC + 0 DME + 6 Patient Portal Login + 4 Completed Task</v>
      </c>
      <c r="M1397" s="13"/>
      <c r="N1397" s="13"/>
      <c r="O1397" s="47"/>
      <c r="P1397" s="47"/>
    </row>
    <row r="1398" hidden="1">
      <c r="A1398" s="6" t="s">
        <v>270</v>
      </c>
      <c r="B1398" s="16" t="s">
        <v>251</v>
      </c>
      <c r="C1398" s="16" t="s">
        <v>252</v>
      </c>
      <c r="D1398" s="16" t="s">
        <v>253</v>
      </c>
      <c r="E1398" s="68">
        <v>2.0</v>
      </c>
      <c r="F1398" s="69">
        <v>3.0</v>
      </c>
      <c r="G1398" s="69">
        <v>0.0</v>
      </c>
      <c r="H1398" s="70">
        <v>3.0</v>
      </c>
      <c r="I1398" s="72">
        <v>3.0</v>
      </c>
      <c r="J1398" s="12"/>
      <c r="K1398" s="12">
        <f t="shared" si="81"/>
        <v>3500</v>
      </c>
      <c r="L1398" s="13" t="str">
        <f t="shared" si="85"/>
        <v>2 5-star + 3 RFC + 0 DME + 3 Patient Portal Login + 3 Completed Task</v>
      </c>
      <c r="M1398" s="13"/>
      <c r="N1398" s="13"/>
      <c r="O1398" s="47"/>
      <c r="P1398" s="47"/>
    </row>
    <row r="1399" hidden="1">
      <c r="A1399" s="6" t="s">
        <v>270</v>
      </c>
      <c r="B1399" s="16" t="s">
        <v>65</v>
      </c>
      <c r="C1399" s="16" t="s">
        <v>66</v>
      </c>
      <c r="D1399" s="16" t="s">
        <v>67</v>
      </c>
      <c r="E1399" s="68">
        <v>0.0</v>
      </c>
      <c r="F1399" s="69">
        <v>0.0</v>
      </c>
      <c r="G1399" s="69">
        <v>0.0</v>
      </c>
      <c r="H1399" s="70">
        <v>7.0</v>
      </c>
      <c r="I1399" s="72">
        <v>3.0</v>
      </c>
      <c r="J1399" s="12"/>
      <c r="K1399" s="12">
        <f t="shared" si="81"/>
        <v>2500</v>
      </c>
      <c r="L1399" s="13" t="str">
        <f t="shared" si="85"/>
        <v>0 5-star + 0 RFC + 0 DME + 7 Patient Portal Login + 3 Completed Task</v>
      </c>
      <c r="M1399" s="13"/>
      <c r="N1399" s="13"/>
      <c r="O1399" s="47"/>
      <c r="P1399" s="47"/>
    </row>
    <row r="1400" hidden="1">
      <c r="A1400" s="6" t="s">
        <v>270</v>
      </c>
      <c r="B1400" s="16" t="s">
        <v>68</v>
      </c>
      <c r="C1400" s="16" t="s">
        <v>69</v>
      </c>
      <c r="D1400" s="16" t="s">
        <v>70</v>
      </c>
      <c r="E1400" s="68">
        <v>0.0</v>
      </c>
      <c r="F1400" s="69">
        <v>0.0</v>
      </c>
      <c r="G1400" s="69">
        <v>0.0</v>
      </c>
      <c r="H1400" s="70">
        <v>1.0</v>
      </c>
      <c r="I1400" s="72">
        <v>5.0</v>
      </c>
      <c r="J1400" s="12"/>
      <c r="K1400" s="12">
        <f t="shared" si="81"/>
        <v>1500</v>
      </c>
      <c r="L1400" s="13" t="str">
        <f t="shared" si="85"/>
        <v>0 5-star + 0 RFC + 0 DME + 1 Patient Portal Login + 5 Completed Task</v>
      </c>
      <c r="M1400" s="13"/>
      <c r="N1400" s="13"/>
      <c r="O1400" s="47"/>
      <c r="P1400" s="47"/>
    </row>
    <row r="1401" hidden="1">
      <c r="A1401" s="6" t="s">
        <v>270</v>
      </c>
      <c r="B1401" s="16" t="s">
        <v>71</v>
      </c>
      <c r="C1401" s="16" t="s">
        <v>72</v>
      </c>
      <c r="D1401" s="16" t="s">
        <v>73</v>
      </c>
      <c r="E1401" s="68">
        <v>0.0</v>
      </c>
      <c r="F1401" s="69">
        <v>3.0</v>
      </c>
      <c r="G1401" s="69">
        <v>0.0</v>
      </c>
      <c r="H1401" s="70">
        <v>19.0</v>
      </c>
      <c r="I1401" s="72">
        <v>3.0</v>
      </c>
      <c r="J1401" s="12"/>
      <c r="K1401" s="12">
        <f t="shared" si="81"/>
        <v>7000</v>
      </c>
      <c r="L1401" s="13" t="str">
        <f t="shared" si="85"/>
        <v>0 5-star + 3 RFC + 0 DME + 19 Patient Portal Login + 3 Completed Task</v>
      </c>
      <c r="M1401" s="13"/>
      <c r="N1401" s="13"/>
      <c r="O1401" s="47"/>
      <c r="P1401" s="47"/>
    </row>
    <row r="1402" hidden="1">
      <c r="A1402" s="6" t="s">
        <v>270</v>
      </c>
      <c r="B1402" s="16" t="s">
        <v>74</v>
      </c>
      <c r="C1402" s="16" t="s">
        <v>75</v>
      </c>
      <c r="D1402" s="16" t="s">
        <v>76</v>
      </c>
      <c r="E1402" s="68">
        <v>2.0</v>
      </c>
      <c r="F1402" s="69">
        <v>0.0</v>
      </c>
      <c r="G1402" s="69">
        <v>0.0</v>
      </c>
      <c r="H1402" s="70">
        <v>6.0</v>
      </c>
      <c r="I1402" s="72">
        <v>5.0</v>
      </c>
      <c r="J1402" s="12"/>
      <c r="K1402" s="12">
        <f t="shared" si="81"/>
        <v>3250</v>
      </c>
      <c r="L1402" s="13" t="str">
        <f t="shared" si="85"/>
        <v>2 5-star + 0 RFC + 0 DME + 6 Patient Portal Login + 5 Completed Task</v>
      </c>
      <c r="M1402" s="13"/>
      <c r="N1402" s="13"/>
      <c r="O1402" s="47"/>
      <c r="P1402" s="47"/>
    </row>
    <row r="1403" hidden="1">
      <c r="A1403" s="6" t="s">
        <v>270</v>
      </c>
      <c r="B1403" s="16" t="s">
        <v>77</v>
      </c>
      <c r="C1403" s="16" t="s">
        <v>78</v>
      </c>
      <c r="D1403" s="16" t="s">
        <v>79</v>
      </c>
      <c r="E1403" s="73">
        <v>12.0</v>
      </c>
      <c r="F1403" s="69">
        <v>0.0</v>
      </c>
      <c r="G1403" s="69">
        <v>0.0</v>
      </c>
      <c r="H1403" s="70">
        <v>2.0</v>
      </c>
      <c r="I1403" s="72">
        <v>5.0</v>
      </c>
      <c r="J1403" s="12"/>
      <c r="K1403" s="12">
        <f t="shared" si="81"/>
        <v>4750</v>
      </c>
      <c r="L1403" s="13" t="str">
        <f t="shared" si="85"/>
        <v>12 5-star + 0 RFC + 0 DME + 2 Patient Portal Login + 5 Completed Task</v>
      </c>
      <c r="M1403" s="13"/>
      <c r="N1403" s="13"/>
      <c r="O1403" s="47"/>
      <c r="P1403" s="47"/>
    </row>
    <row r="1404" hidden="1">
      <c r="A1404" s="6" t="s">
        <v>270</v>
      </c>
      <c r="B1404" s="16" t="s">
        <v>80</v>
      </c>
      <c r="C1404" s="16" t="s">
        <v>81</v>
      </c>
      <c r="D1404" s="16" t="s">
        <v>82</v>
      </c>
      <c r="E1404" s="68">
        <v>0.0</v>
      </c>
      <c r="F1404" s="69">
        <v>0.0</v>
      </c>
      <c r="G1404" s="69">
        <v>0.0</v>
      </c>
      <c r="H1404" s="70">
        <v>0.0</v>
      </c>
      <c r="I1404" s="72">
        <v>5.0</v>
      </c>
      <c r="J1404" s="12"/>
      <c r="K1404" s="12">
        <f t="shared" si="81"/>
        <v>1250</v>
      </c>
      <c r="L1404" s="13" t="str">
        <f t="shared" si="85"/>
        <v>0 5-star + 0 RFC + 0 DME + 0 Patient Portal Login + 5 Completed Task</v>
      </c>
      <c r="M1404" s="13"/>
      <c r="N1404" s="13"/>
      <c r="O1404" s="47"/>
      <c r="P1404" s="47"/>
    </row>
    <row r="1405" hidden="1">
      <c r="A1405" s="6" t="s">
        <v>270</v>
      </c>
      <c r="B1405" s="7" t="s">
        <v>83</v>
      </c>
      <c r="C1405" s="16" t="s">
        <v>84</v>
      </c>
      <c r="D1405" s="16" t="s">
        <v>85</v>
      </c>
      <c r="E1405" s="68">
        <v>0.0</v>
      </c>
      <c r="F1405" s="69">
        <v>0.0</v>
      </c>
      <c r="G1405" s="69">
        <v>0.0</v>
      </c>
      <c r="H1405" s="70">
        <v>7.0</v>
      </c>
      <c r="I1405" s="72">
        <v>3.0</v>
      </c>
      <c r="J1405" s="12"/>
      <c r="K1405" s="12">
        <f t="shared" si="81"/>
        <v>2500</v>
      </c>
      <c r="L1405" s="13" t="str">
        <f t="shared" si="85"/>
        <v>0 5-star + 0 RFC + 0 DME + 7 Patient Portal Login + 3 Completed Task</v>
      </c>
      <c r="M1405" s="13"/>
      <c r="N1405" s="13"/>
      <c r="O1405" s="47"/>
      <c r="P1405" s="47"/>
    </row>
    <row r="1406" hidden="1">
      <c r="A1406" s="6" t="s">
        <v>270</v>
      </c>
      <c r="B1406" s="16" t="s">
        <v>255</v>
      </c>
      <c r="C1406" s="16" t="s">
        <v>256</v>
      </c>
      <c r="D1406" s="16" t="s">
        <v>257</v>
      </c>
      <c r="E1406" s="68">
        <v>1.0</v>
      </c>
      <c r="F1406" s="69">
        <v>1.0</v>
      </c>
      <c r="G1406" s="69">
        <v>0.0</v>
      </c>
      <c r="H1406" s="70">
        <v>4.0</v>
      </c>
      <c r="I1406" s="72">
        <v>4.0</v>
      </c>
      <c r="J1406" s="12"/>
      <c r="K1406" s="12">
        <f t="shared" si="81"/>
        <v>2750</v>
      </c>
      <c r="L1406" s="13" t="str">
        <f t="shared" si="85"/>
        <v>1 5-star + 1 RFC + 0 DME + 4 Patient Portal Login + 4 Completed Task</v>
      </c>
      <c r="M1406" s="13"/>
      <c r="N1406" s="13"/>
      <c r="O1406" s="47"/>
      <c r="P1406" s="47"/>
    </row>
    <row r="1407" hidden="1">
      <c r="A1407" s="6" t="s">
        <v>270</v>
      </c>
      <c r="B1407" s="16" t="s">
        <v>86</v>
      </c>
      <c r="C1407" s="16" t="s">
        <v>87</v>
      </c>
      <c r="D1407" s="16" t="s">
        <v>88</v>
      </c>
      <c r="E1407" s="68">
        <v>2.0</v>
      </c>
      <c r="F1407" s="69">
        <v>6.0</v>
      </c>
      <c r="G1407" s="69">
        <v>1.0</v>
      </c>
      <c r="H1407" s="70">
        <v>6.0</v>
      </c>
      <c r="I1407" s="72">
        <v>5.0</v>
      </c>
      <c r="J1407" s="12"/>
      <c r="K1407" s="12">
        <f t="shared" si="81"/>
        <v>6500</v>
      </c>
      <c r="L1407" s="13" t="str">
        <f t="shared" si="85"/>
        <v>2 5-star + 6 RFC + 1 DME + 6 Patient Portal Login + 5 Completed Task</v>
      </c>
      <c r="M1407" s="13"/>
      <c r="N1407" s="13"/>
      <c r="O1407" s="47"/>
      <c r="P1407" s="47"/>
    </row>
    <row r="1408" hidden="1">
      <c r="A1408" s="6" t="s">
        <v>270</v>
      </c>
      <c r="B1408" s="16" t="s">
        <v>89</v>
      </c>
      <c r="C1408" s="16" t="s">
        <v>90</v>
      </c>
      <c r="D1408" s="16" t="s">
        <v>91</v>
      </c>
      <c r="E1408" s="68">
        <v>0.0</v>
      </c>
      <c r="F1408" s="69">
        <v>3.0</v>
      </c>
      <c r="G1408" s="69">
        <v>2.0</v>
      </c>
      <c r="H1408" s="70">
        <v>4.0</v>
      </c>
      <c r="I1408" s="72">
        <v>5.0</v>
      </c>
      <c r="J1408" s="12"/>
      <c r="K1408" s="12">
        <f t="shared" si="81"/>
        <v>4250</v>
      </c>
      <c r="L1408" s="13" t="str">
        <f t="shared" si="85"/>
        <v>0 5-star + 3 RFC + 2 DME + 4 Patient Portal Login + 5 Completed Task</v>
      </c>
      <c r="M1408" s="13"/>
      <c r="N1408" s="13"/>
      <c r="O1408" s="47"/>
      <c r="P1408" s="47"/>
    </row>
    <row r="1409" hidden="1">
      <c r="A1409" s="6" t="s">
        <v>270</v>
      </c>
      <c r="B1409" s="16" t="s">
        <v>92</v>
      </c>
      <c r="C1409" s="16" t="s">
        <v>93</v>
      </c>
      <c r="D1409" s="16" t="s">
        <v>94</v>
      </c>
      <c r="E1409" s="68">
        <v>0.0</v>
      </c>
      <c r="F1409" s="69">
        <v>1.0</v>
      </c>
      <c r="G1409" s="69">
        <v>1.0</v>
      </c>
      <c r="H1409" s="70">
        <v>5.0</v>
      </c>
      <c r="I1409" s="72">
        <v>5.0</v>
      </c>
      <c r="J1409" s="12"/>
      <c r="K1409" s="12">
        <f t="shared" si="81"/>
        <v>3250</v>
      </c>
      <c r="L1409" s="13" t="str">
        <f t="shared" si="85"/>
        <v>0 5-star + 1 RFC + 1 DME + 5 Patient Portal Login + 5 Completed Task</v>
      </c>
      <c r="M1409" s="13"/>
      <c r="N1409" s="13"/>
      <c r="O1409" s="47"/>
      <c r="P1409" s="47"/>
    </row>
    <row r="1410" hidden="1">
      <c r="A1410" s="6" t="s">
        <v>270</v>
      </c>
      <c r="B1410" s="7" t="s">
        <v>95</v>
      </c>
      <c r="C1410" s="16" t="s">
        <v>96</v>
      </c>
      <c r="D1410" s="16" t="s">
        <v>97</v>
      </c>
      <c r="E1410" s="68">
        <v>0.0</v>
      </c>
      <c r="F1410" s="69">
        <v>4.0</v>
      </c>
      <c r="G1410" s="69">
        <v>0.0</v>
      </c>
      <c r="H1410" s="70">
        <v>1.0</v>
      </c>
      <c r="I1410" s="72">
        <v>4.0</v>
      </c>
      <c r="J1410" s="12"/>
      <c r="K1410" s="12">
        <f t="shared" si="81"/>
        <v>3250</v>
      </c>
      <c r="L1410" s="13" t="str">
        <f t="shared" si="85"/>
        <v>0 5-star + 4 RFC + 0 DME + 1 Patient Portal Login + 4 Completed Task</v>
      </c>
      <c r="M1410" s="13"/>
      <c r="N1410" s="13"/>
      <c r="O1410" s="47"/>
      <c r="P1410" s="47"/>
    </row>
    <row r="1411" hidden="1">
      <c r="A1411" s="6" t="s">
        <v>270</v>
      </c>
      <c r="B1411" s="16" t="s">
        <v>98</v>
      </c>
      <c r="C1411" s="16" t="s">
        <v>99</v>
      </c>
      <c r="D1411" s="16" t="s">
        <v>100</v>
      </c>
      <c r="E1411" s="68">
        <v>0.0</v>
      </c>
      <c r="F1411" s="69">
        <v>2.0</v>
      </c>
      <c r="G1411" s="69">
        <v>0.0</v>
      </c>
      <c r="H1411" s="70">
        <v>1.0</v>
      </c>
      <c r="I1411" s="72">
        <v>3.0</v>
      </c>
      <c r="J1411" s="12"/>
      <c r="K1411" s="12">
        <f t="shared" si="81"/>
        <v>2000</v>
      </c>
      <c r="L1411" s="13" t="str">
        <f t="shared" si="85"/>
        <v>0 5-star + 2 RFC + 0 DME + 1 Patient Portal Login + 3 Completed Task</v>
      </c>
      <c r="M1411" s="13"/>
      <c r="N1411" s="13"/>
      <c r="O1411" s="47"/>
      <c r="P1411" s="47"/>
    </row>
    <row r="1412" hidden="1">
      <c r="A1412" s="6" t="s">
        <v>270</v>
      </c>
      <c r="B1412" s="7" t="s">
        <v>101</v>
      </c>
      <c r="C1412" s="16" t="s">
        <v>102</v>
      </c>
      <c r="D1412" s="16" t="s">
        <v>103</v>
      </c>
      <c r="E1412" s="68">
        <v>0.0</v>
      </c>
      <c r="F1412" s="69">
        <v>0.0</v>
      </c>
      <c r="G1412" s="69">
        <v>0.0</v>
      </c>
      <c r="H1412" s="70">
        <v>1.0</v>
      </c>
      <c r="I1412" s="72">
        <v>3.0</v>
      </c>
      <c r="J1412" s="12"/>
      <c r="K1412" s="12">
        <f t="shared" si="81"/>
        <v>1000</v>
      </c>
      <c r="L1412" s="13" t="str">
        <f t="shared" si="85"/>
        <v>0 5-star + 0 RFC + 0 DME + 1 Patient Portal Login + 3 Completed Task</v>
      </c>
      <c r="M1412" s="13"/>
      <c r="N1412" s="13"/>
      <c r="O1412" s="47"/>
      <c r="P1412" s="47"/>
    </row>
    <row r="1413" hidden="1">
      <c r="A1413" s="6" t="s">
        <v>270</v>
      </c>
      <c r="B1413" s="16" t="s">
        <v>271</v>
      </c>
      <c r="C1413" s="16" t="s">
        <v>272</v>
      </c>
      <c r="D1413" s="16" t="s">
        <v>273</v>
      </c>
      <c r="E1413" s="74"/>
      <c r="F1413" s="74"/>
      <c r="G1413" s="74"/>
      <c r="H1413" s="74"/>
      <c r="I1413" s="74"/>
      <c r="J1413" s="12"/>
      <c r="K1413" s="12">
        <f t="shared" si="81"/>
        <v>0</v>
      </c>
      <c r="L1413" s="13" t="str">
        <f t="shared" si="85"/>
        <v> 5-star +  RFC +  DME +  Patient Portal Login +  Completed Task</v>
      </c>
      <c r="M1413" s="13"/>
      <c r="N1413" s="13"/>
      <c r="O1413" s="47"/>
      <c r="P1413" s="47"/>
    </row>
    <row r="1414" hidden="1">
      <c r="A1414" s="6" t="s">
        <v>270</v>
      </c>
      <c r="B1414" s="16" t="s">
        <v>104</v>
      </c>
      <c r="C1414" s="16" t="s">
        <v>105</v>
      </c>
      <c r="D1414" s="16" t="s">
        <v>106</v>
      </c>
      <c r="E1414" s="68">
        <v>0.0</v>
      </c>
      <c r="F1414" s="69">
        <v>0.0</v>
      </c>
      <c r="G1414" s="69">
        <v>0.0</v>
      </c>
      <c r="H1414" s="70">
        <v>2.0</v>
      </c>
      <c r="I1414" s="72">
        <v>5.0</v>
      </c>
      <c r="J1414" s="12"/>
      <c r="K1414" s="12">
        <f t="shared" si="81"/>
        <v>1750</v>
      </c>
      <c r="L1414" s="13" t="str">
        <f t="shared" si="85"/>
        <v>0 5-star + 0 RFC + 0 DME + 2 Patient Portal Login + 5 Completed Task</v>
      </c>
      <c r="M1414" s="13"/>
      <c r="N1414" s="13"/>
      <c r="O1414" s="47"/>
      <c r="P1414" s="47"/>
    </row>
    <row r="1415" hidden="1">
      <c r="A1415" s="6" t="s">
        <v>270</v>
      </c>
      <c r="B1415" s="16" t="s">
        <v>107</v>
      </c>
      <c r="C1415" s="16" t="s">
        <v>108</v>
      </c>
      <c r="D1415" s="16" t="s">
        <v>109</v>
      </c>
      <c r="E1415" s="68">
        <v>0.0</v>
      </c>
      <c r="F1415" s="69">
        <v>2.0</v>
      </c>
      <c r="G1415" s="69">
        <v>0.0</v>
      </c>
      <c r="H1415" s="70">
        <v>8.0</v>
      </c>
      <c r="I1415" s="72">
        <v>5.0</v>
      </c>
      <c r="J1415" s="12"/>
      <c r="K1415" s="12">
        <f t="shared" si="81"/>
        <v>4250</v>
      </c>
      <c r="L1415" s="13" t="str">
        <f t="shared" si="85"/>
        <v>0 5-star + 2 RFC + 0 DME + 8 Patient Portal Login + 5 Completed Task</v>
      </c>
      <c r="M1415" s="13"/>
      <c r="N1415" s="13"/>
      <c r="O1415" s="47"/>
      <c r="P1415" s="47"/>
    </row>
    <row r="1416" hidden="1">
      <c r="A1416" s="6" t="s">
        <v>270</v>
      </c>
      <c r="B1416" s="16" t="s">
        <v>110</v>
      </c>
      <c r="C1416" s="16" t="s">
        <v>111</v>
      </c>
      <c r="D1416" s="16" t="s">
        <v>112</v>
      </c>
      <c r="E1416" s="73">
        <v>1.0</v>
      </c>
      <c r="F1416" s="69">
        <v>0.0</v>
      </c>
      <c r="G1416" s="69">
        <v>0.0</v>
      </c>
      <c r="H1416" s="70">
        <v>3.0</v>
      </c>
      <c r="I1416" s="72">
        <v>4.0</v>
      </c>
      <c r="J1416" s="12"/>
      <c r="K1416" s="12">
        <f t="shared" si="81"/>
        <v>2000</v>
      </c>
      <c r="L1416" s="13" t="str">
        <f t="shared" si="85"/>
        <v>1 5-star + 0 RFC + 0 DME + 3 Patient Portal Login + 4 Completed Task</v>
      </c>
      <c r="M1416" s="13"/>
      <c r="N1416" s="13"/>
      <c r="O1416" s="47"/>
      <c r="P1416" s="47"/>
    </row>
    <row r="1417" hidden="1">
      <c r="A1417" s="6" t="s">
        <v>270</v>
      </c>
      <c r="B1417" s="16" t="s">
        <v>113</v>
      </c>
      <c r="C1417" s="16" t="s">
        <v>114</v>
      </c>
      <c r="D1417" s="16" t="s">
        <v>115</v>
      </c>
      <c r="E1417" s="68">
        <v>1.0</v>
      </c>
      <c r="F1417" s="69">
        <v>2.0</v>
      </c>
      <c r="G1417" s="69">
        <v>0.0</v>
      </c>
      <c r="H1417" s="70">
        <v>6.0</v>
      </c>
      <c r="I1417" s="72">
        <v>5.0</v>
      </c>
      <c r="J1417" s="12"/>
      <c r="K1417" s="12">
        <f t="shared" si="81"/>
        <v>4000</v>
      </c>
      <c r="L1417" s="13" t="str">
        <f t="shared" si="85"/>
        <v>1 5-star + 2 RFC + 0 DME + 6 Patient Portal Login + 5 Completed Task</v>
      </c>
      <c r="M1417" s="13"/>
      <c r="N1417" s="13"/>
      <c r="O1417" s="47"/>
      <c r="P1417" s="47"/>
    </row>
    <row r="1418" hidden="1">
      <c r="A1418" s="6" t="s">
        <v>270</v>
      </c>
      <c r="B1418" s="7" t="s">
        <v>116</v>
      </c>
      <c r="C1418" s="16" t="s">
        <v>117</v>
      </c>
      <c r="D1418" s="16" t="s">
        <v>118</v>
      </c>
      <c r="E1418" s="68">
        <v>0.0</v>
      </c>
      <c r="F1418" s="69">
        <v>2.0</v>
      </c>
      <c r="G1418" s="69">
        <v>0.0</v>
      </c>
      <c r="H1418" s="70">
        <v>1.0</v>
      </c>
      <c r="I1418" s="72">
        <v>5.0</v>
      </c>
      <c r="J1418" s="12"/>
      <c r="K1418" s="12">
        <f t="shared" si="81"/>
        <v>2500</v>
      </c>
      <c r="L1418" s="13" t="str">
        <f t="shared" si="85"/>
        <v>0 5-star + 2 RFC + 0 DME + 1 Patient Portal Login + 5 Completed Task</v>
      </c>
      <c r="M1418" s="13"/>
      <c r="N1418" s="13"/>
      <c r="O1418" s="47"/>
      <c r="P1418" s="47"/>
    </row>
    <row r="1419" hidden="1">
      <c r="A1419" s="6" t="s">
        <v>270</v>
      </c>
      <c r="B1419" s="16" t="s">
        <v>216</v>
      </c>
      <c r="C1419" s="16" t="s">
        <v>217</v>
      </c>
      <c r="D1419" s="16" t="s">
        <v>274</v>
      </c>
      <c r="E1419" s="74"/>
      <c r="F1419" s="74"/>
      <c r="G1419" s="74"/>
      <c r="H1419" s="74"/>
      <c r="I1419" s="74"/>
      <c r="J1419" s="12"/>
      <c r="K1419" s="12">
        <f t="shared" si="81"/>
        <v>0</v>
      </c>
      <c r="L1419" s="13" t="str">
        <f t="shared" si="85"/>
        <v> 5-star +  RFC +  DME +  Patient Portal Login +  Completed Task</v>
      </c>
      <c r="M1419" s="13"/>
      <c r="N1419" s="13"/>
      <c r="O1419" s="47"/>
      <c r="P1419" s="47"/>
    </row>
    <row r="1420" hidden="1">
      <c r="A1420" s="6" t="s">
        <v>270</v>
      </c>
      <c r="B1420" s="16" t="s">
        <v>119</v>
      </c>
      <c r="C1420" s="16" t="s">
        <v>120</v>
      </c>
      <c r="D1420" s="16" t="s">
        <v>121</v>
      </c>
      <c r="E1420" s="68">
        <v>1.0</v>
      </c>
      <c r="F1420" s="69">
        <v>0.0</v>
      </c>
      <c r="G1420" s="69">
        <v>0.0</v>
      </c>
      <c r="H1420" s="70">
        <v>2.0</v>
      </c>
      <c r="I1420" s="72">
        <v>5.0</v>
      </c>
      <c r="J1420" s="12"/>
      <c r="K1420" s="12">
        <f t="shared" si="81"/>
        <v>2000</v>
      </c>
      <c r="L1420" s="13" t="str">
        <f t="shared" si="85"/>
        <v>1 5-star + 0 RFC + 0 DME + 2 Patient Portal Login + 5 Completed Task</v>
      </c>
      <c r="M1420" s="13"/>
      <c r="N1420" s="13"/>
      <c r="O1420" s="47"/>
      <c r="P1420" s="47"/>
    </row>
    <row r="1421" hidden="1">
      <c r="A1421" s="6" t="s">
        <v>270</v>
      </c>
      <c r="B1421" s="16" t="s">
        <v>267</v>
      </c>
      <c r="C1421" s="16" t="s">
        <v>268</v>
      </c>
      <c r="D1421" s="16" t="s">
        <v>269</v>
      </c>
      <c r="E1421" s="68">
        <v>0.0</v>
      </c>
      <c r="F1421" s="69">
        <v>1.0</v>
      </c>
      <c r="G1421" s="69">
        <v>4.0</v>
      </c>
      <c r="H1421" s="70">
        <v>7.0</v>
      </c>
      <c r="I1421" s="72">
        <v>5.0</v>
      </c>
      <c r="J1421" s="12"/>
      <c r="K1421" s="12">
        <f t="shared" si="81"/>
        <v>4500</v>
      </c>
      <c r="L1421" s="13" t="str">
        <f t="shared" si="85"/>
        <v>0 5-star + 1 RFC + 4 DME + 7 Patient Portal Login + 5 Completed Task</v>
      </c>
      <c r="M1421" s="13"/>
      <c r="N1421" s="13"/>
      <c r="O1421" s="47"/>
      <c r="P1421" s="47"/>
    </row>
    <row r="1422" hidden="1">
      <c r="A1422" s="6" t="s">
        <v>270</v>
      </c>
      <c r="B1422" s="16" t="s">
        <v>275</v>
      </c>
      <c r="C1422" s="16" t="s">
        <v>276</v>
      </c>
      <c r="D1422" s="16" t="s">
        <v>277</v>
      </c>
      <c r="E1422" s="74"/>
      <c r="F1422" s="74"/>
      <c r="G1422" s="74"/>
      <c r="H1422" s="74"/>
      <c r="I1422" s="74"/>
      <c r="J1422" s="12"/>
      <c r="K1422" s="12">
        <f t="shared" si="81"/>
        <v>0</v>
      </c>
      <c r="L1422" s="13" t="str">
        <f t="shared" si="85"/>
        <v> 5-star +  RFC +  DME +  Patient Portal Login +  Completed Task</v>
      </c>
      <c r="M1422" s="13"/>
      <c r="N1422" s="13"/>
      <c r="O1422" s="47"/>
      <c r="P1422" s="47"/>
    </row>
    <row r="1423" hidden="1">
      <c r="A1423" s="6" t="s">
        <v>270</v>
      </c>
      <c r="B1423" s="16" t="s">
        <v>122</v>
      </c>
      <c r="C1423" s="16" t="s">
        <v>123</v>
      </c>
      <c r="D1423" s="16" t="s">
        <v>124</v>
      </c>
      <c r="E1423" s="68">
        <v>0.0</v>
      </c>
      <c r="F1423" s="69">
        <v>0.0</v>
      </c>
      <c r="G1423" s="69">
        <v>0.0</v>
      </c>
      <c r="H1423" s="70">
        <v>1.0</v>
      </c>
      <c r="I1423" s="72">
        <v>5.0</v>
      </c>
      <c r="J1423" s="12"/>
      <c r="K1423" s="12">
        <f t="shared" si="81"/>
        <v>1500</v>
      </c>
      <c r="L1423" s="13" t="str">
        <f t="shared" si="85"/>
        <v>0 5-star + 0 RFC + 0 DME + 1 Patient Portal Login + 5 Completed Task</v>
      </c>
      <c r="M1423" s="13"/>
      <c r="N1423" s="13"/>
      <c r="O1423" s="47"/>
      <c r="P1423" s="47"/>
    </row>
    <row r="1424" hidden="1">
      <c r="A1424" s="6" t="s">
        <v>270</v>
      </c>
      <c r="B1424" s="16" t="s">
        <v>125</v>
      </c>
      <c r="C1424" s="16" t="s">
        <v>126</v>
      </c>
      <c r="D1424" s="16" t="s">
        <v>127</v>
      </c>
      <c r="E1424" s="68">
        <v>2.0</v>
      </c>
      <c r="F1424" s="69">
        <v>0.0</v>
      </c>
      <c r="G1424" s="69">
        <v>0.0</v>
      </c>
      <c r="H1424" s="70">
        <v>1.0</v>
      </c>
      <c r="I1424" s="72">
        <v>5.0</v>
      </c>
      <c r="J1424" s="12"/>
      <c r="K1424" s="12">
        <f t="shared" si="81"/>
        <v>2000</v>
      </c>
      <c r="L1424" s="13" t="str">
        <f t="shared" si="85"/>
        <v>2 5-star + 0 RFC + 0 DME + 1 Patient Portal Login + 5 Completed Task</v>
      </c>
      <c r="M1424" s="13"/>
      <c r="N1424" s="13"/>
      <c r="O1424" s="47"/>
      <c r="P1424" s="47"/>
    </row>
    <row r="1425" hidden="1">
      <c r="A1425" s="6" t="s">
        <v>270</v>
      </c>
      <c r="B1425" s="16" t="s">
        <v>128</v>
      </c>
      <c r="C1425" s="16" t="s">
        <v>129</v>
      </c>
      <c r="D1425" s="16" t="s">
        <v>130</v>
      </c>
      <c r="E1425" s="68">
        <v>0.0</v>
      </c>
      <c r="F1425" s="69">
        <v>2.0</v>
      </c>
      <c r="G1425" s="69">
        <v>2.0</v>
      </c>
      <c r="H1425" s="70">
        <v>11.0</v>
      </c>
      <c r="I1425" s="72">
        <v>5.0</v>
      </c>
      <c r="J1425" s="12"/>
      <c r="K1425" s="12">
        <f t="shared" si="81"/>
        <v>5500</v>
      </c>
      <c r="L1425" s="13" t="str">
        <f t="shared" si="85"/>
        <v>0 5-star + 2 RFC + 2 DME + 11 Patient Portal Login + 5 Completed Task</v>
      </c>
      <c r="M1425" s="13"/>
      <c r="N1425" s="13"/>
      <c r="O1425" s="47"/>
      <c r="P1425" s="47"/>
    </row>
    <row r="1426" hidden="1">
      <c r="A1426" s="6" t="s">
        <v>270</v>
      </c>
      <c r="B1426" s="16" t="s">
        <v>131</v>
      </c>
      <c r="C1426" s="16" t="s">
        <v>132</v>
      </c>
      <c r="D1426" s="16" t="s">
        <v>133</v>
      </c>
      <c r="E1426" s="68">
        <v>1.0</v>
      </c>
      <c r="F1426" s="69">
        <v>3.0</v>
      </c>
      <c r="G1426" s="69">
        <v>1.0</v>
      </c>
      <c r="H1426" s="70">
        <v>11.0</v>
      </c>
      <c r="I1426" s="72">
        <v>5.0</v>
      </c>
      <c r="J1426" s="12"/>
      <c r="K1426" s="12">
        <f t="shared" si="81"/>
        <v>6000</v>
      </c>
      <c r="L1426" s="13" t="str">
        <f t="shared" si="85"/>
        <v>1 5-star + 3 RFC + 1 DME + 11 Patient Portal Login + 5 Completed Task</v>
      </c>
      <c r="M1426" s="13"/>
      <c r="N1426" s="13"/>
      <c r="O1426" s="47"/>
      <c r="P1426" s="47"/>
    </row>
    <row r="1427" hidden="1">
      <c r="A1427" s="6" t="s">
        <v>270</v>
      </c>
      <c r="B1427" s="16" t="s">
        <v>134</v>
      </c>
      <c r="C1427" s="16" t="s">
        <v>135</v>
      </c>
      <c r="D1427" s="16" t="s">
        <v>136</v>
      </c>
      <c r="E1427" s="68">
        <v>0.0</v>
      </c>
      <c r="F1427" s="69">
        <v>0.0</v>
      </c>
      <c r="G1427" s="69">
        <v>0.0</v>
      </c>
      <c r="H1427" s="70">
        <v>1.0</v>
      </c>
      <c r="I1427" s="72">
        <v>5.0</v>
      </c>
      <c r="J1427" s="12"/>
      <c r="K1427" s="12">
        <f t="shared" si="81"/>
        <v>1500</v>
      </c>
      <c r="L1427" s="13" t="str">
        <f t="shared" si="85"/>
        <v>0 5-star + 0 RFC + 0 DME + 1 Patient Portal Login + 5 Completed Task</v>
      </c>
      <c r="M1427" s="13"/>
      <c r="N1427" s="13"/>
      <c r="O1427" s="47"/>
      <c r="P1427" s="47"/>
    </row>
    <row r="1428" hidden="1">
      <c r="A1428" s="6" t="s">
        <v>270</v>
      </c>
      <c r="B1428" s="16" t="s">
        <v>137</v>
      </c>
      <c r="C1428" s="16" t="s">
        <v>138</v>
      </c>
      <c r="D1428" s="16" t="s">
        <v>139</v>
      </c>
      <c r="E1428" s="68">
        <v>0.0</v>
      </c>
      <c r="F1428" s="69">
        <v>2.0</v>
      </c>
      <c r="G1428" s="69">
        <v>0.0</v>
      </c>
      <c r="H1428" s="70">
        <v>9.0</v>
      </c>
      <c r="I1428" s="72">
        <v>5.0</v>
      </c>
      <c r="J1428" s="12"/>
      <c r="K1428" s="12">
        <f t="shared" si="81"/>
        <v>4500</v>
      </c>
      <c r="L1428" s="13" t="str">
        <f t="shared" si="85"/>
        <v>0 5-star + 2 RFC + 0 DME + 9 Patient Portal Login + 5 Completed Task</v>
      </c>
      <c r="M1428" s="13"/>
      <c r="N1428" s="13"/>
      <c r="O1428" s="47"/>
      <c r="P1428" s="47"/>
    </row>
    <row r="1429" hidden="1">
      <c r="A1429" s="6" t="s">
        <v>270</v>
      </c>
      <c r="B1429" s="16" t="s">
        <v>278</v>
      </c>
      <c r="C1429" s="16" t="s">
        <v>279</v>
      </c>
      <c r="D1429" s="16" t="s">
        <v>280</v>
      </c>
      <c r="E1429" s="74"/>
      <c r="F1429" s="74"/>
      <c r="G1429" s="74"/>
      <c r="H1429" s="74"/>
      <c r="I1429" s="74"/>
      <c r="J1429" s="12"/>
      <c r="K1429" s="12">
        <f t="shared" si="81"/>
        <v>0</v>
      </c>
      <c r="L1429" s="13" t="str">
        <f t="shared" si="85"/>
        <v> 5-star +  RFC +  DME +  Patient Portal Login +  Completed Task</v>
      </c>
      <c r="M1429" s="13"/>
      <c r="N1429" s="13"/>
      <c r="O1429" s="47"/>
      <c r="P1429" s="47"/>
    </row>
    <row r="1430" hidden="1">
      <c r="A1430" s="6" t="s">
        <v>270</v>
      </c>
      <c r="B1430" s="16" t="s">
        <v>140</v>
      </c>
      <c r="C1430" s="16" t="s">
        <v>141</v>
      </c>
      <c r="D1430" s="16" t="s">
        <v>142</v>
      </c>
      <c r="E1430" s="68">
        <v>1.0</v>
      </c>
      <c r="F1430" s="69">
        <v>0.0</v>
      </c>
      <c r="G1430" s="69">
        <v>0.0</v>
      </c>
      <c r="H1430" s="70">
        <v>6.0</v>
      </c>
      <c r="I1430" s="72">
        <v>5.0</v>
      </c>
      <c r="J1430" s="12"/>
      <c r="K1430" s="12">
        <f t="shared" si="81"/>
        <v>3000</v>
      </c>
      <c r="L1430" s="13" t="str">
        <f t="shared" si="85"/>
        <v>1 5-star + 0 RFC + 0 DME + 6 Patient Portal Login + 5 Completed Task</v>
      </c>
      <c r="M1430" s="13"/>
      <c r="N1430" s="13"/>
      <c r="O1430" s="47"/>
      <c r="P1430" s="47"/>
    </row>
    <row r="1431" hidden="1">
      <c r="A1431" s="6" t="s">
        <v>270</v>
      </c>
      <c r="B1431" s="16" t="s">
        <v>207</v>
      </c>
      <c r="C1431" s="16" t="s">
        <v>208</v>
      </c>
      <c r="D1431" s="16" t="s">
        <v>281</v>
      </c>
      <c r="E1431" s="74"/>
      <c r="F1431" s="74"/>
      <c r="G1431" s="74"/>
      <c r="H1431" s="74"/>
      <c r="I1431" s="74"/>
      <c r="J1431" s="12"/>
      <c r="K1431" s="12">
        <f t="shared" si="81"/>
        <v>0</v>
      </c>
      <c r="L1431" s="13" t="str">
        <f t="shared" si="85"/>
        <v> 5-star +  RFC +  DME +  Patient Portal Login +  Completed Task</v>
      </c>
      <c r="M1431" s="13"/>
      <c r="N1431" s="13"/>
      <c r="O1431" s="47"/>
      <c r="P1431" s="47"/>
    </row>
    <row r="1432" hidden="1">
      <c r="A1432" s="6" t="s">
        <v>270</v>
      </c>
      <c r="B1432" s="16" t="s">
        <v>282</v>
      </c>
      <c r="C1432" s="16" t="s">
        <v>283</v>
      </c>
      <c r="D1432" s="16" t="s">
        <v>284</v>
      </c>
      <c r="E1432" s="74"/>
      <c r="F1432" s="74"/>
      <c r="G1432" s="74"/>
      <c r="H1432" s="74"/>
      <c r="I1432" s="74"/>
      <c r="J1432" s="12"/>
      <c r="K1432" s="12">
        <f t="shared" si="81"/>
        <v>0</v>
      </c>
      <c r="L1432" s="13" t="str">
        <f t="shared" si="85"/>
        <v> 5-star +  RFC +  DME +  Patient Portal Login +  Completed Task</v>
      </c>
      <c r="M1432" s="13"/>
      <c r="N1432" s="13"/>
      <c r="O1432" s="47"/>
      <c r="P1432" s="47"/>
    </row>
    <row r="1433" hidden="1">
      <c r="A1433" s="6" t="s">
        <v>270</v>
      </c>
      <c r="B1433" s="16" t="s">
        <v>285</v>
      </c>
      <c r="C1433" s="16" t="s">
        <v>286</v>
      </c>
      <c r="D1433" s="16" t="s">
        <v>287</v>
      </c>
      <c r="E1433" s="74"/>
      <c r="F1433" s="74"/>
      <c r="G1433" s="74"/>
      <c r="H1433" s="74"/>
      <c r="I1433" s="74"/>
      <c r="J1433" s="12"/>
      <c r="K1433" s="12">
        <f t="shared" si="81"/>
        <v>0</v>
      </c>
      <c r="L1433" s="13" t="str">
        <f t="shared" si="85"/>
        <v> 5-star +  RFC +  DME +  Patient Portal Login +  Completed Task</v>
      </c>
      <c r="M1433" s="13"/>
      <c r="N1433" s="13"/>
      <c r="O1433" s="47"/>
      <c r="P1433" s="47"/>
    </row>
    <row r="1434" hidden="1">
      <c r="A1434" s="6" t="s">
        <v>270</v>
      </c>
      <c r="B1434" s="16" t="s">
        <v>143</v>
      </c>
      <c r="C1434" s="16" t="s">
        <v>144</v>
      </c>
      <c r="D1434" s="16" t="s">
        <v>145</v>
      </c>
      <c r="E1434" s="68">
        <v>0.0</v>
      </c>
      <c r="F1434" s="69">
        <v>0.0</v>
      </c>
      <c r="G1434" s="69">
        <v>0.0</v>
      </c>
      <c r="H1434" s="70">
        <v>2.0</v>
      </c>
      <c r="I1434" s="72">
        <v>5.0</v>
      </c>
      <c r="J1434" s="12"/>
      <c r="K1434" s="12">
        <f t="shared" si="81"/>
        <v>1750</v>
      </c>
      <c r="L1434" s="13" t="str">
        <f t="shared" si="85"/>
        <v>0 5-star + 0 RFC + 0 DME + 2 Patient Portal Login + 5 Completed Task</v>
      </c>
      <c r="M1434" s="13"/>
      <c r="N1434" s="13"/>
      <c r="O1434" s="47"/>
      <c r="P1434" s="47"/>
    </row>
    <row r="1435" hidden="1">
      <c r="A1435" s="6" t="s">
        <v>270</v>
      </c>
      <c r="B1435" s="16" t="s">
        <v>146</v>
      </c>
      <c r="C1435" s="16" t="s">
        <v>147</v>
      </c>
      <c r="D1435" s="16" t="s">
        <v>148</v>
      </c>
      <c r="E1435" s="68">
        <v>0.0</v>
      </c>
      <c r="F1435" s="69">
        <v>2.0</v>
      </c>
      <c r="G1435" s="69">
        <v>0.0</v>
      </c>
      <c r="H1435" s="75">
        <v>5.0</v>
      </c>
      <c r="I1435" s="72">
        <v>5.0</v>
      </c>
      <c r="J1435" s="12"/>
      <c r="K1435" s="12">
        <f t="shared" si="81"/>
        <v>3500</v>
      </c>
      <c r="L1435" s="13" t="str">
        <f t="shared" si="85"/>
        <v>0 5-star + 2 RFC + 0 DME + 5 Patient Portal Login + 5 Completed Task</v>
      </c>
      <c r="M1435" s="13"/>
      <c r="N1435" s="13"/>
      <c r="O1435" s="47"/>
      <c r="P1435" s="47"/>
    </row>
    <row r="1436" hidden="1">
      <c r="A1436" s="6" t="s">
        <v>270</v>
      </c>
      <c r="B1436" s="16" t="s">
        <v>245</v>
      </c>
      <c r="C1436" s="16" t="s">
        <v>246</v>
      </c>
      <c r="D1436" s="16" t="s">
        <v>247</v>
      </c>
      <c r="E1436" s="68">
        <v>0.0</v>
      </c>
      <c r="F1436" s="69">
        <v>3.0</v>
      </c>
      <c r="G1436" s="69">
        <v>2.0</v>
      </c>
      <c r="H1436" s="70">
        <v>9.0</v>
      </c>
      <c r="I1436" s="72">
        <v>5.0</v>
      </c>
      <c r="J1436" s="12"/>
      <c r="K1436" s="12">
        <f t="shared" si="81"/>
        <v>5500</v>
      </c>
      <c r="L1436" s="13" t="str">
        <f t="shared" si="85"/>
        <v>0 5-star + 3 RFC + 2 DME + 9 Patient Portal Login + 5 Completed Task</v>
      </c>
      <c r="M1436" s="13"/>
      <c r="N1436" s="13"/>
      <c r="O1436" s="47"/>
      <c r="P1436" s="47"/>
    </row>
    <row r="1437" hidden="1">
      <c r="A1437" s="6" t="s">
        <v>270</v>
      </c>
      <c r="B1437" s="16" t="s">
        <v>210</v>
      </c>
      <c r="C1437" s="16" t="s">
        <v>211</v>
      </c>
      <c r="D1437" s="16" t="s">
        <v>212</v>
      </c>
      <c r="E1437" s="74"/>
      <c r="F1437" s="74"/>
      <c r="G1437" s="74"/>
      <c r="H1437" s="74"/>
      <c r="I1437" s="74"/>
      <c r="J1437" s="12"/>
      <c r="K1437" s="12">
        <f t="shared" si="81"/>
        <v>0</v>
      </c>
      <c r="L1437" s="13" t="str">
        <f t="shared" si="85"/>
        <v> 5-star +  RFC +  DME +  Patient Portal Login +  Completed Task</v>
      </c>
      <c r="M1437" s="13"/>
      <c r="N1437" s="13"/>
      <c r="O1437" s="47"/>
      <c r="P1437" s="47"/>
    </row>
    <row r="1438" hidden="1">
      <c r="A1438" s="6" t="s">
        <v>270</v>
      </c>
      <c r="B1438" s="16" t="s">
        <v>149</v>
      </c>
      <c r="C1438" s="16" t="s">
        <v>150</v>
      </c>
      <c r="D1438" s="16" t="s">
        <v>151</v>
      </c>
      <c r="E1438" s="68">
        <v>0.0</v>
      </c>
      <c r="F1438" s="69">
        <v>0.0</v>
      </c>
      <c r="G1438" s="69">
        <v>0.0</v>
      </c>
      <c r="H1438" s="70">
        <v>0.0</v>
      </c>
      <c r="I1438" s="72">
        <v>4.0</v>
      </c>
      <c r="J1438" s="12"/>
      <c r="K1438" s="12">
        <f t="shared" si="81"/>
        <v>1000</v>
      </c>
      <c r="L1438" s="13" t="str">
        <f t="shared" si="85"/>
        <v>0 5-star + 0 RFC + 0 DME + 0 Patient Portal Login + 4 Completed Task</v>
      </c>
      <c r="M1438" s="13"/>
      <c r="N1438" s="13"/>
      <c r="O1438" s="47"/>
      <c r="P1438" s="47"/>
    </row>
    <row r="1439" hidden="1">
      <c r="A1439" s="6" t="s">
        <v>270</v>
      </c>
      <c r="B1439" s="16" t="s">
        <v>288</v>
      </c>
      <c r="C1439" s="16" t="s">
        <v>289</v>
      </c>
      <c r="D1439" s="16" t="s">
        <v>290</v>
      </c>
      <c r="E1439" s="74"/>
      <c r="F1439" s="74"/>
      <c r="G1439" s="74"/>
      <c r="H1439" s="74"/>
      <c r="I1439" s="74"/>
      <c r="J1439" s="12"/>
      <c r="K1439" s="12">
        <f t="shared" si="81"/>
        <v>0</v>
      </c>
      <c r="L1439" s="13" t="str">
        <f t="shared" si="85"/>
        <v> 5-star +  RFC +  DME +  Patient Portal Login +  Completed Task</v>
      </c>
      <c r="M1439" s="13"/>
      <c r="N1439" s="13"/>
      <c r="O1439" s="47"/>
      <c r="P1439" s="47"/>
    </row>
    <row r="1440" hidden="1">
      <c r="A1440" s="6" t="s">
        <v>270</v>
      </c>
      <c r="B1440" s="16" t="s">
        <v>152</v>
      </c>
      <c r="C1440" s="16" t="s">
        <v>153</v>
      </c>
      <c r="D1440" s="16" t="s">
        <v>154</v>
      </c>
      <c r="E1440" s="68">
        <v>1.0</v>
      </c>
      <c r="F1440" s="69">
        <v>1.0</v>
      </c>
      <c r="G1440" s="69">
        <v>4.0</v>
      </c>
      <c r="H1440" s="70">
        <v>4.0</v>
      </c>
      <c r="I1440" s="72">
        <v>5.0</v>
      </c>
      <c r="J1440" s="12"/>
      <c r="K1440" s="12">
        <f t="shared" si="81"/>
        <v>4000</v>
      </c>
      <c r="L1440" s="13" t="str">
        <f t="shared" si="85"/>
        <v>1 5-star + 1 RFC + 4 DME + 4 Patient Portal Login + 5 Completed Task</v>
      </c>
      <c r="M1440" s="13"/>
      <c r="N1440" s="13"/>
      <c r="O1440" s="47"/>
      <c r="P1440" s="47"/>
    </row>
    <row r="1441" hidden="1">
      <c r="A1441" s="6" t="s">
        <v>270</v>
      </c>
      <c r="B1441" s="16" t="s">
        <v>155</v>
      </c>
      <c r="C1441" s="16" t="s">
        <v>156</v>
      </c>
      <c r="D1441" s="16" t="s">
        <v>157</v>
      </c>
      <c r="E1441" s="68">
        <v>1.0</v>
      </c>
      <c r="F1441" s="69">
        <v>1.0</v>
      </c>
      <c r="G1441" s="69">
        <v>0.0</v>
      </c>
      <c r="H1441" s="70">
        <v>0.0</v>
      </c>
      <c r="I1441" s="72">
        <v>4.0</v>
      </c>
      <c r="J1441" s="12"/>
      <c r="K1441" s="12">
        <f t="shared" si="81"/>
        <v>1750</v>
      </c>
      <c r="L1441" s="13" t="str">
        <f t="shared" si="85"/>
        <v>1 5-star + 1 RFC + 0 DME + 0 Patient Portal Login + 4 Completed Task</v>
      </c>
      <c r="M1441" s="13"/>
      <c r="N1441" s="13"/>
      <c r="O1441" s="47"/>
      <c r="P1441" s="47"/>
    </row>
    <row r="1442" hidden="1">
      <c r="A1442" s="6" t="s">
        <v>270</v>
      </c>
      <c r="B1442" s="16" t="s">
        <v>158</v>
      </c>
      <c r="C1442" s="16" t="s">
        <v>159</v>
      </c>
      <c r="D1442" s="16" t="s">
        <v>160</v>
      </c>
      <c r="E1442" s="68">
        <v>0.0</v>
      </c>
      <c r="F1442" s="69">
        <v>1.0</v>
      </c>
      <c r="G1442" s="69">
        <v>0.0</v>
      </c>
      <c r="H1442" s="70">
        <v>0.0</v>
      </c>
      <c r="I1442" s="72">
        <v>5.0</v>
      </c>
      <c r="J1442" s="39"/>
      <c r="K1442" s="39">
        <f t="shared" si="81"/>
        <v>1750</v>
      </c>
      <c r="L1442" s="13" t="str">
        <f t="shared" si="85"/>
        <v>0 5-star + 1 RFC + 0 DME + 0 Patient Portal Login + 5 Completed Task</v>
      </c>
      <c r="M1442" s="13"/>
      <c r="N1442" s="13"/>
      <c r="O1442" s="47"/>
      <c r="P1442" s="47"/>
    </row>
    <row r="1443" hidden="1">
      <c r="A1443" s="6" t="s">
        <v>270</v>
      </c>
      <c r="B1443" s="20" t="s">
        <v>161</v>
      </c>
      <c r="C1443" s="20" t="s">
        <v>162</v>
      </c>
      <c r="D1443" s="20" t="s">
        <v>163</v>
      </c>
      <c r="E1443" s="68">
        <v>0.0</v>
      </c>
      <c r="F1443" s="69">
        <v>0.0</v>
      </c>
      <c r="G1443" s="69">
        <v>2.0</v>
      </c>
      <c r="H1443" s="70">
        <v>2.0</v>
      </c>
      <c r="I1443" s="72">
        <v>5.0</v>
      </c>
      <c r="J1443" s="12"/>
      <c r="K1443" s="12">
        <f>sum(E1443*250)+(E1429*500)+(G1443*250)+(H1443*250)+(I1443*250)</f>
        <v>2250</v>
      </c>
      <c r="L1443" s="13" t="str">
        <f> E1443 &amp; " 5-star + " &amp; E1429 &amp; " RFC + " &amp; G1443 &amp; " DME + " &amp; H1443 &amp; " Patient Portal Login + " &amp; I1443 &amp; " Completed Task"
</f>
        <v>0 5-star +  RFC + 2 DME + 2 Patient Portal Login + 5 Completed Task</v>
      </c>
      <c r="M1443" s="13"/>
      <c r="N1443" s="13"/>
      <c r="O1443" s="47"/>
      <c r="P1443" s="47"/>
    </row>
    <row r="1444" hidden="1">
      <c r="A1444" s="6" t="s">
        <v>270</v>
      </c>
      <c r="B1444" s="20" t="s">
        <v>164</v>
      </c>
      <c r="C1444" s="20" t="s">
        <v>165</v>
      </c>
      <c r="D1444" s="20" t="s">
        <v>166</v>
      </c>
      <c r="E1444" s="68">
        <v>0.0</v>
      </c>
      <c r="F1444" s="69">
        <v>2.0</v>
      </c>
      <c r="G1444" s="69">
        <v>0.0</v>
      </c>
      <c r="H1444" s="70">
        <v>2.0</v>
      </c>
      <c r="I1444" s="72">
        <v>5.0</v>
      </c>
      <c r="J1444" s="12"/>
      <c r="K1444" s="12">
        <f t="shared" ref="K1444:K1576" si="86">sum(E1444*250)+(F1444*500)+(G1444*250)+(H1444*250)+(I1444*250)</f>
        <v>2750</v>
      </c>
      <c r="L1444" s="13" t="str">
        <f t="shared" ref="L1444:L1509" si="87"> E1444 &amp; " 5-star + " &amp; F1444 &amp; " RFC + " &amp; G1444 &amp; " DME + " &amp; H1444 &amp; " Patient Portal Login + " &amp; I1444 &amp; " Completed Task"
</f>
        <v>0 5-star + 2 RFC + 0 DME + 2 Patient Portal Login + 5 Completed Task</v>
      </c>
      <c r="M1444" s="13"/>
      <c r="N1444" s="13"/>
      <c r="O1444" s="47"/>
      <c r="P1444" s="47"/>
    </row>
    <row r="1445" hidden="1">
      <c r="A1445" s="6" t="s">
        <v>270</v>
      </c>
      <c r="B1445" s="20" t="s">
        <v>167</v>
      </c>
      <c r="C1445" s="20" t="s">
        <v>168</v>
      </c>
      <c r="D1445" s="20" t="s">
        <v>169</v>
      </c>
      <c r="E1445" s="68">
        <v>0.0</v>
      </c>
      <c r="F1445" s="69">
        <v>0.0</v>
      </c>
      <c r="G1445" s="69">
        <v>0.0</v>
      </c>
      <c r="H1445" s="70">
        <v>0.0</v>
      </c>
      <c r="I1445" s="72">
        <v>5.0</v>
      </c>
      <c r="J1445" s="12"/>
      <c r="K1445" s="12">
        <f t="shared" si="86"/>
        <v>1250</v>
      </c>
      <c r="L1445" s="13" t="str">
        <f t="shared" si="87"/>
        <v>0 5-star + 0 RFC + 0 DME + 0 Patient Portal Login + 5 Completed Task</v>
      </c>
      <c r="M1445" s="13"/>
      <c r="N1445" s="13"/>
      <c r="O1445" s="47"/>
      <c r="P1445" s="47"/>
    </row>
    <row r="1446" hidden="1">
      <c r="A1446" s="6" t="s">
        <v>270</v>
      </c>
      <c r="B1446" s="20" t="s">
        <v>170</v>
      </c>
      <c r="C1446" s="20" t="s">
        <v>171</v>
      </c>
      <c r="D1446" s="20" t="s">
        <v>172</v>
      </c>
      <c r="E1446" s="68">
        <v>0.0</v>
      </c>
      <c r="F1446" s="69">
        <v>1.0</v>
      </c>
      <c r="G1446" s="69">
        <v>0.0</v>
      </c>
      <c r="H1446" s="70">
        <v>10.0</v>
      </c>
      <c r="I1446" s="72">
        <v>5.0</v>
      </c>
      <c r="J1446" s="12"/>
      <c r="K1446" s="12">
        <f t="shared" si="86"/>
        <v>4250</v>
      </c>
      <c r="L1446" s="13" t="str">
        <f t="shared" si="87"/>
        <v>0 5-star + 1 RFC + 0 DME + 10 Patient Portal Login + 5 Completed Task</v>
      </c>
      <c r="M1446" s="13"/>
      <c r="N1446" s="13"/>
      <c r="O1446" s="47"/>
      <c r="P1446" s="47"/>
    </row>
    <row r="1447" hidden="1">
      <c r="A1447" s="6" t="s">
        <v>270</v>
      </c>
      <c r="B1447" s="16" t="s">
        <v>173</v>
      </c>
      <c r="C1447" s="16" t="s">
        <v>174</v>
      </c>
      <c r="D1447" s="16" t="s">
        <v>175</v>
      </c>
      <c r="E1447" s="68">
        <v>0.0</v>
      </c>
      <c r="F1447" s="69">
        <v>3.0</v>
      </c>
      <c r="G1447" s="69">
        <v>1.0</v>
      </c>
      <c r="H1447" s="70">
        <v>16.0</v>
      </c>
      <c r="I1447" s="72">
        <v>4.0</v>
      </c>
      <c r="J1447" s="12"/>
      <c r="K1447" s="12">
        <f t="shared" si="86"/>
        <v>6750</v>
      </c>
      <c r="L1447" s="13" t="str">
        <f t="shared" si="87"/>
        <v>0 5-star + 3 RFC + 1 DME + 16 Patient Portal Login + 4 Completed Task</v>
      </c>
      <c r="M1447" s="13"/>
      <c r="N1447" s="13"/>
      <c r="O1447" s="47"/>
      <c r="P1447" s="47"/>
    </row>
    <row r="1448" hidden="1">
      <c r="A1448" s="6" t="s">
        <v>270</v>
      </c>
      <c r="B1448" s="16" t="s">
        <v>176</v>
      </c>
      <c r="C1448" s="16" t="s">
        <v>177</v>
      </c>
      <c r="D1448" s="16" t="s">
        <v>178</v>
      </c>
      <c r="E1448" s="68">
        <v>0.0</v>
      </c>
      <c r="F1448" s="69">
        <v>0.0</v>
      </c>
      <c r="G1448" s="69">
        <v>0.0</v>
      </c>
      <c r="H1448" s="70">
        <v>1.0</v>
      </c>
      <c r="I1448" s="72">
        <v>5.0</v>
      </c>
      <c r="J1448" s="12"/>
      <c r="K1448" s="12">
        <f t="shared" si="86"/>
        <v>1500</v>
      </c>
      <c r="L1448" s="13" t="str">
        <f t="shared" si="87"/>
        <v>0 5-star + 0 RFC + 0 DME + 1 Patient Portal Login + 5 Completed Task</v>
      </c>
      <c r="M1448" s="13"/>
      <c r="N1448" s="13"/>
      <c r="O1448" s="47"/>
      <c r="P1448" s="47"/>
    </row>
    <row r="1449" hidden="1">
      <c r="A1449" s="6" t="s">
        <v>270</v>
      </c>
      <c r="B1449" s="21" t="s">
        <v>291</v>
      </c>
      <c r="C1449" s="21" t="s">
        <v>292</v>
      </c>
      <c r="D1449" s="21" t="s">
        <v>293</v>
      </c>
      <c r="E1449" s="74"/>
      <c r="F1449" s="74"/>
      <c r="G1449" s="74"/>
      <c r="H1449" s="74"/>
      <c r="I1449" s="74"/>
      <c r="J1449" s="12"/>
      <c r="K1449" s="12">
        <f t="shared" si="86"/>
        <v>0</v>
      </c>
      <c r="L1449" s="13" t="str">
        <f t="shared" si="87"/>
        <v> 5-star +  RFC +  DME +  Patient Portal Login +  Completed Task</v>
      </c>
      <c r="M1449" s="13"/>
      <c r="N1449" s="13"/>
      <c r="O1449" s="53"/>
      <c r="P1449" s="53"/>
    </row>
    <row r="1450" hidden="1">
      <c r="A1450" s="6" t="s">
        <v>270</v>
      </c>
      <c r="B1450" s="21" t="s">
        <v>294</v>
      </c>
      <c r="C1450" s="21" t="s">
        <v>295</v>
      </c>
      <c r="D1450" s="21" t="s">
        <v>296</v>
      </c>
      <c r="E1450" s="74"/>
      <c r="F1450" s="74"/>
      <c r="G1450" s="74"/>
      <c r="H1450" s="74"/>
      <c r="I1450" s="74"/>
      <c r="J1450" s="12"/>
      <c r="K1450" s="12">
        <f t="shared" si="86"/>
        <v>0</v>
      </c>
      <c r="L1450" s="13" t="str">
        <f t="shared" si="87"/>
        <v> 5-star +  RFC +  DME +  Patient Portal Login +  Completed Task</v>
      </c>
      <c r="M1450" s="13"/>
      <c r="N1450" s="13"/>
      <c r="O1450" s="53"/>
      <c r="P1450" s="53"/>
    </row>
    <row r="1451" hidden="1">
      <c r="A1451" s="6" t="s">
        <v>270</v>
      </c>
      <c r="B1451" s="21" t="s">
        <v>179</v>
      </c>
      <c r="C1451" s="21" t="s">
        <v>180</v>
      </c>
      <c r="D1451" s="21" t="s">
        <v>181</v>
      </c>
      <c r="E1451" s="68">
        <v>3.0</v>
      </c>
      <c r="F1451" s="69">
        <v>11.0</v>
      </c>
      <c r="G1451" s="69">
        <v>3.0</v>
      </c>
      <c r="H1451" s="70">
        <v>20.0</v>
      </c>
      <c r="I1451" s="72">
        <v>4.0</v>
      </c>
      <c r="J1451" s="12"/>
      <c r="K1451" s="12">
        <f t="shared" si="86"/>
        <v>13000</v>
      </c>
      <c r="L1451" s="13" t="str">
        <f t="shared" si="87"/>
        <v>3 5-star + 11 RFC + 3 DME + 20 Patient Portal Login + 4 Completed Task</v>
      </c>
      <c r="M1451" s="13"/>
      <c r="N1451" s="13"/>
      <c r="O1451" s="53"/>
      <c r="P1451" s="53"/>
    </row>
    <row r="1452" hidden="1">
      <c r="A1452" s="6" t="s">
        <v>270</v>
      </c>
      <c r="B1452" s="21" t="s">
        <v>182</v>
      </c>
      <c r="C1452" s="21" t="s">
        <v>183</v>
      </c>
      <c r="D1452" s="21" t="s">
        <v>184</v>
      </c>
      <c r="E1452" s="68">
        <v>0.0</v>
      </c>
      <c r="F1452" s="69">
        <v>0.0</v>
      </c>
      <c r="G1452" s="69">
        <v>0.0</v>
      </c>
      <c r="H1452" s="70">
        <v>6.0</v>
      </c>
      <c r="I1452" s="72">
        <v>4.0</v>
      </c>
      <c r="J1452" s="12"/>
      <c r="K1452" s="12">
        <f t="shared" si="86"/>
        <v>2500</v>
      </c>
      <c r="L1452" s="13" t="str">
        <f t="shared" si="87"/>
        <v>0 5-star + 0 RFC + 0 DME + 6 Patient Portal Login + 4 Completed Task</v>
      </c>
      <c r="M1452" s="13"/>
      <c r="N1452" s="13"/>
      <c r="O1452" s="53"/>
      <c r="P1452" s="53"/>
    </row>
    <row r="1453" hidden="1">
      <c r="A1453" s="6" t="s">
        <v>270</v>
      </c>
      <c r="B1453" s="21" t="s">
        <v>185</v>
      </c>
      <c r="C1453" s="21" t="s">
        <v>186</v>
      </c>
      <c r="D1453" s="21" t="s">
        <v>187</v>
      </c>
      <c r="E1453" s="68">
        <v>2.0</v>
      </c>
      <c r="F1453" s="69">
        <v>5.0</v>
      </c>
      <c r="G1453" s="69">
        <v>2.0</v>
      </c>
      <c r="H1453" s="70">
        <v>23.0</v>
      </c>
      <c r="I1453" s="72">
        <v>5.0</v>
      </c>
      <c r="J1453" s="12"/>
      <c r="K1453" s="12">
        <f t="shared" si="86"/>
        <v>10500</v>
      </c>
      <c r="L1453" s="13" t="str">
        <f t="shared" si="87"/>
        <v>2 5-star + 5 RFC + 2 DME + 23 Patient Portal Login + 5 Completed Task</v>
      </c>
      <c r="M1453" s="13"/>
      <c r="N1453" s="13"/>
      <c r="O1453" s="53"/>
      <c r="P1453" s="53"/>
    </row>
    <row r="1454" hidden="1">
      <c r="A1454" s="6" t="s">
        <v>270</v>
      </c>
      <c r="B1454" s="21" t="s">
        <v>188</v>
      </c>
      <c r="C1454" s="21" t="s">
        <v>189</v>
      </c>
      <c r="D1454" s="21" t="s">
        <v>190</v>
      </c>
      <c r="E1454" s="68">
        <v>0.0</v>
      </c>
      <c r="F1454" s="69">
        <v>0.0</v>
      </c>
      <c r="G1454" s="69">
        <v>0.0</v>
      </c>
      <c r="H1454" s="70">
        <v>1.0</v>
      </c>
      <c r="I1454" s="72">
        <v>4.0</v>
      </c>
      <c r="J1454" s="12"/>
      <c r="K1454" s="12">
        <f t="shared" si="86"/>
        <v>1250</v>
      </c>
      <c r="L1454" s="13" t="str">
        <f t="shared" si="87"/>
        <v>0 5-star + 0 RFC + 0 DME + 1 Patient Portal Login + 4 Completed Task</v>
      </c>
      <c r="M1454" s="13"/>
      <c r="N1454" s="13"/>
      <c r="O1454" s="53"/>
      <c r="P1454" s="53"/>
    </row>
    <row r="1455" hidden="1">
      <c r="A1455" s="6" t="s">
        <v>270</v>
      </c>
      <c r="B1455" s="61" t="s">
        <v>258</v>
      </c>
      <c r="C1455" s="21" t="s">
        <v>259</v>
      </c>
      <c r="D1455" s="21" t="s">
        <v>260</v>
      </c>
      <c r="E1455" s="68">
        <v>0.0</v>
      </c>
      <c r="F1455" s="69">
        <v>0.0</v>
      </c>
      <c r="G1455" s="69">
        <v>1.0</v>
      </c>
      <c r="H1455" s="70">
        <v>3.0</v>
      </c>
      <c r="I1455" s="72">
        <v>4.0</v>
      </c>
      <c r="J1455" s="12"/>
      <c r="K1455" s="12">
        <f t="shared" si="86"/>
        <v>2000</v>
      </c>
      <c r="L1455" s="13" t="str">
        <f t="shared" si="87"/>
        <v>0 5-star + 0 RFC + 1 DME + 3 Patient Portal Login + 4 Completed Task</v>
      </c>
      <c r="M1455" s="13"/>
      <c r="N1455" s="13"/>
      <c r="O1455" s="53"/>
      <c r="P1455" s="53"/>
    </row>
    <row r="1456" hidden="1">
      <c r="A1456" s="6" t="s">
        <v>270</v>
      </c>
      <c r="B1456" s="21" t="s">
        <v>262</v>
      </c>
      <c r="C1456" s="21" t="s">
        <v>263</v>
      </c>
      <c r="D1456" s="21" t="s">
        <v>264</v>
      </c>
      <c r="E1456" s="68">
        <v>12.0</v>
      </c>
      <c r="F1456" s="69">
        <v>2.0</v>
      </c>
      <c r="G1456" s="69">
        <v>1.0</v>
      </c>
      <c r="H1456" s="70">
        <v>1.0</v>
      </c>
      <c r="I1456" s="72">
        <v>5.0</v>
      </c>
      <c r="J1456" s="12"/>
      <c r="K1456" s="12">
        <f t="shared" si="86"/>
        <v>5750</v>
      </c>
      <c r="L1456" s="13" t="str">
        <f t="shared" si="87"/>
        <v>12 5-star + 2 RFC + 1 DME + 1 Patient Portal Login + 5 Completed Task</v>
      </c>
      <c r="M1456" s="13"/>
      <c r="N1456" s="13"/>
      <c r="O1456" s="53"/>
      <c r="P1456" s="53"/>
    </row>
    <row r="1457" hidden="1">
      <c r="A1457" s="6" t="s">
        <v>270</v>
      </c>
      <c r="B1457" s="21" t="s">
        <v>191</v>
      </c>
      <c r="C1457" s="21" t="s">
        <v>192</v>
      </c>
      <c r="D1457" s="21" t="s">
        <v>193</v>
      </c>
      <c r="E1457" s="73">
        <v>1.0</v>
      </c>
      <c r="F1457" s="69">
        <v>1.0</v>
      </c>
      <c r="G1457" s="69">
        <v>1.0</v>
      </c>
      <c r="H1457" s="70">
        <v>2.0</v>
      </c>
      <c r="I1457" s="72">
        <v>5.0</v>
      </c>
      <c r="J1457" s="12"/>
      <c r="K1457" s="12">
        <f t="shared" si="86"/>
        <v>2750</v>
      </c>
      <c r="L1457" s="13" t="str">
        <f t="shared" si="87"/>
        <v>1 5-star + 1 RFC + 1 DME + 2 Patient Portal Login + 5 Completed Task</v>
      </c>
      <c r="M1457" s="13"/>
      <c r="N1457" s="13"/>
      <c r="O1457" s="53"/>
      <c r="P1457" s="53"/>
    </row>
    <row r="1458" hidden="1">
      <c r="A1458" s="6" t="s">
        <v>270</v>
      </c>
      <c r="B1458" s="21" t="s">
        <v>194</v>
      </c>
      <c r="C1458" s="21" t="s">
        <v>195</v>
      </c>
      <c r="D1458" s="21" t="s">
        <v>196</v>
      </c>
      <c r="E1458" s="68">
        <v>0.0</v>
      </c>
      <c r="F1458" s="69">
        <v>0.0</v>
      </c>
      <c r="G1458" s="69">
        <v>0.0</v>
      </c>
      <c r="H1458" s="70">
        <v>0.0</v>
      </c>
      <c r="I1458" s="72">
        <v>3.0</v>
      </c>
      <c r="J1458" s="12"/>
      <c r="K1458" s="12">
        <f t="shared" si="86"/>
        <v>750</v>
      </c>
      <c r="L1458" s="13" t="str">
        <f t="shared" si="87"/>
        <v>0 5-star + 0 RFC + 0 DME + 0 Patient Portal Login + 3 Completed Task</v>
      </c>
      <c r="M1458" s="13"/>
      <c r="N1458" s="13"/>
      <c r="O1458" s="53"/>
      <c r="P1458" s="53"/>
    </row>
    <row r="1459" hidden="1">
      <c r="A1459" s="6" t="s">
        <v>270</v>
      </c>
      <c r="B1459" s="21" t="s">
        <v>197</v>
      </c>
      <c r="C1459" s="21" t="s">
        <v>198</v>
      </c>
      <c r="D1459" s="21" t="s">
        <v>199</v>
      </c>
      <c r="E1459" s="68">
        <v>1.0</v>
      </c>
      <c r="F1459" s="69">
        <v>4.0</v>
      </c>
      <c r="G1459" s="69">
        <v>0.0</v>
      </c>
      <c r="H1459" s="70">
        <v>11.0</v>
      </c>
      <c r="I1459" s="72">
        <v>5.0</v>
      </c>
      <c r="J1459" s="12"/>
      <c r="K1459" s="12">
        <f t="shared" si="86"/>
        <v>6250</v>
      </c>
      <c r="L1459" s="13" t="str">
        <f t="shared" si="87"/>
        <v>1 5-star + 4 RFC + 0 DME + 11 Patient Portal Login + 5 Completed Task</v>
      </c>
      <c r="M1459" s="13"/>
      <c r="N1459" s="13"/>
      <c r="O1459" s="53"/>
      <c r="P1459" s="53"/>
    </row>
    <row r="1460" hidden="1">
      <c r="A1460" s="6" t="s">
        <v>270</v>
      </c>
      <c r="B1460" s="21" t="s">
        <v>200</v>
      </c>
      <c r="C1460" s="21" t="s">
        <v>201</v>
      </c>
      <c r="D1460" s="21" t="s">
        <v>202</v>
      </c>
      <c r="E1460" s="68">
        <v>0.0</v>
      </c>
      <c r="F1460" s="69">
        <v>1.0</v>
      </c>
      <c r="G1460" s="69">
        <v>0.0</v>
      </c>
      <c r="H1460" s="70">
        <v>3.0</v>
      </c>
      <c r="I1460" s="72">
        <v>4.0</v>
      </c>
      <c r="J1460" s="12"/>
      <c r="K1460" s="12">
        <f t="shared" si="86"/>
        <v>2250</v>
      </c>
      <c r="L1460" s="13" t="str">
        <f t="shared" si="87"/>
        <v>0 5-star + 1 RFC + 0 DME + 3 Patient Portal Login + 4 Completed Task</v>
      </c>
      <c r="M1460" s="13"/>
      <c r="N1460" s="13"/>
      <c r="O1460" s="53"/>
      <c r="P1460" s="53"/>
    </row>
    <row r="1461" hidden="1">
      <c r="A1461" s="6" t="s">
        <v>297</v>
      </c>
      <c r="B1461" s="16" t="s">
        <v>53</v>
      </c>
      <c r="C1461" s="16" t="s">
        <v>54</v>
      </c>
      <c r="D1461" s="16" t="s">
        <v>55</v>
      </c>
      <c r="E1461" s="17">
        <v>4.0</v>
      </c>
      <c r="F1461" s="18">
        <v>1.0</v>
      </c>
      <c r="G1461" s="18">
        <v>0.0</v>
      </c>
      <c r="H1461" s="10">
        <v>4.0</v>
      </c>
      <c r="I1461" s="19">
        <v>4.0</v>
      </c>
      <c r="J1461" s="12"/>
      <c r="K1461" s="12">
        <f t="shared" si="86"/>
        <v>3500</v>
      </c>
      <c r="L1461" s="13" t="str">
        <f t="shared" si="87"/>
        <v>4 5-star + 1 RFC + 0 DME + 4 Patient Portal Login + 4 Completed Task</v>
      </c>
      <c r="M1461" s="13"/>
      <c r="N1461" s="13"/>
      <c r="O1461" s="14"/>
      <c r="P1461" s="14"/>
    </row>
    <row r="1462" hidden="1">
      <c r="A1462" s="6" t="s">
        <v>297</v>
      </c>
      <c r="B1462" s="16" t="s">
        <v>56</v>
      </c>
      <c r="C1462" s="16" t="s">
        <v>57</v>
      </c>
      <c r="D1462" s="16" t="s">
        <v>58</v>
      </c>
      <c r="E1462" s="17">
        <v>0.0</v>
      </c>
      <c r="F1462" s="18">
        <v>0.0</v>
      </c>
      <c r="G1462" s="18">
        <v>0.0</v>
      </c>
      <c r="H1462" s="10">
        <v>2.0</v>
      </c>
      <c r="I1462" s="19">
        <v>5.0</v>
      </c>
      <c r="J1462" s="12"/>
      <c r="K1462" s="12">
        <f t="shared" si="86"/>
        <v>1750</v>
      </c>
      <c r="L1462" s="13" t="str">
        <f t="shared" si="87"/>
        <v>0 5-star + 0 RFC + 0 DME + 2 Patient Portal Login + 5 Completed Task</v>
      </c>
      <c r="M1462" s="13"/>
      <c r="N1462" s="13"/>
      <c r="O1462" s="14"/>
      <c r="P1462" s="14"/>
    </row>
    <row r="1463" hidden="1">
      <c r="A1463" s="6" t="s">
        <v>297</v>
      </c>
      <c r="B1463" s="16" t="s">
        <v>59</v>
      </c>
      <c r="C1463" s="16" t="s">
        <v>60</v>
      </c>
      <c r="D1463" s="16" t="s">
        <v>61</v>
      </c>
      <c r="E1463" s="17">
        <v>0.0</v>
      </c>
      <c r="F1463" s="18">
        <v>0.0</v>
      </c>
      <c r="G1463" s="18">
        <v>0.0</v>
      </c>
      <c r="H1463" s="10">
        <v>0.0</v>
      </c>
      <c r="I1463" s="19">
        <v>2.0</v>
      </c>
      <c r="J1463" s="12"/>
      <c r="K1463" s="12">
        <f t="shared" si="86"/>
        <v>500</v>
      </c>
      <c r="L1463" s="13" t="str">
        <f t="shared" si="87"/>
        <v>0 5-star + 0 RFC + 0 DME + 0 Patient Portal Login + 2 Completed Task</v>
      </c>
      <c r="M1463" s="13"/>
      <c r="N1463" s="13"/>
      <c r="O1463" s="14"/>
      <c r="P1463" s="14"/>
    </row>
    <row r="1464" hidden="1">
      <c r="A1464" s="6" t="s">
        <v>297</v>
      </c>
      <c r="B1464" s="16" t="s">
        <v>62</v>
      </c>
      <c r="C1464" s="16" t="s">
        <v>63</v>
      </c>
      <c r="D1464" s="16" t="s">
        <v>64</v>
      </c>
      <c r="E1464" s="17">
        <v>0.0</v>
      </c>
      <c r="F1464" s="18">
        <v>0.0</v>
      </c>
      <c r="G1464" s="18">
        <v>1.0</v>
      </c>
      <c r="H1464" s="10">
        <v>9.0</v>
      </c>
      <c r="I1464" s="19">
        <v>5.0</v>
      </c>
      <c r="J1464" s="12"/>
      <c r="K1464" s="12">
        <f t="shared" si="86"/>
        <v>3750</v>
      </c>
      <c r="L1464" s="13" t="str">
        <f t="shared" si="87"/>
        <v>0 5-star + 0 RFC + 1 DME + 9 Patient Portal Login + 5 Completed Task</v>
      </c>
      <c r="M1464" s="13"/>
      <c r="N1464" s="13"/>
      <c r="O1464" s="14"/>
      <c r="P1464" s="14"/>
    </row>
    <row r="1465" hidden="1">
      <c r="A1465" s="6" t="s">
        <v>297</v>
      </c>
      <c r="B1465" s="16" t="s">
        <v>251</v>
      </c>
      <c r="C1465" s="16" t="s">
        <v>252</v>
      </c>
      <c r="D1465" s="16" t="s">
        <v>253</v>
      </c>
      <c r="E1465" s="17">
        <v>0.0</v>
      </c>
      <c r="F1465" s="18">
        <v>0.0</v>
      </c>
      <c r="G1465" s="18">
        <v>0.0</v>
      </c>
      <c r="H1465" s="10">
        <v>0.0</v>
      </c>
      <c r="I1465" s="19">
        <v>4.0</v>
      </c>
      <c r="J1465" s="12"/>
      <c r="K1465" s="12">
        <f t="shared" si="86"/>
        <v>1000</v>
      </c>
      <c r="L1465" s="13" t="str">
        <f t="shared" si="87"/>
        <v>0 5-star + 0 RFC + 0 DME + 0 Patient Portal Login + 4 Completed Task</v>
      </c>
      <c r="M1465" s="13"/>
      <c r="N1465" s="13"/>
      <c r="O1465" s="14"/>
      <c r="P1465" s="14"/>
    </row>
    <row r="1466" hidden="1">
      <c r="A1466" s="6" t="s">
        <v>297</v>
      </c>
      <c r="B1466" s="16" t="s">
        <v>65</v>
      </c>
      <c r="C1466" s="16" t="s">
        <v>66</v>
      </c>
      <c r="D1466" s="16" t="s">
        <v>67</v>
      </c>
      <c r="E1466" s="17">
        <v>0.0</v>
      </c>
      <c r="F1466" s="18">
        <v>1.0</v>
      </c>
      <c r="G1466" s="18">
        <v>0.0</v>
      </c>
      <c r="H1466" s="10">
        <v>1.0</v>
      </c>
      <c r="I1466" s="19">
        <v>5.0</v>
      </c>
      <c r="J1466" s="12"/>
      <c r="K1466" s="12">
        <f t="shared" si="86"/>
        <v>2000</v>
      </c>
      <c r="L1466" s="13" t="str">
        <f t="shared" si="87"/>
        <v>0 5-star + 1 RFC + 0 DME + 1 Patient Portal Login + 5 Completed Task</v>
      </c>
      <c r="M1466" s="13"/>
      <c r="N1466" s="13"/>
      <c r="O1466" s="14"/>
      <c r="P1466" s="14"/>
    </row>
    <row r="1467" hidden="1">
      <c r="A1467" s="6" t="s">
        <v>297</v>
      </c>
      <c r="B1467" s="16" t="s">
        <v>68</v>
      </c>
      <c r="C1467" s="16" t="s">
        <v>69</v>
      </c>
      <c r="D1467" s="16" t="s">
        <v>70</v>
      </c>
      <c r="E1467" s="17">
        <v>0.0</v>
      </c>
      <c r="F1467" s="18">
        <v>0.0</v>
      </c>
      <c r="G1467" s="18">
        <v>0.0</v>
      </c>
      <c r="H1467" s="10">
        <v>5.0</v>
      </c>
      <c r="I1467" s="19">
        <v>5.0</v>
      </c>
      <c r="J1467" s="12"/>
      <c r="K1467" s="12">
        <f t="shared" si="86"/>
        <v>2500</v>
      </c>
      <c r="L1467" s="13" t="str">
        <f t="shared" si="87"/>
        <v>0 5-star + 0 RFC + 0 DME + 5 Patient Portal Login + 5 Completed Task</v>
      </c>
      <c r="M1467" s="13"/>
      <c r="N1467" s="13"/>
      <c r="O1467" s="14"/>
      <c r="P1467" s="14"/>
    </row>
    <row r="1468" hidden="1">
      <c r="A1468" s="6" t="s">
        <v>297</v>
      </c>
      <c r="B1468" s="16" t="s">
        <v>71</v>
      </c>
      <c r="C1468" s="16" t="s">
        <v>72</v>
      </c>
      <c r="D1468" s="16" t="s">
        <v>73</v>
      </c>
      <c r="E1468" s="17">
        <v>0.0</v>
      </c>
      <c r="F1468" s="18">
        <v>4.0</v>
      </c>
      <c r="G1468" s="18">
        <v>0.0</v>
      </c>
      <c r="H1468" s="10">
        <v>17.0</v>
      </c>
      <c r="I1468" s="19">
        <v>4.0</v>
      </c>
      <c r="J1468" s="12"/>
      <c r="K1468" s="12">
        <f t="shared" si="86"/>
        <v>7250</v>
      </c>
      <c r="L1468" s="13" t="str">
        <f t="shared" si="87"/>
        <v>0 5-star + 4 RFC + 0 DME + 17 Patient Portal Login + 4 Completed Task</v>
      </c>
      <c r="M1468" s="13"/>
      <c r="N1468" s="13"/>
      <c r="O1468" s="14"/>
      <c r="P1468" s="14"/>
    </row>
    <row r="1469" hidden="1">
      <c r="A1469" s="6" t="s">
        <v>297</v>
      </c>
      <c r="B1469" s="16" t="s">
        <v>74</v>
      </c>
      <c r="C1469" s="16" t="s">
        <v>75</v>
      </c>
      <c r="D1469" s="16" t="s">
        <v>76</v>
      </c>
      <c r="E1469" s="17">
        <v>0.0</v>
      </c>
      <c r="F1469" s="18">
        <v>0.0</v>
      </c>
      <c r="G1469" s="18">
        <v>0.0</v>
      </c>
      <c r="H1469" s="10">
        <v>1.0</v>
      </c>
      <c r="I1469" s="19">
        <v>5.0</v>
      </c>
      <c r="J1469" s="12"/>
      <c r="K1469" s="12">
        <f t="shared" si="86"/>
        <v>1500</v>
      </c>
      <c r="L1469" s="13" t="str">
        <f t="shared" si="87"/>
        <v>0 5-star + 0 RFC + 0 DME + 1 Patient Portal Login + 5 Completed Task</v>
      </c>
      <c r="M1469" s="13"/>
      <c r="N1469" s="13"/>
      <c r="O1469" s="14"/>
      <c r="P1469" s="14"/>
    </row>
    <row r="1470" hidden="1">
      <c r="A1470" s="6" t="s">
        <v>297</v>
      </c>
      <c r="B1470" s="16" t="s">
        <v>77</v>
      </c>
      <c r="C1470" s="16" t="s">
        <v>78</v>
      </c>
      <c r="D1470" s="16" t="s">
        <v>79</v>
      </c>
      <c r="E1470" s="17">
        <v>6.0</v>
      </c>
      <c r="F1470" s="18">
        <v>2.0</v>
      </c>
      <c r="G1470" s="18">
        <v>0.0</v>
      </c>
      <c r="H1470" s="10">
        <v>2.0</v>
      </c>
      <c r="I1470" s="19">
        <v>3.0</v>
      </c>
      <c r="J1470" s="12"/>
      <c r="K1470" s="12">
        <f t="shared" si="86"/>
        <v>3750</v>
      </c>
      <c r="L1470" s="13" t="str">
        <f t="shared" si="87"/>
        <v>6 5-star + 2 RFC + 0 DME + 2 Patient Portal Login + 3 Completed Task</v>
      </c>
      <c r="M1470" s="13"/>
      <c r="N1470" s="13"/>
      <c r="O1470" s="14"/>
      <c r="P1470" s="14"/>
    </row>
    <row r="1471" hidden="1">
      <c r="A1471" s="6" t="s">
        <v>297</v>
      </c>
      <c r="B1471" s="16" t="s">
        <v>80</v>
      </c>
      <c r="C1471" s="16" t="s">
        <v>81</v>
      </c>
      <c r="D1471" s="16" t="s">
        <v>82</v>
      </c>
      <c r="E1471" s="17">
        <v>0.0</v>
      </c>
      <c r="F1471" s="18">
        <v>0.0</v>
      </c>
      <c r="G1471" s="18">
        <v>0.0</v>
      </c>
      <c r="H1471" s="10">
        <v>1.0</v>
      </c>
      <c r="I1471" s="19">
        <v>4.0</v>
      </c>
      <c r="J1471" s="12"/>
      <c r="K1471" s="12">
        <f t="shared" si="86"/>
        <v>1250</v>
      </c>
      <c r="L1471" s="13" t="str">
        <f t="shared" si="87"/>
        <v>0 5-star + 0 RFC + 0 DME + 1 Patient Portal Login + 4 Completed Task</v>
      </c>
      <c r="M1471" s="13"/>
      <c r="N1471" s="13"/>
      <c r="O1471" s="14"/>
      <c r="P1471" s="14"/>
    </row>
    <row r="1472" hidden="1">
      <c r="A1472" s="6" t="s">
        <v>297</v>
      </c>
      <c r="B1472" s="7" t="s">
        <v>83</v>
      </c>
      <c r="C1472" s="16" t="s">
        <v>84</v>
      </c>
      <c r="D1472" s="16" t="s">
        <v>85</v>
      </c>
      <c r="E1472" s="17">
        <v>0.0</v>
      </c>
      <c r="F1472" s="18">
        <v>0.0</v>
      </c>
      <c r="G1472" s="18">
        <v>0.0</v>
      </c>
      <c r="H1472" s="10">
        <v>0.0</v>
      </c>
      <c r="I1472" s="19">
        <v>0.0</v>
      </c>
      <c r="J1472" s="12"/>
      <c r="K1472" s="12">
        <f t="shared" si="86"/>
        <v>0</v>
      </c>
      <c r="L1472" s="13" t="str">
        <f t="shared" si="87"/>
        <v>0 5-star + 0 RFC + 0 DME + 0 Patient Portal Login + 0 Completed Task</v>
      </c>
      <c r="M1472" s="13"/>
      <c r="N1472" s="13"/>
      <c r="O1472" s="14"/>
      <c r="P1472" s="14"/>
    </row>
    <row r="1473" hidden="1">
      <c r="A1473" s="6" t="s">
        <v>297</v>
      </c>
      <c r="B1473" s="16" t="s">
        <v>255</v>
      </c>
      <c r="C1473" s="16" t="s">
        <v>256</v>
      </c>
      <c r="D1473" s="16" t="s">
        <v>257</v>
      </c>
      <c r="E1473" s="17">
        <v>0.0</v>
      </c>
      <c r="F1473" s="18">
        <v>1.0</v>
      </c>
      <c r="G1473" s="18">
        <v>0.0</v>
      </c>
      <c r="H1473" s="10">
        <v>10.0</v>
      </c>
      <c r="I1473" s="19">
        <v>4.0</v>
      </c>
      <c r="J1473" s="12"/>
      <c r="K1473" s="12">
        <f t="shared" si="86"/>
        <v>4000</v>
      </c>
      <c r="L1473" s="13" t="str">
        <f t="shared" si="87"/>
        <v>0 5-star + 1 RFC + 0 DME + 10 Patient Portal Login + 4 Completed Task</v>
      </c>
      <c r="M1473" s="13"/>
      <c r="N1473" s="13"/>
      <c r="O1473" s="14"/>
      <c r="P1473" s="14"/>
    </row>
    <row r="1474" hidden="1">
      <c r="A1474" s="6" t="s">
        <v>297</v>
      </c>
      <c r="B1474" s="16" t="s">
        <v>86</v>
      </c>
      <c r="C1474" s="16" t="s">
        <v>87</v>
      </c>
      <c r="D1474" s="16" t="s">
        <v>88</v>
      </c>
      <c r="E1474" s="17">
        <v>1.0</v>
      </c>
      <c r="F1474" s="18">
        <v>5.0</v>
      </c>
      <c r="G1474" s="18">
        <v>0.0</v>
      </c>
      <c r="H1474" s="10">
        <v>6.0</v>
      </c>
      <c r="I1474" s="19">
        <v>5.0</v>
      </c>
      <c r="J1474" s="12"/>
      <c r="K1474" s="12">
        <f t="shared" si="86"/>
        <v>5500</v>
      </c>
      <c r="L1474" s="13" t="str">
        <f t="shared" si="87"/>
        <v>1 5-star + 5 RFC + 0 DME + 6 Patient Portal Login + 5 Completed Task</v>
      </c>
      <c r="M1474" s="13"/>
      <c r="N1474" s="13"/>
      <c r="O1474" s="14"/>
      <c r="P1474" s="14"/>
    </row>
    <row r="1475" hidden="1">
      <c r="A1475" s="6" t="s">
        <v>297</v>
      </c>
      <c r="B1475" s="16" t="s">
        <v>89</v>
      </c>
      <c r="C1475" s="16" t="s">
        <v>90</v>
      </c>
      <c r="D1475" s="16" t="s">
        <v>91</v>
      </c>
      <c r="E1475" s="17">
        <v>0.0</v>
      </c>
      <c r="F1475" s="18">
        <v>5.0</v>
      </c>
      <c r="G1475" s="18">
        <v>0.0</v>
      </c>
      <c r="H1475" s="10">
        <v>8.0</v>
      </c>
      <c r="I1475" s="19">
        <v>5.0</v>
      </c>
      <c r="J1475" s="12"/>
      <c r="K1475" s="12">
        <f t="shared" si="86"/>
        <v>5750</v>
      </c>
      <c r="L1475" s="13" t="str">
        <f t="shared" si="87"/>
        <v>0 5-star + 5 RFC + 0 DME + 8 Patient Portal Login + 5 Completed Task</v>
      </c>
      <c r="M1475" s="13"/>
      <c r="N1475" s="13"/>
      <c r="O1475" s="14"/>
      <c r="P1475" s="14"/>
    </row>
    <row r="1476" hidden="1">
      <c r="A1476" s="6" t="s">
        <v>297</v>
      </c>
      <c r="B1476" s="16" t="s">
        <v>92</v>
      </c>
      <c r="C1476" s="16" t="s">
        <v>93</v>
      </c>
      <c r="D1476" s="16" t="s">
        <v>94</v>
      </c>
      <c r="E1476" s="17">
        <v>1.0</v>
      </c>
      <c r="F1476" s="18">
        <v>0.0</v>
      </c>
      <c r="G1476" s="18">
        <v>0.0</v>
      </c>
      <c r="H1476" s="10">
        <v>9.0</v>
      </c>
      <c r="I1476" s="19">
        <v>5.0</v>
      </c>
      <c r="J1476" s="12"/>
      <c r="K1476" s="12">
        <f t="shared" si="86"/>
        <v>3750</v>
      </c>
      <c r="L1476" s="13" t="str">
        <f t="shared" si="87"/>
        <v>1 5-star + 0 RFC + 0 DME + 9 Patient Portal Login + 5 Completed Task</v>
      </c>
      <c r="M1476" s="13"/>
      <c r="N1476" s="13"/>
      <c r="O1476" s="14"/>
      <c r="P1476" s="14"/>
    </row>
    <row r="1477" hidden="1">
      <c r="A1477" s="6" t="s">
        <v>297</v>
      </c>
      <c r="B1477" s="7" t="s">
        <v>95</v>
      </c>
      <c r="C1477" s="16" t="s">
        <v>96</v>
      </c>
      <c r="D1477" s="16" t="s">
        <v>97</v>
      </c>
      <c r="E1477" s="17">
        <v>0.0</v>
      </c>
      <c r="F1477" s="18">
        <v>0.0</v>
      </c>
      <c r="G1477" s="18">
        <v>0.0</v>
      </c>
      <c r="H1477" s="10">
        <v>2.0</v>
      </c>
      <c r="I1477" s="19">
        <v>5.0</v>
      </c>
      <c r="J1477" s="12"/>
      <c r="K1477" s="12">
        <f t="shared" si="86"/>
        <v>1750</v>
      </c>
      <c r="L1477" s="13" t="str">
        <f t="shared" si="87"/>
        <v>0 5-star + 0 RFC + 0 DME + 2 Patient Portal Login + 5 Completed Task</v>
      </c>
      <c r="M1477" s="13"/>
      <c r="N1477" s="13"/>
      <c r="O1477" s="14"/>
      <c r="P1477" s="14"/>
    </row>
    <row r="1478" hidden="1">
      <c r="A1478" s="6" t="s">
        <v>297</v>
      </c>
      <c r="B1478" s="16" t="s">
        <v>98</v>
      </c>
      <c r="C1478" s="16" t="s">
        <v>99</v>
      </c>
      <c r="D1478" s="16" t="s">
        <v>100</v>
      </c>
      <c r="E1478" s="17">
        <v>0.0</v>
      </c>
      <c r="F1478" s="18">
        <v>0.0</v>
      </c>
      <c r="G1478" s="18">
        <v>0.0</v>
      </c>
      <c r="H1478" s="10">
        <v>4.0</v>
      </c>
      <c r="I1478" s="19">
        <v>4.0</v>
      </c>
      <c r="J1478" s="12"/>
      <c r="K1478" s="12">
        <f t="shared" si="86"/>
        <v>2000</v>
      </c>
      <c r="L1478" s="13" t="str">
        <f t="shared" si="87"/>
        <v>0 5-star + 0 RFC + 0 DME + 4 Patient Portal Login + 4 Completed Task</v>
      </c>
      <c r="M1478" s="13"/>
      <c r="N1478" s="13"/>
      <c r="O1478" s="14"/>
      <c r="P1478" s="14"/>
    </row>
    <row r="1479" hidden="1">
      <c r="A1479" s="6" t="s">
        <v>297</v>
      </c>
      <c r="B1479" s="7" t="s">
        <v>101</v>
      </c>
      <c r="C1479" s="16" t="s">
        <v>102</v>
      </c>
      <c r="D1479" s="16" t="s">
        <v>103</v>
      </c>
      <c r="E1479" s="17">
        <v>1.0</v>
      </c>
      <c r="F1479" s="18">
        <v>0.0</v>
      </c>
      <c r="G1479" s="18">
        <v>1.0</v>
      </c>
      <c r="H1479" s="10">
        <v>0.0</v>
      </c>
      <c r="I1479" s="19">
        <v>1.0</v>
      </c>
      <c r="J1479" s="12"/>
      <c r="K1479" s="12">
        <f t="shared" si="86"/>
        <v>750</v>
      </c>
      <c r="L1479" s="13" t="str">
        <f t="shared" si="87"/>
        <v>1 5-star + 0 RFC + 1 DME + 0 Patient Portal Login + 1 Completed Task</v>
      </c>
      <c r="M1479" s="13"/>
      <c r="N1479" s="13"/>
      <c r="O1479" s="14"/>
      <c r="P1479" s="14"/>
    </row>
    <row r="1480" hidden="1">
      <c r="A1480" s="6" t="s">
        <v>297</v>
      </c>
      <c r="B1480" s="16" t="s">
        <v>271</v>
      </c>
      <c r="C1480" s="16" t="s">
        <v>272</v>
      </c>
      <c r="D1480" s="16" t="s">
        <v>273</v>
      </c>
      <c r="E1480" s="76"/>
      <c r="F1480" s="76"/>
      <c r="G1480" s="76"/>
      <c r="H1480" s="76"/>
      <c r="I1480" s="76"/>
      <c r="J1480" s="12"/>
      <c r="K1480" s="12">
        <f t="shared" si="86"/>
        <v>0</v>
      </c>
      <c r="L1480" s="13" t="str">
        <f t="shared" si="87"/>
        <v> 5-star +  RFC +  DME +  Patient Portal Login +  Completed Task</v>
      </c>
      <c r="M1480" s="13"/>
      <c r="N1480" s="13"/>
      <c r="O1480" s="14"/>
      <c r="P1480" s="14"/>
    </row>
    <row r="1481" hidden="1">
      <c r="A1481" s="6" t="s">
        <v>297</v>
      </c>
      <c r="B1481" s="16" t="s">
        <v>104</v>
      </c>
      <c r="C1481" s="16" t="s">
        <v>105</v>
      </c>
      <c r="D1481" s="16" t="s">
        <v>106</v>
      </c>
      <c r="E1481" s="17">
        <v>0.0</v>
      </c>
      <c r="F1481" s="18">
        <v>0.0</v>
      </c>
      <c r="G1481" s="18">
        <v>0.0</v>
      </c>
      <c r="H1481" s="10">
        <v>8.0</v>
      </c>
      <c r="I1481" s="19">
        <v>5.0</v>
      </c>
      <c r="J1481" s="12"/>
      <c r="K1481" s="12">
        <f t="shared" si="86"/>
        <v>3250</v>
      </c>
      <c r="L1481" s="13" t="str">
        <f t="shared" si="87"/>
        <v>0 5-star + 0 RFC + 0 DME + 8 Patient Portal Login + 5 Completed Task</v>
      </c>
      <c r="M1481" s="13"/>
      <c r="N1481" s="13"/>
      <c r="O1481" s="14"/>
      <c r="P1481" s="14"/>
    </row>
    <row r="1482" hidden="1">
      <c r="A1482" s="6" t="s">
        <v>297</v>
      </c>
      <c r="B1482" s="16" t="s">
        <v>107</v>
      </c>
      <c r="C1482" s="16" t="s">
        <v>108</v>
      </c>
      <c r="D1482" s="16" t="s">
        <v>109</v>
      </c>
      <c r="E1482" s="17">
        <v>0.0</v>
      </c>
      <c r="F1482" s="18">
        <v>0.0</v>
      </c>
      <c r="G1482" s="18">
        <v>0.0</v>
      </c>
      <c r="H1482" s="10">
        <v>4.0</v>
      </c>
      <c r="I1482" s="19">
        <v>5.0</v>
      </c>
      <c r="J1482" s="12"/>
      <c r="K1482" s="12">
        <f t="shared" si="86"/>
        <v>2250</v>
      </c>
      <c r="L1482" s="13" t="str">
        <f t="shared" si="87"/>
        <v>0 5-star + 0 RFC + 0 DME + 4 Patient Portal Login + 5 Completed Task</v>
      </c>
      <c r="M1482" s="13"/>
      <c r="N1482" s="13"/>
      <c r="O1482" s="14"/>
      <c r="P1482" s="14"/>
    </row>
    <row r="1483" hidden="1">
      <c r="A1483" s="6" t="s">
        <v>297</v>
      </c>
      <c r="B1483" s="16" t="s">
        <v>110</v>
      </c>
      <c r="C1483" s="16" t="s">
        <v>111</v>
      </c>
      <c r="D1483" s="16" t="s">
        <v>112</v>
      </c>
      <c r="E1483" s="17">
        <v>1.0</v>
      </c>
      <c r="F1483" s="18">
        <v>2.0</v>
      </c>
      <c r="G1483" s="18">
        <v>0.0</v>
      </c>
      <c r="H1483" s="10">
        <v>2.0</v>
      </c>
      <c r="I1483" s="19">
        <v>5.0</v>
      </c>
      <c r="J1483" s="12"/>
      <c r="K1483" s="12">
        <f t="shared" si="86"/>
        <v>3000</v>
      </c>
      <c r="L1483" s="13" t="str">
        <f t="shared" si="87"/>
        <v>1 5-star + 2 RFC + 0 DME + 2 Patient Portal Login + 5 Completed Task</v>
      </c>
      <c r="M1483" s="13"/>
      <c r="N1483" s="13"/>
      <c r="O1483" s="14"/>
      <c r="P1483" s="14"/>
    </row>
    <row r="1484" hidden="1">
      <c r="A1484" s="6" t="s">
        <v>297</v>
      </c>
      <c r="B1484" s="16" t="s">
        <v>113</v>
      </c>
      <c r="C1484" s="16" t="s">
        <v>114</v>
      </c>
      <c r="D1484" s="16" t="s">
        <v>115</v>
      </c>
      <c r="E1484" s="17">
        <v>0.0</v>
      </c>
      <c r="F1484" s="18">
        <v>1.0</v>
      </c>
      <c r="G1484" s="18">
        <v>0.0</v>
      </c>
      <c r="H1484" s="10">
        <v>7.0</v>
      </c>
      <c r="I1484" s="19">
        <v>5.0</v>
      </c>
      <c r="J1484" s="12"/>
      <c r="K1484" s="12">
        <f t="shared" si="86"/>
        <v>3500</v>
      </c>
      <c r="L1484" s="13" t="str">
        <f t="shared" si="87"/>
        <v>0 5-star + 1 RFC + 0 DME + 7 Patient Portal Login + 5 Completed Task</v>
      </c>
      <c r="M1484" s="13"/>
      <c r="N1484" s="13"/>
      <c r="O1484" s="14"/>
      <c r="P1484" s="14"/>
    </row>
    <row r="1485" hidden="1">
      <c r="A1485" s="6" t="s">
        <v>297</v>
      </c>
      <c r="B1485" s="7" t="s">
        <v>116</v>
      </c>
      <c r="C1485" s="16" t="s">
        <v>117</v>
      </c>
      <c r="D1485" s="16" t="s">
        <v>118</v>
      </c>
      <c r="E1485" s="17">
        <v>1.0</v>
      </c>
      <c r="F1485" s="18">
        <v>1.0</v>
      </c>
      <c r="G1485" s="18">
        <v>0.0</v>
      </c>
      <c r="H1485" s="10">
        <v>0.0</v>
      </c>
      <c r="I1485" s="19">
        <v>0.0</v>
      </c>
      <c r="J1485" s="12"/>
      <c r="K1485" s="12">
        <f t="shared" si="86"/>
        <v>750</v>
      </c>
      <c r="L1485" s="13" t="str">
        <f t="shared" si="87"/>
        <v>1 5-star + 1 RFC + 0 DME + 0 Patient Portal Login + 0 Completed Task</v>
      </c>
      <c r="M1485" s="13"/>
      <c r="N1485" s="13"/>
      <c r="O1485" s="14"/>
      <c r="P1485" s="14"/>
    </row>
    <row r="1486" hidden="1">
      <c r="A1486" s="6" t="s">
        <v>297</v>
      </c>
      <c r="B1486" s="16" t="s">
        <v>216</v>
      </c>
      <c r="C1486" s="16" t="s">
        <v>217</v>
      </c>
      <c r="D1486" s="16" t="s">
        <v>274</v>
      </c>
      <c r="E1486" s="76"/>
      <c r="F1486" s="76"/>
      <c r="G1486" s="76"/>
      <c r="H1486" s="76"/>
      <c r="I1486" s="76"/>
      <c r="J1486" s="12"/>
      <c r="K1486" s="12">
        <f t="shared" si="86"/>
        <v>0</v>
      </c>
      <c r="L1486" s="13" t="str">
        <f t="shared" si="87"/>
        <v> 5-star +  RFC +  DME +  Patient Portal Login +  Completed Task</v>
      </c>
      <c r="M1486" s="13"/>
      <c r="N1486" s="13"/>
      <c r="O1486" s="14"/>
      <c r="P1486" s="14"/>
    </row>
    <row r="1487" hidden="1">
      <c r="A1487" s="6" t="s">
        <v>297</v>
      </c>
      <c r="B1487" s="16" t="s">
        <v>119</v>
      </c>
      <c r="C1487" s="16" t="s">
        <v>120</v>
      </c>
      <c r="D1487" s="16" t="s">
        <v>121</v>
      </c>
      <c r="E1487" s="17">
        <v>3.0</v>
      </c>
      <c r="F1487" s="18">
        <v>3.0</v>
      </c>
      <c r="G1487" s="18">
        <v>0.0</v>
      </c>
      <c r="H1487" s="10">
        <v>1.0</v>
      </c>
      <c r="I1487" s="19">
        <v>5.0</v>
      </c>
      <c r="J1487" s="12"/>
      <c r="K1487" s="12">
        <f t="shared" si="86"/>
        <v>3750</v>
      </c>
      <c r="L1487" s="13" t="str">
        <f t="shared" si="87"/>
        <v>3 5-star + 3 RFC + 0 DME + 1 Patient Portal Login + 5 Completed Task</v>
      </c>
      <c r="M1487" s="13"/>
      <c r="N1487" s="13"/>
      <c r="O1487" s="14"/>
      <c r="P1487" s="14"/>
    </row>
    <row r="1488" hidden="1">
      <c r="A1488" s="6" t="s">
        <v>297</v>
      </c>
      <c r="B1488" s="16" t="s">
        <v>267</v>
      </c>
      <c r="C1488" s="16" t="s">
        <v>268</v>
      </c>
      <c r="D1488" s="16" t="s">
        <v>269</v>
      </c>
      <c r="E1488" s="17">
        <v>0.0</v>
      </c>
      <c r="F1488" s="18">
        <v>1.0</v>
      </c>
      <c r="G1488" s="18">
        <v>2.0</v>
      </c>
      <c r="H1488" s="10">
        <v>11.0</v>
      </c>
      <c r="I1488" s="19">
        <v>5.0</v>
      </c>
      <c r="J1488" s="12"/>
      <c r="K1488" s="12">
        <f t="shared" si="86"/>
        <v>5000</v>
      </c>
      <c r="L1488" s="13" t="str">
        <f t="shared" si="87"/>
        <v>0 5-star + 1 RFC + 2 DME + 11 Patient Portal Login + 5 Completed Task</v>
      </c>
      <c r="M1488" s="13"/>
      <c r="N1488" s="13"/>
      <c r="O1488" s="14"/>
      <c r="P1488" s="14"/>
    </row>
    <row r="1489" hidden="1">
      <c r="A1489" s="6" t="s">
        <v>297</v>
      </c>
      <c r="B1489" s="16" t="s">
        <v>275</v>
      </c>
      <c r="C1489" s="16" t="s">
        <v>276</v>
      </c>
      <c r="D1489" s="16" t="s">
        <v>277</v>
      </c>
      <c r="E1489" s="76"/>
      <c r="F1489" s="76"/>
      <c r="G1489" s="76"/>
      <c r="H1489" s="76"/>
      <c r="I1489" s="76"/>
      <c r="J1489" s="12"/>
      <c r="K1489" s="12">
        <f t="shared" si="86"/>
        <v>0</v>
      </c>
      <c r="L1489" s="13" t="str">
        <f t="shared" si="87"/>
        <v> 5-star +  RFC +  DME +  Patient Portal Login +  Completed Task</v>
      </c>
      <c r="M1489" s="13"/>
      <c r="N1489" s="13"/>
      <c r="O1489" s="14"/>
      <c r="P1489" s="14"/>
    </row>
    <row r="1490" hidden="1">
      <c r="A1490" s="6" t="s">
        <v>297</v>
      </c>
      <c r="B1490" s="16" t="s">
        <v>122</v>
      </c>
      <c r="C1490" s="16" t="s">
        <v>123</v>
      </c>
      <c r="D1490" s="16" t="s">
        <v>124</v>
      </c>
      <c r="E1490" s="17">
        <v>0.0</v>
      </c>
      <c r="F1490" s="18">
        <v>1.0</v>
      </c>
      <c r="G1490" s="18">
        <v>1.0</v>
      </c>
      <c r="H1490" s="10">
        <v>0.0</v>
      </c>
      <c r="I1490" s="19">
        <v>5.0</v>
      </c>
      <c r="J1490" s="12"/>
      <c r="K1490" s="12">
        <f t="shared" si="86"/>
        <v>2000</v>
      </c>
      <c r="L1490" s="13" t="str">
        <f t="shared" si="87"/>
        <v>0 5-star + 1 RFC + 1 DME + 0 Patient Portal Login + 5 Completed Task</v>
      </c>
      <c r="M1490" s="13"/>
      <c r="N1490" s="13"/>
      <c r="O1490" s="14"/>
      <c r="P1490" s="14"/>
    </row>
    <row r="1491" hidden="1">
      <c r="A1491" s="6" t="s">
        <v>297</v>
      </c>
      <c r="B1491" s="16" t="s">
        <v>125</v>
      </c>
      <c r="C1491" s="16" t="s">
        <v>126</v>
      </c>
      <c r="D1491" s="16" t="s">
        <v>127</v>
      </c>
      <c r="E1491" s="17">
        <v>1.0</v>
      </c>
      <c r="F1491" s="18">
        <v>0.0</v>
      </c>
      <c r="G1491" s="18">
        <v>0.0</v>
      </c>
      <c r="H1491" s="10">
        <v>0.0</v>
      </c>
      <c r="I1491" s="19">
        <v>5.0</v>
      </c>
      <c r="J1491" s="12"/>
      <c r="K1491" s="12">
        <f t="shared" si="86"/>
        <v>1500</v>
      </c>
      <c r="L1491" s="13" t="str">
        <f t="shared" si="87"/>
        <v>1 5-star + 0 RFC + 0 DME + 0 Patient Portal Login + 5 Completed Task</v>
      </c>
      <c r="M1491" s="13"/>
      <c r="N1491" s="13"/>
      <c r="O1491" s="14"/>
      <c r="P1491" s="14"/>
    </row>
    <row r="1492" hidden="1">
      <c r="A1492" s="6" t="s">
        <v>297</v>
      </c>
      <c r="B1492" s="16" t="s">
        <v>128</v>
      </c>
      <c r="C1492" s="16" t="s">
        <v>129</v>
      </c>
      <c r="D1492" s="16" t="s">
        <v>130</v>
      </c>
      <c r="E1492" s="17">
        <v>0.0</v>
      </c>
      <c r="F1492" s="18">
        <v>1.0</v>
      </c>
      <c r="G1492" s="18">
        <v>0.0</v>
      </c>
      <c r="H1492" s="10">
        <v>8.0</v>
      </c>
      <c r="I1492" s="19">
        <v>5.0</v>
      </c>
      <c r="J1492" s="12"/>
      <c r="K1492" s="12">
        <f t="shared" si="86"/>
        <v>3750</v>
      </c>
      <c r="L1492" s="13" t="str">
        <f t="shared" si="87"/>
        <v>0 5-star + 1 RFC + 0 DME + 8 Patient Portal Login + 5 Completed Task</v>
      </c>
      <c r="M1492" s="13"/>
      <c r="N1492" s="13"/>
      <c r="O1492" s="14"/>
      <c r="P1492" s="14"/>
    </row>
    <row r="1493" hidden="1">
      <c r="A1493" s="6" t="s">
        <v>297</v>
      </c>
      <c r="B1493" s="16" t="s">
        <v>131</v>
      </c>
      <c r="C1493" s="16" t="s">
        <v>132</v>
      </c>
      <c r="D1493" s="16" t="s">
        <v>133</v>
      </c>
      <c r="E1493" s="17">
        <v>0.0</v>
      </c>
      <c r="F1493" s="18">
        <v>1.0</v>
      </c>
      <c r="G1493" s="18">
        <v>1.0</v>
      </c>
      <c r="H1493" s="10">
        <v>10.0</v>
      </c>
      <c r="I1493" s="19">
        <v>5.0</v>
      </c>
      <c r="J1493" s="12"/>
      <c r="K1493" s="12">
        <f t="shared" si="86"/>
        <v>4500</v>
      </c>
      <c r="L1493" s="13" t="str">
        <f t="shared" si="87"/>
        <v>0 5-star + 1 RFC + 1 DME + 10 Patient Portal Login + 5 Completed Task</v>
      </c>
      <c r="M1493" s="13"/>
      <c r="N1493" s="13"/>
      <c r="O1493" s="14"/>
      <c r="P1493" s="14"/>
    </row>
    <row r="1494" hidden="1">
      <c r="A1494" s="6" t="s">
        <v>297</v>
      </c>
      <c r="B1494" s="16" t="s">
        <v>134</v>
      </c>
      <c r="C1494" s="16" t="s">
        <v>135</v>
      </c>
      <c r="D1494" s="16" t="s">
        <v>136</v>
      </c>
      <c r="E1494" s="17">
        <v>0.0</v>
      </c>
      <c r="F1494" s="18">
        <v>0.0</v>
      </c>
      <c r="G1494" s="18">
        <v>0.0</v>
      </c>
      <c r="H1494" s="10">
        <v>2.0</v>
      </c>
      <c r="I1494" s="19">
        <v>5.0</v>
      </c>
      <c r="J1494" s="12"/>
      <c r="K1494" s="12">
        <f t="shared" si="86"/>
        <v>1750</v>
      </c>
      <c r="L1494" s="13" t="str">
        <f t="shared" si="87"/>
        <v>0 5-star + 0 RFC + 0 DME + 2 Patient Portal Login + 5 Completed Task</v>
      </c>
      <c r="M1494" s="13"/>
      <c r="N1494" s="13"/>
      <c r="O1494" s="14"/>
      <c r="P1494" s="14"/>
    </row>
    <row r="1495" hidden="1">
      <c r="A1495" s="6" t="s">
        <v>297</v>
      </c>
      <c r="B1495" s="16" t="s">
        <v>137</v>
      </c>
      <c r="C1495" s="16" t="s">
        <v>138</v>
      </c>
      <c r="D1495" s="16" t="s">
        <v>139</v>
      </c>
      <c r="E1495" s="17">
        <v>0.0</v>
      </c>
      <c r="F1495" s="18">
        <v>6.0</v>
      </c>
      <c r="G1495" s="18">
        <v>1.0</v>
      </c>
      <c r="H1495" s="10">
        <v>6.0</v>
      </c>
      <c r="I1495" s="19">
        <v>5.0</v>
      </c>
      <c r="J1495" s="12"/>
      <c r="K1495" s="12">
        <f t="shared" si="86"/>
        <v>6000</v>
      </c>
      <c r="L1495" s="13" t="str">
        <f t="shared" si="87"/>
        <v>0 5-star + 6 RFC + 1 DME + 6 Patient Portal Login + 5 Completed Task</v>
      </c>
      <c r="M1495" s="13"/>
      <c r="N1495" s="13"/>
      <c r="O1495" s="14"/>
      <c r="P1495" s="14"/>
    </row>
    <row r="1496" hidden="1">
      <c r="A1496" s="6" t="s">
        <v>297</v>
      </c>
      <c r="B1496" s="16" t="s">
        <v>278</v>
      </c>
      <c r="C1496" s="16" t="s">
        <v>279</v>
      </c>
      <c r="D1496" s="16" t="s">
        <v>280</v>
      </c>
      <c r="E1496" s="76"/>
      <c r="F1496" s="76"/>
      <c r="G1496" s="76"/>
      <c r="H1496" s="76"/>
      <c r="I1496" s="76"/>
      <c r="J1496" s="12"/>
      <c r="K1496" s="12">
        <f t="shared" si="86"/>
        <v>0</v>
      </c>
      <c r="L1496" s="13" t="str">
        <f t="shared" si="87"/>
        <v> 5-star +  RFC +  DME +  Patient Portal Login +  Completed Task</v>
      </c>
      <c r="M1496" s="13"/>
      <c r="N1496" s="13"/>
      <c r="O1496" s="14"/>
      <c r="P1496" s="14"/>
    </row>
    <row r="1497" hidden="1">
      <c r="A1497" s="6" t="s">
        <v>297</v>
      </c>
      <c r="B1497" s="16" t="s">
        <v>140</v>
      </c>
      <c r="C1497" s="16" t="s">
        <v>141</v>
      </c>
      <c r="D1497" s="16" t="s">
        <v>142</v>
      </c>
      <c r="E1497" s="17">
        <v>1.0</v>
      </c>
      <c r="F1497" s="18">
        <v>1.0</v>
      </c>
      <c r="G1497" s="18">
        <v>0.0</v>
      </c>
      <c r="H1497" s="10">
        <v>7.0</v>
      </c>
      <c r="I1497" s="19">
        <v>5.0</v>
      </c>
      <c r="J1497" s="12"/>
      <c r="K1497" s="12">
        <f t="shared" si="86"/>
        <v>3750</v>
      </c>
      <c r="L1497" s="13" t="str">
        <f t="shared" si="87"/>
        <v>1 5-star + 1 RFC + 0 DME + 7 Patient Portal Login + 5 Completed Task</v>
      </c>
      <c r="M1497" s="13"/>
      <c r="N1497" s="13"/>
      <c r="O1497" s="14"/>
      <c r="P1497" s="14"/>
    </row>
    <row r="1498" hidden="1">
      <c r="A1498" s="6" t="s">
        <v>297</v>
      </c>
      <c r="B1498" s="16" t="s">
        <v>207</v>
      </c>
      <c r="C1498" s="16" t="s">
        <v>208</v>
      </c>
      <c r="D1498" s="16" t="s">
        <v>281</v>
      </c>
      <c r="E1498" s="76"/>
      <c r="F1498" s="76"/>
      <c r="G1498" s="76"/>
      <c r="H1498" s="76"/>
      <c r="I1498" s="76"/>
      <c r="J1498" s="12"/>
      <c r="K1498" s="12">
        <f t="shared" si="86"/>
        <v>0</v>
      </c>
      <c r="L1498" s="13" t="str">
        <f t="shared" si="87"/>
        <v> 5-star +  RFC +  DME +  Patient Portal Login +  Completed Task</v>
      </c>
      <c r="M1498" s="13"/>
      <c r="N1498" s="13"/>
      <c r="O1498" s="14"/>
      <c r="P1498" s="14"/>
    </row>
    <row r="1499" hidden="1">
      <c r="A1499" s="6" t="s">
        <v>297</v>
      </c>
      <c r="B1499" s="16" t="s">
        <v>282</v>
      </c>
      <c r="C1499" s="16" t="s">
        <v>283</v>
      </c>
      <c r="D1499" s="16" t="s">
        <v>284</v>
      </c>
      <c r="E1499" s="76"/>
      <c r="F1499" s="76"/>
      <c r="G1499" s="76"/>
      <c r="H1499" s="76"/>
      <c r="I1499" s="76"/>
      <c r="J1499" s="12"/>
      <c r="K1499" s="12">
        <f t="shared" si="86"/>
        <v>0</v>
      </c>
      <c r="L1499" s="13" t="str">
        <f t="shared" si="87"/>
        <v> 5-star +  RFC +  DME +  Patient Portal Login +  Completed Task</v>
      </c>
      <c r="M1499" s="13"/>
      <c r="N1499" s="13"/>
      <c r="O1499" s="14"/>
      <c r="P1499" s="14"/>
    </row>
    <row r="1500" hidden="1">
      <c r="A1500" s="6" t="s">
        <v>297</v>
      </c>
      <c r="B1500" s="16" t="s">
        <v>285</v>
      </c>
      <c r="C1500" s="16" t="s">
        <v>286</v>
      </c>
      <c r="D1500" s="16" t="s">
        <v>287</v>
      </c>
      <c r="E1500" s="76"/>
      <c r="F1500" s="76"/>
      <c r="G1500" s="76"/>
      <c r="H1500" s="76"/>
      <c r="I1500" s="76"/>
      <c r="J1500" s="12"/>
      <c r="K1500" s="12">
        <f t="shared" si="86"/>
        <v>0</v>
      </c>
      <c r="L1500" s="13" t="str">
        <f t="shared" si="87"/>
        <v> 5-star +  RFC +  DME +  Patient Portal Login +  Completed Task</v>
      </c>
      <c r="M1500" s="13"/>
      <c r="N1500" s="13"/>
      <c r="O1500" s="14"/>
      <c r="P1500" s="14"/>
    </row>
    <row r="1501" hidden="1">
      <c r="A1501" s="6" t="s">
        <v>297</v>
      </c>
      <c r="B1501" s="16" t="s">
        <v>143</v>
      </c>
      <c r="C1501" s="16" t="s">
        <v>144</v>
      </c>
      <c r="D1501" s="16" t="s">
        <v>145</v>
      </c>
      <c r="E1501" s="17">
        <v>0.0</v>
      </c>
      <c r="F1501" s="18">
        <v>2.0</v>
      </c>
      <c r="G1501" s="18">
        <v>0.0</v>
      </c>
      <c r="H1501" s="10">
        <v>7.0</v>
      </c>
      <c r="I1501" s="19">
        <v>5.0</v>
      </c>
      <c r="J1501" s="12"/>
      <c r="K1501" s="12">
        <f t="shared" si="86"/>
        <v>4000</v>
      </c>
      <c r="L1501" s="13" t="str">
        <f t="shared" si="87"/>
        <v>0 5-star + 2 RFC + 0 DME + 7 Patient Portal Login + 5 Completed Task</v>
      </c>
      <c r="M1501" s="13"/>
      <c r="N1501" s="13"/>
      <c r="O1501" s="14"/>
      <c r="P1501" s="14"/>
    </row>
    <row r="1502" hidden="1">
      <c r="A1502" s="6" t="s">
        <v>297</v>
      </c>
      <c r="B1502" s="16" t="s">
        <v>146</v>
      </c>
      <c r="C1502" s="16" t="s">
        <v>147</v>
      </c>
      <c r="D1502" s="16" t="s">
        <v>148</v>
      </c>
      <c r="E1502" s="17">
        <v>0.0</v>
      </c>
      <c r="F1502" s="18">
        <v>1.0</v>
      </c>
      <c r="G1502" s="18">
        <v>0.0</v>
      </c>
      <c r="H1502" s="10">
        <v>10.0</v>
      </c>
      <c r="I1502" s="19">
        <v>3.0</v>
      </c>
      <c r="J1502" s="12"/>
      <c r="K1502" s="12">
        <f t="shared" si="86"/>
        <v>3750</v>
      </c>
      <c r="L1502" s="13" t="str">
        <f t="shared" si="87"/>
        <v>0 5-star + 1 RFC + 0 DME + 10 Patient Portal Login + 3 Completed Task</v>
      </c>
      <c r="M1502" s="13"/>
      <c r="N1502" s="13"/>
      <c r="O1502" s="14"/>
      <c r="P1502" s="14"/>
    </row>
    <row r="1503" hidden="1">
      <c r="A1503" s="6" t="s">
        <v>297</v>
      </c>
      <c r="B1503" s="16" t="s">
        <v>245</v>
      </c>
      <c r="C1503" s="16" t="s">
        <v>246</v>
      </c>
      <c r="D1503" s="16" t="s">
        <v>247</v>
      </c>
      <c r="E1503" s="17">
        <v>0.0</v>
      </c>
      <c r="F1503" s="18">
        <v>1.0</v>
      </c>
      <c r="G1503" s="18">
        <v>1.0</v>
      </c>
      <c r="H1503" s="10">
        <v>0.0</v>
      </c>
      <c r="I1503" s="19">
        <v>5.0</v>
      </c>
      <c r="J1503" s="12"/>
      <c r="K1503" s="12">
        <f t="shared" si="86"/>
        <v>2000</v>
      </c>
      <c r="L1503" s="13" t="str">
        <f t="shared" si="87"/>
        <v>0 5-star + 1 RFC + 1 DME + 0 Patient Portal Login + 5 Completed Task</v>
      </c>
      <c r="M1503" s="13"/>
      <c r="N1503" s="13"/>
      <c r="O1503" s="14"/>
      <c r="P1503" s="14"/>
    </row>
    <row r="1504" hidden="1">
      <c r="A1504" s="6" t="s">
        <v>297</v>
      </c>
      <c r="B1504" s="16" t="s">
        <v>210</v>
      </c>
      <c r="C1504" s="16" t="s">
        <v>211</v>
      </c>
      <c r="D1504" s="16" t="s">
        <v>212</v>
      </c>
      <c r="E1504" s="76"/>
      <c r="F1504" s="76"/>
      <c r="G1504" s="76"/>
      <c r="H1504" s="76"/>
      <c r="I1504" s="76"/>
      <c r="J1504" s="12"/>
      <c r="K1504" s="12">
        <f t="shared" si="86"/>
        <v>0</v>
      </c>
      <c r="L1504" s="13" t="str">
        <f t="shared" si="87"/>
        <v> 5-star +  RFC +  DME +  Patient Portal Login +  Completed Task</v>
      </c>
      <c r="M1504" s="13"/>
      <c r="N1504" s="13"/>
      <c r="O1504" s="14"/>
      <c r="P1504" s="14"/>
    </row>
    <row r="1505" hidden="1">
      <c r="A1505" s="6" t="s">
        <v>297</v>
      </c>
      <c r="B1505" s="16" t="s">
        <v>149</v>
      </c>
      <c r="C1505" s="16" t="s">
        <v>150</v>
      </c>
      <c r="D1505" s="16" t="s">
        <v>151</v>
      </c>
      <c r="E1505" s="17">
        <v>0.0</v>
      </c>
      <c r="F1505" s="18">
        <v>0.0</v>
      </c>
      <c r="G1505" s="18">
        <v>0.0</v>
      </c>
      <c r="H1505" s="10">
        <v>0.0</v>
      </c>
      <c r="I1505" s="19">
        <v>4.0</v>
      </c>
      <c r="J1505" s="12"/>
      <c r="K1505" s="12">
        <f t="shared" si="86"/>
        <v>1000</v>
      </c>
      <c r="L1505" s="13" t="str">
        <f t="shared" si="87"/>
        <v>0 5-star + 0 RFC + 0 DME + 0 Patient Portal Login + 4 Completed Task</v>
      </c>
      <c r="M1505" s="13"/>
      <c r="N1505" s="13"/>
      <c r="O1505" s="14"/>
      <c r="P1505" s="14"/>
    </row>
    <row r="1506" hidden="1">
      <c r="A1506" s="6" t="s">
        <v>297</v>
      </c>
      <c r="B1506" s="16" t="s">
        <v>288</v>
      </c>
      <c r="C1506" s="16" t="s">
        <v>289</v>
      </c>
      <c r="D1506" s="16" t="s">
        <v>290</v>
      </c>
      <c r="E1506" s="76"/>
      <c r="F1506" s="76"/>
      <c r="G1506" s="76"/>
      <c r="H1506" s="76"/>
      <c r="I1506" s="76"/>
      <c r="J1506" s="12"/>
      <c r="K1506" s="12">
        <f t="shared" si="86"/>
        <v>0</v>
      </c>
      <c r="L1506" s="13" t="str">
        <f t="shared" si="87"/>
        <v> 5-star +  RFC +  DME +  Patient Portal Login +  Completed Task</v>
      </c>
      <c r="M1506" s="13"/>
      <c r="N1506" s="13"/>
      <c r="O1506" s="14"/>
      <c r="P1506" s="14"/>
    </row>
    <row r="1507" hidden="1">
      <c r="A1507" s="6" t="s">
        <v>297</v>
      </c>
      <c r="B1507" s="16" t="s">
        <v>152</v>
      </c>
      <c r="C1507" s="16" t="s">
        <v>153</v>
      </c>
      <c r="D1507" s="16" t="s">
        <v>154</v>
      </c>
      <c r="E1507" s="17">
        <v>1.0</v>
      </c>
      <c r="F1507" s="18">
        <v>3.0</v>
      </c>
      <c r="G1507" s="18">
        <v>1.0</v>
      </c>
      <c r="H1507" s="10">
        <v>3.0</v>
      </c>
      <c r="I1507" s="19">
        <v>5.0</v>
      </c>
      <c r="J1507" s="12"/>
      <c r="K1507" s="12">
        <f t="shared" si="86"/>
        <v>4000</v>
      </c>
      <c r="L1507" s="13" t="str">
        <f t="shared" si="87"/>
        <v>1 5-star + 3 RFC + 1 DME + 3 Patient Portal Login + 5 Completed Task</v>
      </c>
      <c r="M1507" s="13"/>
      <c r="N1507" s="13"/>
      <c r="O1507" s="14"/>
      <c r="P1507" s="14"/>
    </row>
    <row r="1508" hidden="1">
      <c r="A1508" s="6" t="s">
        <v>297</v>
      </c>
      <c r="B1508" s="16" t="s">
        <v>155</v>
      </c>
      <c r="C1508" s="16" t="s">
        <v>156</v>
      </c>
      <c r="D1508" s="16" t="s">
        <v>157</v>
      </c>
      <c r="E1508" s="17">
        <v>0.0</v>
      </c>
      <c r="F1508" s="18">
        <v>1.0</v>
      </c>
      <c r="G1508" s="18">
        <v>0.0</v>
      </c>
      <c r="H1508" s="10">
        <v>3.0</v>
      </c>
      <c r="I1508" s="19">
        <v>4.0</v>
      </c>
      <c r="J1508" s="12"/>
      <c r="K1508" s="12">
        <f t="shared" si="86"/>
        <v>2250</v>
      </c>
      <c r="L1508" s="13" t="str">
        <f t="shared" si="87"/>
        <v>0 5-star + 1 RFC + 0 DME + 3 Patient Portal Login + 4 Completed Task</v>
      </c>
      <c r="M1508" s="13"/>
      <c r="N1508" s="13"/>
      <c r="O1508" s="14"/>
      <c r="P1508" s="14"/>
    </row>
    <row r="1509" hidden="1">
      <c r="A1509" s="6" t="s">
        <v>297</v>
      </c>
      <c r="B1509" s="16" t="s">
        <v>158</v>
      </c>
      <c r="C1509" s="16" t="s">
        <v>159</v>
      </c>
      <c r="D1509" s="16" t="s">
        <v>160</v>
      </c>
      <c r="E1509" s="17">
        <v>1.0</v>
      </c>
      <c r="F1509" s="18">
        <v>1.0</v>
      </c>
      <c r="G1509" s="18">
        <v>2.0</v>
      </c>
      <c r="H1509" s="10">
        <v>1.0</v>
      </c>
      <c r="I1509" s="19">
        <v>5.0</v>
      </c>
      <c r="J1509" s="55"/>
      <c r="K1509" s="55">
        <f t="shared" si="86"/>
        <v>2750</v>
      </c>
      <c r="L1509" s="13" t="str">
        <f t="shared" si="87"/>
        <v>1 5-star + 1 RFC + 2 DME + 1 Patient Portal Login + 5 Completed Task</v>
      </c>
      <c r="M1509" s="13"/>
      <c r="N1509" s="13"/>
      <c r="O1509" s="14"/>
      <c r="P1509" s="14"/>
    </row>
    <row r="1510" hidden="1">
      <c r="A1510" s="6" t="s">
        <v>297</v>
      </c>
      <c r="B1510" s="20" t="s">
        <v>161</v>
      </c>
      <c r="C1510" s="20" t="s">
        <v>162</v>
      </c>
      <c r="D1510" s="20" t="s">
        <v>163</v>
      </c>
      <c r="E1510" s="17">
        <v>0.0</v>
      </c>
      <c r="F1510" s="18">
        <v>2.0</v>
      </c>
      <c r="G1510" s="18">
        <v>1.0</v>
      </c>
      <c r="H1510" s="10">
        <v>0.0</v>
      </c>
      <c r="I1510" s="19">
        <v>4.0</v>
      </c>
      <c r="J1510" s="12"/>
      <c r="K1510" s="12">
        <f t="shared" si="86"/>
        <v>2250</v>
      </c>
      <c r="L1510" s="13" t="str">
        <f> E1510 &amp; " 5-star + " &amp; E1496 &amp; " RFC + " &amp; G1510 &amp; " DME + " &amp; H1510 &amp; " Patient Portal Login + " &amp; I1510 &amp; " Completed Task"
</f>
        <v>0 5-star +  RFC + 1 DME + 0 Patient Portal Login + 4 Completed Task</v>
      </c>
      <c r="M1510" s="13"/>
      <c r="N1510" s="13"/>
      <c r="O1510" s="14"/>
      <c r="P1510" s="14"/>
    </row>
    <row r="1511" hidden="1">
      <c r="A1511" s="6" t="s">
        <v>297</v>
      </c>
      <c r="B1511" s="20" t="s">
        <v>164</v>
      </c>
      <c r="C1511" s="20" t="s">
        <v>165</v>
      </c>
      <c r="D1511" s="20" t="s">
        <v>166</v>
      </c>
      <c r="E1511" s="17">
        <v>0.0</v>
      </c>
      <c r="F1511" s="18">
        <v>2.0</v>
      </c>
      <c r="G1511" s="18">
        <v>0.0</v>
      </c>
      <c r="H1511" s="10">
        <v>2.0</v>
      </c>
      <c r="I1511" s="19">
        <v>5.0</v>
      </c>
      <c r="J1511" s="12"/>
      <c r="K1511" s="12">
        <f t="shared" si="86"/>
        <v>2750</v>
      </c>
      <c r="L1511" s="13" t="str">
        <f t="shared" ref="L1511:L1576" si="88"> E1511 &amp; " 5-star + " &amp; F1511 &amp; " RFC + " &amp; G1511 &amp; " DME + " &amp; H1511 &amp; " Patient Portal Login + " &amp; I1511 &amp; " Completed Task"
</f>
        <v>0 5-star + 2 RFC + 0 DME + 2 Patient Portal Login + 5 Completed Task</v>
      </c>
      <c r="M1511" s="13"/>
      <c r="N1511" s="13"/>
      <c r="O1511" s="14"/>
      <c r="P1511" s="14"/>
    </row>
    <row r="1512" hidden="1">
      <c r="A1512" s="6" t="s">
        <v>297</v>
      </c>
      <c r="B1512" s="20" t="s">
        <v>167</v>
      </c>
      <c r="C1512" s="20" t="s">
        <v>168</v>
      </c>
      <c r="D1512" s="20" t="s">
        <v>169</v>
      </c>
      <c r="E1512" s="17">
        <v>0.0</v>
      </c>
      <c r="F1512" s="18">
        <v>2.0</v>
      </c>
      <c r="G1512" s="18">
        <v>0.0</v>
      </c>
      <c r="H1512" s="10">
        <v>4.0</v>
      </c>
      <c r="I1512" s="19">
        <v>5.0</v>
      </c>
      <c r="J1512" s="12"/>
      <c r="K1512" s="12">
        <f t="shared" si="86"/>
        <v>3250</v>
      </c>
      <c r="L1512" s="13" t="str">
        <f t="shared" si="88"/>
        <v>0 5-star + 2 RFC + 0 DME + 4 Patient Portal Login + 5 Completed Task</v>
      </c>
      <c r="M1512" s="13"/>
      <c r="N1512" s="13"/>
      <c r="O1512" s="14"/>
      <c r="P1512" s="14"/>
    </row>
    <row r="1513" hidden="1">
      <c r="A1513" s="6" t="s">
        <v>297</v>
      </c>
      <c r="B1513" s="20" t="s">
        <v>170</v>
      </c>
      <c r="C1513" s="20" t="s">
        <v>171</v>
      </c>
      <c r="D1513" s="20" t="s">
        <v>172</v>
      </c>
      <c r="E1513" s="17">
        <v>0.0</v>
      </c>
      <c r="F1513" s="18">
        <v>2.0</v>
      </c>
      <c r="G1513" s="18">
        <v>0.0</v>
      </c>
      <c r="H1513" s="10">
        <v>7.0</v>
      </c>
      <c r="I1513" s="19">
        <v>5.0</v>
      </c>
      <c r="J1513" s="12"/>
      <c r="K1513" s="12">
        <f t="shared" si="86"/>
        <v>4000</v>
      </c>
      <c r="L1513" s="13" t="str">
        <f t="shared" si="88"/>
        <v>0 5-star + 2 RFC + 0 DME + 7 Patient Portal Login + 5 Completed Task</v>
      </c>
      <c r="M1513" s="13"/>
      <c r="N1513" s="13"/>
      <c r="O1513" s="14"/>
      <c r="P1513" s="14"/>
    </row>
    <row r="1514" hidden="1">
      <c r="A1514" s="6" t="s">
        <v>297</v>
      </c>
      <c r="B1514" s="16" t="s">
        <v>173</v>
      </c>
      <c r="C1514" s="16" t="s">
        <v>174</v>
      </c>
      <c r="D1514" s="16" t="s">
        <v>175</v>
      </c>
      <c r="E1514" s="17">
        <v>0.0</v>
      </c>
      <c r="F1514" s="18">
        <v>3.0</v>
      </c>
      <c r="G1514" s="18">
        <v>0.0</v>
      </c>
      <c r="H1514" s="10">
        <v>8.0</v>
      </c>
      <c r="I1514" s="19">
        <v>4.0</v>
      </c>
      <c r="J1514" s="12"/>
      <c r="K1514" s="12">
        <f t="shared" si="86"/>
        <v>4500</v>
      </c>
      <c r="L1514" s="13" t="str">
        <f t="shared" si="88"/>
        <v>0 5-star + 3 RFC + 0 DME + 8 Patient Portal Login + 4 Completed Task</v>
      </c>
      <c r="M1514" s="13"/>
      <c r="N1514" s="13"/>
      <c r="O1514" s="14"/>
      <c r="P1514" s="14"/>
    </row>
    <row r="1515" hidden="1">
      <c r="A1515" s="6" t="s">
        <v>297</v>
      </c>
      <c r="B1515" s="16" t="s">
        <v>176</v>
      </c>
      <c r="C1515" s="16" t="s">
        <v>177</v>
      </c>
      <c r="D1515" s="16" t="s">
        <v>178</v>
      </c>
      <c r="E1515" s="17">
        <v>1.0</v>
      </c>
      <c r="F1515" s="18">
        <v>0.0</v>
      </c>
      <c r="G1515" s="18">
        <v>0.0</v>
      </c>
      <c r="H1515" s="10">
        <v>1.0</v>
      </c>
      <c r="I1515" s="19">
        <v>4.0</v>
      </c>
      <c r="J1515" s="12"/>
      <c r="K1515" s="12">
        <f t="shared" si="86"/>
        <v>1500</v>
      </c>
      <c r="L1515" s="13" t="str">
        <f t="shared" si="88"/>
        <v>1 5-star + 0 RFC + 0 DME + 1 Patient Portal Login + 4 Completed Task</v>
      </c>
      <c r="M1515" s="13"/>
      <c r="N1515" s="13"/>
      <c r="O1515" s="14"/>
      <c r="P1515" s="14"/>
    </row>
    <row r="1516" hidden="1">
      <c r="A1516" s="6" t="s">
        <v>297</v>
      </c>
      <c r="B1516" s="21" t="s">
        <v>291</v>
      </c>
      <c r="C1516" s="21" t="s">
        <v>292</v>
      </c>
      <c r="D1516" s="21" t="s">
        <v>293</v>
      </c>
      <c r="E1516" s="76"/>
      <c r="F1516" s="76"/>
      <c r="G1516" s="76"/>
      <c r="H1516" s="76"/>
      <c r="I1516" s="76"/>
      <c r="J1516" s="12"/>
      <c r="K1516" s="12">
        <f t="shared" si="86"/>
        <v>0</v>
      </c>
      <c r="L1516" s="13" t="str">
        <f t="shared" si="88"/>
        <v> 5-star +  RFC +  DME +  Patient Portal Login +  Completed Task</v>
      </c>
      <c r="M1516" s="13"/>
      <c r="N1516" s="13"/>
      <c r="O1516" s="23"/>
      <c r="P1516" s="23"/>
    </row>
    <row r="1517" hidden="1">
      <c r="A1517" s="6" t="s">
        <v>297</v>
      </c>
      <c r="B1517" s="21" t="s">
        <v>294</v>
      </c>
      <c r="C1517" s="21" t="s">
        <v>295</v>
      </c>
      <c r="D1517" s="21" t="s">
        <v>296</v>
      </c>
      <c r="E1517" s="77"/>
      <c r="F1517" s="77"/>
      <c r="G1517" s="77"/>
      <c r="H1517" s="77"/>
      <c r="I1517" s="77"/>
      <c r="J1517" s="12"/>
      <c r="K1517" s="12">
        <f t="shared" si="86"/>
        <v>0</v>
      </c>
      <c r="L1517" s="13" t="str">
        <f t="shared" si="88"/>
        <v> 5-star +  RFC +  DME +  Patient Portal Login +  Completed Task</v>
      </c>
      <c r="M1517" s="13"/>
      <c r="N1517" s="13"/>
      <c r="O1517" s="23"/>
      <c r="P1517" s="23"/>
    </row>
    <row r="1518" hidden="1">
      <c r="A1518" s="6" t="s">
        <v>297</v>
      </c>
      <c r="B1518" s="21" t="s">
        <v>179</v>
      </c>
      <c r="C1518" s="21" t="s">
        <v>180</v>
      </c>
      <c r="D1518" s="21" t="s">
        <v>181</v>
      </c>
      <c r="E1518" s="17">
        <v>0.0</v>
      </c>
      <c r="F1518" s="18">
        <v>5.0</v>
      </c>
      <c r="G1518" s="18">
        <v>2.0</v>
      </c>
      <c r="H1518" s="10">
        <v>25.0</v>
      </c>
      <c r="I1518" s="19">
        <v>4.0</v>
      </c>
      <c r="J1518" s="12"/>
      <c r="K1518" s="12">
        <f t="shared" si="86"/>
        <v>10250</v>
      </c>
      <c r="L1518" s="13" t="str">
        <f t="shared" si="88"/>
        <v>0 5-star + 5 RFC + 2 DME + 25 Patient Portal Login + 4 Completed Task</v>
      </c>
      <c r="M1518" s="13"/>
      <c r="N1518" s="13"/>
      <c r="O1518" s="23"/>
      <c r="P1518" s="23"/>
    </row>
    <row r="1519" hidden="1">
      <c r="A1519" s="6" t="s">
        <v>297</v>
      </c>
      <c r="B1519" s="21" t="s">
        <v>182</v>
      </c>
      <c r="C1519" s="21" t="s">
        <v>183</v>
      </c>
      <c r="D1519" s="21" t="s">
        <v>184</v>
      </c>
      <c r="E1519" s="17">
        <v>1.0</v>
      </c>
      <c r="F1519" s="18">
        <v>1.0</v>
      </c>
      <c r="G1519" s="18">
        <v>0.0</v>
      </c>
      <c r="H1519" s="10">
        <v>6.0</v>
      </c>
      <c r="I1519" s="19">
        <v>4.0</v>
      </c>
      <c r="J1519" s="12"/>
      <c r="K1519" s="12">
        <f t="shared" si="86"/>
        <v>3250</v>
      </c>
      <c r="L1519" s="13" t="str">
        <f t="shared" si="88"/>
        <v>1 5-star + 1 RFC + 0 DME + 6 Patient Portal Login + 4 Completed Task</v>
      </c>
      <c r="M1519" s="13"/>
      <c r="N1519" s="13"/>
      <c r="O1519" s="23"/>
      <c r="P1519" s="23"/>
    </row>
    <row r="1520" hidden="1">
      <c r="A1520" s="6" t="s">
        <v>297</v>
      </c>
      <c r="B1520" s="21" t="s">
        <v>185</v>
      </c>
      <c r="C1520" s="21" t="s">
        <v>186</v>
      </c>
      <c r="D1520" s="21" t="s">
        <v>187</v>
      </c>
      <c r="E1520" s="17">
        <v>1.0</v>
      </c>
      <c r="F1520" s="18">
        <v>1.0</v>
      </c>
      <c r="G1520" s="18">
        <v>1.0</v>
      </c>
      <c r="H1520" s="10">
        <v>21.0</v>
      </c>
      <c r="I1520" s="19">
        <v>5.0</v>
      </c>
      <c r="J1520" s="12"/>
      <c r="K1520" s="12">
        <f t="shared" si="86"/>
        <v>7500</v>
      </c>
      <c r="L1520" s="13" t="str">
        <f t="shared" si="88"/>
        <v>1 5-star + 1 RFC + 1 DME + 21 Patient Portal Login + 5 Completed Task</v>
      </c>
      <c r="M1520" s="13"/>
      <c r="N1520" s="13"/>
      <c r="O1520" s="23"/>
      <c r="P1520" s="23"/>
    </row>
    <row r="1521" hidden="1">
      <c r="A1521" s="6" t="s">
        <v>297</v>
      </c>
      <c r="B1521" s="21" t="s">
        <v>188</v>
      </c>
      <c r="C1521" s="21" t="s">
        <v>189</v>
      </c>
      <c r="D1521" s="21" t="s">
        <v>190</v>
      </c>
      <c r="E1521" s="17">
        <v>0.0</v>
      </c>
      <c r="F1521" s="18">
        <v>2.0</v>
      </c>
      <c r="G1521" s="18">
        <v>0.0</v>
      </c>
      <c r="H1521" s="10">
        <v>1.0</v>
      </c>
      <c r="I1521" s="19">
        <v>5.0</v>
      </c>
      <c r="J1521" s="12"/>
      <c r="K1521" s="12">
        <f t="shared" si="86"/>
        <v>2500</v>
      </c>
      <c r="L1521" s="13" t="str">
        <f t="shared" si="88"/>
        <v>0 5-star + 2 RFC + 0 DME + 1 Patient Portal Login + 5 Completed Task</v>
      </c>
      <c r="M1521" s="13"/>
      <c r="N1521" s="13"/>
      <c r="O1521" s="23"/>
      <c r="P1521" s="23"/>
    </row>
    <row r="1522" hidden="1">
      <c r="A1522" s="6" t="s">
        <v>297</v>
      </c>
      <c r="B1522" s="61" t="s">
        <v>258</v>
      </c>
      <c r="C1522" s="21" t="s">
        <v>259</v>
      </c>
      <c r="D1522" s="21" t="s">
        <v>260</v>
      </c>
      <c r="E1522" s="17">
        <v>2.0</v>
      </c>
      <c r="F1522" s="18">
        <v>0.0</v>
      </c>
      <c r="G1522" s="18">
        <v>1.0</v>
      </c>
      <c r="H1522" s="10">
        <v>5.0</v>
      </c>
      <c r="I1522" s="19">
        <v>5.0</v>
      </c>
      <c r="J1522" s="12"/>
      <c r="K1522" s="12">
        <f t="shared" si="86"/>
        <v>3250</v>
      </c>
      <c r="L1522" s="13" t="str">
        <f t="shared" si="88"/>
        <v>2 5-star + 0 RFC + 1 DME + 5 Patient Portal Login + 5 Completed Task</v>
      </c>
      <c r="M1522" s="13"/>
      <c r="N1522" s="13"/>
      <c r="O1522" s="23"/>
      <c r="P1522" s="23"/>
    </row>
    <row r="1523" hidden="1">
      <c r="A1523" s="6" t="s">
        <v>297</v>
      </c>
      <c r="B1523" s="21" t="s">
        <v>262</v>
      </c>
      <c r="C1523" s="21" t="s">
        <v>263</v>
      </c>
      <c r="D1523" s="21" t="s">
        <v>264</v>
      </c>
      <c r="E1523" s="8">
        <v>19.0</v>
      </c>
      <c r="F1523" s="18">
        <v>0.0</v>
      </c>
      <c r="G1523" s="18">
        <v>0.0</v>
      </c>
      <c r="H1523" s="10">
        <v>5.0</v>
      </c>
      <c r="I1523" s="19">
        <v>4.0</v>
      </c>
      <c r="J1523" s="12"/>
      <c r="K1523" s="12">
        <f t="shared" si="86"/>
        <v>7000</v>
      </c>
      <c r="L1523" s="13" t="str">
        <f t="shared" si="88"/>
        <v>19 5-star + 0 RFC + 0 DME + 5 Patient Portal Login + 4 Completed Task</v>
      </c>
      <c r="M1523" s="13"/>
      <c r="N1523" s="13"/>
      <c r="O1523" s="23"/>
      <c r="P1523" s="23"/>
    </row>
    <row r="1524" hidden="1">
      <c r="A1524" s="6" t="s">
        <v>297</v>
      </c>
      <c r="B1524" s="21" t="s">
        <v>191</v>
      </c>
      <c r="C1524" s="21" t="s">
        <v>192</v>
      </c>
      <c r="D1524" s="21" t="s">
        <v>193</v>
      </c>
      <c r="E1524" s="17">
        <v>0.0</v>
      </c>
      <c r="F1524" s="18">
        <v>2.0</v>
      </c>
      <c r="G1524" s="18">
        <v>3.0</v>
      </c>
      <c r="H1524" s="10">
        <v>11.0</v>
      </c>
      <c r="I1524" s="19">
        <v>5.0</v>
      </c>
      <c r="J1524" s="12"/>
      <c r="K1524" s="12">
        <f t="shared" si="86"/>
        <v>5750</v>
      </c>
      <c r="L1524" s="13" t="str">
        <f t="shared" si="88"/>
        <v>0 5-star + 2 RFC + 3 DME + 11 Patient Portal Login + 5 Completed Task</v>
      </c>
      <c r="M1524" s="13"/>
      <c r="N1524" s="13"/>
      <c r="O1524" s="23"/>
      <c r="P1524" s="23"/>
    </row>
    <row r="1525" hidden="1">
      <c r="A1525" s="6" t="s">
        <v>297</v>
      </c>
      <c r="B1525" s="21" t="s">
        <v>194</v>
      </c>
      <c r="C1525" s="21" t="s">
        <v>195</v>
      </c>
      <c r="D1525" s="21" t="s">
        <v>196</v>
      </c>
      <c r="E1525" s="17">
        <v>6.0</v>
      </c>
      <c r="F1525" s="18">
        <v>0.0</v>
      </c>
      <c r="G1525" s="18">
        <v>0.0</v>
      </c>
      <c r="H1525" s="10">
        <v>1.0</v>
      </c>
      <c r="I1525" s="19">
        <v>2.0</v>
      </c>
      <c r="J1525" s="12"/>
      <c r="K1525" s="12">
        <f t="shared" si="86"/>
        <v>2250</v>
      </c>
      <c r="L1525" s="13" t="str">
        <f t="shared" si="88"/>
        <v>6 5-star + 0 RFC + 0 DME + 1 Patient Portal Login + 2 Completed Task</v>
      </c>
      <c r="M1525" s="13"/>
      <c r="N1525" s="13"/>
      <c r="O1525" s="23"/>
      <c r="P1525" s="23"/>
    </row>
    <row r="1526" hidden="1">
      <c r="A1526" s="6" t="s">
        <v>297</v>
      </c>
      <c r="B1526" s="21" t="s">
        <v>197</v>
      </c>
      <c r="C1526" s="21" t="s">
        <v>198</v>
      </c>
      <c r="D1526" s="21" t="s">
        <v>199</v>
      </c>
      <c r="E1526" s="17">
        <v>1.0</v>
      </c>
      <c r="F1526" s="18">
        <v>3.0</v>
      </c>
      <c r="G1526" s="18">
        <v>0.0</v>
      </c>
      <c r="H1526" s="10">
        <v>9.0</v>
      </c>
      <c r="I1526" s="19">
        <v>4.0</v>
      </c>
      <c r="J1526" s="12"/>
      <c r="K1526" s="12">
        <f t="shared" si="86"/>
        <v>5000</v>
      </c>
      <c r="L1526" s="13" t="str">
        <f t="shared" si="88"/>
        <v>1 5-star + 3 RFC + 0 DME + 9 Patient Portal Login + 4 Completed Task</v>
      </c>
      <c r="M1526" s="13"/>
      <c r="N1526" s="13"/>
      <c r="O1526" s="23"/>
      <c r="P1526" s="23"/>
    </row>
    <row r="1527" hidden="1">
      <c r="A1527" s="6" t="s">
        <v>297</v>
      </c>
      <c r="B1527" s="21" t="s">
        <v>200</v>
      </c>
      <c r="C1527" s="21" t="s">
        <v>201</v>
      </c>
      <c r="D1527" s="21" t="s">
        <v>202</v>
      </c>
      <c r="E1527" s="17">
        <v>0.0</v>
      </c>
      <c r="F1527" s="18">
        <v>0.0</v>
      </c>
      <c r="G1527" s="18">
        <v>0.0</v>
      </c>
      <c r="H1527" s="10">
        <v>3.0</v>
      </c>
      <c r="I1527" s="19">
        <v>3.0</v>
      </c>
      <c r="J1527" s="12"/>
      <c r="K1527" s="12">
        <f t="shared" si="86"/>
        <v>1500</v>
      </c>
      <c r="L1527" s="13" t="str">
        <f t="shared" si="88"/>
        <v>0 5-star + 0 RFC + 0 DME + 3 Patient Portal Login + 3 Completed Task</v>
      </c>
      <c r="M1527" s="13"/>
      <c r="N1527" s="13"/>
      <c r="O1527" s="23"/>
      <c r="P1527" s="23"/>
    </row>
    <row r="1528" hidden="1">
      <c r="A1528" s="6" t="s">
        <v>298</v>
      </c>
      <c r="B1528" s="16" t="s">
        <v>53</v>
      </c>
      <c r="C1528" s="16" t="s">
        <v>54</v>
      </c>
      <c r="D1528" s="16" t="s">
        <v>55</v>
      </c>
      <c r="E1528" s="17">
        <v>4.0</v>
      </c>
      <c r="F1528" s="18">
        <v>0.0</v>
      </c>
      <c r="G1528" s="18">
        <v>2.0</v>
      </c>
      <c r="H1528" s="10">
        <v>2.0</v>
      </c>
      <c r="I1528" s="19">
        <v>5.0</v>
      </c>
      <c r="J1528" s="12"/>
      <c r="K1528" s="12">
        <f t="shared" si="86"/>
        <v>3250</v>
      </c>
      <c r="L1528" s="13" t="str">
        <f t="shared" si="88"/>
        <v>4 5-star + 0 RFC + 2 DME + 2 Patient Portal Login + 5 Completed Task</v>
      </c>
      <c r="M1528" s="13"/>
      <c r="N1528" s="13"/>
      <c r="O1528" s="14"/>
      <c r="P1528" s="14"/>
    </row>
    <row r="1529" hidden="1">
      <c r="A1529" s="6" t="s">
        <v>298</v>
      </c>
      <c r="B1529" s="16" t="s">
        <v>56</v>
      </c>
      <c r="C1529" s="16" t="s">
        <v>57</v>
      </c>
      <c r="D1529" s="16" t="s">
        <v>58</v>
      </c>
      <c r="E1529" s="17">
        <v>1.0</v>
      </c>
      <c r="F1529" s="18">
        <v>1.0</v>
      </c>
      <c r="G1529" s="18">
        <v>1.0</v>
      </c>
      <c r="H1529" s="10">
        <v>0.0</v>
      </c>
      <c r="I1529" s="19">
        <v>4.0</v>
      </c>
      <c r="J1529" s="12"/>
      <c r="K1529" s="12">
        <f t="shared" si="86"/>
        <v>2000</v>
      </c>
      <c r="L1529" s="13" t="str">
        <f t="shared" si="88"/>
        <v>1 5-star + 1 RFC + 1 DME + 0 Patient Portal Login + 4 Completed Task</v>
      </c>
      <c r="M1529" s="13"/>
      <c r="N1529" s="13"/>
      <c r="O1529" s="14"/>
      <c r="P1529" s="14"/>
    </row>
    <row r="1530" hidden="1">
      <c r="A1530" s="6" t="s">
        <v>298</v>
      </c>
      <c r="B1530" s="16" t="s">
        <v>59</v>
      </c>
      <c r="C1530" s="16" t="s">
        <v>60</v>
      </c>
      <c r="D1530" s="16" t="s">
        <v>61</v>
      </c>
      <c r="E1530" s="17">
        <v>3.0</v>
      </c>
      <c r="F1530" s="18">
        <v>0.0</v>
      </c>
      <c r="G1530" s="18">
        <v>0.0</v>
      </c>
      <c r="H1530" s="10">
        <v>0.0</v>
      </c>
      <c r="I1530" s="19">
        <v>1.0</v>
      </c>
      <c r="J1530" s="12"/>
      <c r="K1530" s="12">
        <f t="shared" si="86"/>
        <v>1000</v>
      </c>
      <c r="L1530" s="13" t="str">
        <f t="shared" si="88"/>
        <v>3 5-star + 0 RFC + 0 DME + 0 Patient Portal Login + 1 Completed Task</v>
      </c>
      <c r="M1530" s="13"/>
      <c r="N1530" s="13"/>
      <c r="O1530" s="14"/>
      <c r="P1530" s="14"/>
    </row>
    <row r="1531" hidden="1">
      <c r="A1531" s="6" t="s">
        <v>298</v>
      </c>
      <c r="B1531" s="16" t="s">
        <v>62</v>
      </c>
      <c r="C1531" s="16" t="s">
        <v>63</v>
      </c>
      <c r="D1531" s="16" t="s">
        <v>64</v>
      </c>
      <c r="E1531" s="17">
        <v>2.0</v>
      </c>
      <c r="F1531" s="18">
        <v>0.0</v>
      </c>
      <c r="G1531" s="18">
        <v>1.0</v>
      </c>
      <c r="H1531" s="10">
        <v>8.0</v>
      </c>
      <c r="I1531" s="19">
        <v>1.0</v>
      </c>
      <c r="J1531" s="12"/>
      <c r="K1531" s="12">
        <f t="shared" si="86"/>
        <v>3000</v>
      </c>
      <c r="L1531" s="13" t="str">
        <f t="shared" si="88"/>
        <v>2 5-star + 0 RFC + 1 DME + 8 Patient Portal Login + 1 Completed Task</v>
      </c>
      <c r="M1531" s="13"/>
      <c r="N1531" s="13"/>
      <c r="O1531" s="14"/>
      <c r="P1531" s="14"/>
    </row>
    <row r="1532" hidden="1">
      <c r="A1532" s="6" t="s">
        <v>298</v>
      </c>
      <c r="B1532" s="16" t="s">
        <v>251</v>
      </c>
      <c r="C1532" s="16" t="s">
        <v>252</v>
      </c>
      <c r="D1532" s="16" t="s">
        <v>253</v>
      </c>
      <c r="E1532" s="17">
        <v>0.0</v>
      </c>
      <c r="F1532" s="18">
        <v>0.0</v>
      </c>
      <c r="G1532" s="18">
        <v>1.0</v>
      </c>
      <c r="H1532" s="10">
        <v>3.0</v>
      </c>
      <c r="I1532" s="19">
        <v>1.0</v>
      </c>
      <c r="J1532" s="12"/>
      <c r="K1532" s="12">
        <f t="shared" si="86"/>
        <v>1250</v>
      </c>
      <c r="L1532" s="13" t="str">
        <f t="shared" si="88"/>
        <v>0 5-star + 0 RFC + 1 DME + 3 Patient Portal Login + 1 Completed Task</v>
      </c>
      <c r="M1532" s="13"/>
      <c r="N1532" s="13"/>
      <c r="O1532" s="14"/>
      <c r="P1532" s="14"/>
    </row>
    <row r="1533" hidden="1">
      <c r="A1533" s="6" t="s">
        <v>298</v>
      </c>
      <c r="B1533" s="16" t="s">
        <v>65</v>
      </c>
      <c r="C1533" s="16" t="s">
        <v>66</v>
      </c>
      <c r="D1533" s="16" t="s">
        <v>67</v>
      </c>
      <c r="E1533" s="17">
        <v>0.0</v>
      </c>
      <c r="F1533" s="18">
        <v>0.0</v>
      </c>
      <c r="G1533" s="18">
        <v>0.0</v>
      </c>
      <c r="H1533" s="10">
        <v>3.0</v>
      </c>
      <c r="I1533" s="19">
        <v>5.0</v>
      </c>
      <c r="J1533" s="12"/>
      <c r="K1533" s="12">
        <f t="shared" si="86"/>
        <v>2000</v>
      </c>
      <c r="L1533" s="13" t="str">
        <f t="shared" si="88"/>
        <v>0 5-star + 0 RFC + 0 DME + 3 Patient Portal Login + 5 Completed Task</v>
      </c>
      <c r="M1533" s="13"/>
      <c r="N1533" s="13"/>
      <c r="O1533" s="14"/>
      <c r="P1533" s="14"/>
    </row>
    <row r="1534" hidden="1">
      <c r="A1534" s="6" t="s">
        <v>298</v>
      </c>
      <c r="B1534" s="16" t="s">
        <v>68</v>
      </c>
      <c r="C1534" s="16" t="s">
        <v>69</v>
      </c>
      <c r="D1534" s="16" t="s">
        <v>70</v>
      </c>
      <c r="E1534" s="17">
        <v>0.0</v>
      </c>
      <c r="F1534" s="18">
        <v>2.0</v>
      </c>
      <c r="G1534" s="18">
        <v>0.0</v>
      </c>
      <c r="H1534" s="10">
        <v>2.0</v>
      </c>
      <c r="I1534" s="19">
        <v>5.0</v>
      </c>
      <c r="J1534" s="12"/>
      <c r="K1534" s="12">
        <f t="shared" si="86"/>
        <v>2750</v>
      </c>
      <c r="L1534" s="13" t="str">
        <f t="shared" si="88"/>
        <v>0 5-star + 2 RFC + 0 DME + 2 Patient Portal Login + 5 Completed Task</v>
      </c>
      <c r="M1534" s="13"/>
      <c r="N1534" s="13"/>
      <c r="O1534" s="14"/>
      <c r="P1534" s="14"/>
    </row>
    <row r="1535" hidden="1">
      <c r="A1535" s="6" t="s">
        <v>298</v>
      </c>
      <c r="B1535" s="16" t="s">
        <v>71</v>
      </c>
      <c r="C1535" s="16" t="s">
        <v>72</v>
      </c>
      <c r="D1535" s="16" t="s">
        <v>73</v>
      </c>
      <c r="E1535" s="17">
        <v>3.0</v>
      </c>
      <c r="F1535" s="18">
        <v>3.0</v>
      </c>
      <c r="G1535" s="18">
        <v>1.0</v>
      </c>
      <c r="H1535" s="10">
        <v>3.0</v>
      </c>
      <c r="I1535" s="19">
        <v>5.0</v>
      </c>
      <c r="J1535" s="12"/>
      <c r="K1535" s="12">
        <f t="shared" si="86"/>
        <v>4500</v>
      </c>
      <c r="L1535" s="13" t="str">
        <f t="shared" si="88"/>
        <v>3 5-star + 3 RFC + 1 DME + 3 Patient Portal Login + 5 Completed Task</v>
      </c>
      <c r="M1535" s="13"/>
      <c r="N1535" s="13"/>
      <c r="O1535" s="14"/>
      <c r="P1535" s="14"/>
    </row>
    <row r="1536" hidden="1">
      <c r="A1536" s="6" t="s">
        <v>298</v>
      </c>
      <c r="B1536" s="16" t="s">
        <v>74</v>
      </c>
      <c r="C1536" s="16" t="s">
        <v>75</v>
      </c>
      <c r="D1536" s="16" t="s">
        <v>76</v>
      </c>
      <c r="E1536" s="17">
        <v>2.0</v>
      </c>
      <c r="F1536" s="18">
        <v>0.0</v>
      </c>
      <c r="G1536" s="18">
        <v>0.0</v>
      </c>
      <c r="H1536" s="10">
        <v>0.0</v>
      </c>
      <c r="I1536" s="19">
        <v>5.0</v>
      </c>
      <c r="J1536" s="12"/>
      <c r="K1536" s="12">
        <f t="shared" si="86"/>
        <v>1750</v>
      </c>
      <c r="L1536" s="13" t="str">
        <f t="shared" si="88"/>
        <v>2 5-star + 0 RFC + 0 DME + 0 Patient Portal Login + 5 Completed Task</v>
      </c>
      <c r="M1536" s="13"/>
      <c r="N1536" s="13"/>
      <c r="O1536" s="14"/>
      <c r="P1536" s="14"/>
    </row>
    <row r="1537" hidden="1">
      <c r="A1537" s="6" t="s">
        <v>298</v>
      </c>
      <c r="B1537" s="16" t="s">
        <v>77</v>
      </c>
      <c r="C1537" s="16" t="s">
        <v>78</v>
      </c>
      <c r="D1537" s="16" t="s">
        <v>79</v>
      </c>
      <c r="E1537" s="17">
        <v>15.0</v>
      </c>
      <c r="F1537" s="18">
        <v>3.0</v>
      </c>
      <c r="G1537" s="18">
        <v>0.0</v>
      </c>
      <c r="H1537" s="10">
        <v>7.0</v>
      </c>
      <c r="I1537" s="19">
        <v>4.0</v>
      </c>
      <c r="J1537" s="12"/>
      <c r="K1537" s="12">
        <f t="shared" si="86"/>
        <v>8000</v>
      </c>
      <c r="L1537" s="13" t="str">
        <f t="shared" si="88"/>
        <v>15 5-star + 3 RFC + 0 DME + 7 Patient Portal Login + 4 Completed Task</v>
      </c>
      <c r="M1537" s="13"/>
      <c r="N1537" s="13"/>
      <c r="O1537" s="14"/>
      <c r="P1537" s="14"/>
    </row>
    <row r="1538" hidden="1">
      <c r="A1538" s="6" t="s">
        <v>298</v>
      </c>
      <c r="B1538" s="16" t="s">
        <v>80</v>
      </c>
      <c r="C1538" s="16" t="s">
        <v>81</v>
      </c>
      <c r="D1538" s="16" t="s">
        <v>82</v>
      </c>
      <c r="E1538" s="17">
        <v>0.0</v>
      </c>
      <c r="F1538" s="18">
        <v>0.0</v>
      </c>
      <c r="G1538" s="18">
        <v>0.0</v>
      </c>
      <c r="H1538" s="10">
        <v>1.0</v>
      </c>
      <c r="I1538" s="19">
        <v>5.0</v>
      </c>
      <c r="J1538" s="12"/>
      <c r="K1538" s="12">
        <f t="shared" si="86"/>
        <v>1500</v>
      </c>
      <c r="L1538" s="13" t="str">
        <f t="shared" si="88"/>
        <v>0 5-star + 0 RFC + 0 DME + 1 Patient Portal Login + 5 Completed Task</v>
      </c>
      <c r="M1538" s="13"/>
      <c r="N1538" s="13"/>
      <c r="O1538" s="14"/>
      <c r="P1538" s="14"/>
    </row>
    <row r="1539" hidden="1">
      <c r="A1539" s="6" t="s">
        <v>298</v>
      </c>
      <c r="B1539" s="7" t="s">
        <v>83</v>
      </c>
      <c r="C1539" s="16" t="s">
        <v>84</v>
      </c>
      <c r="D1539" s="16" t="s">
        <v>85</v>
      </c>
      <c r="E1539" s="17">
        <v>1.0</v>
      </c>
      <c r="F1539" s="18">
        <v>0.0</v>
      </c>
      <c r="G1539" s="18">
        <v>0.0</v>
      </c>
      <c r="H1539" s="10">
        <v>7.0</v>
      </c>
      <c r="I1539" s="19">
        <v>4.0</v>
      </c>
      <c r="J1539" s="12"/>
      <c r="K1539" s="12">
        <f t="shared" si="86"/>
        <v>3000</v>
      </c>
      <c r="L1539" s="13" t="str">
        <f t="shared" si="88"/>
        <v>1 5-star + 0 RFC + 0 DME + 7 Patient Portal Login + 4 Completed Task</v>
      </c>
      <c r="M1539" s="13"/>
      <c r="N1539" s="13"/>
      <c r="O1539" s="14"/>
      <c r="P1539" s="14"/>
    </row>
    <row r="1540" hidden="1">
      <c r="A1540" s="6" t="s">
        <v>298</v>
      </c>
      <c r="B1540" s="16" t="s">
        <v>255</v>
      </c>
      <c r="C1540" s="16" t="s">
        <v>256</v>
      </c>
      <c r="D1540" s="16" t="s">
        <v>257</v>
      </c>
      <c r="E1540" s="17">
        <v>0.0</v>
      </c>
      <c r="F1540" s="18">
        <v>1.0</v>
      </c>
      <c r="G1540" s="18">
        <v>0.0</v>
      </c>
      <c r="H1540" s="10">
        <v>1.0</v>
      </c>
      <c r="I1540" s="19">
        <v>3.0</v>
      </c>
      <c r="J1540" s="12"/>
      <c r="K1540" s="12">
        <f t="shared" si="86"/>
        <v>1500</v>
      </c>
      <c r="L1540" s="13" t="str">
        <f t="shared" si="88"/>
        <v>0 5-star + 1 RFC + 0 DME + 1 Patient Portal Login + 3 Completed Task</v>
      </c>
      <c r="M1540" s="13"/>
      <c r="N1540" s="13"/>
      <c r="O1540" s="14"/>
      <c r="P1540" s="14"/>
    </row>
    <row r="1541" hidden="1">
      <c r="A1541" s="6" t="s">
        <v>298</v>
      </c>
      <c r="B1541" s="16" t="s">
        <v>86</v>
      </c>
      <c r="C1541" s="16" t="s">
        <v>87</v>
      </c>
      <c r="D1541" s="16" t="s">
        <v>88</v>
      </c>
      <c r="E1541" s="17">
        <v>5.0</v>
      </c>
      <c r="F1541" s="18">
        <v>6.0</v>
      </c>
      <c r="G1541" s="18">
        <v>1.0</v>
      </c>
      <c r="H1541" s="10">
        <v>8.0</v>
      </c>
      <c r="I1541" s="19">
        <v>5.0</v>
      </c>
      <c r="J1541" s="12"/>
      <c r="K1541" s="12">
        <f t="shared" si="86"/>
        <v>7750</v>
      </c>
      <c r="L1541" s="13" t="str">
        <f t="shared" si="88"/>
        <v>5 5-star + 6 RFC + 1 DME + 8 Patient Portal Login + 5 Completed Task</v>
      </c>
      <c r="M1541" s="13"/>
      <c r="N1541" s="13"/>
      <c r="O1541" s="14"/>
      <c r="P1541" s="14"/>
    </row>
    <row r="1542" hidden="1">
      <c r="A1542" s="6" t="s">
        <v>298</v>
      </c>
      <c r="B1542" s="16" t="s">
        <v>89</v>
      </c>
      <c r="C1542" s="16" t="s">
        <v>90</v>
      </c>
      <c r="D1542" s="16" t="s">
        <v>91</v>
      </c>
      <c r="E1542" s="17">
        <v>1.0</v>
      </c>
      <c r="F1542" s="18">
        <v>2.0</v>
      </c>
      <c r="G1542" s="18">
        <v>2.0</v>
      </c>
      <c r="H1542" s="10">
        <v>10.0</v>
      </c>
      <c r="I1542" s="19">
        <v>5.0</v>
      </c>
      <c r="J1542" s="12"/>
      <c r="K1542" s="12">
        <f t="shared" si="86"/>
        <v>5500</v>
      </c>
      <c r="L1542" s="13" t="str">
        <f t="shared" si="88"/>
        <v>1 5-star + 2 RFC + 2 DME + 10 Patient Portal Login + 5 Completed Task</v>
      </c>
      <c r="M1542" s="13"/>
      <c r="N1542" s="13"/>
      <c r="O1542" s="14"/>
      <c r="P1542" s="14"/>
    </row>
    <row r="1543" hidden="1">
      <c r="A1543" s="6" t="s">
        <v>298</v>
      </c>
      <c r="B1543" s="16" t="s">
        <v>92</v>
      </c>
      <c r="C1543" s="16" t="s">
        <v>93</v>
      </c>
      <c r="D1543" s="16" t="s">
        <v>94</v>
      </c>
      <c r="E1543" s="17">
        <v>0.0</v>
      </c>
      <c r="F1543" s="18">
        <v>0.0</v>
      </c>
      <c r="G1543" s="18">
        <v>0.0</v>
      </c>
      <c r="H1543" s="10">
        <v>0.0</v>
      </c>
      <c r="I1543" s="19">
        <v>5.0</v>
      </c>
      <c r="J1543" s="12"/>
      <c r="K1543" s="12">
        <f t="shared" si="86"/>
        <v>1250</v>
      </c>
      <c r="L1543" s="13" t="str">
        <f t="shared" si="88"/>
        <v>0 5-star + 0 RFC + 0 DME + 0 Patient Portal Login + 5 Completed Task</v>
      </c>
      <c r="M1543" s="13"/>
      <c r="N1543" s="13"/>
      <c r="O1543" s="14"/>
      <c r="P1543" s="14"/>
    </row>
    <row r="1544" hidden="1">
      <c r="A1544" s="6" t="s">
        <v>298</v>
      </c>
      <c r="B1544" s="7" t="s">
        <v>95</v>
      </c>
      <c r="C1544" s="16" t="s">
        <v>96</v>
      </c>
      <c r="D1544" s="16" t="s">
        <v>97</v>
      </c>
      <c r="E1544" s="17">
        <v>0.0</v>
      </c>
      <c r="F1544" s="18">
        <v>1.0</v>
      </c>
      <c r="G1544" s="18">
        <v>0.0</v>
      </c>
      <c r="H1544" s="10">
        <v>3.0</v>
      </c>
      <c r="I1544" s="19">
        <v>5.0</v>
      </c>
      <c r="J1544" s="12"/>
      <c r="K1544" s="12">
        <f t="shared" si="86"/>
        <v>2500</v>
      </c>
      <c r="L1544" s="13" t="str">
        <f t="shared" si="88"/>
        <v>0 5-star + 1 RFC + 0 DME + 3 Patient Portal Login + 5 Completed Task</v>
      </c>
      <c r="M1544" s="13"/>
      <c r="N1544" s="13"/>
      <c r="O1544" s="14"/>
      <c r="P1544" s="14"/>
    </row>
    <row r="1545" hidden="1">
      <c r="A1545" s="6" t="s">
        <v>298</v>
      </c>
      <c r="B1545" s="16" t="s">
        <v>98</v>
      </c>
      <c r="C1545" s="16" t="s">
        <v>99</v>
      </c>
      <c r="D1545" s="16" t="s">
        <v>100</v>
      </c>
      <c r="E1545" s="17">
        <v>0.0</v>
      </c>
      <c r="F1545" s="18">
        <v>0.0</v>
      </c>
      <c r="G1545" s="18">
        <v>0.0</v>
      </c>
      <c r="H1545" s="10">
        <v>1.0</v>
      </c>
      <c r="I1545" s="19">
        <v>5.0</v>
      </c>
      <c r="J1545" s="12"/>
      <c r="K1545" s="12">
        <f t="shared" si="86"/>
        <v>1500</v>
      </c>
      <c r="L1545" s="13" t="str">
        <f t="shared" si="88"/>
        <v>0 5-star + 0 RFC + 0 DME + 1 Patient Portal Login + 5 Completed Task</v>
      </c>
      <c r="M1545" s="13"/>
      <c r="N1545" s="13"/>
      <c r="O1545" s="14"/>
      <c r="P1545" s="14"/>
    </row>
    <row r="1546" hidden="1">
      <c r="A1546" s="6" t="s">
        <v>298</v>
      </c>
      <c r="B1546" s="7" t="s">
        <v>101</v>
      </c>
      <c r="C1546" s="16" t="s">
        <v>102</v>
      </c>
      <c r="D1546" s="16" t="s">
        <v>103</v>
      </c>
      <c r="E1546" s="17">
        <v>0.0</v>
      </c>
      <c r="F1546" s="18">
        <v>0.0</v>
      </c>
      <c r="G1546" s="18">
        <v>0.0</v>
      </c>
      <c r="H1546" s="10">
        <v>0.0</v>
      </c>
      <c r="I1546" s="19">
        <v>5.0</v>
      </c>
      <c r="J1546" s="12"/>
      <c r="K1546" s="12">
        <f t="shared" si="86"/>
        <v>1250</v>
      </c>
      <c r="L1546" s="13" t="str">
        <f t="shared" si="88"/>
        <v>0 5-star + 0 RFC + 0 DME + 0 Patient Portal Login + 5 Completed Task</v>
      </c>
      <c r="M1546" s="13"/>
      <c r="N1546" s="13"/>
      <c r="O1546" s="14"/>
      <c r="P1546" s="14"/>
    </row>
    <row r="1547" hidden="1">
      <c r="A1547" s="6" t="s">
        <v>298</v>
      </c>
      <c r="B1547" s="16" t="s">
        <v>271</v>
      </c>
      <c r="C1547" s="16" t="s">
        <v>272</v>
      </c>
      <c r="D1547" s="16" t="s">
        <v>273</v>
      </c>
      <c r="E1547" s="76"/>
      <c r="F1547" s="76"/>
      <c r="G1547" s="76"/>
      <c r="H1547" s="76"/>
      <c r="I1547" s="76"/>
      <c r="J1547" s="12"/>
      <c r="K1547" s="12">
        <f t="shared" si="86"/>
        <v>0</v>
      </c>
      <c r="L1547" s="13" t="str">
        <f t="shared" si="88"/>
        <v> 5-star +  RFC +  DME +  Patient Portal Login +  Completed Task</v>
      </c>
      <c r="M1547" s="13"/>
      <c r="N1547" s="13"/>
      <c r="O1547" s="14"/>
      <c r="P1547" s="14"/>
    </row>
    <row r="1548" hidden="1">
      <c r="A1548" s="6" t="s">
        <v>298</v>
      </c>
      <c r="B1548" s="16" t="s">
        <v>104</v>
      </c>
      <c r="C1548" s="16" t="s">
        <v>105</v>
      </c>
      <c r="D1548" s="16" t="s">
        <v>106</v>
      </c>
      <c r="E1548" s="17">
        <v>0.0</v>
      </c>
      <c r="F1548" s="18">
        <v>2.0</v>
      </c>
      <c r="G1548" s="18">
        <v>0.0</v>
      </c>
      <c r="H1548" s="10">
        <v>10.0</v>
      </c>
      <c r="I1548" s="19">
        <v>5.0</v>
      </c>
      <c r="J1548" s="12"/>
      <c r="K1548" s="12">
        <f t="shared" si="86"/>
        <v>4750</v>
      </c>
      <c r="L1548" s="13" t="str">
        <f t="shared" si="88"/>
        <v>0 5-star + 2 RFC + 0 DME + 10 Patient Portal Login + 5 Completed Task</v>
      </c>
      <c r="M1548" s="13"/>
      <c r="N1548" s="13"/>
      <c r="O1548" s="14"/>
      <c r="P1548" s="14"/>
    </row>
    <row r="1549" hidden="1">
      <c r="A1549" s="6" t="s">
        <v>298</v>
      </c>
      <c r="B1549" s="16" t="s">
        <v>107</v>
      </c>
      <c r="C1549" s="16" t="s">
        <v>108</v>
      </c>
      <c r="D1549" s="16" t="s">
        <v>109</v>
      </c>
      <c r="E1549" s="17">
        <v>0.0</v>
      </c>
      <c r="F1549" s="18">
        <v>0.0</v>
      </c>
      <c r="G1549" s="18">
        <v>0.0</v>
      </c>
      <c r="H1549" s="10">
        <v>2.0</v>
      </c>
      <c r="I1549" s="19">
        <v>5.0</v>
      </c>
      <c r="J1549" s="12"/>
      <c r="K1549" s="12">
        <f t="shared" si="86"/>
        <v>1750</v>
      </c>
      <c r="L1549" s="13" t="str">
        <f t="shared" si="88"/>
        <v>0 5-star + 0 RFC + 0 DME + 2 Patient Portal Login + 5 Completed Task</v>
      </c>
      <c r="M1549" s="13"/>
      <c r="N1549" s="13"/>
      <c r="O1549" s="14"/>
      <c r="P1549" s="14"/>
    </row>
    <row r="1550" hidden="1">
      <c r="A1550" s="6" t="s">
        <v>298</v>
      </c>
      <c r="B1550" s="16" t="s">
        <v>110</v>
      </c>
      <c r="C1550" s="16" t="s">
        <v>111</v>
      </c>
      <c r="D1550" s="16" t="s">
        <v>112</v>
      </c>
      <c r="E1550" s="17">
        <v>0.0</v>
      </c>
      <c r="F1550" s="18">
        <v>0.0</v>
      </c>
      <c r="G1550" s="18">
        <v>0.0</v>
      </c>
      <c r="H1550" s="10">
        <v>1.0</v>
      </c>
      <c r="I1550" s="19">
        <v>5.0</v>
      </c>
      <c r="J1550" s="12"/>
      <c r="K1550" s="12">
        <f t="shared" si="86"/>
        <v>1500</v>
      </c>
      <c r="L1550" s="13" t="str">
        <f t="shared" si="88"/>
        <v>0 5-star + 0 RFC + 0 DME + 1 Patient Portal Login + 5 Completed Task</v>
      </c>
      <c r="M1550" s="13"/>
      <c r="N1550" s="13"/>
      <c r="O1550" s="14"/>
      <c r="P1550" s="14"/>
    </row>
    <row r="1551" hidden="1">
      <c r="A1551" s="6" t="s">
        <v>298</v>
      </c>
      <c r="B1551" s="16" t="s">
        <v>113</v>
      </c>
      <c r="C1551" s="16" t="s">
        <v>114</v>
      </c>
      <c r="D1551" s="16" t="s">
        <v>115</v>
      </c>
      <c r="E1551" s="17">
        <v>0.0</v>
      </c>
      <c r="F1551" s="18">
        <v>0.0</v>
      </c>
      <c r="G1551" s="18">
        <v>0.0</v>
      </c>
      <c r="H1551" s="10">
        <v>6.0</v>
      </c>
      <c r="I1551" s="19">
        <v>5.0</v>
      </c>
      <c r="J1551" s="12"/>
      <c r="K1551" s="12">
        <f t="shared" si="86"/>
        <v>2750</v>
      </c>
      <c r="L1551" s="13" t="str">
        <f t="shared" si="88"/>
        <v>0 5-star + 0 RFC + 0 DME + 6 Patient Portal Login + 5 Completed Task</v>
      </c>
      <c r="M1551" s="13"/>
      <c r="N1551" s="13"/>
      <c r="O1551" s="14"/>
      <c r="P1551" s="14"/>
    </row>
    <row r="1552" hidden="1">
      <c r="A1552" s="6" t="s">
        <v>298</v>
      </c>
      <c r="B1552" s="7" t="s">
        <v>116</v>
      </c>
      <c r="C1552" s="16" t="s">
        <v>117</v>
      </c>
      <c r="D1552" s="16" t="s">
        <v>118</v>
      </c>
      <c r="E1552" s="17">
        <v>0.0</v>
      </c>
      <c r="F1552" s="18">
        <v>0.0</v>
      </c>
      <c r="G1552" s="18">
        <v>0.0</v>
      </c>
      <c r="H1552" s="10">
        <v>1.0</v>
      </c>
      <c r="I1552" s="19">
        <v>5.0</v>
      </c>
      <c r="J1552" s="12"/>
      <c r="K1552" s="12">
        <f t="shared" si="86"/>
        <v>1500</v>
      </c>
      <c r="L1552" s="13" t="str">
        <f t="shared" si="88"/>
        <v>0 5-star + 0 RFC + 0 DME + 1 Patient Portal Login + 5 Completed Task</v>
      </c>
      <c r="M1552" s="13"/>
      <c r="N1552" s="13"/>
      <c r="O1552" s="14"/>
      <c r="P1552" s="14"/>
    </row>
    <row r="1553" hidden="1">
      <c r="A1553" s="6" t="s">
        <v>298</v>
      </c>
      <c r="B1553" s="16" t="s">
        <v>216</v>
      </c>
      <c r="C1553" s="16" t="s">
        <v>217</v>
      </c>
      <c r="D1553" s="16" t="s">
        <v>274</v>
      </c>
      <c r="E1553" s="76"/>
      <c r="F1553" s="76"/>
      <c r="G1553" s="76"/>
      <c r="H1553" s="76"/>
      <c r="I1553" s="76"/>
      <c r="J1553" s="12"/>
      <c r="K1553" s="12">
        <f t="shared" si="86"/>
        <v>0</v>
      </c>
      <c r="L1553" s="13" t="str">
        <f t="shared" si="88"/>
        <v> 5-star +  RFC +  DME +  Patient Portal Login +  Completed Task</v>
      </c>
      <c r="M1553" s="13"/>
      <c r="N1553" s="13"/>
      <c r="O1553" s="14"/>
      <c r="P1553" s="14"/>
    </row>
    <row r="1554" hidden="1">
      <c r="A1554" s="6" t="s">
        <v>298</v>
      </c>
      <c r="B1554" s="16" t="s">
        <v>119</v>
      </c>
      <c r="C1554" s="16" t="s">
        <v>120</v>
      </c>
      <c r="D1554" s="16" t="s">
        <v>121</v>
      </c>
      <c r="E1554" s="17">
        <v>2.0</v>
      </c>
      <c r="F1554" s="18">
        <v>0.0</v>
      </c>
      <c r="G1554" s="18">
        <v>1.0</v>
      </c>
      <c r="H1554" s="10">
        <v>3.0</v>
      </c>
      <c r="I1554" s="19">
        <v>5.0</v>
      </c>
      <c r="J1554" s="12"/>
      <c r="K1554" s="12">
        <f t="shared" si="86"/>
        <v>2750</v>
      </c>
      <c r="L1554" s="13" t="str">
        <f t="shared" si="88"/>
        <v>2 5-star + 0 RFC + 1 DME + 3 Patient Portal Login + 5 Completed Task</v>
      </c>
      <c r="M1554" s="13"/>
      <c r="N1554" s="13"/>
      <c r="O1554" s="14"/>
      <c r="P1554" s="14"/>
    </row>
    <row r="1555" hidden="1">
      <c r="A1555" s="6" t="s">
        <v>298</v>
      </c>
      <c r="B1555" s="16" t="s">
        <v>267</v>
      </c>
      <c r="C1555" s="16" t="s">
        <v>268</v>
      </c>
      <c r="D1555" s="16" t="s">
        <v>269</v>
      </c>
      <c r="E1555" s="17">
        <v>0.0</v>
      </c>
      <c r="F1555" s="18">
        <v>3.0</v>
      </c>
      <c r="G1555" s="18">
        <v>0.0</v>
      </c>
      <c r="H1555" s="10">
        <v>7.0</v>
      </c>
      <c r="I1555" s="19">
        <v>5.0</v>
      </c>
      <c r="J1555" s="12"/>
      <c r="K1555" s="12">
        <f t="shared" si="86"/>
        <v>4500</v>
      </c>
      <c r="L1555" s="13" t="str">
        <f t="shared" si="88"/>
        <v>0 5-star + 3 RFC + 0 DME + 7 Patient Portal Login + 5 Completed Task</v>
      </c>
      <c r="M1555" s="13"/>
      <c r="N1555" s="13"/>
      <c r="O1555" s="14"/>
      <c r="P1555" s="14"/>
    </row>
    <row r="1556" hidden="1">
      <c r="A1556" s="6" t="s">
        <v>298</v>
      </c>
      <c r="B1556" s="16" t="s">
        <v>275</v>
      </c>
      <c r="C1556" s="16" t="s">
        <v>276</v>
      </c>
      <c r="D1556" s="16" t="s">
        <v>277</v>
      </c>
      <c r="E1556" s="76"/>
      <c r="F1556" s="76"/>
      <c r="G1556" s="76"/>
      <c r="H1556" s="76"/>
      <c r="I1556" s="76"/>
      <c r="J1556" s="12"/>
      <c r="K1556" s="12">
        <f t="shared" si="86"/>
        <v>0</v>
      </c>
      <c r="L1556" s="13" t="str">
        <f t="shared" si="88"/>
        <v> 5-star +  RFC +  DME +  Patient Portal Login +  Completed Task</v>
      </c>
      <c r="M1556" s="13"/>
      <c r="N1556" s="13"/>
      <c r="O1556" s="14"/>
      <c r="P1556" s="14"/>
    </row>
    <row r="1557" hidden="1">
      <c r="A1557" s="6" t="s">
        <v>298</v>
      </c>
      <c r="B1557" s="16" t="s">
        <v>122</v>
      </c>
      <c r="C1557" s="16" t="s">
        <v>123</v>
      </c>
      <c r="D1557" s="16" t="s">
        <v>124</v>
      </c>
      <c r="E1557" s="17">
        <v>0.0</v>
      </c>
      <c r="F1557" s="18">
        <v>0.0</v>
      </c>
      <c r="G1557" s="18">
        <v>0.0</v>
      </c>
      <c r="H1557" s="10">
        <v>1.0</v>
      </c>
      <c r="I1557" s="19">
        <v>5.0</v>
      </c>
      <c r="J1557" s="12"/>
      <c r="K1557" s="12">
        <f t="shared" si="86"/>
        <v>1500</v>
      </c>
      <c r="L1557" s="13" t="str">
        <f t="shared" si="88"/>
        <v>0 5-star + 0 RFC + 0 DME + 1 Patient Portal Login + 5 Completed Task</v>
      </c>
      <c r="M1557" s="13"/>
      <c r="N1557" s="13"/>
      <c r="O1557" s="14"/>
      <c r="P1557" s="14"/>
    </row>
    <row r="1558" hidden="1">
      <c r="A1558" s="6" t="s">
        <v>298</v>
      </c>
      <c r="B1558" s="16" t="s">
        <v>125</v>
      </c>
      <c r="C1558" s="16" t="s">
        <v>126</v>
      </c>
      <c r="D1558" s="16" t="s">
        <v>127</v>
      </c>
      <c r="E1558" s="17">
        <v>0.0</v>
      </c>
      <c r="F1558" s="18">
        <v>0.0</v>
      </c>
      <c r="G1558" s="18">
        <v>0.0</v>
      </c>
      <c r="H1558" s="10">
        <v>0.0</v>
      </c>
      <c r="I1558" s="19">
        <v>5.0</v>
      </c>
      <c r="J1558" s="12"/>
      <c r="K1558" s="12">
        <f t="shared" si="86"/>
        <v>1250</v>
      </c>
      <c r="L1558" s="13" t="str">
        <f t="shared" si="88"/>
        <v>0 5-star + 0 RFC + 0 DME + 0 Patient Portal Login + 5 Completed Task</v>
      </c>
      <c r="M1558" s="13"/>
      <c r="N1558" s="13"/>
      <c r="O1558" s="14"/>
      <c r="P1558" s="14"/>
    </row>
    <row r="1559" hidden="1">
      <c r="A1559" s="6" t="s">
        <v>298</v>
      </c>
      <c r="B1559" s="16" t="s">
        <v>128</v>
      </c>
      <c r="C1559" s="16" t="s">
        <v>129</v>
      </c>
      <c r="D1559" s="16" t="s">
        <v>130</v>
      </c>
      <c r="E1559" s="17">
        <v>1.0</v>
      </c>
      <c r="F1559" s="18">
        <v>0.0</v>
      </c>
      <c r="G1559" s="18">
        <v>0.0</v>
      </c>
      <c r="H1559" s="10">
        <v>11.0</v>
      </c>
      <c r="I1559" s="19">
        <v>5.0</v>
      </c>
      <c r="J1559" s="12"/>
      <c r="K1559" s="12">
        <f t="shared" si="86"/>
        <v>4250</v>
      </c>
      <c r="L1559" s="13" t="str">
        <f t="shared" si="88"/>
        <v>1 5-star + 0 RFC + 0 DME + 11 Patient Portal Login + 5 Completed Task</v>
      </c>
      <c r="M1559" s="13"/>
      <c r="N1559" s="13"/>
      <c r="O1559" s="14"/>
      <c r="P1559" s="14"/>
    </row>
    <row r="1560" hidden="1">
      <c r="A1560" s="6" t="s">
        <v>298</v>
      </c>
      <c r="B1560" s="16" t="s">
        <v>131</v>
      </c>
      <c r="C1560" s="16" t="s">
        <v>132</v>
      </c>
      <c r="D1560" s="16" t="s">
        <v>133</v>
      </c>
      <c r="E1560" s="17">
        <v>0.0</v>
      </c>
      <c r="F1560" s="18">
        <v>3.0</v>
      </c>
      <c r="G1560" s="18">
        <v>1.0</v>
      </c>
      <c r="H1560" s="10">
        <v>7.0</v>
      </c>
      <c r="I1560" s="19">
        <v>5.0</v>
      </c>
      <c r="J1560" s="12"/>
      <c r="K1560" s="12">
        <f t="shared" si="86"/>
        <v>4750</v>
      </c>
      <c r="L1560" s="13" t="str">
        <f t="shared" si="88"/>
        <v>0 5-star + 3 RFC + 1 DME + 7 Patient Portal Login + 5 Completed Task</v>
      </c>
      <c r="M1560" s="13"/>
      <c r="N1560" s="13"/>
      <c r="O1560" s="14"/>
      <c r="P1560" s="14"/>
    </row>
    <row r="1561" hidden="1">
      <c r="A1561" s="6" t="s">
        <v>298</v>
      </c>
      <c r="B1561" s="16" t="s">
        <v>134</v>
      </c>
      <c r="C1561" s="16" t="s">
        <v>135</v>
      </c>
      <c r="D1561" s="16" t="s">
        <v>136</v>
      </c>
      <c r="E1561" s="17">
        <v>1.0</v>
      </c>
      <c r="F1561" s="18">
        <v>0.0</v>
      </c>
      <c r="G1561" s="18">
        <v>1.0</v>
      </c>
      <c r="H1561" s="10">
        <v>7.0</v>
      </c>
      <c r="I1561" s="19">
        <v>5.0</v>
      </c>
      <c r="J1561" s="12"/>
      <c r="K1561" s="12">
        <f t="shared" si="86"/>
        <v>3500</v>
      </c>
      <c r="L1561" s="13" t="str">
        <f t="shared" si="88"/>
        <v>1 5-star + 0 RFC + 1 DME + 7 Patient Portal Login + 5 Completed Task</v>
      </c>
      <c r="M1561" s="13"/>
      <c r="N1561" s="13"/>
      <c r="O1561" s="14"/>
      <c r="P1561" s="14"/>
    </row>
    <row r="1562" hidden="1">
      <c r="A1562" s="6" t="s">
        <v>298</v>
      </c>
      <c r="B1562" s="16" t="s">
        <v>137</v>
      </c>
      <c r="C1562" s="16" t="s">
        <v>138</v>
      </c>
      <c r="D1562" s="16" t="s">
        <v>139</v>
      </c>
      <c r="E1562" s="17">
        <v>1.0</v>
      </c>
      <c r="F1562" s="18">
        <v>3.0</v>
      </c>
      <c r="G1562" s="18">
        <v>0.0</v>
      </c>
      <c r="H1562" s="10">
        <v>18.0</v>
      </c>
      <c r="I1562" s="19">
        <v>5.0</v>
      </c>
      <c r="J1562" s="12"/>
      <c r="K1562" s="12">
        <f t="shared" si="86"/>
        <v>7500</v>
      </c>
      <c r="L1562" s="13" t="str">
        <f t="shared" si="88"/>
        <v>1 5-star + 3 RFC + 0 DME + 18 Patient Portal Login + 5 Completed Task</v>
      </c>
      <c r="M1562" s="13"/>
      <c r="N1562" s="13"/>
      <c r="O1562" s="14"/>
      <c r="P1562" s="14"/>
    </row>
    <row r="1563" hidden="1">
      <c r="A1563" s="6" t="s">
        <v>298</v>
      </c>
      <c r="B1563" s="16" t="s">
        <v>278</v>
      </c>
      <c r="C1563" s="16" t="s">
        <v>279</v>
      </c>
      <c r="D1563" s="16" t="s">
        <v>280</v>
      </c>
      <c r="E1563" s="76"/>
      <c r="F1563" s="76"/>
      <c r="G1563" s="76"/>
      <c r="H1563" s="76"/>
      <c r="I1563" s="76"/>
      <c r="J1563" s="12"/>
      <c r="K1563" s="12">
        <f t="shared" si="86"/>
        <v>0</v>
      </c>
      <c r="L1563" s="13" t="str">
        <f t="shared" si="88"/>
        <v> 5-star +  RFC +  DME +  Patient Portal Login +  Completed Task</v>
      </c>
      <c r="M1563" s="13"/>
      <c r="N1563" s="13"/>
      <c r="O1563" s="14"/>
      <c r="P1563" s="14"/>
    </row>
    <row r="1564" hidden="1">
      <c r="A1564" s="6" t="s">
        <v>298</v>
      </c>
      <c r="B1564" s="16" t="s">
        <v>140</v>
      </c>
      <c r="C1564" s="16" t="s">
        <v>141</v>
      </c>
      <c r="D1564" s="16" t="s">
        <v>142</v>
      </c>
      <c r="E1564" s="17">
        <v>1.0</v>
      </c>
      <c r="F1564" s="18">
        <v>0.0</v>
      </c>
      <c r="G1564" s="18">
        <v>0.0</v>
      </c>
      <c r="H1564" s="10">
        <v>5.0</v>
      </c>
      <c r="I1564" s="19">
        <v>5.0</v>
      </c>
      <c r="J1564" s="12"/>
      <c r="K1564" s="12">
        <f t="shared" si="86"/>
        <v>2750</v>
      </c>
      <c r="L1564" s="13" t="str">
        <f t="shared" si="88"/>
        <v>1 5-star + 0 RFC + 0 DME + 5 Patient Portal Login + 5 Completed Task</v>
      </c>
      <c r="M1564" s="13"/>
      <c r="N1564" s="13"/>
      <c r="O1564" s="14"/>
      <c r="P1564" s="14"/>
    </row>
    <row r="1565" hidden="1">
      <c r="A1565" s="6" t="s">
        <v>298</v>
      </c>
      <c r="B1565" s="16" t="s">
        <v>207</v>
      </c>
      <c r="C1565" s="16" t="s">
        <v>208</v>
      </c>
      <c r="D1565" s="16" t="s">
        <v>281</v>
      </c>
      <c r="E1565" s="76"/>
      <c r="F1565" s="76"/>
      <c r="G1565" s="76"/>
      <c r="H1565" s="76"/>
      <c r="I1565" s="76"/>
      <c r="J1565" s="12"/>
      <c r="K1565" s="12">
        <f t="shared" si="86"/>
        <v>0</v>
      </c>
      <c r="L1565" s="13" t="str">
        <f t="shared" si="88"/>
        <v> 5-star +  RFC +  DME +  Patient Portal Login +  Completed Task</v>
      </c>
      <c r="M1565" s="13"/>
      <c r="N1565" s="13"/>
      <c r="O1565" s="14"/>
      <c r="P1565" s="14"/>
    </row>
    <row r="1566" hidden="1">
      <c r="A1566" s="6" t="s">
        <v>298</v>
      </c>
      <c r="B1566" s="16" t="s">
        <v>282</v>
      </c>
      <c r="C1566" s="16" t="s">
        <v>283</v>
      </c>
      <c r="D1566" s="16" t="s">
        <v>284</v>
      </c>
      <c r="E1566" s="76"/>
      <c r="F1566" s="76"/>
      <c r="G1566" s="76"/>
      <c r="H1566" s="76"/>
      <c r="I1566" s="76"/>
      <c r="J1566" s="12"/>
      <c r="K1566" s="12">
        <f t="shared" si="86"/>
        <v>0</v>
      </c>
      <c r="L1566" s="13" t="str">
        <f t="shared" si="88"/>
        <v> 5-star +  RFC +  DME +  Patient Portal Login +  Completed Task</v>
      </c>
      <c r="M1566" s="13"/>
      <c r="N1566" s="13"/>
      <c r="O1566" s="14"/>
      <c r="P1566" s="14"/>
    </row>
    <row r="1567" hidden="1">
      <c r="A1567" s="6" t="s">
        <v>298</v>
      </c>
      <c r="B1567" s="16" t="s">
        <v>285</v>
      </c>
      <c r="C1567" s="16" t="s">
        <v>286</v>
      </c>
      <c r="D1567" s="16" t="s">
        <v>287</v>
      </c>
      <c r="E1567" s="76"/>
      <c r="F1567" s="76"/>
      <c r="G1567" s="76"/>
      <c r="H1567" s="76"/>
      <c r="I1567" s="76"/>
      <c r="J1567" s="12"/>
      <c r="K1567" s="12">
        <f t="shared" si="86"/>
        <v>0</v>
      </c>
      <c r="L1567" s="13" t="str">
        <f t="shared" si="88"/>
        <v> 5-star +  RFC +  DME +  Patient Portal Login +  Completed Task</v>
      </c>
      <c r="M1567" s="13"/>
      <c r="N1567" s="13"/>
      <c r="O1567" s="14"/>
      <c r="P1567" s="14"/>
    </row>
    <row r="1568" hidden="1">
      <c r="A1568" s="6" t="s">
        <v>298</v>
      </c>
      <c r="B1568" s="16" t="s">
        <v>143</v>
      </c>
      <c r="C1568" s="16" t="s">
        <v>144</v>
      </c>
      <c r="D1568" s="16" t="s">
        <v>145</v>
      </c>
      <c r="E1568" s="17">
        <v>0.0</v>
      </c>
      <c r="F1568" s="18">
        <v>0.0</v>
      </c>
      <c r="G1568" s="18">
        <v>0.0</v>
      </c>
      <c r="H1568" s="10">
        <v>9.0</v>
      </c>
      <c r="I1568" s="19">
        <v>5.0</v>
      </c>
      <c r="J1568" s="12"/>
      <c r="K1568" s="12">
        <f t="shared" si="86"/>
        <v>3500</v>
      </c>
      <c r="L1568" s="13" t="str">
        <f t="shared" si="88"/>
        <v>0 5-star + 0 RFC + 0 DME + 9 Patient Portal Login + 5 Completed Task</v>
      </c>
      <c r="M1568" s="13"/>
      <c r="N1568" s="13"/>
      <c r="O1568" s="14"/>
      <c r="P1568" s="14"/>
    </row>
    <row r="1569" hidden="1">
      <c r="A1569" s="6" t="s">
        <v>298</v>
      </c>
      <c r="B1569" s="16" t="s">
        <v>146</v>
      </c>
      <c r="C1569" s="16" t="s">
        <v>147</v>
      </c>
      <c r="D1569" s="16" t="s">
        <v>148</v>
      </c>
      <c r="E1569" s="17">
        <v>0.0</v>
      </c>
      <c r="F1569" s="18">
        <v>0.0</v>
      </c>
      <c r="G1569" s="18">
        <v>2.0</v>
      </c>
      <c r="H1569" s="10">
        <v>9.0</v>
      </c>
      <c r="I1569" s="19">
        <v>5.0</v>
      </c>
      <c r="J1569" s="12"/>
      <c r="K1569" s="12">
        <f t="shared" si="86"/>
        <v>4000</v>
      </c>
      <c r="L1569" s="13" t="str">
        <f t="shared" si="88"/>
        <v>0 5-star + 0 RFC + 2 DME + 9 Patient Portal Login + 5 Completed Task</v>
      </c>
      <c r="M1569" s="13"/>
      <c r="N1569" s="13"/>
      <c r="O1569" s="14"/>
      <c r="P1569" s="14"/>
    </row>
    <row r="1570" hidden="1">
      <c r="A1570" s="6" t="s">
        <v>298</v>
      </c>
      <c r="B1570" s="16" t="s">
        <v>245</v>
      </c>
      <c r="C1570" s="16" t="s">
        <v>246</v>
      </c>
      <c r="D1570" s="16" t="s">
        <v>247</v>
      </c>
      <c r="E1570" s="17">
        <v>0.0</v>
      </c>
      <c r="F1570" s="18">
        <v>0.0</v>
      </c>
      <c r="G1570" s="18">
        <v>0.0</v>
      </c>
      <c r="H1570" s="10">
        <v>4.0</v>
      </c>
      <c r="I1570" s="19">
        <v>5.0</v>
      </c>
      <c r="J1570" s="12"/>
      <c r="K1570" s="12">
        <f t="shared" si="86"/>
        <v>2250</v>
      </c>
      <c r="L1570" s="13" t="str">
        <f t="shared" si="88"/>
        <v>0 5-star + 0 RFC + 0 DME + 4 Patient Portal Login + 5 Completed Task</v>
      </c>
      <c r="M1570" s="13"/>
      <c r="N1570" s="13"/>
      <c r="O1570" s="14"/>
      <c r="P1570" s="14"/>
    </row>
    <row r="1571" hidden="1">
      <c r="A1571" s="6" t="s">
        <v>298</v>
      </c>
      <c r="B1571" s="16" t="s">
        <v>210</v>
      </c>
      <c r="C1571" s="16" t="s">
        <v>211</v>
      </c>
      <c r="D1571" s="16" t="s">
        <v>212</v>
      </c>
      <c r="E1571" s="76"/>
      <c r="F1571" s="76"/>
      <c r="G1571" s="76"/>
      <c r="H1571" s="76"/>
      <c r="I1571" s="76"/>
      <c r="J1571" s="12"/>
      <c r="K1571" s="12">
        <f t="shared" si="86"/>
        <v>0</v>
      </c>
      <c r="L1571" s="13" t="str">
        <f t="shared" si="88"/>
        <v> 5-star +  RFC +  DME +  Patient Portal Login +  Completed Task</v>
      </c>
      <c r="M1571" s="13"/>
      <c r="N1571" s="13"/>
      <c r="O1571" s="14"/>
      <c r="P1571" s="14"/>
    </row>
    <row r="1572" hidden="1">
      <c r="A1572" s="6" t="s">
        <v>298</v>
      </c>
      <c r="B1572" s="16" t="s">
        <v>149</v>
      </c>
      <c r="C1572" s="16" t="s">
        <v>150</v>
      </c>
      <c r="D1572" s="16" t="s">
        <v>151</v>
      </c>
      <c r="E1572" s="17">
        <v>0.0</v>
      </c>
      <c r="F1572" s="18">
        <v>2.0</v>
      </c>
      <c r="G1572" s="18">
        <v>1.0</v>
      </c>
      <c r="H1572" s="10">
        <v>0.0</v>
      </c>
      <c r="I1572" s="19">
        <v>4.0</v>
      </c>
      <c r="J1572" s="12"/>
      <c r="K1572" s="12">
        <f t="shared" si="86"/>
        <v>2250</v>
      </c>
      <c r="L1572" s="13" t="str">
        <f t="shared" si="88"/>
        <v>0 5-star + 2 RFC + 1 DME + 0 Patient Portal Login + 4 Completed Task</v>
      </c>
      <c r="M1572" s="13"/>
      <c r="N1572" s="13"/>
      <c r="O1572" s="14"/>
      <c r="P1572" s="14"/>
    </row>
    <row r="1573" hidden="1">
      <c r="A1573" s="6" t="s">
        <v>298</v>
      </c>
      <c r="B1573" s="16" t="s">
        <v>288</v>
      </c>
      <c r="C1573" s="16" t="s">
        <v>289</v>
      </c>
      <c r="D1573" s="16" t="s">
        <v>290</v>
      </c>
      <c r="E1573" s="76"/>
      <c r="F1573" s="76"/>
      <c r="G1573" s="76"/>
      <c r="H1573" s="76"/>
      <c r="I1573" s="76"/>
      <c r="J1573" s="12"/>
      <c r="K1573" s="12">
        <f t="shared" si="86"/>
        <v>0</v>
      </c>
      <c r="L1573" s="13" t="str">
        <f t="shared" si="88"/>
        <v> 5-star +  RFC +  DME +  Patient Portal Login +  Completed Task</v>
      </c>
      <c r="M1573" s="13"/>
      <c r="N1573" s="13"/>
      <c r="O1573" s="14"/>
      <c r="P1573" s="14"/>
    </row>
    <row r="1574" hidden="1">
      <c r="A1574" s="6" t="s">
        <v>298</v>
      </c>
      <c r="B1574" s="16" t="s">
        <v>152</v>
      </c>
      <c r="C1574" s="16" t="s">
        <v>153</v>
      </c>
      <c r="D1574" s="16" t="s">
        <v>154</v>
      </c>
      <c r="E1574" s="17">
        <v>0.0</v>
      </c>
      <c r="F1574" s="18">
        <v>1.0</v>
      </c>
      <c r="G1574" s="18">
        <v>1.0</v>
      </c>
      <c r="H1574" s="10">
        <v>5.0</v>
      </c>
      <c r="I1574" s="19">
        <v>5.0</v>
      </c>
      <c r="J1574" s="12"/>
      <c r="K1574" s="12">
        <f t="shared" si="86"/>
        <v>3250</v>
      </c>
      <c r="L1574" s="13" t="str">
        <f t="shared" si="88"/>
        <v>0 5-star + 1 RFC + 1 DME + 5 Patient Portal Login + 5 Completed Task</v>
      </c>
      <c r="M1574" s="13"/>
      <c r="N1574" s="13"/>
      <c r="O1574" s="14"/>
      <c r="P1574" s="14"/>
    </row>
    <row r="1575" hidden="1">
      <c r="A1575" s="6" t="s">
        <v>298</v>
      </c>
      <c r="B1575" s="16" t="s">
        <v>155</v>
      </c>
      <c r="C1575" s="16" t="s">
        <v>156</v>
      </c>
      <c r="D1575" s="16" t="s">
        <v>157</v>
      </c>
      <c r="E1575" s="17">
        <v>0.0</v>
      </c>
      <c r="F1575" s="18">
        <v>1.0</v>
      </c>
      <c r="G1575" s="18">
        <v>0.0</v>
      </c>
      <c r="H1575" s="10">
        <v>2.0</v>
      </c>
      <c r="I1575" s="19">
        <v>5.0</v>
      </c>
      <c r="J1575" s="12"/>
      <c r="K1575" s="12">
        <f t="shared" si="86"/>
        <v>2250</v>
      </c>
      <c r="L1575" s="13" t="str">
        <f t="shared" si="88"/>
        <v>0 5-star + 1 RFC + 0 DME + 2 Patient Portal Login + 5 Completed Task</v>
      </c>
      <c r="M1575" s="13"/>
      <c r="N1575" s="13"/>
      <c r="O1575" s="14"/>
      <c r="P1575" s="14"/>
    </row>
    <row r="1576" hidden="1">
      <c r="A1576" s="6" t="s">
        <v>298</v>
      </c>
      <c r="B1576" s="16" t="s">
        <v>158</v>
      </c>
      <c r="C1576" s="16" t="s">
        <v>159</v>
      </c>
      <c r="D1576" s="16" t="s">
        <v>160</v>
      </c>
      <c r="E1576" s="17">
        <v>0.0</v>
      </c>
      <c r="F1576" s="18">
        <v>1.0</v>
      </c>
      <c r="G1576" s="18">
        <v>0.0</v>
      </c>
      <c r="H1576" s="10">
        <v>4.0</v>
      </c>
      <c r="I1576" s="19">
        <v>5.0</v>
      </c>
      <c r="J1576" s="12"/>
      <c r="K1576" s="12">
        <f t="shared" si="86"/>
        <v>2750</v>
      </c>
      <c r="L1576" s="13" t="str">
        <f t="shared" si="88"/>
        <v>0 5-star + 1 RFC + 0 DME + 4 Patient Portal Login + 5 Completed Task</v>
      </c>
      <c r="M1576" s="13"/>
      <c r="N1576" s="13"/>
      <c r="O1576" s="14"/>
      <c r="P1576" s="14"/>
    </row>
    <row r="1577" hidden="1">
      <c r="A1577" s="6" t="s">
        <v>298</v>
      </c>
      <c r="B1577" s="20" t="s">
        <v>161</v>
      </c>
      <c r="C1577" s="20" t="s">
        <v>162</v>
      </c>
      <c r="D1577" s="20" t="s">
        <v>163</v>
      </c>
      <c r="E1577" s="17">
        <v>0.0</v>
      </c>
      <c r="F1577" s="18">
        <v>0.0</v>
      </c>
      <c r="G1577" s="18">
        <v>2.0</v>
      </c>
      <c r="H1577" s="10">
        <v>1.0</v>
      </c>
      <c r="I1577" s="19">
        <v>5.0</v>
      </c>
      <c r="J1577" s="12"/>
      <c r="K1577" s="12">
        <f>sum(E1577*250)+(E1563*500)+(G1577*250)+(H1577*250)+(I1577*250)</f>
        <v>2000</v>
      </c>
      <c r="L1577" s="13" t="str">
        <f> E1577 &amp; " 5-star + " &amp; E1563 &amp; " RFC + " &amp; G1577 &amp; " DME + " &amp; H1577 &amp; " Patient Portal Login + " &amp; I1577 &amp; " Completed Task"
</f>
        <v>0 5-star +  RFC + 2 DME + 1 Patient Portal Login + 5 Completed Task</v>
      </c>
      <c r="M1577" s="13"/>
      <c r="N1577" s="13"/>
      <c r="O1577" s="14"/>
      <c r="P1577" s="14"/>
    </row>
    <row r="1578" hidden="1">
      <c r="A1578" s="6" t="s">
        <v>298</v>
      </c>
      <c r="B1578" s="20" t="s">
        <v>164</v>
      </c>
      <c r="C1578" s="20" t="s">
        <v>165</v>
      </c>
      <c r="D1578" s="20" t="s">
        <v>166</v>
      </c>
      <c r="E1578" s="17">
        <v>0.0</v>
      </c>
      <c r="F1578" s="18">
        <v>1.0</v>
      </c>
      <c r="G1578" s="18">
        <v>0.0</v>
      </c>
      <c r="H1578" s="10">
        <v>0.0</v>
      </c>
      <c r="I1578" s="19">
        <v>4.0</v>
      </c>
      <c r="J1578" s="12"/>
      <c r="K1578" s="12">
        <f t="shared" ref="K1578:K1643" si="89">sum(E1578*250)+(F1578*500)+(G1578*250)+(H1578*250)+(I1578*250)</f>
        <v>1500</v>
      </c>
      <c r="L1578" s="13" t="str">
        <f t="shared" ref="L1578:L1643" si="90"> E1578 &amp; " 5-star + " &amp; F1578 &amp; " RFC + " &amp; G1578 &amp; " DME + " &amp; H1578 &amp; " Patient Portal Login + " &amp; I1578 &amp; " Completed Task"
</f>
        <v>0 5-star + 1 RFC + 0 DME + 0 Patient Portal Login + 4 Completed Task</v>
      </c>
      <c r="M1578" s="13"/>
      <c r="N1578" s="13"/>
      <c r="O1578" s="14"/>
      <c r="P1578" s="14"/>
    </row>
    <row r="1579" hidden="1">
      <c r="A1579" s="6" t="s">
        <v>298</v>
      </c>
      <c r="B1579" s="20" t="s">
        <v>167</v>
      </c>
      <c r="C1579" s="20" t="s">
        <v>168</v>
      </c>
      <c r="D1579" s="20" t="s">
        <v>169</v>
      </c>
      <c r="E1579" s="17">
        <v>0.0</v>
      </c>
      <c r="F1579" s="18">
        <v>2.0</v>
      </c>
      <c r="G1579" s="18">
        <v>0.0</v>
      </c>
      <c r="H1579" s="10">
        <v>0.0</v>
      </c>
      <c r="I1579" s="19">
        <v>5.0</v>
      </c>
      <c r="J1579" s="12"/>
      <c r="K1579" s="12">
        <f t="shared" si="89"/>
        <v>2250</v>
      </c>
      <c r="L1579" s="13" t="str">
        <f t="shared" si="90"/>
        <v>0 5-star + 2 RFC + 0 DME + 0 Patient Portal Login + 5 Completed Task</v>
      </c>
      <c r="M1579" s="13"/>
      <c r="N1579" s="13"/>
      <c r="O1579" s="14"/>
      <c r="P1579" s="14"/>
    </row>
    <row r="1580" hidden="1">
      <c r="A1580" s="6" t="s">
        <v>298</v>
      </c>
      <c r="B1580" s="20" t="s">
        <v>170</v>
      </c>
      <c r="C1580" s="20" t="s">
        <v>171</v>
      </c>
      <c r="D1580" s="20" t="s">
        <v>172</v>
      </c>
      <c r="E1580" s="17">
        <v>1.0</v>
      </c>
      <c r="F1580" s="18">
        <v>2.0</v>
      </c>
      <c r="G1580" s="18">
        <v>0.0</v>
      </c>
      <c r="H1580" s="10">
        <v>3.0</v>
      </c>
      <c r="I1580" s="19">
        <v>5.0</v>
      </c>
      <c r="J1580" s="12"/>
      <c r="K1580" s="12">
        <f t="shared" si="89"/>
        <v>3250</v>
      </c>
      <c r="L1580" s="13" t="str">
        <f t="shared" si="90"/>
        <v>1 5-star + 2 RFC + 0 DME + 3 Patient Portal Login + 5 Completed Task</v>
      </c>
      <c r="M1580" s="13"/>
      <c r="N1580" s="13"/>
      <c r="O1580" s="14"/>
      <c r="P1580" s="14"/>
    </row>
    <row r="1581" hidden="1">
      <c r="A1581" s="6" t="s">
        <v>298</v>
      </c>
      <c r="B1581" s="16" t="s">
        <v>173</v>
      </c>
      <c r="C1581" s="16" t="s">
        <v>174</v>
      </c>
      <c r="D1581" s="16" t="s">
        <v>175</v>
      </c>
      <c r="E1581" s="17">
        <v>0.0</v>
      </c>
      <c r="F1581" s="18">
        <v>2.0</v>
      </c>
      <c r="G1581" s="18">
        <v>1.0</v>
      </c>
      <c r="H1581" s="15">
        <v>10.0</v>
      </c>
      <c r="I1581" s="19">
        <v>3.0</v>
      </c>
      <c r="J1581" s="12"/>
      <c r="K1581" s="12">
        <f t="shared" si="89"/>
        <v>4500</v>
      </c>
      <c r="L1581" s="13" t="str">
        <f t="shared" si="90"/>
        <v>0 5-star + 2 RFC + 1 DME + 10 Patient Portal Login + 3 Completed Task</v>
      </c>
      <c r="M1581" s="13"/>
      <c r="N1581" s="13"/>
      <c r="O1581" s="14"/>
      <c r="P1581" s="14"/>
    </row>
    <row r="1582" hidden="1">
      <c r="A1582" s="6" t="s">
        <v>298</v>
      </c>
      <c r="B1582" s="16" t="s">
        <v>176</v>
      </c>
      <c r="C1582" s="16" t="s">
        <v>177</v>
      </c>
      <c r="D1582" s="16" t="s">
        <v>178</v>
      </c>
      <c r="E1582" s="17">
        <v>0.0</v>
      </c>
      <c r="F1582" s="18">
        <v>1.0</v>
      </c>
      <c r="G1582" s="18">
        <v>0.0</v>
      </c>
      <c r="H1582" s="10">
        <v>4.0</v>
      </c>
      <c r="I1582" s="19">
        <v>5.0</v>
      </c>
      <c r="J1582" s="12"/>
      <c r="K1582" s="12">
        <f t="shared" si="89"/>
        <v>2750</v>
      </c>
      <c r="L1582" s="13" t="str">
        <f t="shared" si="90"/>
        <v>0 5-star + 1 RFC + 0 DME + 4 Patient Portal Login + 5 Completed Task</v>
      </c>
      <c r="M1582" s="13"/>
      <c r="N1582" s="13"/>
      <c r="O1582" s="14"/>
      <c r="P1582" s="14"/>
    </row>
    <row r="1583" hidden="1">
      <c r="A1583" s="6" t="s">
        <v>298</v>
      </c>
      <c r="B1583" s="21" t="s">
        <v>291</v>
      </c>
      <c r="C1583" s="21" t="s">
        <v>292</v>
      </c>
      <c r="D1583" s="21" t="s">
        <v>293</v>
      </c>
      <c r="E1583" s="76"/>
      <c r="F1583" s="76"/>
      <c r="G1583" s="76"/>
      <c r="H1583" s="76"/>
      <c r="I1583" s="76"/>
      <c r="J1583" s="12"/>
      <c r="K1583" s="12">
        <f t="shared" si="89"/>
        <v>0</v>
      </c>
      <c r="L1583" s="13" t="str">
        <f t="shared" si="90"/>
        <v> 5-star +  RFC +  DME +  Patient Portal Login +  Completed Task</v>
      </c>
      <c r="M1583" s="13"/>
      <c r="N1583" s="13"/>
      <c r="O1583" s="23"/>
      <c r="P1583" s="23"/>
    </row>
    <row r="1584" hidden="1">
      <c r="A1584" s="6" t="s">
        <v>298</v>
      </c>
      <c r="B1584" s="21" t="s">
        <v>294</v>
      </c>
      <c r="C1584" s="21" t="s">
        <v>295</v>
      </c>
      <c r="D1584" s="21" t="s">
        <v>296</v>
      </c>
      <c r="E1584" s="17">
        <v>0.0</v>
      </c>
      <c r="F1584" s="18">
        <v>0.0</v>
      </c>
      <c r="G1584" s="18">
        <v>0.0</v>
      </c>
      <c r="H1584" s="10">
        <v>0.0</v>
      </c>
      <c r="I1584" s="19">
        <v>5.0</v>
      </c>
      <c r="J1584" s="12"/>
      <c r="K1584" s="12">
        <f t="shared" si="89"/>
        <v>1250</v>
      </c>
      <c r="L1584" s="13" t="str">
        <f t="shared" si="90"/>
        <v>0 5-star + 0 RFC + 0 DME + 0 Patient Portal Login + 5 Completed Task</v>
      </c>
      <c r="M1584" s="13"/>
      <c r="N1584" s="13"/>
      <c r="O1584" s="23"/>
      <c r="P1584" s="23"/>
    </row>
    <row r="1585" hidden="1">
      <c r="A1585" s="6" t="s">
        <v>298</v>
      </c>
      <c r="B1585" s="21" t="s">
        <v>179</v>
      </c>
      <c r="C1585" s="21" t="s">
        <v>180</v>
      </c>
      <c r="D1585" s="21" t="s">
        <v>181</v>
      </c>
      <c r="E1585" s="17">
        <v>2.0</v>
      </c>
      <c r="F1585" s="18">
        <v>7.0</v>
      </c>
      <c r="G1585" s="18">
        <v>1.0</v>
      </c>
      <c r="H1585" s="10">
        <v>21.0</v>
      </c>
      <c r="I1585" s="19">
        <v>4.0</v>
      </c>
      <c r="J1585" s="12"/>
      <c r="K1585" s="12">
        <f t="shared" si="89"/>
        <v>10500</v>
      </c>
      <c r="L1585" s="13" t="str">
        <f t="shared" si="90"/>
        <v>2 5-star + 7 RFC + 1 DME + 21 Patient Portal Login + 4 Completed Task</v>
      </c>
      <c r="M1585" s="13"/>
      <c r="N1585" s="13"/>
      <c r="O1585" s="23"/>
      <c r="P1585" s="23"/>
    </row>
    <row r="1586" hidden="1">
      <c r="A1586" s="6" t="s">
        <v>298</v>
      </c>
      <c r="B1586" s="21" t="s">
        <v>182</v>
      </c>
      <c r="C1586" s="21" t="s">
        <v>183</v>
      </c>
      <c r="D1586" s="21" t="s">
        <v>184</v>
      </c>
      <c r="E1586" s="17">
        <v>0.0</v>
      </c>
      <c r="F1586" s="18">
        <v>0.0</v>
      </c>
      <c r="G1586" s="18">
        <v>1.0</v>
      </c>
      <c r="H1586" s="10">
        <v>6.0</v>
      </c>
      <c r="I1586" s="19">
        <v>3.0</v>
      </c>
      <c r="J1586" s="12"/>
      <c r="K1586" s="12">
        <f t="shared" si="89"/>
        <v>2500</v>
      </c>
      <c r="L1586" s="13" t="str">
        <f t="shared" si="90"/>
        <v>0 5-star + 0 RFC + 1 DME + 6 Patient Portal Login + 3 Completed Task</v>
      </c>
      <c r="M1586" s="13"/>
      <c r="N1586" s="13"/>
      <c r="O1586" s="23"/>
      <c r="P1586" s="23"/>
    </row>
    <row r="1587" hidden="1">
      <c r="A1587" s="6" t="s">
        <v>298</v>
      </c>
      <c r="B1587" s="21" t="s">
        <v>185</v>
      </c>
      <c r="C1587" s="21" t="s">
        <v>186</v>
      </c>
      <c r="D1587" s="21" t="s">
        <v>187</v>
      </c>
      <c r="E1587" s="17">
        <v>0.0</v>
      </c>
      <c r="F1587" s="18">
        <v>2.0</v>
      </c>
      <c r="G1587" s="18">
        <v>0.0</v>
      </c>
      <c r="H1587" s="10">
        <v>21.0</v>
      </c>
      <c r="I1587" s="19">
        <v>5.0</v>
      </c>
      <c r="J1587" s="12"/>
      <c r="K1587" s="12">
        <f t="shared" si="89"/>
        <v>7500</v>
      </c>
      <c r="L1587" s="13" t="str">
        <f t="shared" si="90"/>
        <v>0 5-star + 2 RFC + 0 DME + 21 Patient Portal Login + 5 Completed Task</v>
      </c>
      <c r="M1587" s="13"/>
      <c r="N1587" s="13"/>
      <c r="O1587" s="23"/>
      <c r="P1587" s="23"/>
    </row>
    <row r="1588" hidden="1">
      <c r="A1588" s="6" t="s">
        <v>298</v>
      </c>
      <c r="B1588" s="21" t="s">
        <v>188</v>
      </c>
      <c r="C1588" s="21" t="s">
        <v>189</v>
      </c>
      <c r="D1588" s="21" t="s">
        <v>190</v>
      </c>
      <c r="E1588" s="17">
        <v>1.0</v>
      </c>
      <c r="F1588" s="18">
        <v>3.0</v>
      </c>
      <c r="G1588" s="18">
        <v>0.0</v>
      </c>
      <c r="H1588" s="10">
        <v>2.0</v>
      </c>
      <c r="I1588" s="19">
        <v>5.0</v>
      </c>
      <c r="J1588" s="12"/>
      <c r="K1588" s="12">
        <f t="shared" si="89"/>
        <v>3500</v>
      </c>
      <c r="L1588" s="13" t="str">
        <f t="shared" si="90"/>
        <v>1 5-star + 3 RFC + 0 DME + 2 Patient Portal Login + 5 Completed Task</v>
      </c>
      <c r="M1588" s="13"/>
      <c r="N1588" s="13"/>
      <c r="O1588" s="23"/>
      <c r="P1588" s="23"/>
    </row>
    <row r="1589" hidden="1">
      <c r="A1589" s="6" t="s">
        <v>298</v>
      </c>
      <c r="B1589" s="61" t="s">
        <v>258</v>
      </c>
      <c r="C1589" s="21" t="s">
        <v>259</v>
      </c>
      <c r="D1589" s="21" t="s">
        <v>260</v>
      </c>
      <c r="E1589" s="77"/>
      <c r="F1589" s="77"/>
      <c r="G1589" s="77"/>
      <c r="H1589" s="77"/>
      <c r="I1589" s="77"/>
      <c r="J1589" s="12"/>
      <c r="K1589" s="12">
        <f t="shared" si="89"/>
        <v>0</v>
      </c>
      <c r="L1589" s="13" t="str">
        <f t="shared" si="90"/>
        <v> 5-star +  RFC +  DME +  Patient Portal Login +  Completed Task</v>
      </c>
      <c r="M1589" s="13"/>
      <c r="N1589" s="13"/>
      <c r="O1589" s="23"/>
      <c r="P1589" s="23"/>
    </row>
    <row r="1590" hidden="1">
      <c r="A1590" s="6" t="s">
        <v>298</v>
      </c>
      <c r="B1590" s="21" t="s">
        <v>262</v>
      </c>
      <c r="C1590" s="21" t="s">
        <v>263</v>
      </c>
      <c r="D1590" s="21" t="s">
        <v>264</v>
      </c>
      <c r="E1590" s="17">
        <v>18.0</v>
      </c>
      <c r="F1590" s="18">
        <v>2.0</v>
      </c>
      <c r="G1590" s="18">
        <v>0.0</v>
      </c>
      <c r="H1590" s="10">
        <v>0.0</v>
      </c>
      <c r="I1590" s="19">
        <v>4.0</v>
      </c>
      <c r="J1590" s="12"/>
      <c r="K1590" s="12">
        <f t="shared" si="89"/>
        <v>6500</v>
      </c>
      <c r="L1590" s="13" t="str">
        <f t="shared" si="90"/>
        <v>18 5-star + 2 RFC + 0 DME + 0 Patient Portal Login + 4 Completed Task</v>
      </c>
      <c r="M1590" s="13"/>
      <c r="N1590" s="13"/>
      <c r="O1590" s="23"/>
      <c r="P1590" s="23"/>
    </row>
    <row r="1591" hidden="1">
      <c r="A1591" s="6" t="s">
        <v>298</v>
      </c>
      <c r="B1591" s="21" t="s">
        <v>191</v>
      </c>
      <c r="C1591" s="21" t="s">
        <v>192</v>
      </c>
      <c r="D1591" s="21" t="s">
        <v>193</v>
      </c>
      <c r="E1591" s="17">
        <v>1.0</v>
      </c>
      <c r="F1591" s="18">
        <v>6.0</v>
      </c>
      <c r="G1591" s="18">
        <v>1.0</v>
      </c>
      <c r="H1591" s="10">
        <v>8.0</v>
      </c>
      <c r="I1591" s="19">
        <v>5.0</v>
      </c>
      <c r="J1591" s="12"/>
      <c r="K1591" s="12">
        <f t="shared" si="89"/>
        <v>6750</v>
      </c>
      <c r="L1591" s="13" t="str">
        <f t="shared" si="90"/>
        <v>1 5-star + 6 RFC + 1 DME + 8 Patient Portal Login + 5 Completed Task</v>
      </c>
      <c r="M1591" s="13"/>
      <c r="N1591" s="13"/>
      <c r="O1591" s="23"/>
      <c r="P1591" s="23"/>
    </row>
    <row r="1592" hidden="1">
      <c r="A1592" s="6" t="s">
        <v>298</v>
      </c>
      <c r="B1592" s="21" t="s">
        <v>194</v>
      </c>
      <c r="C1592" s="21" t="s">
        <v>195</v>
      </c>
      <c r="D1592" s="21" t="s">
        <v>196</v>
      </c>
      <c r="E1592" s="17">
        <v>8.0</v>
      </c>
      <c r="F1592" s="18">
        <v>0.0</v>
      </c>
      <c r="G1592" s="18">
        <v>0.0</v>
      </c>
      <c r="H1592" s="10">
        <v>12.0</v>
      </c>
      <c r="I1592" s="19">
        <v>5.0</v>
      </c>
      <c r="J1592" s="12"/>
      <c r="K1592" s="12">
        <f t="shared" si="89"/>
        <v>6250</v>
      </c>
      <c r="L1592" s="13" t="str">
        <f t="shared" si="90"/>
        <v>8 5-star + 0 RFC + 0 DME + 12 Patient Portal Login + 5 Completed Task</v>
      </c>
      <c r="M1592" s="13"/>
      <c r="N1592" s="13"/>
      <c r="O1592" s="23"/>
      <c r="P1592" s="23"/>
    </row>
    <row r="1593" hidden="1">
      <c r="A1593" s="6" t="s">
        <v>298</v>
      </c>
      <c r="B1593" s="21" t="s">
        <v>197</v>
      </c>
      <c r="C1593" s="21" t="s">
        <v>198</v>
      </c>
      <c r="D1593" s="21" t="s">
        <v>199</v>
      </c>
      <c r="E1593" s="17">
        <v>0.0</v>
      </c>
      <c r="F1593" s="18">
        <v>1.0</v>
      </c>
      <c r="G1593" s="18">
        <v>0.0</v>
      </c>
      <c r="H1593" s="10">
        <v>12.0</v>
      </c>
      <c r="I1593" s="19">
        <v>5.0</v>
      </c>
      <c r="J1593" s="12"/>
      <c r="K1593" s="12">
        <f t="shared" si="89"/>
        <v>4750</v>
      </c>
      <c r="L1593" s="13" t="str">
        <f t="shared" si="90"/>
        <v>0 5-star + 1 RFC + 0 DME + 12 Patient Portal Login + 5 Completed Task</v>
      </c>
      <c r="M1593" s="13"/>
      <c r="N1593" s="13"/>
      <c r="O1593" s="23"/>
      <c r="P1593" s="23"/>
    </row>
    <row r="1594" hidden="1">
      <c r="A1594" s="6" t="s">
        <v>298</v>
      </c>
      <c r="B1594" s="21" t="s">
        <v>200</v>
      </c>
      <c r="C1594" s="21" t="s">
        <v>201</v>
      </c>
      <c r="D1594" s="21" t="s">
        <v>202</v>
      </c>
      <c r="E1594" s="17">
        <v>0.0</v>
      </c>
      <c r="F1594" s="18">
        <v>4.0</v>
      </c>
      <c r="G1594" s="18">
        <v>0.0</v>
      </c>
      <c r="H1594" s="10">
        <v>5.0</v>
      </c>
      <c r="I1594" s="19">
        <v>5.0</v>
      </c>
      <c r="J1594" s="12"/>
      <c r="K1594" s="12">
        <f t="shared" si="89"/>
        <v>4500</v>
      </c>
      <c r="L1594" s="13" t="str">
        <f t="shared" si="90"/>
        <v>0 5-star + 4 RFC + 0 DME + 5 Patient Portal Login + 5 Completed Task</v>
      </c>
      <c r="M1594" s="13"/>
      <c r="N1594" s="13"/>
      <c r="O1594" s="23"/>
      <c r="P1594" s="23"/>
    </row>
    <row r="1595" hidden="1">
      <c r="A1595" s="54" t="s">
        <v>299</v>
      </c>
      <c r="B1595" s="7" t="s">
        <v>53</v>
      </c>
      <c r="C1595" s="7" t="s">
        <v>54</v>
      </c>
      <c r="D1595" s="7" t="s">
        <v>55</v>
      </c>
      <c r="E1595" s="17">
        <v>0.0</v>
      </c>
      <c r="F1595" s="9">
        <v>0.0</v>
      </c>
      <c r="G1595" s="9">
        <v>0.0</v>
      </c>
      <c r="H1595" s="15">
        <v>0.0</v>
      </c>
      <c r="I1595" s="11">
        <v>0.0</v>
      </c>
      <c r="J1595" s="12"/>
      <c r="K1595" s="12">
        <f t="shared" si="89"/>
        <v>0</v>
      </c>
      <c r="L1595" s="13" t="str">
        <f t="shared" si="90"/>
        <v>0 5-star + 0 RFC + 0 DME + 0 Patient Portal Login + 0 Completed Task</v>
      </c>
      <c r="M1595" s="13"/>
      <c r="N1595" s="13"/>
      <c r="O1595" s="14"/>
      <c r="P1595" s="14"/>
    </row>
    <row r="1596" hidden="1">
      <c r="A1596" s="54" t="s">
        <v>299</v>
      </c>
      <c r="B1596" s="7" t="s">
        <v>56</v>
      </c>
      <c r="C1596" s="7" t="s">
        <v>57</v>
      </c>
      <c r="D1596" s="7" t="s">
        <v>58</v>
      </c>
      <c r="E1596" s="17">
        <v>1.0</v>
      </c>
      <c r="F1596" s="9">
        <v>0.0</v>
      </c>
      <c r="G1596" s="9">
        <v>0.0</v>
      </c>
      <c r="H1596" s="15">
        <v>0.0</v>
      </c>
      <c r="I1596" s="19">
        <v>1.0</v>
      </c>
      <c r="J1596" s="12"/>
      <c r="K1596" s="12">
        <f t="shared" si="89"/>
        <v>500</v>
      </c>
      <c r="L1596" s="13" t="str">
        <f t="shared" si="90"/>
        <v>1 5-star + 0 RFC + 0 DME + 0 Patient Portal Login + 1 Completed Task</v>
      </c>
      <c r="M1596" s="13"/>
      <c r="N1596" s="13"/>
      <c r="O1596" s="14"/>
      <c r="P1596" s="14"/>
    </row>
    <row r="1597" hidden="1">
      <c r="A1597" s="54" t="s">
        <v>299</v>
      </c>
      <c r="B1597" s="7" t="s">
        <v>59</v>
      </c>
      <c r="C1597" s="7" t="s">
        <v>60</v>
      </c>
      <c r="D1597" s="7" t="s">
        <v>61</v>
      </c>
      <c r="E1597" s="17">
        <v>0.0</v>
      </c>
      <c r="F1597" s="9">
        <v>0.0</v>
      </c>
      <c r="G1597" s="9">
        <v>0.0</v>
      </c>
      <c r="H1597" s="15">
        <v>0.0</v>
      </c>
      <c r="I1597" s="11">
        <v>0.0</v>
      </c>
      <c r="J1597" s="12"/>
      <c r="K1597" s="12">
        <f t="shared" si="89"/>
        <v>0</v>
      </c>
      <c r="L1597" s="13" t="str">
        <f t="shared" si="90"/>
        <v>0 5-star + 0 RFC + 0 DME + 0 Patient Portal Login + 0 Completed Task</v>
      </c>
      <c r="M1597" s="13"/>
      <c r="N1597" s="13"/>
      <c r="O1597" s="14"/>
      <c r="P1597" s="14"/>
    </row>
    <row r="1598" hidden="1">
      <c r="A1598" s="6" t="s">
        <v>299</v>
      </c>
      <c r="B1598" s="7" t="s">
        <v>62</v>
      </c>
      <c r="C1598" s="7" t="s">
        <v>63</v>
      </c>
      <c r="D1598" s="7" t="s">
        <v>64</v>
      </c>
      <c r="E1598" s="17">
        <v>1.0</v>
      </c>
      <c r="F1598" s="18">
        <v>0.0</v>
      </c>
      <c r="G1598" s="18">
        <v>1.0</v>
      </c>
      <c r="H1598" s="10">
        <v>1.0</v>
      </c>
      <c r="I1598" s="19">
        <v>0.0</v>
      </c>
      <c r="J1598" s="12"/>
      <c r="K1598" s="12">
        <f t="shared" si="89"/>
        <v>750</v>
      </c>
      <c r="L1598" s="13" t="str">
        <f t="shared" si="90"/>
        <v>1 5-star + 0 RFC + 1 DME + 1 Patient Portal Login + 0 Completed Task</v>
      </c>
      <c r="M1598" s="13"/>
      <c r="N1598" s="13"/>
      <c r="O1598" s="14"/>
      <c r="P1598" s="14"/>
    </row>
    <row r="1599" hidden="1">
      <c r="A1599" s="6" t="s">
        <v>299</v>
      </c>
      <c r="B1599" s="7" t="s">
        <v>251</v>
      </c>
      <c r="C1599" s="7" t="s">
        <v>252</v>
      </c>
      <c r="D1599" s="7" t="s">
        <v>253</v>
      </c>
      <c r="E1599" s="17">
        <v>0.0</v>
      </c>
      <c r="F1599" s="18">
        <v>0.0</v>
      </c>
      <c r="G1599" s="18">
        <v>0.0</v>
      </c>
      <c r="H1599" s="10">
        <v>3.0</v>
      </c>
      <c r="I1599" s="19">
        <v>0.0</v>
      </c>
      <c r="J1599" s="12"/>
      <c r="K1599" s="12">
        <f t="shared" si="89"/>
        <v>750</v>
      </c>
      <c r="L1599" s="13" t="str">
        <f t="shared" si="90"/>
        <v>0 5-star + 0 RFC + 0 DME + 3 Patient Portal Login + 0 Completed Task</v>
      </c>
      <c r="M1599" s="13"/>
      <c r="N1599" s="13"/>
      <c r="O1599" s="14"/>
      <c r="P1599" s="14"/>
    </row>
    <row r="1600" hidden="1">
      <c r="A1600" s="6" t="s">
        <v>299</v>
      </c>
      <c r="B1600" s="16" t="s">
        <v>65</v>
      </c>
      <c r="C1600" s="16" t="s">
        <v>66</v>
      </c>
      <c r="D1600" s="16" t="s">
        <v>67</v>
      </c>
      <c r="E1600" s="17">
        <v>0.0</v>
      </c>
      <c r="F1600" s="18">
        <v>0.0</v>
      </c>
      <c r="G1600" s="18">
        <v>0.0</v>
      </c>
      <c r="H1600" s="10">
        <v>0.0</v>
      </c>
      <c r="I1600" s="19">
        <v>5.0</v>
      </c>
      <c r="J1600" s="12"/>
      <c r="K1600" s="12">
        <f t="shared" si="89"/>
        <v>1250</v>
      </c>
      <c r="L1600" s="13" t="str">
        <f t="shared" si="90"/>
        <v>0 5-star + 0 RFC + 0 DME + 0 Patient Portal Login + 5 Completed Task</v>
      </c>
      <c r="M1600" s="13"/>
      <c r="N1600" s="13"/>
      <c r="O1600" s="14"/>
      <c r="P1600" s="14"/>
    </row>
    <row r="1601" hidden="1">
      <c r="A1601" s="6" t="s">
        <v>299</v>
      </c>
      <c r="B1601" s="7" t="s">
        <v>68</v>
      </c>
      <c r="C1601" s="16" t="s">
        <v>69</v>
      </c>
      <c r="D1601" s="16" t="s">
        <v>70</v>
      </c>
      <c r="E1601" s="17">
        <v>0.0</v>
      </c>
      <c r="F1601" s="18">
        <v>0.0</v>
      </c>
      <c r="G1601" s="18">
        <v>0.0</v>
      </c>
      <c r="H1601" s="10">
        <v>0.0</v>
      </c>
      <c r="I1601" s="19">
        <v>5.0</v>
      </c>
      <c r="J1601" s="12"/>
      <c r="K1601" s="12">
        <f t="shared" si="89"/>
        <v>1250</v>
      </c>
      <c r="L1601" s="13" t="str">
        <f t="shared" si="90"/>
        <v>0 5-star + 0 RFC + 0 DME + 0 Patient Portal Login + 5 Completed Task</v>
      </c>
      <c r="M1601" s="13"/>
      <c r="N1601" s="13"/>
      <c r="O1601" s="14"/>
      <c r="P1601" s="14"/>
    </row>
    <row r="1602" hidden="1">
      <c r="A1602" s="6" t="s">
        <v>299</v>
      </c>
      <c r="B1602" s="16" t="s">
        <v>71</v>
      </c>
      <c r="C1602" s="16" t="s">
        <v>72</v>
      </c>
      <c r="D1602" s="16" t="s">
        <v>73</v>
      </c>
      <c r="E1602" s="17">
        <v>0.0</v>
      </c>
      <c r="F1602" s="18">
        <v>0.0</v>
      </c>
      <c r="G1602" s="18">
        <v>0.0</v>
      </c>
      <c r="H1602" s="10">
        <v>0.0</v>
      </c>
      <c r="I1602" s="19">
        <v>5.0</v>
      </c>
      <c r="J1602" s="12"/>
      <c r="K1602" s="12">
        <f t="shared" si="89"/>
        <v>1250</v>
      </c>
      <c r="L1602" s="13" t="str">
        <f t="shared" si="90"/>
        <v>0 5-star + 0 RFC + 0 DME + 0 Patient Portal Login + 5 Completed Task</v>
      </c>
      <c r="M1602" s="13"/>
      <c r="N1602" s="13"/>
      <c r="O1602" s="14"/>
      <c r="P1602" s="14"/>
    </row>
    <row r="1603" hidden="1">
      <c r="A1603" s="6" t="s">
        <v>299</v>
      </c>
      <c r="B1603" s="16" t="s">
        <v>74</v>
      </c>
      <c r="C1603" s="16" t="s">
        <v>75</v>
      </c>
      <c r="D1603" s="16" t="s">
        <v>76</v>
      </c>
      <c r="E1603" s="17">
        <v>0.0</v>
      </c>
      <c r="F1603" s="18">
        <v>0.0</v>
      </c>
      <c r="G1603" s="18">
        <v>0.0</v>
      </c>
      <c r="H1603" s="10">
        <v>0.0</v>
      </c>
      <c r="I1603" s="19">
        <v>5.0</v>
      </c>
      <c r="J1603" s="12"/>
      <c r="K1603" s="12">
        <f t="shared" si="89"/>
        <v>1250</v>
      </c>
      <c r="L1603" s="13" t="str">
        <f t="shared" si="90"/>
        <v>0 5-star + 0 RFC + 0 DME + 0 Patient Portal Login + 5 Completed Task</v>
      </c>
      <c r="M1603" s="13"/>
      <c r="N1603" s="13"/>
      <c r="O1603" s="14"/>
      <c r="P1603" s="14"/>
    </row>
    <row r="1604" hidden="1">
      <c r="A1604" s="6" t="s">
        <v>299</v>
      </c>
      <c r="B1604" s="16" t="s">
        <v>77</v>
      </c>
      <c r="C1604" s="16" t="s">
        <v>78</v>
      </c>
      <c r="D1604" s="16" t="s">
        <v>79</v>
      </c>
      <c r="E1604" s="17">
        <v>5.0</v>
      </c>
      <c r="F1604" s="18">
        <v>4.0</v>
      </c>
      <c r="G1604" s="18">
        <v>0.0</v>
      </c>
      <c r="H1604" s="10">
        <v>8.0</v>
      </c>
      <c r="I1604" s="19">
        <v>3.0</v>
      </c>
      <c r="J1604" s="12"/>
      <c r="K1604" s="12">
        <f t="shared" si="89"/>
        <v>6000</v>
      </c>
      <c r="L1604" s="13" t="str">
        <f t="shared" si="90"/>
        <v>5 5-star + 4 RFC + 0 DME + 8 Patient Portal Login + 3 Completed Task</v>
      </c>
      <c r="M1604" s="13"/>
      <c r="N1604" s="13"/>
      <c r="O1604" s="14"/>
      <c r="P1604" s="14"/>
    </row>
    <row r="1605" hidden="1">
      <c r="A1605" s="6" t="s">
        <v>299</v>
      </c>
      <c r="B1605" s="16" t="s">
        <v>80</v>
      </c>
      <c r="C1605" s="16" t="s">
        <v>81</v>
      </c>
      <c r="D1605" s="16" t="s">
        <v>82</v>
      </c>
      <c r="E1605" s="17">
        <v>0.0</v>
      </c>
      <c r="F1605" s="18">
        <v>0.0</v>
      </c>
      <c r="G1605" s="18">
        <v>2.0</v>
      </c>
      <c r="H1605" s="10">
        <v>1.0</v>
      </c>
      <c r="I1605" s="19">
        <v>5.0</v>
      </c>
      <c r="J1605" s="12"/>
      <c r="K1605" s="12">
        <f t="shared" si="89"/>
        <v>2000</v>
      </c>
      <c r="L1605" s="13" t="str">
        <f t="shared" si="90"/>
        <v>0 5-star + 0 RFC + 2 DME + 1 Patient Portal Login + 5 Completed Task</v>
      </c>
      <c r="M1605" s="13"/>
      <c r="N1605" s="13"/>
      <c r="O1605" s="14"/>
      <c r="P1605" s="14"/>
    </row>
    <row r="1606" hidden="1">
      <c r="A1606" s="6" t="s">
        <v>299</v>
      </c>
      <c r="B1606" s="7" t="s">
        <v>83</v>
      </c>
      <c r="C1606" s="16" t="s">
        <v>84</v>
      </c>
      <c r="D1606" s="16" t="s">
        <v>85</v>
      </c>
      <c r="E1606" s="17">
        <v>0.0</v>
      </c>
      <c r="F1606" s="18">
        <v>0.0</v>
      </c>
      <c r="G1606" s="18">
        <v>0.0</v>
      </c>
      <c r="H1606" s="10">
        <v>13.0</v>
      </c>
      <c r="I1606" s="19">
        <v>5.0</v>
      </c>
      <c r="J1606" s="12"/>
      <c r="K1606" s="12">
        <f t="shared" si="89"/>
        <v>4500</v>
      </c>
      <c r="L1606" s="13" t="str">
        <f t="shared" si="90"/>
        <v>0 5-star + 0 RFC + 0 DME + 13 Patient Portal Login + 5 Completed Task</v>
      </c>
      <c r="M1606" s="13"/>
      <c r="N1606" s="13"/>
      <c r="O1606" s="14"/>
      <c r="P1606" s="14"/>
    </row>
    <row r="1607" hidden="1">
      <c r="A1607" s="6" t="s">
        <v>299</v>
      </c>
      <c r="B1607" s="16" t="s">
        <v>255</v>
      </c>
      <c r="C1607" s="16" t="s">
        <v>256</v>
      </c>
      <c r="D1607" s="16" t="s">
        <v>257</v>
      </c>
      <c r="E1607" s="17">
        <v>1.0</v>
      </c>
      <c r="F1607" s="18">
        <v>0.0</v>
      </c>
      <c r="G1607" s="18">
        <v>0.0</v>
      </c>
      <c r="H1607" s="10">
        <v>10.0</v>
      </c>
      <c r="I1607" s="19">
        <v>3.0</v>
      </c>
      <c r="J1607" s="12"/>
      <c r="K1607" s="12">
        <f t="shared" si="89"/>
        <v>3500</v>
      </c>
      <c r="L1607" s="13" t="str">
        <f t="shared" si="90"/>
        <v>1 5-star + 0 RFC + 0 DME + 10 Patient Portal Login + 3 Completed Task</v>
      </c>
      <c r="M1607" s="13"/>
      <c r="N1607" s="13"/>
      <c r="O1607" s="14"/>
      <c r="P1607" s="14"/>
    </row>
    <row r="1608" hidden="1">
      <c r="A1608" s="6" t="s">
        <v>299</v>
      </c>
      <c r="B1608" s="16" t="s">
        <v>86</v>
      </c>
      <c r="C1608" s="16" t="s">
        <v>87</v>
      </c>
      <c r="D1608" s="16" t="s">
        <v>88</v>
      </c>
      <c r="E1608" s="17">
        <v>4.0</v>
      </c>
      <c r="F1608" s="18">
        <v>10.0</v>
      </c>
      <c r="G1608" s="18">
        <v>0.0</v>
      </c>
      <c r="H1608" s="10">
        <v>5.0</v>
      </c>
      <c r="I1608" s="19">
        <v>5.0</v>
      </c>
      <c r="J1608" s="12"/>
      <c r="K1608" s="12">
        <f t="shared" si="89"/>
        <v>8500</v>
      </c>
      <c r="L1608" s="13" t="str">
        <f t="shared" si="90"/>
        <v>4 5-star + 10 RFC + 0 DME + 5 Patient Portal Login + 5 Completed Task</v>
      </c>
      <c r="M1608" s="13"/>
      <c r="N1608" s="13"/>
      <c r="O1608" s="14"/>
      <c r="P1608" s="14"/>
    </row>
    <row r="1609" hidden="1">
      <c r="A1609" s="6" t="s">
        <v>299</v>
      </c>
      <c r="B1609" s="16" t="s">
        <v>89</v>
      </c>
      <c r="C1609" s="16" t="s">
        <v>90</v>
      </c>
      <c r="D1609" s="16" t="s">
        <v>91</v>
      </c>
      <c r="E1609" s="17">
        <v>1.0</v>
      </c>
      <c r="F1609" s="18">
        <v>4.0</v>
      </c>
      <c r="G1609" s="18">
        <v>0.0</v>
      </c>
      <c r="H1609" s="10">
        <v>13.0</v>
      </c>
      <c r="I1609" s="19">
        <v>5.0</v>
      </c>
      <c r="J1609" s="12"/>
      <c r="K1609" s="12">
        <f t="shared" si="89"/>
        <v>6750</v>
      </c>
      <c r="L1609" s="13" t="str">
        <f t="shared" si="90"/>
        <v>1 5-star + 4 RFC + 0 DME + 13 Patient Portal Login + 5 Completed Task</v>
      </c>
      <c r="M1609" s="13"/>
      <c r="N1609" s="13"/>
      <c r="O1609" s="14"/>
      <c r="P1609" s="14"/>
    </row>
    <row r="1610" hidden="1">
      <c r="A1610" s="6" t="s">
        <v>299</v>
      </c>
      <c r="B1610" s="16" t="s">
        <v>92</v>
      </c>
      <c r="C1610" s="16" t="s">
        <v>93</v>
      </c>
      <c r="D1610" s="16" t="s">
        <v>94</v>
      </c>
      <c r="E1610" s="48">
        <v>0.0</v>
      </c>
      <c r="F1610" s="49">
        <v>0.0</v>
      </c>
      <c r="G1610" s="49">
        <v>0.0</v>
      </c>
      <c r="H1610" s="10">
        <v>0.0</v>
      </c>
      <c r="I1610" s="19">
        <v>5.0</v>
      </c>
      <c r="J1610" s="12"/>
      <c r="K1610" s="12">
        <f t="shared" si="89"/>
        <v>1250</v>
      </c>
      <c r="L1610" s="13" t="str">
        <f t="shared" si="90"/>
        <v>0 5-star + 0 RFC + 0 DME + 0 Patient Portal Login + 5 Completed Task</v>
      </c>
      <c r="M1610" s="13"/>
      <c r="N1610" s="13"/>
      <c r="O1610" s="14"/>
      <c r="P1610" s="14"/>
    </row>
    <row r="1611" hidden="1">
      <c r="A1611" s="6" t="s">
        <v>299</v>
      </c>
      <c r="B1611" s="7" t="s">
        <v>95</v>
      </c>
      <c r="C1611" s="16" t="s">
        <v>96</v>
      </c>
      <c r="D1611" s="16" t="s">
        <v>97</v>
      </c>
      <c r="E1611" s="17">
        <v>0.0</v>
      </c>
      <c r="F1611" s="18">
        <v>0.0</v>
      </c>
      <c r="G1611" s="18">
        <v>0.0</v>
      </c>
      <c r="H1611" s="10">
        <v>1.0</v>
      </c>
      <c r="I1611" s="19">
        <v>5.0</v>
      </c>
      <c r="J1611" s="12"/>
      <c r="K1611" s="12">
        <f t="shared" si="89"/>
        <v>1500</v>
      </c>
      <c r="L1611" s="13" t="str">
        <f t="shared" si="90"/>
        <v>0 5-star + 0 RFC + 0 DME + 1 Patient Portal Login + 5 Completed Task</v>
      </c>
      <c r="M1611" s="13"/>
      <c r="N1611" s="13"/>
      <c r="O1611" s="14"/>
      <c r="P1611" s="14"/>
    </row>
    <row r="1612" hidden="1">
      <c r="A1612" s="6" t="s">
        <v>299</v>
      </c>
      <c r="B1612" s="16" t="s">
        <v>98</v>
      </c>
      <c r="C1612" s="16" t="s">
        <v>99</v>
      </c>
      <c r="D1612" s="16" t="s">
        <v>100</v>
      </c>
      <c r="E1612" s="17">
        <v>0.0</v>
      </c>
      <c r="F1612" s="18">
        <v>0.0</v>
      </c>
      <c r="G1612" s="18">
        <v>0.0</v>
      </c>
      <c r="H1612" s="10">
        <v>2.0</v>
      </c>
      <c r="I1612" s="19">
        <v>3.0</v>
      </c>
      <c r="J1612" s="12"/>
      <c r="K1612" s="12">
        <f t="shared" si="89"/>
        <v>1250</v>
      </c>
      <c r="L1612" s="13" t="str">
        <f t="shared" si="90"/>
        <v>0 5-star + 0 RFC + 0 DME + 2 Patient Portal Login + 3 Completed Task</v>
      </c>
      <c r="M1612" s="13"/>
      <c r="N1612" s="13"/>
      <c r="O1612" s="14"/>
      <c r="P1612" s="14"/>
    </row>
    <row r="1613" hidden="1">
      <c r="A1613" s="6" t="s">
        <v>299</v>
      </c>
      <c r="B1613" s="7" t="s">
        <v>101</v>
      </c>
      <c r="C1613" s="16" t="s">
        <v>102</v>
      </c>
      <c r="D1613" s="16" t="s">
        <v>103</v>
      </c>
      <c r="E1613" s="17">
        <v>0.0</v>
      </c>
      <c r="F1613" s="18">
        <v>0.0</v>
      </c>
      <c r="G1613" s="18">
        <v>1.0</v>
      </c>
      <c r="H1613" s="10">
        <v>3.0</v>
      </c>
      <c r="I1613" s="19">
        <v>5.0</v>
      </c>
      <c r="J1613" s="12"/>
      <c r="K1613" s="12">
        <f t="shared" si="89"/>
        <v>2250</v>
      </c>
      <c r="L1613" s="13" t="str">
        <f t="shared" si="90"/>
        <v>0 5-star + 0 RFC + 1 DME + 3 Patient Portal Login + 5 Completed Task</v>
      </c>
      <c r="M1613" s="13"/>
      <c r="N1613" s="13"/>
      <c r="O1613" s="14"/>
      <c r="P1613" s="14"/>
    </row>
    <row r="1614" hidden="1">
      <c r="A1614" s="6" t="s">
        <v>299</v>
      </c>
      <c r="B1614" s="16" t="s">
        <v>271</v>
      </c>
      <c r="C1614" s="16" t="s">
        <v>272</v>
      </c>
      <c r="D1614" s="16" t="s">
        <v>273</v>
      </c>
      <c r="E1614" s="76"/>
      <c r="F1614" s="76"/>
      <c r="G1614" s="76"/>
      <c r="H1614" s="76"/>
      <c r="I1614" s="76"/>
      <c r="J1614" s="12"/>
      <c r="K1614" s="12">
        <f t="shared" si="89"/>
        <v>0</v>
      </c>
      <c r="L1614" s="13" t="str">
        <f t="shared" si="90"/>
        <v> 5-star +  RFC +  DME +  Patient Portal Login +  Completed Task</v>
      </c>
      <c r="M1614" s="13"/>
      <c r="N1614" s="13"/>
      <c r="O1614" s="14"/>
      <c r="P1614" s="14"/>
    </row>
    <row r="1615" hidden="1">
      <c r="A1615" s="6" t="s">
        <v>299</v>
      </c>
      <c r="B1615" s="16" t="s">
        <v>104</v>
      </c>
      <c r="C1615" s="16" t="s">
        <v>105</v>
      </c>
      <c r="D1615" s="16" t="s">
        <v>106</v>
      </c>
      <c r="E1615" s="17">
        <v>0.0</v>
      </c>
      <c r="F1615" s="18">
        <v>1.0</v>
      </c>
      <c r="G1615" s="18">
        <v>0.0</v>
      </c>
      <c r="H1615" s="10">
        <v>6.0</v>
      </c>
      <c r="I1615" s="19">
        <v>5.0</v>
      </c>
      <c r="J1615" s="12"/>
      <c r="K1615" s="12">
        <f t="shared" si="89"/>
        <v>3250</v>
      </c>
      <c r="L1615" s="13" t="str">
        <f t="shared" si="90"/>
        <v>0 5-star + 1 RFC + 0 DME + 6 Patient Portal Login + 5 Completed Task</v>
      </c>
      <c r="M1615" s="13"/>
      <c r="N1615" s="13"/>
      <c r="O1615" s="14"/>
      <c r="P1615" s="14"/>
    </row>
    <row r="1616" hidden="1">
      <c r="A1616" s="6" t="s">
        <v>299</v>
      </c>
      <c r="B1616" s="16" t="s">
        <v>107</v>
      </c>
      <c r="C1616" s="16" t="s">
        <v>108</v>
      </c>
      <c r="D1616" s="16" t="s">
        <v>109</v>
      </c>
      <c r="E1616" s="17">
        <v>0.0</v>
      </c>
      <c r="F1616" s="18">
        <v>0.0</v>
      </c>
      <c r="G1616" s="18">
        <v>0.0</v>
      </c>
      <c r="H1616" s="10">
        <v>2.0</v>
      </c>
      <c r="I1616" s="19">
        <v>4.0</v>
      </c>
      <c r="J1616" s="12"/>
      <c r="K1616" s="12">
        <f t="shared" si="89"/>
        <v>1500</v>
      </c>
      <c r="L1616" s="13" t="str">
        <f t="shared" si="90"/>
        <v>0 5-star + 0 RFC + 0 DME + 2 Patient Portal Login + 4 Completed Task</v>
      </c>
      <c r="M1616" s="13"/>
      <c r="N1616" s="13"/>
      <c r="O1616" s="14"/>
      <c r="P1616" s="14"/>
    </row>
    <row r="1617" hidden="1">
      <c r="A1617" s="6" t="s">
        <v>299</v>
      </c>
      <c r="B1617" s="16" t="s">
        <v>110</v>
      </c>
      <c r="C1617" s="16" t="s">
        <v>111</v>
      </c>
      <c r="D1617" s="16" t="s">
        <v>112</v>
      </c>
      <c r="E1617" s="17">
        <v>0.0</v>
      </c>
      <c r="F1617" s="18">
        <v>0.0</v>
      </c>
      <c r="G1617" s="18">
        <v>0.0</v>
      </c>
      <c r="H1617" s="10">
        <v>1.0</v>
      </c>
      <c r="I1617" s="19">
        <v>5.0</v>
      </c>
      <c r="J1617" s="12"/>
      <c r="K1617" s="12">
        <f t="shared" si="89"/>
        <v>1500</v>
      </c>
      <c r="L1617" s="13" t="str">
        <f t="shared" si="90"/>
        <v>0 5-star + 0 RFC + 0 DME + 1 Patient Portal Login + 5 Completed Task</v>
      </c>
      <c r="M1617" s="13"/>
      <c r="N1617" s="13"/>
      <c r="O1617" s="14"/>
      <c r="P1617" s="14"/>
    </row>
    <row r="1618" hidden="1">
      <c r="A1618" s="6" t="s">
        <v>299</v>
      </c>
      <c r="B1618" s="16" t="s">
        <v>113</v>
      </c>
      <c r="C1618" s="16" t="s">
        <v>114</v>
      </c>
      <c r="D1618" s="16" t="s">
        <v>115</v>
      </c>
      <c r="E1618" s="17">
        <v>0.0</v>
      </c>
      <c r="F1618" s="18">
        <v>2.0</v>
      </c>
      <c r="G1618" s="18">
        <v>0.0</v>
      </c>
      <c r="H1618" s="10">
        <v>6.0</v>
      </c>
      <c r="I1618" s="19">
        <v>5.0</v>
      </c>
      <c r="J1618" s="12"/>
      <c r="K1618" s="12">
        <f t="shared" si="89"/>
        <v>3750</v>
      </c>
      <c r="L1618" s="13" t="str">
        <f t="shared" si="90"/>
        <v>0 5-star + 2 RFC + 0 DME + 6 Patient Portal Login + 5 Completed Task</v>
      </c>
      <c r="M1618" s="13"/>
      <c r="N1618" s="13"/>
      <c r="O1618" s="14"/>
      <c r="P1618" s="14"/>
    </row>
    <row r="1619" hidden="1">
      <c r="A1619" s="6" t="s">
        <v>299</v>
      </c>
      <c r="B1619" s="7" t="s">
        <v>116</v>
      </c>
      <c r="C1619" s="16" t="s">
        <v>117</v>
      </c>
      <c r="D1619" s="16" t="s">
        <v>118</v>
      </c>
      <c r="E1619" s="17">
        <v>0.0</v>
      </c>
      <c r="F1619" s="18">
        <v>4.0</v>
      </c>
      <c r="G1619" s="18">
        <v>0.0</v>
      </c>
      <c r="H1619" s="10">
        <v>3.0</v>
      </c>
      <c r="I1619" s="19">
        <v>4.0</v>
      </c>
      <c r="J1619" s="12"/>
      <c r="K1619" s="12">
        <f t="shared" si="89"/>
        <v>3750</v>
      </c>
      <c r="L1619" s="13" t="str">
        <f t="shared" si="90"/>
        <v>0 5-star + 4 RFC + 0 DME + 3 Patient Portal Login + 4 Completed Task</v>
      </c>
      <c r="M1619" s="13"/>
      <c r="N1619" s="13"/>
      <c r="O1619" s="14"/>
      <c r="P1619" s="14"/>
    </row>
    <row r="1620" hidden="1">
      <c r="A1620" s="6" t="s">
        <v>299</v>
      </c>
      <c r="B1620" s="16" t="s">
        <v>216</v>
      </c>
      <c r="C1620" s="16" t="s">
        <v>217</v>
      </c>
      <c r="D1620" s="16" t="s">
        <v>274</v>
      </c>
      <c r="E1620" s="76"/>
      <c r="F1620" s="76"/>
      <c r="G1620" s="76"/>
      <c r="H1620" s="76"/>
      <c r="I1620" s="76"/>
      <c r="J1620" s="12"/>
      <c r="K1620" s="12">
        <f t="shared" si="89"/>
        <v>0</v>
      </c>
      <c r="L1620" s="13" t="str">
        <f t="shared" si="90"/>
        <v> 5-star +  RFC +  DME +  Patient Portal Login +  Completed Task</v>
      </c>
      <c r="M1620" s="13"/>
      <c r="N1620" s="13"/>
      <c r="O1620" s="14"/>
      <c r="P1620" s="14"/>
    </row>
    <row r="1621" hidden="1">
      <c r="A1621" s="6" t="s">
        <v>299</v>
      </c>
      <c r="B1621" s="16" t="s">
        <v>119</v>
      </c>
      <c r="C1621" s="16" t="s">
        <v>120</v>
      </c>
      <c r="D1621" s="16" t="s">
        <v>121</v>
      </c>
      <c r="E1621" s="17">
        <v>1.0</v>
      </c>
      <c r="F1621" s="18">
        <v>2.0</v>
      </c>
      <c r="G1621" s="18">
        <v>0.0</v>
      </c>
      <c r="H1621" s="10">
        <v>2.0</v>
      </c>
      <c r="I1621" s="19">
        <v>5.0</v>
      </c>
      <c r="J1621" s="12"/>
      <c r="K1621" s="12">
        <f t="shared" si="89"/>
        <v>3000</v>
      </c>
      <c r="L1621" s="13" t="str">
        <f t="shared" si="90"/>
        <v>1 5-star + 2 RFC + 0 DME + 2 Patient Portal Login + 5 Completed Task</v>
      </c>
      <c r="M1621" s="13"/>
      <c r="N1621" s="13"/>
      <c r="O1621" s="14"/>
      <c r="P1621" s="14"/>
    </row>
    <row r="1622" hidden="1">
      <c r="A1622" s="6" t="s">
        <v>299</v>
      </c>
      <c r="B1622" s="16" t="s">
        <v>267</v>
      </c>
      <c r="C1622" s="16" t="s">
        <v>268</v>
      </c>
      <c r="D1622" s="16" t="s">
        <v>269</v>
      </c>
      <c r="E1622" s="17">
        <v>1.0</v>
      </c>
      <c r="F1622" s="18">
        <v>2.0</v>
      </c>
      <c r="G1622" s="18">
        <v>1.0</v>
      </c>
      <c r="H1622" s="10">
        <v>10.0</v>
      </c>
      <c r="I1622" s="19">
        <v>5.0</v>
      </c>
      <c r="J1622" s="12"/>
      <c r="K1622" s="12">
        <f t="shared" si="89"/>
        <v>5250</v>
      </c>
      <c r="L1622" s="13" t="str">
        <f t="shared" si="90"/>
        <v>1 5-star + 2 RFC + 1 DME + 10 Patient Portal Login + 5 Completed Task</v>
      </c>
      <c r="M1622" s="13"/>
      <c r="N1622" s="13"/>
      <c r="O1622" s="14"/>
      <c r="P1622" s="14"/>
    </row>
    <row r="1623" hidden="1">
      <c r="A1623" s="6" t="s">
        <v>299</v>
      </c>
      <c r="B1623" s="16" t="s">
        <v>275</v>
      </c>
      <c r="C1623" s="16" t="s">
        <v>276</v>
      </c>
      <c r="D1623" s="16" t="s">
        <v>277</v>
      </c>
      <c r="E1623" s="76"/>
      <c r="F1623" s="76"/>
      <c r="G1623" s="76"/>
      <c r="H1623" s="76"/>
      <c r="I1623" s="76"/>
      <c r="J1623" s="12"/>
      <c r="K1623" s="12">
        <f t="shared" si="89"/>
        <v>0</v>
      </c>
      <c r="L1623" s="13" t="str">
        <f t="shared" si="90"/>
        <v> 5-star +  RFC +  DME +  Patient Portal Login +  Completed Task</v>
      </c>
      <c r="M1623" s="13"/>
      <c r="N1623" s="13"/>
      <c r="O1623" s="14"/>
      <c r="P1623" s="14"/>
    </row>
    <row r="1624" hidden="1">
      <c r="A1624" s="6" t="s">
        <v>299</v>
      </c>
      <c r="B1624" s="16" t="s">
        <v>122</v>
      </c>
      <c r="C1624" s="16" t="s">
        <v>123</v>
      </c>
      <c r="D1624" s="16" t="s">
        <v>124</v>
      </c>
      <c r="E1624" s="17">
        <v>0.0</v>
      </c>
      <c r="F1624" s="49">
        <v>0.0</v>
      </c>
      <c r="G1624" s="49">
        <v>0.0</v>
      </c>
      <c r="H1624" s="10">
        <v>0.0</v>
      </c>
      <c r="I1624" s="19">
        <v>5.0</v>
      </c>
      <c r="J1624" s="12"/>
      <c r="K1624" s="12">
        <f t="shared" si="89"/>
        <v>1250</v>
      </c>
      <c r="L1624" s="13" t="str">
        <f t="shared" si="90"/>
        <v>0 5-star + 0 RFC + 0 DME + 0 Patient Portal Login + 5 Completed Task</v>
      </c>
      <c r="M1624" s="13"/>
      <c r="N1624" s="13"/>
      <c r="O1624" s="14"/>
      <c r="P1624" s="14"/>
    </row>
    <row r="1625" hidden="1">
      <c r="A1625" s="6" t="s">
        <v>299</v>
      </c>
      <c r="B1625" s="16" t="s">
        <v>125</v>
      </c>
      <c r="C1625" s="16" t="s">
        <v>126</v>
      </c>
      <c r="D1625" s="16" t="s">
        <v>127</v>
      </c>
      <c r="E1625" s="17">
        <v>1.0</v>
      </c>
      <c r="F1625" s="18">
        <v>1.0</v>
      </c>
      <c r="G1625" s="49">
        <v>0.0</v>
      </c>
      <c r="H1625" s="10">
        <v>0.0</v>
      </c>
      <c r="I1625" s="19">
        <v>5.0</v>
      </c>
      <c r="J1625" s="12"/>
      <c r="K1625" s="12">
        <f t="shared" si="89"/>
        <v>2000</v>
      </c>
      <c r="L1625" s="13" t="str">
        <f t="shared" si="90"/>
        <v>1 5-star + 1 RFC + 0 DME + 0 Patient Portal Login + 5 Completed Task</v>
      </c>
      <c r="M1625" s="13"/>
      <c r="N1625" s="13"/>
      <c r="O1625" s="14"/>
      <c r="P1625" s="14"/>
    </row>
    <row r="1626" hidden="1">
      <c r="A1626" s="6" t="s">
        <v>299</v>
      </c>
      <c r="B1626" s="16" t="s">
        <v>128</v>
      </c>
      <c r="C1626" s="16" t="s">
        <v>129</v>
      </c>
      <c r="D1626" s="16" t="s">
        <v>130</v>
      </c>
      <c r="E1626" s="17">
        <v>0.0</v>
      </c>
      <c r="F1626" s="18">
        <v>2.0</v>
      </c>
      <c r="G1626" s="49">
        <v>0.0</v>
      </c>
      <c r="H1626" s="10">
        <v>10.0</v>
      </c>
      <c r="I1626" s="19">
        <v>5.0</v>
      </c>
      <c r="J1626" s="12"/>
      <c r="K1626" s="12">
        <f t="shared" si="89"/>
        <v>4750</v>
      </c>
      <c r="L1626" s="13" t="str">
        <f t="shared" si="90"/>
        <v>0 5-star + 2 RFC + 0 DME + 10 Patient Portal Login + 5 Completed Task</v>
      </c>
      <c r="M1626" s="13"/>
      <c r="N1626" s="13"/>
      <c r="O1626" s="14"/>
      <c r="P1626" s="14"/>
    </row>
    <row r="1627" hidden="1">
      <c r="A1627" s="6" t="s">
        <v>299</v>
      </c>
      <c r="B1627" s="16" t="s">
        <v>131</v>
      </c>
      <c r="C1627" s="16" t="s">
        <v>132</v>
      </c>
      <c r="D1627" s="16" t="s">
        <v>133</v>
      </c>
      <c r="E1627" s="17">
        <v>0.0</v>
      </c>
      <c r="F1627" s="18">
        <v>5.0</v>
      </c>
      <c r="G1627" s="18">
        <v>5.0</v>
      </c>
      <c r="H1627" s="10">
        <v>10.0</v>
      </c>
      <c r="I1627" s="19">
        <v>5.0</v>
      </c>
      <c r="J1627" s="12"/>
      <c r="K1627" s="12">
        <f t="shared" si="89"/>
        <v>7500</v>
      </c>
      <c r="L1627" s="13" t="str">
        <f t="shared" si="90"/>
        <v>0 5-star + 5 RFC + 5 DME + 10 Patient Portal Login + 5 Completed Task</v>
      </c>
      <c r="M1627" s="13"/>
      <c r="N1627" s="13"/>
      <c r="O1627" s="14"/>
      <c r="P1627" s="14"/>
    </row>
    <row r="1628" hidden="1">
      <c r="A1628" s="6" t="s">
        <v>299</v>
      </c>
      <c r="B1628" s="16" t="s">
        <v>134</v>
      </c>
      <c r="C1628" s="16" t="s">
        <v>135</v>
      </c>
      <c r="D1628" s="16" t="s">
        <v>136</v>
      </c>
      <c r="E1628" s="17">
        <v>0.0</v>
      </c>
      <c r="F1628" s="49">
        <v>0.0</v>
      </c>
      <c r="G1628" s="49">
        <v>0.0</v>
      </c>
      <c r="H1628" s="10">
        <v>6.0</v>
      </c>
      <c r="I1628" s="19">
        <v>5.0</v>
      </c>
      <c r="J1628" s="12"/>
      <c r="K1628" s="12">
        <f t="shared" si="89"/>
        <v>2750</v>
      </c>
      <c r="L1628" s="13" t="str">
        <f t="shared" si="90"/>
        <v>0 5-star + 0 RFC + 0 DME + 6 Patient Portal Login + 5 Completed Task</v>
      </c>
      <c r="M1628" s="13"/>
      <c r="N1628" s="13"/>
      <c r="O1628" s="14"/>
      <c r="P1628" s="14"/>
    </row>
    <row r="1629" hidden="1">
      <c r="A1629" s="6" t="s">
        <v>299</v>
      </c>
      <c r="B1629" s="16" t="s">
        <v>137</v>
      </c>
      <c r="C1629" s="16" t="s">
        <v>138</v>
      </c>
      <c r="D1629" s="16" t="s">
        <v>139</v>
      </c>
      <c r="E1629" s="17">
        <v>0.0</v>
      </c>
      <c r="F1629" s="18">
        <v>1.0</v>
      </c>
      <c r="G1629" s="49">
        <v>0.0</v>
      </c>
      <c r="H1629" s="10">
        <v>9.0</v>
      </c>
      <c r="I1629" s="19">
        <v>5.0</v>
      </c>
      <c r="J1629" s="12"/>
      <c r="K1629" s="12">
        <f t="shared" si="89"/>
        <v>4000</v>
      </c>
      <c r="L1629" s="13" t="str">
        <f t="shared" si="90"/>
        <v>0 5-star + 1 RFC + 0 DME + 9 Patient Portal Login + 5 Completed Task</v>
      </c>
      <c r="M1629" s="13"/>
      <c r="N1629" s="13"/>
      <c r="O1629" s="14"/>
      <c r="P1629" s="14"/>
    </row>
    <row r="1630" hidden="1">
      <c r="A1630" s="6" t="s">
        <v>299</v>
      </c>
      <c r="B1630" s="16" t="s">
        <v>278</v>
      </c>
      <c r="C1630" s="16" t="s">
        <v>279</v>
      </c>
      <c r="D1630" s="16" t="s">
        <v>280</v>
      </c>
      <c r="E1630" s="76"/>
      <c r="F1630" s="76"/>
      <c r="G1630" s="76"/>
      <c r="H1630" s="76"/>
      <c r="I1630" s="76"/>
      <c r="J1630" s="12"/>
      <c r="K1630" s="12">
        <f t="shared" si="89"/>
        <v>0</v>
      </c>
      <c r="L1630" s="13" t="str">
        <f t="shared" si="90"/>
        <v> 5-star +  RFC +  DME +  Patient Portal Login +  Completed Task</v>
      </c>
      <c r="M1630" s="13"/>
      <c r="N1630" s="13"/>
      <c r="O1630" s="14"/>
      <c r="P1630" s="14"/>
    </row>
    <row r="1631" hidden="1">
      <c r="A1631" s="6" t="s">
        <v>299</v>
      </c>
      <c r="B1631" s="16" t="s">
        <v>140</v>
      </c>
      <c r="C1631" s="16" t="s">
        <v>141</v>
      </c>
      <c r="D1631" s="16" t="s">
        <v>142</v>
      </c>
      <c r="E1631" s="17">
        <v>1.0</v>
      </c>
      <c r="F1631" s="49">
        <v>0.0</v>
      </c>
      <c r="G1631" s="49">
        <v>0.0</v>
      </c>
      <c r="H1631" s="10">
        <v>3.0</v>
      </c>
      <c r="I1631" s="19">
        <v>4.0</v>
      </c>
      <c r="J1631" s="12"/>
      <c r="K1631" s="12">
        <f t="shared" si="89"/>
        <v>2000</v>
      </c>
      <c r="L1631" s="13" t="str">
        <f t="shared" si="90"/>
        <v>1 5-star + 0 RFC + 0 DME + 3 Patient Portal Login + 4 Completed Task</v>
      </c>
      <c r="M1631" s="13"/>
      <c r="N1631" s="13"/>
      <c r="O1631" s="14"/>
      <c r="P1631" s="14"/>
    </row>
    <row r="1632" hidden="1">
      <c r="A1632" s="6" t="s">
        <v>299</v>
      </c>
      <c r="B1632" s="16" t="s">
        <v>207</v>
      </c>
      <c r="C1632" s="16" t="s">
        <v>208</v>
      </c>
      <c r="D1632" s="16" t="s">
        <v>281</v>
      </c>
      <c r="E1632" s="76"/>
      <c r="F1632" s="76"/>
      <c r="G1632" s="76"/>
      <c r="H1632" s="76"/>
      <c r="I1632" s="76"/>
      <c r="J1632" s="12"/>
      <c r="K1632" s="12">
        <f t="shared" si="89"/>
        <v>0</v>
      </c>
      <c r="L1632" s="13" t="str">
        <f t="shared" si="90"/>
        <v> 5-star +  RFC +  DME +  Patient Portal Login +  Completed Task</v>
      </c>
      <c r="M1632" s="13"/>
      <c r="N1632" s="13"/>
      <c r="O1632" s="14"/>
      <c r="P1632" s="14"/>
    </row>
    <row r="1633" hidden="1">
      <c r="A1633" s="6" t="s">
        <v>299</v>
      </c>
      <c r="B1633" s="16" t="s">
        <v>282</v>
      </c>
      <c r="C1633" s="16" t="s">
        <v>283</v>
      </c>
      <c r="D1633" s="16" t="s">
        <v>284</v>
      </c>
      <c r="E1633" s="76"/>
      <c r="F1633" s="76"/>
      <c r="G1633" s="76"/>
      <c r="H1633" s="76"/>
      <c r="I1633" s="76"/>
      <c r="J1633" s="12"/>
      <c r="K1633" s="12">
        <f t="shared" si="89"/>
        <v>0</v>
      </c>
      <c r="L1633" s="13" t="str">
        <f t="shared" si="90"/>
        <v> 5-star +  RFC +  DME +  Patient Portal Login +  Completed Task</v>
      </c>
      <c r="M1633" s="13"/>
      <c r="N1633" s="13"/>
      <c r="O1633" s="14"/>
      <c r="P1633" s="14"/>
    </row>
    <row r="1634" hidden="1">
      <c r="A1634" s="6" t="s">
        <v>299</v>
      </c>
      <c r="B1634" s="16" t="s">
        <v>285</v>
      </c>
      <c r="C1634" s="16" t="s">
        <v>286</v>
      </c>
      <c r="D1634" s="16" t="s">
        <v>287</v>
      </c>
      <c r="E1634" s="76"/>
      <c r="F1634" s="76"/>
      <c r="G1634" s="76"/>
      <c r="H1634" s="76"/>
      <c r="I1634" s="76"/>
      <c r="J1634" s="12"/>
      <c r="K1634" s="12">
        <f t="shared" si="89"/>
        <v>0</v>
      </c>
      <c r="L1634" s="13" t="str">
        <f t="shared" si="90"/>
        <v> 5-star +  RFC +  DME +  Patient Portal Login +  Completed Task</v>
      </c>
      <c r="M1634" s="13"/>
      <c r="N1634" s="13"/>
      <c r="O1634" s="14"/>
      <c r="P1634" s="14"/>
    </row>
    <row r="1635" hidden="1">
      <c r="A1635" s="6" t="s">
        <v>299</v>
      </c>
      <c r="B1635" s="16" t="s">
        <v>143</v>
      </c>
      <c r="C1635" s="16" t="s">
        <v>144</v>
      </c>
      <c r="D1635" s="16" t="s">
        <v>145</v>
      </c>
      <c r="E1635" s="17">
        <v>0.0</v>
      </c>
      <c r="F1635" s="18">
        <v>1.0</v>
      </c>
      <c r="G1635" s="18">
        <v>0.0</v>
      </c>
      <c r="H1635" s="10">
        <v>0.0</v>
      </c>
      <c r="I1635" s="19">
        <v>4.0</v>
      </c>
      <c r="J1635" s="12"/>
      <c r="K1635" s="12">
        <f t="shared" si="89"/>
        <v>1500</v>
      </c>
      <c r="L1635" s="13" t="str">
        <f t="shared" si="90"/>
        <v>0 5-star + 1 RFC + 0 DME + 0 Patient Portal Login + 4 Completed Task</v>
      </c>
      <c r="M1635" s="13"/>
      <c r="N1635" s="13"/>
      <c r="O1635" s="14"/>
      <c r="P1635" s="14"/>
    </row>
    <row r="1636" hidden="1">
      <c r="A1636" s="6" t="s">
        <v>299</v>
      </c>
      <c r="B1636" s="16" t="s">
        <v>146</v>
      </c>
      <c r="C1636" s="16" t="s">
        <v>147</v>
      </c>
      <c r="D1636" s="16" t="s">
        <v>148</v>
      </c>
      <c r="E1636" s="17">
        <v>0.0</v>
      </c>
      <c r="F1636" s="18">
        <v>1.0</v>
      </c>
      <c r="G1636" s="18">
        <v>0.0</v>
      </c>
      <c r="H1636" s="10">
        <v>8.0</v>
      </c>
      <c r="I1636" s="19">
        <v>5.0</v>
      </c>
      <c r="J1636" s="12"/>
      <c r="K1636" s="12">
        <f t="shared" si="89"/>
        <v>3750</v>
      </c>
      <c r="L1636" s="13" t="str">
        <f t="shared" si="90"/>
        <v>0 5-star + 1 RFC + 0 DME + 8 Patient Portal Login + 5 Completed Task</v>
      </c>
      <c r="M1636" s="13"/>
      <c r="N1636" s="13"/>
      <c r="O1636" s="14"/>
      <c r="P1636" s="14"/>
    </row>
    <row r="1637" hidden="1">
      <c r="A1637" s="6" t="s">
        <v>299</v>
      </c>
      <c r="B1637" s="16" t="s">
        <v>245</v>
      </c>
      <c r="C1637" s="16" t="s">
        <v>246</v>
      </c>
      <c r="D1637" s="16" t="s">
        <v>247</v>
      </c>
      <c r="E1637" s="17">
        <v>0.0</v>
      </c>
      <c r="F1637" s="18">
        <v>2.0</v>
      </c>
      <c r="G1637" s="18">
        <v>0.0</v>
      </c>
      <c r="H1637" s="10">
        <v>1.0</v>
      </c>
      <c r="I1637" s="19">
        <v>4.0</v>
      </c>
      <c r="J1637" s="12"/>
      <c r="K1637" s="12">
        <f t="shared" si="89"/>
        <v>2250</v>
      </c>
      <c r="L1637" s="13" t="str">
        <f t="shared" si="90"/>
        <v>0 5-star + 2 RFC + 0 DME + 1 Patient Portal Login + 4 Completed Task</v>
      </c>
      <c r="M1637" s="13"/>
      <c r="N1637" s="13"/>
      <c r="O1637" s="14"/>
      <c r="P1637" s="14"/>
    </row>
    <row r="1638" hidden="1">
      <c r="A1638" s="6" t="s">
        <v>299</v>
      </c>
      <c r="B1638" s="16" t="s">
        <v>210</v>
      </c>
      <c r="C1638" s="16" t="s">
        <v>211</v>
      </c>
      <c r="D1638" s="16" t="s">
        <v>212</v>
      </c>
      <c r="E1638" s="76"/>
      <c r="F1638" s="76"/>
      <c r="G1638" s="76"/>
      <c r="H1638" s="76"/>
      <c r="I1638" s="76"/>
      <c r="J1638" s="12"/>
      <c r="K1638" s="12">
        <f t="shared" si="89"/>
        <v>0</v>
      </c>
      <c r="L1638" s="13" t="str">
        <f t="shared" si="90"/>
        <v> 5-star +  RFC +  DME +  Patient Portal Login +  Completed Task</v>
      </c>
      <c r="M1638" s="13"/>
      <c r="N1638" s="13"/>
      <c r="O1638" s="14"/>
      <c r="P1638" s="14"/>
    </row>
    <row r="1639" hidden="1">
      <c r="A1639" s="6" t="s">
        <v>299</v>
      </c>
      <c r="B1639" s="16" t="s">
        <v>149</v>
      </c>
      <c r="C1639" s="16" t="s">
        <v>150</v>
      </c>
      <c r="D1639" s="16" t="s">
        <v>151</v>
      </c>
      <c r="E1639" s="17">
        <v>0.0</v>
      </c>
      <c r="F1639" s="18">
        <v>2.0</v>
      </c>
      <c r="G1639" s="18">
        <v>0.0</v>
      </c>
      <c r="H1639" s="10">
        <v>4.0</v>
      </c>
      <c r="I1639" s="19">
        <v>3.0</v>
      </c>
      <c r="J1639" s="12"/>
      <c r="K1639" s="12">
        <f t="shared" si="89"/>
        <v>2750</v>
      </c>
      <c r="L1639" s="13" t="str">
        <f t="shared" si="90"/>
        <v>0 5-star + 2 RFC + 0 DME + 4 Patient Portal Login + 3 Completed Task</v>
      </c>
      <c r="M1639" s="13"/>
      <c r="N1639" s="13"/>
      <c r="O1639" s="14"/>
      <c r="P1639" s="14"/>
    </row>
    <row r="1640" hidden="1">
      <c r="A1640" s="6" t="s">
        <v>299</v>
      </c>
      <c r="B1640" s="16" t="s">
        <v>288</v>
      </c>
      <c r="C1640" s="16" t="s">
        <v>289</v>
      </c>
      <c r="D1640" s="16" t="s">
        <v>290</v>
      </c>
      <c r="E1640" s="76"/>
      <c r="F1640" s="76"/>
      <c r="G1640" s="76"/>
      <c r="H1640" s="76"/>
      <c r="I1640" s="76"/>
      <c r="J1640" s="12"/>
      <c r="K1640" s="12">
        <f t="shared" si="89"/>
        <v>0</v>
      </c>
      <c r="L1640" s="13" t="str">
        <f t="shared" si="90"/>
        <v> 5-star +  RFC +  DME +  Patient Portal Login +  Completed Task</v>
      </c>
      <c r="M1640" s="13"/>
      <c r="N1640" s="13"/>
      <c r="O1640" s="14"/>
      <c r="P1640" s="14"/>
    </row>
    <row r="1641" hidden="1">
      <c r="A1641" s="6" t="s">
        <v>299</v>
      </c>
      <c r="B1641" s="16" t="s">
        <v>152</v>
      </c>
      <c r="C1641" s="16" t="s">
        <v>153</v>
      </c>
      <c r="D1641" s="16" t="s">
        <v>154</v>
      </c>
      <c r="E1641" s="17">
        <v>1.0</v>
      </c>
      <c r="F1641" s="18">
        <v>2.0</v>
      </c>
      <c r="G1641" s="18">
        <v>3.0</v>
      </c>
      <c r="H1641" s="10">
        <v>0.0</v>
      </c>
      <c r="I1641" s="19">
        <v>5.0</v>
      </c>
      <c r="J1641" s="12"/>
      <c r="K1641" s="12">
        <f t="shared" si="89"/>
        <v>3250</v>
      </c>
      <c r="L1641" s="13" t="str">
        <f t="shared" si="90"/>
        <v>1 5-star + 2 RFC + 3 DME + 0 Patient Portal Login + 5 Completed Task</v>
      </c>
      <c r="M1641" s="13"/>
      <c r="N1641" s="13"/>
      <c r="O1641" s="14"/>
      <c r="P1641" s="14"/>
    </row>
    <row r="1642" hidden="1">
      <c r="A1642" s="6" t="s">
        <v>299</v>
      </c>
      <c r="B1642" s="16" t="s">
        <v>155</v>
      </c>
      <c r="C1642" s="16" t="s">
        <v>156</v>
      </c>
      <c r="D1642" s="16" t="s">
        <v>157</v>
      </c>
      <c r="E1642" s="17">
        <v>0.0</v>
      </c>
      <c r="F1642" s="18">
        <v>0.0</v>
      </c>
      <c r="G1642" s="18">
        <v>0.0</v>
      </c>
      <c r="H1642" s="10">
        <v>1.0</v>
      </c>
      <c r="I1642" s="19">
        <v>2.0</v>
      </c>
      <c r="J1642" s="12"/>
      <c r="K1642" s="12">
        <f t="shared" si="89"/>
        <v>750</v>
      </c>
      <c r="L1642" s="13" t="str">
        <f t="shared" si="90"/>
        <v>0 5-star + 0 RFC + 0 DME + 1 Patient Portal Login + 2 Completed Task</v>
      </c>
      <c r="M1642" s="13"/>
      <c r="N1642" s="13"/>
      <c r="O1642" s="14"/>
      <c r="P1642" s="14"/>
    </row>
    <row r="1643" hidden="1">
      <c r="A1643" s="6" t="s">
        <v>299</v>
      </c>
      <c r="B1643" s="16" t="s">
        <v>158</v>
      </c>
      <c r="C1643" s="16" t="s">
        <v>159</v>
      </c>
      <c r="D1643" s="16" t="s">
        <v>160</v>
      </c>
      <c r="E1643" s="17">
        <v>0.0</v>
      </c>
      <c r="F1643" s="18">
        <v>0.0</v>
      </c>
      <c r="G1643" s="18">
        <v>1.0</v>
      </c>
      <c r="H1643" s="10">
        <v>3.0</v>
      </c>
      <c r="I1643" s="19">
        <v>5.0</v>
      </c>
      <c r="J1643" s="12"/>
      <c r="K1643" s="12">
        <f t="shared" si="89"/>
        <v>2250</v>
      </c>
      <c r="L1643" s="13" t="str">
        <f t="shared" si="90"/>
        <v>0 5-star + 0 RFC + 1 DME + 3 Patient Portal Login + 5 Completed Task</v>
      </c>
      <c r="M1643" s="13"/>
      <c r="N1643" s="13"/>
      <c r="O1643" s="14"/>
      <c r="P1643" s="14"/>
    </row>
    <row r="1644" hidden="1">
      <c r="A1644" s="6" t="s">
        <v>299</v>
      </c>
      <c r="B1644" s="20" t="s">
        <v>161</v>
      </c>
      <c r="C1644" s="20" t="s">
        <v>162</v>
      </c>
      <c r="D1644" s="20" t="s">
        <v>163</v>
      </c>
      <c r="E1644" s="17">
        <v>0.0</v>
      </c>
      <c r="F1644" s="18">
        <v>2.0</v>
      </c>
      <c r="G1644" s="18">
        <v>0.0</v>
      </c>
      <c r="H1644" s="10">
        <v>11.0</v>
      </c>
      <c r="I1644" s="19">
        <v>5.0</v>
      </c>
      <c r="J1644" s="12"/>
      <c r="K1644" s="12">
        <f>sum(E1644*250)+(E1630*500)+(G1644*250)+(H1644*250)+(I1644*250)</f>
        <v>4000</v>
      </c>
      <c r="L1644" s="13" t="str">
        <f> E1644 &amp; " 5-star + " &amp; E1630 &amp; " RFC + " &amp; G1644 &amp; " DME + " &amp; H1644 &amp; " Patient Portal Login + " &amp; I1644 &amp; " Completed Task"
</f>
        <v>0 5-star +  RFC + 0 DME + 11 Patient Portal Login + 5 Completed Task</v>
      </c>
      <c r="M1644" s="13"/>
      <c r="N1644" s="13"/>
      <c r="O1644" s="14"/>
      <c r="P1644" s="14"/>
    </row>
    <row r="1645" hidden="1">
      <c r="A1645" s="6" t="s">
        <v>299</v>
      </c>
      <c r="B1645" s="20" t="s">
        <v>164</v>
      </c>
      <c r="C1645" s="20" t="s">
        <v>165</v>
      </c>
      <c r="D1645" s="20" t="s">
        <v>166</v>
      </c>
      <c r="E1645" s="17">
        <v>0.0</v>
      </c>
      <c r="F1645" s="18">
        <v>1.0</v>
      </c>
      <c r="G1645" s="18">
        <v>0.0</v>
      </c>
      <c r="H1645" s="10">
        <v>1.0</v>
      </c>
      <c r="I1645" s="19">
        <v>4.0</v>
      </c>
      <c r="J1645" s="12"/>
      <c r="K1645" s="12">
        <f t="shared" ref="K1645:K1705" si="91">sum(E1645*250)+(F1645*500)+(G1645*250)+(H1645*250)+(I1645*250)</f>
        <v>1750</v>
      </c>
      <c r="L1645" s="13" t="str">
        <f t="shared" ref="L1645:L1705" si="92"> E1645 &amp; " 5-star + " &amp; F1645 &amp; " RFC + " &amp; G1645 &amp; " DME + " &amp; H1645 &amp; " Patient Portal Login + " &amp; I1645 &amp; " Completed Task"
</f>
        <v>0 5-star + 1 RFC + 0 DME + 1 Patient Portal Login + 4 Completed Task</v>
      </c>
      <c r="M1645" s="13"/>
      <c r="N1645" s="13"/>
      <c r="O1645" s="14"/>
      <c r="P1645" s="14"/>
    </row>
    <row r="1646" hidden="1">
      <c r="A1646" s="6" t="s">
        <v>299</v>
      </c>
      <c r="B1646" s="20" t="s">
        <v>167</v>
      </c>
      <c r="C1646" s="20" t="s">
        <v>168</v>
      </c>
      <c r="D1646" s="20" t="s">
        <v>169</v>
      </c>
      <c r="E1646" s="17">
        <v>0.0</v>
      </c>
      <c r="F1646" s="18">
        <v>0.0</v>
      </c>
      <c r="G1646" s="18">
        <v>0.0</v>
      </c>
      <c r="H1646" s="10">
        <v>5.0</v>
      </c>
      <c r="I1646" s="19">
        <v>5.0</v>
      </c>
      <c r="J1646" s="12"/>
      <c r="K1646" s="12">
        <f t="shared" si="91"/>
        <v>2500</v>
      </c>
      <c r="L1646" s="13" t="str">
        <f t="shared" si="92"/>
        <v>0 5-star + 0 RFC + 0 DME + 5 Patient Portal Login + 5 Completed Task</v>
      </c>
      <c r="M1646" s="13"/>
      <c r="N1646" s="13"/>
      <c r="O1646" s="14"/>
      <c r="P1646" s="14"/>
    </row>
    <row r="1647" hidden="1">
      <c r="A1647" s="6" t="s">
        <v>299</v>
      </c>
      <c r="B1647" s="20" t="s">
        <v>170</v>
      </c>
      <c r="C1647" s="20" t="s">
        <v>171</v>
      </c>
      <c r="D1647" s="20" t="s">
        <v>172</v>
      </c>
      <c r="E1647" s="17">
        <v>0.0</v>
      </c>
      <c r="F1647" s="18">
        <v>1.0</v>
      </c>
      <c r="G1647" s="18">
        <v>0.0</v>
      </c>
      <c r="H1647" s="10">
        <v>5.0</v>
      </c>
      <c r="I1647" s="19">
        <v>5.0</v>
      </c>
      <c r="J1647" s="12"/>
      <c r="K1647" s="12">
        <f t="shared" si="91"/>
        <v>3000</v>
      </c>
      <c r="L1647" s="13" t="str">
        <f t="shared" si="92"/>
        <v>0 5-star + 1 RFC + 0 DME + 5 Patient Portal Login + 5 Completed Task</v>
      </c>
      <c r="M1647" s="13"/>
      <c r="N1647" s="13"/>
      <c r="O1647" s="14"/>
      <c r="P1647" s="14"/>
    </row>
    <row r="1648" hidden="1">
      <c r="A1648" s="6" t="s">
        <v>299</v>
      </c>
      <c r="B1648" s="16" t="s">
        <v>173</v>
      </c>
      <c r="C1648" s="16" t="s">
        <v>174</v>
      </c>
      <c r="D1648" s="16" t="s">
        <v>175</v>
      </c>
      <c r="E1648" s="17">
        <v>0.0</v>
      </c>
      <c r="F1648" s="18">
        <v>4.0</v>
      </c>
      <c r="G1648" s="18">
        <v>2.0</v>
      </c>
      <c r="H1648" s="10">
        <v>1.0</v>
      </c>
      <c r="I1648" s="19">
        <v>5.0</v>
      </c>
      <c r="J1648" s="12"/>
      <c r="K1648" s="12">
        <f t="shared" si="91"/>
        <v>4000</v>
      </c>
      <c r="L1648" s="13" t="str">
        <f t="shared" si="92"/>
        <v>0 5-star + 4 RFC + 2 DME + 1 Patient Portal Login + 5 Completed Task</v>
      </c>
      <c r="M1648" s="13"/>
      <c r="N1648" s="13"/>
      <c r="O1648" s="14"/>
      <c r="P1648" s="14"/>
    </row>
    <row r="1649" hidden="1">
      <c r="A1649" s="6" t="s">
        <v>299</v>
      </c>
      <c r="B1649" s="16" t="s">
        <v>176</v>
      </c>
      <c r="C1649" s="16" t="s">
        <v>177</v>
      </c>
      <c r="D1649" s="16" t="s">
        <v>178</v>
      </c>
      <c r="E1649" s="17">
        <v>0.0</v>
      </c>
      <c r="F1649" s="18">
        <v>0.0</v>
      </c>
      <c r="G1649" s="18">
        <v>0.0</v>
      </c>
      <c r="H1649" s="10">
        <v>1.0</v>
      </c>
      <c r="I1649" s="19">
        <v>4.0</v>
      </c>
      <c r="J1649" s="12"/>
      <c r="K1649" s="12">
        <f t="shared" si="91"/>
        <v>1250</v>
      </c>
      <c r="L1649" s="13" t="str">
        <f t="shared" si="92"/>
        <v>0 5-star + 0 RFC + 0 DME + 1 Patient Portal Login + 4 Completed Task</v>
      </c>
      <c r="M1649" s="13"/>
      <c r="N1649" s="13"/>
      <c r="O1649" s="14"/>
      <c r="P1649" s="14"/>
    </row>
    <row r="1650" hidden="1">
      <c r="A1650" s="6" t="s">
        <v>299</v>
      </c>
      <c r="B1650" s="21" t="s">
        <v>291</v>
      </c>
      <c r="C1650" s="21" t="s">
        <v>292</v>
      </c>
      <c r="D1650" s="21" t="s">
        <v>293</v>
      </c>
      <c r="E1650" s="77"/>
      <c r="F1650" s="77"/>
      <c r="G1650" s="77"/>
      <c r="H1650" s="77"/>
      <c r="I1650" s="77"/>
      <c r="J1650" s="12"/>
      <c r="K1650" s="12">
        <f t="shared" si="91"/>
        <v>0</v>
      </c>
      <c r="L1650" s="13" t="str">
        <f t="shared" si="92"/>
        <v> 5-star +  RFC +  DME +  Patient Portal Login +  Completed Task</v>
      </c>
      <c r="M1650" s="13"/>
      <c r="N1650" s="13"/>
      <c r="O1650" s="23"/>
      <c r="P1650" s="23"/>
    </row>
    <row r="1651" hidden="1">
      <c r="A1651" s="6" t="s">
        <v>299</v>
      </c>
      <c r="B1651" s="21" t="s">
        <v>294</v>
      </c>
      <c r="C1651" s="21" t="s">
        <v>295</v>
      </c>
      <c r="D1651" s="21" t="s">
        <v>296</v>
      </c>
      <c r="E1651" s="17">
        <v>0.0</v>
      </c>
      <c r="F1651" s="18">
        <v>0.0</v>
      </c>
      <c r="G1651" s="18">
        <v>0.0</v>
      </c>
      <c r="H1651" s="10">
        <v>0.0</v>
      </c>
      <c r="I1651" s="19">
        <v>5.0</v>
      </c>
      <c r="J1651" s="12"/>
      <c r="K1651" s="12">
        <f t="shared" si="91"/>
        <v>1250</v>
      </c>
      <c r="L1651" s="13" t="str">
        <f t="shared" si="92"/>
        <v>0 5-star + 0 RFC + 0 DME + 0 Patient Portal Login + 5 Completed Task</v>
      </c>
      <c r="M1651" s="13"/>
      <c r="N1651" s="13"/>
      <c r="O1651" s="23"/>
      <c r="P1651" s="23"/>
    </row>
    <row r="1652" hidden="1">
      <c r="A1652" s="6" t="s">
        <v>299</v>
      </c>
      <c r="B1652" s="21" t="s">
        <v>179</v>
      </c>
      <c r="C1652" s="21" t="s">
        <v>180</v>
      </c>
      <c r="D1652" s="21" t="s">
        <v>181</v>
      </c>
      <c r="E1652" s="17">
        <v>3.0</v>
      </c>
      <c r="F1652" s="18">
        <v>2.0</v>
      </c>
      <c r="G1652" s="18">
        <v>1.0</v>
      </c>
      <c r="H1652" s="10">
        <v>25.0</v>
      </c>
      <c r="I1652" s="19">
        <v>5.0</v>
      </c>
      <c r="J1652" s="12"/>
      <c r="K1652" s="12">
        <f t="shared" si="91"/>
        <v>9500</v>
      </c>
      <c r="L1652" s="13" t="str">
        <f t="shared" si="92"/>
        <v>3 5-star + 2 RFC + 1 DME + 25 Patient Portal Login + 5 Completed Task</v>
      </c>
      <c r="M1652" s="13"/>
      <c r="N1652" s="13"/>
      <c r="O1652" s="23"/>
      <c r="P1652" s="23"/>
    </row>
    <row r="1653" hidden="1">
      <c r="A1653" s="6" t="s">
        <v>299</v>
      </c>
      <c r="B1653" s="21" t="s">
        <v>182</v>
      </c>
      <c r="C1653" s="21" t="s">
        <v>183</v>
      </c>
      <c r="D1653" s="21" t="s">
        <v>184</v>
      </c>
      <c r="E1653" s="17">
        <v>0.0</v>
      </c>
      <c r="F1653" s="18">
        <v>1.0</v>
      </c>
      <c r="G1653" s="18">
        <v>0.0</v>
      </c>
      <c r="H1653" s="10">
        <v>11.0</v>
      </c>
      <c r="I1653" s="19">
        <v>3.0</v>
      </c>
      <c r="J1653" s="12"/>
      <c r="K1653" s="12">
        <f t="shared" si="91"/>
        <v>4000</v>
      </c>
      <c r="L1653" s="13" t="str">
        <f t="shared" si="92"/>
        <v>0 5-star + 1 RFC + 0 DME + 11 Patient Portal Login + 3 Completed Task</v>
      </c>
      <c r="M1653" s="13"/>
      <c r="N1653" s="13"/>
      <c r="O1653" s="23"/>
      <c r="P1653" s="23"/>
    </row>
    <row r="1654" hidden="1">
      <c r="A1654" s="6" t="s">
        <v>299</v>
      </c>
      <c r="B1654" s="21" t="s">
        <v>185</v>
      </c>
      <c r="C1654" s="21" t="s">
        <v>186</v>
      </c>
      <c r="D1654" s="21" t="s">
        <v>187</v>
      </c>
      <c r="E1654" s="17">
        <v>0.0</v>
      </c>
      <c r="F1654" s="18">
        <v>6.0</v>
      </c>
      <c r="G1654" s="18">
        <v>1.0</v>
      </c>
      <c r="H1654" s="10">
        <v>9.0</v>
      </c>
      <c r="I1654" s="19">
        <v>5.0</v>
      </c>
      <c r="J1654" s="12"/>
      <c r="K1654" s="12">
        <f t="shared" si="91"/>
        <v>6750</v>
      </c>
      <c r="L1654" s="13" t="str">
        <f t="shared" si="92"/>
        <v>0 5-star + 6 RFC + 1 DME + 9 Patient Portal Login + 5 Completed Task</v>
      </c>
      <c r="M1654" s="13"/>
      <c r="N1654" s="13"/>
      <c r="O1654" s="23"/>
      <c r="P1654" s="23"/>
    </row>
    <row r="1655" hidden="1">
      <c r="A1655" s="6" t="s">
        <v>299</v>
      </c>
      <c r="B1655" s="21" t="s">
        <v>188</v>
      </c>
      <c r="C1655" s="21" t="s">
        <v>189</v>
      </c>
      <c r="D1655" s="21" t="s">
        <v>190</v>
      </c>
      <c r="E1655" s="17">
        <v>0.0</v>
      </c>
      <c r="F1655" s="18">
        <v>0.0</v>
      </c>
      <c r="G1655" s="18">
        <v>0.0</v>
      </c>
      <c r="H1655" s="10">
        <v>1.0</v>
      </c>
      <c r="I1655" s="19">
        <v>5.0</v>
      </c>
      <c r="J1655" s="12"/>
      <c r="K1655" s="12">
        <f t="shared" si="91"/>
        <v>1500</v>
      </c>
      <c r="L1655" s="13" t="str">
        <f t="shared" si="92"/>
        <v>0 5-star + 0 RFC + 0 DME + 1 Patient Portal Login + 5 Completed Task</v>
      </c>
      <c r="M1655" s="13"/>
      <c r="N1655" s="13"/>
      <c r="O1655" s="23"/>
      <c r="P1655" s="23"/>
    </row>
    <row r="1656" hidden="1">
      <c r="A1656" s="6" t="s">
        <v>299</v>
      </c>
      <c r="B1656" s="61" t="s">
        <v>258</v>
      </c>
      <c r="C1656" s="21" t="s">
        <v>259</v>
      </c>
      <c r="D1656" s="21" t="s">
        <v>260</v>
      </c>
      <c r="E1656" s="17">
        <v>7.0</v>
      </c>
      <c r="F1656" s="18">
        <v>2.0</v>
      </c>
      <c r="G1656" s="18">
        <v>0.0</v>
      </c>
      <c r="H1656" s="10">
        <v>4.0</v>
      </c>
      <c r="I1656" s="19">
        <v>3.0</v>
      </c>
      <c r="J1656" s="12"/>
      <c r="K1656" s="12">
        <f t="shared" si="91"/>
        <v>4500</v>
      </c>
      <c r="L1656" s="13" t="str">
        <f t="shared" si="92"/>
        <v>7 5-star + 2 RFC + 0 DME + 4 Patient Portal Login + 3 Completed Task</v>
      </c>
      <c r="M1656" s="13"/>
      <c r="N1656" s="13"/>
      <c r="O1656" s="23"/>
      <c r="P1656" s="23"/>
    </row>
    <row r="1657" hidden="1">
      <c r="A1657" s="6" t="s">
        <v>299</v>
      </c>
      <c r="B1657" s="21" t="s">
        <v>262</v>
      </c>
      <c r="C1657" s="21" t="s">
        <v>263</v>
      </c>
      <c r="D1657" s="21" t="s">
        <v>264</v>
      </c>
      <c r="E1657" s="17">
        <v>38.0</v>
      </c>
      <c r="F1657" s="18">
        <v>3.0</v>
      </c>
      <c r="G1657" s="49">
        <v>0.0</v>
      </c>
      <c r="H1657" s="10">
        <v>4.0</v>
      </c>
      <c r="I1657" s="19">
        <v>5.0</v>
      </c>
      <c r="J1657" s="12"/>
      <c r="K1657" s="12">
        <f t="shared" si="91"/>
        <v>13250</v>
      </c>
      <c r="L1657" s="13" t="str">
        <f t="shared" si="92"/>
        <v>38 5-star + 3 RFC + 0 DME + 4 Patient Portal Login + 5 Completed Task</v>
      </c>
      <c r="M1657" s="13"/>
      <c r="N1657" s="13"/>
      <c r="O1657" s="23"/>
      <c r="P1657" s="23"/>
    </row>
    <row r="1658" hidden="1">
      <c r="A1658" s="6" t="s">
        <v>299</v>
      </c>
      <c r="B1658" s="21" t="s">
        <v>191</v>
      </c>
      <c r="C1658" s="21" t="s">
        <v>192</v>
      </c>
      <c r="D1658" s="21" t="s">
        <v>193</v>
      </c>
      <c r="E1658" s="17">
        <v>2.0</v>
      </c>
      <c r="F1658" s="18">
        <v>1.0</v>
      </c>
      <c r="G1658" s="18">
        <v>0.0</v>
      </c>
      <c r="H1658" s="10">
        <v>9.0</v>
      </c>
      <c r="I1658" s="19">
        <v>5.0</v>
      </c>
      <c r="J1658" s="12"/>
      <c r="K1658" s="12">
        <f t="shared" si="91"/>
        <v>4500</v>
      </c>
      <c r="L1658" s="13" t="str">
        <f t="shared" si="92"/>
        <v>2 5-star + 1 RFC + 0 DME + 9 Patient Portal Login + 5 Completed Task</v>
      </c>
      <c r="M1658" s="13"/>
      <c r="N1658" s="13"/>
      <c r="O1658" s="23"/>
      <c r="P1658" s="23"/>
    </row>
    <row r="1659" hidden="1">
      <c r="A1659" s="6" t="s">
        <v>299</v>
      </c>
      <c r="B1659" s="21" t="s">
        <v>194</v>
      </c>
      <c r="C1659" s="21" t="s">
        <v>195</v>
      </c>
      <c r="D1659" s="21" t="s">
        <v>196</v>
      </c>
      <c r="E1659" s="17">
        <v>0.0</v>
      </c>
      <c r="F1659" s="18">
        <v>1.0</v>
      </c>
      <c r="G1659" s="18">
        <v>0.0</v>
      </c>
      <c r="H1659" s="10">
        <v>11.0</v>
      </c>
      <c r="I1659" s="19">
        <v>5.0</v>
      </c>
      <c r="J1659" s="12"/>
      <c r="K1659" s="12">
        <f t="shared" si="91"/>
        <v>4500</v>
      </c>
      <c r="L1659" s="13" t="str">
        <f t="shared" si="92"/>
        <v>0 5-star + 1 RFC + 0 DME + 11 Patient Portal Login + 5 Completed Task</v>
      </c>
      <c r="M1659" s="13"/>
      <c r="N1659" s="13"/>
      <c r="O1659" s="23"/>
      <c r="P1659" s="23"/>
    </row>
    <row r="1660" hidden="1">
      <c r="A1660" s="6" t="s">
        <v>299</v>
      </c>
      <c r="B1660" s="21" t="s">
        <v>197</v>
      </c>
      <c r="C1660" s="21" t="s">
        <v>198</v>
      </c>
      <c r="D1660" s="21" t="s">
        <v>199</v>
      </c>
      <c r="E1660" s="17">
        <v>1.0</v>
      </c>
      <c r="F1660" s="18">
        <v>1.0</v>
      </c>
      <c r="G1660" s="49">
        <v>0.0</v>
      </c>
      <c r="H1660" s="10">
        <v>9.0</v>
      </c>
      <c r="I1660" s="19">
        <v>5.0</v>
      </c>
      <c r="J1660" s="12"/>
      <c r="K1660" s="12">
        <f t="shared" si="91"/>
        <v>4250</v>
      </c>
      <c r="L1660" s="13" t="str">
        <f t="shared" si="92"/>
        <v>1 5-star + 1 RFC + 0 DME + 9 Patient Portal Login + 5 Completed Task</v>
      </c>
      <c r="M1660" s="13"/>
      <c r="N1660" s="13"/>
      <c r="O1660" s="23"/>
      <c r="P1660" s="23"/>
    </row>
    <row r="1661" hidden="1">
      <c r="A1661" s="6" t="s">
        <v>299</v>
      </c>
      <c r="B1661" s="21" t="s">
        <v>200</v>
      </c>
      <c r="C1661" s="21" t="s">
        <v>201</v>
      </c>
      <c r="D1661" s="21" t="s">
        <v>202</v>
      </c>
      <c r="E1661" s="17">
        <v>0.0</v>
      </c>
      <c r="F1661" s="18">
        <v>1.0</v>
      </c>
      <c r="G1661" s="18">
        <v>0.0</v>
      </c>
      <c r="H1661" s="10">
        <v>1.0</v>
      </c>
      <c r="I1661" s="19">
        <v>3.0</v>
      </c>
      <c r="J1661" s="12"/>
      <c r="K1661" s="12">
        <f t="shared" si="91"/>
        <v>1500</v>
      </c>
      <c r="L1661" s="13" t="str">
        <f t="shared" si="92"/>
        <v>0 5-star + 1 RFC + 0 DME + 1 Patient Portal Login + 3 Completed Task</v>
      </c>
      <c r="M1661" s="13"/>
      <c r="N1661" s="13"/>
      <c r="O1661" s="23"/>
      <c r="P1661" s="23"/>
    </row>
    <row r="1662" hidden="1">
      <c r="A1662" s="6" t="s">
        <v>300</v>
      </c>
      <c r="B1662" s="7" t="s">
        <v>65</v>
      </c>
      <c r="C1662" s="7" t="s">
        <v>66</v>
      </c>
      <c r="D1662" s="7" t="s">
        <v>67</v>
      </c>
      <c r="E1662" s="17">
        <v>0.0</v>
      </c>
      <c r="F1662" s="18">
        <v>0.0</v>
      </c>
      <c r="G1662" s="18">
        <v>0.0</v>
      </c>
      <c r="H1662" s="10">
        <v>0.0</v>
      </c>
      <c r="I1662" s="19">
        <v>3.0</v>
      </c>
      <c r="J1662" s="12"/>
      <c r="K1662" s="12">
        <f t="shared" si="91"/>
        <v>750</v>
      </c>
      <c r="L1662" s="13" t="str">
        <f t="shared" si="92"/>
        <v>0 5-star + 0 RFC + 0 DME + 0 Patient Portal Login + 3 Completed Task</v>
      </c>
      <c r="M1662" s="13"/>
      <c r="N1662" s="13"/>
      <c r="O1662" s="14"/>
      <c r="P1662" s="14"/>
    </row>
    <row r="1663" hidden="1">
      <c r="A1663" s="6" t="s">
        <v>300</v>
      </c>
      <c r="B1663" s="7" t="s">
        <v>68</v>
      </c>
      <c r="C1663" s="16" t="s">
        <v>69</v>
      </c>
      <c r="D1663" s="16" t="s">
        <v>70</v>
      </c>
      <c r="E1663" s="17">
        <v>0.0</v>
      </c>
      <c r="F1663" s="18">
        <v>0.0</v>
      </c>
      <c r="G1663" s="18">
        <v>1.0</v>
      </c>
      <c r="H1663" s="10">
        <v>0.0</v>
      </c>
      <c r="I1663" s="19">
        <v>3.0</v>
      </c>
      <c r="J1663" s="12"/>
      <c r="K1663" s="12">
        <f t="shared" si="91"/>
        <v>1000</v>
      </c>
      <c r="L1663" s="13" t="str">
        <f t="shared" si="92"/>
        <v>0 5-star + 0 RFC + 1 DME + 0 Patient Portal Login + 3 Completed Task</v>
      </c>
      <c r="M1663" s="13"/>
      <c r="N1663" s="13"/>
      <c r="O1663" s="14"/>
      <c r="P1663" s="14"/>
    </row>
    <row r="1664" hidden="1">
      <c r="A1664" s="6" t="s">
        <v>300</v>
      </c>
      <c r="B1664" s="16" t="s">
        <v>71</v>
      </c>
      <c r="C1664" s="16" t="s">
        <v>72</v>
      </c>
      <c r="D1664" s="16" t="s">
        <v>73</v>
      </c>
      <c r="E1664" s="17">
        <v>3.0</v>
      </c>
      <c r="F1664" s="18">
        <v>0.0</v>
      </c>
      <c r="G1664" s="18">
        <v>0.0</v>
      </c>
      <c r="H1664" s="10">
        <v>0.0</v>
      </c>
      <c r="I1664" s="19">
        <v>5.0</v>
      </c>
      <c r="J1664" s="12"/>
      <c r="K1664" s="12">
        <f t="shared" si="91"/>
        <v>2000</v>
      </c>
      <c r="L1664" s="13" t="str">
        <f t="shared" si="92"/>
        <v>3 5-star + 0 RFC + 0 DME + 0 Patient Portal Login + 5 Completed Task</v>
      </c>
      <c r="M1664" s="13"/>
      <c r="N1664" s="13"/>
      <c r="O1664" s="14"/>
      <c r="P1664" s="14"/>
    </row>
    <row r="1665" hidden="1">
      <c r="A1665" s="6" t="s">
        <v>300</v>
      </c>
      <c r="B1665" s="16" t="s">
        <v>74</v>
      </c>
      <c r="C1665" s="16" t="s">
        <v>75</v>
      </c>
      <c r="D1665" s="16" t="s">
        <v>76</v>
      </c>
      <c r="E1665" s="17">
        <v>2.0</v>
      </c>
      <c r="F1665" s="18">
        <v>0.0</v>
      </c>
      <c r="G1665" s="18">
        <v>0.0</v>
      </c>
      <c r="H1665" s="10">
        <v>0.0</v>
      </c>
      <c r="I1665" s="19">
        <v>5.0</v>
      </c>
      <c r="J1665" s="12"/>
      <c r="K1665" s="12">
        <f t="shared" si="91"/>
        <v>1750</v>
      </c>
      <c r="L1665" s="13" t="str">
        <f t="shared" si="92"/>
        <v>2 5-star + 0 RFC + 0 DME + 0 Patient Portal Login + 5 Completed Task</v>
      </c>
      <c r="M1665" s="13"/>
      <c r="N1665" s="13"/>
      <c r="O1665" s="14"/>
      <c r="P1665" s="14"/>
    </row>
    <row r="1666" hidden="1">
      <c r="A1666" s="6" t="s">
        <v>300</v>
      </c>
      <c r="B1666" s="16" t="s">
        <v>77</v>
      </c>
      <c r="C1666" s="16" t="s">
        <v>78</v>
      </c>
      <c r="D1666" s="16" t="s">
        <v>79</v>
      </c>
      <c r="E1666" s="17">
        <v>16.0</v>
      </c>
      <c r="F1666" s="18">
        <v>0.0</v>
      </c>
      <c r="G1666" s="18">
        <v>0.0</v>
      </c>
      <c r="H1666" s="10">
        <v>2.0</v>
      </c>
      <c r="I1666" s="19">
        <v>5.0</v>
      </c>
      <c r="J1666" s="12"/>
      <c r="K1666" s="12">
        <f t="shared" si="91"/>
        <v>5750</v>
      </c>
      <c r="L1666" s="13" t="str">
        <f t="shared" si="92"/>
        <v>16 5-star + 0 RFC + 0 DME + 2 Patient Portal Login + 5 Completed Task</v>
      </c>
      <c r="M1666" s="13"/>
      <c r="N1666" s="13"/>
      <c r="O1666" s="14"/>
      <c r="P1666" s="14"/>
    </row>
    <row r="1667" hidden="1">
      <c r="A1667" s="6" t="s">
        <v>300</v>
      </c>
      <c r="B1667" s="16" t="s">
        <v>80</v>
      </c>
      <c r="C1667" s="16" t="s">
        <v>81</v>
      </c>
      <c r="D1667" s="16" t="s">
        <v>82</v>
      </c>
      <c r="E1667" s="17">
        <v>1.0</v>
      </c>
      <c r="F1667" s="18">
        <v>0.0</v>
      </c>
      <c r="G1667" s="18">
        <v>0.0</v>
      </c>
      <c r="H1667" s="10">
        <v>0.0</v>
      </c>
      <c r="I1667" s="19">
        <v>4.0</v>
      </c>
      <c r="J1667" s="12"/>
      <c r="K1667" s="12">
        <f t="shared" si="91"/>
        <v>1250</v>
      </c>
      <c r="L1667" s="13" t="str">
        <f t="shared" si="92"/>
        <v>1 5-star + 0 RFC + 0 DME + 0 Patient Portal Login + 4 Completed Task</v>
      </c>
      <c r="M1667" s="13"/>
      <c r="N1667" s="13"/>
      <c r="O1667" s="14"/>
      <c r="P1667" s="14"/>
    </row>
    <row r="1668" hidden="1">
      <c r="A1668" s="6" t="s">
        <v>300</v>
      </c>
      <c r="B1668" s="7" t="s">
        <v>83</v>
      </c>
      <c r="C1668" s="16" t="s">
        <v>84</v>
      </c>
      <c r="D1668" s="16" t="s">
        <v>85</v>
      </c>
      <c r="E1668" s="17">
        <v>1.0</v>
      </c>
      <c r="F1668" s="18">
        <v>0.0</v>
      </c>
      <c r="G1668" s="18">
        <v>0.0</v>
      </c>
      <c r="H1668" s="10">
        <v>1.0</v>
      </c>
      <c r="I1668" s="19">
        <v>0.0</v>
      </c>
      <c r="J1668" s="12"/>
      <c r="K1668" s="12">
        <f t="shared" si="91"/>
        <v>500</v>
      </c>
      <c r="L1668" s="13" t="str">
        <f t="shared" si="92"/>
        <v>1 5-star + 0 RFC + 0 DME + 1 Patient Portal Login + 0 Completed Task</v>
      </c>
      <c r="M1668" s="13"/>
      <c r="N1668" s="13"/>
      <c r="O1668" s="14"/>
      <c r="P1668" s="14"/>
    </row>
    <row r="1669" hidden="1">
      <c r="A1669" s="6" t="s">
        <v>300</v>
      </c>
      <c r="B1669" s="16" t="s">
        <v>255</v>
      </c>
      <c r="C1669" s="16" t="s">
        <v>256</v>
      </c>
      <c r="D1669" s="16" t="s">
        <v>257</v>
      </c>
      <c r="E1669" s="17">
        <v>3.0</v>
      </c>
      <c r="F1669" s="18">
        <v>1.0</v>
      </c>
      <c r="G1669" s="18">
        <v>0.0</v>
      </c>
      <c r="H1669" s="10">
        <v>1.0</v>
      </c>
      <c r="I1669" s="19">
        <v>11.0</v>
      </c>
      <c r="J1669" s="12"/>
      <c r="K1669" s="12">
        <f t="shared" si="91"/>
        <v>4250</v>
      </c>
      <c r="L1669" s="13" t="str">
        <f t="shared" si="92"/>
        <v>3 5-star + 1 RFC + 0 DME + 1 Patient Portal Login + 11 Completed Task</v>
      </c>
      <c r="M1669" s="13"/>
      <c r="N1669" s="13"/>
      <c r="O1669" s="14"/>
      <c r="P1669" s="14"/>
    </row>
    <row r="1670" hidden="1">
      <c r="A1670" s="6" t="s">
        <v>300</v>
      </c>
      <c r="B1670" s="16" t="s">
        <v>86</v>
      </c>
      <c r="C1670" s="16" t="s">
        <v>87</v>
      </c>
      <c r="D1670" s="16" t="s">
        <v>88</v>
      </c>
      <c r="E1670" s="17">
        <v>4.0</v>
      </c>
      <c r="F1670" s="18">
        <v>7.0</v>
      </c>
      <c r="G1670" s="18">
        <v>1.0</v>
      </c>
      <c r="H1670" s="10">
        <v>23.0</v>
      </c>
      <c r="I1670" s="19">
        <v>14.0</v>
      </c>
      <c r="J1670" s="12"/>
      <c r="K1670" s="12">
        <f t="shared" si="91"/>
        <v>14000</v>
      </c>
      <c r="L1670" s="13" t="str">
        <f t="shared" si="92"/>
        <v>4 5-star + 7 RFC + 1 DME + 23 Patient Portal Login + 14 Completed Task</v>
      </c>
      <c r="M1670" s="13"/>
      <c r="N1670" s="13"/>
      <c r="O1670" s="14"/>
      <c r="P1670" s="14"/>
    </row>
    <row r="1671" hidden="1">
      <c r="A1671" s="6" t="s">
        <v>300</v>
      </c>
      <c r="B1671" s="16" t="s">
        <v>89</v>
      </c>
      <c r="C1671" s="16" t="s">
        <v>90</v>
      </c>
      <c r="D1671" s="16" t="s">
        <v>91</v>
      </c>
      <c r="E1671" s="17">
        <v>0.0</v>
      </c>
      <c r="F1671" s="18">
        <v>4.0</v>
      </c>
      <c r="G1671" s="18">
        <v>0.0</v>
      </c>
      <c r="H1671" s="10">
        <v>9.0</v>
      </c>
      <c r="I1671" s="19">
        <v>2.0</v>
      </c>
      <c r="J1671" s="12"/>
      <c r="K1671" s="12">
        <f t="shared" si="91"/>
        <v>4750</v>
      </c>
      <c r="L1671" s="13" t="str">
        <f t="shared" si="92"/>
        <v>0 5-star + 4 RFC + 0 DME + 9 Patient Portal Login + 2 Completed Task</v>
      </c>
      <c r="M1671" s="13"/>
      <c r="N1671" s="13"/>
      <c r="O1671" s="14"/>
      <c r="P1671" s="14"/>
    </row>
    <row r="1672" hidden="1">
      <c r="A1672" s="6" t="s">
        <v>300</v>
      </c>
      <c r="B1672" s="16" t="s">
        <v>92</v>
      </c>
      <c r="C1672" s="16" t="s">
        <v>93</v>
      </c>
      <c r="D1672" s="16" t="s">
        <v>94</v>
      </c>
      <c r="E1672" s="17">
        <v>0.0</v>
      </c>
      <c r="F1672" s="18">
        <v>2.0</v>
      </c>
      <c r="G1672" s="18">
        <v>0.0</v>
      </c>
      <c r="H1672" s="10">
        <v>4.0</v>
      </c>
      <c r="I1672" s="19">
        <v>4.0</v>
      </c>
      <c r="J1672" s="12"/>
      <c r="K1672" s="12">
        <f t="shared" si="91"/>
        <v>3000</v>
      </c>
      <c r="L1672" s="13" t="str">
        <f t="shared" si="92"/>
        <v>0 5-star + 2 RFC + 0 DME + 4 Patient Portal Login + 4 Completed Task</v>
      </c>
      <c r="M1672" s="13"/>
      <c r="N1672" s="13"/>
      <c r="O1672" s="14"/>
      <c r="P1672" s="14"/>
    </row>
    <row r="1673" hidden="1">
      <c r="A1673" s="6" t="s">
        <v>300</v>
      </c>
      <c r="B1673" s="7" t="s">
        <v>95</v>
      </c>
      <c r="C1673" s="16" t="s">
        <v>96</v>
      </c>
      <c r="D1673" s="16" t="s">
        <v>97</v>
      </c>
      <c r="E1673" s="17">
        <v>0.0</v>
      </c>
      <c r="F1673" s="18">
        <v>2.0</v>
      </c>
      <c r="G1673" s="18">
        <v>0.0</v>
      </c>
      <c r="H1673" s="10">
        <v>2.0</v>
      </c>
      <c r="I1673" s="19">
        <v>6.0</v>
      </c>
      <c r="J1673" s="12"/>
      <c r="K1673" s="12">
        <f t="shared" si="91"/>
        <v>3000</v>
      </c>
      <c r="L1673" s="13" t="str">
        <f t="shared" si="92"/>
        <v>0 5-star + 2 RFC + 0 DME + 2 Patient Portal Login + 6 Completed Task</v>
      </c>
      <c r="M1673" s="13"/>
      <c r="N1673" s="13"/>
      <c r="O1673" s="14"/>
      <c r="P1673" s="14"/>
    </row>
    <row r="1674" hidden="1">
      <c r="A1674" s="6" t="s">
        <v>300</v>
      </c>
      <c r="B1674" s="16" t="s">
        <v>98</v>
      </c>
      <c r="C1674" s="16" t="s">
        <v>99</v>
      </c>
      <c r="D1674" s="16" t="s">
        <v>100</v>
      </c>
      <c r="E1674" s="17">
        <v>0.0</v>
      </c>
      <c r="F1674" s="18">
        <v>0.0</v>
      </c>
      <c r="G1674" s="18">
        <v>0.0</v>
      </c>
      <c r="H1674" s="10">
        <v>5.0</v>
      </c>
      <c r="I1674" s="19">
        <v>0.0</v>
      </c>
      <c r="J1674" s="12"/>
      <c r="K1674" s="12">
        <f t="shared" si="91"/>
        <v>1250</v>
      </c>
      <c r="L1674" s="13" t="str">
        <f t="shared" si="92"/>
        <v>0 5-star + 0 RFC + 0 DME + 5 Patient Portal Login + 0 Completed Task</v>
      </c>
      <c r="M1674" s="13"/>
      <c r="N1674" s="13"/>
      <c r="O1674" s="14"/>
      <c r="P1674" s="14"/>
    </row>
    <row r="1675" hidden="1">
      <c r="A1675" s="6" t="s">
        <v>300</v>
      </c>
      <c r="B1675" s="7" t="s">
        <v>101</v>
      </c>
      <c r="C1675" s="16" t="s">
        <v>102</v>
      </c>
      <c r="D1675" s="16" t="s">
        <v>103</v>
      </c>
      <c r="E1675" s="17">
        <v>2.0</v>
      </c>
      <c r="F1675" s="18">
        <v>0.0</v>
      </c>
      <c r="G1675" s="18">
        <v>0.0</v>
      </c>
      <c r="H1675" s="10">
        <v>2.0</v>
      </c>
      <c r="I1675" s="19">
        <v>4.0</v>
      </c>
      <c r="J1675" s="12"/>
      <c r="K1675" s="12">
        <f t="shared" si="91"/>
        <v>2000</v>
      </c>
      <c r="L1675" s="13" t="str">
        <f t="shared" si="92"/>
        <v>2 5-star + 0 RFC + 0 DME + 2 Patient Portal Login + 4 Completed Task</v>
      </c>
      <c r="M1675" s="13"/>
      <c r="N1675" s="13"/>
      <c r="O1675" s="14"/>
      <c r="P1675" s="14"/>
    </row>
    <row r="1676" hidden="1">
      <c r="A1676" s="6" t="s">
        <v>300</v>
      </c>
      <c r="B1676" s="16" t="s">
        <v>271</v>
      </c>
      <c r="C1676" s="16" t="s">
        <v>272</v>
      </c>
      <c r="D1676" s="16" t="s">
        <v>273</v>
      </c>
      <c r="E1676" s="76"/>
      <c r="F1676" s="76"/>
      <c r="G1676" s="76"/>
      <c r="H1676" s="76"/>
      <c r="I1676" s="76"/>
      <c r="J1676" s="12"/>
      <c r="K1676" s="12">
        <f t="shared" si="91"/>
        <v>0</v>
      </c>
      <c r="L1676" s="13" t="str">
        <f t="shared" si="92"/>
        <v> 5-star +  RFC +  DME +  Patient Portal Login +  Completed Task</v>
      </c>
      <c r="M1676" s="13"/>
      <c r="N1676" s="13"/>
      <c r="O1676" s="14"/>
      <c r="P1676" s="14"/>
    </row>
    <row r="1677" hidden="1">
      <c r="A1677" s="6" t="s">
        <v>300</v>
      </c>
      <c r="B1677" s="16" t="s">
        <v>104</v>
      </c>
      <c r="C1677" s="16" t="s">
        <v>105</v>
      </c>
      <c r="D1677" s="16" t="s">
        <v>106</v>
      </c>
      <c r="E1677" s="17">
        <v>0.0</v>
      </c>
      <c r="F1677" s="18">
        <v>1.0</v>
      </c>
      <c r="G1677" s="18">
        <v>0.0</v>
      </c>
      <c r="H1677" s="10">
        <v>2.0</v>
      </c>
      <c r="I1677" s="19">
        <v>5.0</v>
      </c>
      <c r="J1677" s="12"/>
      <c r="K1677" s="12">
        <f t="shared" si="91"/>
        <v>2250</v>
      </c>
      <c r="L1677" s="13" t="str">
        <f t="shared" si="92"/>
        <v>0 5-star + 1 RFC + 0 DME + 2 Patient Portal Login + 5 Completed Task</v>
      </c>
      <c r="M1677" s="13"/>
      <c r="N1677" s="13"/>
      <c r="O1677" s="14"/>
      <c r="P1677" s="14"/>
    </row>
    <row r="1678" hidden="1">
      <c r="A1678" s="6" t="s">
        <v>300</v>
      </c>
      <c r="B1678" s="16" t="s">
        <v>107</v>
      </c>
      <c r="C1678" s="16" t="s">
        <v>108</v>
      </c>
      <c r="D1678" s="16" t="s">
        <v>109</v>
      </c>
      <c r="E1678" s="17">
        <v>0.0</v>
      </c>
      <c r="F1678" s="18">
        <v>0.0</v>
      </c>
      <c r="G1678" s="18">
        <v>0.0</v>
      </c>
      <c r="H1678" s="10">
        <v>3.0</v>
      </c>
      <c r="I1678" s="19">
        <v>5.0</v>
      </c>
      <c r="J1678" s="12"/>
      <c r="K1678" s="12">
        <f t="shared" si="91"/>
        <v>2000</v>
      </c>
      <c r="L1678" s="13" t="str">
        <f t="shared" si="92"/>
        <v>0 5-star + 0 RFC + 0 DME + 3 Patient Portal Login + 5 Completed Task</v>
      </c>
      <c r="M1678" s="13"/>
      <c r="N1678" s="13"/>
      <c r="O1678" s="14"/>
      <c r="P1678" s="14"/>
    </row>
    <row r="1679" hidden="1">
      <c r="A1679" s="6" t="s">
        <v>300</v>
      </c>
      <c r="B1679" s="16" t="s">
        <v>110</v>
      </c>
      <c r="C1679" s="16" t="s">
        <v>111</v>
      </c>
      <c r="D1679" s="16" t="s">
        <v>112</v>
      </c>
      <c r="E1679" s="17">
        <v>0.0</v>
      </c>
      <c r="F1679" s="18">
        <v>2.0</v>
      </c>
      <c r="G1679" s="18">
        <v>0.0</v>
      </c>
      <c r="H1679" s="10">
        <v>1.0</v>
      </c>
      <c r="I1679" s="19">
        <v>5.0</v>
      </c>
      <c r="J1679" s="12"/>
      <c r="K1679" s="12">
        <f t="shared" si="91"/>
        <v>2500</v>
      </c>
      <c r="L1679" s="13" t="str">
        <f t="shared" si="92"/>
        <v>0 5-star + 2 RFC + 0 DME + 1 Patient Portal Login + 5 Completed Task</v>
      </c>
      <c r="M1679" s="13"/>
      <c r="N1679" s="13"/>
      <c r="O1679" s="14"/>
      <c r="P1679" s="14"/>
    </row>
    <row r="1680" hidden="1">
      <c r="A1680" s="6" t="s">
        <v>300</v>
      </c>
      <c r="B1680" s="16" t="s">
        <v>113</v>
      </c>
      <c r="C1680" s="16" t="s">
        <v>114</v>
      </c>
      <c r="D1680" s="16" t="s">
        <v>115</v>
      </c>
      <c r="E1680" s="17">
        <v>0.0</v>
      </c>
      <c r="F1680" s="18">
        <v>0.0</v>
      </c>
      <c r="G1680" s="18">
        <v>0.0</v>
      </c>
      <c r="H1680" s="10">
        <v>12.0</v>
      </c>
      <c r="I1680" s="19">
        <v>5.0</v>
      </c>
      <c r="J1680" s="12"/>
      <c r="K1680" s="12">
        <f t="shared" si="91"/>
        <v>4250</v>
      </c>
      <c r="L1680" s="13" t="str">
        <f t="shared" si="92"/>
        <v>0 5-star + 0 RFC + 0 DME + 12 Patient Portal Login + 5 Completed Task</v>
      </c>
      <c r="M1680" s="13"/>
      <c r="N1680" s="13"/>
      <c r="O1680" s="14"/>
      <c r="P1680" s="14"/>
    </row>
    <row r="1681" hidden="1">
      <c r="A1681" s="6" t="s">
        <v>300</v>
      </c>
      <c r="B1681" s="7" t="s">
        <v>116</v>
      </c>
      <c r="C1681" s="16" t="s">
        <v>117</v>
      </c>
      <c r="D1681" s="16" t="s">
        <v>118</v>
      </c>
      <c r="E1681" s="17">
        <v>0.0</v>
      </c>
      <c r="F1681" s="18">
        <v>1.0</v>
      </c>
      <c r="G1681" s="18">
        <v>0.0</v>
      </c>
      <c r="H1681" s="10">
        <v>6.0</v>
      </c>
      <c r="I1681" s="19">
        <v>5.0</v>
      </c>
      <c r="J1681" s="12"/>
      <c r="K1681" s="12">
        <f t="shared" si="91"/>
        <v>3250</v>
      </c>
      <c r="L1681" s="13" t="str">
        <f t="shared" si="92"/>
        <v>0 5-star + 1 RFC + 0 DME + 6 Patient Portal Login + 5 Completed Task</v>
      </c>
      <c r="M1681" s="13"/>
      <c r="N1681" s="13"/>
      <c r="O1681" s="14"/>
      <c r="P1681" s="14"/>
    </row>
    <row r="1682" hidden="1">
      <c r="A1682" s="6" t="s">
        <v>300</v>
      </c>
      <c r="B1682" s="16" t="s">
        <v>216</v>
      </c>
      <c r="C1682" s="16" t="s">
        <v>217</v>
      </c>
      <c r="D1682" s="16" t="s">
        <v>274</v>
      </c>
      <c r="E1682" s="76"/>
      <c r="F1682" s="76"/>
      <c r="G1682" s="76"/>
      <c r="H1682" s="76"/>
      <c r="I1682" s="76"/>
      <c r="J1682" s="12"/>
      <c r="K1682" s="12">
        <f t="shared" si="91"/>
        <v>0</v>
      </c>
      <c r="L1682" s="13" t="str">
        <f t="shared" si="92"/>
        <v> 5-star +  RFC +  DME +  Patient Portal Login +  Completed Task</v>
      </c>
      <c r="M1682" s="13"/>
      <c r="N1682" s="13"/>
      <c r="O1682" s="14"/>
      <c r="P1682" s="14"/>
    </row>
    <row r="1683" hidden="1">
      <c r="A1683" s="6" t="s">
        <v>300</v>
      </c>
      <c r="B1683" s="16" t="s">
        <v>119</v>
      </c>
      <c r="C1683" s="16" t="s">
        <v>120</v>
      </c>
      <c r="D1683" s="16" t="s">
        <v>121</v>
      </c>
      <c r="E1683" s="17">
        <v>0.0</v>
      </c>
      <c r="F1683" s="18">
        <v>0.0</v>
      </c>
      <c r="G1683" s="18">
        <v>1.0</v>
      </c>
      <c r="H1683" s="10">
        <v>2.0</v>
      </c>
      <c r="I1683" s="19">
        <v>5.0</v>
      </c>
      <c r="J1683" s="12"/>
      <c r="K1683" s="12">
        <f t="shared" si="91"/>
        <v>2000</v>
      </c>
      <c r="L1683" s="13" t="str">
        <f t="shared" si="92"/>
        <v>0 5-star + 0 RFC + 1 DME + 2 Patient Portal Login + 5 Completed Task</v>
      </c>
      <c r="M1683" s="13"/>
      <c r="N1683" s="13"/>
      <c r="O1683" s="14"/>
      <c r="P1683" s="14"/>
    </row>
    <row r="1684" hidden="1">
      <c r="A1684" s="6" t="s">
        <v>300</v>
      </c>
      <c r="B1684" s="16" t="s">
        <v>267</v>
      </c>
      <c r="C1684" s="16" t="s">
        <v>268</v>
      </c>
      <c r="D1684" s="16" t="s">
        <v>269</v>
      </c>
      <c r="E1684" s="17">
        <v>2.0</v>
      </c>
      <c r="F1684" s="18">
        <v>3.0</v>
      </c>
      <c r="G1684" s="18">
        <v>4.0</v>
      </c>
      <c r="H1684" s="10">
        <v>10.0</v>
      </c>
      <c r="I1684" s="19">
        <v>5.0</v>
      </c>
      <c r="J1684" s="12"/>
      <c r="K1684" s="12">
        <f t="shared" si="91"/>
        <v>6750</v>
      </c>
      <c r="L1684" s="13" t="str">
        <f t="shared" si="92"/>
        <v>2 5-star + 3 RFC + 4 DME + 10 Patient Portal Login + 5 Completed Task</v>
      </c>
      <c r="M1684" s="13"/>
      <c r="N1684" s="13"/>
      <c r="O1684" s="14"/>
      <c r="P1684" s="14"/>
    </row>
    <row r="1685" hidden="1">
      <c r="A1685" s="6" t="s">
        <v>300</v>
      </c>
      <c r="B1685" s="16" t="s">
        <v>275</v>
      </c>
      <c r="C1685" s="16" t="s">
        <v>276</v>
      </c>
      <c r="D1685" s="16" t="s">
        <v>277</v>
      </c>
      <c r="E1685" s="76"/>
      <c r="F1685" s="76"/>
      <c r="G1685" s="76"/>
      <c r="H1685" s="76"/>
      <c r="I1685" s="76"/>
      <c r="J1685" s="12"/>
      <c r="K1685" s="12">
        <f t="shared" si="91"/>
        <v>0</v>
      </c>
      <c r="L1685" s="13" t="str">
        <f t="shared" si="92"/>
        <v> 5-star +  RFC +  DME +  Patient Portal Login +  Completed Task</v>
      </c>
      <c r="M1685" s="13"/>
      <c r="N1685" s="13"/>
      <c r="O1685" s="14"/>
      <c r="P1685" s="14"/>
    </row>
    <row r="1686" hidden="1">
      <c r="A1686" s="6" t="s">
        <v>300</v>
      </c>
      <c r="B1686" s="16" t="s">
        <v>122</v>
      </c>
      <c r="C1686" s="16" t="s">
        <v>123</v>
      </c>
      <c r="D1686" s="16" t="s">
        <v>124</v>
      </c>
      <c r="E1686" s="17">
        <v>0.0</v>
      </c>
      <c r="F1686" s="18">
        <v>0.0</v>
      </c>
      <c r="G1686" s="18">
        <v>0.0</v>
      </c>
      <c r="H1686" s="10">
        <v>0.0</v>
      </c>
      <c r="I1686" s="19">
        <v>5.0</v>
      </c>
      <c r="J1686" s="12"/>
      <c r="K1686" s="12">
        <f t="shared" si="91"/>
        <v>1250</v>
      </c>
      <c r="L1686" s="13" t="str">
        <f t="shared" si="92"/>
        <v>0 5-star + 0 RFC + 0 DME + 0 Patient Portal Login + 5 Completed Task</v>
      </c>
      <c r="M1686" s="13"/>
      <c r="N1686" s="13"/>
      <c r="O1686" s="14"/>
      <c r="P1686" s="14"/>
    </row>
    <row r="1687" hidden="1">
      <c r="A1687" s="6" t="s">
        <v>300</v>
      </c>
      <c r="B1687" s="16" t="s">
        <v>125</v>
      </c>
      <c r="C1687" s="16" t="s">
        <v>126</v>
      </c>
      <c r="D1687" s="16" t="s">
        <v>127</v>
      </c>
      <c r="E1687" s="17">
        <v>0.0</v>
      </c>
      <c r="F1687" s="18">
        <v>1.0</v>
      </c>
      <c r="G1687" s="18">
        <v>0.0</v>
      </c>
      <c r="H1687" s="10">
        <v>0.0</v>
      </c>
      <c r="I1687" s="19">
        <v>5.0</v>
      </c>
      <c r="J1687" s="12"/>
      <c r="K1687" s="12">
        <f t="shared" si="91"/>
        <v>1750</v>
      </c>
      <c r="L1687" s="13" t="str">
        <f t="shared" si="92"/>
        <v>0 5-star + 1 RFC + 0 DME + 0 Patient Portal Login + 5 Completed Task</v>
      </c>
      <c r="M1687" s="13"/>
      <c r="N1687" s="13"/>
      <c r="O1687" s="14"/>
      <c r="P1687" s="14"/>
    </row>
    <row r="1688" hidden="1">
      <c r="A1688" s="6" t="s">
        <v>300</v>
      </c>
      <c r="B1688" s="16" t="s">
        <v>128</v>
      </c>
      <c r="C1688" s="16" t="s">
        <v>129</v>
      </c>
      <c r="D1688" s="16" t="s">
        <v>130</v>
      </c>
      <c r="E1688" s="17">
        <v>0.0</v>
      </c>
      <c r="F1688" s="18">
        <v>0.0</v>
      </c>
      <c r="G1688" s="18">
        <v>0.0</v>
      </c>
      <c r="H1688" s="10">
        <v>9.0</v>
      </c>
      <c r="I1688" s="19">
        <v>5.0</v>
      </c>
      <c r="J1688" s="12"/>
      <c r="K1688" s="12">
        <f t="shared" si="91"/>
        <v>3500</v>
      </c>
      <c r="L1688" s="13" t="str">
        <f t="shared" si="92"/>
        <v>0 5-star + 0 RFC + 0 DME + 9 Patient Portal Login + 5 Completed Task</v>
      </c>
      <c r="M1688" s="13"/>
      <c r="N1688" s="13"/>
      <c r="O1688" s="14"/>
      <c r="P1688" s="14"/>
    </row>
    <row r="1689" hidden="1">
      <c r="A1689" s="6" t="s">
        <v>300</v>
      </c>
      <c r="B1689" s="16" t="s">
        <v>131</v>
      </c>
      <c r="C1689" s="16" t="s">
        <v>132</v>
      </c>
      <c r="D1689" s="16" t="s">
        <v>133</v>
      </c>
      <c r="E1689" s="17">
        <v>0.0</v>
      </c>
      <c r="F1689" s="18">
        <v>2.0</v>
      </c>
      <c r="G1689" s="18">
        <v>0.0</v>
      </c>
      <c r="H1689" s="10">
        <v>5.0</v>
      </c>
      <c r="I1689" s="19">
        <v>5.0</v>
      </c>
      <c r="J1689" s="12"/>
      <c r="K1689" s="12">
        <f t="shared" si="91"/>
        <v>3500</v>
      </c>
      <c r="L1689" s="13" t="str">
        <f t="shared" si="92"/>
        <v>0 5-star + 2 RFC + 0 DME + 5 Patient Portal Login + 5 Completed Task</v>
      </c>
      <c r="M1689" s="13"/>
      <c r="N1689" s="13"/>
      <c r="O1689" s="14"/>
      <c r="P1689" s="14"/>
    </row>
    <row r="1690" hidden="1">
      <c r="A1690" s="6" t="s">
        <v>300</v>
      </c>
      <c r="B1690" s="16" t="s">
        <v>134</v>
      </c>
      <c r="C1690" s="16" t="s">
        <v>135</v>
      </c>
      <c r="D1690" s="16" t="s">
        <v>136</v>
      </c>
      <c r="E1690" s="17">
        <v>0.0</v>
      </c>
      <c r="F1690" s="18">
        <v>0.0</v>
      </c>
      <c r="G1690" s="18">
        <v>0.0</v>
      </c>
      <c r="H1690" s="10">
        <v>9.0</v>
      </c>
      <c r="I1690" s="19">
        <v>5.0</v>
      </c>
      <c r="J1690" s="12"/>
      <c r="K1690" s="12">
        <f t="shared" si="91"/>
        <v>3500</v>
      </c>
      <c r="L1690" s="13" t="str">
        <f t="shared" si="92"/>
        <v>0 5-star + 0 RFC + 0 DME + 9 Patient Portal Login + 5 Completed Task</v>
      </c>
      <c r="M1690" s="13"/>
      <c r="N1690" s="13"/>
      <c r="O1690" s="14"/>
      <c r="P1690" s="14"/>
    </row>
    <row r="1691" hidden="1">
      <c r="A1691" s="6" t="s">
        <v>300</v>
      </c>
      <c r="B1691" s="16" t="s">
        <v>137</v>
      </c>
      <c r="C1691" s="16" t="s">
        <v>138</v>
      </c>
      <c r="D1691" s="16" t="s">
        <v>139</v>
      </c>
      <c r="E1691" s="17">
        <v>0.0</v>
      </c>
      <c r="F1691" s="18">
        <v>4.0</v>
      </c>
      <c r="G1691" s="18">
        <v>0.0</v>
      </c>
      <c r="H1691" s="10">
        <v>10.0</v>
      </c>
      <c r="I1691" s="11">
        <v>5.0</v>
      </c>
      <c r="J1691" s="12"/>
      <c r="K1691" s="12">
        <f t="shared" si="91"/>
        <v>5750</v>
      </c>
      <c r="L1691" s="13" t="str">
        <f t="shared" si="92"/>
        <v>0 5-star + 4 RFC + 0 DME + 10 Patient Portal Login + 5 Completed Task</v>
      </c>
      <c r="M1691" s="13"/>
      <c r="N1691" s="13"/>
      <c r="O1691" s="14"/>
      <c r="P1691" s="14"/>
    </row>
    <row r="1692" hidden="1">
      <c r="A1692" s="6" t="s">
        <v>300</v>
      </c>
      <c r="B1692" s="16" t="s">
        <v>278</v>
      </c>
      <c r="C1692" s="16" t="s">
        <v>279</v>
      </c>
      <c r="D1692" s="16" t="s">
        <v>280</v>
      </c>
      <c r="E1692" s="77"/>
      <c r="F1692" s="77"/>
      <c r="G1692" s="77"/>
      <c r="H1692" s="77"/>
      <c r="I1692" s="77"/>
      <c r="J1692" s="12"/>
      <c r="K1692" s="12">
        <f t="shared" si="91"/>
        <v>0</v>
      </c>
      <c r="L1692" s="13" t="str">
        <f t="shared" si="92"/>
        <v> 5-star +  RFC +  DME +  Patient Portal Login +  Completed Task</v>
      </c>
      <c r="M1692" s="13"/>
      <c r="N1692" s="13"/>
      <c r="O1692" s="14"/>
      <c r="P1692" s="14"/>
    </row>
    <row r="1693" hidden="1">
      <c r="A1693" s="6" t="s">
        <v>300</v>
      </c>
      <c r="B1693" s="16" t="s">
        <v>140</v>
      </c>
      <c r="C1693" s="16" t="s">
        <v>141</v>
      </c>
      <c r="D1693" s="16" t="s">
        <v>142</v>
      </c>
      <c r="E1693" s="8">
        <v>1.0</v>
      </c>
      <c r="F1693" s="18">
        <v>1.0</v>
      </c>
      <c r="G1693" s="18">
        <v>0.0</v>
      </c>
      <c r="H1693" s="15">
        <v>5.0</v>
      </c>
      <c r="I1693" s="11">
        <v>5.0</v>
      </c>
      <c r="J1693" s="12"/>
      <c r="K1693" s="12">
        <f t="shared" si="91"/>
        <v>3250</v>
      </c>
      <c r="L1693" s="13" t="str">
        <f t="shared" si="92"/>
        <v>1 5-star + 1 RFC + 0 DME + 5 Patient Portal Login + 5 Completed Task</v>
      </c>
      <c r="M1693" s="13"/>
      <c r="N1693" s="13"/>
      <c r="O1693" s="14"/>
      <c r="P1693" s="14"/>
    </row>
    <row r="1694" hidden="1">
      <c r="A1694" s="6" t="s">
        <v>300</v>
      </c>
      <c r="B1694" s="16" t="s">
        <v>207</v>
      </c>
      <c r="C1694" s="16" t="s">
        <v>208</v>
      </c>
      <c r="D1694" s="16" t="s">
        <v>281</v>
      </c>
      <c r="E1694" s="76"/>
      <c r="F1694" s="76"/>
      <c r="G1694" s="76"/>
      <c r="H1694" s="76"/>
      <c r="I1694" s="76"/>
      <c r="J1694" s="12"/>
      <c r="K1694" s="12">
        <f t="shared" si="91"/>
        <v>0</v>
      </c>
      <c r="L1694" s="13" t="str">
        <f t="shared" si="92"/>
        <v> 5-star +  RFC +  DME +  Patient Portal Login +  Completed Task</v>
      </c>
      <c r="M1694" s="13"/>
      <c r="N1694" s="13"/>
      <c r="O1694" s="14"/>
      <c r="P1694" s="14"/>
    </row>
    <row r="1695" hidden="1">
      <c r="A1695" s="6" t="s">
        <v>300</v>
      </c>
      <c r="B1695" s="16" t="s">
        <v>282</v>
      </c>
      <c r="C1695" s="16" t="s">
        <v>283</v>
      </c>
      <c r="D1695" s="16" t="s">
        <v>284</v>
      </c>
      <c r="E1695" s="76"/>
      <c r="F1695" s="76"/>
      <c r="G1695" s="76"/>
      <c r="H1695" s="76"/>
      <c r="I1695" s="76"/>
      <c r="J1695" s="12"/>
      <c r="K1695" s="12">
        <f t="shared" si="91"/>
        <v>0</v>
      </c>
      <c r="L1695" s="13" t="str">
        <f t="shared" si="92"/>
        <v> 5-star +  RFC +  DME +  Patient Portal Login +  Completed Task</v>
      </c>
      <c r="M1695" s="13"/>
      <c r="N1695" s="13"/>
      <c r="O1695" s="14"/>
      <c r="P1695" s="14"/>
    </row>
    <row r="1696" hidden="1">
      <c r="A1696" s="6" t="s">
        <v>300</v>
      </c>
      <c r="B1696" s="16" t="s">
        <v>285</v>
      </c>
      <c r="C1696" s="16" t="s">
        <v>286</v>
      </c>
      <c r="D1696" s="16" t="s">
        <v>287</v>
      </c>
      <c r="E1696" s="76"/>
      <c r="F1696" s="76"/>
      <c r="G1696" s="76"/>
      <c r="H1696" s="76"/>
      <c r="I1696" s="76"/>
      <c r="J1696" s="12"/>
      <c r="K1696" s="12">
        <f t="shared" si="91"/>
        <v>0</v>
      </c>
      <c r="L1696" s="13" t="str">
        <f t="shared" si="92"/>
        <v> 5-star +  RFC +  DME +  Patient Portal Login +  Completed Task</v>
      </c>
      <c r="M1696" s="13"/>
      <c r="N1696" s="13"/>
      <c r="O1696" s="14"/>
      <c r="P1696" s="14"/>
    </row>
    <row r="1697" hidden="1">
      <c r="A1697" s="6" t="s">
        <v>300</v>
      </c>
      <c r="B1697" s="16" t="s">
        <v>143</v>
      </c>
      <c r="C1697" s="16" t="s">
        <v>144</v>
      </c>
      <c r="D1697" s="16" t="s">
        <v>145</v>
      </c>
      <c r="E1697" s="17">
        <v>0.0</v>
      </c>
      <c r="F1697" s="18">
        <v>3.0</v>
      </c>
      <c r="G1697" s="18">
        <v>2.0</v>
      </c>
      <c r="H1697" s="10">
        <v>1.0</v>
      </c>
      <c r="I1697" s="19">
        <v>5.0</v>
      </c>
      <c r="J1697" s="12"/>
      <c r="K1697" s="12">
        <f t="shared" si="91"/>
        <v>3500</v>
      </c>
      <c r="L1697" s="13" t="str">
        <f t="shared" si="92"/>
        <v>0 5-star + 3 RFC + 2 DME + 1 Patient Portal Login + 5 Completed Task</v>
      </c>
      <c r="M1697" s="13"/>
      <c r="N1697" s="13"/>
      <c r="O1697" s="14"/>
      <c r="P1697" s="14"/>
    </row>
    <row r="1698" hidden="1">
      <c r="A1698" s="6" t="s">
        <v>300</v>
      </c>
      <c r="B1698" s="16" t="s">
        <v>146</v>
      </c>
      <c r="C1698" s="16" t="s">
        <v>147</v>
      </c>
      <c r="D1698" s="16" t="s">
        <v>148</v>
      </c>
      <c r="E1698" s="17">
        <v>0.0</v>
      </c>
      <c r="F1698" s="18">
        <v>0.0</v>
      </c>
      <c r="G1698" s="18">
        <v>0.0</v>
      </c>
      <c r="H1698" s="10">
        <v>6.0</v>
      </c>
      <c r="I1698" s="19">
        <v>5.0</v>
      </c>
      <c r="J1698" s="12"/>
      <c r="K1698" s="12">
        <f t="shared" si="91"/>
        <v>2750</v>
      </c>
      <c r="L1698" s="13" t="str">
        <f t="shared" si="92"/>
        <v>0 5-star + 0 RFC + 0 DME + 6 Patient Portal Login + 5 Completed Task</v>
      </c>
      <c r="M1698" s="13"/>
      <c r="N1698" s="13"/>
      <c r="O1698" s="14"/>
      <c r="P1698" s="14"/>
    </row>
    <row r="1699" hidden="1">
      <c r="A1699" s="6" t="s">
        <v>300</v>
      </c>
      <c r="B1699" s="16" t="s">
        <v>245</v>
      </c>
      <c r="C1699" s="16" t="s">
        <v>246</v>
      </c>
      <c r="D1699" s="16" t="s">
        <v>247</v>
      </c>
      <c r="E1699" s="17">
        <v>0.0</v>
      </c>
      <c r="F1699" s="18">
        <v>0.0</v>
      </c>
      <c r="G1699" s="18">
        <v>0.0</v>
      </c>
      <c r="H1699" s="10">
        <v>6.0</v>
      </c>
      <c r="I1699" s="19">
        <v>5.0</v>
      </c>
      <c r="J1699" s="12"/>
      <c r="K1699" s="12">
        <f t="shared" si="91"/>
        <v>2750</v>
      </c>
      <c r="L1699" s="13" t="str">
        <f t="shared" si="92"/>
        <v>0 5-star + 0 RFC + 0 DME + 6 Patient Portal Login + 5 Completed Task</v>
      </c>
      <c r="M1699" s="13"/>
      <c r="N1699" s="13"/>
      <c r="O1699" s="14"/>
      <c r="P1699" s="14"/>
    </row>
    <row r="1700" hidden="1">
      <c r="A1700" s="6" t="s">
        <v>300</v>
      </c>
      <c r="B1700" s="16" t="s">
        <v>210</v>
      </c>
      <c r="C1700" s="16" t="s">
        <v>211</v>
      </c>
      <c r="D1700" s="16" t="s">
        <v>212</v>
      </c>
      <c r="E1700" s="76"/>
      <c r="F1700" s="76"/>
      <c r="G1700" s="76"/>
      <c r="H1700" s="76"/>
      <c r="I1700" s="76"/>
      <c r="J1700" s="12"/>
      <c r="K1700" s="12">
        <f t="shared" si="91"/>
        <v>0</v>
      </c>
      <c r="L1700" s="13" t="str">
        <f t="shared" si="92"/>
        <v> 5-star +  RFC +  DME +  Patient Portal Login +  Completed Task</v>
      </c>
      <c r="M1700" s="13"/>
      <c r="N1700" s="13"/>
      <c r="O1700" s="14"/>
      <c r="P1700" s="14"/>
    </row>
    <row r="1701" hidden="1">
      <c r="A1701" s="6" t="s">
        <v>300</v>
      </c>
      <c r="B1701" s="16" t="s">
        <v>149</v>
      </c>
      <c r="C1701" s="16" t="s">
        <v>150</v>
      </c>
      <c r="D1701" s="16" t="s">
        <v>151</v>
      </c>
      <c r="E1701" s="17">
        <v>0.0</v>
      </c>
      <c r="F1701" s="18">
        <v>0.0</v>
      </c>
      <c r="G1701" s="18">
        <v>0.0</v>
      </c>
      <c r="H1701" s="10">
        <v>11.0</v>
      </c>
      <c r="I1701" s="19">
        <v>4.0</v>
      </c>
      <c r="J1701" s="12"/>
      <c r="K1701" s="12">
        <f t="shared" si="91"/>
        <v>3750</v>
      </c>
      <c r="L1701" s="13" t="str">
        <f t="shared" si="92"/>
        <v>0 5-star + 0 RFC + 0 DME + 11 Patient Portal Login + 4 Completed Task</v>
      </c>
      <c r="M1701" s="13"/>
      <c r="N1701" s="13"/>
      <c r="O1701" s="14"/>
      <c r="P1701" s="14"/>
    </row>
    <row r="1702" hidden="1">
      <c r="A1702" s="6" t="s">
        <v>300</v>
      </c>
      <c r="B1702" s="16" t="s">
        <v>288</v>
      </c>
      <c r="C1702" s="16" t="s">
        <v>289</v>
      </c>
      <c r="D1702" s="16" t="s">
        <v>290</v>
      </c>
      <c r="E1702" s="76"/>
      <c r="F1702" s="76"/>
      <c r="G1702" s="76"/>
      <c r="H1702" s="76"/>
      <c r="I1702" s="76"/>
      <c r="J1702" s="12"/>
      <c r="K1702" s="12">
        <f t="shared" si="91"/>
        <v>0</v>
      </c>
      <c r="L1702" s="13" t="str">
        <f t="shared" si="92"/>
        <v> 5-star +  RFC +  DME +  Patient Portal Login +  Completed Task</v>
      </c>
      <c r="M1702" s="13"/>
      <c r="N1702" s="13"/>
      <c r="O1702" s="14"/>
      <c r="P1702" s="14"/>
    </row>
    <row r="1703" hidden="1">
      <c r="A1703" s="6" t="s">
        <v>300</v>
      </c>
      <c r="B1703" s="16" t="s">
        <v>152</v>
      </c>
      <c r="C1703" s="16" t="s">
        <v>153</v>
      </c>
      <c r="D1703" s="16" t="s">
        <v>154</v>
      </c>
      <c r="E1703" s="17">
        <v>0.0</v>
      </c>
      <c r="F1703" s="18">
        <v>4.0</v>
      </c>
      <c r="G1703" s="18">
        <v>0.0</v>
      </c>
      <c r="H1703" s="10">
        <v>3.0</v>
      </c>
      <c r="I1703" s="19">
        <v>5.0</v>
      </c>
      <c r="J1703" s="12"/>
      <c r="K1703" s="12">
        <f t="shared" si="91"/>
        <v>4000</v>
      </c>
      <c r="L1703" s="13" t="str">
        <f t="shared" si="92"/>
        <v>0 5-star + 4 RFC + 0 DME + 3 Patient Portal Login + 5 Completed Task</v>
      </c>
      <c r="M1703" s="13"/>
      <c r="N1703" s="13"/>
      <c r="O1703" s="14"/>
      <c r="P1703" s="14"/>
    </row>
    <row r="1704" hidden="1">
      <c r="A1704" s="6" t="s">
        <v>300</v>
      </c>
      <c r="B1704" s="16" t="s">
        <v>155</v>
      </c>
      <c r="C1704" s="16" t="s">
        <v>156</v>
      </c>
      <c r="D1704" s="16" t="s">
        <v>157</v>
      </c>
      <c r="E1704" s="17">
        <v>0.0</v>
      </c>
      <c r="F1704" s="18">
        <v>1.0</v>
      </c>
      <c r="G1704" s="18">
        <v>0.0</v>
      </c>
      <c r="H1704" s="10">
        <v>5.0</v>
      </c>
      <c r="I1704" s="19">
        <v>5.0</v>
      </c>
      <c r="J1704" s="12"/>
      <c r="K1704" s="12">
        <f t="shared" si="91"/>
        <v>3000</v>
      </c>
      <c r="L1704" s="13" t="str">
        <f t="shared" si="92"/>
        <v>0 5-star + 1 RFC + 0 DME + 5 Patient Portal Login + 5 Completed Task</v>
      </c>
      <c r="M1704" s="13"/>
      <c r="N1704" s="13"/>
      <c r="O1704" s="14"/>
      <c r="P1704" s="14"/>
    </row>
    <row r="1705" hidden="1">
      <c r="A1705" s="6" t="s">
        <v>300</v>
      </c>
      <c r="B1705" s="16" t="s">
        <v>158</v>
      </c>
      <c r="C1705" s="16" t="s">
        <v>159</v>
      </c>
      <c r="D1705" s="16" t="s">
        <v>160</v>
      </c>
      <c r="E1705" s="17">
        <v>0.0</v>
      </c>
      <c r="F1705" s="18">
        <v>0.0</v>
      </c>
      <c r="G1705" s="18">
        <v>0.0</v>
      </c>
      <c r="H1705" s="10">
        <v>0.0</v>
      </c>
      <c r="I1705" s="19">
        <v>5.0</v>
      </c>
      <c r="J1705" s="12"/>
      <c r="K1705" s="12">
        <f t="shared" si="91"/>
        <v>1250</v>
      </c>
      <c r="L1705" s="13" t="str">
        <f t="shared" si="92"/>
        <v>0 5-star + 0 RFC + 0 DME + 0 Patient Portal Login + 5 Completed Task</v>
      </c>
      <c r="M1705" s="13"/>
      <c r="N1705" s="13"/>
      <c r="O1705" s="14"/>
      <c r="P1705" s="14"/>
    </row>
    <row r="1706" hidden="1">
      <c r="A1706" s="6" t="s">
        <v>300</v>
      </c>
      <c r="B1706" s="20" t="s">
        <v>161</v>
      </c>
      <c r="C1706" s="20" t="s">
        <v>162</v>
      </c>
      <c r="D1706" s="20" t="s">
        <v>163</v>
      </c>
      <c r="E1706" s="17">
        <v>0.0</v>
      </c>
      <c r="F1706" s="18">
        <v>0.0</v>
      </c>
      <c r="G1706" s="18">
        <v>0.0</v>
      </c>
      <c r="H1706" s="10">
        <v>2.0</v>
      </c>
      <c r="I1706" s="19">
        <v>5.0</v>
      </c>
      <c r="J1706" s="12"/>
      <c r="K1706" s="12">
        <f>sum(E1706*250)+(E1692*500)+(G1706*250)+(H1706*250)+(I1706*250)</f>
        <v>1750</v>
      </c>
      <c r="L1706" s="13" t="str">
        <f> E1706 &amp; " 5-star + " &amp; E1692 &amp; " RFC + " &amp; G1706 &amp; " DME + " &amp; H1706 &amp; " Patient Portal Login + " &amp; I1706 &amp; " Completed Task"
</f>
        <v>0 5-star +  RFC + 0 DME + 2 Patient Portal Login + 5 Completed Task</v>
      </c>
      <c r="M1706" s="13"/>
      <c r="N1706" s="13"/>
      <c r="O1706" s="14"/>
      <c r="P1706" s="14"/>
    </row>
    <row r="1707" hidden="1">
      <c r="A1707" s="6" t="s">
        <v>300</v>
      </c>
      <c r="B1707" s="20" t="s">
        <v>164</v>
      </c>
      <c r="C1707" s="20" t="s">
        <v>165</v>
      </c>
      <c r="D1707" s="20" t="s">
        <v>166</v>
      </c>
      <c r="E1707" s="17">
        <v>0.0</v>
      </c>
      <c r="F1707" s="18">
        <v>0.0</v>
      </c>
      <c r="G1707" s="18">
        <v>0.0</v>
      </c>
      <c r="H1707" s="10">
        <v>0.0</v>
      </c>
      <c r="I1707" s="19">
        <v>2.0</v>
      </c>
      <c r="J1707" s="12"/>
      <c r="K1707" s="12">
        <f t="shared" ref="K1707:K1766" si="93">sum(E1707*250)+(F1707*500)+(G1707*250)+(H1707*250)+(I1707*250)</f>
        <v>500</v>
      </c>
      <c r="L1707" s="13" t="str">
        <f t="shared" ref="L1707:L1766" si="94"> E1707 &amp; " 5-star + " &amp; F1707 &amp; " RFC + " &amp; G1707 &amp; " DME + " &amp; H1707 &amp; " Patient Portal Login + " &amp; I1707 &amp; " Completed Task"
</f>
        <v>0 5-star + 0 RFC + 0 DME + 0 Patient Portal Login + 2 Completed Task</v>
      </c>
      <c r="M1707" s="13"/>
      <c r="N1707" s="13"/>
      <c r="O1707" s="14"/>
      <c r="P1707" s="14"/>
    </row>
    <row r="1708" hidden="1">
      <c r="A1708" s="6" t="s">
        <v>300</v>
      </c>
      <c r="B1708" s="20" t="s">
        <v>167</v>
      </c>
      <c r="C1708" s="20" t="s">
        <v>168</v>
      </c>
      <c r="D1708" s="20" t="s">
        <v>169</v>
      </c>
      <c r="E1708" s="17">
        <v>0.0</v>
      </c>
      <c r="F1708" s="18">
        <v>0.0</v>
      </c>
      <c r="G1708" s="18">
        <v>0.0</v>
      </c>
      <c r="H1708" s="10">
        <v>3.0</v>
      </c>
      <c r="I1708" s="19">
        <v>5.0</v>
      </c>
      <c r="J1708" s="12"/>
      <c r="K1708" s="12">
        <f t="shared" si="93"/>
        <v>2000</v>
      </c>
      <c r="L1708" s="13" t="str">
        <f t="shared" si="94"/>
        <v>0 5-star + 0 RFC + 0 DME + 3 Patient Portal Login + 5 Completed Task</v>
      </c>
      <c r="M1708" s="13"/>
      <c r="N1708" s="13"/>
      <c r="O1708" s="14"/>
      <c r="P1708" s="14"/>
    </row>
    <row r="1709" hidden="1">
      <c r="A1709" s="6" t="s">
        <v>300</v>
      </c>
      <c r="B1709" s="20" t="s">
        <v>170</v>
      </c>
      <c r="C1709" s="20" t="s">
        <v>171</v>
      </c>
      <c r="D1709" s="20" t="s">
        <v>172</v>
      </c>
      <c r="E1709" s="17">
        <v>0.0</v>
      </c>
      <c r="F1709" s="18">
        <v>3.0</v>
      </c>
      <c r="G1709" s="18">
        <v>0.0</v>
      </c>
      <c r="H1709" s="10">
        <v>6.0</v>
      </c>
      <c r="I1709" s="19">
        <v>5.0</v>
      </c>
      <c r="J1709" s="12"/>
      <c r="K1709" s="12">
        <f t="shared" si="93"/>
        <v>4250</v>
      </c>
      <c r="L1709" s="13" t="str">
        <f t="shared" si="94"/>
        <v>0 5-star + 3 RFC + 0 DME + 6 Patient Portal Login + 5 Completed Task</v>
      </c>
      <c r="M1709" s="13"/>
      <c r="N1709" s="13"/>
      <c r="O1709" s="14"/>
      <c r="P1709" s="14"/>
    </row>
    <row r="1710" hidden="1">
      <c r="A1710" s="6" t="s">
        <v>300</v>
      </c>
      <c r="B1710" s="16" t="s">
        <v>173</v>
      </c>
      <c r="C1710" s="16" t="s">
        <v>174</v>
      </c>
      <c r="D1710" s="16" t="s">
        <v>175</v>
      </c>
      <c r="E1710" s="17">
        <v>0.0</v>
      </c>
      <c r="F1710" s="18">
        <v>0.0</v>
      </c>
      <c r="G1710" s="18">
        <v>4.0</v>
      </c>
      <c r="H1710" s="10">
        <v>8.0</v>
      </c>
      <c r="I1710" s="19">
        <v>4.0</v>
      </c>
      <c r="J1710" s="12"/>
      <c r="K1710" s="12">
        <f t="shared" si="93"/>
        <v>4000</v>
      </c>
      <c r="L1710" s="13" t="str">
        <f t="shared" si="94"/>
        <v>0 5-star + 0 RFC + 4 DME + 8 Patient Portal Login + 4 Completed Task</v>
      </c>
      <c r="M1710" s="13"/>
      <c r="N1710" s="13"/>
      <c r="O1710" s="14"/>
      <c r="P1710" s="14"/>
    </row>
    <row r="1711" hidden="1">
      <c r="A1711" s="6" t="s">
        <v>300</v>
      </c>
      <c r="B1711" s="16" t="s">
        <v>176</v>
      </c>
      <c r="C1711" s="16" t="s">
        <v>177</v>
      </c>
      <c r="D1711" s="16" t="s">
        <v>178</v>
      </c>
      <c r="E1711" s="17">
        <v>0.0</v>
      </c>
      <c r="F1711" s="18">
        <v>1.0</v>
      </c>
      <c r="G1711" s="18">
        <v>1.0</v>
      </c>
      <c r="H1711" s="10">
        <v>1.0</v>
      </c>
      <c r="I1711" s="19">
        <v>5.0</v>
      </c>
      <c r="J1711" s="12"/>
      <c r="K1711" s="12">
        <f t="shared" si="93"/>
        <v>2250</v>
      </c>
      <c r="L1711" s="13" t="str">
        <f t="shared" si="94"/>
        <v>0 5-star + 1 RFC + 1 DME + 1 Patient Portal Login + 5 Completed Task</v>
      </c>
      <c r="M1711" s="13"/>
      <c r="N1711" s="13"/>
      <c r="O1711" s="14"/>
      <c r="P1711" s="14"/>
    </row>
    <row r="1712" hidden="1">
      <c r="A1712" s="6" t="s">
        <v>300</v>
      </c>
      <c r="B1712" s="21" t="s">
        <v>291</v>
      </c>
      <c r="C1712" s="21" t="s">
        <v>292</v>
      </c>
      <c r="D1712" s="21" t="s">
        <v>293</v>
      </c>
      <c r="E1712" s="17">
        <v>3.0</v>
      </c>
      <c r="F1712" s="18">
        <v>1.0</v>
      </c>
      <c r="G1712" s="18">
        <v>0.0</v>
      </c>
      <c r="H1712" s="10">
        <v>9.0</v>
      </c>
      <c r="I1712" s="19">
        <v>5.0</v>
      </c>
      <c r="J1712" s="12"/>
      <c r="K1712" s="12">
        <f t="shared" si="93"/>
        <v>4750</v>
      </c>
      <c r="L1712" s="13" t="str">
        <f t="shared" si="94"/>
        <v>3 5-star + 1 RFC + 0 DME + 9 Patient Portal Login + 5 Completed Task</v>
      </c>
      <c r="M1712" s="13"/>
      <c r="N1712" s="13"/>
      <c r="O1712" s="23"/>
      <c r="P1712" s="23"/>
    </row>
    <row r="1713" hidden="1">
      <c r="A1713" s="6" t="s">
        <v>300</v>
      </c>
      <c r="B1713" s="21" t="s">
        <v>294</v>
      </c>
      <c r="C1713" s="21" t="s">
        <v>295</v>
      </c>
      <c r="D1713" s="21" t="s">
        <v>296</v>
      </c>
      <c r="E1713" s="17">
        <v>0.0</v>
      </c>
      <c r="F1713" s="18">
        <v>0.0</v>
      </c>
      <c r="G1713" s="18">
        <v>0.0</v>
      </c>
      <c r="H1713" s="10">
        <v>0.0</v>
      </c>
      <c r="I1713" s="19">
        <v>5.0</v>
      </c>
      <c r="J1713" s="12"/>
      <c r="K1713" s="12">
        <f t="shared" si="93"/>
        <v>1250</v>
      </c>
      <c r="L1713" s="13" t="str">
        <f t="shared" si="94"/>
        <v>0 5-star + 0 RFC + 0 DME + 0 Patient Portal Login + 5 Completed Task</v>
      </c>
      <c r="M1713" s="13"/>
      <c r="N1713" s="13"/>
      <c r="O1713" s="23"/>
      <c r="P1713" s="23"/>
    </row>
    <row r="1714" hidden="1">
      <c r="A1714" s="6" t="s">
        <v>300</v>
      </c>
      <c r="B1714" s="21" t="s">
        <v>179</v>
      </c>
      <c r="C1714" s="21" t="s">
        <v>180</v>
      </c>
      <c r="D1714" s="21" t="s">
        <v>181</v>
      </c>
      <c r="E1714" s="17">
        <v>0.0</v>
      </c>
      <c r="F1714" s="18">
        <v>7.0</v>
      </c>
      <c r="G1714" s="18">
        <v>1.0</v>
      </c>
      <c r="H1714" s="10">
        <v>33.0</v>
      </c>
      <c r="I1714" s="19">
        <v>2.0</v>
      </c>
      <c r="J1714" s="12"/>
      <c r="K1714" s="12">
        <f t="shared" si="93"/>
        <v>12500</v>
      </c>
      <c r="L1714" s="13" t="str">
        <f t="shared" si="94"/>
        <v>0 5-star + 7 RFC + 1 DME + 33 Patient Portal Login + 2 Completed Task</v>
      </c>
      <c r="M1714" s="13"/>
      <c r="N1714" s="13"/>
      <c r="O1714" s="23"/>
      <c r="P1714" s="23"/>
    </row>
    <row r="1715" hidden="1">
      <c r="A1715" s="6" t="s">
        <v>300</v>
      </c>
      <c r="B1715" s="21" t="s">
        <v>182</v>
      </c>
      <c r="C1715" s="21" t="s">
        <v>183</v>
      </c>
      <c r="D1715" s="21" t="s">
        <v>184</v>
      </c>
      <c r="E1715" s="17">
        <v>0.0</v>
      </c>
      <c r="F1715" s="18">
        <v>1.0</v>
      </c>
      <c r="G1715" s="18">
        <v>1.0</v>
      </c>
      <c r="H1715" s="10">
        <v>0.0</v>
      </c>
      <c r="I1715" s="19">
        <v>5.0</v>
      </c>
      <c r="J1715" s="12"/>
      <c r="K1715" s="12">
        <f t="shared" si="93"/>
        <v>2000</v>
      </c>
      <c r="L1715" s="13" t="str">
        <f t="shared" si="94"/>
        <v>0 5-star + 1 RFC + 1 DME + 0 Patient Portal Login + 5 Completed Task</v>
      </c>
      <c r="M1715" s="13"/>
      <c r="N1715" s="13"/>
      <c r="O1715" s="23"/>
      <c r="P1715" s="23"/>
    </row>
    <row r="1716" hidden="1">
      <c r="A1716" s="6" t="s">
        <v>300</v>
      </c>
      <c r="B1716" s="21" t="s">
        <v>185</v>
      </c>
      <c r="C1716" s="21" t="s">
        <v>186</v>
      </c>
      <c r="D1716" s="21" t="s">
        <v>187</v>
      </c>
      <c r="E1716" s="17">
        <v>0.0</v>
      </c>
      <c r="F1716" s="18">
        <v>5.0</v>
      </c>
      <c r="G1716" s="18">
        <v>0.0</v>
      </c>
      <c r="H1716" s="10">
        <v>12.0</v>
      </c>
      <c r="I1716" s="19">
        <v>5.0</v>
      </c>
      <c r="J1716" s="12"/>
      <c r="K1716" s="12">
        <f t="shared" si="93"/>
        <v>6750</v>
      </c>
      <c r="L1716" s="13" t="str">
        <f t="shared" si="94"/>
        <v>0 5-star + 5 RFC + 0 DME + 12 Patient Portal Login + 5 Completed Task</v>
      </c>
      <c r="M1716" s="13"/>
      <c r="N1716" s="13"/>
      <c r="O1716" s="23"/>
      <c r="P1716" s="23"/>
    </row>
    <row r="1717" hidden="1">
      <c r="A1717" s="6" t="s">
        <v>300</v>
      </c>
      <c r="B1717" s="21" t="s">
        <v>188</v>
      </c>
      <c r="C1717" s="21" t="s">
        <v>189</v>
      </c>
      <c r="D1717" s="21" t="s">
        <v>190</v>
      </c>
      <c r="E1717" s="17">
        <v>0.0</v>
      </c>
      <c r="F1717" s="18">
        <v>4.0</v>
      </c>
      <c r="G1717" s="18">
        <v>0.0</v>
      </c>
      <c r="H1717" s="10">
        <v>4.0</v>
      </c>
      <c r="I1717" s="19">
        <v>5.0</v>
      </c>
      <c r="J1717" s="12"/>
      <c r="K1717" s="12">
        <f t="shared" si="93"/>
        <v>4250</v>
      </c>
      <c r="L1717" s="13" t="str">
        <f t="shared" si="94"/>
        <v>0 5-star + 4 RFC + 0 DME + 4 Patient Portal Login + 5 Completed Task</v>
      </c>
      <c r="M1717" s="13"/>
      <c r="N1717" s="13"/>
      <c r="O1717" s="23"/>
      <c r="P1717" s="23"/>
    </row>
    <row r="1718" hidden="1">
      <c r="A1718" s="6" t="s">
        <v>300</v>
      </c>
      <c r="B1718" s="61" t="s">
        <v>258</v>
      </c>
      <c r="C1718" s="21" t="s">
        <v>259</v>
      </c>
      <c r="D1718" s="21" t="s">
        <v>260</v>
      </c>
      <c r="E1718" s="17">
        <v>2.0</v>
      </c>
      <c r="F1718" s="18">
        <v>1.0</v>
      </c>
      <c r="G1718" s="18">
        <v>1.0</v>
      </c>
      <c r="H1718" s="10">
        <v>3.0</v>
      </c>
      <c r="I1718" s="19">
        <v>3.0</v>
      </c>
      <c r="J1718" s="12"/>
      <c r="K1718" s="12">
        <f t="shared" si="93"/>
        <v>2750</v>
      </c>
      <c r="L1718" s="13" t="str">
        <f t="shared" si="94"/>
        <v>2 5-star + 1 RFC + 1 DME + 3 Patient Portal Login + 3 Completed Task</v>
      </c>
      <c r="M1718" s="13"/>
      <c r="N1718" s="13"/>
      <c r="O1718" s="23"/>
      <c r="P1718" s="23"/>
    </row>
    <row r="1719" hidden="1">
      <c r="A1719" s="6" t="s">
        <v>300</v>
      </c>
      <c r="B1719" s="21" t="s">
        <v>262</v>
      </c>
      <c r="C1719" s="21" t="s">
        <v>263</v>
      </c>
      <c r="D1719" s="21" t="s">
        <v>264</v>
      </c>
      <c r="E1719" s="17">
        <v>31.0</v>
      </c>
      <c r="F1719" s="18">
        <v>0.0</v>
      </c>
      <c r="G1719" s="18">
        <v>0.0</v>
      </c>
      <c r="H1719" s="10">
        <v>6.0</v>
      </c>
      <c r="I1719" s="19">
        <v>5.0</v>
      </c>
      <c r="J1719" s="12"/>
      <c r="K1719" s="12">
        <f t="shared" si="93"/>
        <v>10500</v>
      </c>
      <c r="L1719" s="13" t="str">
        <f t="shared" si="94"/>
        <v>31 5-star + 0 RFC + 0 DME + 6 Patient Portal Login + 5 Completed Task</v>
      </c>
      <c r="M1719" s="13"/>
      <c r="N1719" s="13"/>
      <c r="O1719" s="23"/>
      <c r="P1719" s="23"/>
    </row>
    <row r="1720" hidden="1">
      <c r="A1720" s="6" t="s">
        <v>300</v>
      </c>
      <c r="B1720" s="21" t="s">
        <v>191</v>
      </c>
      <c r="C1720" s="21" t="s">
        <v>192</v>
      </c>
      <c r="D1720" s="21" t="s">
        <v>193</v>
      </c>
      <c r="E1720" s="17">
        <v>0.0</v>
      </c>
      <c r="F1720" s="18">
        <v>1.0</v>
      </c>
      <c r="G1720" s="18">
        <v>0.0</v>
      </c>
      <c r="H1720" s="10">
        <v>6.0</v>
      </c>
      <c r="I1720" s="19">
        <v>5.0</v>
      </c>
      <c r="J1720" s="12"/>
      <c r="K1720" s="12">
        <f t="shared" si="93"/>
        <v>3250</v>
      </c>
      <c r="L1720" s="13" t="str">
        <f t="shared" si="94"/>
        <v>0 5-star + 1 RFC + 0 DME + 6 Patient Portal Login + 5 Completed Task</v>
      </c>
      <c r="M1720" s="13"/>
      <c r="N1720" s="13"/>
      <c r="O1720" s="23"/>
      <c r="P1720" s="23"/>
    </row>
    <row r="1721" hidden="1">
      <c r="A1721" s="6" t="s">
        <v>300</v>
      </c>
      <c r="B1721" s="21" t="s">
        <v>194</v>
      </c>
      <c r="C1721" s="21" t="s">
        <v>195</v>
      </c>
      <c r="D1721" s="21" t="s">
        <v>196</v>
      </c>
      <c r="E1721" s="17">
        <v>0.0</v>
      </c>
      <c r="F1721" s="18">
        <v>1.0</v>
      </c>
      <c r="G1721" s="18">
        <v>0.0</v>
      </c>
      <c r="H1721" s="10">
        <v>16.0</v>
      </c>
      <c r="I1721" s="19">
        <v>5.0</v>
      </c>
      <c r="J1721" s="12"/>
      <c r="K1721" s="12">
        <f t="shared" si="93"/>
        <v>5750</v>
      </c>
      <c r="L1721" s="13" t="str">
        <f t="shared" si="94"/>
        <v>0 5-star + 1 RFC + 0 DME + 16 Patient Portal Login + 5 Completed Task</v>
      </c>
      <c r="M1721" s="13"/>
      <c r="N1721" s="13"/>
      <c r="O1721" s="23"/>
      <c r="P1721" s="23"/>
    </row>
    <row r="1722" hidden="1">
      <c r="A1722" s="6" t="s">
        <v>300</v>
      </c>
      <c r="B1722" s="21" t="s">
        <v>197</v>
      </c>
      <c r="C1722" s="21" t="s">
        <v>198</v>
      </c>
      <c r="D1722" s="21" t="s">
        <v>199</v>
      </c>
      <c r="E1722" s="17">
        <v>1.0</v>
      </c>
      <c r="F1722" s="18">
        <v>3.0</v>
      </c>
      <c r="G1722" s="18">
        <v>0.0</v>
      </c>
      <c r="H1722" s="10">
        <v>4.0</v>
      </c>
      <c r="I1722" s="19">
        <v>4.0</v>
      </c>
      <c r="J1722" s="12"/>
      <c r="K1722" s="12">
        <f t="shared" si="93"/>
        <v>3750</v>
      </c>
      <c r="L1722" s="13" t="str">
        <f t="shared" si="94"/>
        <v>1 5-star + 3 RFC + 0 DME + 4 Patient Portal Login + 4 Completed Task</v>
      </c>
      <c r="M1722" s="13"/>
      <c r="N1722" s="13"/>
      <c r="O1722" s="23"/>
      <c r="P1722" s="23"/>
    </row>
    <row r="1723" hidden="1">
      <c r="A1723" s="6" t="s">
        <v>300</v>
      </c>
      <c r="B1723" s="21" t="s">
        <v>200</v>
      </c>
      <c r="C1723" s="21" t="s">
        <v>201</v>
      </c>
      <c r="D1723" s="21" t="s">
        <v>202</v>
      </c>
      <c r="E1723" s="17">
        <v>0.0</v>
      </c>
      <c r="F1723" s="18">
        <v>1.0</v>
      </c>
      <c r="G1723" s="18">
        <v>0.0</v>
      </c>
      <c r="H1723" s="10">
        <v>3.0</v>
      </c>
      <c r="I1723" s="19">
        <v>4.0</v>
      </c>
      <c r="J1723" s="12"/>
      <c r="K1723" s="12">
        <f t="shared" si="93"/>
        <v>2250</v>
      </c>
      <c r="L1723" s="13" t="str">
        <f t="shared" si="94"/>
        <v>0 5-star + 1 RFC + 0 DME + 3 Patient Portal Login + 4 Completed Task</v>
      </c>
      <c r="M1723" s="13"/>
      <c r="N1723" s="13"/>
      <c r="O1723" s="23"/>
      <c r="P1723" s="23"/>
    </row>
    <row r="1724" hidden="1">
      <c r="A1724" s="54" t="s">
        <v>301</v>
      </c>
      <c r="B1724" s="7" t="s">
        <v>68</v>
      </c>
      <c r="C1724" s="16" t="s">
        <v>69</v>
      </c>
      <c r="D1724" s="16" t="s">
        <v>70</v>
      </c>
      <c r="E1724" s="17">
        <v>0.0</v>
      </c>
      <c r="F1724" s="18">
        <v>0.0</v>
      </c>
      <c r="G1724" s="18">
        <v>0.0</v>
      </c>
      <c r="H1724" s="10">
        <v>0.0</v>
      </c>
      <c r="I1724" s="19">
        <v>1.0</v>
      </c>
      <c r="J1724" s="12"/>
      <c r="K1724" s="12">
        <f t="shared" si="93"/>
        <v>250</v>
      </c>
      <c r="L1724" s="13" t="str">
        <f t="shared" si="94"/>
        <v>0 5-star + 0 RFC + 0 DME + 0 Patient Portal Login + 1 Completed Task</v>
      </c>
      <c r="M1724" s="13"/>
      <c r="N1724" s="13"/>
      <c r="O1724" s="14"/>
      <c r="P1724" s="14"/>
    </row>
    <row r="1725" hidden="1">
      <c r="A1725" s="54" t="s">
        <v>301</v>
      </c>
      <c r="B1725" s="16" t="s">
        <v>71</v>
      </c>
      <c r="C1725" s="16" t="s">
        <v>72</v>
      </c>
      <c r="D1725" s="16" t="s">
        <v>73</v>
      </c>
      <c r="E1725" s="17">
        <v>5.0</v>
      </c>
      <c r="F1725" s="18">
        <v>0.0</v>
      </c>
      <c r="G1725" s="18">
        <v>0.0</v>
      </c>
      <c r="H1725" s="10">
        <v>0.0</v>
      </c>
      <c r="I1725" s="19">
        <v>5.0</v>
      </c>
      <c r="J1725" s="12"/>
      <c r="K1725" s="12">
        <f t="shared" si="93"/>
        <v>2500</v>
      </c>
      <c r="L1725" s="13" t="str">
        <f t="shared" si="94"/>
        <v>5 5-star + 0 RFC + 0 DME + 0 Patient Portal Login + 5 Completed Task</v>
      </c>
      <c r="M1725" s="13"/>
      <c r="N1725" s="13"/>
      <c r="O1725" s="14"/>
      <c r="P1725" s="14"/>
    </row>
    <row r="1726" hidden="1">
      <c r="A1726" s="54" t="s">
        <v>301</v>
      </c>
      <c r="B1726" s="16" t="s">
        <v>74</v>
      </c>
      <c r="C1726" s="16" t="s">
        <v>75</v>
      </c>
      <c r="D1726" s="16" t="s">
        <v>76</v>
      </c>
      <c r="E1726" s="17">
        <v>10.0</v>
      </c>
      <c r="F1726" s="18">
        <v>0.0</v>
      </c>
      <c r="G1726" s="18">
        <v>0.0</v>
      </c>
      <c r="H1726" s="10">
        <v>0.0</v>
      </c>
      <c r="I1726" s="19">
        <v>5.0</v>
      </c>
      <c r="J1726" s="12"/>
      <c r="K1726" s="12">
        <f t="shared" si="93"/>
        <v>3750</v>
      </c>
      <c r="L1726" s="13" t="str">
        <f t="shared" si="94"/>
        <v>10 5-star + 0 RFC + 0 DME + 0 Patient Portal Login + 5 Completed Task</v>
      </c>
      <c r="M1726" s="13"/>
      <c r="N1726" s="13"/>
      <c r="O1726" s="14"/>
      <c r="P1726" s="14"/>
    </row>
    <row r="1727" hidden="1">
      <c r="A1727" s="54" t="s">
        <v>301</v>
      </c>
      <c r="B1727" s="16" t="s">
        <v>77</v>
      </c>
      <c r="C1727" s="16" t="s">
        <v>78</v>
      </c>
      <c r="D1727" s="16" t="s">
        <v>79</v>
      </c>
      <c r="E1727" s="17">
        <v>11.0</v>
      </c>
      <c r="F1727" s="18">
        <v>0.0</v>
      </c>
      <c r="G1727" s="18">
        <v>0.0</v>
      </c>
      <c r="H1727" s="10">
        <v>5.0</v>
      </c>
      <c r="I1727" s="19">
        <v>5.0</v>
      </c>
      <c r="J1727" s="12"/>
      <c r="K1727" s="12">
        <f t="shared" si="93"/>
        <v>5250</v>
      </c>
      <c r="L1727" s="13" t="str">
        <f t="shared" si="94"/>
        <v>11 5-star + 0 RFC + 0 DME + 5 Patient Portal Login + 5 Completed Task</v>
      </c>
      <c r="M1727" s="13"/>
      <c r="N1727" s="13"/>
      <c r="O1727" s="14"/>
      <c r="P1727" s="14"/>
    </row>
    <row r="1728" hidden="1">
      <c r="A1728" s="54" t="s">
        <v>301</v>
      </c>
      <c r="B1728" s="16" t="s">
        <v>80</v>
      </c>
      <c r="C1728" s="16" t="s">
        <v>81</v>
      </c>
      <c r="D1728" s="16" t="s">
        <v>82</v>
      </c>
      <c r="E1728" s="17">
        <v>0.0</v>
      </c>
      <c r="F1728" s="18">
        <v>0.0</v>
      </c>
      <c r="G1728" s="18">
        <v>0.0</v>
      </c>
      <c r="H1728" s="10">
        <v>5.0</v>
      </c>
      <c r="I1728" s="19">
        <v>4.0</v>
      </c>
      <c r="J1728" s="12"/>
      <c r="K1728" s="12">
        <f t="shared" si="93"/>
        <v>2250</v>
      </c>
      <c r="L1728" s="13" t="str">
        <f t="shared" si="94"/>
        <v>0 5-star + 0 RFC + 0 DME + 5 Patient Portal Login + 4 Completed Task</v>
      </c>
      <c r="M1728" s="13"/>
      <c r="N1728" s="13"/>
      <c r="O1728" s="14"/>
      <c r="P1728" s="14"/>
    </row>
    <row r="1729" hidden="1">
      <c r="A1729" s="54" t="s">
        <v>301</v>
      </c>
      <c r="B1729" s="7" t="s">
        <v>83</v>
      </c>
      <c r="C1729" s="16" t="s">
        <v>84</v>
      </c>
      <c r="D1729" s="16" t="s">
        <v>85</v>
      </c>
      <c r="E1729" s="17">
        <v>1.0</v>
      </c>
      <c r="F1729" s="18">
        <v>0.0</v>
      </c>
      <c r="G1729" s="18">
        <v>0.0</v>
      </c>
      <c r="H1729" s="10">
        <v>9.0</v>
      </c>
      <c r="I1729" s="19">
        <v>5.0</v>
      </c>
      <c r="J1729" s="12"/>
      <c r="K1729" s="12">
        <f t="shared" si="93"/>
        <v>3750</v>
      </c>
      <c r="L1729" s="13" t="str">
        <f t="shared" si="94"/>
        <v>1 5-star + 0 RFC + 0 DME + 9 Patient Portal Login + 5 Completed Task</v>
      </c>
      <c r="M1729" s="13"/>
      <c r="N1729" s="13"/>
      <c r="O1729" s="14"/>
      <c r="P1729" s="14"/>
    </row>
    <row r="1730" hidden="1">
      <c r="A1730" s="54" t="s">
        <v>301</v>
      </c>
      <c r="B1730" s="16" t="s">
        <v>255</v>
      </c>
      <c r="C1730" s="16" t="s">
        <v>256</v>
      </c>
      <c r="D1730" s="16" t="s">
        <v>257</v>
      </c>
      <c r="E1730" s="17">
        <v>0.0</v>
      </c>
      <c r="F1730" s="18">
        <v>3.0</v>
      </c>
      <c r="G1730" s="18">
        <v>0.0</v>
      </c>
      <c r="H1730" s="10">
        <v>1.0</v>
      </c>
      <c r="I1730" s="19">
        <v>4.0</v>
      </c>
      <c r="J1730" s="12"/>
      <c r="K1730" s="12">
        <f t="shared" si="93"/>
        <v>2750</v>
      </c>
      <c r="L1730" s="13" t="str">
        <f t="shared" si="94"/>
        <v>0 5-star + 3 RFC + 0 DME + 1 Patient Portal Login + 4 Completed Task</v>
      </c>
      <c r="M1730" s="13"/>
      <c r="N1730" s="13"/>
      <c r="O1730" s="14"/>
      <c r="P1730" s="14"/>
    </row>
    <row r="1731" hidden="1">
      <c r="A1731" s="54" t="s">
        <v>301</v>
      </c>
      <c r="B1731" s="16" t="s">
        <v>86</v>
      </c>
      <c r="C1731" s="16" t="s">
        <v>87</v>
      </c>
      <c r="D1731" s="16" t="s">
        <v>88</v>
      </c>
      <c r="E1731" s="17">
        <v>4.0</v>
      </c>
      <c r="F1731" s="18">
        <v>0.0</v>
      </c>
      <c r="G1731" s="18">
        <v>0.0</v>
      </c>
      <c r="H1731" s="10">
        <v>16.0</v>
      </c>
      <c r="I1731" s="19">
        <v>5.0</v>
      </c>
      <c r="J1731" s="12"/>
      <c r="K1731" s="12">
        <f t="shared" si="93"/>
        <v>6250</v>
      </c>
      <c r="L1731" s="13" t="str">
        <f t="shared" si="94"/>
        <v>4 5-star + 0 RFC + 0 DME + 16 Patient Portal Login + 5 Completed Task</v>
      </c>
      <c r="M1731" s="13"/>
      <c r="N1731" s="13"/>
      <c r="O1731" s="14"/>
      <c r="P1731" s="14"/>
    </row>
    <row r="1732" hidden="1">
      <c r="A1732" s="54" t="s">
        <v>301</v>
      </c>
      <c r="B1732" s="16" t="s">
        <v>89</v>
      </c>
      <c r="C1732" s="16" t="s">
        <v>90</v>
      </c>
      <c r="D1732" s="16" t="s">
        <v>91</v>
      </c>
      <c r="E1732" s="17">
        <v>7.0</v>
      </c>
      <c r="F1732" s="18">
        <v>0.0</v>
      </c>
      <c r="G1732" s="18">
        <v>0.0</v>
      </c>
      <c r="H1732" s="10">
        <v>1.0</v>
      </c>
      <c r="I1732" s="19">
        <v>5.0</v>
      </c>
      <c r="J1732" s="12"/>
      <c r="K1732" s="12">
        <f t="shared" si="93"/>
        <v>3250</v>
      </c>
      <c r="L1732" s="13" t="str">
        <f t="shared" si="94"/>
        <v>7 5-star + 0 RFC + 0 DME + 1 Patient Portal Login + 5 Completed Task</v>
      </c>
      <c r="M1732" s="13"/>
      <c r="N1732" s="13"/>
      <c r="O1732" s="14"/>
      <c r="P1732" s="14"/>
    </row>
    <row r="1733" hidden="1">
      <c r="A1733" s="54" t="s">
        <v>301</v>
      </c>
      <c r="B1733" s="16" t="s">
        <v>92</v>
      </c>
      <c r="C1733" s="16" t="s">
        <v>93</v>
      </c>
      <c r="D1733" s="16" t="s">
        <v>94</v>
      </c>
      <c r="E1733" s="17">
        <v>1.0</v>
      </c>
      <c r="F1733" s="18">
        <v>4.0</v>
      </c>
      <c r="G1733" s="18">
        <v>0.0</v>
      </c>
      <c r="H1733" s="10">
        <v>6.0</v>
      </c>
      <c r="I1733" s="19">
        <v>5.0</v>
      </c>
      <c r="J1733" s="12"/>
      <c r="K1733" s="12">
        <f t="shared" si="93"/>
        <v>5000</v>
      </c>
      <c r="L1733" s="13" t="str">
        <f t="shared" si="94"/>
        <v>1 5-star + 4 RFC + 0 DME + 6 Patient Portal Login + 5 Completed Task</v>
      </c>
      <c r="M1733" s="13"/>
      <c r="N1733" s="13"/>
      <c r="O1733" s="14"/>
      <c r="P1733" s="14"/>
    </row>
    <row r="1734" hidden="1">
      <c r="A1734" s="54" t="s">
        <v>301</v>
      </c>
      <c r="B1734" s="7" t="s">
        <v>95</v>
      </c>
      <c r="C1734" s="16" t="s">
        <v>96</v>
      </c>
      <c r="D1734" s="16" t="s">
        <v>97</v>
      </c>
      <c r="E1734" s="17">
        <v>0.0</v>
      </c>
      <c r="F1734" s="18">
        <v>3.0</v>
      </c>
      <c r="G1734" s="18">
        <v>0.0</v>
      </c>
      <c r="H1734" s="10">
        <v>5.0</v>
      </c>
      <c r="I1734" s="19">
        <v>5.0</v>
      </c>
      <c r="J1734" s="12"/>
      <c r="K1734" s="12">
        <f t="shared" si="93"/>
        <v>4000</v>
      </c>
      <c r="L1734" s="13" t="str">
        <f t="shared" si="94"/>
        <v>0 5-star + 3 RFC + 0 DME + 5 Patient Portal Login + 5 Completed Task</v>
      </c>
      <c r="M1734" s="13"/>
      <c r="N1734" s="13"/>
      <c r="O1734" s="14"/>
      <c r="P1734" s="14"/>
    </row>
    <row r="1735" hidden="1">
      <c r="A1735" s="54" t="s">
        <v>301</v>
      </c>
      <c r="B1735" s="16" t="s">
        <v>98</v>
      </c>
      <c r="C1735" s="16" t="s">
        <v>99</v>
      </c>
      <c r="D1735" s="16" t="s">
        <v>100</v>
      </c>
      <c r="E1735" s="17">
        <v>0.0</v>
      </c>
      <c r="F1735" s="18">
        <v>0.0</v>
      </c>
      <c r="G1735" s="18">
        <v>0.0</v>
      </c>
      <c r="H1735" s="10">
        <v>4.0</v>
      </c>
      <c r="I1735" s="19">
        <v>0.0</v>
      </c>
      <c r="J1735" s="12"/>
      <c r="K1735" s="12">
        <f t="shared" si="93"/>
        <v>1000</v>
      </c>
      <c r="L1735" s="13" t="str">
        <f t="shared" si="94"/>
        <v>0 5-star + 0 RFC + 0 DME + 4 Patient Portal Login + 0 Completed Task</v>
      </c>
      <c r="M1735" s="13"/>
      <c r="N1735" s="13"/>
      <c r="O1735" s="14"/>
      <c r="P1735" s="14"/>
    </row>
    <row r="1736" hidden="1">
      <c r="A1736" s="54" t="s">
        <v>301</v>
      </c>
      <c r="B1736" s="7" t="s">
        <v>101</v>
      </c>
      <c r="C1736" s="16" t="s">
        <v>102</v>
      </c>
      <c r="D1736" s="16" t="s">
        <v>103</v>
      </c>
      <c r="E1736" s="17">
        <v>1.0</v>
      </c>
      <c r="F1736" s="18">
        <v>0.0</v>
      </c>
      <c r="G1736" s="18">
        <v>0.0</v>
      </c>
      <c r="H1736" s="10">
        <v>1.0</v>
      </c>
      <c r="I1736" s="19">
        <v>1.0</v>
      </c>
      <c r="J1736" s="12"/>
      <c r="K1736" s="12">
        <f t="shared" si="93"/>
        <v>750</v>
      </c>
      <c r="L1736" s="13" t="str">
        <f t="shared" si="94"/>
        <v>1 5-star + 0 RFC + 0 DME + 1 Patient Portal Login + 1 Completed Task</v>
      </c>
      <c r="M1736" s="13"/>
      <c r="N1736" s="13"/>
      <c r="O1736" s="14"/>
      <c r="P1736" s="14"/>
    </row>
    <row r="1737" hidden="1">
      <c r="A1737" s="54" t="s">
        <v>301</v>
      </c>
      <c r="B1737" s="16" t="s">
        <v>271</v>
      </c>
      <c r="C1737" s="16" t="s">
        <v>272</v>
      </c>
      <c r="D1737" s="16" t="s">
        <v>273</v>
      </c>
      <c r="E1737" s="78"/>
      <c r="F1737" s="78"/>
      <c r="G1737" s="78"/>
      <c r="H1737" s="78"/>
      <c r="I1737" s="78"/>
      <c r="J1737" s="12"/>
      <c r="K1737" s="12">
        <f t="shared" si="93"/>
        <v>0</v>
      </c>
      <c r="L1737" s="13" t="str">
        <f t="shared" si="94"/>
        <v> 5-star +  RFC +  DME +  Patient Portal Login +  Completed Task</v>
      </c>
      <c r="M1737" s="13"/>
      <c r="N1737" s="13"/>
      <c r="O1737" s="14"/>
      <c r="P1737" s="14"/>
    </row>
    <row r="1738" hidden="1">
      <c r="A1738" s="54" t="s">
        <v>301</v>
      </c>
      <c r="B1738" s="16" t="s">
        <v>104</v>
      </c>
      <c r="C1738" s="16" t="s">
        <v>105</v>
      </c>
      <c r="D1738" s="16" t="s">
        <v>106</v>
      </c>
      <c r="E1738" s="17">
        <v>2.0</v>
      </c>
      <c r="F1738" s="18">
        <v>4.0</v>
      </c>
      <c r="G1738" s="18">
        <v>0.0</v>
      </c>
      <c r="H1738" s="10">
        <v>0.0</v>
      </c>
      <c r="I1738" s="19">
        <v>5.0</v>
      </c>
      <c r="J1738" s="12"/>
      <c r="K1738" s="12">
        <f t="shared" si="93"/>
        <v>3750</v>
      </c>
      <c r="L1738" s="13" t="str">
        <f t="shared" si="94"/>
        <v>2 5-star + 4 RFC + 0 DME + 0 Patient Portal Login + 5 Completed Task</v>
      </c>
      <c r="M1738" s="13"/>
      <c r="N1738" s="13"/>
      <c r="O1738" s="14"/>
      <c r="P1738" s="14"/>
    </row>
    <row r="1739" hidden="1">
      <c r="A1739" s="54" t="s">
        <v>301</v>
      </c>
      <c r="B1739" s="16" t="s">
        <v>107</v>
      </c>
      <c r="C1739" s="16" t="s">
        <v>108</v>
      </c>
      <c r="D1739" s="16" t="s">
        <v>109</v>
      </c>
      <c r="E1739" s="17">
        <v>0.0</v>
      </c>
      <c r="F1739" s="18">
        <v>2.0</v>
      </c>
      <c r="G1739" s="18">
        <v>0.0</v>
      </c>
      <c r="H1739" s="10">
        <v>4.0</v>
      </c>
      <c r="I1739" s="19">
        <v>5.0</v>
      </c>
      <c r="J1739" s="12"/>
      <c r="K1739" s="12">
        <f t="shared" si="93"/>
        <v>3250</v>
      </c>
      <c r="L1739" s="13" t="str">
        <f t="shared" si="94"/>
        <v>0 5-star + 2 RFC + 0 DME + 4 Patient Portal Login + 5 Completed Task</v>
      </c>
      <c r="M1739" s="13"/>
      <c r="N1739" s="13"/>
      <c r="O1739" s="14"/>
      <c r="P1739" s="14"/>
    </row>
    <row r="1740" hidden="1">
      <c r="A1740" s="54" t="s">
        <v>301</v>
      </c>
      <c r="B1740" s="16" t="s">
        <v>110</v>
      </c>
      <c r="C1740" s="16" t="s">
        <v>111</v>
      </c>
      <c r="D1740" s="16" t="s">
        <v>112</v>
      </c>
      <c r="E1740" s="17">
        <v>0.0</v>
      </c>
      <c r="F1740" s="18">
        <v>0.0</v>
      </c>
      <c r="G1740" s="18">
        <v>0.0</v>
      </c>
      <c r="H1740" s="10">
        <v>6.0</v>
      </c>
      <c r="I1740" s="19">
        <v>5.0</v>
      </c>
      <c r="J1740" s="12"/>
      <c r="K1740" s="12">
        <f t="shared" si="93"/>
        <v>2750</v>
      </c>
      <c r="L1740" s="13" t="str">
        <f t="shared" si="94"/>
        <v>0 5-star + 0 RFC + 0 DME + 6 Patient Portal Login + 5 Completed Task</v>
      </c>
      <c r="M1740" s="13"/>
      <c r="N1740" s="13"/>
      <c r="O1740" s="14"/>
      <c r="P1740" s="14"/>
    </row>
    <row r="1741" hidden="1">
      <c r="A1741" s="54" t="s">
        <v>301</v>
      </c>
      <c r="B1741" s="16" t="s">
        <v>113</v>
      </c>
      <c r="C1741" s="16" t="s">
        <v>114</v>
      </c>
      <c r="D1741" s="16" t="s">
        <v>115</v>
      </c>
      <c r="E1741" s="17">
        <v>0.0</v>
      </c>
      <c r="F1741" s="18">
        <v>1.0</v>
      </c>
      <c r="G1741" s="18">
        <v>0.0</v>
      </c>
      <c r="H1741" s="10">
        <v>9.0</v>
      </c>
      <c r="I1741" s="19">
        <v>5.0</v>
      </c>
      <c r="J1741" s="12"/>
      <c r="K1741" s="12">
        <f t="shared" si="93"/>
        <v>4000</v>
      </c>
      <c r="L1741" s="13" t="str">
        <f t="shared" si="94"/>
        <v>0 5-star + 1 RFC + 0 DME + 9 Patient Portal Login + 5 Completed Task</v>
      </c>
      <c r="M1741" s="13"/>
      <c r="N1741" s="13"/>
      <c r="O1741" s="14"/>
      <c r="P1741" s="14"/>
    </row>
    <row r="1742" hidden="1">
      <c r="A1742" s="54" t="s">
        <v>301</v>
      </c>
      <c r="B1742" s="7" t="s">
        <v>116</v>
      </c>
      <c r="C1742" s="16" t="s">
        <v>117</v>
      </c>
      <c r="D1742" s="16" t="s">
        <v>118</v>
      </c>
      <c r="E1742" s="17">
        <v>0.0</v>
      </c>
      <c r="F1742" s="18">
        <v>0.0</v>
      </c>
      <c r="G1742" s="18">
        <v>0.0</v>
      </c>
      <c r="H1742" s="10">
        <v>3.0</v>
      </c>
      <c r="I1742" s="19">
        <v>5.0</v>
      </c>
      <c r="J1742" s="12"/>
      <c r="K1742" s="12">
        <f t="shared" si="93"/>
        <v>2000</v>
      </c>
      <c r="L1742" s="13" t="str">
        <f t="shared" si="94"/>
        <v>0 5-star + 0 RFC + 0 DME + 3 Patient Portal Login + 5 Completed Task</v>
      </c>
      <c r="M1742" s="13"/>
      <c r="N1742" s="13"/>
      <c r="O1742" s="14"/>
      <c r="P1742" s="14"/>
    </row>
    <row r="1743" hidden="1">
      <c r="A1743" s="54" t="s">
        <v>301</v>
      </c>
      <c r="B1743" s="16" t="s">
        <v>216</v>
      </c>
      <c r="C1743" s="16" t="s">
        <v>217</v>
      </c>
      <c r="D1743" s="16" t="s">
        <v>274</v>
      </c>
      <c r="E1743" s="78"/>
      <c r="F1743" s="78"/>
      <c r="G1743" s="78"/>
      <c r="H1743" s="78"/>
      <c r="I1743" s="78"/>
      <c r="J1743" s="12"/>
      <c r="K1743" s="12">
        <f t="shared" si="93"/>
        <v>0</v>
      </c>
      <c r="L1743" s="13" t="str">
        <f t="shared" si="94"/>
        <v> 5-star +  RFC +  DME +  Patient Portal Login +  Completed Task</v>
      </c>
      <c r="M1743" s="13"/>
      <c r="N1743" s="13"/>
      <c r="O1743" s="14"/>
      <c r="P1743" s="14"/>
    </row>
    <row r="1744" hidden="1">
      <c r="A1744" s="54" t="s">
        <v>301</v>
      </c>
      <c r="B1744" s="16" t="s">
        <v>119</v>
      </c>
      <c r="C1744" s="16" t="s">
        <v>120</v>
      </c>
      <c r="D1744" s="16" t="s">
        <v>121</v>
      </c>
      <c r="E1744" s="17">
        <v>0.0</v>
      </c>
      <c r="F1744" s="18">
        <v>1.0</v>
      </c>
      <c r="G1744" s="18">
        <v>3.0</v>
      </c>
      <c r="H1744" s="10">
        <v>10.0</v>
      </c>
      <c r="I1744" s="19">
        <v>4.0</v>
      </c>
      <c r="J1744" s="12"/>
      <c r="K1744" s="12">
        <f t="shared" si="93"/>
        <v>4750</v>
      </c>
      <c r="L1744" s="13" t="str">
        <f t="shared" si="94"/>
        <v>0 5-star + 1 RFC + 3 DME + 10 Patient Portal Login + 4 Completed Task</v>
      </c>
      <c r="M1744" s="13"/>
      <c r="N1744" s="13"/>
      <c r="O1744" s="14"/>
      <c r="P1744" s="14"/>
    </row>
    <row r="1745" hidden="1">
      <c r="A1745" s="54" t="s">
        <v>301</v>
      </c>
      <c r="B1745" s="16" t="s">
        <v>267</v>
      </c>
      <c r="C1745" s="16" t="s">
        <v>268</v>
      </c>
      <c r="D1745" s="16" t="s">
        <v>269</v>
      </c>
      <c r="E1745" s="17">
        <v>0.0</v>
      </c>
      <c r="F1745" s="18">
        <v>0.0</v>
      </c>
      <c r="G1745" s="18">
        <v>2.0</v>
      </c>
      <c r="H1745" s="10">
        <v>7.0</v>
      </c>
      <c r="I1745" s="19">
        <v>5.0</v>
      </c>
      <c r="J1745" s="12"/>
      <c r="K1745" s="12">
        <f t="shared" si="93"/>
        <v>3500</v>
      </c>
      <c r="L1745" s="13" t="str">
        <f t="shared" si="94"/>
        <v>0 5-star + 0 RFC + 2 DME + 7 Patient Portal Login + 5 Completed Task</v>
      </c>
      <c r="M1745" s="13"/>
      <c r="N1745" s="13"/>
      <c r="O1745" s="14"/>
      <c r="P1745" s="14"/>
    </row>
    <row r="1746" hidden="1">
      <c r="A1746" s="54" t="s">
        <v>301</v>
      </c>
      <c r="B1746" s="16" t="s">
        <v>275</v>
      </c>
      <c r="C1746" s="16" t="s">
        <v>276</v>
      </c>
      <c r="D1746" s="16" t="s">
        <v>277</v>
      </c>
      <c r="E1746" s="13"/>
      <c r="F1746" s="13"/>
      <c r="G1746" s="13"/>
      <c r="H1746" s="13"/>
      <c r="I1746" s="13"/>
      <c r="J1746" s="12"/>
      <c r="K1746" s="12">
        <f t="shared" si="93"/>
        <v>0</v>
      </c>
      <c r="L1746" s="13" t="str">
        <f t="shared" si="94"/>
        <v> 5-star +  RFC +  DME +  Patient Portal Login +  Completed Task</v>
      </c>
      <c r="M1746" s="13"/>
      <c r="N1746" s="13"/>
      <c r="O1746" s="14"/>
      <c r="P1746" s="14"/>
    </row>
    <row r="1747" hidden="1">
      <c r="A1747" s="54" t="s">
        <v>301</v>
      </c>
      <c r="B1747" s="16" t="s">
        <v>122</v>
      </c>
      <c r="C1747" s="16" t="s">
        <v>123</v>
      </c>
      <c r="D1747" s="16" t="s">
        <v>124</v>
      </c>
      <c r="E1747" s="17">
        <v>0.0</v>
      </c>
      <c r="F1747" s="18">
        <v>1.0</v>
      </c>
      <c r="G1747" s="18">
        <v>0.0</v>
      </c>
      <c r="H1747" s="10">
        <v>3.0</v>
      </c>
      <c r="I1747" s="19">
        <v>5.0</v>
      </c>
      <c r="J1747" s="12"/>
      <c r="K1747" s="12">
        <f t="shared" si="93"/>
        <v>2500</v>
      </c>
      <c r="L1747" s="13" t="str">
        <f t="shared" si="94"/>
        <v>0 5-star + 1 RFC + 0 DME + 3 Patient Portal Login + 5 Completed Task</v>
      </c>
      <c r="M1747" s="13"/>
      <c r="N1747" s="13"/>
      <c r="O1747" s="14"/>
      <c r="P1747" s="14"/>
    </row>
    <row r="1748" hidden="1">
      <c r="A1748" s="54" t="s">
        <v>301</v>
      </c>
      <c r="B1748" s="16" t="s">
        <v>125</v>
      </c>
      <c r="C1748" s="16" t="s">
        <v>126</v>
      </c>
      <c r="D1748" s="16" t="s">
        <v>127</v>
      </c>
      <c r="E1748" s="17">
        <v>0.0</v>
      </c>
      <c r="F1748" s="18">
        <v>0.0</v>
      </c>
      <c r="G1748" s="18">
        <v>0.0</v>
      </c>
      <c r="H1748" s="10">
        <v>0.0</v>
      </c>
      <c r="I1748" s="19">
        <v>5.0</v>
      </c>
      <c r="J1748" s="12"/>
      <c r="K1748" s="12">
        <f t="shared" si="93"/>
        <v>1250</v>
      </c>
      <c r="L1748" s="13" t="str">
        <f t="shared" si="94"/>
        <v>0 5-star + 0 RFC + 0 DME + 0 Patient Portal Login + 5 Completed Task</v>
      </c>
      <c r="M1748" s="13"/>
      <c r="N1748" s="13"/>
      <c r="O1748" s="14"/>
      <c r="P1748" s="14"/>
    </row>
    <row r="1749" hidden="1">
      <c r="A1749" s="54" t="s">
        <v>301</v>
      </c>
      <c r="B1749" s="16" t="s">
        <v>128</v>
      </c>
      <c r="C1749" s="16" t="s">
        <v>129</v>
      </c>
      <c r="D1749" s="16" t="s">
        <v>130</v>
      </c>
      <c r="E1749" s="17">
        <v>0.0</v>
      </c>
      <c r="F1749" s="18">
        <v>3.0</v>
      </c>
      <c r="G1749" s="18">
        <v>0.0</v>
      </c>
      <c r="H1749" s="10">
        <v>9.0</v>
      </c>
      <c r="I1749" s="11">
        <v>5.0</v>
      </c>
      <c r="J1749" s="12"/>
      <c r="K1749" s="12">
        <f t="shared" si="93"/>
        <v>5000</v>
      </c>
      <c r="L1749" s="13" t="str">
        <f t="shared" si="94"/>
        <v>0 5-star + 3 RFC + 0 DME + 9 Patient Portal Login + 5 Completed Task</v>
      </c>
      <c r="M1749" s="13"/>
      <c r="N1749" s="13"/>
      <c r="O1749" s="14"/>
      <c r="P1749" s="14"/>
    </row>
    <row r="1750" hidden="1">
      <c r="A1750" s="54" t="s">
        <v>301</v>
      </c>
      <c r="B1750" s="16" t="s">
        <v>131</v>
      </c>
      <c r="C1750" s="16" t="s">
        <v>132</v>
      </c>
      <c r="D1750" s="16" t="s">
        <v>133</v>
      </c>
      <c r="E1750" s="17">
        <v>1.0</v>
      </c>
      <c r="F1750" s="18">
        <v>1.0</v>
      </c>
      <c r="G1750" s="18">
        <v>0.0</v>
      </c>
      <c r="H1750" s="10">
        <v>7.0</v>
      </c>
      <c r="I1750" s="19">
        <v>5.0</v>
      </c>
      <c r="J1750" s="12"/>
      <c r="K1750" s="12">
        <f t="shared" si="93"/>
        <v>3750</v>
      </c>
      <c r="L1750" s="13" t="str">
        <f t="shared" si="94"/>
        <v>1 5-star + 1 RFC + 0 DME + 7 Patient Portal Login + 5 Completed Task</v>
      </c>
      <c r="M1750" s="13"/>
      <c r="N1750" s="13"/>
      <c r="O1750" s="14"/>
      <c r="P1750" s="14"/>
    </row>
    <row r="1751" hidden="1">
      <c r="A1751" s="54" t="s">
        <v>301</v>
      </c>
      <c r="B1751" s="16" t="s">
        <v>134</v>
      </c>
      <c r="C1751" s="16" t="s">
        <v>135</v>
      </c>
      <c r="D1751" s="16" t="s">
        <v>136</v>
      </c>
      <c r="E1751" s="17">
        <v>0.0</v>
      </c>
      <c r="F1751" s="18">
        <v>0.0</v>
      </c>
      <c r="G1751" s="18">
        <v>0.0</v>
      </c>
      <c r="H1751" s="15">
        <v>6.0</v>
      </c>
      <c r="I1751" s="11">
        <v>5.0</v>
      </c>
      <c r="J1751" s="12"/>
      <c r="K1751" s="12">
        <f t="shared" si="93"/>
        <v>2750</v>
      </c>
      <c r="L1751" s="13" t="str">
        <f t="shared" si="94"/>
        <v>0 5-star + 0 RFC + 0 DME + 6 Patient Portal Login + 5 Completed Task</v>
      </c>
      <c r="M1751" s="13"/>
      <c r="N1751" s="13"/>
      <c r="O1751" s="14"/>
      <c r="P1751" s="14"/>
    </row>
    <row r="1752" hidden="1">
      <c r="A1752" s="54" t="s">
        <v>301</v>
      </c>
      <c r="B1752" s="16" t="s">
        <v>137</v>
      </c>
      <c r="C1752" s="16" t="s">
        <v>138</v>
      </c>
      <c r="D1752" s="16" t="s">
        <v>139</v>
      </c>
      <c r="E1752" s="17">
        <v>0.0</v>
      </c>
      <c r="F1752" s="18">
        <v>3.0</v>
      </c>
      <c r="G1752" s="18">
        <v>0.0</v>
      </c>
      <c r="H1752" s="10">
        <v>11.0</v>
      </c>
      <c r="I1752" s="11">
        <v>5.0</v>
      </c>
      <c r="J1752" s="12"/>
      <c r="K1752" s="12">
        <f t="shared" si="93"/>
        <v>5500</v>
      </c>
      <c r="L1752" s="13" t="str">
        <f t="shared" si="94"/>
        <v>0 5-star + 3 RFC + 0 DME + 11 Patient Portal Login + 5 Completed Task</v>
      </c>
      <c r="M1752" s="13"/>
      <c r="N1752" s="13"/>
      <c r="O1752" s="14"/>
      <c r="P1752" s="14"/>
    </row>
    <row r="1753" hidden="1">
      <c r="A1753" s="54" t="s">
        <v>301</v>
      </c>
      <c r="B1753" s="16" t="s">
        <v>278</v>
      </c>
      <c r="C1753" s="16" t="s">
        <v>279</v>
      </c>
      <c r="D1753" s="16" t="s">
        <v>280</v>
      </c>
      <c r="E1753" s="17">
        <v>0.0</v>
      </c>
      <c r="F1753" s="18">
        <v>1.0</v>
      </c>
      <c r="G1753" s="18">
        <v>0.0</v>
      </c>
      <c r="H1753" s="10">
        <v>0.0</v>
      </c>
      <c r="I1753" s="11">
        <v>0.0</v>
      </c>
      <c r="J1753" s="12"/>
      <c r="K1753" s="12">
        <f t="shared" si="93"/>
        <v>500</v>
      </c>
      <c r="L1753" s="13" t="str">
        <f t="shared" si="94"/>
        <v>0 5-star + 1 RFC + 0 DME + 0 Patient Portal Login + 0 Completed Task</v>
      </c>
      <c r="M1753" s="13"/>
      <c r="N1753" s="13"/>
      <c r="O1753" s="14"/>
      <c r="P1753" s="14"/>
    </row>
    <row r="1754" hidden="1">
      <c r="A1754" s="54" t="s">
        <v>301</v>
      </c>
      <c r="B1754" s="16" t="s">
        <v>140</v>
      </c>
      <c r="C1754" s="16" t="s">
        <v>141</v>
      </c>
      <c r="D1754" s="16" t="s">
        <v>142</v>
      </c>
      <c r="E1754" s="17">
        <v>1.0</v>
      </c>
      <c r="F1754" s="18">
        <v>0.0</v>
      </c>
      <c r="G1754" s="18">
        <v>0.0</v>
      </c>
      <c r="H1754" s="15">
        <v>3.0</v>
      </c>
      <c r="I1754" s="19">
        <v>4.0</v>
      </c>
      <c r="J1754" s="12"/>
      <c r="K1754" s="12">
        <f t="shared" si="93"/>
        <v>2000</v>
      </c>
      <c r="L1754" s="13" t="str">
        <f t="shared" si="94"/>
        <v>1 5-star + 0 RFC + 0 DME + 3 Patient Portal Login + 4 Completed Task</v>
      </c>
      <c r="M1754" s="13"/>
      <c r="N1754" s="13"/>
      <c r="O1754" s="14"/>
      <c r="P1754" s="14"/>
    </row>
    <row r="1755" hidden="1">
      <c r="A1755" s="54" t="s">
        <v>301</v>
      </c>
      <c r="B1755" s="16" t="s">
        <v>207</v>
      </c>
      <c r="C1755" s="16" t="s">
        <v>208</v>
      </c>
      <c r="D1755" s="16" t="s">
        <v>281</v>
      </c>
      <c r="E1755" s="78"/>
      <c r="F1755" s="78"/>
      <c r="G1755" s="78"/>
      <c r="H1755" s="78"/>
      <c r="I1755" s="78"/>
      <c r="J1755" s="12"/>
      <c r="K1755" s="12">
        <f t="shared" si="93"/>
        <v>0</v>
      </c>
      <c r="L1755" s="13" t="str">
        <f t="shared" si="94"/>
        <v> 5-star +  RFC +  DME +  Patient Portal Login +  Completed Task</v>
      </c>
      <c r="M1755" s="13"/>
      <c r="N1755" s="13"/>
      <c r="O1755" s="14"/>
      <c r="P1755" s="14"/>
    </row>
    <row r="1756" hidden="1">
      <c r="A1756" s="54" t="s">
        <v>301</v>
      </c>
      <c r="B1756" s="16" t="s">
        <v>282</v>
      </c>
      <c r="C1756" s="16" t="s">
        <v>283</v>
      </c>
      <c r="D1756" s="16" t="s">
        <v>284</v>
      </c>
      <c r="E1756" s="78"/>
      <c r="F1756" s="78"/>
      <c r="G1756" s="78"/>
      <c r="H1756" s="78"/>
      <c r="I1756" s="78"/>
      <c r="J1756" s="12"/>
      <c r="K1756" s="12">
        <f t="shared" si="93"/>
        <v>0</v>
      </c>
      <c r="L1756" s="13" t="str">
        <f t="shared" si="94"/>
        <v> 5-star +  RFC +  DME +  Patient Portal Login +  Completed Task</v>
      </c>
      <c r="M1756" s="13"/>
      <c r="N1756" s="13"/>
      <c r="O1756" s="14"/>
      <c r="P1756" s="14"/>
    </row>
    <row r="1757" hidden="1">
      <c r="A1757" s="54" t="s">
        <v>301</v>
      </c>
      <c r="B1757" s="16" t="s">
        <v>285</v>
      </c>
      <c r="C1757" s="16" t="s">
        <v>286</v>
      </c>
      <c r="D1757" s="16" t="s">
        <v>287</v>
      </c>
      <c r="E1757" s="78"/>
      <c r="F1757" s="78"/>
      <c r="G1757" s="78"/>
      <c r="H1757" s="78"/>
      <c r="I1757" s="78"/>
      <c r="J1757" s="12"/>
      <c r="K1757" s="12">
        <f t="shared" si="93"/>
        <v>0</v>
      </c>
      <c r="L1757" s="13" t="str">
        <f t="shared" si="94"/>
        <v> 5-star +  RFC +  DME +  Patient Portal Login +  Completed Task</v>
      </c>
      <c r="M1757" s="13"/>
      <c r="N1757" s="13"/>
      <c r="O1757" s="14"/>
      <c r="P1757" s="14"/>
    </row>
    <row r="1758" hidden="1">
      <c r="A1758" s="54" t="s">
        <v>301</v>
      </c>
      <c r="B1758" s="16" t="s">
        <v>143</v>
      </c>
      <c r="C1758" s="16" t="s">
        <v>144</v>
      </c>
      <c r="D1758" s="16" t="s">
        <v>145</v>
      </c>
      <c r="E1758" s="17">
        <v>0.0</v>
      </c>
      <c r="F1758" s="18">
        <v>0.0</v>
      </c>
      <c r="G1758" s="18">
        <v>0.0</v>
      </c>
      <c r="H1758" s="10">
        <v>9.0</v>
      </c>
      <c r="I1758" s="19">
        <v>3.0</v>
      </c>
      <c r="J1758" s="12"/>
      <c r="K1758" s="12">
        <f t="shared" si="93"/>
        <v>3000</v>
      </c>
      <c r="L1758" s="13" t="str">
        <f t="shared" si="94"/>
        <v>0 5-star + 0 RFC + 0 DME + 9 Patient Portal Login + 3 Completed Task</v>
      </c>
      <c r="M1758" s="13"/>
      <c r="N1758" s="13"/>
      <c r="O1758" s="14"/>
      <c r="P1758" s="14"/>
    </row>
    <row r="1759" hidden="1">
      <c r="A1759" s="54" t="s">
        <v>301</v>
      </c>
      <c r="B1759" s="16" t="s">
        <v>146</v>
      </c>
      <c r="C1759" s="16" t="s">
        <v>147</v>
      </c>
      <c r="D1759" s="16" t="s">
        <v>148</v>
      </c>
      <c r="E1759" s="17">
        <v>0.0</v>
      </c>
      <c r="F1759" s="18">
        <v>0.0</v>
      </c>
      <c r="G1759" s="18">
        <v>1.0</v>
      </c>
      <c r="H1759" s="10">
        <v>2.0</v>
      </c>
      <c r="I1759" s="19">
        <v>5.0</v>
      </c>
      <c r="J1759" s="12"/>
      <c r="K1759" s="12">
        <f t="shared" si="93"/>
        <v>2000</v>
      </c>
      <c r="L1759" s="13" t="str">
        <f t="shared" si="94"/>
        <v>0 5-star + 0 RFC + 1 DME + 2 Patient Portal Login + 5 Completed Task</v>
      </c>
      <c r="M1759" s="13"/>
      <c r="N1759" s="13"/>
      <c r="O1759" s="14"/>
      <c r="P1759" s="14"/>
    </row>
    <row r="1760" hidden="1">
      <c r="A1760" s="54" t="s">
        <v>301</v>
      </c>
      <c r="B1760" s="16" t="s">
        <v>245</v>
      </c>
      <c r="C1760" s="16" t="s">
        <v>246</v>
      </c>
      <c r="D1760" s="16" t="s">
        <v>247</v>
      </c>
      <c r="E1760" s="17">
        <v>0.0</v>
      </c>
      <c r="F1760" s="18">
        <v>0.0</v>
      </c>
      <c r="G1760" s="18">
        <v>0.0</v>
      </c>
      <c r="H1760" s="10">
        <v>5.0</v>
      </c>
      <c r="I1760" s="19">
        <v>5.0</v>
      </c>
      <c r="J1760" s="12"/>
      <c r="K1760" s="12">
        <f t="shared" si="93"/>
        <v>2500</v>
      </c>
      <c r="L1760" s="13" t="str">
        <f t="shared" si="94"/>
        <v>0 5-star + 0 RFC + 0 DME + 5 Patient Portal Login + 5 Completed Task</v>
      </c>
      <c r="M1760" s="13"/>
      <c r="N1760" s="13"/>
      <c r="O1760" s="14"/>
      <c r="P1760" s="14"/>
    </row>
    <row r="1761" hidden="1">
      <c r="A1761" s="54" t="s">
        <v>301</v>
      </c>
      <c r="B1761" s="16" t="s">
        <v>210</v>
      </c>
      <c r="C1761" s="16" t="s">
        <v>211</v>
      </c>
      <c r="D1761" s="16" t="s">
        <v>212</v>
      </c>
      <c r="E1761" s="78"/>
      <c r="F1761" s="78"/>
      <c r="G1761" s="78"/>
      <c r="H1761" s="78"/>
      <c r="I1761" s="78"/>
      <c r="J1761" s="12"/>
      <c r="K1761" s="12">
        <f t="shared" si="93"/>
        <v>0</v>
      </c>
      <c r="L1761" s="13" t="str">
        <f t="shared" si="94"/>
        <v> 5-star +  RFC +  DME +  Patient Portal Login +  Completed Task</v>
      </c>
      <c r="M1761" s="13"/>
      <c r="N1761" s="13"/>
      <c r="O1761" s="14"/>
      <c r="P1761" s="14"/>
    </row>
    <row r="1762" hidden="1">
      <c r="A1762" s="54" t="s">
        <v>301</v>
      </c>
      <c r="B1762" s="16" t="s">
        <v>149</v>
      </c>
      <c r="C1762" s="16" t="s">
        <v>150</v>
      </c>
      <c r="D1762" s="16" t="s">
        <v>151</v>
      </c>
      <c r="E1762" s="17">
        <v>0.0</v>
      </c>
      <c r="F1762" s="18">
        <v>0.0</v>
      </c>
      <c r="G1762" s="18">
        <v>0.0</v>
      </c>
      <c r="H1762" s="10">
        <v>6.0</v>
      </c>
      <c r="I1762" s="19">
        <v>4.0</v>
      </c>
      <c r="J1762" s="12"/>
      <c r="K1762" s="12">
        <f t="shared" si="93"/>
        <v>2500</v>
      </c>
      <c r="L1762" s="13" t="str">
        <f t="shared" si="94"/>
        <v>0 5-star + 0 RFC + 0 DME + 6 Patient Portal Login + 4 Completed Task</v>
      </c>
      <c r="M1762" s="13"/>
      <c r="N1762" s="13"/>
      <c r="O1762" s="14"/>
      <c r="P1762" s="14"/>
    </row>
    <row r="1763" hidden="1">
      <c r="A1763" s="54" t="s">
        <v>301</v>
      </c>
      <c r="B1763" s="16" t="s">
        <v>288</v>
      </c>
      <c r="C1763" s="16" t="s">
        <v>289</v>
      </c>
      <c r="D1763" s="16" t="s">
        <v>290</v>
      </c>
      <c r="E1763" s="78"/>
      <c r="F1763" s="78"/>
      <c r="G1763" s="78"/>
      <c r="H1763" s="78"/>
      <c r="I1763" s="78"/>
      <c r="J1763" s="12"/>
      <c r="K1763" s="12">
        <f t="shared" si="93"/>
        <v>0</v>
      </c>
      <c r="L1763" s="13" t="str">
        <f t="shared" si="94"/>
        <v> 5-star +  RFC +  DME +  Patient Portal Login +  Completed Task</v>
      </c>
      <c r="M1763" s="13"/>
      <c r="N1763" s="13"/>
      <c r="O1763" s="14"/>
      <c r="P1763" s="14"/>
    </row>
    <row r="1764" hidden="1">
      <c r="A1764" s="54" t="s">
        <v>301</v>
      </c>
      <c r="B1764" s="16" t="s">
        <v>152</v>
      </c>
      <c r="C1764" s="16" t="s">
        <v>153</v>
      </c>
      <c r="D1764" s="16" t="s">
        <v>154</v>
      </c>
      <c r="E1764" s="17">
        <v>0.0</v>
      </c>
      <c r="F1764" s="18">
        <v>2.0</v>
      </c>
      <c r="G1764" s="18">
        <v>1.0</v>
      </c>
      <c r="H1764" s="10">
        <v>8.0</v>
      </c>
      <c r="I1764" s="11">
        <v>5.0</v>
      </c>
      <c r="J1764" s="12"/>
      <c r="K1764" s="12">
        <f t="shared" si="93"/>
        <v>4500</v>
      </c>
      <c r="L1764" s="13" t="str">
        <f t="shared" si="94"/>
        <v>0 5-star + 2 RFC + 1 DME + 8 Patient Portal Login + 5 Completed Task</v>
      </c>
      <c r="M1764" s="13"/>
      <c r="N1764" s="13"/>
      <c r="O1764" s="14"/>
      <c r="P1764" s="14"/>
    </row>
    <row r="1765" hidden="1">
      <c r="A1765" s="54" t="s">
        <v>301</v>
      </c>
      <c r="B1765" s="16" t="s">
        <v>155</v>
      </c>
      <c r="C1765" s="16" t="s">
        <v>156</v>
      </c>
      <c r="D1765" s="16" t="s">
        <v>157</v>
      </c>
      <c r="E1765" s="17">
        <v>1.0</v>
      </c>
      <c r="F1765" s="18">
        <v>4.0</v>
      </c>
      <c r="G1765" s="18">
        <v>1.0</v>
      </c>
      <c r="H1765" s="10">
        <v>5.0</v>
      </c>
      <c r="I1765" s="19">
        <v>4.0</v>
      </c>
      <c r="J1765" s="12"/>
      <c r="K1765" s="12">
        <f t="shared" si="93"/>
        <v>4750</v>
      </c>
      <c r="L1765" s="13" t="str">
        <f t="shared" si="94"/>
        <v>1 5-star + 4 RFC + 1 DME + 5 Patient Portal Login + 4 Completed Task</v>
      </c>
      <c r="M1765" s="13"/>
      <c r="N1765" s="13"/>
      <c r="O1765" s="14"/>
      <c r="P1765" s="14"/>
    </row>
    <row r="1766" hidden="1">
      <c r="A1766" s="54" t="s">
        <v>301</v>
      </c>
      <c r="B1766" s="16" t="s">
        <v>158</v>
      </c>
      <c r="C1766" s="16" t="s">
        <v>159</v>
      </c>
      <c r="D1766" s="16" t="s">
        <v>160</v>
      </c>
      <c r="E1766" s="17">
        <v>0.0</v>
      </c>
      <c r="F1766" s="18">
        <v>1.0</v>
      </c>
      <c r="G1766" s="18">
        <v>0.0</v>
      </c>
      <c r="H1766" s="10">
        <v>1.0</v>
      </c>
      <c r="I1766" s="11">
        <v>5.0</v>
      </c>
      <c r="J1766" s="12"/>
      <c r="K1766" s="12">
        <f t="shared" si="93"/>
        <v>2000</v>
      </c>
      <c r="L1766" s="13" t="str">
        <f t="shared" si="94"/>
        <v>0 5-star + 1 RFC + 0 DME + 1 Patient Portal Login + 5 Completed Task</v>
      </c>
      <c r="M1766" s="13"/>
      <c r="N1766" s="13"/>
      <c r="O1766" s="14"/>
      <c r="P1766" s="14"/>
    </row>
    <row r="1767" hidden="1">
      <c r="A1767" s="54" t="s">
        <v>301</v>
      </c>
      <c r="B1767" s="20" t="s">
        <v>161</v>
      </c>
      <c r="C1767" s="20" t="s">
        <v>162</v>
      </c>
      <c r="D1767" s="20" t="s">
        <v>163</v>
      </c>
      <c r="E1767" s="17">
        <v>0.0</v>
      </c>
      <c r="F1767" s="79">
        <v>0.0</v>
      </c>
      <c r="G1767" s="18">
        <v>0.0</v>
      </c>
      <c r="H1767" s="10">
        <v>1.0</v>
      </c>
      <c r="I1767" s="19">
        <v>4.0</v>
      </c>
      <c r="J1767" s="12"/>
      <c r="K1767" s="12">
        <f>sum(E1767*250)+(E1753*500)+(G1767*250)+(H1767*250)+(I1767*250)</f>
        <v>1250</v>
      </c>
      <c r="L1767" s="13" t="str">
        <f> E1767 &amp; " 5-star + " &amp; E1753 &amp; " RFC + " &amp; G1767 &amp; " DME + " &amp; H1767 &amp; " Patient Portal Login + " &amp; I1767 &amp; " Completed Task"
</f>
        <v>0 5-star + 0 RFC + 0 DME + 1 Patient Portal Login + 4 Completed Task</v>
      </c>
      <c r="M1767" s="13"/>
      <c r="N1767" s="13"/>
      <c r="O1767" s="14"/>
      <c r="P1767" s="14"/>
    </row>
    <row r="1768" hidden="1">
      <c r="A1768" s="54" t="s">
        <v>301</v>
      </c>
      <c r="B1768" s="20" t="s">
        <v>164</v>
      </c>
      <c r="C1768" s="20" t="s">
        <v>165</v>
      </c>
      <c r="D1768" s="20" t="s">
        <v>166</v>
      </c>
      <c r="E1768" s="17">
        <v>0.0</v>
      </c>
      <c r="F1768" s="18">
        <v>0.0</v>
      </c>
      <c r="G1768" s="18">
        <v>0.0</v>
      </c>
      <c r="H1768" s="10">
        <v>0.0</v>
      </c>
      <c r="I1768" s="11">
        <v>5.0</v>
      </c>
      <c r="J1768" s="12"/>
      <c r="K1768" s="12">
        <f t="shared" ref="K1768:K2439" si="95">sum(E1768*250)+(F1768*500)+(G1768*250)+(H1768*250)+(I1768*250)</f>
        <v>1250</v>
      </c>
      <c r="L1768" s="13" t="str">
        <f t="shared" ref="L1768:L2014" si="96"> E1768 &amp; " 5-star + " &amp; F1768 &amp; " RFC + " &amp; G1768 &amp; " DME + " &amp; H1768 &amp; " Patient Portal Login + " &amp; I1768 &amp; " Completed Task"
</f>
        <v>0 5-star + 0 RFC + 0 DME + 0 Patient Portal Login + 5 Completed Task</v>
      </c>
      <c r="M1768" s="13"/>
      <c r="N1768" s="13"/>
      <c r="O1768" s="14"/>
      <c r="P1768" s="14"/>
    </row>
    <row r="1769" hidden="1">
      <c r="A1769" s="54" t="s">
        <v>301</v>
      </c>
      <c r="B1769" s="20" t="s">
        <v>167</v>
      </c>
      <c r="C1769" s="20" t="s">
        <v>168</v>
      </c>
      <c r="D1769" s="20" t="s">
        <v>169</v>
      </c>
      <c r="E1769" s="17">
        <v>0.0</v>
      </c>
      <c r="F1769" s="18">
        <v>3.0</v>
      </c>
      <c r="G1769" s="18">
        <v>0.0</v>
      </c>
      <c r="H1769" s="10">
        <v>2.0</v>
      </c>
      <c r="I1769" s="19">
        <v>5.0</v>
      </c>
      <c r="J1769" s="12"/>
      <c r="K1769" s="12">
        <f t="shared" si="95"/>
        <v>3250</v>
      </c>
      <c r="L1769" s="13" t="str">
        <f t="shared" si="96"/>
        <v>0 5-star + 3 RFC + 0 DME + 2 Patient Portal Login + 5 Completed Task</v>
      </c>
      <c r="M1769" s="13"/>
      <c r="N1769" s="13"/>
      <c r="O1769" s="14"/>
      <c r="P1769" s="14"/>
    </row>
    <row r="1770" hidden="1">
      <c r="A1770" s="54" t="s">
        <v>301</v>
      </c>
      <c r="B1770" s="20" t="s">
        <v>170</v>
      </c>
      <c r="C1770" s="20" t="s">
        <v>171</v>
      </c>
      <c r="D1770" s="20" t="s">
        <v>172</v>
      </c>
      <c r="E1770" s="17">
        <v>0.0</v>
      </c>
      <c r="F1770" s="18">
        <v>5.0</v>
      </c>
      <c r="G1770" s="18">
        <v>0.0</v>
      </c>
      <c r="H1770" s="10">
        <v>7.0</v>
      </c>
      <c r="I1770" s="19">
        <v>5.0</v>
      </c>
      <c r="J1770" s="12"/>
      <c r="K1770" s="12">
        <f t="shared" si="95"/>
        <v>5500</v>
      </c>
      <c r="L1770" s="13" t="str">
        <f t="shared" si="96"/>
        <v>0 5-star + 5 RFC + 0 DME + 7 Patient Portal Login + 5 Completed Task</v>
      </c>
      <c r="M1770" s="13"/>
      <c r="N1770" s="13"/>
      <c r="O1770" s="14"/>
      <c r="P1770" s="14"/>
    </row>
    <row r="1771" hidden="1">
      <c r="A1771" s="54" t="s">
        <v>301</v>
      </c>
      <c r="B1771" s="16" t="s">
        <v>173</v>
      </c>
      <c r="C1771" s="16" t="s">
        <v>174</v>
      </c>
      <c r="D1771" s="16" t="s">
        <v>175</v>
      </c>
      <c r="E1771" s="17">
        <v>0.0</v>
      </c>
      <c r="F1771" s="18">
        <v>1.0</v>
      </c>
      <c r="G1771" s="18">
        <v>1.0</v>
      </c>
      <c r="H1771" s="10">
        <v>5.0</v>
      </c>
      <c r="I1771" s="19">
        <v>5.0</v>
      </c>
      <c r="J1771" s="12"/>
      <c r="K1771" s="12">
        <f t="shared" si="95"/>
        <v>3250</v>
      </c>
      <c r="L1771" s="13" t="str">
        <f t="shared" si="96"/>
        <v>0 5-star + 1 RFC + 1 DME + 5 Patient Portal Login + 5 Completed Task</v>
      </c>
      <c r="M1771" s="13"/>
      <c r="N1771" s="13"/>
      <c r="O1771" s="14"/>
      <c r="P1771" s="14"/>
    </row>
    <row r="1772" hidden="1">
      <c r="A1772" s="54" t="s">
        <v>301</v>
      </c>
      <c r="B1772" s="16" t="s">
        <v>176</v>
      </c>
      <c r="C1772" s="16" t="s">
        <v>177</v>
      </c>
      <c r="D1772" s="16" t="s">
        <v>178</v>
      </c>
      <c r="E1772" s="17">
        <v>1.0</v>
      </c>
      <c r="F1772" s="9">
        <v>1.0</v>
      </c>
      <c r="G1772" s="18">
        <v>0.0</v>
      </c>
      <c r="H1772" s="10">
        <v>2.0</v>
      </c>
      <c r="I1772" s="19">
        <v>5.0</v>
      </c>
      <c r="J1772" s="12"/>
      <c r="K1772" s="12">
        <f t="shared" si="95"/>
        <v>2500</v>
      </c>
      <c r="L1772" s="13" t="str">
        <f t="shared" si="96"/>
        <v>1 5-star + 1 RFC + 0 DME + 2 Patient Portal Login + 5 Completed Task</v>
      </c>
      <c r="M1772" s="13"/>
      <c r="N1772" s="13"/>
      <c r="O1772" s="14"/>
      <c r="P1772" s="14"/>
    </row>
    <row r="1773" hidden="1">
      <c r="A1773" s="54" t="s">
        <v>301</v>
      </c>
      <c r="B1773" s="21" t="s">
        <v>291</v>
      </c>
      <c r="C1773" s="21" t="s">
        <v>292</v>
      </c>
      <c r="D1773" s="21" t="s">
        <v>293</v>
      </c>
      <c r="E1773" s="8">
        <v>1.0</v>
      </c>
      <c r="F1773" s="18">
        <v>0.0</v>
      </c>
      <c r="G1773" s="18">
        <v>0.0</v>
      </c>
      <c r="H1773" s="10">
        <v>9.0</v>
      </c>
      <c r="I1773" s="19">
        <v>5.0</v>
      </c>
      <c r="J1773" s="12"/>
      <c r="K1773" s="12">
        <f t="shared" si="95"/>
        <v>3750</v>
      </c>
      <c r="L1773" s="13" t="str">
        <f t="shared" si="96"/>
        <v>1 5-star + 0 RFC + 0 DME + 9 Patient Portal Login + 5 Completed Task</v>
      </c>
      <c r="M1773" s="13"/>
      <c r="N1773" s="13"/>
      <c r="O1773" s="23"/>
      <c r="P1773" s="23"/>
    </row>
    <row r="1774" hidden="1">
      <c r="A1774" s="54" t="s">
        <v>301</v>
      </c>
      <c r="B1774" s="21" t="s">
        <v>294</v>
      </c>
      <c r="C1774" s="21" t="s">
        <v>295</v>
      </c>
      <c r="D1774" s="21" t="s">
        <v>296</v>
      </c>
      <c r="E1774" s="17">
        <v>0.0</v>
      </c>
      <c r="F1774" s="18">
        <v>0.0</v>
      </c>
      <c r="G1774" s="18">
        <v>0.0</v>
      </c>
      <c r="H1774" s="15">
        <v>0.0</v>
      </c>
      <c r="I1774" s="19">
        <v>4.0</v>
      </c>
      <c r="J1774" s="12"/>
      <c r="K1774" s="12">
        <f t="shared" si="95"/>
        <v>1000</v>
      </c>
      <c r="L1774" s="13" t="str">
        <f t="shared" si="96"/>
        <v>0 5-star + 0 RFC + 0 DME + 0 Patient Portal Login + 4 Completed Task</v>
      </c>
      <c r="M1774" s="13"/>
      <c r="N1774" s="13"/>
      <c r="O1774" s="23"/>
      <c r="P1774" s="23"/>
    </row>
    <row r="1775" hidden="1">
      <c r="A1775" s="54" t="s">
        <v>301</v>
      </c>
      <c r="B1775" s="21" t="s">
        <v>179</v>
      </c>
      <c r="C1775" s="21" t="s">
        <v>180</v>
      </c>
      <c r="D1775" s="21" t="s">
        <v>181</v>
      </c>
      <c r="E1775" s="17">
        <v>0.0</v>
      </c>
      <c r="F1775" s="18">
        <v>6.0</v>
      </c>
      <c r="G1775" s="18">
        <v>11.0</v>
      </c>
      <c r="H1775" s="10">
        <v>22.0</v>
      </c>
      <c r="I1775" s="19">
        <v>3.0</v>
      </c>
      <c r="J1775" s="12"/>
      <c r="K1775" s="12">
        <f t="shared" si="95"/>
        <v>12000</v>
      </c>
      <c r="L1775" s="13" t="str">
        <f t="shared" si="96"/>
        <v>0 5-star + 6 RFC + 11 DME + 22 Patient Portal Login + 3 Completed Task</v>
      </c>
      <c r="M1775" s="13"/>
      <c r="N1775" s="13"/>
      <c r="O1775" s="23"/>
      <c r="P1775" s="23"/>
    </row>
    <row r="1776" hidden="1">
      <c r="A1776" s="54" t="s">
        <v>301</v>
      </c>
      <c r="B1776" s="21" t="s">
        <v>182</v>
      </c>
      <c r="C1776" s="21" t="s">
        <v>183</v>
      </c>
      <c r="D1776" s="21" t="s">
        <v>184</v>
      </c>
      <c r="E1776" s="17">
        <v>0.0</v>
      </c>
      <c r="F1776" s="18">
        <v>1.0</v>
      </c>
      <c r="G1776" s="18">
        <v>1.0</v>
      </c>
      <c r="H1776" s="10">
        <v>4.0</v>
      </c>
      <c r="I1776" s="19">
        <v>5.0</v>
      </c>
      <c r="J1776" s="12"/>
      <c r="K1776" s="12">
        <f t="shared" si="95"/>
        <v>3000</v>
      </c>
      <c r="L1776" s="13" t="str">
        <f t="shared" si="96"/>
        <v>0 5-star + 1 RFC + 1 DME + 4 Patient Portal Login + 5 Completed Task</v>
      </c>
      <c r="M1776" s="13"/>
      <c r="N1776" s="13"/>
      <c r="O1776" s="23"/>
      <c r="P1776" s="23"/>
    </row>
    <row r="1777" hidden="1">
      <c r="A1777" s="54" t="s">
        <v>301</v>
      </c>
      <c r="B1777" s="21" t="s">
        <v>185</v>
      </c>
      <c r="C1777" s="21" t="s">
        <v>186</v>
      </c>
      <c r="D1777" s="21" t="s">
        <v>187</v>
      </c>
      <c r="E1777" s="17">
        <v>1.0</v>
      </c>
      <c r="F1777" s="18">
        <v>3.0</v>
      </c>
      <c r="G1777" s="18">
        <v>0.0</v>
      </c>
      <c r="H1777" s="10">
        <v>5.0</v>
      </c>
      <c r="I1777" s="19">
        <v>5.0</v>
      </c>
      <c r="J1777" s="12"/>
      <c r="K1777" s="12">
        <f t="shared" si="95"/>
        <v>4250</v>
      </c>
      <c r="L1777" s="13" t="str">
        <f t="shared" si="96"/>
        <v>1 5-star + 3 RFC + 0 DME + 5 Patient Portal Login + 5 Completed Task</v>
      </c>
      <c r="M1777" s="13"/>
      <c r="N1777" s="13"/>
      <c r="O1777" s="23"/>
      <c r="P1777" s="23"/>
    </row>
    <row r="1778" hidden="1">
      <c r="A1778" s="54" t="s">
        <v>301</v>
      </c>
      <c r="B1778" s="21" t="s">
        <v>188</v>
      </c>
      <c r="C1778" s="21" t="s">
        <v>189</v>
      </c>
      <c r="D1778" s="21" t="s">
        <v>190</v>
      </c>
      <c r="E1778" s="17">
        <v>0.0</v>
      </c>
      <c r="F1778" s="9">
        <v>4.0</v>
      </c>
      <c r="G1778" s="18">
        <v>1.0</v>
      </c>
      <c r="H1778" s="10">
        <v>4.0</v>
      </c>
      <c r="I1778" s="19">
        <v>5.0</v>
      </c>
      <c r="J1778" s="12"/>
      <c r="K1778" s="12">
        <f t="shared" si="95"/>
        <v>4500</v>
      </c>
      <c r="L1778" s="13" t="str">
        <f t="shared" si="96"/>
        <v>0 5-star + 4 RFC + 1 DME + 4 Patient Portal Login + 5 Completed Task</v>
      </c>
      <c r="M1778" s="13"/>
      <c r="N1778" s="13"/>
      <c r="O1778" s="23"/>
      <c r="P1778" s="23"/>
    </row>
    <row r="1779" hidden="1">
      <c r="A1779" s="54" t="s">
        <v>301</v>
      </c>
      <c r="B1779" s="61" t="s">
        <v>258</v>
      </c>
      <c r="C1779" s="21" t="s">
        <v>259</v>
      </c>
      <c r="D1779" s="21" t="s">
        <v>260</v>
      </c>
      <c r="E1779" s="17">
        <v>4.0</v>
      </c>
      <c r="F1779" s="18">
        <v>1.0</v>
      </c>
      <c r="G1779" s="18">
        <v>1.0</v>
      </c>
      <c r="H1779" s="15">
        <v>6.0</v>
      </c>
      <c r="I1779" s="19">
        <v>3.0</v>
      </c>
      <c r="J1779" s="12"/>
      <c r="K1779" s="12">
        <f t="shared" si="95"/>
        <v>4000</v>
      </c>
      <c r="L1779" s="13" t="str">
        <f t="shared" si="96"/>
        <v>4 5-star + 1 RFC + 1 DME + 6 Patient Portal Login + 3 Completed Task</v>
      </c>
      <c r="M1779" s="13"/>
      <c r="N1779" s="13"/>
      <c r="O1779" s="23"/>
      <c r="P1779" s="23"/>
    </row>
    <row r="1780" hidden="1">
      <c r="A1780" s="54" t="s">
        <v>301</v>
      </c>
      <c r="B1780" s="21" t="s">
        <v>262</v>
      </c>
      <c r="C1780" s="21" t="s">
        <v>263</v>
      </c>
      <c r="D1780" s="21" t="s">
        <v>264</v>
      </c>
      <c r="E1780" s="8">
        <v>29.0</v>
      </c>
      <c r="F1780" s="18">
        <v>1.0</v>
      </c>
      <c r="G1780" s="18">
        <v>1.0</v>
      </c>
      <c r="H1780" s="10">
        <v>6.0</v>
      </c>
      <c r="I1780" s="11">
        <v>5.0</v>
      </c>
      <c r="J1780" s="12"/>
      <c r="K1780" s="12">
        <f t="shared" si="95"/>
        <v>10750</v>
      </c>
      <c r="L1780" s="13" t="str">
        <f t="shared" si="96"/>
        <v>29 5-star + 1 RFC + 1 DME + 6 Patient Portal Login + 5 Completed Task</v>
      </c>
      <c r="M1780" s="13"/>
      <c r="N1780" s="13"/>
      <c r="O1780" s="23"/>
      <c r="P1780" s="23"/>
    </row>
    <row r="1781" hidden="1">
      <c r="A1781" s="54" t="s">
        <v>301</v>
      </c>
      <c r="B1781" s="21" t="s">
        <v>191</v>
      </c>
      <c r="C1781" s="21" t="s">
        <v>192</v>
      </c>
      <c r="D1781" s="21" t="s">
        <v>193</v>
      </c>
      <c r="E1781" s="17">
        <v>0.0</v>
      </c>
      <c r="F1781" s="18">
        <v>0.0</v>
      </c>
      <c r="G1781" s="18">
        <v>0.0</v>
      </c>
      <c r="H1781" s="10">
        <v>11.0</v>
      </c>
      <c r="I1781" s="19">
        <v>5.0</v>
      </c>
      <c r="J1781" s="12"/>
      <c r="K1781" s="12">
        <f t="shared" si="95"/>
        <v>4000</v>
      </c>
      <c r="L1781" s="13" t="str">
        <f t="shared" si="96"/>
        <v>0 5-star + 0 RFC + 0 DME + 11 Patient Portal Login + 5 Completed Task</v>
      </c>
      <c r="M1781" s="13"/>
      <c r="N1781" s="13"/>
      <c r="O1781" s="23"/>
      <c r="P1781" s="23"/>
    </row>
    <row r="1782" hidden="1">
      <c r="A1782" s="54" t="s">
        <v>301</v>
      </c>
      <c r="B1782" s="21" t="s">
        <v>194</v>
      </c>
      <c r="C1782" s="21" t="s">
        <v>195</v>
      </c>
      <c r="D1782" s="21" t="s">
        <v>196</v>
      </c>
      <c r="E1782" s="17">
        <v>0.0</v>
      </c>
      <c r="F1782" s="18">
        <v>2.0</v>
      </c>
      <c r="G1782" s="18">
        <v>0.0</v>
      </c>
      <c r="H1782" s="10">
        <v>15.0</v>
      </c>
      <c r="I1782" s="11">
        <v>5.0</v>
      </c>
      <c r="J1782" s="12"/>
      <c r="K1782" s="12">
        <f t="shared" si="95"/>
        <v>6000</v>
      </c>
      <c r="L1782" s="13" t="str">
        <f t="shared" si="96"/>
        <v>0 5-star + 2 RFC + 0 DME + 15 Patient Portal Login + 5 Completed Task</v>
      </c>
      <c r="M1782" s="13"/>
      <c r="N1782" s="13"/>
      <c r="O1782" s="23"/>
      <c r="P1782" s="23"/>
    </row>
    <row r="1783" hidden="1">
      <c r="A1783" s="54" t="s">
        <v>301</v>
      </c>
      <c r="B1783" s="21" t="s">
        <v>197</v>
      </c>
      <c r="C1783" s="21" t="s">
        <v>198</v>
      </c>
      <c r="D1783" s="21" t="s">
        <v>199</v>
      </c>
      <c r="E1783" s="17">
        <v>2.0</v>
      </c>
      <c r="F1783" s="18">
        <v>0.0</v>
      </c>
      <c r="G1783" s="18">
        <v>0.0</v>
      </c>
      <c r="H1783" s="10">
        <v>2.0</v>
      </c>
      <c r="I1783" s="11">
        <v>5.0</v>
      </c>
      <c r="J1783" s="12"/>
      <c r="K1783" s="12">
        <f t="shared" si="95"/>
        <v>2250</v>
      </c>
      <c r="L1783" s="13" t="str">
        <f t="shared" si="96"/>
        <v>2 5-star + 0 RFC + 0 DME + 2 Patient Portal Login + 5 Completed Task</v>
      </c>
      <c r="M1783" s="13"/>
      <c r="N1783" s="13"/>
      <c r="O1783" s="23"/>
      <c r="P1783" s="23"/>
    </row>
    <row r="1784" hidden="1">
      <c r="A1784" s="54" t="s">
        <v>301</v>
      </c>
      <c r="B1784" s="21" t="s">
        <v>200</v>
      </c>
      <c r="C1784" s="21" t="s">
        <v>201</v>
      </c>
      <c r="D1784" s="21" t="s">
        <v>202</v>
      </c>
      <c r="E1784" s="17">
        <v>0.0</v>
      </c>
      <c r="F1784" s="18">
        <v>1.0</v>
      </c>
      <c r="G1784" s="18">
        <v>0.0</v>
      </c>
      <c r="H1784" s="10">
        <v>1.0</v>
      </c>
      <c r="I1784" s="19">
        <v>4.0</v>
      </c>
      <c r="J1784" s="12"/>
      <c r="K1784" s="12">
        <f t="shared" si="95"/>
        <v>1750</v>
      </c>
      <c r="L1784" s="13" t="str">
        <f t="shared" si="96"/>
        <v>0 5-star + 1 RFC + 0 DME + 1 Patient Portal Login + 4 Completed Task</v>
      </c>
      <c r="M1784" s="13"/>
      <c r="N1784" s="13"/>
      <c r="O1784" s="23"/>
      <c r="P1784" s="23"/>
    </row>
    <row r="1785" hidden="1">
      <c r="A1785" s="54" t="s">
        <v>302</v>
      </c>
      <c r="B1785" s="7" t="s">
        <v>68</v>
      </c>
      <c r="C1785" s="7" t="s">
        <v>69</v>
      </c>
      <c r="D1785" s="7" t="s">
        <v>70</v>
      </c>
      <c r="E1785" s="80">
        <v>0.0</v>
      </c>
      <c r="F1785" s="80">
        <v>0.0</v>
      </c>
      <c r="G1785" s="80">
        <v>0.0</v>
      </c>
      <c r="H1785" s="80">
        <v>0.0</v>
      </c>
      <c r="I1785" s="81">
        <v>2.0</v>
      </c>
      <c r="J1785" s="12"/>
      <c r="K1785" s="12">
        <f t="shared" si="95"/>
        <v>500</v>
      </c>
      <c r="L1785" s="13" t="str">
        <f t="shared" si="96"/>
        <v>0 5-star + 0 RFC + 0 DME + 0 Patient Portal Login + 2 Completed Task</v>
      </c>
      <c r="M1785" s="13"/>
      <c r="N1785" s="13"/>
      <c r="O1785" s="14"/>
      <c r="P1785" s="14"/>
    </row>
    <row r="1786" hidden="1">
      <c r="A1786" s="54" t="s">
        <v>302</v>
      </c>
      <c r="B1786" s="7" t="s">
        <v>71</v>
      </c>
      <c r="C1786" s="7" t="s">
        <v>72</v>
      </c>
      <c r="D1786" s="7" t="s">
        <v>73</v>
      </c>
      <c r="E1786" s="80">
        <v>6.0</v>
      </c>
      <c r="F1786" s="80">
        <v>0.0</v>
      </c>
      <c r="G1786" s="80">
        <v>0.0</v>
      </c>
      <c r="H1786" s="80">
        <v>0.0</v>
      </c>
      <c r="I1786" s="81">
        <v>3.0</v>
      </c>
      <c r="J1786" s="12"/>
      <c r="K1786" s="12">
        <f t="shared" si="95"/>
        <v>2250</v>
      </c>
      <c r="L1786" s="13" t="str">
        <f t="shared" si="96"/>
        <v>6 5-star + 0 RFC + 0 DME + 0 Patient Portal Login + 3 Completed Task</v>
      </c>
      <c r="M1786" s="13"/>
      <c r="N1786" s="13"/>
      <c r="O1786" s="14"/>
      <c r="P1786" s="14"/>
    </row>
    <row r="1787" hidden="1">
      <c r="A1787" s="54" t="s">
        <v>302</v>
      </c>
      <c r="B1787" s="7" t="s">
        <v>74</v>
      </c>
      <c r="C1787" s="7" t="s">
        <v>75</v>
      </c>
      <c r="D1787" s="7" t="s">
        <v>76</v>
      </c>
      <c r="E1787" s="80">
        <v>3.0</v>
      </c>
      <c r="F1787" s="80">
        <v>0.0</v>
      </c>
      <c r="G1787" s="80">
        <v>0.0</v>
      </c>
      <c r="H1787" s="80">
        <v>0.0</v>
      </c>
      <c r="I1787" s="81">
        <v>3.0</v>
      </c>
      <c r="J1787" s="12"/>
      <c r="K1787" s="12">
        <f t="shared" si="95"/>
        <v>1500</v>
      </c>
      <c r="L1787" s="13" t="str">
        <f t="shared" si="96"/>
        <v>3 5-star + 0 RFC + 0 DME + 0 Patient Portal Login + 3 Completed Task</v>
      </c>
      <c r="M1787" s="13"/>
      <c r="N1787" s="13"/>
      <c r="O1787" s="14"/>
      <c r="P1787" s="14"/>
    </row>
    <row r="1788" hidden="1">
      <c r="A1788" s="54" t="s">
        <v>302</v>
      </c>
      <c r="B1788" s="16" t="s">
        <v>77</v>
      </c>
      <c r="C1788" s="16" t="s">
        <v>78</v>
      </c>
      <c r="D1788" s="16" t="s">
        <v>79</v>
      </c>
      <c r="E1788" s="80">
        <v>1.0</v>
      </c>
      <c r="F1788" s="80">
        <v>0.0</v>
      </c>
      <c r="G1788" s="80">
        <v>0.0</v>
      </c>
      <c r="H1788" s="80">
        <v>0.0</v>
      </c>
      <c r="I1788" s="81">
        <v>5.0</v>
      </c>
      <c r="J1788" s="12"/>
      <c r="K1788" s="12">
        <f t="shared" si="95"/>
        <v>1500</v>
      </c>
      <c r="L1788" s="13" t="str">
        <f t="shared" si="96"/>
        <v>1 5-star + 0 RFC + 0 DME + 0 Patient Portal Login + 5 Completed Task</v>
      </c>
      <c r="M1788" s="13"/>
      <c r="N1788" s="13"/>
      <c r="O1788" s="14"/>
      <c r="P1788" s="14"/>
    </row>
    <row r="1789" hidden="1">
      <c r="A1789" s="54" t="s">
        <v>302</v>
      </c>
      <c r="B1789" s="16" t="s">
        <v>80</v>
      </c>
      <c r="C1789" s="16" t="s">
        <v>81</v>
      </c>
      <c r="D1789" s="16" t="s">
        <v>82</v>
      </c>
      <c r="E1789" s="82">
        <v>1.0</v>
      </c>
      <c r="F1789" s="80">
        <v>0.0</v>
      </c>
      <c r="G1789" s="80">
        <v>0.0</v>
      </c>
      <c r="H1789" s="80">
        <v>0.0</v>
      </c>
      <c r="I1789" s="81">
        <v>5.0</v>
      </c>
      <c r="J1789" s="12"/>
      <c r="K1789" s="12">
        <f t="shared" si="95"/>
        <v>1500</v>
      </c>
      <c r="L1789" s="13" t="str">
        <f t="shared" si="96"/>
        <v>1 5-star + 0 RFC + 0 DME + 0 Patient Portal Login + 5 Completed Task</v>
      </c>
      <c r="M1789" s="13"/>
      <c r="N1789" s="13"/>
      <c r="O1789" s="14"/>
      <c r="P1789" s="14"/>
    </row>
    <row r="1790" hidden="1">
      <c r="A1790" s="54" t="s">
        <v>302</v>
      </c>
      <c r="B1790" s="7" t="s">
        <v>83</v>
      </c>
      <c r="C1790" s="16" t="s">
        <v>84</v>
      </c>
      <c r="D1790" s="16" t="s">
        <v>85</v>
      </c>
      <c r="E1790" s="80">
        <v>1.0</v>
      </c>
      <c r="F1790" s="80">
        <v>0.0</v>
      </c>
      <c r="G1790" s="80">
        <v>0.0</v>
      </c>
      <c r="H1790" s="80">
        <v>0.0</v>
      </c>
      <c r="I1790" s="81">
        <v>4.0</v>
      </c>
      <c r="J1790" s="12"/>
      <c r="K1790" s="12">
        <f t="shared" si="95"/>
        <v>1250</v>
      </c>
      <c r="L1790" s="13" t="str">
        <f t="shared" si="96"/>
        <v>1 5-star + 0 RFC + 0 DME + 0 Patient Portal Login + 4 Completed Task</v>
      </c>
      <c r="M1790" s="13"/>
      <c r="N1790" s="13"/>
      <c r="O1790" s="14"/>
      <c r="P1790" s="14"/>
    </row>
    <row r="1791" hidden="1">
      <c r="A1791" s="54" t="s">
        <v>302</v>
      </c>
      <c r="B1791" s="16" t="s">
        <v>255</v>
      </c>
      <c r="C1791" s="16" t="s">
        <v>256</v>
      </c>
      <c r="D1791" s="16" t="s">
        <v>257</v>
      </c>
      <c r="E1791" s="80">
        <v>1.0</v>
      </c>
      <c r="F1791" s="80">
        <v>1.0</v>
      </c>
      <c r="G1791" s="80">
        <v>0.0</v>
      </c>
      <c r="H1791" s="80">
        <v>6.0</v>
      </c>
      <c r="I1791" s="81">
        <v>4.0</v>
      </c>
      <c r="J1791" s="12"/>
      <c r="K1791" s="12">
        <f t="shared" si="95"/>
        <v>3250</v>
      </c>
      <c r="L1791" s="13" t="str">
        <f t="shared" si="96"/>
        <v>1 5-star + 1 RFC + 0 DME + 6 Patient Portal Login + 4 Completed Task</v>
      </c>
      <c r="M1791" s="13"/>
      <c r="N1791" s="13"/>
      <c r="O1791" s="14"/>
      <c r="P1791" s="14"/>
    </row>
    <row r="1792" hidden="1">
      <c r="A1792" s="54" t="s">
        <v>302</v>
      </c>
      <c r="B1792" s="16" t="s">
        <v>86</v>
      </c>
      <c r="C1792" s="16" t="s">
        <v>87</v>
      </c>
      <c r="D1792" s="16" t="s">
        <v>88</v>
      </c>
      <c r="E1792" s="80">
        <v>11.0</v>
      </c>
      <c r="F1792" s="80">
        <v>0.0</v>
      </c>
      <c r="G1792" s="80">
        <v>2.0</v>
      </c>
      <c r="H1792" s="80">
        <v>8.0</v>
      </c>
      <c r="I1792" s="81">
        <v>5.0</v>
      </c>
      <c r="J1792" s="12"/>
      <c r="K1792" s="12">
        <f t="shared" si="95"/>
        <v>6500</v>
      </c>
      <c r="L1792" s="13" t="str">
        <f t="shared" si="96"/>
        <v>11 5-star + 0 RFC + 2 DME + 8 Patient Portal Login + 5 Completed Task</v>
      </c>
      <c r="M1792" s="13"/>
      <c r="N1792" s="13"/>
      <c r="O1792" s="14"/>
      <c r="P1792" s="14"/>
    </row>
    <row r="1793" hidden="1">
      <c r="A1793" s="54" t="s">
        <v>302</v>
      </c>
      <c r="B1793" s="16" t="s">
        <v>89</v>
      </c>
      <c r="C1793" s="16" t="s">
        <v>90</v>
      </c>
      <c r="D1793" s="16" t="s">
        <v>91</v>
      </c>
      <c r="E1793" s="80">
        <v>1.0</v>
      </c>
      <c r="F1793" s="80">
        <v>0.0</v>
      </c>
      <c r="G1793" s="80">
        <v>0.0</v>
      </c>
      <c r="H1793" s="80">
        <v>4.0</v>
      </c>
      <c r="I1793" s="80">
        <v>5.0</v>
      </c>
      <c r="J1793" s="12"/>
      <c r="K1793" s="12">
        <f t="shared" si="95"/>
        <v>2500</v>
      </c>
      <c r="L1793" s="13" t="str">
        <f t="shared" si="96"/>
        <v>1 5-star + 0 RFC + 0 DME + 4 Patient Portal Login + 5 Completed Task</v>
      </c>
      <c r="M1793" s="13"/>
      <c r="N1793" s="13"/>
      <c r="O1793" s="14"/>
      <c r="P1793" s="14"/>
    </row>
    <row r="1794" hidden="1">
      <c r="A1794" s="54" t="s">
        <v>302</v>
      </c>
      <c r="B1794" s="16" t="s">
        <v>92</v>
      </c>
      <c r="C1794" s="16" t="s">
        <v>93</v>
      </c>
      <c r="D1794" s="16" t="s">
        <v>94</v>
      </c>
      <c r="E1794" s="80">
        <v>0.0</v>
      </c>
      <c r="F1794" s="80">
        <v>0.0</v>
      </c>
      <c r="G1794" s="80">
        <v>0.0</v>
      </c>
      <c r="H1794" s="81">
        <v>3.0</v>
      </c>
      <c r="I1794" s="81">
        <v>4.0</v>
      </c>
      <c r="J1794" s="12"/>
      <c r="K1794" s="12">
        <f t="shared" si="95"/>
        <v>1750</v>
      </c>
      <c r="L1794" s="13" t="str">
        <f t="shared" si="96"/>
        <v>0 5-star + 0 RFC + 0 DME + 3 Patient Portal Login + 4 Completed Task</v>
      </c>
      <c r="M1794" s="13"/>
      <c r="N1794" s="13"/>
      <c r="O1794" s="14"/>
      <c r="P1794" s="14"/>
    </row>
    <row r="1795" hidden="1">
      <c r="A1795" s="54" t="s">
        <v>302</v>
      </c>
      <c r="B1795" s="7" t="s">
        <v>95</v>
      </c>
      <c r="C1795" s="16" t="s">
        <v>96</v>
      </c>
      <c r="D1795" s="16" t="s">
        <v>97</v>
      </c>
      <c r="E1795" s="80">
        <v>0.0</v>
      </c>
      <c r="F1795" s="80">
        <v>0.0</v>
      </c>
      <c r="G1795" s="80">
        <v>0.0</v>
      </c>
      <c r="H1795" s="81">
        <v>9.0</v>
      </c>
      <c r="I1795" s="81">
        <v>5.0</v>
      </c>
      <c r="J1795" s="12"/>
      <c r="K1795" s="12">
        <f t="shared" si="95"/>
        <v>3500</v>
      </c>
      <c r="L1795" s="13" t="str">
        <f t="shared" si="96"/>
        <v>0 5-star + 0 RFC + 0 DME + 9 Patient Portal Login + 5 Completed Task</v>
      </c>
      <c r="M1795" s="13"/>
      <c r="N1795" s="13"/>
      <c r="O1795" s="14"/>
      <c r="P1795" s="14"/>
    </row>
    <row r="1796" hidden="1">
      <c r="A1796" s="54" t="s">
        <v>302</v>
      </c>
      <c r="B1796" s="16" t="s">
        <v>98</v>
      </c>
      <c r="C1796" s="16" t="s">
        <v>99</v>
      </c>
      <c r="D1796" s="16" t="s">
        <v>100</v>
      </c>
      <c r="E1796" s="81">
        <v>1.0</v>
      </c>
      <c r="F1796" s="80">
        <v>0.0</v>
      </c>
      <c r="G1796" s="80">
        <v>0.0</v>
      </c>
      <c r="H1796" s="80">
        <v>3.0</v>
      </c>
      <c r="I1796" s="81">
        <v>4.0</v>
      </c>
      <c r="J1796" s="12"/>
      <c r="K1796" s="12">
        <f t="shared" si="95"/>
        <v>2000</v>
      </c>
      <c r="L1796" s="13" t="str">
        <f t="shared" si="96"/>
        <v>1 5-star + 0 RFC + 0 DME + 3 Patient Portal Login + 4 Completed Task</v>
      </c>
      <c r="M1796" s="13"/>
      <c r="N1796" s="13"/>
      <c r="O1796" s="14"/>
      <c r="P1796" s="14"/>
    </row>
    <row r="1797" hidden="1">
      <c r="A1797" s="54" t="s">
        <v>302</v>
      </c>
      <c r="B1797" s="7" t="s">
        <v>101</v>
      </c>
      <c r="C1797" s="16" t="s">
        <v>102</v>
      </c>
      <c r="D1797" s="16" t="s">
        <v>103</v>
      </c>
      <c r="E1797" s="80">
        <v>0.0</v>
      </c>
      <c r="F1797" s="80">
        <v>2.0</v>
      </c>
      <c r="G1797" s="80">
        <v>0.0</v>
      </c>
      <c r="H1797" s="80">
        <v>5.0</v>
      </c>
      <c r="I1797" s="81">
        <v>5.0</v>
      </c>
      <c r="J1797" s="12"/>
      <c r="K1797" s="12">
        <f t="shared" si="95"/>
        <v>3500</v>
      </c>
      <c r="L1797" s="13" t="str">
        <f t="shared" si="96"/>
        <v>0 5-star + 2 RFC + 0 DME + 5 Patient Portal Login + 5 Completed Task</v>
      </c>
      <c r="M1797" s="13"/>
      <c r="N1797" s="13"/>
      <c r="O1797" s="14"/>
      <c r="P1797" s="14"/>
    </row>
    <row r="1798" hidden="1">
      <c r="A1798" s="54" t="s">
        <v>302</v>
      </c>
      <c r="B1798" s="16" t="s">
        <v>271</v>
      </c>
      <c r="C1798" s="16" t="s">
        <v>272</v>
      </c>
      <c r="D1798" s="16" t="s">
        <v>273</v>
      </c>
      <c r="E1798" s="83"/>
      <c r="F1798" s="83"/>
      <c r="G1798" s="83"/>
      <c r="H1798" s="83"/>
      <c r="I1798" s="83"/>
      <c r="J1798" s="12"/>
      <c r="K1798" s="12">
        <f t="shared" si="95"/>
        <v>0</v>
      </c>
      <c r="L1798" s="13" t="str">
        <f t="shared" si="96"/>
        <v> 5-star +  RFC +  DME +  Patient Portal Login +  Completed Task</v>
      </c>
      <c r="M1798" s="13"/>
      <c r="N1798" s="13"/>
      <c r="O1798" s="14"/>
      <c r="P1798" s="14"/>
    </row>
    <row r="1799" hidden="1">
      <c r="A1799" s="54" t="s">
        <v>302</v>
      </c>
      <c r="B1799" s="16" t="s">
        <v>104</v>
      </c>
      <c r="C1799" s="16" t="s">
        <v>105</v>
      </c>
      <c r="D1799" s="16" t="s">
        <v>106</v>
      </c>
      <c r="E1799" s="80">
        <v>1.0</v>
      </c>
      <c r="F1799" s="81">
        <v>0.0</v>
      </c>
      <c r="G1799" s="80">
        <v>0.0</v>
      </c>
      <c r="H1799" s="81">
        <v>0.0</v>
      </c>
      <c r="I1799" s="81">
        <v>5.0</v>
      </c>
      <c r="J1799" s="12"/>
      <c r="K1799" s="12">
        <f t="shared" si="95"/>
        <v>1500</v>
      </c>
      <c r="L1799" s="13" t="str">
        <f t="shared" si="96"/>
        <v>1 5-star + 0 RFC + 0 DME + 0 Patient Portal Login + 5 Completed Task</v>
      </c>
      <c r="M1799" s="13"/>
      <c r="N1799" s="13"/>
      <c r="O1799" s="14"/>
      <c r="P1799" s="14"/>
    </row>
    <row r="1800" hidden="1">
      <c r="A1800" s="54" t="s">
        <v>302</v>
      </c>
      <c r="B1800" s="16" t="s">
        <v>107</v>
      </c>
      <c r="C1800" s="16" t="s">
        <v>108</v>
      </c>
      <c r="D1800" s="16" t="s">
        <v>109</v>
      </c>
      <c r="E1800" s="80">
        <v>0.0</v>
      </c>
      <c r="F1800" s="80">
        <v>0.0</v>
      </c>
      <c r="G1800" s="80">
        <v>1.0</v>
      </c>
      <c r="H1800" s="81">
        <v>2.0</v>
      </c>
      <c r="I1800" s="81">
        <v>5.0</v>
      </c>
      <c r="J1800" s="12"/>
      <c r="K1800" s="12">
        <f t="shared" si="95"/>
        <v>2000</v>
      </c>
      <c r="L1800" s="13" t="str">
        <f t="shared" si="96"/>
        <v>0 5-star + 0 RFC + 1 DME + 2 Patient Portal Login + 5 Completed Task</v>
      </c>
      <c r="M1800" s="13"/>
      <c r="N1800" s="13"/>
      <c r="O1800" s="14"/>
      <c r="P1800" s="14"/>
    </row>
    <row r="1801" hidden="1">
      <c r="A1801" s="54" t="s">
        <v>302</v>
      </c>
      <c r="B1801" s="16" t="s">
        <v>110</v>
      </c>
      <c r="C1801" s="16" t="s">
        <v>111</v>
      </c>
      <c r="D1801" s="16" t="s">
        <v>112</v>
      </c>
      <c r="E1801" s="81">
        <v>0.0</v>
      </c>
      <c r="F1801" s="80">
        <v>0.0</v>
      </c>
      <c r="G1801" s="80">
        <v>0.0</v>
      </c>
      <c r="H1801" s="81">
        <v>5.0</v>
      </c>
      <c r="I1801" s="81">
        <v>2.0</v>
      </c>
      <c r="J1801" s="12"/>
      <c r="K1801" s="12">
        <f t="shared" si="95"/>
        <v>1750</v>
      </c>
      <c r="L1801" s="13" t="str">
        <f t="shared" si="96"/>
        <v>0 5-star + 0 RFC + 0 DME + 5 Patient Portal Login + 2 Completed Task</v>
      </c>
      <c r="M1801" s="13"/>
      <c r="N1801" s="13"/>
      <c r="O1801" s="14"/>
      <c r="P1801" s="14"/>
    </row>
    <row r="1802" hidden="1">
      <c r="A1802" s="54" t="s">
        <v>302</v>
      </c>
      <c r="B1802" s="16" t="s">
        <v>113</v>
      </c>
      <c r="C1802" s="16" t="s">
        <v>114</v>
      </c>
      <c r="D1802" s="16" t="s">
        <v>115</v>
      </c>
      <c r="E1802" s="80">
        <v>0.0</v>
      </c>
      <c r="F1802" s="81">
        <v>1.0</v>
      </c>
      <c r="G1802" s="80">
        <v>0.0</v>
      </c>
      <c r="H1802" s="81">
        <v>5.0</v>
      </c>
      <c r="I1802" s="81">
        <v>5.0</v>
      </c>
      <c r="J1802" s="12"/>
      <c r="K1802" s="12">
        <f t="shared" si="95"/>
        <v>3000</v>
      </c>
      <c r="L1802" s="13" t="str">
        <f t="shared" si="96"/>
        <v>0 5-star + 1 RFC + 0 DME + 5 Patient Portal Login + 5 Completed Task</v>
      </c>
      <c r="M1802" s="13"/>
      <c r="N1802" s="13"/>
      <c r="O1802" s="14"/>
      <c r="P1802" s="14"/>
    </row>
    <row r="1803" hidden="1">
      <c r="A1803" s="54" t="s">
        <v>302</v>
      </c>
      <c r="B1803" s="7" t="s">
        <v>116</v>
      </c>
      <c r="C1803" s="16" t="s">
        <v>117</v>
      </c>
      <c r="D1803" s="16" t="s">
        <v>118</v>
      </c>
      <c r="E1803" s="80">
        <v>0.0</v>
      </c>
      <c r="F1803" s="81">
        <v>3.0</v>
      </c>
      <c r="G1803" s="80">
        <v>0.0</v>
      </c>
      <c r="H1803" s="81">
        <v>9.0</v>
      </c>
      <c r="I1803" s="81">
        <v>5.0</v>
      </c>
      <c r="J1803" s="12"/>
      <c r="K1803" s="12">
        <f t="shared" si="95"/>
        <v>5000</v>
      </c>
      <c r="L1803" s="13" t="str">
        <f t="shared" si="96"/>
        <v>0 5-star + 3 RFC + 0 DME + 9 Patient Portal Login + 5 Completed Task</v>
      </c>
      <c r="M1803" s="13"/>
      <c r="N1803" s="13"/>
      <c r="O1803" s="14"/>
      <c r="P1803" s="14"/>
    </row>
    <row r="1804" hidden="1">
      <c r="A1804" s="54" t="s">
        <v>302</v>
      </c>
      <c r="B1804" s="16" t="s">
        <v>216</v>
      </c>
      <c r="C1804" s="16" t="s">
        <v>217</v>
      </c>
      <c r="D1804" s="16" t="s">
        <v>274</v>
      </c>
      <c r="E1804" s="83"/>
      <c r="F1804" s="83"/>
      <c r="G1804" s="83"/>
      <c r="H1804" s="83"/>
      <c r="I1804" s="83"/>
      <c r="J1804" s="12"/>
      <c r="K1804" s="12">
        <f t="shared" si="95"/>
        <v>0</v>
      </c>
      <c r="L1804" s="13" t="str">
        <f t="shared" si="96"/>
        <v> 5-star +  RFC +  DME +  Patient Portal Login +  Completed Task</v>
      </c>
      <c r="M1804" s="13"/>
      <c r="N1804" s="13"/>
      <c r="O1804" s="14"/>
      <c r="P1804" s="14"/>
    </row>
    <row r="1805" hidden="1">
      <c r="A1805" s="54" t="s">
        <v>302</v>
      </c>
      <c r="B1805" s="16" t="s">
        <v>119</v>
      </c>
      <c r="C1805" s="16" t="s">
        <v>120</v>
      </c>
      <c r="D1805" s="16" t="s">
        <v>121</v>
      </c>
      <c r="E1805" s="80">
        <v>0.0</v>
      </c>
      <c r="F1805" s="80">
        <v>0.0</v>
      </c>
      <c r="G1805" s="80">
        <v>0.0</v>
      </c>
      <c r="H1805" s="81">
        <v>1.0</v>
      </c>
      <c r="I1805" s="81">
        <v>4.0</v>
      </c>
      <c r="J1805" s="12"/>
      <c r="K1805" s="12">
        <f t="shared" si="95"/>
        <v>1250</v>
      </c>
      <c r="L1805" s="13" t="str">
        <f t="shared" si="96"/>
        <v>0 5-star + 0 RFC + 0 DME + 1 Patient Portal Login + 4 Completed Task</v>
      </c>
      <c r="M1805" s="13"/>
      <c r="N1805" s="13"/>
      <c r="O1805" s="14"/>
      <c r="P1805" s="14"/>
    </row>
    <row r="1806" hidden="1">
      <c r="A1806" s="54" t="s">
        <v>302</v>
      </c>
      <c r="B1806" s="16" t="s">
        <v>267</v>
      </c>
      <c r="C1806" s="16" t="s">
        <v>268</v>
      </c>
      <c r="D1806" s="16" t="s">
        <v>269</v>
      </c>
      <c r="E1806" s="80">
        <v>2.0</v>
      </c>
      <c r="F1806" s="81">
        <v>6.0</v>
      </c>
      <c r="G1806" s="80">
        <v>3.0</v>
      </c>
      <c r="H1806" s="81">
        <v>10.0</v>
      </c>
      <c r="I1806" s="81">
        <v>5.0</v>
      </c>
      <c r="J1806" s="12"/>
      <c r="K1806" s="12">
        <f t="shared" si="95"/>
        <v>8000</v>
      </c>
      <c r="L1806" s="13" t="str">
        <f t="shared" si="96"/>
        <v>2 5-star + 6 RFC + 3 DME + 10 Patient Portal Login + 5 Completed Task</v>
      </c>
      <c r="M1806" s="13"/>
      <c r="N1806" s="13"/>
      <c r="O1806" s="14"/>
      <c r="P1806" s="14"/>
    </row>
    <row r="1807" hidden="1">
      <c r="A1807" s="54" t="s">
        <v>302</v>
      </c>
      <c r="B1807" s="16" t="s">
        <v>275</v>
      </c>
      <c r="C1807" s="16" t="s">
        <v>276</v>
      </c>
      <c r="D1807" s="16" t="s">
        <v>277</v>
      </c>
      <c r="E1807" s="81">
        <v>0.0</v>
      </c>
      <c r="F1807" s="81">
        <v>0.0</v>
      </c>
      <c r="G1807" s="81">
        <v>1.0</v>
      </c>
      <c r="H1807" s="81">
        <v>0.0</v>
      </c>
      <c r="I1807" s="81">
        <v>4.0</v>
      </c>
      <c r="J1807" s="12"/>
      <c r="K1807" s="12">
        <f t="shared" si="95"/>
        <v>1250</v>
      </c>
      <c r="L1807" s="13" t="str">
        <f t="shared" si="96"/>
        <v>0 5-star + 0 RFC + 1 DME + 0 Patient Portal Login + 4 Completed Task</v>
      </c>
      <c r="M1807" s="13"/>
      <c r="N1807" s="13"/>
      <c r="O1807" s="14"/>
      <c r="P1807" s="14"/>
    </row>
    <row r="1808" hidden="1">
      <c r="A1808" s="54" t="s">
        <v>302</v>
      </c>
      <c r="B1808" s="16" t="s">
        <v>122</v>
      </c>
      <c r="C1808" s="16" t="s">
        <v>123</v>
      </c>
      <c r="D1808" s="16" t="s">
        <v>124</v>
      </c>
      <c r="E1808" s="80">
        <v>1.0</v>
      </c>
      <c r="F1808" s="80">
        <v>0.0</v>
      </c>
      <c r="G1808" s="81">
        <v>0.0</v>
      </c>
      <c r="H1808" s="81">
        <v>0.0</v>
      </c>
      <c r="I1808" s="81">
        <v>4.0</v>
      </c>
      <c r="J1808" s="12"/>
      <c r="K1808" s="12">
        <f t="shared" si="95"/>
        <v>1250</v>
      </c>
      <c r="L1808" s="13" t="str">
        <f t="shared" si="96"/>
        <v>1 5-star + 0 RFC + 0 DME + 0 Patient Portal Login + 4 Completed Task</v>
      </c>
      <c r="M1808" s="13"/>
      <c r="N1808" s="13"/>
      <c r="O1808" s="14"/>
      <c r="P1808" s="14"/>
    </row>
    <row r="1809" hidden="1">
      <c r="A1809" s="54" t="s">
        <v>302</v>
      </c>
      <c r="B1809" s="16" t="s">
        <v>125</v>
      </c>
      <c r="C1809" s="16" t="s">
        <v>126</v>
      </c>
      <c r="D1809" s="16" t="s">
        <v>127</v>
      </c>
      <c r="E1809" s="80">
        <v>0.0</v>
      </c>
      <c r="F1809" s="80">
        <v>0.0</v>
      </c>
      <c r="G1809" s="80">
        <v>0.0</v>
      </c>
      <c r="H1809" s="80">
        <v>0.0</v>
      </c>
      <c r="I1809" s="81">
        <v>5.0</v>
      </c>
      <c r="J1809" s="12"/>
      <c r="K1809" s="12">
        <f t="shared" si="95"/>
        <v>1250</v>
      </c>
      <c r="L1809" s="13" t="str">
        <f t="shared" si="96"/>
        <v>0 5-star + 0 RFC + 0 DME + 0 Patient Portal Login + 5 Completed Task</v>
      </c>
      <c r="M1809" s="13"/>
      <c r="N1809" s="13"/>
      <c r="O1809" s="14"/>
      <c r="P1809" s="14"/>
    </row>
    <row r="1810" hidden="1">
      <c r="A1810" s="54" t="s">
        <v>302</v>
      </c>
      <c r="B1810" s="16" t="s">
        <v>128</v>
      </c>
      <c r="C1810" s="16" t="s">
        <v>129</v>
      </c>
      <c r="D1810" s="16" t="s">
        <v>130</v>
      </c>
      <c r="E1810" s="81">
        <v>0.0</v>
      </c>
      <c r="F1810" s="80">
        <v>0.0</v>
      </c>
      <c r="G1810" s="80">
        <v>0.0</v>
      </c>
      <c r="H1810" s="81">
        <v>5.0</v>
      </c>
      <c r="I1810" s="81">
        <v>5.0</v>
      </c>
      <c r="J1810" s="12"/>
      <c r="K1810" s="12">
        <f t="shared" si="95"/>
        <v>2500</v>
      </c>
      <c r="L1810" s="13" t="str">
        <f t="shared" si="96"/>
        <v>0 5-star + 0 RFC + 0 DME + 5 Patient Portal Login + 5 Completed Task</v>
      </c>
      <c r="M1810" s="13"/>
      <c r="N1810" s="13"/>
      <c r="O1810" s="14"/>
      <c r="P1810" s="14"/>
    </row>
    <row r="1811" hidden="1">
      <c r="A1811" s="54" t="s">
        <v>302</v>
      </c>
      <c r="B1811" s="16" t="s">
        <v>131</v>
      </c>
      <c r="C1811" s="16" t="s">
        <v>132</v>
      </c>
      <c r="D1811" s="16" t="s">
        <v>133</v>
      </c>
      <c r="E1811" s="82">
        <v>0.0</v>
      </c>
      <c r="F1811" s="82">
        <v>3.0</v>
      </c>
      <c r="G1811" s="84">
        <v>0.0</v>
      </c>
      <c r="H1811" s="82">
        <v>2.0</v>
      </c>
      <c r="I1811" s="82">
        <v>5.0</v>
      </c>
      <c r="J1811" s="12"/>
      <c r="K1811" s="12">
        <f t="shared" si="95"/>
        <v>3250</v>
      </c>
      <c r="L1811" s="13" t="str">
        <f t="shared" si="96"/>
        <v>0 5-star + 3 RFC + 0 DME + 2 Patient Portal Login + 5 Completed Task</v>
      </c>
      <c r="M1811" s="13"/>
      <c r="N1811" s="13"/>
      <c r="O1811" s="14"/>
      <c r="P1811" s="14"/>
    </row>
    <row r="1812" hidden="1">
      <c r="A1812" s="54" t="s">
        <v>302</v>
      </c>
      <c r="B1812" s="16" t="s">
        <v>134</v>
      </c>
      <c r="C1812" s="16" t="s">
        <v>135</v>
      </c>
      <c r="D1812" s="16" t="s">
        <v>136</v>
      </c>
      <c r="E1812" s="80">
        <v>0.0</v>
      </c>
      <c r="F1812" s="81">
        <v>2.0</v>
      </c>
      <c r="G1812" s="80">
        <v>1.0</v>
      </c>
      <c r="H1812" s="81">
        <v>4.0</v>
      </c>
      <c r="I1812" s="81">
        <v>5.0</v>
      </c>
      <c r="J1812" s="12"/>
      <c r="K1812" s="12">
        <f t="shared" si="95"/>
        <v>3500</v>
      </c>
      <c r="L1812" s="13" t="str">
        <f t="shared" si="96"/>
        <v>0 5-star + 2 RFC + 1 DME + 4 Patient Portal Login + 5 Completed Task</v>
      </c>
      <c r="M1812" s="13"/>
      <c r="N1812" s="13"/>
      <c r="O1812" s="14"/>
      <c r="P1812" s="14"/>
    </row>
    <row r="1813" hidden="1">
      <c r="A1813" s="54" t="s">
        <v>302</v>
      </c>
      <c r="B1813" s="16" t="s">
        <v>137</v>
      </c>
      <c r="C1813" s="16" t="s">
        <v>138</v>
      </c>
      <c r="D1813" s="16" t="s">
        <v>139</v>
      </c>
      <c r="E1813" s="81">
        <v>0.0</v>
      </c>
      <c r="F1813" s="81">
        <v>4.0</v>
      </c>
      <c r="G1813" s="81">
        <v>0.0</v>
      </c>
      <c r="H1813" s="81">
        <v>5.0</v>
      </c>
      <c r="I1813" s="81">
        <v>5.0</v>
      </c>
      <c r="J1813" s="12"/>
      <c r="K1813" s="12">
        <f t="shared" si="95"/>
        <v>4500</v>
      </c>
      <c r="L1813" s="13" t="str">
        <f t="shared" si="96"/>
        <v>0 5-star + 4 RFC + 0 DME + 5 Patient Portal Login + 5 Completed Task</v>
      </c>
      <c r="M1813" s="13"/>
      <c r="N1813" s="13"/>
      <c r="O1813" s="14"/>
      <c r="P1813" s="14"/>
    </row>
    <row r="1814" hidden="1">
      <c r="A1814" s="54" t="s">
        <v>302</v>
      </c>
      <c r="B1814" s="16" t="s">
        <v>278</v>
      </c>
      <c r="C1814" s="16" t="s">
        <v>279</v>
      </c>
      <c r="D1814" s="16" t="s">
        <v>280</v>
      </c>
      <c r="E1814" s="80">
        <v>1.0</v>
      </c>
      <c r="F1814" s="83"/>
      <c r="G1814" s="13"/>
      <c r="H1814" s="80">
        <v>2.0</v>
      </c>
      <c r="I1814" s="81">
        <v>4.0</v>
      </c>
      <c r="J1814" s="55"/>
      <c r="K1814" s="55">
        <f t="shared" si="95"/>
        <v>1750</v>
      </c>
      <c r="L1814" s="13" t="str">
        <f t="shared" si="96"/>
        <v>1 5-star +  RFC +  DME + 2 Patient Portal Login + 4 Completed Task</v>
      </c>
      <c r="M1814" s="13"/>
      <c r="N1814" s="13"/>
      <c r="O1814" s="14"/>
      <c r="P1814" s="14"/>
    </row>
    <row r="1815" hidden="1">
      <c r="A1815" s="54" t="s">
        <v>302</v>
      </c>
      <c r="B1815" s="16" t="s">
        <v>140</v>
      </c>
      <c r="C1815" s="16" t="s">
        <v>141</v>
      </c>
      <c r="D1815" s="16" t="s">
        <v>142</v>
      </c>
      <c r="E1815" s="81">
        <v>3.0</v>
      </c>
      <c r="F1815" s="80">
        <v>0.0</v>
      </c>
      <c r="G1815" s="80">
        <v>0.0</v>
      </c>
      <c r="H1815" s="81">
        <v>6.0</v>
      </c>
      <c r="I1815" s="81">
        <v>5.0</v>
      </c>
      <c r="J1815" s="12"/>
      <c r="K1815" s="12">
        <f t="shared" si="95"/>
        <v>3500</v>
      </c>
      <c r="L1815" s="13" t="str">
        <f t="shared" si="96"/>
        <v>3 5-star + 0 RFC + 0 DME + 6 Patient Portal Login + 5 Completed Task</v>
      </c>
      <c r="M1815" s="13"/>
      <c r="N1815" s="13"/>
      <c r="O1815" s="14"/>
      <c r="P1815" s="14"/>
    </row>
    <row r="1816" hidden="1">
      <c r="A1816" s="54" t="s">
        <v>302</v>
      </c>
      <c r="B1816" s="16" t="s">
        <v>207</v>
      </c>
      <c r="C1816" s="16" t="s">
        <v>208</v>
      </c>
      <c r="D1816" s="16" t="s">
        <v>281</v>
      </c>
      <c r="E1816" s="83"/>
      <c r="F1816" s="83"/>
      <c r="G1816" s="83"/>
      <c r="H1816" s="83"/>
      <c r="I1816" s="83"/>
      <c r="J1816" s="12"/>
      <c r="K1816" s="12">
        <f t="shared" si="95"/>
        <v>0</v>
      </c>
      <c r="L1816" s="13" t="str">
        <f t="shared" si="96"/>
        <v> 5-star +  RFC +  DME +  Patient Portal Login +  Completed Task</v>
      </c>
      <c r="M1816" s="13"/>
      <c r="N1816" s="13"/>
      <c r="O1816" s="14"/>
      <c r="P1816" s="14"/>
    </row>
    <row r="1817" hidden="1">
      <c r="A1817" s="54" t="s">
        <v>302</v>
      </c>
      <c r="B1817" s="16" t="s">
        <v>282</v>
      </c>
      <c r="C1817" s="16" t="s">
        <v>283</v>
      </c>
      <c r="D1817" s="16" t="s">
        <v>284</v>
      </c>
      <c r="E1817" s="83"/>
      <c r="F1817" s="83"/>
      <c r="G1817" s="83"/>
      <c r="H1817" s="83"/>
      <c r="I1817" s="83"/>
      <c r="J1817" s="12"/>
      <c r="K1817" s="12">
        <f t="shared" si="95"/>
        <v>0</v>
      </c>
      <c r="L1817" s="13" t="str">
        <f t="shared" si="96"/>
        <v> 5-star +  RFC +  DME +  Patient Portal Login +  Completed Task</v>
      </c>
      <c r="M1817" s="13"/>
      <c r="N1817" s="13"/>
      <c r="O1817" s="14"/>
      <c r="P1817" s="14"/>
    </row>
    <row r="1818" hidden="1">
      <c r="A1818" s="54" t="s">
        <v>302</v>
      </c>
      <c r="B1818" s="16" t="s">
        <v>285</v>
      </c>
      <c r="C1818" s="16" t="s">
        <v>286</v>
      </c>
      <c r="D1818" s="16" t="s">
        <v>287</v>
      </c>
      <c r="E1818" s="83"/>
      <c r="F1818" s="83"/>
      <c r="G1818" s="83"/>
      <c r="H1818" s="83"/>
      <c r="I1818" s="83"/>
      <c r="J1818" s="12"/>
      <c r="K1818" s="12">
        <f t="shared" si="95"/>
        <v>0</v>
      </c>
      <c r="L1818" s="13" t="str">
        <f t="shared" si="96"/>
        <v> 5-star +  RFC +  DME +  Patient Portal Login +  Completed Task</v>
      </c>
      <c r="M1818" s="13"/>
      <c r="N1818" s="13"/>
      <c r="O1818" s="14"/>
      <c r="P1818" s="14"/>
    </row>
    <row r="1819" hidden="1">
      <c r="A1819" s="54" t="s">
        <v>302</v>
      </c>
      <c r="B1819" s="16" t="s">
        <v>143</v>
      </c>
      <c r="C1819" s="16" t="s">
        <v>144</v>
      </c>
      <c r="D1819" s="16" t="s">
        <v>145</v>
      </c>
      <c r="E1819" s="80">
        <v>0.0</v>
      </c>
      <c r="F1819" s="81">
        <v>1.0</v>
      </c>
      <c r="G1819" s="81">
        <v>1.0</v>
      </c>
      <c r="H1819" s="81">
        <v>4.0</v>
      </c>
      <c r="I1819" s="81">
        <v>5.0</v>
      </c>
      <c r="J1819" s="12"/>
      <c r="K1819" s="12">
        <f t="shared" si="95"/>
        <v>3000</v>
      </c>
      <c r="L1819" s="13" t="str">
        <f t="shared" si="96"/>
        <v>0 5-star + 1 RFC + 1 DME + 4 Patient Portal Login + 5 Completed Task</v>
      </c>
      <c r="M1819" s="13"/>
      <c r="N1819" s="13"/>
      <c r="O1819" s="14"/>
      <c r="P1819" s="14"/>
    </row>
    <row r="1820" hidden="1">
      <c r="A1820" s="54" t="s">
        <v>302</v>
      </c>
      <c r="B1820" s="16" t="s">
        <v>146</v>
      </c>
      <c r="C1820" s="16" t="s">
        <v>147</v>
      </c>
      <c r="D1820" s="16" t="s">
        <v>148</v>
      </c>
      <c r="E1820" s="80">
        <v>0.0</v>
      </c>
      <c r="F1820" s="81">
        <v>4.0</v>
      </c>
      <c r="G1820" s="80">
        <v>0.0</v>
      </c>
      <c r="H1820" s="81">
        <v>3.0</v>
      </c>
      <c r="I1820" s="81">
        <v>5.0</v>
      </c>
      <c r="J1820" s="12"/>
      <c r="K1820" s="12">
        <f t="shared" si="95"/>
        <v>4000</v>
      </c>
      <c r="L1820" s="13" t="str">
        <f t="shared" si="96"/>
        <v>0 5-star + 4 RFC + 0 DME + 3 Patient Portal Login + 5 Completed Task</v>
      </c>
      <c r="M1820" s="13"/>
      <c r="N1820" s="13"/>
      <c r="O1820" s="14"/>
      <c r="P1820" s="14"/>
    </row>
    <row r="1821" hidden="1">
      <c r="A1821" s="54" t="s">
        <v>302</v>
      </c>
      <c r="B1821" s="16" t="s">
        <v>245</v>
      </c>
      <c r="C1821" s="16" t="s">
        <v>246</v>
      </c>
      <c r="D1821" s="16" t="s">
        <v>247</v>
      </c>
      <c r="E1821" s="81">
        <v>0.0</v>
      </c>
      <c r="F1821" s="81">
        <v>1.0</v>
      </c>
      <c r="G1821" s="81">
        <v>0.0</v>
      </c>
      <c r="H1821" s="81">
        <v>3.0</v>
      </c>
      <c r="I1821" s="81">
        <v>5.0</v>
      </c>
      <c r="J1821" s="12"/>
      <c r="K1821" s="12">
        <f t="shared" si="95"/>
        <v>2500</v>
      </c>
      <c r="L1821" s="13" t="str">
        <f t="shared" si="96"/>
        <v>0 5-star + 1 RFC + 0 DME + 3 Patient Portal Login + 5 Completed Task</v>
      </c>
      <c r="M1821" s="13"/>
      <c r="N1821" s="13"/>
      <c r="O1821" s="14"/>
      <c r="P1821" s="14"/>
    </row>
    <row r="1822" hidden="1">
      <c r="A1822" s="54" t="s">
        <v>302</v>
      </c>
      <c r="B1822" s="16" t="s">
        <v>210</v>
      </c>
      <c r="C1822" s="16" t="s">
        <v>211</v>
      </c>
      <c r="D1822" s="16" t="s">
        <v>212</v>
      </c>
      <c r="E1822" s="83"/>
      <c r="F1822" s="83"/>
      <c r="G1822" s="83"/>
      <c r="H1822" s="83"/>
      <c r="I1822" s="83"/>
      <c r="J1822" s="12"/>
      <c r="K1822" s="12">
        <f t="shared" si="95"/>
        <v>0</v>
      </c>
      <c r="L1822" s="13" t="str">
        <f t="shared" si="96"/>
        <v> 5-star +  RFC +  DME +  Patient Portal Login +  Completed Task</v>
      </c>
      <c r="M1822" s="13"/>
      <c r="N1822" s="13"/>
      <c r="O1822" s="14"/>
      <c r="P1822" s="14"/>
    </row>
    <row r="1823" hidden="1">
      <c r="A1823" s="54" t="s">
        <v>302</v>
      </c>
      <c r="B1823" s="16" t="s">
        <v>149</v>
      </c>
      <c r="C1823" s="16" t="s">
        <v>150</v>
      </c>
      <c r="D1823" s="16" t="s">
        <v>151</v>
      </c>
      <c r="E1823" s="80">
        <v>0.0</v>
      </c>
      <c r="F1823" s="80">
        <v>4.0</v>
      </c>
      <c r="G1823" s="81">
        <v>1.0</v>
      </c>
      <c r="H1823" s="81">
        <v>1.0</v>
      </c>
      <c r="I1823" s="81">
        <v>4.0</v>
      </c>
      <c r="J1823" s="12"/>
      <c r="K1823" s="12">
        <f t="shared" si="95"/>
        <v>3500</v>
      </c>
      <c r="L1823" s="13" t="str">
        <f t="shared" si="96"/>
        <v>0 5-star + 4 RFC + 1 DME + 1 Patient Portal Login + 4 Completed Task</v>
      </c>
      <c r="M1823" s="13"/>
      <c r="N1823" s="13"/>
      <c r="O1823" s="14"/>
      <c r="P1823" s="14"/>
    </row>
    <row r="1824" hidden="1">
      <c r="A1824" s="54" t="s">
        <v>302</v>
      </c>
      <c r="B1824" s="16" t="s">
        <v>288</v>
      </c>
      <c r="C1824" s="16" t="s">
        <v>289</v>
      </c>
      <c r="D1824" s="16" t="s">
        <v>290</v>
      </c>
      <c r="E1824" s="83"/>
      <c r="F1824" s="13"/>
      <c r="G1824" s="83"/>
      <c r="H1824" s="83"/>
      <c r="I1824" s="13"/>
      <c r="J1824" s="12"/>
      <c r="K1824" s="12">
        <f t="shared" si="95"/>
        <v>0</v>
      </c>
      <c r="L1824" s="13" t="str">
        <f t="shared" si="96"/>
        <v> 5-star +  RFC +  DME +  Patient Portal Login +  Completed Task</v>
      </c>
      <c r="M1824" s="13"/>
      <c r="N1824" s="13"/>
      <c r="O1824" s="14"/>
      <c r="P1824" s="14"/>
    </row>
    <row r="1825" hidden="1">
      <c r="A1825" s="54" t="s">
        <v>302</v>
      </c>
      <c r="B1825" s="16" t="s">
        <v>152</v>
      </c>
      <c r="C1825" s="16" t="s">
        <v>153</v>
      </c>
      <c r="D1825" s="16" t="s">
        <v>154</v>
      </c>
      <c r="E1825" s="81">
        <v>3.0</v>
      </c>
      <c r="F1825" s="81">
        <v>1.0</v>
      </c>
      <c r="G1825" s="81">
        <v>1.0</v>
      </c>
      <c r="H1825" s="81">
        <v>3.0</v>
      </c>
      <c r="I1825" s="81">
        <v>5.0</v>
      </c>
      <c r="J1825" s="12"/>
      <c r="K1825" s="12">
        <f t="shared" si="95"/>
        <v>3500</v>
      </c>
      <c r="L1825" s="13" t="str">
        <f t="shared" si="96"/>
        <v>3 5-star + 1 RFC + 1 DME + 3 Patient Portal Login + 5 Completed Task</v>
      </c>
      <c r="M1825" s="13"/>
      <c r="N1825" s="13"/>
      <c r="O1825" s="14"/>
      <c r="P1825" s="14"/>
    </row>
    <row r="1826" hidden="1">
      <c r="A1826" s="54" t="s">
        <v>302</v>
      </c>
      <c r="B1826" s="16" t="s">
        <v>155</v>
      </c>
      <c r="C1826" s="16" t="s">
        <v>156</v>
      </c>
      <c r="D1826" s="16" t="s">
        <v>157</v>
      </c>
      <c r="E1826" s="81">
        <v>0.0</v>
      </c>
      <c r="F1826" s="81">
        <v>3.0</v>
      </c>
      <c r="G1826" s="80">
        <v>1.0</v>
      </c>
      <c r="H1826" s="81">
        <v>3.0</v>
      </c>
      <c r="I1826" s="81">
        <v>1.0</v>
      </c>
      <c r="J1826" s="12"/>
      <c r="K1826" s="12">
        <f t="shared" si="95"/>
        <v>2750</v>
      </c>
      <c r="L1826" s="13" t="str">
        <f t="shared" si="96"/>
        <v>0 5-star + 3 RFC + 1 DME + 3 Patient Portal Login + 1 Completed Task</v>
      </c>
      <c r="M1826" s="13"/>
      <c r="N1826" s="13"/>
      <c r="O1826" s="14"/>
      <c r="P1826" s="14"/>
    </row>
    <row r="1827" hidden="1">
      <c r="A1827" s="54" t="s">
        <v>302</v>
      </c>
      <c r="B1827" s="16" t="s">
        <v>158</v>
      </c>
      <c r="C1827" s="16" t="s">
        <v>159</v>
      </c>
      <c r="D1827" s="16" t="s">
        <v>160</v>
      </c>
      <c r="E1827" s="81">
        <v>0.0</v>
      </c>
      <c r="F1827" s="80">
        <v>1.0</v>
      </c>
      <c r="G1827" s="80">
        <v>0.0</v>
      </c>
      <c r="H1827" s="81">
        <v>3.0</v>
      </c>
      <c r="I1827" s="81">
        <v>5.0</v>
      </c>
      <c r="J1827" s="12"/>
      <c r="K1827" s="12">
        <f t="shared" si="95"/>
        <v>2500</v>
      </c>
      <c r="L1827" s="13" t="str">
        <f t="shared" si="96"/>
        <v>0 5-star + 1 RFC + 0 DME + 3 Patient Portal Login + 5 Completed Task</v>
      </c>
      <c r="M1827" s="13"/>
      <c r="N1827" s="13"/>
      <c r="O1827" s="14"/>
      <c r="P1827" s="14"/>
    </row>
    <row r="1828" hidden="1">
      <c r="A1828" s="54" t="s">
        <v>302</v>
      </c>
      <c r="B1828" s="20" t="s">
        <v>161</v>
      </c>
      <c r="C1828" s="20" t="s">
        <v>162</v>
      </c>
      <c r="D1828" s="20" t="s">
        <v>163</v>
      </c>
      <c r="E1828" s="80">
        <v>0.0</v>
      </c>
      <c r="F1828" s="80">
        <v>3.0</v>
      </c>
      <c r="G1828" s="81">
        <v>0.0</v>
      </c>
      <c r="H1828" s="80">
        <v>9.0</v>
      </c>
      <c r="I1828" s="81">
        <v>3.0</v>
      </c>
      <c r="J1828" s="12"/>
      <c r="K1828" s="12">
        <f t="shared" si="95"/>
        <v>4500</v>
      </c>
      <c r="L1828" s="13" t="str">
        <f t="shared" si="96"/>
        <v>0 5-star + 3 RFC + 0 DME + 9 Patient Portal Login + 3 Completed Task</v>
      </c>
      <c r="M1828" s="13"/>
      <c r="N1828" s="13"/>
      <c r="O1828" s="14"/>
      <c r="P1828" s="14"/>
    </row>
    <row r="1829" hidden="1">
      <c r="A1829" s="54" t="s">
        <v>302</v>
      </c>
      <c r="B1829" s="20" t="s">
        <v>164</v>
      </c>
      <c r="C1829" s="20" t="s">
        <v>165</v>
      </c>
      <c r="D1829" s="20" t="s">
        <v>166</v>
      </c>
      <c r="E1829" s="81">
        <v>0.0</v>
      </c>
      <c r="F1829" s="81">
        <v>2.0</v>
      </c>
      <c r="G1829" s="80">
        <v>0.0</v>
      </c>
      <c r="H1829" s="81">
        <v>0.0</v>
      </c>
      <c r="I1829" s="81">
        <v>5.0</v>
      </c>
      <c r="J1829" s="12"/>
      <c r="K1829" s="12">
        <f t="shared" si="95"/>
        <v>2250</v>
      </c>
      <c r="L1829" s="13" t="str">
        <f t="shared" si="96"/>
        <v>0 5-star + 2 RFC + 0 DME + 0 Patient Portal Login + 5 Completed Task</v>
      </c>
      <c r="M1829" s="13"/>
      <c r="N1829" s="13"/>
      <c r="O1829" s="14"/>
      <c r="P1829" s="14"/>
    </row>
    <row r="1830" hidden="1">
      <c r="A1830" s="54" t="s">
        <v>302</v>
      </c>
      <c r="B1830" s="20" t="s">
        <v>167</v>
      </c>
      <c r="C1830" s="20" t="s">
        <v>168</v>
      </c>
      <c r="D1830" s="20" t="s">
        <v>169</v>
      </c>
      <c r="E1830" s="80">
        <v>0.0</v>
      </c>
      <c r="F1830" s="81">
        <v>4.0</v>
      </c>
      <c r="G1830" s="81">
        <v>0.0</v>
      </c>
      <c r="H1830" s="81">
        <v>5.0</v>
      </c>
      <c r="I1830" s="81">
        <v>5.0</v>
      </c>
      <c r="J1830" s="12"/>
      <c r="K1830" s="12">
        <f t="shared" si="95"/>
        <v>4500</v>
      </c>
      <c r="L1830" s="13" t="str">
        <f t="shared" si="96"/>
        <v>0 5-star + 4 RFC + 0 DME + 5 Patient Portal Login + 5 Completed Task</v>
      </c>
      <c r="M1830" s="13"/>
      <c r="N1830" s="13"/>
      <c r="O1830" s="14"/>
      <c r="P1830" s="14"/>
    </row>
    <row r="1831" hidden="1">
      <c r="A1831" s="54" t="s">
        <v>302</v>
      </c>
      <c r="B1831" s="20" t="s">
        <v>170</v>
      </c>
      <c r="C1831" s="20" t="s">
        <v>171</v>
      </c>
      <c r="D1831" s="20" t="s">
        <v>172</v>
      </c>
      <c r="E1831" s="81">
        <v>0.0</v>
      </c>
      <c r="F1831" s="81">
        <v>0.0</v>
      </c>
      <c r="G1831" s="80">
        <v>0.0</v>
      </c>
      <c r="H1831" s="81">
        <v>12.0</v>
      </c>
      <c r="I1831" s="81">
        <v>5.0</v>
      </c>
      <c r="J1831" s="12"/>
      <c r="K1831" s="12">
        <f t="shared" si="95"/>
        <v>4250</v>
      </c>
      <c r="L1831" s="13" t="str">
        <f t="shared" si="96"/>
        <v>0 5-star + 0 RFC + 0 DME + 12 Patient Portal Login + 5 Completed Task</v>
      </c>
      <c r="M1831" s="13"/>
      <c r="N1831" s="13"/>
      <c r="O1831" s="14"/>
      <c r="P1831" s="14"/>
    </row>
    <row r="1832" hidden="1">
      <c r="A1832" s="54" t="s">
        <v>302</v>
      </c>
      <c r="B1832" s="16" t="s">
        <v>173</v>
      </c>
      <c r="C1832" s="16" t="s">
        <v>174</v>
      </c>
      <c r="D1832" s="16" t="s">
        <v>175</v>
      </c>
      <c r="E1832" s="81">
        <v>0.0</v>
      </c>
      <c r="F1832" s="81">
        <v>3.0</v>
      </c>
      <c r="G1832" s="80">
        <v>0.0</v>
      </c>
      <c r="H1832" s="81">
        <v>1.0</v>
      </c>
      <c r="I1832" s="81">
        <v>4.0</v>
      </c>
      <c r="J1832" s="12"/>
      <c r="K1832" s="12">
        <f t="shared" si="95"/>
        <v>2750</v>
      </c>
      <c r="L1832" s="13" t="str">
        <f t="shared" si="96"/>
        <v>0 5-star + 3 RFC + 0 DME + 1 Patient Portal Login + 4 Completed Task</v>
      </c>
      <c r="M1832" s="13"/>
      <c r="N1832" s="13"/>
      <c r="O1832" s="14"/>
      <c r="P1832" s="14"/>
    </row>
    <row r="1833" hidden="1">
      <c r="A1833" s="54" t="s">
        <v>302</v>
      </c>
      <c r="B1833" s="16" t="s">
        <v>176</v>
      </c>
      <c r="C1833" s="16" t="s">
        <v>177</v>
      </c>
      <c r="D1833" s="16" t="s">
        <v>178</v>
      </c>
      <c r="E1833" s="80">
        <v>0.0</v>
      </c>
      <c r="F1833" s="81">
        <v>3.0</v>
      </c>
      <c r="G1833" s="81">
        <v>0.0</v>
      </c>
      <c r="H1833" s="81">
        <v>2.0</v>
      </c>
      <c r="I1833" s="81">
        <v>5.0</v>
      </c>
      <c r="J1833" s="12"/>
      <c r="K1833" s="12">
        <f t="shared" si="95"/>
        <v>3250</v>
      </c>
      <c r="L1833" s="13" t="str">
        <f t="shared" si="96"/>
        <v>0 5-star + 3 RFC + 0 DME + 2 Patient Portal Login + 5 Completed Task</v>
      </c>
      <c r="M1833" s="13"/>
      <c r="N1833" s="13"/>
      <c r="O1833" s="14"/>
      <c r="P1833" s="14"/>
    </row>
    <row r="1834" hidden="1">
      <c r="A1834" s="54" t="s">
        <v>302</v>
      </c>
      <c r="B1834" s="21" t="s">
        <v>291</v>
      </c>
      <c r="C1834" s="21" t="s">
        <v>292</v>
      </c>
      <c r="D1834" s="21" t="s">
        <v>293</v>
      </c>
      <c r="E1834" s="80">
        <v>1.0</v>
      </c>
      <c r="F1834" s="81">
        <v>1.0</v>
      </c>
      <c r="G1834" s="84">
        <v>2.0</v>
      </c>
      <c r="H1834" s="84">
        <v>10.0</v>
      </c>
      <c r="I1834" s="84">
        <v>5.0</v>
      </c>
      <c r="J1834" s="12"/>
      <c r="K1834" s="12">
        <f t="shared" si="95"/>
        <v>5000</v>
      </c>
      <c r="L1834" s="13" t="str">
        <f t="shared" si="96"/>
        <v>1 5-star + 1 RFC + 2 DME + 10 Patient Portal Login + 5 Completed Task</v>
      </c>
      <c r="M1834" s="13"/>
      <c r="N1834" s="13"/>
      <c r="O1834" s="23"/>
      <c r="P1834" s="23"/>
    </row>
    <row r="1835" hidden="1">
      <c r="A1835" s="54" t="s">
        <v>302</v>
      </c>
      <c r="B1835" s="21" t="s">
        <v>294</v>
      </c>
      <c r="C1835" s="21" t="s">
        <v>295</v>
      </c>
      <c r="D1835" s="21" t="s">
        <v>296</v>
      </c>
      <c r="E1835" s="81">
        <v>0.0</v>
      </c>
      <c r="F1835" s="80">
        <v>3.0</v>
      </c>
      <c r="G1835" s="85">
        <v>2.0</v>
      </c>
      <c r="H1835" s="85">
        <v>0.0</v>
      </c>
      <c r="I1835" s="84">
        <v>5.0</v>
      </c>
      <c r="J1835" s="12"/>
      <c r="K1835" s="12">
        <f t="shared" si="95"/>
        <v>3250</v>
      </c>
      <c r="L1835" s="13" t="str">
        <f t="shared" si="96"/>
        <v>0 5-star + 3 RFC + 2 DME + 0 Patient Portal Login + 5 Completed Task</v>
      </c>
      <c r="M1835" s="13"/>
      <c r="N1835" s="13"/>
      <c r="O1835" s="23"/>
      <c r="P1835" s="23"/>
    </row>
    <row r="1836" hidden="1">
      <c r="A1836" s="54" t="s">
        <v>302</v>
      </c>
      <c r="B1836" s="21" t="s">
        <v>179</v>
      </c>
      <c r="C1836" s="21" t="s">
        <v>180</v>
      </c>
      <c r="D1836" s="21" t="s">
        <v>181</v>
      </c>
      <c r="E1836" s="81">
        <v>0.0</v>
      </c>
      <c r="F1836" s="85">
        <v>7.0</v>
      </c>
      <c r="G1836" s="85">
        <v>6.0</v>
      </c>
      <c r="H1836" s="84">
        <v>19.0</v>
      </c>
      <c r="I1836" s="84">
        <v>4.0</v>
      </c>
      <c r="J1836" s="12"/>
      <c r="K1836" s="12">
        <f t="shared" si="95"/>
        <v>10750</v>
      </c>
      <c r="L1836" s="13" t="str">
        <f t="shared" si="96"/>
        <v>0 5-star + 7 RFC + 6 DME + 19 Patient Portal Login + 4 Completed Task</v>
      </c>
      <c r="M1836" s="13"/>
      <c r="N1836" s="13"/>
      <c r="O1836" s="23"/>
      <c r="P1836" s="23"/>
    </row>
    <row r="1837" hidden="1">
      <c r="A1837" s="54" t="s">
        <v>302</v>
      </c>
      <c r="B1837" s="21" t="s">
        <v>182</v>
      </c>
      <c r="C1837" s="21" t="s">
        <v>183</v>
      </c>
      <c r="D1837" s="21" t="s">
        <v>184</v>
      </c>
      <c r="E1837" s="81">
        <v>1.0</v>
      </c>
      <c r="F1837" s="80">
        <v>1.0</v>
      </c>
      <c r="G1837" s="85">
        <v>0.0</v>
      </c>
      <c r="H1837" s="84">
        <v>3.0</v>
      </c>
      <c r="I1837" s="84">
        <v>3.0</v>
      </c>
      <c r="J1837" s="12"/>
      <c r="K1837" s="12">
        <f t="shared" si="95"/>
        <v>2250</v>
      </c>
      <c r="L1837" s="13" t="str">
        <f t="shared" si="96"/>
        <v>1 5-star + 1 RFC + 0 DME + 3 Patient Portal Login + 3 Completed Task</v>
      </c>
      <c r="M1837" s="13"/>
      <c r="N1837" s="13"/>
      <c r="O1837" s="23"/>
      <c r="P1837" s="23"/>
    </row>
    <row r="1838" hidden="1">
      <c r="A1838" s="54" t="s">
        <v>302</v>
      </c>
      <c r="B1838" s="21" t="s">
        <v>185</v>
      </c>
      <c r="C1838" s="21" t="s">
        <v>186</v>
      </c>
      <c r="D1838" s="21" t="s">
        <v>187</v>
      </c>
      <c r="E1838" s="80">
        <v>4.0</v>
      </c>
      <c r="F1838" s="80">
        <v>5.0</v>
      </c>
      <c r="G1838" s="85">
        <v>1.0</v>
      </c>
      <c r="H1838" s="85">
        <v>6.0</v>
      </c>
      <c r="I1838" s="85">
        <v>4.0</v>
      </c>
      <c r="J1838" s="12"/>
      <c r="K1838" s="12">
        <f t="shared" si="95"/>
        <v>6250</v>
      </c>
      <c r="L1838" s="13" t="str">
        <f t="shared" si="96"/>
        <v>4 5-star + 5 RFC + 1 DME + 6 Patient Portal Login + 4 Completed Task</v>
      </c>
      <c r="M1838" s="13"/>
      <c r="N1838" s="13"/>
      <c r="O1838" s="23"/>
      <c r="P1838" s="23"/>
    </row>
    <row r="1839" hidden="1">
      <c r="A1839" s="54" t="s">
        <v>302</v>
      </c>
      <c r="B1839" s="21" t="s">
        <v>188</v>
      </c>
      <c r="C1839" s="21" t="s">
        <v>189</v>
      </c>
      <c r="D1839" s="21" t="s">
        <v>190</v>
      </c>
      <c r="E1839" s="81">
        <v>1.0</v>
      </c>
      <c r="F1839" s="81">
        <v>1.0</v>
      </c>
      <c r="G1839" s="85">
        <v>0.0</v>
      </c>
      <c r="H1839" s="84">
        <v>2.0</v>
      </c>
      <c r="I1839" s="84">
        <v>5.0</v>
      </c>
      <c r="J1839" s="12"/>
      <c r="K1839" s="12">
        <f t="shared" si="95"/>
        <v>2500</v>
      </c>
      <c r="L1839" s="13" t="str">
        <f t="shared" si="96"/>
        <v>1 5-star + 1 RFC + 0 DME + 2 Patient Portal Login + 5 Completed Task</v>
      </c>
      <c r="M1839" s="13"/>
      <c r="N1839" s="13"/>
      <c r="O1839" s="23"/>
      <c r="P1839" s="23"/>
    </row>
    <row r="1840" hidden="1">
      <c r="A1840" s="54" t="s">
        <v>302</v>
      </c>
      <c r="B1840" s="61" t="s">
        <v>258</v>
      </c>
      <c r="C1840" s="21" t="s">
        <v>259</v>
      </c>
      <c r="D1840" s="21" t="s">
        <v>260</v>
      </c>
      <c r="E1840" s="81">
        <v>12.0</v>
      </c>
      <c r="F1840" s="80">
        <v>0.0</v>
      </c>
      <c r="G1840" s="84">
        <v>1.0</v>
      </c>
      <c r="H1840" s="84">
        <v>10.0</v>
      </c>
      <c r="I1840" s="84">
        <v>3.0</v>
      </c>
      <c r="J1840" s="12"/>
      <c r="K1840" s="12">
        <f t="shared" si="95"/>
        <v>6500</v>
      </c>
      <c r="L1840" s="13" t="str">
        <f t="shared" si="96"/>
        <v>12 5-star + 0 RFC + 1 DME + 10 Patient Portal Login + 3 Completed Task</v>
      </c>
      <c r="M1840" s="13"/>
      <c r="N1840" s="13"/>
      <c r="O1840" s="23"/>
      <c r="P1840" s="23"/>
    </row>
    <row r="1841" hidden="1">
      <c r="A1841" s="54" t="s">
        <v>302</v>
      </c>
      <c r="B1841" s="21" t="s">
        <v>262</v>
      </c>
      <c r="C1841" s="21" t="s">
        <v>263</v>
      </c>
      <c r="D1841" s="21" t="s">
        <v>264</v>
      </c>
      <c r="E1841" s="81">
        <v>25.0</v>
      </c>
      <c r="F1841" s="80">
        <v>1.0</v>
      </c>
      <c r="G1841" s="84">
        <v>0.0</v>
      </c>
      <c r="H1841" s="84">
        <v>2.0</v>
      </c>
      <c r="I1841" s="84">
        <v>5.0</v>
      </c>
      <c r="J1841" s="12"/>
      <c r="K1841" s="12">
        <f t="shared" si="95"/>
        <v>8500</v>
      </c>
      <c r="L1841" s="13" t="str">
        <f t="shared" si="96"/>
        <v>25 5-star + 1 RFC + 0 DME + 2 Patient Portal Login + 5 Completed Task</v>
      </c>
      <c r="M1841" s="13"/>
      <c r="N1841" s="13"/>
      <c r="O1841" s="23"/>
      <c r="P1841" s="23"/>
    </row>
    <row r="1842" hidden="1">
      <c r="A1842" s="54" t="s">
        <v>302</v>
      </c>
      <c r="B1842" s="21" t="s">
        <v>191</v>
      </c>
      <c r="C1842" s="21" t="s">
        <v>192</v>
      </c>
      <c r="D1842" s="21" t="s">
        <v>193</v>
      </c>
      <c r="E1842" s="81">
        <v>0.0</v>
      </c>
      <c r="F1842" s="81">
        <v>2.0</v>
      </c>
      <c r="G1842" s="85">
        <v>0.0</v>
      </c>
      <c r="H1842" s="84">
        <v>6.0</v>
      </c>
      <c r="I1842" s="84">
        <v>5.0</v>
      </c>
      <c r="J1842" s="12"/>
      <c r="K1842" s="12">
        <f t="shared" si="95"/>
        <v>3750</v>
      </c>
      <c r="L1842" s="13" t="str">
        <f t="shared" si="96"/>
        <v>0 5-star + 2 RFC + 0 DME + 6 Patient Portal Login + 5 Completed Task</v>
      </c>
      <c r="M1842" s="13"/>
      <c r="N1842" s="13"/>
      <c r="O1842" s="23"/>
      <c r="P1842" s="23"/>
    </row>
    <row r="1843" hidden="1">
      <c r="A1843" s="54" t="s">
        <v>302</v>
      </c>
      <c r="B1843" s="21" t="s">
        <v>194</v>
      </c>
      <c r="C1843" s="21" t="s">
        <v>195</v>
      </c>
      <c r="D1843" s="21" t="s">
        <v>196</v>
      </c>
      <c r="E1843" s="81">
        <v>1.0</v>
      </c>
      <c r="F1843" s="81">
        <v>0.0</v>
      </c>
      <c r="G1843" s="84">
        <v>0.0</v>
      </c>
      <c r="H1843" s="84">
        <v>15.0</v>
      </c>
      <c r="I1843" s="84">
        <v>5.0</v>
      </c>
      <c r="J1843" s="12"/>
      <c r="K1843" s="12">
        <f t="shared" si="95"/>
        <v>5250</v>
      </c>
      <c r="L1843" s="13" t="str">
        <f t="shared" si="96"/>
        <v>1 5-star + 0 RFC + 0 DME + 15 Patient Portal Login + 5 Completed Task</v>
      </c>
      <c r="M1843" s="13"/>
      <c r="N1843" s="13"/>
      <c r="O1843" s="23"/>
      <c r="P1843" s="23"/>
    </row>
    <row r="1844" hidden="1">
      <c r="A1844" s="54" t="s">
        <v>302</v>
      </c>
      <c r="B1844" s="21" t="s">
        <v>303</v>
      </c>
      <c r="C1844" s="21" t="s">
        <v>304</v>
      </c>
      <c r="D1844" s="21" t="s">
        <v>305</v>
      </c>
      <c r="E1844" s="13"/>
      <c r="F1844" s="83"/>
      <c r="G1844" s="86"/>
      <c r="H1844" s="87"/>
      <c r="I1844" s="87"/>
      <c r="J1844" s="12"/>
      <c r="K1844" s="12">
        <f t="shared" si="95"/>
        <v>0</v>
      </c>
      <c r="L1844" s="13" t="str">
        <f t="shared" si="96"/>
        <v> 5-star +  RFC +  DME +  Patient Portal Login +  Completed Task</v>
      </c>
      <c r="M1844" s="13"/>
      <c r="N1844" s="13"/>
      <c r="O1844" s="23"/>
      <c r="P1844" s="23"/>
    </row>
    <row r="1845" hidden="1">
      <c r="A1845" s="54" t="s">
        <v>302</v>
      </c>
      <c r="B1845" s="21" t="s">
        <v>197</v>
      </c>
      <c r="C1845" s="21" t="s">
        <v>198</v>
      </c>
      <c r="D1845" s="21" t="s">
        <v>199</v>
      </c>
      <c r="E1845" s="81">
        <v>1.0</v>
      </c>
      <c r="F1845" s="80">
        <v>1.0</v>
      </c>
      <c r="G1845" s="85">
        <v>0.0</v>
      </c>
      <c r="H1845" s="84">
        <v>6.0</v>
      </c>
      <c r="I1845" s="84">
        <v>5.0</v>
      </c>
      <c r="J1845" s="12"/>
      <c r="K1845" s="12">
        <f t="shared" si="95"/>
        <v>3500</v>
      </c>
      <c r="L1845" s="13" t="str">
        <f t="shared" si="96"/>
        <v>1 5-star + 1 RFC + 0 DME + 6 Patient Portal Login + 5 Completed Task</v>
      </c>
      <c r="M1845" s="13"/>
      <c r="N1845" s="13"/>
      <c r="O1845" s="23"/>
      <c r="P1845" s="23"/>
    </row>
    <row r="1846" hidden="1">
      <c r="A1846" s="54" t="s">
        <v>302</v>
      </c>
      <c r="B1846" s="21" t="s">
        <v>200</v>
      </c>
      <c r="C1846" s="21" t="s">
        <v>201</v>
      </c>
      <c r="D1846" s="21" t="s">
        <v>202</v>
      </c>
      <c r="E1846" s="80">
        <v>1.0</v>
      </c>
      <c r="F1846" s="80">
        <v>0.0</v>
      </c>
      <c r="G1846" s="85">
        <v>0.0</v>
      </c>
      <c r="H1846" s="84">
        <v>2.0</v>
      </c>
      <c r="I1846" s="84">
        <v>3.0</v>
      </c>
      <c r="J1846" s="12"/>
      <c r="K1846" s="12">
        <f t="shared" si="95"/>
        <v>1500</v>
      </c>
      <c r="L1846" s="13" t="str">
        <f t="shared" si="96"/>
        <v>1 5-star + 0 RFC + 0 DME + 2 Patient Portal Login + 3 Completed Task</v>
      </c>
      <c r="M1846" s="13"/>
      <c r="N1846" s="13"/>
      <c r="O1846" s="23"/>
      <c r="P1846" s="23"/>
    </row>
    <row r="1847" hidden="1">
      <c r="A1847" s="88" t="s">
        <v>306</v>
      </c>
      <c r="B1847" s="7" t="s">
        <v>77</v>
      </c>
      <c r="C1847" s="7" t="s">
        <v>78</v>
      </c>
      <c r="D1847" s="7" t="s">
        <v>79</v>
      </c>
      <c r="E1847" s="34">
        <v>0.0</v>
      </c>
      <c r="F1847" s="34">
        <v>0.0</v>
      </c>
      <c r="G1847" s="34">
        <v>0.0</v>
      </c>
      <c r="H1847" s="34">
        <v>0.0</v>
      </c>
      <c r="I1847" s="81">
        <v>5.0</v>
      </c>
      <c r="J1847" s="12"/>
      <c r="K1847" s="12">
        <f t="shared" si="95"/>
        <v>1250</v>
      </c>
      <c r="L1847" s="13" t="str">
        <f t="shared" si="96"/>
        <v>0 5-star + 0 RFC + 0 DME + 0 Patient Portal Login + 5 Completed Task</v>
      </c>
      <c r="M1847" s="13"/>
      <c r="N1847" s="13"/>
      <c r="O1847" s="14"/>
      <c r="P1847" s="14"/>
    </row>
    <row r="1848" hidden="1">
      <c r="A1848" s="88" t="s">
        <v>306</v>
      </c>
      <c r="B1848" s="7" t="s">
        <v>80</v>
      </c>
      <c r="C1848" s="7" t="s">
        <v>81</v>
      </c>
      <c r="D1848" s="7" t="s">
        <v>82</v>
      </c>
      <c r="E1848" s="34">
        <v>0.0</v>
      </c>
      <c r="F1848" s="34">
        <v>0.0</v>
      </c>
      <c r="G1848" s="34">
        <v>0.0</v>
      </c>
      <c r="H1848" s="34">
        <v>0.0</v>
      </c>
      <c r="I1848" s="81">
        <v>5.0</v>
      </c>
      <c r="J1848" s="12"/>
      <c r="K1848" s="12">
        <f t="shared" si="95"/>
        <v>1250</v>
      </c>
      <c r="L1848" s="13" t="str">
        <f t="shared" si="96"/>
        <v>0 5-star + 0 RFC + 0 DME + 0 Patient Portal Login + 5 Completed Task</v>
      </c>
      <c r="M1848" s="13"/>
      <c r="N1848" s="13"/>
      <c r="O1848" s="14"/>
      <c r="P1848" s="14"/>
    </row>
    <row r="1849" hidden="1">
      <c r="A1849" s="88" t="s">
        <v>306</v>
      </c>
      <c r="B1849" s="7" t="s">
        <v>83</v>
      </c>
      <c r="C1849" s="7" t="s">
        <v>84</v>
      </c>
      <c r="D1849" s="7" t="s">
        <v>85</v>
      </c>
      <c r="E1849" s="34">
        <v>0.0</v>
      </c>
      <c r="F1849" s="34">
        <v>0.0</v>
      </c>
      <c r="G1849" s="34">
        <v>0.0</v>
      </c>
      <c r="H1849" s="34">
        <v>0.0</v>
      </c>
      <c r="I1849" s="81">
        <v>4.0</v>
      </c>
      <c r="J1849" s="12"/>
      <c r="K1849" s="12">
        <f t="shared" si="95"/>
        <v>1000</v>
      </c>
      <c r="L1849" s="13" t="str">
        <f t="shared" si="96"/>
        <v>0 5-star + 0 RFC + 0 DME + 0 Patient Portal Login + 4 Completed Task</v>
      </c>
      <c r="M1849" s="13"/>
      <c r="N1849" s="13"/>
      <c r="O1849" s="14"/>
      <c r="P1849" s="14"/>
    </row>
    <row r="1850" hidden="1">
      <c r="A1850" s="88" t="s">
        <v>306</v>
      </c>
      <c r="B1850" s="16" t="s">
        <v>255</v>
      </c>
      <c r="C1850" s="16" t="s">
        <v>256</v>
      </c>
      <c r="D1850" s="16" t="s">
        <v>257</v>
      </c>
      <c r="E1850" s="34">
        <v>0.0</v>
      </c>
      <c r="F1850" s="34">
        <v>0.0</v>
      </c>
      <c r="G1850" s="34">
        <v>0.0</v>
      </c>
      <c r="H1850" s="34">
        <v>1.0</v>
      </c>
      <c r="I1850" s="81">
        <v>2.0</v>
      </c>
      <c r="J1850" s="12"/>
      <c r="K1850" s="12">
        <f t="shared" si="95"/>
        <v>750</v>
      </c>
      <c r="L1850" s="13" t="str">
        <f t="shared" si="96"/>
        <v>0 5-star + 0 RFC + 0 DME + 1 Patient Portal Login + 2 Completed Task</v>
      </c>
      <c r="M1850" s="13"/>
      <c r="N1850" s="13"/>
      <c r="O1850" s="14"/>
      <c r="P1850" s="14"/>
    </row>
    <row r="1851" hidden="1">
      <c r="A1851" s="88" t="s">
        <v>306</v>
      </c>
      <c r="B1851" s="16" t="s">
        <v>86</v>
      </c>
      <c r="C1851" s="16" t="s">
        <v>87</v>
      </c>
      <c r="D1851" s="16" t="s">
        <v>88</v>
      </c>
      <c r="E1851" s="34">
        <v>0.0</v>
      </c>
      <c r="F1851" s="34">
        <v>1.0</v>
      </c>
      <c r="G1851" s="34">
        <v>0.0</v>
      </c>
      <c r="H1851" s="34">
        <v>6.0</v>
      </c>
      <c r="I1851" s="81">
        <v>4.0</v>
      </c>
      <c r="J1851" s="12"/>
      <c r="K1851" s="12">
        <f t="shared" si="95"/>
        <v>3000</v>
      </c>
      <c r="L1851" s="13" t="str">
        <f t="shared" si="96"/>
        <v>0 5-star + 1 RFC + 0 DME + 6 Patient Portal Login + 4 Completed Task</v>
      </c>
      <c r="M1851" s="13"/>
      <c r="N1851" s="13"/>
      <c r="O1851" s="14"/>
      <c r="P1851" s="14"/>
    </row>
    <row r="1852" hidden="1">
      <c r="A1852" s="88" t="s">
        <v>306</v>
      </c>
      <c r="B1852" s="16" t="s">
        <v>89</v>
      </c>
      <c r="C1852" s="16" t="s">
        <v>90</v>
      </c>
      <c r="D1852" s="16" t="s">
        <v>91</v>
      </c>
      <c r="E1852" s="34">
        <v>0.0</v>
      </c>
      <c r="F1852" s="34">
        <v>0.0</v>
      </c>
      <c r="G1852" s="34">
        <v>0.0</v>
      </c>
      <c r="H1852" s="34">
        <v>2.0</v>
      </c>
      <c r="I1852" s="34">
        <v>3.0</v>
      </c>
      <c r="J1852" s="12"/>
      <c r="K1852" s="12">
        <f t="shared" si="95"/>
        <v>1250</v>
      </c>
      <c r="L1852" s="13" t="str">
        <f t="shared" si="96"/>
        <v>0 5-star + 0 RFC + 0 DME + 2 Patient Portal Login + 3 Completed Task</v>
      </c>
      <c r="M1852" s="13"/>
      <c r="N1852" s="13"/>
      <c r="O1852" s="14"/>
      <c r="P1852" s="14"/>
    </row>
    <row r="1853" hidden="1">
      <c r="A1853" s="88" t="s">
        <v>306</v>
      </c>
      <c r="B1853" s="16" t="s">
        <v>92</v>
      </c>
      <c r="C1853" s="16" t="s">
        <v>93</v>
      </c>
      <c r="D1853" s="16" t="s">
        <v>94</v>
      </c>
      <c r="E1853" s="34">
        <v>0.0</v>
      </c>
      <c r="F1853" s="34">
        <v>0.0</v>
      </c>
      <c r="G1853" s="34">
        <v>0.0</v>
      </c>
      <c r="H1853" s="81">
        <v>5.0</v>
      </c>
      <c r="I1853" s="81">
        <v>3.0</v>
      </c>
      <c r="J1853" s="12"/>
      <c r="K1853" s="12">
        <f t="shared" si="95"/>
        <v>2000</v>
      </c>
      <c r="L1853" s="13" t="str">
        <f t="shared" si="96"/>
        <v>0 5-star + 0 RFC + 0 DME + 5 Patient Portal Login + 3 Completed Task</v>
      </c>
      <c r="M1853" s="13"/>
      <c r="N1853" s="13"/>
      <c r="O1853" s="14"/>
      <c r="P1853" s="14"/>
    </row>
    <row r="1854" hidden="1">
      <c r="A1854" s="88" t="s">
        <v>306</v>
      </c>
      <c r="B1854" s="7" t="s">
        <v>95</v>
      </c>
      <c r="C1854" s="16" t="s">
        <v>96</v>
      </c>
      <c r="D1854" s="16" t="s">
        <v>97</v>
      </c>
      <c r="E1854" s="34">
        <v>0.0</v>
      </c>
      <c r="F1854" s="34">
        <v>2.0</v>
      </c>
      <c r="G1854" s="34">
        <v>0.0</v>
      </c>
      <c r="H1854" s="81">
        <v>12.0</v>
      </c>
      <c r="I1854" s="81">
        <v>4.0</v>
      </c>
      <c r="J1854" s="12"/>
      <c r="K1854" s="12">
        <f t="shared" si="95"/>
        <v>5000</v>
      </c>
      <c r="L1854" s="13" t="str">
        <f t="shared" si="96"/>
        <v>0 5-star + 2 RFC + 0 DME + 12 Patient Portal Login + 4 Completed Task</v>
      </c>
      <c r="M1854" s="13"/>
      <c r="N1854" s="13"/>
      <c r="O1854" s="14"/>
      <c r="P1854" s="14"/>
    </row>
    <row r="1855" hidden="1">
      <c r="A1855" s="88" t="s">
        <v>306</v>
      </c>
      <c r="B1855" s="16" t="s">
        <v>98</v>
      </c>
      <c r="C1855" s="16" t="s">
        <v>99</v>
      </c>
      <c r="D1855" s="16" t="s">
        <v>100</v>
      </c>
      <c r="E1855" s="81">
        <v>0.0</v>
      </c>
      <c r="F1855" s="34">
        <v>0.0</v>
      </c>
      <c r="G1855" s="34">
        <v>0.0</v>
      </c>
      <c r="H1855" s="34">
        <v>0.0</v>
      </c>
      <c r="I1855" s="81">
        <v>5.0</v>
      </c>
      <c r="J1855" s="12"/>
      <c r="K1855" s="12">
        <f t="shared" si="95"/>
        <v>1250</v>
      </c>
      <c r="L1855" s="13" t="str">
        <f t="shared" si="96"/>
        <v>0 5-star + 0 RFC + 0 DME + 0 Patient Portal Login + 5 Completed Task</v>
      </c>
      <c r="M1855" s="13"/>
      <c r="N1855" s="13"/>
      <c r="O1855" s="14"/>
      <c r="P1855" s="14"/>
    </row>
    <row r="1856" hidden="1">
      <c r="A1856" s="88" t="s">
        <v>306</v>
      </c>
      <c r="B1856" s="7" t="s">
        <v>101</v>
      </c>
      <c r="C1856" s="16" t="s">
        <v>102</v>
      </c>
      <c r="D1856" s="16" t="s">
        <v>103</v>
      </c>
      <c r="E1856" s="34">
        <v>0.0</v>
      </c>
      <c r="F1856" s="34">
        <v>0.0</v>
      </c>
      <c r="G1856" s="34">
        <v>0.0</v>
      </c>
      <c r="H1856" s="81">
        <v>6.0</v>
      </c>
      <c r="I1856" s="81">
        <v>5.0</v>
      </c>
      <c r="J1856" s="12"/>
      <c r="K1856" s="12">
        <f t="shared" si="95"/>
        <v>2750</v>
      </c>
      <c r="L1856" s="13" t="str">
        <f t="shared" si="96"/>
        <v>0 5-star + 0 RFC + 0 DME + 6 Patient Portal Login + 5 Completed Task</v>
      </c>
      <c r="M1856" s="13"/>
      <c r="N1856" s="13"/>
      <c r="O1856" s="14"/>
      <c r="P1856" s="14"/>
    </row>
    <row r="1857" hidden="1">
      <c r="A1857" s="88" t="s">
        <v>306</v>
      </c>
      <c r="B1857" s="16" t="s">
        <v>271</v>
      </c>
      <c r="C1857" s="16" t="s">
        <v>272</v>
      </c>
      <c r="D1857" s="16" t="s">
        <v>273</v>
      </c>
      <c r="E1857" s="78"/>
      <c r="F1857" s="78"/>
      <c r="G1857" s="78"/>
      <c r="H1857" s="78"/>
      <c r="I1857" s="78"/>
      <c r="J1857" s="12"/>
      <c r="K1857" s="12">
        <f t="shared" si="95"/>
        <v>0</v>
      </c>
      <c r="L1857" s="13" t="str">
        <f t="shared" si="96"/>
        <v> 5-star +  RFC +  DME +  Patient Portal Login +  Completed Task</v>
      </c>
      <c r="M1857" s="13"/>
      <c r="N1857" s="13"/>
      <c r="O1857" s="14"/>
      <c r="P1857" s="14"/>
    </row>
    <row r="1858" hidden="1">
      <c r="A1858" s="88" t="s">
        <v>306</v>
      </c>
      <c r="B1858" s="16" t="s">
        <v>104</v>
      </c>
      <c r="C1858" s="16" t="s">
        <v>105</v>
      </c>
      <c r="D1858" s="16" t="s">
        <v>106</v>
      </c>
      <c r="E1858" s="34">
        <v>2.0</v>
      </c>
      <c r="F1858" s="81">
        <v>0.0</v>
      </c>
      <c r="G1858" s="34">
        <v>0.0</v>
      </c>
      <c r="H1858" s="81">
        <v>2.0</v>
      </c>
      <c r="I1858" s="81">
        <v>5.0</v>
      </c>
      <c r="J1858" s="12"/>
      <c r="K1858" s="12">
        <f t="shared" si="95"/>
        <v>2250</v>
      </c>
      <c r="L1858" s="13" t="str">
        <f t="shared" si="96"/>
        <v>2 5-star + 0 RFC + 0 DME + 2 Patient Portal Login + 5 Completed Task</v>
      </c>
      <c r="M1858" s="13"/>
      <c r="N1858" s="13"/>
      <c r="O1858" s="14"/>
      <c r="P1858" s="14"/>
    </row>
    <row r="1859" hidden="1">
      <c r="A1859" s="88" t="s">
        <v>306</v>
      </c>
      <c r="B1859" s="16" t="s">
        <v>107</v>
      </c>
      <c r="C1859" s="16" t="s">
        <v>108</v>
      </c>
      <c r="D1859" s="16" t="s">
        <v>109</v>
      </c>
      <c r="E1859" s="34">
        <v>0.0</v>
      </c>
      <c r="F1859" s="34">
        <v>3.0</v>
      </c>
      <c r="G1859" s="34">
        <v>0.0</v>
      </c>
      <c r="H1859" s="81">
        <v>3.0</v>
      </c>
      <c r="I1859" s="81">
        <v>5.0</v>
      </c>
      <c r="J1859" s="12"/>
      <c r="K1859" s="12">
        <f t="shared" si="95"/>
        <v>3500</v>
      </c>
      <c r="L1859" s="13" t="str">
        <f t="shared" si="96"/>
        <v>0 5-star + 3 RFC + 0 DME + 3 Patient Portal Login + 5 Completed Task</v>
      </c>
      <c r="M1859" s="13"/>
      <c r="N1859" s="13"/>
      <c r="O1859" s="14"/>
      <c r="P1859" s="14"/>
    </row>
    <row r="1860" hidden="1">
      <c r="A1860" s="88" t="s">
        <v>306</v>
      </c>
      <c r="B1860" s="16" t="s">
        <v>110</v>
      </c>
      <c r="C1860" s="16" t="s">
        <v>111</v>
      </c>
      <c r="D1860" s="16" t="s">
        <v>112</v>
      </c>
      <c r="E1860" s="81">
        <v>1.0</v>
      </c>
      <c r="F1860" s="34">
        <v>0.0</v>
      </c>
      <c r="G1860" s="34">
        <v>0.0</v>
      </c>
      <c r="H1860" s="81">
        <v>6.0</v>
      </c>
      <c r="I1860" s="81">
        <v>3.0</v>
      </c>
      <c r="J1860" s="12"/>
      <c r="K1860" s="12">
        <f t="shared" si="95"/>
        <v>2500</v>
      </c>
      <c r="L1860" s="13" t="str">
        <f t="shared" si="96"/>
        <v>1 5-star + 0 RFC + 0 DME + 6 Patient Portal Login + 3 Completed Task</v>
      </c>
      <c r="M1860" s="13"/>
      <c r="N1860" s="13"/>
      <c r="O1860" s="14"/>
      <c r="P1860" s="14"/>
    </row>
    <row r="1861" hidden="1">
      <c r="A1861" s="88" t="s">
        <v>306</v>
      </c>
      <c r="B1861" s="16" t="s">
        <v>113</v>
      </c>
      <c r="C1861" s="16" t="s">
        <v>114</v>
      </c>
      <c r="D1861" s="16" t="s">
        <v>115</v>
      </c>
      <c r="E1861" s="34">
        <v>0.0</v>
      </c>
      <c r="F1861" s="81">
        <v>2.0</v>
      </c>
      <c r="G1861" s="34">
        <v>0.0</v>
      </c>
      <c r="H1861" s="81">
        <v>0.0</v>
      </c>
      <c r="I1861" s="81">
        <v>3.0</v>
      </c>
      <c r="J1861" s="12"/>
      <c r="K1861" s="12">
        <f t="shared" si="95"/>
        <v>1750</v>
      </c>
      <c r="L1861" s="13" t="str">
        <f t="shared" si="96"/>
        <v>0 5-star + 2 RFC + 0 DME + 0 Patient Portal Login + 3 Completed Task</v>
      </c>
      <c r="M1861" s="13"/>
      <c r="N1861" s="13"/>
      <c r="O1861" s="14"/>
      <c r="P1861" s="14"/>
    </row>
    <row r="1862" hidden="1">
      <c r="A1862" s="88" t="s">
        <v>306</v>
      </c>
      <c r="B1862" s="7" t="s">
        <v>116</v>
      </c>
      <c r="C1862" s="16" t="s">
        <v>117</v>
      </c>
      <c r="D1862" s="16" t="s">
        <v>118</v>
      </c>
      <c r="E1862" s="34">
        <v>0.0</v>
      </c>
      <c r="F1862" s="81">
        <v>0.0</v>
      </c>
      <c r="G1862" s="34">
        <v>0.0</v>
      </c>
      <c r="H1862" s="81">
        <v>0.0</v>
      </c>
      <c r="I1862" s="81">
        <v>3.0</v>
      </c>
      <c r="J1862" s="12"/>
      <c r="K1862" s="12">
        <f t="shared" si="95"/>
        <v>750</v>
      </c>
      <c r="L1862" s="13" t="str">
        <f t="shared" si="96"/>
        <v>0 5-star + 0 RFC + 0 DME + 0 Patient Portal Login + 3 Completed Task</v>
      </c>
      <c r="M1862" s="13"/>
      <c r="N1862" s="13"/>
      <c r="O1862" s="14"/>
      <c r="P1862" s="14"/>
    </row>
    <row r="1863" hidden="1">
      <c r="A1863" s="88" t="s">
        <v>306</v>
      </c>
      <c r="B1863" s="16" t="s">
        <v>216</v>
      </c>
      <c r="C1863" s="16" t="s">
        <v>217</v>
      </c>
      <c r="D1863" s="16" t="s">
        <v>274</v>
      </c>
      <c r="E1863" s="78"/>
      <c r="F1863" s="78"/>
      <c r="G1863" s="78"/>
      <c r="H1863" s="78"/>
      <c r="I1863" s="78"/>
      <c r="J1863" s="12"/>
      <c r="K1863" s="12">
        <f t="shared" si="95"/>
        <v>0</v>
      </c>
      <c r="L1863" s="13" t="str">
        <f t="shared" si="96"/>
        <v> 5-star +  RFC +  DME +  Patient Portal Login +  Completed Task</v>
      </c>
      <c r="M1863" s="13"/>
      <c r="N1863" s="13"/>
      <c r="O1863" s="14"/>
      <c r="P1863" s="14"/>
    </row>
    <row r="1864" hidden="1">
      <c r="A1864" s="88" t="s">
        <v>306</v>
      </c>
      <c r="B1864" s="16" t="s">
        <v>119</v>
      </c>
      <c r="C1864" s="16" t="s">
        <v>120</v>
      </c>
      <c r="D1864" s="16" t="s">
        <v>121</v>
      </c>
      <c r="E1864" s="34">
        <v>0.0</v>
      </c>
      <c r="F1864" s="34">
        <v>0.0</v>
      </c>
      <c r="G1864" s="34">
        <v>0.0</v>
      </c>
      <c r="H1864" s="81">
        <v>4.0</v>
      </c>
      <c r="I1864" s="81">
        <v>3.0</v>
      </c>
      <c r="J1864" s="12"/>
      <c r="K1864" s="12">
        <f t="shared" si="95"/>
        <v>1750</v>
      </c>
      <c r="L1864" s="13" t="str">
        <f t="shared" si="96"/>
        <v>0 5-star + 0 RFC + 0 DME + 4 Patient Portal Login + 3 Completed Task</v>
      </c>
      <c r="M1864" s="13"/>
      <c r="N1864" s="13"/>
      <c r="O1864" s="14"/>
      <c r="P1864" s="14"/>
    </row>
    <row r="1865" hidden="1">
      <c r="A1865" s="88" t="s">
        <v>306</v>
      </c>
      <c r="B1865" s="16" t="s">
        <v>267</v>
      </c>
      <c r="C1865" s="16" t="s">
        <v>268</v>
      </c>
      <c r="D1865" s="16" t="s">
        <v>269</v>
      </c>
      <c r="E1865" s="34">
        <v>0.0</v>
      </c>
      <c r="F1865" s="81">
        <v>1.0</v>
      </c>
      <c r="G1865" s="34">
        <v>1.0</v>
      </c>
      <c r="H1865" s="81">
        <v>4.0</v>
      </c>
      <c r="I1865" s="81">
        <v>5.0</v>
      </c>
      <c r="J1865" s="12"/>
      <c r="K1865" s="12">
        <f t="shared" si="95"/>
        <v>3000</v>
      </c>
      <c r="L1865" s="13" t="str">
        <f t="shared" si="96"/>
        <v>0 5-star + 1 RFC + 1 DME + 4 Patient Portal Login + 5 Completed Task</v>
      </c>
      <c r="M1865" s="13"/>
      <c r="N1865" s="13"/>
      <c r="O1865" s="14"/>
      <c r="P1865" s="14"/>
    </row>
    <row r="1866" hidden="1">
      <c r="A1866" s="88" t="s">
        <v>306</v>
      </c>
      <c r="B1866" s="16" t="s">
        <v>275</v>
      </c>
      <c r="C1866" s="16" t="s">
        <v>276</v>
      </c>
      <c r="D1866" s="16" t="s">
        <v>277</v>
      </c>
      <c r="E1866" s="81">
        <v>0.0</v>
      </c>
      <c r="F1866" s="81">
        <v>1.0</v>
      </c>
      <c r="G1866" s="81">
        <v>0.0</v>
      </c>
      <c r="H1866" s="81">
        <v>4.0</v>
      </c>
      <c r="I1866" s="81">
        <v>5.0</v>
      </c>
      <c r="J1866" s="12"/>
      <c r="K1866" s="12">
        <f t="shared" si="95"/>
        <v>2750</v>
      </c>
      <c r="L1866" s="13" t="str">
        <f t="shared" si="96"/>
        <v>0 5-star + 1 RFC + 0 DME + 4 Patient Portal Login + 5 Completed Task</v>
      </c>
      <c r="M1866" s="13"/>
      <c r="N1866" s="13"/>
      <c r="O1866" s="14"/>
      <c r="P1866" s="14"/>
    </row>
    <row r="1867" hidden="1">
      <c r="A1867" s="88" t="s">
        <v>306</v>
      </c>
      <c r="B1867" s="16" t="s">
        <v>122</v>
      </c>
      <c r="C1867" s="16" t="s">
        <v>123</v>
      </c>
      <c r="D1867" s="16" t="s">
        <v>124</v>
      </c>
      <c r="E1867" s="34">
        <v>0.0</v>
      </c>
      <c r="F1867" s="34">
        <v>1.0</v>
      </c>
      <c r="G1867" s="81">
        <v>1.0</v>
      </c>
      <c r="H1867" s="81">
        <v>2.0</v>
      </c>
      <c r="I1867" s="81">
        <v>5.0</v>
      </c>
      <c r="J1867" s="12"/>
      <c r="K1867" s="12">
        <f t="shared" si="95"/>
        <v>2500</v>
      </c>
      <c r="L1867" s="13" t="str">
        <f t="shared" si="96"/>
        <v>0 5-star + 1 RFC + 1 DME + 2 Patient Portal Login + 5 Completed Task</v>
      </c>
      <c r="M1867" s="13"/>
      <c r="N1867" s="13"/>
      <c r="O1867" s="14"/>
      <c r="P1867" s="14"/>
    </row>
    <row r="1868" hidden="1">
      <c r="A1868" s="88" t="s">
        <v>306</v>
      </c>
      <c r="B1868" s="16" t="s">
        <v>125</v>
      </c>
      <c r="C1868" s="16" t="s">
        <v>126</v>
      </c>
      <c r="D1868" s="16" t="s">
        <v>127</v>
      </c>
      <c r="E1868" s="34">
        <v>0.0</v>
      </c>
      <c r="F1868" s="34">
        <v>0.0</v>
      </c>
      <c r="G1868" s="34">
        <v>0.0</v>
      </c>
      <c r="H1868" s="34">
        <v>1.0</v>
      </c>
      <c r="I1868" s="81">
        <v>5.0</v>
      </c>
      <c r="J1868" s="12"/>
      <c r="K1868" s="12">
        <f t="shared" si="95"/>
        <v>1500</v>
      </c>
      <c r="L1868" s="13" t="str">
        <f t="shared" si="96"/>
        <v>0 5-star + 0 RFC + 0 DME + 1 Patient Portal Login + 5 Completed Task</v>
      </c>
      <c r="M1868" s="13"/>
      <c r="N1868" s="13"/>
      <c r="O1868" s="14"/>
      <c r="P1868" s="14"/>
    </row>
    <row r="1869" hidden="1">
      <c r="A1869" s="88" t="s">
        <v>306</v>
      </c>
      <c r="B1869" s="16" t="s">
        <v>128</v>
      </c>
      <c r="C1869" s="16" t="s">
        <v>129</v>
      </c>
      <c r="D1869" s="16" t="s">
        <v>130</v>
      </c>
      <c r="E1869" s="81">
        <v>4.0</v>
      </c>
      <c r="F1869" s="34">
        <v>2.0</v>
      </c>
      <c r="G1869" s="34">
        <v>1.0</v>
      </c>
      <c r="H1869" s="81">
        <v>9.0</v>
      </c>
      <c r="I1869" s="81">
        <v>5.0</v>
      </c>
      <c r="J1869" s="12"/>
      <c r="K1869" s="12">
        <f t="shared" si="95"/>
        <v>5750</v>
      </c>
      <c r="L1869" s="13" t="str">
        <f t="shared" si="96"/>
        <v>4 5-star + 2 RFC + 1 DME + 9 Patient Portal Login + 5 Completed Task</v>
      </c>
      <c r="M1869" s="13"/>
      <c r="N1869" s="13"/>
      <c r="O1869" s="14"/>
      <c r="P1869" s="14"/>
    </row>
    <row r="1870" hidden="1">
      <c r="A1870" s="88" t="s">
        <v>306</v>
      </c>
      <c r="B1870" s="16" t="s">
        <v>131</v>
      </c>
      <c r="C1870" s="16" t="s">
        <v>132</v>
      </c>
      <c r="D1870" s="16" t="s">
        <v>133</v>
      </c>
      <c r="E1870" s="34">
        <v>1.0</v>
      </c>
      <c r="F1870" s="81">
        <v>3.0</v>
      </c>
      <c r="G1870" s="81">
        <v>0.0</v>
      </c>
      <c r="H1870" s="81">
        <v>5.0</v>
      </c>
      <c r="I1870" s="81">
        <v>5.0</v>
      </c>
      <c r="J1870" s="12"/>
      <c r="K1870" s="12">
        <f t="shared" si="95"/>
        <v>4250</v>
      </c>
      <c r="L1870" s="13" t="str">
        <f t="shared" si="96"/>
        <v>1 5-star + 3 RFC + 0 DME + 5 Patient Portal Login + 5 Completed Task</v>
      </c>
      <c r="M1870" s="13"/>
      <c r="N1870" s="13"/>
      <c r="O1870" s="14"/>
      <c r="P1870" s="14"/>
    </row>
    <row r="1871" hidden="1">
      <c r="A1871" s="88" t="s">
        <v>306</v>
      </c>
      <c r="B1871" s="16" t="s">
        <v>134</v>
      </c>
      <c r="C1871" s="16" t="s">
        <v>135</v>
      </c>
      <c r="D1871" s="16" t="s">
        <v>136</v>
      </c>
      <c r="E1871" s="34">
        <v>3.0</v>
      </c>
      <c r="F1871" s="81">
        <v>3.0</v>
      </c>
      <c r="G1871" s="34">
        <v>0.0</v>
      </c>
      <c r="H1871" s="81">
        <v>10.0</v>
      </c>
      <c r="I1871" s="81">
        <v>5.0</v>
      </c>
      <c r="J1871" s="12"/>
      <c r="K1871" s="12">
        <f t="shared" si="95"/>
        <v>6000</v>
      </c>
      <c r="L1871" s="13" t="str">
        <f t="shared" si="96"/>
        <v>3 5-star + 3 RFC + 0 DME + 10 Patient Portal Login + 5 Completed Task</v>
      </c>
      <c r="M1871" s="13"/>
      <c r="N1871" s="13"/>
      <c r="O1871" s="14"/>
      <c r="P1871" s="14"/>
    </row>
    <row r="1872" hidden="1">
      <c r="A1872" s="88" t="s">
        <v>306</v>
      </c>
      <c r="B1872" s="16" t="s">
        <v>137</v>
      </c>
      <c r="C1872" s="16" t="s">
        <v>138</v>
      </c>
      <c r="D1872" s="16" t="s">
        <v>139</v>
      </c>
      <c r="E1872" s="81">
        <v>0.0</v>
      </c>
      <c r="F1872" s="81">
        <v>7.0</v>
      </c>
      <c r="G1872" s="81">
        <v>0.0</v>
      </c>
      <c r="H1872" s="81">
        <v>5.0</v>
      </c>
      <c r="I1872" s="81">
        <v>5.0</v>
      </c>
      <c r="J1872" s="12"/>
      <c r="K1872" s="12">
        <f t="shared" si="95"/>
        <v>6000</v>
      </c>
      <c r="L1872" s="13" t="str">
        <f t="shared" si="96"/>
        <v>0 5-star + 7 RFC + 0 DME + 5 Patient Portal Login + 5 Completed Task</v>
      </c>
      <c r="M1872" s="13"/>
      <c r="N1872" s="13"/>
      <c r="O1872" s="14"/>
      <c r="P1872" s="14"/>
    </row>
    <row r="1873" hidden="1">
      <c r="A1873" s="88" t="s">
        <v>306</v>
      </c>
      <c r="B1873" s="16" t="s">
        <v>278</v>
      </c>
      <c r="C1873" s="16" t="s">
        <v>279</v>
      </c>
      <c r="D1873" s="16" t="s">
        <v>280</v>
      </c>
      <c r="E1873" s="34">
        <v>0.0</v>
      </c>
      <c r="F1873" s="34">
        <v>1.0</v>
      </c>
      <c r="G1873" s="81">
        <v>0.0</v>
      </c>
      <c r="H1873" s="34">
        <v>0.0</v>
      </c>
      <c r="I1873" s="81">
        <v>5.0</v>
      </c>
      <c r="J1873" s="12"/>
      <c r="K1873" s="12">
        <f t="shared" si="95"/>
        <v>1750</v>
      </c>
      <c r="L1873" s="13" t="str">
        <f t="shared" si="96"/>
        <v>0 5-star + 1 RFC + 0 DME + 0 Patient Portal Login + 5 Completed Task</v>
      </c>
      <c r="M1873" s="13"/>
      <c r="N1873" s="13"/>
      <c r="O1873" s="14"/>
      <c r="P1873" s="14"/>
    </row>
    <row r="1874" hidden="1">
      <c r="A1874" s="88" t="s">
        <v>306</v>
      </c>
      <c r="B1874" s="16" t="s">
        <v>140</v>
      </c>
      <c r="C1874" s="16" t="s">
        <v>141</v>
      </c>
      <c r="D1874" s="16" t="s">
        <v>142</v>
      </c>
      <c r="E1874" s="81">
        <v>4.0</v>
      </c>
      <c r="F1874" s="34">
        <v>0.0</v>
      </c>
      <c r="G1874" s="34">
        <v>0.0</v>
      </c>
      <c r="H1874" s="81">
        <v>4.0</v>
      </c>
      <c r="I1874" s="81">
        <v>4.0</v>
      </c>
      <c r="J1874" s="12"/>
      <c r="K1874" s="12">
        <f t="shared" si="95"/>
        <v>3000</v>
      </c>
      <c r="L1874" s="13" t="str">
        <f t="shared" si="96"/>
        <v>4 5-star + 0 RFC + 0 DME + 4 Patient Portal Login + 4 Completed Task</v>
      </c>
      <c r="M1874" s="13"/>
      <c r="N1874" s="13"/>
      <c r="O1874" s="14"/>
      <c r="P1874" s="14"/>
    </row>
    <row r="1875" hidden="1">
      <c r="A1875" s="88" t="s">
        <v>306</v>
      </c>
      <c r="B1875" s="16" t="s">
        <v>207</v>
      </c>
      <c r="C1875" s="16" t="s">
        <v>208</v>
      </c>
      <c r="D1875" s="16" t="s">
        <v>281</v>
      </c>
      <c r="E1875" s="78"/>
      <c r="F1875" s="78"/>
      <c r="G1875" s="78"/>
      <c r="H1875" s="78"/>
      <c r="I1875" s="78"/>
      <c r="J1875" s="12"/>
      <c r="K1875" s="12">
        <f t="shared" si="95"/>
        <v>0</v>
      </c>
      <c r="L1875" s="13" t="str">
        <f t="shared" si="96"/>
        <v> 5-star +  RFC +  DME +  Patient Portal Login +  Completed Task</v>
      </c>
      <c r="M1875" s="13"/>
      <c r="N1875" s="13"/>
      <c r="O1875" s="14"/>
      <c r="P1875" s="14"/>
    </row>
    <row r="1876" hidden="1">
      <c r="A1876" s="88" t="s">
        <v>306</v>
      </c>
      <c r="B1876" s="16" t="s">
        <v>282</v>
      </c>
      <c r="C1876" s="16" t="s">
        <v>283</v>
      </c>
      <c r="D1876" s="16" t="s">
        <v>284</v>
      </c>
      <c r="E1876" s="78"/>
      <c r="F1876" s="78"/>
      <c r="G1876" s="78"/>
      <c r="H1876" s="78"/>
      <c r="I1876" s="78"/>
      <c r="J1876" s="12"/>
      <c r="K1876" s="12">
        <f t="shared" si="95"/>
        <v>0</v>
      </c>
      <c r="L1876" s="13" t="str">
        <f t="shared" si="96"/>
        <v> 5-star +  RFC +  DME +  Patient Portal Login +  Completed Task</v>
      </c>
      <c r="M1876" s="13"/>
      <c r="N1876" s="13"/>
      <c r="O1876" s="14"/>
      <c r="P1876" s="14"/>
    </row>
    <row r="1877" hidden="1">
      <c r="A1877" s="88" t="s">
        <v>306</v>
      </c>
      <c r="B1877" s="16" t="s">
        <v>285</v>
      </c>
      <c r="C1877" s="16" t="s">
        <v>286</v>
      </c>
      <c r="D1877" s="16" t="s">
        <v>287</v>
      </c>
      <c r="E1877" s="78"/>
      <c r="F1877" s="78"/>
      <c r="G1877" s="78"/>
      <c r="H1877" s="78"/>
      <c r="I1877" s="78"/>
      <c r="J1877" s="12"/>
      <c r="K1877" s="12">
        <f t="shared" si="95"/>
        <v>0</v>
      </c>
      <c r="L1877" s="13" t="str">
        <f t="shared" si="96"/>
        <v> 5-star +  RFC +  DME +  Patient Portal Login +  Completed Task</v>
      </c>
      <c r="M1877" s="13"/>
      <c r="N1877" s="13"/>
      <c r="O1877" s="14"/>
      <c r="P1877" s="14"/>
    </row>
    <row r="1878" hidden="1">
      <c r="A1878" s="88" t="s">
        <v>306</v>
      </c>
      <c r="B1878" s="16" t="s">
        <v>143</v>
      </c>
      <c r="C1878" s="16" t="s">
        <v>144</v>
      </c>
      <c r="D1878" s="16" t="s">
        <v>145</v>
      </c>
      <c r="E1878" s="34">
        <v>1.0</v>
      </c>
      <c r="F1878" s="81">
        <v>0.0</v>
      </c>
      <c r="G1878" s="81">
        <v>0.0</v>
      </c>
      <c r="H1878" s="81">
        <v>7.0</v>
      </c>
      <c r="I1878" s="81">
        <v>5.0</v>
      </c>
      <c r="J1878" s="12"/>
      <c r="K1878" s="12">
        <f t="shared" si="95"/>
        <v>3250</v>
      </c>
      <c r="L1878" s="13" t="str">
        <f t="shared" si="96"/>
        <v>1 5-star + 0 RFC + 0 DME + 7 Patient Portal Login + 5 Completed Task</v>
      </c>
      <c r="M1878" s="13"/>
      <c r="N1878" s="13"/>
      <c r="O1878" s="14"/>
      <c r="P1878" s="14"/>
    </row>
    <row r="1879" hidden="1">
      <c r="A1879" s="88" t="s">
        <v>306</v>
      </c>
      <c r="B1879" s="16" t="s">
        <v>146</v>
      </c>
      <c r="C1879" s="16" t="s">
        <v>147</v>
      </c>
      <c r="D1879" s="16" t="s">
        <v>148</v>
      </c>
      <c r="E1879" s="34">
        <v>0.0</v>
      </c>
      <c r="F1879" s="81">
        <v>0.0</v>
      </c>
      <c r="G1879" s="34">
        <v>0.0</v>
      </c>
      <c r="H1879" s="81">
        <v>7.0</v>
      </c>
      <c r="I1879" s="81">
        <v>5.0</v>
      </c>
      <c r="J1879" s="12"/>
      <c r="K1879" s="12">
        <f t="shared" si="95"/>
        <v>3000</v>
      </c>
      <c r="L1879" s="13" t="str">
        <f t="shared" si="96"/>
        <v>0 5-star + 0 RFC + 0 DME + 7 Patient Portal Login + 5 Completed Task</v>
      </c>
      <c r="M1879" s="13"/>
      <c r="N1879" s="13"/>
      <c r="O1879" s="14"/>
      <c r="P1879" s="14"/>
    </row>
    <row r="1880" hidden="1">
      <c r="A1880" s="88" t="s">
        <v>306</v>
      </c>
      <c r="B1880" s="16" t="s">
        <v>245</v>
      </c>
      <c r="C1880" s="16" t="s">
        <v>246</v>
      </c>
      <c r="D1880" s="16" t="s">
        <v>247</v>
      </c>
      <c r="E1880" s="81">
        <v>1.0</v>
      </c>
      <c r="F1880" s="81">
        <v>0.0</v>
      </c>
      <c r="G1880" s="81">
        <v>0.0</v>
      </c>
      <c r="H1880" s="81">
        <v>5.0</v>
      </c>
      <c r="I1880" s="81">
        <v>5.0</v>
      </c>
      <c r="J1880" s="12"/>
      <c r="K1880" s="12">
        <f t="shared" si="95"/>
        <v>2750</v>
      </c>
      <c r="L1880" s="13" t="str">
        <f t="shared" si="96"/>
        <v>1 5-star + 0 RFC + 0 DME + 5 Patient Portal Login + 5 Completed Task</v>
      </c>
      <c r="M1880" s="13"/>
      <c r="N1880" s="13"/>
      <c r="O1880" s="14"/>
      <c r="P1880" s="14"/>
    </row>
    <row r="1881" hidden="1">
      <c r="A1881" s="88" t="s">
        <v>306</v>
      </c>
      <c r="B1881" s="16" t="s">
        <v>210</v>
      </c>
      <c r="C1881" s="16" t="s">
        <v>211</v>
      </c>
      <c r="D1881" s="16" t="s">
        <v>212</v>
      </c>
      <c r="E1881" s="78"/>
      <c r="F1881" s="78"/>
      <c r="G1881" s="78"/>
      <c r="H1881" s="78"/>
      <c r="I1881" s="78"/>
      <c r="J1881" s="12"/>
      <c r="K1881" s="12">
        <f t="shared" si="95"/>
        <v>0</v>
      </c>
      <c r="L1881" s="13" t="str">
        <f t="shared" si="96"/>
        <v> 5-star +  RFC +  DME +  Patient Portal Login +  Completed Task</v>
      </c>
      <c r="M1881" s="13"/>
      <c r="N1881" s="13"/>
      <c r="O1881" s="14"/>
      <c r="P1881" s="14"/>
    </row>
    <row r="1882" hidden="1">
      <c r="A1882" s="88" t="s">
        <v>306</v>
      </c>
      <c r="B1882" s="16" t="s">
        <v>149</v>
      </c>
      <c r="C1882" s="16" t="s">
        <v>150</v>
      </c>
      <c r="D1882" s="16" t="s">
        <v>151</v>
      </c>
      <c r="E1882" s="34">
        <v>2.0</v>
      </c>
      <c r="F1882" s="34">
        <v>0.0</v>
      </c>
      <c r="G1882" s="81">
        <v>1.0</v>
      </c>
      <c r="H1882" s="81">
        <v>1.0</v>
      </c>
      <c r="I1882" s="81">
        <v>3.0</v>
      </c>
      <c r="J1882" s="12"/>
      <c r="K1882" s="12">
        <f t="shared" si="95"/>
        <v>1750</v>
      </c>
      <c r="L1882" s="13" t="str">
        <f t="shared" si="96"/>
        <v>2 5-star + 0 RFC + 1 DME + 1 Patient Portal Login + 3 Completed Task</v>
      </c>
      <c r="M1882" s="13"/>
      <c r="N1882" s="13"/>
      <c r="O1882" s="14"/>
      <c r="P1882" s="14"/>
    </row>
    <row r="1883" hidden="1">
      <c r="A1883" s="88" t="s">
        <v>306</v>
      </c>
      <c r="B1883" s="16" t="s">
        <v>288</v>
      </c>
      <c r="C1883" s="16" t="s">
        <v>289</v>
      </c>
      <c r="D1883" s="16" t="s">
        <v>290</v>
      </c>
      <c r="E1883" s="34">
        <v>0.0</v>
      </c>
      <c r="F1883" s="81">
        <v>1.0</v>
      </c>
      <c r="G1883" s="34">
        <v>0.0</v>
      </c>
      <c r="H1883" s="34">
        <v>0.0</v>
      </c>
      <c r="I1883" s="81">
        <v>4.0</v>
      </c>
      <c r="J1883" s="12"/>
      <c r="K1883" s="12">
        <f t="shared" si="95"/>
        <v>1500</v>
      </c>
      <c r="L1883" s="13" t="str">
        <f t="shared" si="96"/>
        <v>0 5-star + 1 RFC + 0 DME + 0 Patient Portal Login + 4 Completed Task</v>
      </c>
      <c r="M1883" s="13"/>
      <c r="N1883" s="13"/>
      <c r="O1883" s="14"/>
      <c r="P1883" s="14"/>
    </row>
    <row r="1884" hidden="1">
      <c r="A1884" s="88" t="s">
        <v>306</v>
      </c>
      <c r="B1884" s="16" t="s">
        <v>152</v>
      </c>
      <c r="C1884" s="16" t="s">
        <v>153</v>
      </c>
      <c r="D1884" s="16" t="s">
        <v>154</v>
      </c>
      <c r="E1884" s="81">
        <v>2.0</v>
      </c>
      <c r="F1884" s="81">
        <v>3.0</v>
      </c>
      <c r="G1884" s="81">
        <v>1.0</v>
      </c>
      <c r="H1884" s="81">
        <v>3.0</v>
      </c>
      <c r="I1884" s="81">
        <v>5.0</v>
      </c>
      <c r="J1884" s="12"/>
      <c r="K1884" s="12">
        <f t="shared" si="95"/>
        <v>4250</v>
      </c>
      <c r="L1884" s="13" t="str">
        <f t="shared" si="96"/>
        <v>2 5-star + 3 RFC + 1 DME + 3 Patient Portal Login + 5 Completed Task</v>
      </c>
      <c r="M1884" s="13"/>
      <c r="N1884" s="13"/>
      <c r="O1884" s="14"/>
      <c r="P1884" s="14"/>
    </row>
    <row r="1885" hidden="1">
      <c r="A1885" s="88" t="s">
        <v>306</v>
      </c>
      <c r="B1885" s="16" t="s">
        <v>155</v>
      </c>
      <c r="C1885" s="16" t="s">
        <v>156</v>
      </c>
      <c r="D1885" s="16" t="s">
        <v>157</v>
      </c>
      <c r="E1885" s="81">
        <v>0.0</v>
      </c>
      <c r="F1885" s="81">
        <v>2.0</v>
      </c>
      <c r="G1885" s="34">
        <v>0.0</v>
      </c>
      <c r="H1885" s="81">
        <v>4.0</v>
      </c>
      <c r="I1885" s="81">
        <v>4.0</v>
      </c>
      <c r="J1885" s="12"/>
      <c r="K1885" s="12">
        <f t="shared" si="95"/>
        <v>3000</v>
      </c>
      <c r="L1885" s="13" t="str">
        <f t="shared" si="96"/>
        <v>0 5-star + 2 RFC + 0 DME + 4 Patient Portal Login + 4 Completed Task</v>
      </c>
      <c r="M1885" s="13"/>
      <c r="N1885" s="13"/>
      <c r="O1885" s="14"/>
      <c r="P1885" s="14"/>
    </row>
    <row r="1886" hidden="1">
      <c r="A1886" s="88" t="s">
        <v>306</v>
      </c>
      <c r="B1886" s="16" t="s">
        <v>158</v>
      </c>
      <c r="C1886" s="16" t="s">
        <v>159</v>
      </c>
      <c r="D1886" s="16" t="s">
        <v>160</v>
      </c>
      <c r="E1886" s="81">
        <v>0.0</v>
      </c>
      <c r="F1886" s="34">
        <v>0.0</v>
      </c>
      <c r="G1886" s="34">
        <v>1.0</v>
      </c>
      <c r="H1886" s="81">
        <v>0.0</v>
      </c>
      <c r="I1886" s="81">
        <v>3.0</v>
      </c>
      <c r="J1886" s="12"/>
      <c r="K1886" s="12">
        <f t="shared" si="95"/>
        <v>1000</v>
      </c>
      <c r="L1886" s="13" t="str">
        <f t="shared" si="96"/>
        <v>0 5-star + 0 RFC + 1 DME + 0 Patient Portal Login + 3 Completed Task</v>
      </c>
      <c r="M1886" s="13"/>
      <c r="N1886" s="13"/>
      <c r="O1886" s="14"/>
      <c r="P1886" s="14"/>
    </row>
    <row r="1887" hidden="1">
      <c r="A1887" s="88" t="s">
        <v>306</v>
      </c>
      <c r="B1887" s="20" t="s">
        <v>161</v>
      </c>
      <c r="C1887" s="20" t="s">
        <v>162</v>
      </c>
      <c r="D1887" s="20" t="s">
        <v>163</v>
      </c>
      <c r="E1887" s="34">
        <v>0.0</v>
      </c>
      <c r="F1887" s="34">
        <v>2.0</v>
      </c>
      <c r="G1887" s="81">
        <v>0.0</v>
      </c>
      <c r="H1887" s="34">
        <v>1.0</v>
      </c>
      <c r="I1887" s="81">
        <v>5.0</v>
      </c>
      <c r="J1887" s="12"/>
      <c r="K1887" s="12">
        <f t="shared" si="95"/>
        <v>2500</v>
      </c>
      <c r="L1887" s="13" t="str">
        <f t="shared" si="96"/>
        <v>0 5-star + 2 RFC + 0 DME + 1 Patient Portal Login + 5 Completed Task</v>
      </c>
      <c r="M1887" s="13"/>
      <c r="N1887" s="13"/>
      <c r="O1887" s="14"/>
      <c r="P1887" s="14"/>
    </row>
    <row r="1888" hidden="1">
      <c r="A1888" s="88" t="s">
        <v>306</v>
      </c>
      <c r="B1888" s="20" t="s">
        <v>164</v>
      </c>
      <c r="C1888" s="20" t="s">
        <v>165</v>
      </c>
      <c r="D1888" s="20" t="s">
        <v>166</v>
      </c>
      <c r="E1888" s="81">
        <v>0.0</v>
      </c>
      <c r="F1888" s="81">
        <v>1.0</v>
      </c>
      <c r="G1888" s="34">
        <v>0.0</v>
      </c>
      <c r="H1888" s="81">
        <v>0.0</v>
      </c>
      <c r="I1888" s="81">
        <v>5.0</v>
      </c>
      <c r="J1888" s="12"/>
      <c r="K1888" s="12">
        <f t="shared" si="95"/>
        <v>1750</v>
      </c>
      <c r="L1888" s="13" t="str">
        <f t="shared" si="96"/>
        <v>0 5-star + 1 RFC + 0 DME + 0 Patient Portal Login + 5 Completed Task</v>
      </c>
      <c r="M1888" s="13"/>
      <c r="N1888" s="13"/>
      <c r="O1888" s="14"/>
      <c r="P1888" s="14"/>
    </row>
    <row r="1889" hidden="1">
      <c r="A1889" s="88" t="s">
        <v>306</v>
      </c>
      <c r="B1889" s="20" t="s">
        <v>167</v>
      </c>
      <c r="C1889" s="20" t="s">
        <v>168</v>
      </c>
      <c r="D1889" s="20" t="s">
        <v>169</v>
      </c>
      <c r="E1889" s="34">
        <v>0.0</v>
      </c>
      <c r="F1889" s="81">
        <v>4.0</v>
      </c>
      <c r="G1889" s="81">
        <v>4.0</v>
      </c>
      <c r="H1889" s="81">
        <v>2.0</v>
      </c>
      <c r="I1889" s="81">
        <v>5.0</v>
      </c>
      <c r="J1889" s="12"/>
      <c r="K1889" s="12">
        <f t="shared" si="95"/>
        <v>4750</v>
      </c>
      <c r="L1889" s="13" t="str">
        <f t="shared" si="96"/>
        <v>0 5-star + 4 RFC + 4 DME + 2 Patient Portal Login + 5 Completed Task</v>
      </c>
      <c r="M1889" s="13"/>
      <c r="N1889" s="13"/>
      <c r="O1889" s="14"/>
      <c r="P1889" s="14"/>
    </row>
    <row r="1890" hidden="1">
      <c r="A1890" s="88" t="s">
        <v>306</v>
      </c>
      <c r="B1890" s="20" t="s">
        <v>170</v>
      </c>
      <c r="C1890" s="20" t="s">
        <v>171</v>
      </c>
      <c r="D1890" s="20" t="s">
        <v>172</v>
      </c>
      <c r="E1890" s="81">
        <v>0.0</v>
      </c>
      <c r="F1890" s="81">
        <v>2.0</v>
      </c>
      <c r="G1890" s="34">
        <v>0.0</v>
      </c>
      <c r="H1890" s="81">
        <v>8.0</v>
      </c>
      <c r="I1890" s="81">
        <v>5.0</v>
      </c>
      <c r="J1890" s="12"/>
      <c r="K1890" s="12">
        <f t="shared" si="95"/>
        <v>4250</v>
      </c>
      <c r="L1890" s="13" t="str">
        <f t="shared" si="96"/>
        <v>0 5-star + 2 RFC + 0 DME + 8 Patient Portal Login + 5 Completed Task</v>
      </c>
      <c r="M1890" s="13"/>
      <c r="N1890" s="13"/>
      <c r="O1890" s="14"/>
      <c r="P1890" s="14"/>
    </row>
    <row r="1891" hidden="1">
      <c r="A1891" s="88" t="s">
        <v>306</v>
      </c>
      <c r="B1891" s="16" t="s">
        <v>173</v>
      </c>
      <c r="C1891" s="16" t="s">
        <v>174</v>
      </c>
      <c r="D1891" s="16" t="s">
        <v>175</v>
      </c>
      <c r="E1891" s="81">
        <v>0.0</v>
      </c>
      <c r="F1891" s="81">
        <v>4.0</v>
      </c>
      <c r="G1891" s="34">
        <v>0.0</v>
      </c>
      <c r="H1891" s="81">
        <v>9.0</v>
      </c>
      <c r="I1891" s="81">
        <v>4.0</v>
      </c>
      <c r="J1891" s="12"/>
      <c r="K1891" s="12">
        <f t="shared" si="95"/>
        <v>5250</v>
      </c>
      <c r="L1891" s="13" t="str">
        <f t="shared" si="96"/>
        <v>0 5-star + 4 RFC + 0 DME + 9 Patient Portal Login + 4 Completed Task</v>
      </c>
      <c r="M1891" s="13"/>
      <c r="N1891" s="13"/>
      <c r="O1891" s="14"/>
      <c r="P1891" s="14"/>
    </row>
    <row r="1892" hidden="1">
      <c r="A1892" s="88" t="s">
        <v>306</v>
      </c>
      <c r="B1892" s="16" t="s">
        <v>176</v>
      </c>
      <c r="C1892" s="16" t="s">
        <v>177</v>
      </c>
      <c r="D1892" s="16" t="s">
        <v>178</v>
      </c>
      <c r="E1892" s="34">
        <v>0.0</v>
      </c>
      <c r="F1892" s="81">
        <v>2.0</v>
      </c>
      <c r="G1892" s="81">
        <v>0.0</v>
      </c>
      <c r="H1892" s="81">
        <v>3.0</v>
      </c>
      <c r="I1892" s="81">
        <v>5.0</v>
      </c>
      <c r="J1892" s="12"/>
      <c r="K1892" s="12">
        <f t="shared" si="95"/>
        <v>3000</v>
      </c>
      <c r="L1892" s="13" t="str">
        <f t="shared" si="96"/>
        <v>0 5-star + 2 RFC + 0 DME + 3 Patient Portal Login + 5 Completed Task</v>
      </c>
      <c r="M1892" s="13"/>
      <c r="N1892" s="13"/>
      <c r="O1892" s="14"/>
      <c r="P1892" s="14"/>
    </row>
    <row r="1893" hidden="1">
      <c r="A1893" s="88" t="s">
        <v>306</v>
      </c>
      <c r="B1893" s="21" t="s">
        <v>291</v>
      </c>
      <c r="C1893" s="21" t="s">
        <v>292</v>
      </c>
      <c r="D1893" s="21" t="s">
        <v>293</v>
      </c>
      <c r="E1893" s="34">
        <v>3.0</v>
      </c>
      <c r="F1893" s="81">
        <v>1.0</v>
      </c>
      <c r="G1893" s="84">
        <v>0.0</v>
      </c>
      <c r="H1893" s="84">
        <v>12.0</v>
      </c>
      <c r="I1893" s="84">
        <v>4.0</v>
      </c>
      <c r="J1893" s="12"/>
      <c r="K1893" s="12">
        <f t="shared" si="95"/>
        <v>5250</v>
      </c>
      <c r="L1893" s="13" t="str">
        <f t="shared" si="96"/>
        <v>3 5-star + 1 RFC + 0 DME + 12 Patient Portal Login + 4 Completed Task</v>
      </c>
      <c r="M1893" s="13"/>
      <c r="N1893" s="13"/>
      <c r="O1893" s="23"/>
      <c r="P1893" s="23"/>
    </row>
    <row r="1894" hidden="1">
      <c r="A1894" s="88" t="s">
        <v>306</v>
      </c>
      <c r="B1894" s="21" t="s">
        <v>294</v>
      </c>
      <c r="C1894" s="21" t="s">
        <v>295</v>
      </c>
      <c r="D1894" s="21" t="s">
        <v>296</v>
      </c>
      <c r="E1894" s="81">
        <v>1.0</v>
      </c>
      <c r="F1894" s="34">
        <v>0.0</v>
      </c>
      <c r="G1894" s="88">
        <v>0.0</v>
      </c>
      <c r="H1894" s="88">
        <v>0.0</v>
      </c>
      <c r="I1894" s="84">
        <v>4.0</v>
      </c>
      <c r="J1894" s="12"/>
      <c r="K1894" s="12">
        <f t="shared" si="95"/>
        <v>1250</v>
      </c>
      <c r="L1894" s="13" t="str">
        <f t="shared" si="96"/>
        <v>1 5-star + 0 RFC + 0 DME + 0 Patient Portal Login + 4 Completed Task</v>
      </c>
      <c r="M1894" s="13"/>
      <c r="N1894" s="13"/>
      <c r="O1894" s="23"/>
      <c r="P1894" s="23"/>
    </row>
    <row r="1895" hidden="1">
      <c r="A1895" s="88" t="s">
        <v>306</v>
      </c>
      <c r="B1895" s="21" t="s">
        <v>179</v>
      </c>
      <c r="C1895" s="21" t="s">
        <v>180</v>
      </c>
      <c r="D1895" s="21" t="s">
        <v>181</v>
      </c>
      <c r="E1895" s="81">
        <v>1.0</v>
      </c>
      <c r="F1895" s="81">
        <v>1.0</v>
      </c>
      <c r="G1895" s="88">
        <v>7.0</v>
      </c>
      <c r="H1895" s="84">
        <v>18.0</v>
      </c>
      <c r="I1895" s="84">
        <v>4.0</v>
      </c>
      <c r="J1895" s="12"/>
      <c r="K1895" s="12">
        <f t="shared" si="95"/>
        <v>8000</v>
      </c>
      <c r="L1895" s="13" t="str">
        <f t="shared" si="96"/>
        <v>1 5-star + 1 RFC + 7 DME + 18 Patient Portal Login + 4 Completed Task</v>
      </c>
      <c r="M1895" s="13"/>
      <c r="N1895" s="13"/>
      <c r="O1895" s="23"/>
      <c r="P1895" s="23"/>
    </row>
    <row r="1896" hidden="1">
      <c r="A1896" s="88" t="s">
        <v>306</v>
      </c>
      <c r="B1896" s="21" t="s">
        <v>182</v>
      </c>
      <c r="C1896" s="21" t="s">
        <v>183</v>
      </c>
      <c r="D1896" s="21" t="s">
        <v>184</v>
      </c>
      <c r="E1896" s="81">
        <v>0.0</v>
      </c>
      <c r="F1896" s="34">
        <v>0.0</v>
      </c>
      <c r="G1896" s="88">
        <v>0.0</v>
      </c>
      <c r="H1896" s="84">
        <v>5.0</v>
      </c>
      <c r="I1896" s="84">
        <v>3.0</v>
      </c>
      <c r="J1896" s="12"/>
      <c r="K1896" s="12">
        <f t="shared" si="95"/>
        <v>2000</v>
      </c>
      <c r="L1896" s="13" t="str">
        <f t="shared" si="96"/>
        <v>0 5-star + 0 RFC + 0 DME + 5 Patient Portal Login + 3 Completed Task</v>
      </c>
      <c r="M1896" s="13"/>
      <c r="N1896" s="13"/>
      <c r="O1896" s="23"/>
      <c r="P1896" s="23"/>
    </row>
    <row r="1897" hidden="1">
      <c r="A1897" s="88" t="s">
        <v>306</v>
      </c>
      <c r="B1897" s="21" t="s">
        <v>185</v>
      </c>
      <c r="C1897" s="21" t="s">
        <v>186</v>
      </c>
      <c r="D1897" s="21" t="s">
        <v>187</v>
      </c>
      <c r="E1897" s="34">
        <v>0.0</v>
      </c>
      <c r="F1897" s="34">
        <v>3.0</v>
      </c>
      <c r="G1897" s="88">
        <v>0.0</v>
      </c>
      <c r="H1897" s="88">
        <v>3.0</v>
      </c>
      <c r="I1897" s="88">
        <v>4.0</v>
      </c>
      <c r="J1897" s="12"/>
      <c r="K1897" s="12">
        <f t="shared" si="95"/>
        <v>3250</v>
      </c>
      <c r="L1897" s="13" t="str">
        <f t="shared" si="96"/>
        <v>0 5-star + 3 RFC + 0 DME + 3 Patient Portal Login + 4 Completed Task</v>
      </c>
      <c r="M1897" s="13"/>
      <c r="N1897" s="13"/>
      <c r="O1897" s="23"/>
      <c r="P1897" s="23"/>
    </row>
    <row r="1898" hidden="1">
      <c r="A1898" s="88" t="s">
        <v>306</v>
      </c>
      <c r="B1898" s="21" t="s">
        <v>188</v>
      </c>
      <c r="C1898" s="21" t="s">
        <v>189</v>
      </c>
      <c r="D1898" s="21" t="s">
        <v>190</v>
      </c>
      <c r="E1898" s="81">
        <v>0.0</v>
      </c>
      <c r="F1898" s="81">
        <v>3.0</v>
      </c>
      <c r="G1898" s="88">
        <v>0.0</v>
      </c>
      <c r="H1898" s="84">
        <v>4.0</v>
      </c>
      <c r="I1898" s="84">
        <v>4.0</v>
      </c>
      <c r="J1898" s="12"/>
      <c r="K1898" s="12">
        <f t="shared" si="95"/>
        <v>3500</v>
      </c>
      <c r="L1898" s="13" t="str">
        <f t="shared" si="96"/>
        <v>0 5-star + 3 RFC + 0 DME + 4 Patient Portal Login + 4 Completed Task</v>
      </c>
      <c r="M1898" s="13"/>
      <c r="N1898" s="13"/>
      <c r="O1898" s="23"/>
      <c r="P1898" s="23"/>
    </row>
    <row r="1899" hidden="1">
      <c r="A1899" s="88" t="s">
        <v>306</v>
      </c>
      <c r="B1899" s="61" t="s">
        <v>258</v>
      </c>
      <c r="C1899" s="21" t="s">
        <v>259</v>
      </c>
      <c r="D1899" s="21" t="s">
        <v>260</v>
      </c>
      <c r="E1899" s="81">
        <v>5.0</v>
      </c>
      <c r="F1899" s="34">
        <v>1.0</v>
      </c>
      <c r="G1899" s="84">
        <v>0.0</v>
      </c>
      <c r="H1899" s="84">
        <v>2.0</v>
      </c>
      <c r="I1899" s="84">
        <v>5.0</v>
      </c>
      <c r="J1899" s="12"/>
      <c r="K1899" s="12">
        <f t="shared" si="95"/>
        <v>3500</v>
      </c>
      <c r="L1899" s="13" t="str">
        <f t="shared" si="96"/>
        <v>5 5-star + 1 RFC + 0 DME + 2 Patient Portal Login + 5 Completed Task</v>
      </c>
      <c r="M1899" s="13"/>
      <c r="N1899" s="13"/>
      <c r="O1899" s="23"/>
      <c r="P1899" s="23"/>
    </row>
    <row r="1900" hidden="1">
      <c r="A1900" s="88" t="s">
        <v>306</v>
      </c>
      <c r="B1900" s="21" t="s">
        <v>262</v>
      </c>
      <c r="C1900" s="21" t="s">
        <v>263</v>
      </c>
      <c r="D1900" s="21" t="s">
        <v>264</v>
      </c>
      <c r="E1900" s="81">
        <v>25.0</v>
      </c>
      <c r="F1900" s="34">
        <v>3.0</v>
      </c>
      <c r="G1900" s="84">
        <v>0.0</v>
      </c>
      <c r="H1900" s="84">
        <v>10.0</v>
      </c>
      <c r="I1900" s="84">
        <v>5.0</v>
      </c>
      <c r="J1900" s="12"/>
      <c r="K1900" s="12">
        <f t="shared" si="95"/>
        <v>11500</v>
      </c>
      <c r="L1900" s="13" t="str">
        <f t="shared" si="96"/>
        <v>25 5-star + 3 RFC + 0 DME + 10 Patient Portal Login + 5 Completed Task</v>
      </c>
      <c r="M1900" s="13"/>
      <c r="N1900" s="13"/>
      <c r="O1900" s="23"/>
      <c r="P1900" s="23"/>
    </row>
    <row r="1901" hidden="1">
      <c r="A1901" s="88" t="s">
        <v>306</v>
      </c>
      <c r="B1901" s="21" t="s">
        <v>191</v>
      </c>
      <c r="C1901" s="21" t="s">
        <v>192</v>
      </c>
      <c r="D1901" s="21" t="s">
        <v>193</v>
      </c>
      <c r="E1901" s="81">
        <v>2.0</v>
      </c>
      <c r="F1901" s="81">
        <v>0.0</v>
      </c>
      <c r="G1901" s="88">
        <v>0.0</v>
      </c>
      <c r="H1901" s="84">
        <v>14.0</v>
      </c>
      <c r="I1901" s="84">
        <v>5.0</v>
      </c>
      <c r="J1901" s="12"/>
      <c r="K1901" s="12">
        <f t="shared" si="95"/>
        <v>5250</v>
      </c>
      <c r="L1901" s="13" t="str">
        <f t="shared" si="96"/>
        <v>2 5-star + 0 RFC + 0 DME + 14 Patient Portal Login + 5 Completed Task</v>
      </c>
      <c r="M1901" s="13"/>
      <c r="N1901" s="13"/>
      <c r="O1901" s="23"/>
      <c r="P1901" s="23"/>
    </row>
    <row r="1902" hidden="1">
      <c r="A1902" s="88" t="s">
        <v>306</v>
      </c>
      <c r="B1902" s="21" t="s">
        <v>194</v>
      </c>
      <c r="C1902" s="21" t="s">
        <v>195</v>
      </c>
      <c r="D1902" s="21" t="s">
        <v>196</v>
      </c>
      <c r="E1902" s="81">
        <v>2.0</v>
      </c>
      <c r="F1902" s="81">
        <v>3.0</v>
      </c>
      <c r="G1902" s="84">
        <v>0.0</v>
      </c>
      <c r="H1902" s="84">
        <v>12.0</v>
      </c>
      <c r="I1902" s="84">
        <v>5.0</v>
      </c>
      <c r="J1902" s="12"/>
      <c r="K1902" s="12">
        <f t="shared" si="95"/>
        <v>6250</v>
      </c>
      <c r="L1902" s="13" t="str">
        <f t="shared" si="96"/>
        <v>2 5-star + 3 RFC + 0 DME + 12 Patient Portal Login + 5 Completed Task</v>
      </c>
      <c r="M1902" s="13"/>
      <c r="N1902" s="13"/>
      <c r="O1902" s="23"/>
      <c r="P1902" s="23"/>
    </row>
    <row r="1903" hidden="1">
      <c r="A1903" s="88" t="s">
        <v>306</v>
      </c>
      <c r="B1903" s="21" t="s">
        <v>303</v>
      </c>
      <c r="C1903" s="21" t="s">
        <v>304</v>
      </c>
      <c r="D1903" s="21" t="s">
        <v>305</v>
      </c>
      <c r="E1903" s="81">
        <v>0.0</v>
      </c>
      <c r="F1903" s="34">
        <v>1.0</v>
      </c>
      <c r="G1903" s="88">
        <v>0.0</v>
      </c>
      <c r="H1903" s="84">
        <v>0.0</v>
      </c>
      <c r="I1903" s="84">
        <v>1.0</v>
      </c>
      <c r="J1903" s="12"/>
      <c r="K1903" s="12">
        <f t="shared" si="95"/>
        <v>750</v>
      </c>
      <c r="L1903" s="13" t="str">
        <f t="shared" si="96"/>
        <v>0 5-star + 1 RFC + 0 DME + 0 Patient Portal Login + 1 Completed Task</v>
      </c>
      <c r="M1903" s="13"/>
      <c r="N1903" s="13"/>
      <c r="O1903" s="23"/>
      <c r="P1903" s="23"/>
    </row>
    <row r="1904" hidden="1">
      <c r="A1904" s="88" t="s">
        <v>306</v>
      </c>
      <c r="B1904" s="21" t="s">
        <v>197</v>
      </c>
      <c r="C1904" s="21" t="s">
        <v>198</v>
      </c>
      <c r="D1904" s="21" t="s">
        <v>199</v>
      </c>
      <c r="E1904" s="81">
        <v>0.0</v>
      </c>
      <c r="F1904" s="34">
        <v>0.0</v>
      </c>
      <c r="G1904" s="88">
        <v>0.0</v>
      </c>
      <c r="H1904" s="84">
        <v>4.0</v>
      </c>
      <c r="I1904" s="84">
        <v>4.0</v>
      </c>
      <c r="J1904" s="12"/>
      <c r="K1904" s="12">
        <f t="shared" si="95"/>
        <v>2000</v>
      </c>
      <c r="L1904" s="13" t="str">
        <f t="shared" si="96"/>
        <v>0 5-star + 0 RFC + 0 DME + 4 Patient Portal Login + 4 Completed Task</v>
      </c>
      <c r="M1904" s="13"/>
      <c r="N1904" s="13"/>
      <c r="O1904" s="23"/>
      <c r="P1904" s="23"/>
    </row>
    <row r="1905" hidden="1">
      <c r="A1905" s="88" t="s">
        <v>306</v>
      </c>
      <c r="B1905" s="21" t="s">
        <v>200</v>
      </c>
      <c r="C1905" s="21" t="s">
        <v>201</v>
      </c>
      <c r="D1905" s="21" t="s">
        <v>202</v>
      </c>
      <c r="E1905" s="34">
        <v>1.0</v>
      </c>
      <c r="F1905" s="34">
        <v>2.0</v>
      </c>
      <c r="G1905" s="88">
        <v>0.0</v>
      </c>
      <c r="H1905" s="84">
        <v>5.0</v>
      </c>
      <c r="I1905" s="84">
        <v>2.0</v>
      </c>
      <c r="J1905" s="12"/>
      <c r="K1905" s="12">
        <f t="shared" si="95"/>
        <v>3000</v>
      </c>
      <c r="L1905" s="13" t="str">
        <f t="shared" si="96"/>
        <v>1 5-star + 2 RFC + 0 DME + 5 Patient Portal Login + 2 Completed Task</v>
      </c>
      <c r="M1905" s="13"/>
      <c r="N1905" s="13"/>
      <c r="O1905" s="23"/>
      <c r="P1905" s="23"/>
    </row>
    <row r="1906" hidden="1">
      <c r="A1906" s="89" t="s">
        <v>307</v>
      </c>
      <c r="B1906" s="7" t="s">
        <v>255</v>
      </c>
      <c r="C1906" s="7" t="s">
        <v>256</v>
      </c>
      <c r="D1906" s="7" t="s">
        <v>257</v>
      </c>
      <c r="E1906" s="81"/>
      <c r="F1906" s="81"/>
      <c r="G1906" s="81"/>
      <c r="H1906" s="81"/>
      <c r="I1906" s="81">
        <v>1.0</v>
      </c>
      <c r="J1906" s="12"/>
      <c r="K1906" s="12">
        <f t="shared" si="95"/>
        <v>250</v>
      </c>
      <c r="L1906" s="13" t="str">
        <f t="shared" si="96"/>
        <v> 5-star +  RFC +  DME +  Patient Portal Login + 1 Completed Task</v>
      </c>
      <c r="M1906" s="13"/>
      <c r="N1906" s="13"/>
      <c r="O1906" s="14"/>
      <c r="P1906" s="14"/>
    </row>
    <row r="1907" hidden="1">
      <c r="A1907" s="89" t="s">
        <v>307</v>
      </c>
      <c r="B1907" s="7" t="s">
        <v>86</v>
      </c>
      <c r="C1907" s="7" t="s">
        <v>87</v>
      </c>
      <c r="D1907" s="7" t="s">
        <v>88</v>
      </c>
      <c r="E1907" s="81"/>
      <c r="F1907" s="81"/>
      <c r="G1907" s="81"/>
      <c r="H1907" s="81"/>
      <c r="I1907" s="81">
        <v>1.0</v>
      </c>
      <c r="J1907" s="12"/>
      <c r="K1907" s="12">
        <f t="shared" si="95"/>
        <v>250</v>
      </c>
      <c r="L1907" s="13" t="str">
        <f t="shared" si="96"/>
        <v> 5-star +  RFC +  DME +  Patient Portal Login + 1 Completed Task</v>
      </c>
      <c r="M1907" s="13"/>
      <c r="N1907" s="13"/>
      <c r="O1907" s="14"/>
      <c r="P1907" s="14"/>
    </row>
    <row r="1908" hidden="1">
      <c r="A1908" s="89" t="s">
        <v>307</v>
      </c>
      <c r="B1908" s="7" t="s">
        <v>89</v>
      </c>
      <c r="C1908" s="7" t="s">
        <v>90</v>
      </c>
      <c r="D1908" s="7" t="s">
        <v>91</v>
      </c>
      <c r="E1908" s="81"/>
      <c r="F1908" s="81"/>
      <c r="G1908" s="81"/>
      <c r="H1908" s="81"/>
      <c r="I1908" s="81"/>
      <c r="J1908" s="12"/>
      <c r="K1908" s="12">
        <f t="shared" si="95"/>
        <v>0</v>
      </c>
      <c r="L1908" s="13" t="str">
        <f t="shared" si="96"/>
        <v> 5-star +  RFC +  DME +  Patient Portal Login +  Completed Task</v>
      </c>
      <c r="M1908" s="13"/>
      <c r="N1908" s="13"/>
      <c r="O1908" s="14"/>
      <c r="P1908" s="14"/>
    </row>
    <row r="1909" hidden="1">
      <c r="A1909" s="89" t="s">
        <v>307</v>
      </c>
      <c r="B1909" s="16" t="s">
        <v>92</v>
      </c>
      <c r="C1909" s="16" t="s">
        <v>93</v>
      </c>
      <c r="D1909" s="16" t="s">
        <v>94</v>
      </c>
      <c r="E1909" s="13"/>
      <c r="F1909" s="13"/>
      <c r="G1909" s="13"/>
      <c r="H1909" s="81">
        <v>8.0</v>
      </c>
      <c r="I1909" s="81">
        <v>5.0</v>
      </c>
      <c r="J1909" s="12"/>
      <c r="K1909" s="12">
        <f t="shared" si="95"/>
        <v>3250</v>
      </c>
      <c r="L1909" s="13" t="str">
        <f t="shared" si="96"/>
        <v> 5-star +  RFC +  DME + 8 Patient Portal Login + 5 Completed Task</v>
      </c>
      <c r="M1909" s="13"/>
      <c r="N1909" s="13"/>
      <c r="O1909" s="14"/>
      <c r="P1909" s="14"/>
    </row>
    <row r="1910" hidden="1">
      <c r="A1910" s="89" t="s">
        <v>307</v>
      </c>
      <c r="B1910" s="7" t="s">
        <v>95</v>
      </c>
      <c r="C1910" s="16" t="s">
        <v>96</v>
      </c>
      <c r="D1910" s="16" t="s">
        <v>97</v>
      </c>
      <c r="E1910" s="13"/>
      <c r="F1910" s="13"/>
      <c r="G1910" s="13"/>
      <c r="H1910" s="81">
        <v>7.0</v>
      </c>
      <c r="I1910" s="81">
        <v>5.0</v>
      </c>
      <c r="J1910" s="12"/>
      <c r="K1910" s="12">
        <f t="shared" si="95"/>
        <v>3000</v>
      </c>
      <c r="L1910" s="13" t="str">
        <f t="shared" si="96"/>
        <v> 5-star +  RFC +  DME + 7 Patient Portal Login + 5 Completed Task</v>
      </c>
      <c r="M1910" s="13"/>
      <c r="N1910" s="13"/>
      <c r="O1910" s="14"/>
      <c r="P1910" s="14"/>
    </row>
    <row r="1911" hidden="1">
      <c r="A1911" s="89" t="s">
        <v>307</v>
      </c>
      <c r="B1911" s="16" t="s">
        <v>98</v>
      </c>
      <c r="C1911" s="16" t="s">
        <v>99</v>
      </c>
      <c r="D1911" s="16" t="s">
        <v>100</v>
      </c>
      <c r="E1911" s="81">
        <v>3.0</v>
      </c>
      <c r="F1911" s="81"/>
      <c r="G1911" s="81"/>
      <c r="H1911" s="81"/>
      <c r="I1911" s="81">
        <v>3.0</v>
      </c>
      <c r="J1911" s="12"/>
      <c r="K1911" s="12">
        <f t="shared" si="95"/>
        <v>1500</v>
      </c>
      <c r="L1911" s="13" t="str">
        <f t="shared" si="96"/>
        <v>3 5-star +  RFC +  DME +  Patient Portal Login + 3 Completed Task</v>
      </c>
      <c r="M1911" s="13"/>
      <c r="N1911" s="13"/>
      <c r="O1911" s="14"/>
      <c r="P1911" s="14"/>
    </row>
    <row r="1912" hidden="1">
      <c r="A1912" s="89" t="s">
        <v>307</v>
      </c>
      <c r="B1912" s="7" t="s">
        <v>101</v>
      </c>
      <c r="C1912" s="16" t="s">
        <v>102</v>
      </c>
      <c r="D1912" s="16" t="s">
        <v>103</v>
      </c>
      <c r="E1912" s="81"/>
      <c r="F1912" s="81"/>
      <c r="G1912" s="81"/>
      <c r="H1912" s="81">
        <v>4.0</v>
      </c>
      <c r="I1912" s="81">
        <v>5.0</v>
      </c>
      <c r="J1912" s="12"/>
      <c r="K1912" s="12">
        <f t="shared" si="95"/>
        <v>2250</v>
      </c>
      <c r="L1912" s="13" t="str">
        <f t="shared" si="96"/>
        <v> 5-star +  RFC +  DME + 4 Patient Portal Login + 5 Completed Task</v>
      </c>
      <c r="M1912" s="13"/>
      <c r="N1912" s="13"/>
      <c r="O1912" s="14"/>
      <c r="P1912" s="14"/>
    </row>
    <row r="1913" hidden="1">
      <c r="A1913" s="89" t="s">
        <v>307</v>
      </c>
      <c r="B1913" s="16" t="s">
        <v>271</v>
      </c>
      <c r="C1913" s="16" t="s">
        <v>272</v>
      </c>
      <c r="D1913" s="16" t="s">
        <v>273</v>
      </c>
      <c r="E1913" s="13"/>
      <c r="F1913" s="13"/>
      <c r="G1913" s="13"/>
      <c r="H1913" s="13"/>
      <c r="I1913" s="13"/>
      <c r="J1913" s="12"/>
      <c r="K1913" s="12">
        <f t="shared" si="95"/>
        <v>0</v>
      </c>
      <c r="L1913" s="13" t="str">
        <f t="shared" si="96"/>
        <v> 5-star +  RFC +  DME +  Patient Portal Login +  Completed Task</v>
      </c>
      <c r="M1913" s="13"/>
      <c r="N1913" s="13"/>
      <c r="O1913" s="14"/>
      <c r="P1913" s="14"/>
    </row>
    <row r="1914" hidden="1">
      <c r="A1914" s="89" t="s">
        <v>307</v>
      </c>
      <c r="B1914" s="16" t="s">
        <v>104</v>
      </c>
      <c r="C1914" s="16" t="s">
        <v>105</v>
      </c>
      <c r="D1914" s="16" t="s">
        <v>106</v>
      </c>
      <c r="E1914" s="81"/>
      <c r="F1914" s="81">
        <v>2.0</v>
      </c>
      <c r="G1914" s="81"/>
      <c r="H1914" s="81">
        <v>9.0</v>
      </c>
      <c r="I1914" s="81">
        <v>5.0</v>
      </c>
      <c r="J1914" s="12"/>
      <c r="K1914" s="12">
        <f t="shared" si="95"/>
        <v>4500</v>
      </c>
      <c r="L1914" s="13" t="str">
        <f t="shared" si="96"/>
        <v> 5-star + 2 RFC +  DME + 9 Patient Portal Login + 5 Completed Task</v>
      </c>
      <c r="M1914" s="13"/>
      <c r="N1914" s="13"/>
      <c r="O1914" s="14"/>
      <c r="P1914" s="14"/>
    </row>
    <row r="1915" hidden="1">
      <c r="A1915" s="89" t="s">
        <v>307</v>
      </c>
      <c r="B1915" s="16" t="s">
        <v>107</v>
      </c>
      <c r="C1915" s="16" t="s">
        <v>108</v>
      </c>
      <c r="D1915" s="16" t="s">
        <v>109</v>
      </c>
      <c r="E1915" s="81"/>
      <c r="F1915" s="81"/>
      <c r="G1915" s="81"/>
      <c r="H1915" s="81">
        <v>4.0</v>
      </c>
      <c r="I1915" s="81">
        <v>5.0</v>
      </c>
      <c r="J1915" s="12"/>
      <c r="K1915" s="12">
        <f t="shared" si="95"/>
        <v>2250</v>
      </c>
      <c r="L1915" s="13" t="str">
        <f t="shared" si="96"/>
        <v> 5-star +  RFC +  DME + 4 Patient Portal Login + 5 Completed Task</v>
      </c>
      <c r="M1915" s="13"/>
      <c r="N1915" s="13"/>
      <c r="O1915" s="14"/>
      <c r="P1915" s="14"/>
    </row>
    <row r="1916" hidden="1">
      <c r="A1916" s="89" t="s">
        <v>307</v>
      </c>
      <c r="B1916" s="16" t="s">
        <v>110</v>
      </c>
      <c r="C1916" s="16" t="s">
        <v>111</v>
      </c>
      <c r="D1916" s="16" t="s">
        <v>112</v>
      </c>
      <c r="E1916" s="81">
        <v>3.0</v>
      </c>
      <c r="F1916" s="13"/>
      <c r="G1916" s="13"/>
      <c r="H1916" s="81">
        <v>3.0</v>
      </c>
      <c r="I1916" s="81">
        <v>1.0</v>
      </c>
      <c r="J1916" s="12"/>
      <c r="K1916" s="12">
        <f t="shared" si="95"/>
        <v>1750</v>
      </c>
      <c r="L1916" s="13" t="str">
        <f t="shared" si="96"/>
        <v>3 5-star +  RFC +  DME + 3 Patient Portal Login + 1 Completed Task</v>
      </c>
      <c r="M1916" s="13"/>
      <c r="N1916" s="13"/>
      <c r="O1916" s="14"/>
      <c r="P1916" s="14"/>
    </row>
    <row r="1917" hidden="1">
      <c r="A1917" s="89" t="s">
        <v>307</v>
      </c>
      <c r="B1917" s="16" t="s">
        <v>113</v>
      </c>
      <c r="C1917" s="16" t="s">
        <v>114</v>
      </c>
      <c r="D1917" s="16" t="s">
        <v>115</v>
      </c>
      <c r="E1917" s="81"/>
      <c r="F1917" s="81">
        <v>3.0</v>
      </c>
      <c r="G1917" s="81"/>
      <c r="H1917" s="81">
        <v>3.0</v>
      </c>
      <c r="I1917" s="81">
        <v>5.0</v>
      </c>
      <c r="J1917" s="12"/>
      <c r="K1917" s="12">
        <f t="shared" si="95"/>
        <v>3500</v>
      </c>
      <c r="L1917" s="13" t="str">
        <f t="shared" si="96"/>
        <v> 5-star + 3 RFC +  DME + 3 Patient Portal Login + 5 Completed Task</v>
      </c>
      <c r="M1917" s="13"/>
      <c r="N1917" s="13"/>
      <c r="O1917" s="14"/>
      <c r="P1917" s="14"/>
    </row>
    <row r="1918" hidden="1">
      <c r="A1918" s="89" t="s">
        <v>307</v>
      </c>
      <c r="B1918" s="7" t="s">
        <v>116</v>
      </c>
      <c r="C1918" s="16" t="s">
        <v>117</v>
      </c>
      <c r="D1918" s="16" t="s">
        <v>118</v>
      </c>
      <c r="E1918" s="81"/>
      <c r="F1918" s="81">
        <v>1.0</v>
      </c>
      <c r="G1918" s="81"/>
      <c r="H1918" s="81">
        <v>9.0</v>
      </c>
      <c r="I1918" s="81">
        <v>5.0</v>
      </c>
      <c r="J1918" s="12"/>
      <c r="K1918" s="12">
        <f t="shared" si="95"/>
        <v>4000</v>
      </c>
      <c r="L1918" s="13" t="str">
        <f t="shared" si="96"/>
        <v> 5-star + 1 RFC +  DME + 9 Patient Portal Login + 5 Completed Task</v>
      </c>
      <c r="M1918" s="13"/>
      <c r="N1918" s="13"/>
      <c r="O1918" s="14"/>
      <c r="P1918" s="14"/>
    </row>
    <row r="1919" hidden="1">
      <c r="A1919" s="89" t="s">
        <v>307</v>
      </c>
      <c r="B1919" s="16" t="s">
        <v>216</v>
      </c>
      <c r="C1919" s="16" t="s">
        <v>217</v>
      </c>
      <c r="D1919" s="16" t="s">
        <v>274</v>
      </c>
      <c r="E1919" s="13"/>
      <c r="F1919" s="13"/>
      <c r="G1919" s="13"/>
      <c r="H1919" s="13"/>
      <c r="I1919" s="13"/>
      <c r="J1919" s="12"/>
      <c r="K1919" s="12">
        <f t="shared" si="95"/>
        <v>0</v>
      </c>
      <c r="L1919" s="13" t="str">
        <f t="shared" si="96"/>
        <v> 5-star +  RFC +  DME +  Patient Portal Login +  Completed Task</v>
      </c>
      <c r="M1919" s="13"/>
      <c r="N1919" s="13"/>
      <c r="O1919" s="14"/>
      <c r="P1919" s="14"/>
    </row>
    <row r="1920" hidden="1">
      <c r="A1920" s="89" t="s">
        <v>307</v>
      </c>
      <c r="B1920" s="16" t="s">
        <v>119</v>
      </c>
      <c r="C1920" s="16" t="s">
        <v>120</v>
      </c>
      <c r="D1920" s="16" t="s">
        <v>121</v>
      </c>
      <c r="E1920" s="13"/>
      <c r="F1920" s="13"/>
      <c r="G1920" s="13"/>
      <c r="H1920" s="81">
        <v>3.0</v>
      </c>
      <c r="I1920" s="81">
        <v>1.0</v>
      </c>
      <c r="J1920" s="12"/>
      <c r="K1920" s="12">
        <f t="shared" si="95"/>
        <v>1000</v>
      </c>
      <c r="L1920" s="13" t="str">
        <f t="shared" si="96"/>
        <v> 5-star +  RFC +  DME + 3 Patient Portal Login + 1 Completed Task</v>
      </c>
      <c r="M1920" s="13"/>
      <c r="N1920" s="13"/>
      <c r="O1920" s="14"/>
      <c r="P1920" s="14"/>
    </row>
    <row r="1921" hidden="1">
      <c r="A1921" s="89" t="s">
        <v>307</v>
      </c>
      <c r="B1921" s="16" t="s">
        <v>267</v>
      </c>
      <c r="C1921" s="16" t="s">
        <v>268</v>
      </c>
      <c r="D1921" s="16" t="s">
        <v>269</v>
      </c>
      <c r="E1921" s="13"/>
      <c r="F1921" s="81">
        <v>2.0</v>
      </c>
      <c r="G1921" s="13"/>
      <c r="H1921" s="81">
        <v>12.0</v>
      </c>
      <c r="I1921" s="81">
        <v>5.0</v>
      </c>
      <c r="J1921" s="12"/>
      <c r="K1921" s="12">
        <f t="shared" si="95"/>
        <v>5250</v>
      </c>
      <c r="L1921" s="13" t="str">
        <f t="shared" si="96"/>
        <v> 5-star + 2 RFC +  DME + 12 Patient Portal Login + 5 Completed Task</v>
      </c>
      <c r="M1921" s="13"/>
      <c r="N1921" s="13"/>
      <c r="O1921" s="14"/>
      <c r="P1921" s="14"/>
    </row>
    <row r="1922" hidden="1">
      <c r="A1922" s="89" t="s">
        <v>307</v>
      </c>
      <c r="B1922" s="16" t="s">
        <v>275</v>
      </c>
      <c r="C1922" s="16" t="s">
        <v>276</v>
      </c>
      <c r="D1922" s="16" t="s">
        <v>277</v>
      </c>
      <c r="E1922" s="81">
        <v>1.0</v>
      </c>
      <c r="F1922" s="81">
        <v>3.0</v>
      </c>
      <c r="G1922" s="81">
        <v>1.0</v>
      </c>
      <c r="H1922" s="81">
        <v>2.0</v>
      </c>
      <c r="I1922" s="81">
        <v>5.0</v>
      </c>
      <c r="J1922" s="12"/>
      <c r="K1922" s="12">
        <f t="shared" si="95"/>
        <v>3750</v>
      </c>
      <c r="L1922" s="13" t="str">
        <f t="shared" si="96"/>
        <v>1 5-star + 3 RFC + 1 DME + 2 Patient Portal Login + 5 Completed Task</v>
      </c>
      <c r="M1922" s="13"/>
      <c r="N1922" s="13"/>
      <c r="O1922" s="14"/>
      <c r="P1922" s="14"/>
    </row>
    <row r="1923" hidden="1">
      <c r="A1923" s="89" t="s">
        <v>307</v>
      </c>
      <c r="B1923" s="16" t="s">
        <v>122</v>
      </c>
      <c r="C1923" s="16" t="s">
        <v>123</v>
      </c>
      <c r="D1923" s="16" t="s">
        <v>124</v>
      </c>
      <c r="E1923" s="13"/>
      <c r="F1923" s="13"/>
      <c r="G1923" s="81">
        <v>1.0</v>
      </c>
      <c r="H1923" s="81">
        <v>2.0</v>
      </c>
      <c r="I1923" s="81">
        <v>4.0</v>
      </c>
      <c r="J1923" s="12"/>
      <c r="K1923" s="12">
        <f t="shared" si="95"/>
        <v>1750</v>
      </c>
      <c r="L1923" s="13" t="str">
        <f t="shared" si="96"/>
        <v> 5-star +  RFC + 1 DME + 2 Patient Portal Login + 4 Completed Task</v>
      </c>
      <c r="M1923" s="13"/>
      <c r="N1923" s="13"/>
      <c r="O1923" s="14"/>
      <c r="P1923" s="14"/>
    </row>
    <row r="1924" hidden="1">
      <c r="A1924" s="89" t="s">
        <v>307</v>
      </c>
      <c r="B1924" s="16" t="s">
        <v>125</v>
      </c>
      <c r="C1924" s="16" t="s">
        <v>126</v>
      </c>
      <c r="D1924" s="16" t="s">
        <v>127</v>
      </c>
      <c r="E1924" s="13"/>
      <c r="F1924" s="13"/>
      <c r="G1924" s="13"/>
      <c r="H1924" s="13"/>
      <c r="I1924" s="81">
        <v>5.0</v>
      </c>
      <c r="J1924" s="12"/>
      <c r="K1924" s="12">
        <f t="shared" si="95"/>
        <v>1250</v>
      </c>
      <c r="L1924" s="13" t="str">
        <f t="shared" si="96"/>
        <v> 5-star +  RFC +  DME +  Patient Portal Login + 5 Completed Task</v>
      </c>
      <c r="M1924" s="13"/>
      <c r="N1924" s="13"/>
      <c r="O1924" s="14"/>
      <c r="P1924" s="14"/>
    </row>
    <row r="1925" hidden="1">
      <c r="A1925" s="89" t="s">
        <v>307</v>
      </c>
      <c r="B1925" s="16" t="s">
        <v>128</v>
      </c>
      <c r="C1925" s="16" t="s">
        <v>129</v>
      </c>
      <c r="D1925" s="16" t="s">
        <v>130</v>
      </c>
      <c r="E1925" s="81">
        <v>2.0</v>
      </c>
      <c r="F1925" s="13"/>
      <c r="G1925" s="13"/>
      <c r="H1925" s="81">
        <v>3.0</v>
      </c>
      <c r="I1925" s="81">
        <v>5.0</v>
      </c>
      <c r="J1925" s="12"/>
      <c r="K1925" s="12">
        <f t="shared" si="95"/>
        <v>2500</v>
      </c>
      <c r="L1925" s="13" t="str">
        <f t="shared" si="96"/>
        <v>2 5-star +  RFC +  DME + 3 Patient Portal Login + 5 Completed Task</v>
      </c>
      <c r="M1925" s="13"/>
      <c r="N1925" s="13"/>
      <c r="O1925" s="14"/>
      <c r="P1925" s="14"/>
    </row>
    <row r="1926" hidden="1">
      <c r="A1926" s="89" t="s">
        <v>307</v>
      </c>
      <c r="B1926" s="16" t="s">
        <v>131</v>
      </c>
      <c r="C1926" s="16" t="s">
        <v>132</v>
      </c>
      <c r="D1926" s="16" t="s">
        <v>133</v>
      </c>
      <c r="E1926" s="13"/>
      <c r="F1926" s="81">
        <v>3.0</v>
      </c>
      <c r="G1926" s="81">
        <v>1.0</v>
      </c>
      <c r="H1926" s="81">
        <v>3.0</v>
      </c>
      <c r="I1926" s="81">
        <v>5.0</v>
      </c>
      <c r="J1926" s="12"/>
      <c r="K1926" s="12">
        <f t="shared" si="95"/>
        <v>3750</v>
      </c>
      <c r="L1926" s="13" t="str">
        <f t="shared" si="96"/>
        <v> 5-star + 3 RFC + 1 DME + 3 Patient Portal Login + 5 Completed Task</v>
      </c>
      <c r="M1926" s="13"/>
      <c r="N1926" s="13"/>
      <c r="O1926" s="14"/>
      <c r="P1926" s="14"/>
    </row>
    <row r="1927" hidden="1">
      <c r="A1927" s="89" t="s">
        <v>307</v>
      </c>
      <c r="B1927" s="16" t="s">
        <v>134</v>
      </c>
      <c r="C1927" s="16" t="s">
        <v>135</v>
      </c>
      <c r="D1927" s="16" t="s">
        <v>136</v>
      </c>
      <c r="E1927" s="13"/>
      <c r="F1927" s="81">
        <v>1.0</v>
      </c>
      <c r="G1927" s="13"/>
      <c r="H1927" s="81">
        <v>4.0</v>
      </c>
      <c r="I1927" s="81">
        <v>5.0</v>
      </c>
      <c r="J1927" s="12"/>
      <c r="K1927" s="12">
        <f t="shared" si="95"/>
        <v>2750</v>
      </c>
      <c r="L1927" s="13" t="str">
        <f t="shared" si="96"/>
        <v> 5-star + 1 RFC +  DME + 4 Patient Portal Login + 5 Completed Task</v>
      </c>
      <c r="M1927" s="13"/>
      <c r="N1927" s="13"/>
      <c r="O1927" s="14"/>
      <c r="P1927" s="14"/>
    </row>
    <row r="1928" hidden="1">
      <c r="A1928" s="89" t="s">
        <v>307</v>
      </c>
      <c r="B1928" s="16" t="s">
        <v>137</v>
      </c>
      <c r="C1928" s="16" t="s">
        <v>138</v>
      </c>
      <c r="D1928" s="16" t="s">
        <v>139</v>
      </c>
      <c r="E1928" s="81">
        <v>4.0</v>
      </c>
      <c r="F1928" s="81">
        <v>8.0</v>
      </c>
      <c r="G1928" s="81">
        <v>1.0</v>
      </c>
      <c r="H1928" s="81">
        <v>1.0</v>
      </c>
      <c r="I1928" s="81">
        <v>5.0</v>
      </c>
      <c r="J1928" s="12"/>
      <c r="K1928" s="12">
        <f t="shared" si="95"/>
        <v>6750</v>
      </c>
      <c r="L1928" s="13" t="str">
        <f t="shared" si="96"/>
        <v>4 5-star + 8 RFC + 1 DME + 1 Patient Portal Login + 5 Completed Task</v>
      </c>
      <c r="M1928" s="13"/>
      <c r="N1928" s="13"/>
      <c r="O1928" s="14"/>
      <c r="P1928" s="14"/>
    </row>
    <row r="1929" hidden="1">
      <c r="A1929" s="89" t="s">
        <v>307</v>
      </c>
      <c r="B1929" s="16" t="s">
        <v>278</v>
      </c>
      <c r="C1929" s="16" t="s">
        <v>279</v>
      </c>
      <c r="D1929" s="16" t="s">
        <v>280</v>
      </c>
      <c r="E1929" s="13"/>
      <c r="F1929" s="13"/>
      <c r="G1929" s="81">
        <v>1.0</v>
      </c>
      <c r="H1929" s="13"/>
      <c r="I1929" s="81">
        <v>4.0</v>
      </c>
      <c r="J1929" s="12"/>
      <c r="K1929" s="12">
        <f t="shared" si="95"/>
        <v>1250</v>
      </c>
      <c r="L1929" s="13" t="str">
        <f t="shared" si="96"/>
        <v> 5-star +  RFC + 1 DME +  Patient Portal Login + 4 Completed Task</v>
      </c>
      <c r="M1929" s="13"/>
      <c r="N1929" s="13"/>
      <c r="O1929" s="14"/>
      <c r="P1929" s="14"/>
    </row>
    <row r="1930" hidden="1">
      <c r="A1930" s="89" t="s">
        <v>307</v>
      </c>
      <c r="B1930" s="16" t="s">
        <v>140</v>
      </c>
      <c r="C1930" s="16" t="s">
        <v>141</v>
      </c>
      <c r="D1930" s="16" t="s">
        <v>142</v>
      </c>
      <c r="E1930" s="81">
        <v>2.0</v>
      </c>
      <c r="F1930" s="13"/>
      <c r="G1930" s="13"/>
      <c r="H1930" s="81">
        <v>3.0</v>
      </c>
      <c r="I1930" s="81">
        <v>5.0</v>
      </c>
      <c r="J1930" s="12"/>
      <c r="K1930" s="12">
        <f t="shared" si="95"/>
        <v>2500</v>
      </c>
      <c r="L1930" s="13" t="str">
        <f t="shared" si="96"/>
        <v>2 5-star +  RFC +  DME + 3 Patient Portal Login + 5 Completed Task</v>
      </c>
      <c r="M1930" s="13"/>
      <c r="N1930" s="13"/>
      <c r="O1930" s="14"/>
      <c r="P1930" s="14"/>
    </row>
    <row r="1931" hidden="1">
      <c r="A1931" s="89" t="s">
        <v>307</v>
      </c>
      <c r="B1931" s="16" t="s">
        <v>207</v>
      </c>
      <c r="C1931" s="16" t="s">
        <v>208</v>
      </c>
      <c r="D1931" s="16" t="s">
        <v>281</v>
      </c>
      <c r="E1931" s="81"/>
      <c r="F1931" s="81"/>
      <c r="G1931" s="81"/>
      <c r="H1931" s="81"/>
      <c r="I1931" s="81"/>
      <c r="J1931" s="12"/>
      <c r="K1931" s="12">
        <f t="shared" si="95"/>
        <v>0</v>
      </c>
      <c r="L1931" s="13" t="str">
        <f t="shared" si="96"/>
        <v> 5-star +  RFC +  DME +  Patient Portal Login +  Completed Task</v>
      </c>
      <c r="M1931" s="13"/>
      <c r="N1931" s="13"/>
      <c r="O1931" s="14"/>
      <c r="P1931" s="14"/>
    </row>
    <row r="1932" hidden="1">
      <c r="A1932" s="89" t="s">
        <v>307</v>
      </c>
      <c r="B1932" s="16" t="s">
        <v>282</v>
      </c>
      <c r="C1932" s="16" t="s">
        <v>283</v>
      </c>
      <c r="D1932" s="16" t="s">
        <v>284</v>
      </c>
      <c r="E1932" s="13"/>
      <c r="F1932" s="13"/>
      <c r="G1932" s="13"/>
      <c r="H1932" s="13"/>
      <c r="I1932" s="13"/>
      <c r="J1932" s="12"/>
      <c r="K1932" s="12">
        <f t="shared" si="95"/>
        <v>0</v>
      </c>
      <c r="L1932" s="13" t="str">
        <f t="shared" si="96"/>
        <v> 5-star +  RFC +  DME +  Patient Portal Login +  Completed Task</v>
      </c>
      <c r="M1932" s="13"/>
      <c r="N1932" s="13"/>
      <c r="O1932" s="14"/>
      <c r="P1932" s="14"/>
    </row>
    <row r="1933" hidden="1">
      <c r="A1933" s="89" t="s">
        <v>307</v>
      </c>
      <c r="B1933" s="16" t="s">
        <v>285</v>
      </c>
      <c r="C1933" s="16" t="s">
        <v>286</v>
      </c>
      <c r="D1933" s="16" t="s">
        <v>287</v>
      </c>
      <c r="E1933" s="13"/>
      <c r="F1933" s="13"/>
      <c r="G1933" s="13"/>
      <c r="H1933" s="13"/>
      <c r="I1933" s="13"/>
      <c r="J1933" s="12"/>
      <c r="K1933" s="12">
        <f t="shared" si="95"/>
        <v>0</v>
      </c>
      <c r="L1933" s="13" t="str">
        <f t="shared" si="96"/>
        <v> 5-star +  RFC +  DME +  Patient Portal Login +  Completed Task</v>
      </c>
      <c r="M1933" s="13"/>
      <c r="N1933" s="13"/>
      <c r="O1933" s="14"/>
      <c r="P1933" s="14"/>
    </row>
    <row r="1934" hidden="1">
      <c r="A1934" s="89" t="s">
        <v>307</v>
      </c>
      <c r="B1934" s="16" t="s">
        <v>143</v>
      </c>
      <c r="C1934" s="16" t="s">
        <v>144</v>
      </c>
      <c r="D1934" s="16" t="s">
        <v>145</v>
      </c>
      <c r="E1934" s="13"/>
      <c r="F1934" s="81">
        <v>1.0</v>
      </c>
      <c r="G1934" s="81">
        <v>2.0</v>
      </c>
      <c r="H1934" s="81">
        <v>6.0</v>
      </c>
      <c r="I1934" s="81">
        <v>5.0</v>
      </c>
      <c r="J1934" s="12"/>
      <c r="K1934" s="12">
        <f t="shared" si="95"/>
        <v>3750</v>
      </c>
      <c r="L1934" s="13" t="str">
        <f t="shared" si="96"/>
        <v> 5-star + 1 RFC + 2 DME + 6 Patient Portal Login + 5 Completed Task</v>
      </c>
      <c r="M1934" s="13"/>
      <c r="N1934" s="13"/>
      <c r="O1934" s="14"/>
      <c r="P1934" s="14"/>
    </row>
    <row r="1935" hidden="1">
      <c r="A1935" s="89" t="s">
        <v>307</v>
      </c>
      <c r="B1935" s="16" t="s">
        <v>146</v>
      </c>
      <c r="C1935" s="16" t="s">
        <v>147</v>
      </c>
      <c r="D1935" s="16" t="s">
        <v>148</v>
      </c>
      <c r="E1935" s="13"/>
      <c r="F1935" s="81">
        <v>1.0</v>
      </c>
      <c r="G1935" s="13"/>
      <c r="H1935" s="81">
        <v>4.0</v>
      </c>
      <c r="I1935" s="81">
        <v>5.0</v>
      </c>
      <c r="J1935" s="12"/>
      <c r="K1935" s="12">
        <f t="shared" si="95"/>
        <v>2750</v>
      </c>
      <c r="L1935" s="13" t="str">
        <f t="shared" si="96"/>
        <v> 5-star + 1 RFC +  DME + 4 Patient Portal Login + 5 Completed Task</v>
      </c>
      <c r="M1935" s="13"/>
      <c r="N1935" s="13"/>
      <c r="O1935" s="14"/>
      <c r="P1935" s="14"/>
    </row>
    <row r="1936" hidden="1">
      <c r="A1936" s="89" t="s">
        <v>307</v>
      </c>
      <c r="B1936" s="16" t="s">
        <v>245</v>
      </c>
      <c r="C1936" s="16" t="s">
        <v>246</v>
      </c>
      <c r="D1936" s="16" t="s">
        <v>247</v>
      </c>
      <c r="E1936" s="81">
        <v>1.0</v>
      </c>
      <c r="F1936" s="81">
        <v>2.0</v>
      </c>
      <c r="G1936" s="81">
        <v>1.0</v>
      </c>
      <c r="H1936" s="81">
        <v>4.0</v>
      </c>
      <c r="I1936" s="81">
        <v>5.0</v>
      </c>
      <c r="J1936" s="12"/>
      <c r="K1936" s="12">
        <f t="shared" si="95"/>
        <v>3750</v>
      </c>
      <c r="L1936" s="13" t="str">
        <f t="shared" si="96"/>
        <v>1 5-star + 2 RFC + 1 DME + 4 Patient Portal Login + 5 Completed Task</v>
      </c>
      <c r="M1936" s="13"/>
      <c r="N1936" s="13"/>
      <c r="O1936" s="14"/>
      <c r="P1936" s="14"/>
    </row>
    <row r="1937" hidden="1">
      <c r="A1937" s="89" t="s">
        <v>307</v>
      </c>
      <c r="B1937" s="16" t="s">
        <v>210</v>
      </c>
      <c r="C1937" s="16" t="s">
        <v>211</v>
      </c>
      <c r="D1937" s="16" t="s">
        <v>212</v>
      </c>
      <c r="E1937" s="81"/>
      <c r="F1937" s="81"/>
      <c r="G1937" s="81"/>
      <c r="H1937" s="81"/>
      <c r="I1937" s="81"/>
      <c r="J1937" s="12"/>
      <c r="K1937" s="12">
        <f t="shared" si="95"/>
        <v>0</v>
      </c>
      <c r="L1937" s="13" t="str">
        <f t="shared" si="96"/>
        <v> 5-star +  RFC +  DME +  Patient Portal Login +  Completed Task</v>
      </c>
      <c r="M1937" s="13"/>
      <c r="N1937" s="13"/>
      <c r="O1937" s="14"/>
      <c r="P1937" s="14"/>
    </row>
    <row r="1938" hidden="1">
      <c r="A1938" s="89" t="s">
        <v>307</v>
      </c>
      <c r="B1938" s="16" t="s">
        <v>149</v>
      </c>
      <c r="C1938" s="16" t="s">
        <v>150</v>
      </c>
      <c r="D1938" s="16" t="s">
        <v>151</v>
      </c>
      <c r="E1938" s="13"/>
      <c r="F1938" s="13"/>
      <c r="G1938" s="81">
        <v>1.0</v>
      </c>
      <c r="H1938" s="81">
        <v>1.0</v>
      </c>
      <c r="I1938" s="81">
        <v>3.0</v>
      </c>
      <c r="J1938" s="12"/>
      <c r="K1938" s="12">
        <f t="shared" si="95"/>
        <v>1250</v>
      </c>
      <c r="L1938" s="13" t="str">
        <f t="shared" si="96"/>
        <v> 5-star +  RFC + 1 DME + 1 Patient Portal Login + 3 Completed Task</v>
      </c>
      <c r="M1938" s="13"/>
      <c r="N1938" s="13"/>
      <c r="O1938" s="14"/>
      <c r="P1938" s="14"/>
    </row>
    <row r="1939" hidden="1">
      <c r="A1939" s="89" t="s">
        <v>307</v>
      </c>
      <c r="B1939" s="16" t="s">
        <v>288</v>
      </c>
      <c r="C1939" s="16" t="s">
        <v>289</v>
      </c>
      <c r="D1939" s="16" t="s">
        <v>290</v>
      </c>
      <c r="E1939" s="13"/>
      <c r="F1939" s="81">
        <v>1.0</v>
      </c>
      <c r="G1939" s="13"/>
      <c r="H1939" s="13"/>
      <c r="I1939" s="81">
        <v>3.0</v>
      </c>
      <c r="J1939" s="12"/>
      <c r="K1939" s="12">
        <f t="shared" si="95"/>
        <v>1250</v>
      </c>
      <c r="L1939" s="13" t="str">
        <f t="shared" si="96"/>
        <v> 5-star + 1 RFC +  DME +  Patient Portal Login + 3 Completed Task</v>
      </c>
      <c r="M1939" s="13"/>
      <c r="N1939" s="13"/>
      <c r="O1939" s="14"/>
      <c r="P1939" s="14"/>
    </row>
    <row r="1940" hidden="1">
      <c r="A1940" s="89" t="s">
        <v>307</v>
      </c>
      <c r="B1940" s="16" t="s">
        <v>152</v>
      </c>
      <c r="C1940" s="16" t="s">
        <v>153</v>
      </c>
      <c r="D1940" s="16" t="s">
        <v>154</v>
      </c>
      <c r="E1940" s="81">
        <v>4.0</v>
      </c>
      <c r="F1940" s="81">
        <v>1.0</v>
      </c>
      <c r="G1940" s="81">
        <v>1.0</v>
      </c>
      <c r="H1940" s="81">
        <v>4.0</v>
      </c>
      <c r="I1940" s="81">
        <v>5.0</v>
      </c>
      <c r="J1940" s="12"/>
      <c r="K1940" s="12">
        <f t="shared" si="95"/>
        <v>4000</v>
      </c>
      <c r="L1940" s="13" t="str">
        <f t="shared" si="96"/>
        <v>4 5-star + 1 RFC + 1 DME + 4 Patient Portal Login + 5 Completed Task</v>
      </c>
      <c r="M1940" s="13"/>
      <c r="N1940" s="13"/>
      <c r="O1940" s="14"/>
      <c r="P1940" s="14"/>
    </row>
    <row r="1941" hidden="1">
      <c r="A1941" s="89" t="s">
        <v>307</v>
      </c>
      <c r="B1941" s="16" t="s">
        <v>155</v>
      </c>
      <c r="C1941" s="16" t="s">
        <v>156</v>
      </c>
      <c r="D1941" s="16" t="s">
        <v>157</v>
      </c>
      <c r="E1941" s="81">
        <v>1.0</v>
      </c>
      <c r="F1941" s="81">
        <v>1.0</v>
      </c>
      <c r="G1941" s="13"/>
      <c r="H1941" s="81">
        <v>5.0</v>
      </c>
      <c r="I1941" s="81">
        <v>4.0</v>
      </c>
      <c r="J1941" s="12"/>
      <c r="K1941" s="12">
        <f t="shared" si="95"/>
        <v>3000</v>
      </c>
      <c r="L1941" s="13" t="str">
        <f t="shared" si="96"/>
        <v>1 5-star + 1 RFC +  DME + 5 Patient Portal Login + 4 Completed Task</v>
      </c>
      <c r="M1941" s="13"/>
      <c r="N1941" s="13"/>
      <c r="O1941" s="14"/>
      <c r="P1941" s="14"/>
    </row>
    <row r="1942" hidden="1">
      <c r="A1942" s="89" t="s">
        <v>307</v>
      </c>
      <c r="B1942" s="16" t="s">
        <v>158</v>
      </c>
      <c r="C1942" s="16" t="s">
        <v>159</v>
      </c>
      <c r="D1942" s="16" t="s">
        <v>160</v>
      </c>
      <c r="E1942" s="81">
        <v>1.0</v>
      </c>
      <c r="F1942" s="13"/>
      <c r="G1942" s="13"/>
      <c r="H1942" s="81">
        <v>3.0</v>
      </c>
      <c r="I1942" s="81">
        <v>5.0</v>
      </c>
      <c r="J1942" s="12"/>
      <c r="K1942" s="12">
        <f t="shared" si="95"/>
        <v>2250</v>
      </c>
      <c r="L1942" s="13" t="str">
        <f t="shared" si="96"/>
        <v>1 5-star +  RFC +  DME + 3 Patient Portal Login + 5 Completed Task</v>
      </c>
      <c r="M1942" s="13"/>
      <c r="N1942" s="13"/>
      <c r="O1942" s="14"/>
      <c r="P1942" s="14"/>
    </row>
    <row r="1943" hidden="1">
      <c r="A1943" s="89" t="s">
        <v>307</v>
      </c>
      <c r="B1943" s="20" t="s">
        <v>161</v>
      </c>
      <c r="C1943" s="20" t="s">
        <v>162</v>
      </c>
      <c r="D1943" s="20" t="s">
        <v>163</v>
      </c>
      <c r="E1943" s="13"/>
      <c r="F1943" s="13"/>
      <c r="G1943" s="81">
        <v>1.0</v>
      </c>
      <c r="H1943" s="13"/>
      <c r="I1943" s="81">
        <v>4.0</v>
      </c>
      <c r="J1943" s="12"/>
      <c r="K1943" s="12">
        <f t="shared" si="95"/>
        <v>1250</v>
      </c>
      <c r="L1943" s="13" t="str">
        <f t="shared" si="96"/>
        <v> 5-star +  RFC + 1 DME +  Patient Portal Login + 4 Completed Task</v>
      </c>
      <c r="M1943" s="13"/>
      <c r="N1943" s="13"/>
      <c r="O1943" s="14"/>
      <c r="P1943" s="14"/>
    </row>
    <row r="1944" hidden="1">
      <c r="A1944" s="89" t="s">
        <v>307</v>
      </c>
      <c r="B1944" s="20" t="s">
        <v>164</v>
      </c>
      <c r="C1944" s="20" t="s">
        <v>165</v>
      </c>
      <c r="D1944" s="20" t="s">
        <v>166</v>
      </c>
      <c r="E1944" s="81">
        <v>1.0</v>
      </c>
      <c r="F1944" s="81">
        <v>5.0</v>
      </c>
      <c r="G1944" s="13"/>
      <c r="H1944" s="81">
        <v>1.0</v>
      </c>
      <c r="I1944" s="81">
        <v>3.0</v>
      </c>
      <c r="J1944" s="12"/>
      <c r="K1944" s="12">
        <f t="shared" si="95"/>
        <v>3750</v>
      </c>
      <c r="L1944" s="13" t="str">
        <f t="shared" si="96"/>
        <v>1 5-star + 5 RFC +  DME + 1 Patient Portal Login + 3 Completed Task</v>
      </c>
      <c r="M1944" s="13"/>
      <c r="N1944" s="13"/>
      <c r="O1944" s="14"/>
      <c r="P1944" s="14"/>
    </row>
    <row r="1945" hidden="1">
      <c r="A1945" s="89" t="s">
        <v>307</v>
      </c>
      <c r="B1945" s="20" t="s">
        <v>167</v>
      </c>
      <c r="C1945" s="20" t="s">
        <v>168</v>
      </c>
      <c r="D1945" s="20" t="s">
        <v>169</v>
      </c>
      <c r="E1945" s="13"/>
      <c r="F1945" s="81">
        <v>7.0</v>
      </c>
      <c r="G1945" s="81">
        <v>6.0</v>
      </c>
      <c r="H1945" s="81">
        <v>1.0</v>
      </c>
      <c r="I1945" s="81">
        <v>5.0</v>
      </c>
      <c r="J1945" s="12"/>
      <c r="K1945" s="12">
        <f t="shared" si="95"/>
        <v>6500</v>
      </c>
      <c r="L1945" s="13" t="str">
        <f t="shared" si="96"/>
        <v> 5-star + 7 RFC + 6 DME + 1 Patient Portal Login + 5 Completed Task</v>
      </c>
      <c r="M1945" s="13"/>
      <c r="N1945" s="13"/>
      <c r="O1945" s="14"/>
      <c r="P1945" s="14"/>
    </row>
    <row r="1946" hidden="1">
      <c r="A1946" s="89" t="s">
        <v>307</v>
      </c>
      <c r="B1946" s="20" t="s">
        <v>170</v>
      </c>
      <c r="C1946" s="20" t="s">
        <v>171</v>
      </c>
      <c r="D1946" s="20" t="s">
        <v>172</v>
      </c>
      <c r="E1946" s="81">
        <v>1.0</v>
      </c>
      <c r="F1946" s="81">
        <v>3.0</v>
      </c>
      <c r="G1946" s="13"/>
      <c r="H1946" s="81">
        <v>8.0</v>
      </c>
      <c r="I1946" s="81">
        <v>4.0</v>
      </c>
      <c r="J1946" s="12"/>
      <c r="K1946" s="12">
        <f t="shared" si="95"/>
        <v>4750</v>
      </c>
      <c r="L1946" s="13" t="str">
        <f t="shared" si="96"/>
        <v>1 5-star + 3 RFC +  DME + 8 Patient Portal Login + 4 Completed Task</v>
      </c>
      <c r="M1946" s="13"/>
      <c r="N1946" s="13"/>
      <c r="O1946" s="14"/>
      <c r="P1946" s="14"/>
    </row>
    <row r="1947" hidden="1">
      <c r="A1947" s="89" t="s">
        <v>307</v>
      </c>
      <c r="B1947" s="16" t="s">
        <v>173</v>
      </c>
      <c r="C1947" s="16" t="s">
        <v>174</v>
      </c>
      <c r="D1947" s="16" t="s">
        <v>175</v>
      </c>
      <c r="E1947" s="81">
        <v>1.0</v>
      </c>
      <c r="F1947" s="81">
        <v>1.0</v>
      </c>
      <c r="G1947" s="13"/>
      <c r="H1947" s="81">
        <v>7.0</v>
      </c>
      <c r="I1947" s="81">
        <v>4.0</v>
      </c>
      <c r="J1947" s="12"/>
      <c r="K1947" s="12">
        <f t="shared" si="95"/>
        <v>3500</v>
      </c>
      <c r="L1947" s="13" t="str">
        <f t="shared" si="96"/>
        <v>1 5-star + 1 RFC +  DME + 7 Patient Portal Login + 4 Completed Task</v>
      </c>
      <c r="M1947" s="13"/>
      <c r="N1947" s="13"/>
      <c r="O1947" s="14"/>
      <c r="P1947" s="14"/>
    </row>
    <row r="1948" hidden="1">
      <c r="A1948" s="89" t="s">
        <v>307</v>
      </c>
      <c r="B1948" s="16" t="s">
        <v>176</v>
      </c>
      <c r="C1948" s="16" t="s">
        <v>177</v>
      </c>
      <c r="D1948" s="16" t="s">
        <v>178</v>
      </c>
      <c r="E1948" s="13"/>
      <c r="F1948" s="81">
        <v>1.0</v>
      </c>
      <c r="G1948" s="81">
        <v>1.0</v>
      </c>
      <c r="H1948" s="81">
        <v>4.0</v>
      </c>
      <c r="I1948" s="81">
        <v>4.0</v>
      </c>
      <c r="J1948" s="12"/>
      <c r="K1948" s="12">
        <f t="shared" si="95"/>
        <v>2750</v>
      </c>
      <c r="L1948" s="13" t="str">
        <f t="shared" si="96"/>
        <v> 5-star + 1 RFC + 1 DME + 4 Patient Portal Login + 4 Completed Task</v>
      </c>
      <c r="M1948" s="13"/>
      <c r="N1948" s="13"/>
      <c r="O1948" s="14"/>
      <c r="P1948" s="14"/>
    </row>
    <row r="1949" hidden="1">
      <c r="A1949" s="89" t="s">
        <v>307</v>
      </c>
      <c r="B1949" s="21" t="s">
        <v>291</v>
      </c>
      <c r="C1949" s="21" t="s">
        <v>292</v>
      </c>
      <c r="D1949" s="21" t="s">
        <v>293</v>
      </c>
      <c r="E1949" s="13"/>
      <c r="F1949" s="81">
        <v>4.0</v>
      </c>
      <c r="G1949" s="84">
        <v>2.0</v>
      </c>
      <c r="H1949" s="84">
        <v>9.0</v>
      </c>
      <c r="I1949" s="84">
        <v>5.0</v>
      </c>
      <c r="J1949" s="12"/>
      <c r="K1949" s="12">
        <f t="shared" si="95"/>
        <v>6000</v>
      </c>
      <c r="L1949" s="13" t="str">
        <f t="shared" si="96"/>
        <v> 5-star + 4 RFC + 2 DME + 9 Patient Portal Login + 5 Completed Task</v>
      </c>
      <c r="M1949" s="13"/>
      <c r="N1949" s="13"/>
      <c r="O1949" s="23"/>
      <c r="P1949" s="23"/>
    </row>
    <row r="1950" hidden="1">
      <c r="A1950" s="89" t="s">
        <v>307</v>
      </c>
      <c r="B1950" s="21" t="s">
        <v>294</v>
      </c>
      <c r="C1950" s="21" t="s">
        <v>295</v>
      </c>
      <c r="D1950" s="21" t="s">
        <v>296</v>
      </c>
      <c r="E1950" s="81">
        <v>2.0</v>
      </c>
      <c r="F1950" s="13"/>
      <c r="G1950" s="87"/>
      <c r="H1950" s="87"/>
      <c r="I1950" s="84">
        <v>4.0</v>
      </c>
      <c r="J1950" s="12"/>
      <c r="K1950" s="12">
        <f t="shared" si="95"/>
        <v>1500</v>
      </c>
      <c r="L1950" s="13" t="str">
        <f t="shared" si="96"/>
        <v>2 5-star +  RFC +  DME +  Patient Portal Login + 4 Completed Task</v>
      </c>
      <c r="M1950" s="13"/>
      <c r="N1950" s="13"/>
      <c r="O1950" s="23"/>
      <c r="P1950" s="23"/>
    </row>
    <row r="1951" hidden="1">
      <c r="A1951" s="89" t="s">
        <v>307</v>
      </c>
      <c r="B1951" s="21" t="s">
        <v>179</v>
      </c>
      <c r="C1951" s="21" t="s">
        <v>180</v>
      </c>
      <c r="D1951" s="21" t="s">
        <v>181</v>
      </c>
      <c r="E1951" s="81">
        <v>4.0</v>
      </c>
      <c r="F1951" s="81">
        <v>3.0</v>
      </c>
      <c r="G1951" s="87"/>
      <c r="H1951" s="84">
        <v>16.0</v>
      </c>
      <c r="I1951" s="84">
        <v>3.0</v>
      </c>
      <c r="J1951" s="12"/>
      <c r="K1951" s="12">
        <f t="shared" si="95"/>
        <v>7250</v>
      </c>
      <c r="L1951" s="13" t="str">
        <f t="shared" si="96"/>
        <v>4 5-star + 3 RFC +  DME + 16 Patient Portal Login + 3 Completed Task</v>
      </c>
      <c r="M1951" s="13"/>
      <c r="N1951" s="13"/>
      <c r="O1951" s="23"/>
      <c r="P1951" s="23"/>
    </row>
    <row r="1952" hidden="1">
      <c r="A1952" s="89" t="s">
        <v>307</v>
      </c>
      <c r="B1952" s="21" t="s">
        <v>182</v>
      </c>
      <c r="C1952" s="21" t="s">
        <v>183</v>
      </c>
      <c r="D1952" s="21" t="s">
        <v>184</v>
      </c>
      <c r="E1952" s="81">
        <v>2.0</v>
      </c>
      <c r="F1952" s="13"/>
      <c r="G1952" s="87"/>
      <c r="H1952" s="84">
        <v>12.0</v>
      </c>
      <c r="I1952" s="84">
        <v>3.0</v>
      </c>
      <c r="J1952" s="12"/>
      <c r="K1952" s="12">
        <f t="shared" si="95"/>
        <v>4250</v>
      </c>
      <c r="L1952" s="13" t="str">
        <f t="shared" si="96"/>
        <v>2 5-star +  RFC +  DME + 12 Patient Portal Login + 3 Completed Task</v>
      </c>
      <c r="M1952" s="13"/>
      <c r="N1952" s="13"/>
      <c r="O1952" s="23"/>
      <c r="P1952" s="23"/>
    </row>
    <row r="1953" hidden="1">
      <c r="A1953" s="89" t="s">
        <v>307</v>
      </c>
      <c r="B1953" s="21" t="s">
        <v>185</v>
      </c>
      <c r="C1953" s="21" t="s">
        <v>186</v>
      </c>
      <c r="D1953" s="21" t="s">
        <v>187</v>
      </c>
      <c r="E1953" s="13"/>
      <c r="F1953" s="13"/>
      <c r="G1953" s="87"/>
      <c r="H1953" s="87"/>
      <c r="I1953" s="87"/>
      <c r="J1953" s="12"/>
      <c r="K1953" s="12">
        <f t="shared" si="95"/>
        <v>0</v>
      </c>
      <c r="L1953" s="13" t="str">
        <f t="shared" si="96"/>
        <v> 5-star +  RFC +  DME +  Patient Portal Login +  Completed Task</v>
      </c>
      <c r="M1953" s="13"/>
      <c r="N1953" s="13"/>
      <c r="O1953" s="23"/>
      <c r="P1953" s="23"/>
    </row>
    <row r="1954" hidden="1">
      <c r="A1954" s="89" t="s">
        <v>307</v>
      </c>
      <c r="B1954" s="21" t="s">
        <v>188</v>
      </c>
      <c r="C1954" s="21" t="s">
        <v>189</v>
      </c>
      <c r="D1954" s="21" t="s">
        <v>190</v>
      </c>
      <c r="E1954" s="81">
        <v>1.0</v>
      </c>
      <c r="F1954" s="81">
        <v>2.0</v>
      </c>
      <c r="G1954" s="87"/>
      <c r="H1954" s="84">
        <v>5.0</v>
      </c>
      <c r="I1954" s="84">
        <v>5.0</v>
      </c>
      <c r="J1954" s="12"/>
      <c r="K1954" s="12">
        <f t="shared" si="95"/>
        <v>3750</v>
      </c>
      <c r="L1954" s="13" t="str">
        <f t="shared" si="96"/>
        <v>1 5-star + 2 RFC +  DME + 5 Patient Portal Login + 5 Completed Task</v>
      </c>
      <c r="M1954" s="13"/>
      <c r="N1954" s="13"/>
      <c r="O1954" s="23"/>
      <c r="P1954" s="23"/>
    </row>
    <row r="1955" hidden="1">
      <c r="A1955" s="89" t="s">
        <v>307</v>
      </c>
      <c r="B1955" s="61" t="s">
        <v>258</v>
      </c>
      <c r="C1955" s="21" t="s">
        <v>259</v>
      </c>
      <c r="D1955" s="21" t="s">
        <v>260</v>
      </c>
      <c r="E1955" s="81">
        <v>24.0</v>
      </c>
      <c r="F1955" s="13"/>
      <c r="G1955" s="84">
        <v>1.0</v>
      </c>
      <c r="H1955" s="84">
        <v>10.0</v>
      </c>
      <c r="I1955" s="84">
        <v>2.0</v>
      </c>
      <c r="J1955" s="12"/>
      <c r="K1955" s="12">
        <f t="shared" si="95"/>
        <v>9250</v>
      </c>
      <c r="L1955" s="13" t="str">
        <f t="shared" si="96"/>
        <v>24 5-star +  RFC + 1 DME + 10 Patient Portal Login + 2 Completed Task</v>
      </c>
      <c r="M1955" s="13"/>
      <c r="N1955" s="13"/>
      <c r="O1955" s="23"/>
      <c r="P1955" s="23"/>
    </row>
    <row r="1956" hidden="1">
      <c r="A1956" s="89" t="s">
        <v>307</v>
      </c>
      <c r="B1956" s="21" t="s">
        <v>262</v>
      </c>
      <c r="C1956" s="21" t="s">
        <v>263</v>
      </c>
      <c r="D1956" s="21" t="s">
        <v>264</v>
      </c>
      <c r="E1956" s="81">
        <v>18.0</v>
      </c>
      <c r="F1956" s="13"/>
      <c r="G1956" s="84">
        <v>1.0</v>
      </c>
      <c r="H1956" s="84">
        <v>2.0</v>
      </c>
      <c r="I1956" s="84">
        <v>5.0</v>
      </c>
      <c r="J1956" s="12"/>
      <c r="K1956" s="12">
        <f t="shared" si="95"/>
        <v>6500</v>
      </c>
      <c r="L1956" s="13" t="str">
        <f t="shared" si="96"/>
        <v>18 5-star +  RFC + 1 DME + 2 Patient Portal Login + 5 Completed Task</v>
      </c>
      <c r="M1956" s="13"/>
      <c r="N1956" s="13"/>
      <c r="O1956" s="23"/>
      <c r="P1956" s="23"/>
    </row>
    <row r="1957" hidden="1">
      <c r="A1957" s="89" t="s">
        <v>307</v>
      </c>
      <c r="B1957" s="21" t="s">
        <v>191</v>
      </c>
      <c r="C1957" s="21" t="s">
        <v>192</v>
      </c>
      <c r="D1957" s="21" t="s">
        <v>193</v>
      </c>
      <c r="E1957" s="81">
        <v>3.0</v>
      </c>
      <c r="F1957" s="81">
        <v>3.0</v>
      </c>
      <c r="G1957" s="87"/>
      <c r="H1957" s="84">
        <v>9.0</v>
      </c>
      <c r="I1957" s="84">
        <v>5.0</v>
      </c>
      <c r="J1957" s="12"/>
      <c r="K1957" s="12">
        <f t="shared" si="95"/>
        <v>5750</v>
      </c>
      <c r="L1957" s="13" t="str">
        <f t="shared" si="96"/>
        <v>3 5-star + 3 RFC +  DME + 9 Patient Portal Login + 5 Completed Task</v>
      </c>
      <c r="M1957" s="13"/>
      <c r="N1957" s="13"/>
      <c r="O1957" s="23"/>
      <c r="P1957" s="23"/>
    </row>
    <row r="1958" hidden="1">
      <c r="A1958" s="89" t="s">
        <v>307</v>
      </c>
      <c r="B1958" s="21" t="s">
        <v>194</v>
      </c>
      <c r="C1958" s="21" t="s">
        <v>195</v>
      </c>
      <c r="D1958" s="21" t="s">
        <v>196</v>
      </c>
      <c r="E1958" s="81">
        <v>4.0</v>
      </c>
      <c r="F1958" s="81">
        <v>5.0</v>
      </c>
      <c r="G1958" s="84">
        <v>2.0</v>
      </c>
      <c r="H1958" s="84">
        <v>14.0</v>
      </c>
      <c r="I1958" s="84">
        <v>5.0</v>
      </c>
      <c r="J1958" s="12"/>
      <c r="K1958" s="12">
        <f t="shared" si="95"/>
        <v>8750</v>
      </c>
      <c r="L1958" s="13" t="str">
        <f t="shared" si="96"/>
        <v>4 5-star + 5 RFC + 2 DME + 14 Patient Portal Login + 5 Completed Task</v>
      </c>
      <c r="M1958" s="13"/>
      <c r="N1958" s="13"/>
      <c r="O1958" s="23"/>
      <c r="P1958" s="23"/>
    </row>
    <row r="1959" hidden="1">
      <c r="A1959" s="89" t="s">
        <v>307</v>
      </c>
      <c r="B1959" s="21" t="s">
        <v>303</v>
      </c>
      <c r="C1959" s="21" t="s">
        <v>304</v>
      </c>
      <c r="D1959" s="21" t="s">
        <v>305</v>
      </c>
      <c r="E1959" s="81">
        <v>2.0</v>
      </c>
      <c r="F1959" s="13"/>
      <c r="G1959" s="87"/>
      <c r="H1959" s="84">
        <v>1.0</v>
      </c>
      <c r="I1959" s="84">
        <v>3.0</v>
      </c>
      <c r="J1959" s="12"/>
      <c r="K1959" s="12">
        <f t="shared" si="95"/>
        <v>1500</v>
      </c>
      <c r="L1959" s="13" t="str">
        <f t="shared" si="96"/>
        <v>2 5-star +  RFC +  DME + 1 Patient Portal Login + 3 Completed Task</v>
      </c>
      <c r="M1959" s="13"/>
      <c r="N1959" s="13"/>
      <c r="O1959" s="23"/>
      <c r="P1959" s="23"/>
    </row>
    <row r="1960" hidden="1">
      <c r="A1960" s="89" t="s">
        <v>307</v>
      </c>
      <c r="B1960" s="21" t="s">
        <v>197</v>
      </c>
      <c r="C1960" s="21" t="s">
        <v>198</v>
      </c>
      <c r="D1960" s="21" t="s">
        <v>199</v>
      </c>
      <c r="E1960" s="81">
        <v>1.0</v>
      </c>
      <c r="F1960" s="13"/>
      <c r="G1960" s="87"/>
      <c r="H1960" s="84">
        <v>4.0</v>
      </c>
      <c r="I1960" s="84">
        <v>5.0</v>
      </c>
      <c r="J1960" s="12"/>
      <c r="K1960" s="12">
        <f t="shared" si="95"/>
        <v>2500</v>
      </c>
      <c r="L1960" s="13" t="str">
        <f t="shared" si="96"/>
        <v>1 5-star +  RFC +  DME + 4 Patient Portal Login + 5 Completed Task</v>
      </c>
      <c r="M1960" s="13"/>
      <c r="N1960" s="13"/>
      <c r="O1960" s="23"/>
      <c r="P1960" s="23"/>
    </row>
    <row r="1961" hidden="1">
      <c r="A1961" s="89" t="s">
        <v>307</v>
      </c>
      <c r="B1961" s="21" t="s">
        <v>200</v>
      </c>
      <c r="C1961" s="21" t="s">
        <v>201</v>
      </c>
      <c r="D1961" s="21" t="s">
        <v>202</v>
      </c>
      <c r="E1961" s="13"/>
      <c r="F1961" s="13"/>
      <c r="G1961" s="87"/>
      <c r="H1961" s="84">
        <v>1.0</v>
      </c>
      <c r="I1961" s="84">
        <v>5.0</v>
      </c>
      <c r="J1961" s="12"/>
      <c r="K1961" s="12">
        <f t="shared" si="95"/>
        <v>1500</v>
      </c>
      <c r="L1961" s="13" t="str">
        <f t="shared" si="96"/>
        <v> 5-star +  RFC +  DME + 1 Patient Portal Login + 5 Completed Task</v>
      </c>
      <c r="M1961" s="13"/>
      <c r="N1961" s="13"/>
      <c r="O1961" s="23"/>
      <c r="P1961" s="23"/>
    </row>
    <row r="1962" hidden="1">
      <c r="A1962" s="54" t="s">
        <v>308</v>
      </c>
      <c r="B1962" s="7" t="s">
        <v>92</v>
      </c>
      <c r="C1962" s="7" t="s">
        <v>93</v>
      </c>
      <c r="D1962" s="7" t="s">
        <v>94</v>
      </c>
      <c r="E1962" s="90">
        <v>1.0</v>
      </c>
      <c r="F1962" s="90">
        <v>0.0</v>
      </c>
      <c r="G1962" s="90">
        <v>0.0</v>
      </c>
      <c r="H1962" s="90">
        <v>5.0</v>
      </c>
      <c r="I1962" s="90">
        <v>1.0</v>
      </c>
      <c r="J1962" s="12"/>
      <c r="K1962" s="12">
        <f t="shared" si="95"/>
        <v>1750</v>
      </c>
      <c r="L1962" s="13" t="str">
        <f t="shared" si="96"/>
        <v>1 5-star + 0 RFC + 0 DME + 5 Patient Portal Login + 1 Completed Task</v>
      </c>
      <c r="M1962" s="13"/>
      <c r="N1962" s="13"/>
      <c r="O1962" s="47"/>
      <c r="P1962" s="47"/>
    </row>
    <row r="1963" hidden="1">
      <c r="A1963" s="54" t="s">
        <v>308</v>
      </c>
      <c r="B1963" s="7" t="s">
        <v>95</v>
      </c>
      <c r="C1963" s="7" t="s">
        <v>96</v>
      </c>
      <c r="D1963" s="7" t="s">
        <v>97</v>
      </c>
      <c r="E1963" s="90">
        <v>2.0</v>
      </c>
      <c r="F1963" s="90">
        <v>0.0</v>
      </c>
      <c r="G1963" s="90">
        <v>0.0</v>
      </c>
      <c r="H1963" s="90">
        <v>0.0</v>
      </c>
      <c r="I1963" s="90">
        <v>2.0</v>
      </c>
      <c r="J1963" s="12"/>
      <c r="K1963" s="12">
        <f t="shared" si="95"/>
        <v>1000</v>
      </c>
      <c r="L1963" s="13" t="str">
        <f t="shared" si="96"/>
        <v>2 5-star + 0 RFC + 0 DME + 0 Patient Portal Login + 2 Completed Task</v>
      </c>
      <c r="M1963" s="13"/>
      <c r="N1963" s="13"/>
      <c r="O1963" s="47"/>
      <c r="P1963" s="47"/>
    </row>
    <row r="1964" hidden="1">
      <c r="A1964" s="54" t="s">
        <v>308</v>
      </c>
      <c r="B1964" s="7" t="s">
        <v>98</v>
      </c>
      <c r="C1964" s="7" t="s">
        <v>99</v>
      </c>
      <c r="D1964" s="7" t="s">
        <v>100</v>
      </c>
      <c r="E1964" s="90">
        <v>2.0</v>
      </c>
      <c r="F1964" s="90">
        <v>0.0</v>
      </c>
      <c r="G1964" s="90">
        <v>0.0</v>
      </c>
      <c r="H1964" s="90">
        <v>0.0</v>
      </c>
      <c r="I1964" s="90">
        <v>0.0</v>
      </c>
      <c r="J1964" s="12"/>
      <c r="K1964" s="12">
        <f t="shared" si="95"/>
        <v>500</v>
      </c>
      <c r="L1964" s="13" t="str">
        <f t="shared" si="96"/>
        <v>2 5-star + 0 RFC + 0 DME + 0 Patient Portal Login + 0 Completed Task</v>
      </c>
      <c r="M1964" s="13"/>
      <c r="N1964" s="13"/>
      <c r="O1964" s="47"/>
      <c r="P1964" s="47"/>
    </row>
    <row r="1965" hidden="1">
      <c r="A1965" s="54" t="s">
        <v>308</v>
      </c>
      <c r="B1965" s="7" t="s">
        <v>101</v>
      </c>
      <c r="C1965" s="7" t="s">
        <v>102</v>
      </c>
      <c r="D1965" s="7" t="s">
        <v>103</v>
      </c>
      <c r="E1965" s="90">
        <v>0.0</v>
      </c>
      <c r="F1965" s="90">
        <v>0.0</v>
      </c>
      <c r="G1965" s="90">
        <v>0.0</v>
      </c>
      <c r="H1965" s="90">
        <v>2.0</v>
      </c>
      <c r="I1965" s="90">
        <v>2.0</v>
      </c>
      <c r="J1965" s="12"/>
      <c r="K1965" s="12">
        <f t="shared" si="95"/>
        <v>1000</v>
      </c>
      <c r="L1965" s="13" t="str">
        <f t="shared" si="96"/>
        <v>0 5-star + 0 RFC + 0 DME + 2 Patient Portal Login + 2 Completed Task</v>
      </c>
      <c r="M1965" s="13"/>
      <c r="N1965" s="13"/>
      <c r="O1965" s="47"/>
      <c r="P1965" s="47"/>
    </row>
    <row r="1966" hidden="1">
      <c r="A1966" s="54" t="s">
        <v>308</v>
      </c>
      <c r="B1966" s="16" t="s">
        <v>271</v>
      </c>
      <c r="C1966" s="16" t="s">
        <v>272</v>
      </c>
      <c r="D1966" s="16" t="s">
        <v>273</v>
      </c>
      <c r="E1966" s="90">
        <v>0.0</v>
      </c>
      <c r="F1966" s="90">
        <v>0.0</v>
      </c>
      <c r="G1966" s="90">
        <v>0.0</v>
      </c>
      <c r="H1966" s="90">
        <v>0.0</v>
      </c>
      <c r="I1966" s="90">
        <v>0.0</v>
      </c>
      <c r="J1966" s="12"/>
      <c r="K1966" s="12">
        <f t="shared" si="95"/>
        <v>0</v>
      </c>
      <c r="L1966" s="13" t="str">
        <f t="shared" si="96"/>
        <v>0 5-star + 0 RFC + 0 DME + 0 Patient Portal Login + 0 Completed Task</v>
      </c>
      <c r="M1966" s="13"/>
      <c r="N1966" s="13"/>
      <c r="O1966" s="47"/>
      <c r="P1966" s="47"/>
    </row>
    <row r="1967" hidden="1">
      <c r="A1967" s="54" t="s">
        <v>308</v>
      </c>
      <c r="B1967" s="16" t="s">
        <v>104</v>
      </c>
      <c r="C1967" s="16" t="s">
        <v>105</v>
      </c>
      <c r="D1967" s="16" t="s">
        <v>106</v>
      </c>
      <c r="E1967" s="90">
        <v>0.0</v>
      </c>
      <c r="F1967" s="90">
        <v>0.0</v>
      </c>
      <c r="G1967" s="90">
        <v>0.0</v>
      </c>
      <c r="H1967" s="90">
        <v>2.0</v>
      </c>
      <c r="I1967" s="81">
        <v>3.0</v>
      </c>
      <c r="J1967" s="12"/>
      <c r="K1967" s="12">
        <f t="shared" si="95"/>
        <v>1250</v>
      </c>
      <c r="L1967" s="13" t="str">
        <f t="shared" si="96"/>
        <v>0 5-star + 0 RFC + 0 DME + 2 Patient Portal Login + 3 Completed Task</v>
      </c>
      <c r="M1967" s="13"/>
      <c r="N1967" s="13"/>
      <c r="O1967" s="47"/>
      <c r="P1967" s="47"/>
    </row>
    <row r="1968" hidden="1">
      <c r="A1968" s="54" t="s">
        <v>308</v>
      </c>
      <c r="B1968" s="16" t="s">
        <v>107</v>
      </c>
      <c r="C1968" s="16" t="s">
        <v>108</v>
      </c>
      <c r="D1968" s="16" t="s">
        <v>109</v>
      </c>
      <c r="E1968" s="90">
        <v>1.0</v>
      </c>
      <c r="F1968" s="90">
        <v>0.0</v>
      </c>
      <c r="G1968" s="90">
        <v>0.0</v>
      </c>
      <c r="H1968" s="90">
        <v>0.0</v>
      </c>
      <c r="I1968" s="81">
        <v>5.0</v>
      </c>
      <c r="J1968" s="12"/>
      <c r="K1968" s="12">
        <f t="shared" si="95"/>
        <v>1500</v>
      </c>
      <c r="L1968" s="13" t="str">
        <f t="shared" si="96"/>
        <v>1 5-star + 0 RFC + 0 DME + 0 Patient Portal Login + 5 Completed Task</v>
      </c>
      <c r="M1968" s="13"/>
      <c r="N1968" s="13"/>
      <c r="O1968" s="47"/>
      <c r="P1968" s="47"/>
    </row>
    <row r="1969" hidden="1">
      <c r="A1969" s="54" t="s">
        <v>308</v>
      </c>
      <c r="B1969" s="16" t="s">
        <v>110</v>
      </c>
      <c r="C1969" s="16" t="s">
        <v>111</v>
      </c>
      <c r="D1969" s="16" t="s">
        <v>112</v>
      </c>
      <c r="E1969" s="81">
        <v>1.0</v>
      </c>
      <c r="F1969" s="90">
        <v>0.0</v>
      </c>
      <c r="G1969" s="90">
        <v>0.0</v>
      </c>
      <c r="H1969" s="90">
        <v>2.0</v>
      </c>
      <c r="I1969" s="81">
        <v>2.0</v>
      </c>
      <c r="J1969" s="12"/>
      <c r="K1969" s="12">
        <f t="shared" si="95"/>
        <v>1250</v>
      </c>
      <c r="L1969" s="13" t="str">
        <f t="shared" si="96"/>
        <v>1 5-star + 0 RFC + 0 DME + 2 Patient Portal Login + 2 Completed Task</v>
      </c>
      <c r="M1969" s="13"/>
      <c r="N1969" s="13"/>
      <c r="O1969" s="47"/>
      <c r="P1969" s="47"/>
    </row>
    <row r="1970" hidden="1">
      <c r="A1970" s="54" t="s">
        <v>308</v>
      </c>
      <c r="B1970" s="16" t="s">
        <v>113</v>
      </c>
      <c r="C1970" s="16" t="s">
        <v>114</v>
      </c>
      <c r="D1970" s="16" t="s">
        <v>115</v>
      </c>
      <c r="E1970" s="90">
        <v>1.0</v>
      </c>
      <c r="F1970" s="90">
        <v>0.0</v>
      </c>
      <c r="G1970" s="90">
        <v>0.0</v>
      </c>
      <c r="H1970" s="90">
        <v>2.0</v>
      </c>
      <c r="I1970" s="81">
        <v>2.0</v>
      </c>
      <c r="J1970" s="12"/>
      <c r="K1970" s="12">
        <f t="shared" si="95"/>
        <v>1250</v>
      </c>
      <c r="L1970" s="13" t="str">
        <f t="shared" si="96"/>
        <v>1 5-star + 0 RFC + 0 DME + 2 Patient Portal Login + 2 Completed Task</v>
      </c>
      <c r="M1970" s="13"/>
      <c r="N1970" s="13"/>
      <c r="O1970" s="47"/>
      <c r="P1970" s="47"/>
    </row>
    <row r="1971" hidden="1">
      <c r="A1971" s="54" t="s">
        <v>308</v>
      </c>
      <c r="B1971" s="7" t="s">
        <v>116</v>
      </c>
      <c r="C1971" s="16" t="s">
        <v>117</v>
      </c>
      <c r="D1971" s="16" t="s">
        <v>118</v>
      </c>
      <c r="E1971" s="81">
        <v>0.0</v>
      </c>
      <c r="F1971" s="90">
        <v>0.0</v>
      </c>
      <c r="G1971" s="90">
        <v>0.0</v>
      </c>
      <c r="H1971" s="90">
        <v>4.0</v>
      </c>
      <c r="I1971" s="81">
        <v>4.0</v>
      </c>
      <c r="J1971" s="12"/>
      <c r="K1971" s="12">
        <f t="shared" si="95"/>
        <v>2000</v>
      </c>
      <c r="L1971" s="13" t="str">
        <f t="shared" si="96"/>
        <v>0 5-star + 0 RFC + 0 DME + 4 Patient Portal Login + 4 Completed Task</v>
      </c>
      <c r="M1971" s="13"/>
      <c r="N1971" s="13"/>
      <c r="O1971" s="47"/>
      <c r="P1971" s="47"/>
    </row>
    <row r="1972" hidden="1">
      <c r="A1972" s="54" t="s">
        <v>308</v>
      </c>
      <c r="B1972" s="16" t="s">
        <v>216</v>
      </c>
      <c r="C1972" s="16" t="s">
        <v>217</v>
      </c>
      <c r="D1972" s="16" t="s">
        <v>274</v>
      </c>
      <c r="E1972" s="90">
        <v>0.0</v>
      </c>
      <c r="F1972" s="81">
        <v>3.0</v>
      </c>
      <c r="G1972" s="90">
        <v>0.0</v>
      </c>
      <c r="H1972" s="81">
        <v>4.0</v>
      </c>
      <c r="I1972" s="81">
        <v>0.0</v>
      </c>
      <c r="J1972" s="12"/>
      <c r="K1972" s="12">
        <f t="shared" si="95"/>
        <v>2500</v>
      </c>
      <c r="L1972" s="13" t="str">
        <f t="shared" si="96"/>
        <v>0 5-star + 3 RFC + 0 DME + 4 Patient Portal Login + 0 Completed Task</v>
      </c>
      <c r="M1972" s="13"/>
      <c r="N1972" s="13"/>
      <c r="O1972" s="47"/>
      <c r="P1972" s="47"/>
    </row>
    <row r="1973" hidden="1">
      <c r="A1973" s="54" t="s">
        <v>308</v>
      </c>
      <c r="B1973" s="16" t="s">
        <v>119</v>
      </c>
      <c r="C1973" s="16" t="s">
        <v>120</v>
      </c>
      <c r="D1973" s="16" t="s">
        <v>121</v>
      </c>
      <c r="E1973" s="90">
        <v>1.0</v>
      </c>
      <c r="F1973" s="81">
        <v>1.0</v>
      </c>
      <c r="G1973" s="90">
        <v>0.0</v>
      </c>
      <c r="H1973" s="90">
        <v>1.0</v>
      </c>
      <c r="I1973" s="81">
        <v>5.0</v>
      </c>
      <c r="J1973" s="12"/>
      <c r="K1973" s="12">
        <f t="shared" si="95"/>
        <v>2250</v>
      </c>
      <c r="L1973" s="13" t="str">
        <f t="shared" si="96"/>
        <v>1 5-star + 1 RFC + 0 DME + 1 Patient Portal Login + 5 Completed Task</v>
      </c>
      <c r="M1973" s="13"/>
      <c r="N1973" s="13"/>
      <c r="O1973" s="47"/>
      <c r="P1973" s="47"/>
    </row>
    <row r="1974" hidden="1">
      <c r="A1974" s="54" t="s">
        <v>308</v>
      </c>
      <c r="B1974" s="16" t="s">
        <v>267</v>
      </c>
      <c r="C1974" s="16" t="s">
        <v>268</v>
      </c>
      <c r="D1974" s="16" t="s">
        <v>269</v>
      </c>
      <c r="E1974" s="90">
        <v>0.0</v>
      </c>
      <c r="F1974" s="81">
        <v>0.0</v>
      </c>
      <c r="G1974" s="90">
        <v>2.0</v>
      </c>
      <c r="H1974" s="81">
        <v>4.0</v>
      </c>
      <c r="I1974" s="81">
        <v>5.0</v>
      </c>
      <c r="J1974" s="12"/>
      <c r="K1974" s="12">
        <f t="shared" si="95"/>
        <v>2750</v>
      </c>
      <c r="L1974" s="13" t="str">
        <f t="shared" si="96"/>
        <v>0 5-star + 0 RFC + 2 DME + 4 Patient Portal Login + 5 Completed Task</v>
      </c>
      <c r="M1974" s="13"/>
      <c r="N1974" s="13"/>
      <c r="O1974" s="47"/>
      <c r="P1974" s="47"/>
    </row>
    <row r="1975" hidden="1">
      <c r="A1975" s="54" t="s">
        <v>308</v>
      </c>
      <c r="B1975" s="16" t="s">
        <v>275</v>
      </c>
      <c r="C1975" s="16" t="s">
        <v>276</v>
      </c>
      <c r="D1975" s="16" t="s">
        <v>277</v>
      </c>
      <c r="E1975" s="90">
        <v>0.0</v>
      </c>
      <c r="F1975" s="81">
        <v>0.0</v>
      </c>
      <c r="G1975" s="90">
        <v>0.0</v>
      </c>
      <c r="H1975" s="81">
        <v>1.0</v>
      </c>
      <c r="I1975" s="81">
        <v>5.0</v>
      </c>
      <c r="J1975" s="12"/>
      <c r="K1975" s="12">
        <f t="shared" si="95"/>
        <v>1500</v>
      </c>
      <c r="L1975" s="13" t="str">
        <f t="shared" si="96"/>
        <v>0 5-star + 0 RFC + 0 DME + 1 Patient Portal Login + 5 Completed Task</v>
      </c>
      <c r="M1975" s="13"/>
      <c r="N1975" s="13"/>
      <c r="O1975" s="47"/>
      <c r="P1975" s="47"/>
    </row>
    <row r="1976" hidden="1">
      <c r="A1976" s="54" t="s">
        <v>308</v>
      </c>
      <c r="B1976" s="16" t="s">
        <v>122</v>
      </c>
      <c r="C1976" s="16" t="s">
        <v>123</v>
      </c>
      <c r="D1976" s="16" t="s">
        <v>124</v>
      </c>
      <c r="E1976" s="90">
        <v>0.0</v>
      </c>
      <c r="F1976" s="81">
        <v>2.0</v>
      </c>
      <c r="G1976" s="81">
        <v>0.0</v>
      </c>
      <c r="H1976" s="81">
        <v>1.0</v>
      </c>
      <c r="I1976" s="81">
        <v>5.0</v>
      </c>
      <c r="J1976" s="12"/>
      <c r="K1976" s="12">
        <f t="shared" si="95"/>
        <v>2500</v>
      </c>
      <c r="L1976" s="13" t="str">
        <f t="shared" si="96"/>
        <v>0 5-star + 2 RFC + 0 DME + 1 Patient Portal Login + 5 Completed Task</v>
      </c>
      <c r="M1976" s="13"/>
      <c r="N1976" s="13"/>
      <c r="O1976" s="47"/>
      <c r="P1976" s="47"/>
    </row>
    <row r="1977" hidden="1">
      <c r="A1977" s="54" t="s">
        <v>308</v>
      </c>
      <c r="B1977" s="16" t="s">
        <v>125</v>
      </c>
      <c r="C1977" s="16" t="s">
        <v>126</v>
      </c>
      <c r="D1977" s="16" t="s">
        <v>127</v>
      </c>
      <c r="E1977" s="90">
        <v>0.0</v>
      </c>
      <c r="F1977" s="90">
        <v>0.0</v>
      </c>
      <c r="G1977" s="90">
        <v>0.0</v>
      </c>
      <c r="H1977" s="81">
        <v>2.0</v>
      </c>
      <c r="I1977" s="81">
        <v>5.0</v>
      </c>
      <c r="J1977" s="12"/>
      <c r="K1977" s="12">
        <f t="shared" si="95"/>
        <v>1750</v>
      </c>
      <c r="L1977" s="13" t="str">
        <f t="shared" si="96"/>
        <v>0 5-star + 0 RFC + 0 DME + 2 Patient Portal Login + 5 Completed Task</v>
      </c>
      <c r="M1977" s="13"/>
      <c r="N1977" s="13"/>
      <c r="O1977" s="47"/>
      <c r="P1977" s="47"/>
    </row>
    <row r="1978" hidden="1">
      <c r="A1978" s="54" t="s">
        <v>308</v>
      </c>
      <c r="B1978" s="16" t="s">
        <v>128</v>
      </c>
      <c r="C1978" s="16" t="s">
        <v>129</v>
      </c>
      <c r="D1978" s="16" t="s">
        <v>130</v>
      </c>
      <c r="E1978" s="90">
        <v>1.0</v>
      </c>
      <c r="F1978" s="90">
        <v>3.0</v>
      </c>
      <c r="G1978" s="90">
        <v>0.0</v>
      </c>
      <c r="H1978" s="81">
        <v>5.0</v>
      </c>
      <c r="I1978" s="81">
        <v>5.0</v>
      </c>
      <c r="J1978" s="12"/>
      <c r="K1978" s="12">
        <f t="shared" si="95"/>
        <v>4250</v>
      </c>
      <c r="L1978" s="13" t="str">
        <f t="shared" si="96"/>
        <v>1 5-star + 3 RFC + 0 DME + 5 Patient Portal Login + 5 Completed Task</v>
      </c>
      <c r="M1978" s="13"/>
      <c r="N1978" s="13"/>
      <c r="O1978" s="47"/>
      <c r="P1978" s="47"/>
    </row>
    <row r="1979" hidden="1">
      <c r="A1979" s="54" t="s">
        <v>308</v>
      </c>
      <c r="B1979" s="16" t="s">
        <v>131</v>
      </c>
      <c r="C1979" s="16" t="s">
        <v>132</v>
      </c>
      <c r="D1979" s="16" t="s">
        <v>133</v>
      </c>
      <c r="E1979" s="90">
        <v>0.0</v>
      </c>
      <c r="F1979" s="90">
        <v>0.0</v>
      </c>
      <c r="G1979" s="90">
        <v>1.0</v>
      </c>
      <c r="H1979" s="81">
        <v>4.0</v>
      </c>
      <c r="I1979" s="81">
        <v>5.0</v>
      </c>
      <c r="J1979" s="12"/>
      <c r="K1979" s="12">
        <f t="shared" si="95"/>
        <v>2500</v>
      </c>
      <c r="L1979" s="13" t="str">
        <f t="shared" si="96"/>
        <v>0 5-star + 0 RFC + 1 DME + 4 Patient Portal Login + 5 Completed Task</v>
      </c>
      <c r="M1979" s="13"/>
      <c r="N1979" s="13"/>
      <c r="O1979" s="47"/>
      <c r="P1979" s="47"/>
    </row>
    <row r="1980" hidden="1">
      <c r="A1980" s="54" t="s">
        <v>308</v>
      </c>
      <c r="B1980" s="16" t="s">
        <v>134</v>
      </c>
      <c r="C1980" s="16" t="s">
        <v>135</v>
      </c>
      <c r="D1980" s="16" t="s">
        <v>136</v>
      </c>
      <c r="E1980" s="90">
        <v>4.0</v>
      </c>
      <c r="F1980" s="81">
        <v>2.0</v>
      </c>
      <c r="G1980" s="90">
        <v>0.0</v>
      </c>
      <c r="H1980" s="81">
        <v>6.0</v>
      </c>
      <c r="I1980" s="81">
        <v>5.0</v>
      </c>
      <c r="J1980" s="12"/>
      <c r="K1980" s="12">
        <f t="shared" si="95"/>
        <v>4750</v>
      </c>
      <c r="L1980" s="13" t="str">
        <f t="shared" si="96"/>
        <v>4 5-star + 2 RFC + 0 DME + 6 Patient Portal Login + 5 Completed Task</v>
      </c>
      <c r="M1980" s="13"/>
      <c r="N1980" s="13"/>
      <c r="O1980" s="47"/>
      <c r="P1980" s="47"/>
    </row>
    <row r="1981" hidden="1">
      <c r="A1981" s="54" t="s">
        <v>308</v>
      </c>
      <c r="B1981" s="16" t="s">
        <v>137</v>
      </c>
      <c r="C1981" s="16" t="s">
        <v>138</v>
      </c>
      <c r="D1981" s="16" t="s">
        <v>139</v>
      </c>
      <c r="E1981" s="90">
        <v>2.0</v>
      </c>
      <c r="F1981" s="81">
        <v>1.0</v>
      </c>
      <c r="G1981" s="90">
        <v>3.0</v>
      </c>
      <c r="H1981" s="81">
        <v>7.0</v>
      </c>
      <c r="I1981" s="81">
        <v>5.0</v>
      </c>
      <c r="J1981" s="12"/>
      <c r="K1981" s="12">
        <f t="shared" si="95"/>
        <v>4750</v>
      </c>
      <c r="L1981" s="13" t="str">
        <f t="shared" si="96"/>
        <v>2 5-star + 1 RFC + 3 DME + 7 Patient Portal Login + 5 Completed Task</v>
      </c>
      <c r="M1981" s="13"/>
      <c r="N1981" s="13"/>
      <c r="O1981" s="47"/>
      <c r="P1981" s="47"/>
    </row>
    <row r="1982" hidden="1">
      <c r="A1982" s="54" t="s">
        <v>308</v>
      </c>
      <c r="B1982" s="16" t="s">
        <v>278</v>
      </c>
      <c r="C1982" s="16" t="s">
        <v>279</v>
      </c>
      <c r="D1982" s="16" t="s">
        <v>280</v>
      </c>
      <c r="E1982" s="90">
        <v>0.0</v>
      </c>
      <c r="F1982" s="81">
        <v>3.0</v>
      </c>
      <c r="G1982" s="90">
        <v>0.0</v>
      </c>
      <c r="H1982" s="90">
        <v>0.0</v>
      </c>
      <c r="I1982" s="81">
        <v>5.0</v>
      </c>
      <c r="J1982" s="12"/>
      <c r="K1982" s="12">
        <f t="shared" si="95"/>
        <v>2750</v>
      </c>
      <c r="L1982" s="13" t="str">
        <f t="shared" si="96"/>
        <v>0 5-star + 3 RFC + 0 DME + 0 Patient Portal Login + 5 Completed Task</v>
      </c>
      <c r="M1982" s="13"/>
      <c r="N1982" s="13"/>
      <c r="O1982" s="47"/>
      <c r="P1982" s="47"/>
    </row>
    <row r="1983" hidden="1">
      <c r="A1983" s="54" t="s">
        <v>308</v>
      </c>
      <c r="B1983" s="16" t="s">
        <v>140</v>
      </c>
      <c r="C1983" s="16" t="s">
        <v>141</v>
      </c>
      <c r="D1983" s="16" t="s">
        <v>142</v>
      </c>
      <c r="E1983" s="90">
        <v>2.0</v>
      </c>
      <c r="F1983" s="81">
        <v>1.0</v>
      </c>
      <c r="G1983" s="90">
        <v>0.0</v>
      </c>
      <c r="H1983" s="90">
        <v>5.0</v>
      </c>
      <c r="I1983" s="81">
        <v>5.0</v>
      </c>
      <c r="J1983" s="12"/>
      <c r="K1983" s="12">
        <f t="shared" si="95"/>
        <v>3500</v>
      </c>
      <c r="L1983" s="13" t="str">
        <f t="shared" si="96"/>
        <v>2 5-star + 1 RFC + 0 DME + 5 Patient Portal Login + 5 Completed Task</v>
      </c>
      <c r="M1983" s="13"/>
      <c r="N1983" s="13"/>
      <c r="O1983" s="47"/>
      <c r="P1983" s="47"/>
    </row>
    <row r="1984" hidden="1">
      <c r="A1984" s="54" t="s">
        <v>308</v>
      </c>
      <c r="B1984" s="16" t="s">
        <v>207</v>
      </c>
      <c r="C1984" s="16" t="s">
        <v>208</v>
      </c>
      <c r="D1984" s="16" t="s">
        <v>281</v>
      </c>
      <c r="E1984" s="90">
        <v>0.0</v>
      </c>
      <c r="F1984" s="81">
        <v>0.0</v>
      </c>
      <c r="G1984" s="90">
        <v>1.0</v>
      </c>
      <c r="H1984" s="81">
        <v>1.0</v>
      </c>
      <c r="I1984" s="81">
        <v>0.0</v>
      </c>
      <c r="J1984" s="12"/>
      <c r="K1984" s="12">
        <f t="shared" si="95"/>
        <v>500</v>
      </c>
      <c r="L1984" s="13" t="str">
        <f t="shared" si="96"/>
        <v>0 5-star + 0 RFC + 1 DME + 1 Patient Portal Login + 0 Completed Task</v>
      </c>
      <c r="M1984" s="13"/>
      <c r="N1984" s="13"/>
      <c r="O1984" s="47"/>
      <c r="P1984" s="47"/>
    </row>
    <row r="1985" hidden="1">
      <c r="A1985" s="54" t="s">
        <v>308</v>
      </c>
      <c r="B1985" s="16" t="s">
        <v>282</v>
      </c>
      <c r="C1985" s="16" t="s">
        <v>283</v>
      </c>
      <c r="D1985" s="16" t="s">
        <v>284</v>
      </c>
      <c r="E1985" s="81">
        <v>0.0</v>
      </c>
      <c r="F1985" s="90">
        <v>1.0</v>
      </c>
      <c r="G1985" s="90">
        <v>0.0</v>
      </c>
      <c r="H1985" s="90">
        <v>0.0</v>
      </c>
      <c r="I1985" s="81">
        <v>0.0</v>
      </c>
      <c r="J1985" s="12"/>
      <c r="K1985" s="12">
        <f t="shared" si="95"/>
        <v>500</v>
      </c>
      <c r="L1985" s="13" t="str">
        <f t="shared" si="96"/>
        <v>0 5-star + 1 RFC + 0 DME + 0 Patient Portal Login + 0 Completed Task</v>
      </c>
      <c r="M1985" s="13"/>
      <c r="N1985" s="13"/>
      <c r="O1985" s="47"/>
      <c r="P1985" s="47"/>
    </row>
    <row r="1986" hidden="1">
      <c r="A1986" s="54" t="s">
        <v>308</v>
      </c>
      <c r="B1986" s="16" t="s">
        <v>285</v>
      </c>
      <c r="C1986" s="16" t="s">
        <v>286</v>
      </c>
      <c r="D1986" s="16" t="s">
        <v>287</v>
      </c>
      <c r="E1986" s="90">
        <v>0.0</v>
      </c>
      <c r="F1986" s="81">
        <v>0.0</v>
      </c>
      <c r="G1986" s="90">
        <v>0.0</v>
      </c>
      <c r="H1986" s="90">
        <v>0.0</v>
      </c>
      <c r="I1986" s="81">
        <v>0.0</v>
      </c>
      <c r="J1986" s="12"/>
      <c r="K1986" s="12">
        <f t="shared" si="95"/>
        <v>0</v>
      </c>
      <c r="L1986" s="13" t="str">
        <f t="shared" si="96"/>
        <v>0 5-star + 0 RFC + 0 DME + 0 Patient Portal Login + 0 Completed Task</v>
      </c>
      <c r="M1986" s="13"/>
      <c r="N1986" s="13"/>
      <c r="O1986" s="47"/>
      <c r="P1986" s="47"/>
    </row>
    <row r="1987" hidden="1">
      <c r="A1987" s="54" t="s">
        <v>308</v>
      </c>
      <c r="B1987" s="16" t="s">
        <v>143</v>
      </c>
      <c r="C1987" s="16" t="s">
        <v>144</v>
      </c>
      <c r="D1987" s="16" t="s">
        <v>145</v>
      </c>
      <c r="E1987" s="81">
        <v>0.0</v>
      </c>
      <c r="F1987" s="90">
        <v>0.0</v>
      </c>
      <c r="G1987" s="90">
        <v>1.0</v>
      </c>
      <c r="H1987" s="81">
        <v>0.0</v>
      </c>
      <c r="I1987" s="81">
        <v>5.0</v>
      </c>
      <c r="J1987" s="12"/>
      <c r="K1987" s="12">
        <f t="shared" si="95"/>
        <v>1500</v>
      </c>
      <c r="L1987" s="13" t="str">
        <f t="shared" si="96"/>
        <v>0 5-star + 0 RFC + 1 DME + 0 Patient Portal Login + 5 Completed Task</v>
      </c>
      <c r="M1987" s="13"/>
      <c r="N1987" s="13"/>
      <c r="O1987" s="47"/>
      <c r="P1987" s="47"/>
    </row>
    <row r="1988" hidden="1">
      <c r="A1988" s="54" t="s">
        <v>308</v>
      </c>
      <c r="B1988" s="16" t="s">
        <v>146</v>
      </c>
      <c r="C1988" s="16" t="s">
        <v>147</v>
      </c>
      <c r="D1988" s="16" t="s">
        <v>148</v>
      </c>
      <c r="E1988" s="81">
        <v>0.0</v>
      </c>
      <c r="F1988" s="90">
        <v>1.0</v>
      </c>
      <c r="G1988" s="90">
        <v>2.0</v>
      </c>
      <c r="H1988" s="81">
        <v>5.0</v>
      </c>
      <c r="I1988" s="81">
        <v>5.0</v>
      </c>
      <c r="J1988" s="12"/>
      <c r="K1988" s="12">
        <f t="shared" si="95"/>
        <v>3500</v>
      </c>
      <c r="L1988" s="13" t="str">
        <f t="shared" si="96"/>
        <v>0 5-star + 1 RFC + 2 DME + 5 Patient Portal Login + 5 Completed Task</v>
      </c>
      <c r="M1988" s="13"/>
      <c r="N1988" s="13"/>
      <c r="O1988" s="47"/>
      <c r="P1988" s="47"/>
    </row>
    <row r="1989" hidden="1">
      <c r="A1989" s="54" t="s">
        <v>308</v>
      </c>
      <c r="B1989" s="16" t="s">
        <v>245</v>
      </c>
      <c r="C1989" s="16" t="s">
        <v>246</v>
      </c>
      <c r="D1989" s="16" t="s">
        <v>247</v>
      </c>
      <c r="E1989" s="81">
        <v>0.0</v>
      </c>
      <c r="F1989" s="90">
        <v>2.0</v>
      </c>
      <c r="G1989" s="90">
        <v>1.0</v>
      </c>
      <c r="H1989" s="81">
        <v>3.0</v>
      </c>
      <c r="I1989" s="81">
        <v>5.0</v>
      </c>
      <c r="J1989" s="12"/>
      <c r="K1989" s="12">
        <f t="shared" si="95"/>
        <v>3250</v>
      </c>
      <c r="L1989" s="13" t="str">
        <f t="shared" si="96"/>
        <v>0 5-star + 2 RFC + 1 DME + 3 Patient Portal Login + 5 Completed Task</v>
      </c>
      <c r="M1989" s="13"/>
      <c r="N1989" s="13"/>
      <c r="O1989" s="47"/>
      <c r="P1989" s="47"/>
    </row>
    <row r="1990" hidden="1">
      <c r="A1990" s="54" t="s">
        <v>308</v>
      </c>
      <c r="B1990" s="16" t="s">
        <v>210</v>
      </c>
      <c r="C1990" s="16" t="s">
        <v>211</v>
      </c>
      <c r="D1990" s="16" t="s">
        <v>212</v>
      </c>
      <c r="E1990" s="90">
        <v>0.0</v>
      </c>
      <c r="F1990" s="90">
        <v>0.0</v>
      </c>
      <c r="G1990" s="90">
        <v>0.0</v>
      </c>
      <c r="H1990" s="81">
        <v>1.0</v>
      </c>
      <c r="I1990" s="81">
        <v>0.0</v>
      </c>
      <c r="J1990" s="12"/>
      <c r="K1990" s="12">
        <f t="shared" si="95"/>
        <v>250</v>
      </c>
      <c r="L1990" s="13" t="str">
        <f t="shared" si="96"/>
        <v>0 5-star + 0 RFC + 0 DME + 1 Patient Portal Login + 0 Completed Task</v>
      </c>
      <c r="M1990" s="13"/>
      <c r="N1990" s="13"/>
      <c r="O1990" s="47"/>
      <c r="P1990" s="47"/>
    </row>
    <row r="1991" hidden="1">
      <c r="A1991" s="54" t="s">
        <v>308</v>
      </c>
      <c r="B1991" s="16" t="s">
        <v>149</v>
      </c>
      <c r="C1991" s="16" t="s">
        <v>150</v>
      </c>
      <c r="D1991" s="16" t="s">
        <v>151</v>
      </c>
      <c r="E1991" s="90">
        <v>0.0</v>
      </c>
      <c r="F1991" s="90">
        <v>4.0</v>
      </c>
      <c r="G1991" s="90">
        <v>0.0</v>
      </c>
      <c r="H1991" s="90">
        <v>4.0</v>
      </c>
      <c r="I1991" s="81">
        <v>5.0</v>
      </c>
      <c r="J1991" s="12"/>
      <c r="K1991" s="12">
        <f t="shared" si="95"/>
        <v>4250</v>
      </c>
      <c r="L1991" s="13" t="str">
        <f t="shared" si="96"/>
        <v>0 5-star + 4 RFC + 0 DME + 4 Patient Portal Login + 5 Completed Task</v>
      </c>
      <c r="M1991" s="13"/>
      <c r="N1991" s="13"/>
      <c r="O1991" s="47"/>
      <c r="P1991" s="47"/>
    </row>
    <row r="1992" hidden="1">
      <c r="A1992" s="54" t="s">
        <v>308</v>
      </c>
      <c r="B1992" s="16" t="s">
        <v>288</v>
      </c>
      <c r="C1992" s="16" t="s">
        <v>289</v>
      </c>
      <c r="D1992" s="16" t="s">
        <v>290</v>
      </c>
      <c r="E1992" s="90">
        <v>0.0</v>
      </c>
      <c r="F1992" s="90">
        <v>3.0</v>
      </c>
      <c r="G1992" s="90">
        <v>0.0</v>
      </c>
      <c r="H1992" s="81">
        <v>1.0</v>
      </c>
      <c r="I1992" s="81">
        <v>5.0</v>
      </c>
      <c r="J1992" s="12"/>
      <c r="K1992" s="12">
        <f t="shared" si="95"/>
        <v>3000</v>
      </c>
      <c r="L1992" s="13" t="str">
        <f t="shared" si="96"/>
        <v>0 5-star + 3 RFC + 0 DME + 1 Patient Portal Login + 5 Completed Task</v>
      </c>
      <c r="M1992" s="13"/>
      <c r="N1992" s="13"/>
      <c r="O1992" s="47"/>
      <c r="P1992" s="47"/>
    </row>
    <row r="1993" hidden="1">
      <c r="A1993" s="54" t="s">
        <v>308</v>
      </c>
      <c r="B1993" s="16" t="s">
        <v>152</v>
      </c>
      <c r="C1993" s="16" t="s">
        <v>153</v>
      </c>
      <c r="D1993" s="16" t="s">
        <v>154</v>
      </c>
      <c r="E1993" s="90">
        <v>0.0</v>
      </c>
      <c r="F1993" s="81">
        <v>3.0</v>
      </c>
      <c r="G1993" s="81">
        <v>2.0</v>
      </c>
      <c r="H1993" s="81">
        <v>4.0</v>
      </c>
      <c r="I1993" s="81">
        <v>5.0</v>
      </c>
      <c r="J1993" s="12"/>
      <c r="K1993" s="12">
        <f t="shared" si="95"/>
        <v>4250</v>
      </c>
      <c r="L1993" s="13" t="str">
        <f t="shared" si="96"/>
        <v>0 5-star + 3 RFC + 2 DME + 4 Patient Portal Login + 5 Completed Task</v>
      </c>
      <c r="M1993" s="13"/>
      <c r="N1993" s="13"/>
      <c r="O1993" s="47"/>
      <c r="P1993" s="47"/>
    </row>
    <row r="1994" hidden="1">
      <c r="A1994" s="54" t="s">
        <v>308</v>
      </c>
      <c r="B1994" s="16" t="s">
        <v>155</v>
      </c>
      <c r="C1994" s="16" t="s">
        <v>156</v>
      </c>
      <c r="D1994" s="16" t="s">
        <v>157</v>
      </c>
      <c r="E1994" s="81">
        <v>0.0</v>
      </c>
      <c r="F1994" s="90">
        <v>1.0</v>
      </c>
      <c r="G1994" s="81">
        <v>0.0</v>
      </c>
      <c r="H1994" s="81">
        <v>7.0</v>
      </c>
      <c r="I1994" s="81">
        <v>3.0</v>
      </c>
      <c r="J1994" s="12"/>
      <c r="K1994" s="12">
        <f t="shared" si="95"/>
        <v>3000</v>
      </c>
      <c r="L1994" s="13" t="str">
        <f t="shared" si="96"/>
        <v>0 5-star + 1 RFC + 0 DME + 7 Patient Portal Login + 3 Completed Task</v>
      </c>
      <c r="M1994" s="13"/>
      <c r="N1994" s="13"/>
      <c r="O1994" s="47"/>
      <c r="P1994" s="47"/>
    </row>
    <row r="1995" hidden="1">
      <c r="A1995" s="54" t="s">
        <v>308</v>
      </c>
      <c r="B1995" s="16" t="s">
        <v>158</v>
      </c>
      <c r="C1995" s="16" t="s">
        <v>159</v>
      </c>
      <c r="D1995" s="16" t="s">
        <v>160</v>
      </c>
      <c r="E1995" s="90">
        <v>0.0</v>
      </c>
      <c r="F1995" s="90">
        <v>3.0</v>
      </c>
      <c r="G1995" s="81">
        <v>2.0</v>
      </c>
      <c r="H1995" s="81">
        <v>4.0</v>
      </c>
      <c r="I1995" s="81">
        <v>5.0</v>
      </c>
      <c r="J1995" s="12"/>
      <c r="K1995" s="12">
        <f t="shared" si="95"/>
        <v>4250</v>
      </c>
      <c r="L1995" s="13" t="str">
        <f t="shared" si="96"/>
        <v>0 5-star + 3 RFC + 2 DME + 4 Patient Portal Login + 5 Completed Task</v>
      </c>
      <c r="M1995" s="13"/>
      <c r="N1995" s="13"/>
      <c r="O1995" s="47"/>
      <c r="P1995" s="47"/>
    </row>
    <row r="1996" hidden="1">
      <c r="A1996" s="54" t="s">
        <v>308</v>
      </c>
      <c r="B1996" s="20" t="s">
        <v>161</v>
      </c>
      <c r="C1996" s="20" t="s">
        <v>162</v>
      </c>
      <c r="D1996" s="20" t="s">
        <v>163</v>
      </c>
      <c r="E1996" s="90">
        <v>0.0</v>
      </c>
      <c r="F1996" s="81">
        <v>3.0</v>
      </c>
      <c r="G1996" s="81">
        <v>0.0</v>
      </c>
      <c r="H1996" s="81">
        <v>4.0</v>
      </c>
      <c r="I1996" s="81">
        <v>5.0</v>
      </c>
      <c r="J1996" s="12"/>
      <c r="K1996" s="12">
        <f t="shared" si="95"/>
        <v>3750</v>
      </c>
      <c r="L1996" s="13" t="str">
        <f t="shared" si="96"/>
        <v>0 5-star + 3 RFC + 0 DME + 4 Patient Portal Login + 5 Completed Task</v>
      </c>
      <c r="M1996" s="13"/>
      <c r="N1996" s="13"/>
      <c r="O1996" s="47"/>
      <c r="P1996" s="47"/>
    </row>
    <row r="1997" hidden="1">
      <c r="A1997" s="54" t="s">
        <v>308</v>
      </c>
      <c r="B1997" s="20" t="s">
        <v>164</v>
      </c>
      <c r="C1997" s="20" t="s">
        <v>165</v>
      </c>
      <c r="D1997" s="20" t="s">
        <v>166</v>
      </c>
      <c r="E1997" s="90">
        <v>0.0</v>
      </c>
      <c r="F1997" s="81">
        <v>2.0</v>
      </c>
      <c r="G1997" s="90">
        <v>0.0</v>
      </c>
      <c r="H1997" s="81">
        <v>0.0</v>
      </c>
      <c r="I1997" s="81">
        <v>5.0</v>
      </c>
      <c r="J1997" s="12"/>
      <c r="K1997" s="12">
        <f t="shared" si="95"/>
        <v>2250</v>
      </c>
      <c r="L1997" s="13" t="str">
        <f t="shared" si="96"/>
        <v>0 5-star + 2 RFC + 0 DME + 0 Patient Portal Login + 5 Completed Task</v>
      </c>
      <c r="M1997" s="13"/>
      <c r="N1997" s="13"/>
      <c r="O1997" s="47"/>
      <c r="P1997" s="47"/>
    </row>
    <row r="1998" hidden="1">
      <c r="A1998" s="54" t="s">
        <v>308</v>
      </c>
      <c r="B1998" s="20" t="s">
        <v>167</v>
      </c>
      <c r="C1998" s="20" t="s">
        <v>168</v>
      </c>
      <c r="D1998" s="20" t="s">
        <v>169</v>
      </c>
      <c r="E1998" s="90">
        <v>0.0</v>
      </c>
      <c r="F1998" s="81">
        <v>2.0</v>
      </c>
      <c r="G1998" s="90">
        <v>2.0</v>
      </c>
      <c r="H1998" s="81">
        <v>3.0</v>
      </c>
      <c r="I1998" s="81">
        <v>5.0</v>
      </c>
      <c r="J1998" s="12"/>
      <c r="K1998" s="12">
        <f t="shared" si="95"/>
        <v>3500</v>
      </c>
      <c r="L1998" s="13" t="str">
        <f t="shared" si="96"/>
        <v>0 5-star + 2 RFC + 2 DME + 3 Patient Portal Login + 5 Completed Task</v>
      </c>
      <c r="M1998" s="13"/>
      <c r="N1998" s="13"/>
      <c r="O1998" s="47"/>
      <c r="P1998" s="47"/>
    </row>
    <row r="1999" hidden="1">
      <c r="A1999" s="54" t="s">
        <v>308</v>
      </c>
      <c r="B1999" s="20" t="s">
        <v>170</v>
      </c>
      <c r="C1999" s="20" t="s">
        <v>171</v>
      </c>
      <c r="D1999" s="20" t="s">
        <v>172</v>
      </c>
      <c r="E1999" s="90">
        <v>0.0</v>
      </c>
      <c r="F1999" s="81">
        <v>28.0</v>
      </c>
      <c r="G1999" s="90">
        <v>1.0</v>
      </c>
      <c r="H1999" s="81">
        <v>1.0</v>
      </c>
      <c r="I1999" s="81">
        <v>5.0</v>
      </c>
      <c r="J1999" s="12"/>
      <c r="K1999" s="12">
        <f t="shared" si="95"/>
        <v>15750</v>
      </c>
      <c r="L1999" s="13" t="str">
        <f t="shared" si="96"/>
        <v>0 5-star + 28 RFC + 1 DME + 1 Patient Portal Login + 5 Completed Task</v>
      </c>
      <c r="M1999" s="13"/>
      <c r="N1999" s="13"/>
      <c r="O1999" s="47"/>
      <c r="P1999" s="47"/>
    </row>
    <row r="2000" hidden="1">
      <c r="A2000" s="54" t="s">
        <v>308</v>
      </c>
      <c r="B2000" s="16" t="s">
        <v>173</v>
      </c>
      <c r="C2000" s="16" t="s">
        <v>174</v>
      </c>
      <c r="D2000" s="16" t="s">
        <v>175</v>
      </c>
      <c r="E2000" s="90">
        <v>0.0</v>
      </c>
      <c r="F2000" s="81">
        <v>2.0</v>
      </c>
      <c r="G2000" s="81">
        <v>3.0</v>
      </c>
      <c r="H2000" s="81">
        <v>4.0</v>
      </c>
      <c r="I2000" s="81">
        <v>5.0</v>
      </c>
      <c r="J2000" s="12"/>
      <c r="K2000" s="12">
        <f t="shared" si="95"/>
        <v>4000</v>
      </c>
      <c r="L2000" s="13" t="str">
        <f t="shared" si="96"/>
        <v>0 5-star + 2 RFC + 3 DME + 4 Patient Portal Login + 5 Completed Task</v>
      </c>
      <c r="M2000" s="13"/>
      <c r="N2000" s="13"/>
      <c r="O2000" s="47"/>
      <c r="P2000" s="47"/>
    </row>
    <row r="2001" hidden="1">
      <c r="A2001" s="54" t="s">
        <v>308</v>
      </c>
      <c r="B2001" s="16" t="s">
        <v>176</v>
      </c>
      <c r="C2001" s="16" t="s">
        <v>177</v>
      </c>
      <c r="D2001" s="16" t="s">
        <v>178</v>
      </c>
      <c r="E2001" s="81">
        <v>0.0</v>
      </c>
      <c r="F2001" s="81">
        <v>5.0</v>
      </c>
      <c r="G2001" s="90">
        <v>0.0</v>
      </c>
      <c r="H2001" s="81">
        <v>5.0</v>
      </c>
      <c r="I2001" s="81">
        <v>5.0</v>
      </c>
      <c r="J2001" s="12"/>
      <c r="K2001" s="12">
        <f t="shared" si="95"/>
        <v>5000</v>
      </c>
      <c r="L2001" s="13" t="str">
        <f t="shared" si="96"/>
        <v>0 5-star + 5 RFC + 0 DME + 5 Patient Portal Login + 5 Completed Task</v>
      </c>
      <c r="M2001" s="13"/>
      <c r="N2001" s="13"/>
      <c r="O2001" s="47"/>
      <c r="P2001" s="47"/>
    </row>
    <row r="2002" hidden="1">
      <c r="A2002" s="54" t="s">
        <v>308</v>
      </c>
      <c r="B2002" s="21" t="s">
        <v>291</v>
      </c>
      <c r="C2002" s="21" t="s">
        <v>292</v>
      </c>
      <c r="D2002" s="21" t="s">
        <v>293</v>
      </c>
      <c r="E2002" s="90">
        <v>0.0</v>
      </c>
      <c r="F2002" s="90">
        <v>4.0</v>
      </c>
      <c r="G2002" s="84">
        <v>2.0</v>
      </c>
      <c r="H2002" s="84">
        <v>3.0</v>
      </c>
      <c r="I2002" s="84">
        <v>4.0</v>
      </c>
      <c r="J2002" s="12"/>
      <c r="K2002" s="12">
        <f t="shared" si="95"/>
        <v>4250</v>
      </c>
      <c r="L2002" s="13" t="str">
        <f t="shared" si="96"/>
        <v>0 5-star + 4 RFC + 2 DME + 3 Patient Portal Login + 4 Completed Task</v>
      </c>
      <c r="M2002" s="13"/>
      <c r="N2002" s="13"/>
      <c r="O2002" s="53"/>
      <c r="P2002" s="53"/>
    </row>
    <row r="2003" hidden="1">
      <c r="A2003" s="54" t="s">
        <v>308</v>
      </c>
      <c r="B2003" s="21" t="s">
        <v>294</v>
      </c>
      <c r="C2003" s="21" t="s">
        <v>295</v>
      </c>
      <c r="D2003" s="21" t="s">
        <v>296</v>
      </c>
      <c r="E2003" s="90">
        <v>1.0</v>
      </c>
      <c r="F2003" s="81">
        <v>0.0</v>
      </c>
      <c r="G2003" s="54">
        <v>0.0</v>
      </c>
      <c r="H2003" s="54">
        <v>0.0</v>
      </c>
      <c r="I2003" s="84">
        <v>5.0</v>
      </c>
      <c r="J2003" s="12"/>
      <c r="K2003" s="12">
        <f t="shared" si="95"/>
        <v>1500</v>
      </c>
      <c r="L2003" s="13" t="str">
        <f t="shared" si="96"/>
        <v>1 5-star + 0 RFC + 0 DME + 0 Patient Portal Login + 5 Completed Task</v>
      </c>
      <c r="M2003" s="13"/>
      <c r="N2003" s="13"/>
      <c r="O2003" s="53"/>
      <c r="P2003" s="53"/>
    </row>
    <row r="2004" hidden="1">
      <c r="A2004" s="54" t="s">
        <v>308</v>
      </c>
      <c r="B2004" s="21" t="s">
        <v>179</v>
      </c>
      <c r="C2004" s="21" t="s">
        <v>180</v>
      </c>
      <c r="D2004" s="21" t="s">
        <v>181</v>
      </c>
      <c r="E2004" s="81">
        <v>1.0</v>
      </c>
      <c r="F2004" s="81">
        <v>7.0</v>
      </c>
      <c r="G2004" s="54">
        <v>1.0</v>
      </c>
      <c r="H2004" s="84">
        <v>20.0</v>
      </c>
      <c r="I2004" s="84">
        <v>5.0</v>
      </c>
      <c r="J2004" s="12"/>
      <c r="K2004" s="12">
        <f t="shared" si="95"/>
        <v>10250</v>
      </c>
      <c r="L2004" s="13" t="str">
        <f t="shared" si="96"/>
        <v>1 5-star + 7 RFC + 1 DME + 20 Patient Portal Login + 5 Completed Task</v>
      </c>
      <c r="M2004" s="13"/>
      <c r="N2004" s="13"/>
      <c r="O2004" s="53"/>
      <c r="P2004" s="53"/>
    </row>
    <row r="2005" hidden="1">
      <c r="A2005" s="54" t="s">
        <v>308</v>
      </c>
      <c r="B2005" s="21" t="s">
        <v>182</v>
      </c>
      <c r="C2005" s="21" t="s">
        <v>183</v>
      </c>
      <c r="D2005" s="21" t="s">
        <v>184</v>
      </c>
      <c r="E2005" s="90">
        <v>0.0</v>
      </c>
      <c r="F2005" s="81">
        <v>0.0</v>
      </c>
      <c r="G2005" s="84">
        <v>0.0</v>
      </c>
      <c r="H2005" s="84">
        <v>11.0</v>
      </c>
      <c r="I2005" s="84">
        <v>3.0</v>
      </c>
      <c r="J2005" s="12"/>
      <c r="K2005" s="12">
        <f t="shared" si="95"/>
        <v>3500</v>
      </c>
      <c r="L2005" s="13" t="str">
        <f t="shared" si="96"/>
        <v>0 5-star + 0 RFC + 0 DME + 11 Patient Portal Login + 3 Completed Task</v>
      </c>
      <c r="M2005" s="13"/>
      <c r="N2005" s="13"/>
      <c r="O2005" s="53"/>
      <c r="P2005" s="53"/>
    </row>
    <row r="2006" hidden="1">
      <c r="A2006" s="54" t="s">
        <v>308</v>
      </c>
      <c r="B2006" s="21" t="s">
        <v>185</v>
      </c>
      <c r="C2006" s="21" t="s">
        <v>186</v>
      </c>
      <c r="D2006" s="21" t="s">
        <v>187</v>
      </c>
      <c r="E2006" s="81">
        <v>0.0</v>
      </c>
      <c r="F2006" s="81">
        <v>3.0</v>
      </c>
      <c r="G2006" s="54">
        <v>0.0</v>
      </c>
      <c r="H2006" s="84">
        <v>12.0</v>
      </c>
      <c r="I2006" s="84">
        <v>2.0</v>
      </c>
      <c r="J2006" s="12"/>
      <c r="K2006" s="12">
        <f t="shared" si="95"/>
        <v>5000</v>
      </c>
      <c r="L2006" s="13" t="str">
        <f t="shared" si="96"/>
        <v>0 5-star + 3 RFC + 0 DME + 12 Patient Portal Login + 2 Completed Task</v>
      </c>
      <c r="M2006" s="13"/>
      <c r="N2006" s="13"/>
      <c r="O2006" s="53"/>
      <c r="P2006" s="53"/>
    </row>
    <row r="2007" hidden="1">
      <c r="A2007" s="54" t="s">
        <v>308</v>
      </c>
      <c r="B2007" s="21" t="s">
        <v>188</v>
      </c>
      <c r="C2007" s="21" t="s">
        <v>189</v>
      </c>
      <c r="D2007" s="21" t="s">
        <v>190</v>
      </c>
      <c r="E2007" s="90">
        <v>0.0</v>
      </c>
      <c r="F2007" s="81">
        <v>2.0</v>
      </c>
      <c r="G2007" s="54">
        <v>0.0</v>
      </c>
      <c r="H2007" s="84">
        <v>4.0</v>
      </c>
      <c r="I2007" s="84">
        <v>4.0</v>
      </c>
      <c r="J2007" s="12"/>
      <c r="K2007" s="12">
        <f t="shared" si="95"/>
        <v>3000</v>
      </c>
      <c r="L2007" s="13" t="str">
        <f t="shared" si="96"/>
        <v>0 5-star + 2 RFC + 0 DME + 4 Patient Portal Login + 4 Completed Task</v>
      </c>
      <c r="M2007" s="13"/>
      <c r="N2007" s="13"/>
      <c r="O2007" s="53"/>
      <c r="P2007" s="53"/>
    </row>
    <row r="2008" hidden="1">
      <c r="A2008" s="54" t="s">
        <v>308</v>
      </c>
      <c r="B2008" s="61" t="s">
        <v>258</v>
      </c>
      <c r="C2008" s="21" t="s">
        <v>259</v>
      </c>
      <c r="D2008" s="21" t="s">
        <v>260</v>
      </c>
      <c r="E2008" s="81">
        <v>7.0</v>
      </c>
      <c r="F2008" s="90">
        <v>0.0</v>
      </c>
      <c r="G2008" s="84">
        <v>0.0</v>
      </c>
      <c r="H2008" s="84">
        <v>7.0</v>
      </c>
      <c r="I2008" s="84">
        <v>5.0</v>
      </c>
      <c r="J2008" s="12"/>
      <c r="K2008" s="12">
        <f t="shared" si="95"/>
        <v>4750</v>
      </c>
      <c r="L2008" s="13" t="str">
        <f t="shared" si="96"/>
        <v>7 5-star + 0 RFC + 0 DME + 7 Patient Portal Login + 5 Completed Task</v>
      </c>
      <c r="M2008" s="13"/>
      <c r="N2008" s="13"/>
      <c r="O2008" s="53"/>
      <c r="P2008" s="53"/>
    </row>
    <row r="2009" hidden="1">
      <c r="A2009" s="54" t="s">
        <v>308</v>
      </c>
      <c r="B2009" s="21" t="s">
        <v>262</v>
      </c>
      <c r="C2009" s="21" t="s">
        <v>263</v>
      </c>
      <c r="D2009" s="21" t="s">
        <v>264</v>
      </c>
      <c r="E2009" s="81">
        <v>30.0</v>
      </c>
      <c r="F2009" s="90">
        <v>0.0</v>
      </c>
      <c r="G2009" s="54">
        <v>1.0</v>
      </c>
      <c r="H2009" s="84">
        <v>4.0</v>
      </c>
      <c r="I2009" s="84">
        <v>5.0</v>
      </c>
      <c r="J2009" s="12"/>
      <c r="K2009" s="12">
        <f t="shared" si="95"/>
        <v>10000</v>
      </c>
      <c r="L2009" s="13" t="str">
        <f t="shared" si="96"/>
        <v>30 5-star + 0 RFC + 1 DME + 4 Patient Portal Login + 5 Completed Task</v>
      </c>
      <c r="M2009" s="13"/>
      <c r="N2009" s="13"/>
      <c r="O2009" s="53"/>
      <c r="P2009" s="53"/>
    </row>
    <row r="2010" hidden="1">
      <c r="A2010" s="54" t="s">
        <v>308</v>
      </c>
      <c r="B2010" s="21" t="s">
        <v>191</v>
      </c>
      <c r="C2010" s="21" t="s">
        <v>192</v>
      </c>
      <c r="D2010" s="21" t="s">
        <v>193</v>
      </c>
      <c r="E2010" s="81">
        <v>4.0</v>
      </c>
      <c r="F2010" s="90">
        <v>1.0</v>
      </c>
      <c r="G2010" s="84">
        <v>0.0</v>
      </c>
      <c r="H2010" s="84">
        <v>17.0</v>
      </c>
      <c r="I2010" s="84">
        <v>5.0</v>
      </c>
      <c r="J2010" s="12"/>
      <c r="K2010" s="12">
        <f t="shared" si="95"/>
        <v>7000</v>
      </c>
      <c r="L2010" s="13" t="str">
        <f t="shared" si="96"/>
        <v>4 5-star + 1 RFC + 0 DME + 17 Patient Portal Login + 5 Completed Task</v>
      </c>
      <c r="M2010" s="13"/>
      <c r="N2010" s="13"/>
      <c r="O2010" s="53"/>
      <c r="P2010" s="53"/>
    </row>
    <row r="2011" hidden="1">
      <c r="A2011" s="54" t="s">
        <v>308</v>
      </c>
      <c r="B2011" s="21" t="s">
        <v>194</v>
      </c>
      <c r="C2011" s="21" t="s">
        <v>195</v>
      </c>
      <c r="D2011" s="21" t="s">
        <v>196</v>
      </c>
      <c r="E2011" s="90">
        <v>8.0</v>
      </c>
      <c r="F2011" s="90">
        <v>2.0</v>
      </c>
      <c r="G2011" s="54">
        <v>2.0</v>
      </c>
      <c r="H2011" s="84">
        <v>10.0</v>
      </c>
      <c r="I2011" s="84">
        <v>5.0</v>
      </c>
      <c r="J2011" s="12"/>
      <c r="K2011" s="12">
        <f t="shared" si="95"/>
        <v>7250</v>
      </c>
      <c r="L2011" s="13" t="str">
        <f t="shared" si="96"/>
        <v>8 5-star + 2 RFC + 2 DME + 10 Patient Portal Login + 5 Completed Task</v>
      </c>
      <c r="M2011" s="13"/>
      <c r="N2011" s="13"/>
      <c r="O2011" s="53"/>
      <c r="P2011" s="53"/>
    </row>
    <row r="2012" hidden="1">
      <c r="A2012" s="54" t="s">
        <v>308</v>
      </c>
      <c r="B2012" s="21" t="s">
        <v>303</v>
      </c>
      <c r="C2012" s="21" t="s">
        <v>304</v>
      </c>
      <c r="D2012" s="21" t="s">
        <v>305</v>
      </c>
      <c r="E2012" s="81">
        <v>2.0</v>
      </c>
      <c r="F2012" s="90">
        <v>0.0</v>
      </c>
      <c r="G2012" s="54">
        <v>0.0</v>
      </c>
      <c r="H2012" s="54">
        <v>3.0</v>
      </c>
      <c r="I2012" s="84">
        <v>3.0</v>
      </c>
      <c r="J2012" s="12"/>
      <c r="K2012" s="12">
        <f t="shared" si="95"/>
        <v>2000</v>
      </c>
      <c r="L2012" s="13" t="str">
        <f t="shared" si="96"/>
        <v>2 5-star + 0 RFC + 0 DME + 3 Patient Portal Login + 3 Completed Task</v>
      </c>
      <c r="M2012" s="13"/>
      <c r="N2012" s="13"/>
      <c r="O2012" s="53"/>
      <c r="P2012" s="53"/>
    </row>
    <row r="2013" hidden="1">
      <c r="A2013" s="54" t="s">
        <v>308</v>
      </c>
      <c r="B2013" s="21" t="s">
        <v>197</v>
      </c>
      <c r="C2013" s="21" t="s">
        <v>198</v>
      </c>
      <c r="D2013" s="21" t="s">
        <v>199</v>
      </c>
      <c r="E2013" s="81">
        <v>2.0</v>
      </c>
      <c r="F2013" s="90">
        <v>0.0</v>
      </c>
      <c r="G2013" s="54">
        <v>0.0</v>
      </c>
      <c r="H2013" s="84">
        <v>4.0</v>
      </c>
      <c r="I2013" s="84">
        <v>5.0</v>
      </c>
      <c r="J2013" s="12"/>
      <c r="K2013" s="12">
        <f t="shared" si="95"/>
        <v>2750</v>
      </c>
      <c r="L2013" s="13" t="str">
        <f t="shared" si="96"/>
        <v>2 5-star + 0 RFC + 0 DME + 4 Patient Portal Login + 5 Completed Task</v>
      </c>
      <c r="M2013" s="13"/>
      <c r="N2013" s="13"/>
      <c r="O2013" s="53"/>
      <c r="P2013" s="53"/>
    </row>
    <row r="2014" hidden="1">
      <c r="A2014" s="54" t="s">
        <v>308</v>
      </c>
      <c r="B2014" s="21" t="s">
        <v>200</v>
      </c>
      <c r="C2014" s="21" t="s">
        <v>201</v>
      </c>
      <c r="D2014" s="21" t="s">
        <v>202</v>
      </c>
      <c r="E2014" s="81">
        <v>1.0</v>
      </c>
      <c r="F2014" s="90">
        <v>0.0</v>
      </c>
      <c r="G2014" s="54">
        <v>0.0</v>
      </c>
      <c r="H2014" s="84">
        <v>12.0</v>
      </c>
      <c r="I2014" s="84">
        <v>5.0</v>
      </c>
      <c r="J2014" s="12"/>
      <c r="K2014" s="12">
        <f t="shared" si="95"/>
        <v>4500</v>
      </c>
      <c r="L2014" s="13" t="str">
        <f t="shared" si="96"/>
        <v>1 5-star + 0 RFC + 0 DME + 12 Patient Portal Login + 5 Completed Task</v>
      </c>
      <c r="M2014" s="13"/>
      <c r="N2014" s="13"/>
      <c r="O2014" s="53"/>
      <c r="P2014" s="53"/>
    </row>
    <row r="2015" hidden="1">
      <c r="A2015" s="88" t="s">
        <v>309</v>
      </c>
      <c r="B2015" s="91" t="s">
        <v>271</v>
      </c>
      <c r="C2015" s="91" t="s">
        <v>272</v>
      </c>
      <c r="D2015" s="91" t="s">
        <v>273</v>
      </c>
      <c r="E2015" s="80"/>
      <c r="F2015" s="80"/>
      <c r="G2015" s="80"/>
      <c r="H2015" s="80"/>
      <c r="I2015" s="80"/>
      <c r="J2015" s="32"/>
      <c r="K2015" s="32">
        <f t="shared" si="95"/>
        <v>0</v>
      </c>
      <c r="L2015" s="83"/>
      <c r="M2015" s="83"/>
      <c r="N2015" s="83"/>
      <c r="O2015" s="14"/>
      <c r="P2015" s="14"/>
    </row>
    <row r="2016" hidden="1">
      <c r="A2016" s="88" t="s">
        <v>309</v>
      </c>
      <c r="B2016" s="91" t="s">
        <v>104</v>
      </c>
      <c r="C2016" s="91" t="s">
        <v>105</v>
      </c>
      <c r="D2016" s="91" t="s">
        <v>106</v>
      </c>
      <c r="E2016" s="80"/>
      <c r="F2016" s="80"/>
      <c r="G2016" s="80"/>
      <c r="H2016" s="80"/>
      <c r="I2016" s="80">
        <v>2.0</v>
      </c>
      <c r="J2016" s="32"/>
      <c r="K2016" s="32">
        <f t="shared" si="95"/>
        <v>500</v>
      </c>
      <c r="L2016" s="83" t="str">
        <f t="shared" ref="L2016:L2063" si="97"> E2016 &amp; " 5-star + " &amp; F2016 &amp; " RFC + " &amp; G2016 &amp; " DME + " &amp; H2016 &amp; " Patient Portal Login + " &amp; I2016 &amp; " Completed Task"
</f>
        <v> 5-star +  RFC +  DME +  Patient Portal Login + 2 Completed Task</v>
      </c>
      <c r="M2016" s="83"/>
      <c r="N2016" s="83"/>
      <c r="O2016" s="14"/>
      <c r="P2016" s="14"/>
    </row>
    <row r="2017" hidden="1">
      <c r="A2017" s="88" t="s">
        <v>309</v>
      </c>
      <c r="B2017" s="91" t="s">
        <v>107</v>
      </c>
      <c r="C2017" s="91" t="s">
        <v>108</v>
      </c>
      <c r="D2017" s="91" t="s">
        <v>109</v>
      </c>
      <c r="E2017" s="80"/>
      <c r="F2017" s="80"/>
      <c r="G2017" s="80"/>
      <c r="H2017" s="80"/>
      <c r="I2017" s="80">
        <v>3.0</v>
      </c>
      <c r="J2017" s="32"/>
      <c r="K2017" s="32">
        <f t="shared" si="95"/>
        <v>750</v>
      </c>
      <c r="L2017" s="83" t="str">
        <f t="shared" si="97"/>
        <v> 5-star +  RFC +  DME +  Patient Portal Login + 3 Completed Task</v>
      </c>
      <c r="M2017" s="83"/>
      <c r="N2017" s="83"/>
      <c r="O2017" s="14"/>
      <c r="P2017" s="14"/>
    </row>
    <row r="2018" hidden="1">
      <c r="A2018" s="88" t="s">
        <v>309</v>
      </c>
      <c r="B2018" s="91" t="s">
        <v>110</v>
      </c>
      <c r="C2018" s="91" t="s">
        <v>111</v>
      </c>
      <c r="D2018" s="91" t="s">
        <v>112</v>
      </c>
      <c r="E2018" s="80">
        <v>1.0</v>
      </c>
      <c r="F2018" s="80"/>
      <c r="G2018" s="80"/>
      <c r="H2018" s="80"/>
      <c r="I2018" s="80">
        <v>1.0</v>
      </c>
      <c r="J2018" s="32"/>
      <c r="K2018" s="32">
        <f t="shared" si="95"/>
        <v>500</v>
      </c>
      <c r="L2018" s="83" t="str">
        <f t="shared" si="97"/>
        <v>1 5-star +  RFC +  DME +  Patient Portal Login + 1 Completed Task</v>
      </c>
      <c r="M2018" s="83"/>
      <c r="N2018" s="83"/>
      <c r="O2018" s="14"/>
      <c r="P2018" s="14"/>
    </row>
    <row r="2019" hidden="1">
      <c r="A2019" s="88" t="s">
        <v>309</v>
      </c>
      <c r="B2019" s="91" t="s">
        <v>113</v>
      </c>
      <c r="C2019" s="91" t="s">
        <v>114</v>
      </c>
      <c r="D2019" s="91" t="s">
        <v>115</v>
      </c>
      <c r="E2019" s="80"/>
      <c r="F2019" s="80"/>
      <c r="G2019" s="80"/>
      <c r="H2019" s="80"/>
      <c r="I2019" s="80">
        <v>1.0</v>
      </c>
      <c r="J2019" s="32"/>
      <c r="K2019" s="32">
        <f t="shared" si="95"/>
        <v>250</v>
      </c>
      <c r="L2019" s="83" t="str">
        <f t="shared" si="97"/>
        <v> 5-star +  RFC +  DME +  Patient Portal Login + 1 Completed Task</v>
      </c>
      <c r="M2019" s="83"/>
      <c r="N2019" s="83"/>
      <c r="O2019" s="14"/>
      <c r="P2019" s="14"/>
    </row>
    <row r="2020" hidden="1">
      <c r="A2020" s="88" t="s">
        <v>309</v>
      </c>
      <c r="B2020" s="91" t="s">
        <v>116</v>
      </c>
      <c r="C2020" s="91" t="s">
        <v>117</v>
      </c>
      <c r="D2020" s="91" t="s">
        <v>118</v>
      </c>
      <c r="E2020" s="80">
        <v>1.0</v>
      </c>
      <c r="F2020" s="80"/>
      <c r="G2020" s="80"/>
      <c r="H2020" s="80"/>
      <c r="I2020" s="80">
        <v>2.0</v>
      </c>
      <c r="J2020" s="32"/>
      <c r="K2020" s="32">
        <f t="shared" si="95"/>
        <v>750</v>
      </c>
      <c r="L2020" s="83" t="str">
        <f t="shared" si="97"/>
        <v>1 5-star +  RFC +  DME +  Patient Portal Login + 2 Completed Task</v>
      </c>
      <c r="M2020" s="83"/>
      <c r="N2020" s="83"/>
      <c r="O2020" s="14"/>
      <c r="P2020" s="14"/>
    </row>
    <row r="2021" hidden="1">
      <c r="A2021" s="88" t="s">
        <v>309</v>
      </c>
      <c r="B2021" s="92" t="s">
        <v>216</v>
      </c>
      <c r="C2021" s="92" t="s">
        <v>217</v>
      </c>
      <c r="D2021" s="92" t="s">
        <v>274</v>
      </c>
      <c r="E2021" s="80"/>
      <c r="F2021" s="80">
        <v>4.0</v>
      </c>
      <c r="G2021" s="80"/>
      <c r="H2021" s="80">
        <v>1.0</v>
      </c>
      <c r="I2021" s="80">
        <v>5.0</v>
      </c>
      <c r="J2021" s="32"/>
      <c r="K2021" s="32">
        <f t="shared" si="95"/>
        <v>3500</v>
      </c>
      <c r="L2021" s="83" t="str">
        <f t="shared" si="97"/>
        <v> 5-star + 4 RFC +  DME + 1 Patient Portal Login + 5 Completed Task</v>
      </c>
      <c r="M2021" s="83"/>
      <c r="N2021" s="83"/>
      <c r="O2021" s="14"/>
      <c r="P2021" s="14"/>
    </row>
    <row r="2022" hidden="1">
      <c r="A2022" s="88" t="s">
        <v>309</v>
      </c>
      <c r="B2022" s="92" t="s">
        <v>119</v>
      </c>
      <c r="C2022" s="92" t="s">
        <v>120</v>
      </c>
      <c r="D2022" s="92" t="s">
        <v>121</v>
      </c>
      <c r="E2022" s="80"/>
      <c r="F2022" s="80">
        <v>1.0</v>
      </c>
      <c r="G2022" s="80"/>
      <c r="H2022" s="83"/>
      <c r="I2022" s="80">
        <v>4.0</v>
      </c>
      <c r="J2022" s="32"/>
      <c r="K2022" s="32">
        <f t="shared" si="95"/>
        <v>1500</v>
      </c>
      <c r="L2022" s="83" t="str">
        <f t="shared" si="97"/>
        <v> 5-star + 1 RFC +  DME +  Patient Portal Login + 4 Completed Task</v>
      </c>
      <c r="M2022" s="83"/>
      <c r="N2022" s="83"/>
      <c r="O2022" s="14"/>
      <c r="P2022" s="14"/>
    </row>
    <row r="2023" hidden="1">
      <c r="A2023" s="88" t="s">
        <v>309</v>
      </c>
      <c r="B2023" s="92" t="s">
        <v>267</v>
      </c>
      <c r="C2023" s="92" t="s">
        <v>268</v>
      </c>
      <c r="D2023" s="92" t="s">
        <v>269</v>
      </c>
      <c r="E2023" s="83"/>
      <c r="F2023" s="80">
        <v>6.0</v>
      </c>
      <c r="G2023" s="80"/>
      <c r="H2023" s="80">
        <v>5.0</v>
      </c>
      <c r="I2023" s="80">
        <v>5.0</v>
      </c>
      <c r="J2023" s="32"/>
      <c r="K2023" s="32">
        <f t="shared" si="95"/>
        <v>5500</v>
      </c>
      <c r="L2023" s="83" t="str">
        <f t="shared" si="97"/>
        <v> 5-star + 6 RFC +  DME + 5 Patient Portal Login + 5 Completed Task</v>
      </c>
      <c r="M2023" s="83"/>
      <c r="N2023" s="83"/>
      <c r="O2023" s="14"/>
      <c r="P2023" s="14"/>
    </row>
    <row r="2024" hidden="1">
      <c r="A2024" s="88" t="s">
        <v>309</v>
      </c>
      <c r="B2024" s="92" t="s">
        <v>275</v>
      </c>
      <c r="C2024" s="92" t="s">
        <v>276</v>
      </c>
      <c r="D2024" s="92" t="s">
        <v>277</v>
      </c>
      <c r="E2024" s="83"/>
      <c r="F2024" s="80">
        <v>2.0</v>
      </c>
      <c r="G2024" s="80"/>
      <c r="H2024" s="80">
        <v>4.0</v>
      </c>
      <c r="I2024" s="80">
        <v>4.0</v>
      </c>
      <c r="J2024" s="32"/>
      <c r="K2024" s="32">
        <f t="shared" si="95"/>
        <v>3000</v>
      </c>
      <c r="L2024" s="83" t="str">
        <f t="shared" si="97"/>
        <v> 5-star + 2 RFC +  DME + 4 Patient Portal Login + 4 Completed Task</v>
      </c>
      <c r="M2024" s="83"/>
      <c r="N2024" s="83"/>
      <c r="O2024" s="14"/>
      <c r="P2024" s="14"/>
    </row>
    <row r="2025" hidden="1">
      <c r="A2025" s="88" t="s">
        <v>309</v>
      </c>
      <c r="B2025" s="92" t="s">
        <v>122</v>
      </c>
      <c r="C2025" s="92" t="s">
        <v>123</v>
      </c>
      <c r="D2025" s="92" t="s">
        <v>124</v>
      </c>
      <c r="E2025" s="83"/>
      <c r="F2025" s="80">
        <v>2.0</v>
      </c>
      <c r="G2025" s="80">
        <v>2.0</v>
      </c>
      <c r="H2025" s="80">
        <v>5.0</v>
      </c>
      <c r="I2025" s="80">
        <v>5.0</v>
      </c>
      <c r="J2025" s="32"/>
      <c r="K2025" s="32">
        <f t="shared" si="95"/>
        <v>4000</v>
      </c>
      <c r="L2025" s="83" t="str">
        <f t="shared" si="97"/>
        <v> 5-star + 2 RFC + 2 DME + 5 Patient Portal Login + 5 Completed Task</v>
      </c>
      <c r="M2025" s="83"/>
      <c r="N2025" s="83"/>
      <c r="O2025" s="14"/>
      <c r="P2025" s="14"/>
    </row>
    <row r="2026" hidden="1">
      <c r="A2026" s="88" t="s">
        <v>309</v>
      </c>
      <c r="B2026" s="92" t="s">
        <v>125</v>
      </c>
      <c r="C2026" s="92" t="s">
        <v>126</v>
      </c>
      <c r="D2026" s="92" t="s">
        <v>127</v>
      </c>
      <c r="E2026" s="83"/>
      <c r="F2026" s="80"/>
      <c r="G2026" s="80"/>
      <c r="H2026" s="80">
        <v>2.0</v>
      </c>
      <c r="I2026" s="80">
        <v>5.0</v>
      </c>
      <c r="J2026" s="32"/>
      <c r="K2026" s="32">
        <f t="shared" si="95"/>
        <v>1750</v>
      </c>
      <c r="L2026" s="83" t="str">
        <f t="shared" si="97"/>
        <v> 5-star +  RFC +  DME + 2 Patient Portal Login + 5 Completed Task</v>
      </c>
      <c r="M2026" s="83"/>
      <c r="N2026" s="83"/>
      <c r="O2026" s="14"/>
      <c r="P2026" s="14"/>
    </row>
    <row r="2027" hidden="1">
      <c r="A2027" s="88" t="s">
        <v>309</v>
      </c>
      <c r="B2027" s="92" t="s">
        <v>128</v>
      </c>
      <c r="C2027" s="92" t="s">
        <v>129</v>
      </c>
      <c r="D2027" s="92" t="s">
        <v>130</v>
      </c>
      <c r="E2027" s="83"/>
      <c r="F2027" s="80"/>
      <c r="G2027" s="80"/>
      <c r="H2027" s="80">
        <v>2.0</v>
      </c>
      <c r="I2027" s="80">
        <v>5.0</v>
      </c>
      <c r="J2027" s="32"/>
      <c r="K2027" s="32">
        <f t="shared" si="95"/>
        <v>1750</v>
      </c>
      <c r="L2027" s="83" t="str">
        <f t="shared" si="97"/>
        <v> 5-star +  RFC +  DME + 2 Patient Portal Login + 5 Completed Task</v>
      </c>
      <c r="M2027" s="83"/>
      <c r="N2027" s="83"/>
      <c r="O2027" s="14"/>
      <c r="P2027" s="14"/>
    </row>
    <row r="2028" hidden="1">
      <c r="A2028" s="88" t="s">
        <v>309</v>
      </c>
      <c r="B2028" s="92" t="s">
        <v>131</v>
      </c>
      <c r="C2028" s="92" t="s">
        <v>132</v>
      </c>
      <c r="D2028" s="92" t="s">
        <v>133</v>
      </c>
      <c r="E2028" s="83"/>
      <c r="F2028" s="80"/>
      <c r="G2028" s="80"/>
      <c r="H2028" s="80">
        <v>2.0</v>
      </c>
      <c r="I2028" s="80">
        <v>5.0</v>
      </c>
      <c r="J2028" s="32"/>
      <c r="K2028" s="32">
        <f t="shared" si="95"/>
        <v>1750</v>
      </c>
      <c r="L2028" s="83" t="str">
        <f t="shared" si="97"/>
        <v> 5-star +  RFC +  DME + 2 Patient Portal Login + 5 Completed Task</v>
      </c>
      <c r="M2028" s="83"/>
      <c r="N2028" s="83"/>
      <c r="O2028" s="14"/>
      <c r="P2028" s="14"/>
    </row>
    <row r="2029" hidden="1">
      <c r="A2029" s="88" t="s">
        <v>309</v>
      </c>
      <c r="B2029" s="92" t="s">
        <v>134</v>
      </c>
      <c r="C2029" s="92" t="s">
        <v>135</v>
      </c>
      <c r="D2029" s="92" t="s">
        <v>136</v>
      </c>
      <c r="E2029" s="83"/>
      <c r="F2029" s="80">
        <v>1.0</v>
      </c>
      <c r="G2029" s="83"/>
      <c r="H2029" s="80">
        <v>3.0</v>
      </c>
      <c r="I2029" s="80">
        <v>5.0</v>
      </c>
      <c r="J2029" s="32"/>
      <c r="K2029" s="32">
        <f t="shared" si="95"/>
        <v>2500</v>
      </c>
      <c r="L2029" s="83" t="str">
        <f t="shared" si="97"/>
        <v> 5-star + 1 RFC +  DME + 3 Patient Portal Login + 5 Completed Task</v>
      </c>
      <c r="M2029" s="83"/>
      <c r="N2029" s="83"/>
      <c r="O2029" s="14"/>
      <c r="P2029" s="14"/>
    </row>
    <row r="2030" hidden="1">
      <c r="A2030" s="88" t="s">
        <v>309</v>
      </c>
      <c r="B2030" s="92" t="s">
        <v>137</v>
      </c>
      <c r="C2030" s="92" t="s">
        <v>138</v>
      </c>
      <c r="D2030" s="92" t="s">
        <v>139</v>
      </c>
      <c r="E2030" s="83"/>
      <c r="F2030" s="80">
        <v>1.0</v>
      </c>
      <c r="G2030" s="80"/>
      <c r="H2030" s="80">
        <v>3.0</v>
      </c>
      <c r="I2030" s="80">
        <v>5.0</v>
      </c>
      <c r="J2030" s="32"/>
      <c r="K2030" s="32">
        <f t="shared" si="95"/>
        <v>2500</v>
      </c>
      <c r="L2030" s="83" t="str">
        <f t="shared" si="97"/>
        <v> 5-star + 1 RFC +  DME + 3 Patient Portal Login + 5 Completed Task</v>
      </c>
      <c r="M2030" s="83"/>
      <c r="N2030" s="83"/>
      <c r="O2030" s="14"/>
      <c r="P2030" s="14"/>
    </row>
    <row r="2031" hidden="1">
      <c r="A2031" s="88" t="s">
        <v>309</v>
      </c>
      <c r="B2031" s="92" t="s">
        <v>278</v>
      </c>
      <c r="C2031" s="92" t="s">
        <v>279</v>
      </c>
      <c r="D2031" s="92" t="s">
        <v>280</v>
      </c>
      <c r="E2031" s="83"/>
      <c r="F2031" s="80">
        <v>2.0</v>
      </c>
      <c r="G2031" s="80"/>
      <c r="H2031" s="83"/>
      <c r="I2031" s="80">
        <v>5.0</v>
      </c>
      <c r="J2031" s="32"/>
      <c r="K2031" s="32">
        <f t="shared" si="95"/>
        <v>2250</v>
      </c>
      <c r="L2031" s="83" t="str">
        <f t="shared" si="97"/>
        <v> 5-star + 2 RFC +  DME +  Patient Portal Login + 5 Completed Task</v>
      </c>
      <c r="M2031" s="83"/>
      <c r="N2031" s="83"/>
      <c r="O2031" s="14"/>
      <c r="P2031" s="14"/>
    </row>
    <row r="2032" hidden="1">
      <c r="A2032" s="88" t="s">
        <v>309</v>
      </c>
      <c r="B2032" s="92" t="s">
        <v>140</v>
      </c>
      <c r="C2032" s="92" t="s">
        <v>141</v>
      </c>
      <c r="D2032" s="92" t="s">
        <v>142</v>
      </c>
      <c r="E2032" s="83"/>
      <c r="F2032" s="80">
        <v>3.0</v>
      </c>
      <c r="G2032" s="80"/>
      <c r="H2032" s="83"/>
      <c r="I2032" s="80">
        <v>5.0</v>
      </c>
      <c r="J2032" s="32"/>
      <c r="K2032" s="32">
        <f t="shared" si="95"/>
        <v>2750</v>
      </c>
      <c r="L2032" s="83" t="str">
        <f t="shared" si="97"/>
        <v> 5-star + 3 RFC +  DME +  Patient Portal Login + 5 Completed Task</v>
      </c>
      <c r="M2032" s="83"/>
      <c r="N2032" s="83"/>
      <c r="O2032" s="14"/>
      <c r="P2032" s="14"/>
    </row>
    <row r="2033" hidden="1">
      <c r="A2033" s="88" t="s">
        <v>309</v>
      </c>
      <c r="B2033" s="92" t="s">
        <v>207</v>
      </c>
      <c r="C2033" s="92" t="s">
        <v>208</v>
      </c>
      <c r="D2033" s="92" t="s">
        <v>281</v>
      </c>
      <c r="E2033" s="80"/>
      <c r="F2033" s="80">
        <v>1.0</v>
      </c>
      <c r="G2033" s="80"/>
      <c r="H2033" s="80">
        <v>8.0</v>
      </c>
      <c r="I2033" s="80">
        <v>5.0</v>
      </c>
      <c r="J2033" s="32"/>
      <c r="K2033" s="32">
        <f t="shared" si="95"/>
        <v>3750</v>
      </c>
      <c r="L2033" s="83" t="str">
        <f t="shared" si="97"/>
        <v> 5-star + 1 RFC +  DME + 8 Patient Portal Login + 5 Completed Task</v>
      </c>
      <c r="M2033" s="83"/>
      <c r="N2033" s="83"/>
      <c r="O2033" s="14"/>
      <c r="P2033" s="14"/>
    </row>
    <row r="2034" hidden="1">
      <c r="A2034" s="88" t="s">
        <v>309</v>
      </c>
      <c r="B2034" s="92" t="s">
        <v>282</v>
      </c>
      <c r="C2034" s="92" t="s">
        <v>283</v>
      </c>
      <c r="D2034" s="92" t="s">
        <v>284</v>
      </c>
      <c r="E2034" s="80">
        <v>1.0</v>
      </c>
      <c r="F2034" s="83"/>
      <c r="G2034" s="80"/>
      <c r="H2034" s="80"/>
      <c r="I2034" s="80">
        <v>1.0</v>
      </c>
      <c r="J2034" s="32"/>
      <c r="K2034" s="32">
        <f t="shared" si="95"/>
        <v>500</v>
      </c>
      <c r="L2034" s="83" t="str">
        <f t="shared" si="97"/>
        <v>1 5-star +  RFC +  DME +  Patient Portal Login + 1 Completed Task</v>
      </c>
      <c r="M2034" s="83"/>
      <c r="N2034" s="83"/>
      <c r="O2034" s="14"/>
      <c r="P2034" s="14"/>
    </row>
    <row r="2035" hidden="1">
      <c r="A2035" s="88" t="s">
        <v>309</v>
      </c>
      <c r="B2035" s="92" t="s">
        <v>285</v>
      </c>
      <c r="C2035" s="92" t="s">
        <v>286</v>
      </c>
      <c r="D2035" s="92" t="s">
        <v>287</v>
      </c>
      <c r="E2035" s="83"/>
      <c r="F2035" s="80">
        <v>7.0</v>
      </c>
      <c r="G2035" s="80"/>
      <c r="H2035" s="83"/>
      <c r="I2035" s="80">
        <v>4.0</v>
      </c>
      <c r="J2035" s="32"/>
      <c r="K2035" s="32">
        <f t="shared" si="95"/>
        <v>4500</v>
      </c>
      <c r="L2035" s="83" t="str">
        <f t="shared" si="97"/>
        <v> 5-star + 7 RFC +  DME +  Patient Portal Login + 4 Completed Task</v>
      </c>
      <c r="M2035" s="83"/>
      <c r="N2035" s="83"/>
      <c r="O2035" s="14"/>
      <c r="P2035" s="14"/>
    </row>
    <row r="2036" hidden="1">
      <c r="A2036" s="88" t="s">
        <v>309</v>
      </c>
      <c r="B2036" s="92" t="s">
        <v>143</v>
      </c>
      <c r="C2036" s="92" t="s">
        <v>144</v>
      </c>
      <c r="D2036" s="92" t="s">
        <v>145</v>
      </c>
      <c r="E2036" s="80">
        <v>1.0</v>
      </c>
      <c r="F2036" s="80"/>
      <c r="G2036" s="80"/>
      <c r="H2036" s="80">
        <v>5.0</v>
      </c>
      <c r="I2036" s="80">
        <v>5.0</v>
      </c>
      <c r="J2036" s="32"/>
      <c r="K2036" s="32">
        <f t="shared" si="95"/>
        <v>2750</v>
      </c>
      <c r="L2036" s="83" t="str">
        <f t="shared" si="97"/>
        <v>1 5-star +  RFC +  DME + 5 Patient Portal Login + 5 Completed Task</v>
      </c>
      <c r="M2036" s="83"/>
      <c r="N2036" s="83"/>
      <c r="O2036" s="14"/>
      <c r="P2036" s="14"/>
    </row>
    <row r="2037" hidden="1">
      <c r="A2037" s="88" t="s">
        <v>309</v>
      </c>
      <c r="B2037" s="92" t="s">
        <v>146</v>
      </c>
      <c r="C2037" s="92" t="s">
        <v>147</v>
      </c>
      <c r="D2037" s="92" t="s">
        <v>148</v>
      </c>
      <c r="E2037" s="80">
        <v>1.0</v>
      </c>
      <c r="F2037" s="83"/>
      <c r="G2037" s="83"/>
      <c r="H2037" s="80">
        <v>2.0</v>
      </c>
      <c r="I2037" s="80">
        <v>5.0</v>
      </c>
      <c r="J2037" s="32"/>
      <c r="K2037" s="32">
        <f t="shared" si="95"/>
        <v>2000</v>
      </c>
      <c r="L2037" s="83" t="str">
        <f t="shared" si="97"/>
        <v>1 5-star +  RFC +  DME + 2 Patient Portal Login + 5 Completed Task</v>
      </c>
      <c r="M2037" s="83"/>
      <c r="N2037" s="83"/>
      <c r="O2037" s="14"/>
      <c r="P2037" s="14"/>
    </row>
    <row r="2038" hidden="1">
      <c r="A2038" s="88" t="s">
        <v>309</v>
      </c>
      <c r="B2038" s="92" t="s">
        <v>245</v>
      </c>
      <c r="C2038" s="92" t="s">
        <v>246</v>
      </c>
      <c r="D2038" s="92" t="s">
        <v>247</v>
      </c>
      <c r="E2038" s="80">
        <v>1.0</v>
      </c>
      <c r="F2038" s="83"/>
      <c r="G2038" s="80"/>
      <c r="H2038" s="80">
        <v>3.0</v>
      </c>
      <c r="I2038" s="80">
        <v>4.0</v>
      </c>
      <c r="J2038" s="32"/>
      <c r="K2038" s="32">
        <f t="shared" si="95"/>
        <v>2000</v>
      </c>
      <c r="L2038" s="83" t="str">
        <f t="shared" si="97"/>
        <v>1 5-star +  RFC +  DME + 3 Patient Portal Login + 4 Completed Task</v>
      </c>
      <c r="M2038" s="83"/>
      <c r="N2038" s="83"/>
      <c r="O2038" s="14"/>
      <c r="P2038" s="14"/>
    </row>
    <row r="2039" hidden="1">
      <c r="A2039" s="88" t="s">
        <v>309</v>
      </c>
      <c r="B2039" s="92" t="s">
        <v>210</v>
      </c>
      <c r="C2039" s="92" t="s">
        <v>211</v>
      </c>
      <c r="D2039" s="92" t="s">
        <v>212</v>
      </c>
      <c r="E2039" s="80"/>
      <c r="F2039" s="80"/>
      <c r="G2039" s="80"/>
      <c r="H2039" s="80">
        <v>3.0</v>
      </c>
      <c r="I2039" s="80">
        <v>4.0</v>
      </c>
      <c r="J2039" s="32"/>
      <c r="K2039" s="32">
        <f t="shared" si="95"/>
        <v>1750</v>
      </c>
      <c r="L2039" s="83" t="str">
        <f t="shared" si="97"/>
        <v> 5-star +  RFC +  DME + 3 Patient Portal Login + 4 Completed Task</v>
      </c>
      <c r="M2039" s="83"/>
      <c r="N2039" s="83"/>
      <c r="O2039" s="14"/>
      <c r="P2039" s="14"/>
    </row>
    <row r="2040" hidden="1">
      <c r="A2040" s="88" t="s">
        <v>309</v>
      </c>
      <c r="B2040" s="92" t="s">
        <v>149</v>
      </c>
      <c r="C2040" s="92" t="s">
        <v>150</v>
      </c>
      <c r="D2040" s="92" t="s">
        <v>151</v>
      </c>
      <c r="E2040" s="83"/>
      <c r="F2040" s="83"/>
      <c r="G2040" s="80"/>
      <c r="H2040" s="83"/>
      <c r="I2040" s="80">
        <v>4.0</v>
      </c>
      <c r="J2040" s="32"/>
      <c r="K2040" s="32">
        <f t="shared" si="95"/>
        <v>1000</v>
      </c>
      <c r="L2040" s="83" t="str">
        <f t="shared" si="97"/>
        <v> 5-star +  RFC +  DME +  Patient Portal Login + 4 Completed Task</v>
      </c>
      <c r="M2040" s="83"/>
      <c r="N2040" s="83"/>
      <c r="O2040" s="14"/>
      <c r="P2040" s="14"/>
    </row>
    <row r="2041" hidden="1">
      <c r="A2041" s="88" t="s">
        <v>309</v>
      </c>
      <c r="B2041" s="92" t="s">
        <v>288</v>
      </c>
      <c r="C2041" s="92" t="s">
        <v>289</v>
      </c>
      <c r="D2041" s="92" t="s">
        <v>290</v>
      </c>
      <c r="E2041" s="83"/>
      <c r="F2041" s="80"/>
      <c r="G2041" s="80"/>
      <c r="H2041" s="80">
        <v>2.0</v>
      </c>
      <c r="I2041" s="80">
        <v>4.0</v>
      </c>
      <c r="J2041" s="32"/>
      <c r="K2041" s="32">
        <f t="shared" si="95"/>
        <v>1500</v>
      </c>
      <c r="L2041" s="83" t="str">
        <f t="shared" si="97"/>
        <v> 5-star +  RFC +  DME + 2 Patient Portal Login + 4 Completed Task</v>
      </c>
      <c r="M2041" s="83"/>
      <c r="N2041" s="83"/>
      <c r="O2041" s="14"/>
      <c r="P2041" s="14"/>
    </row>
    <row r="2042" hidden="1">
      <c r="A2042" s="88" t="s">
        <v>309</v>
      </c>
      <c r="B2042" s="92" t="s">
        <v>152</v>
      </c>
      <c r="C2042" s="92" t="s">
        <v>153</v>
      </c>
      <c r="D2042" s="92" t="s">
        <v>154</v>
      </c>
      <c r="E2042" s="83"/>
      <c r="F2042" s="80">
        <v>3.0</v>
      </c>
      <c r="G2042" s="80">
        <v>2.0</v>
      </c>
      <c r="H2042" s="80">
        <v>6.0</v>
      </c>
      <c r="I2042" s="80">
        <v>5.0</v>
      </c>
      <c r="J2042" s="32"/>
      <c r="K2042" s="32">
        <f t="shared" si="95"/>
        <v>4750</v>
      </c>
      <c r="L2042" s="83" t="str">
        <f t="shared" si="97"/>
        <v> 5-star + 3 RFC + 2 DME + 6 Patient Portal Login + 5 Completed Task</v>
      </c>
      <c r="M2042" s="83"/>
      <c r="N2042" s="83"/>
      <c r="O2042" s="14"/>
      <c r="P2042" s="14"/>
    </row>
    <row r="2043" hidden="1">
      <c r="A2043" s="88" t="s">
        <v>309</v>
      </c>
      <c r="B2043" s="92" t="s">
        <v>155</v>
      </c>
      <c r="C2043" s="92" t="s">
        <v>156</v>
      </c>
      <c r="D2043" s="92" t="s">
        <v>157</v>
      </c>
      <c r="E2043" s="80">
        <v>1.0</v>
      </c>
      <c r="F2043" s="80"/>
      <c r="G2043" s="80">
        <v>2.0</v>
      </c>
      <c r="H2043" s="80">
        <v>5.0</v>
      </c>
      <c r="I2043" s="80">
        <v>4.0</v>
      </c>
      <c r="J2043" s="32"/>
      <c r="K2043" s="32">
        <f t="shared" si="95"/>
        <v>3000</v>
      </c>
      <c r="L2043" s="83" t="str">
        <f t="shared" si="97"/>
        <v>1 5-star +  RFC + 2 DME + 5 Patient Portal Login + 4 Completed Task</v>
      </c>
      <c r="M2043" s="83"/>
      <c r="N2043" s="83"/>
      <c r="O2043" s="14"/>
      <c r="P2043" s="14"/>
    </row>
    <row r="2044" hidden="1">
      <c r="A2044" s="88" t="s">
        <v>309</v>
      </c>
      <c r="B2044" s="92" t="s">
        <v>158</v>
      </c>
      <c r="C2044" s="92" t="s">
        <v>159</v>
      </c>
      <c r="D2044" s="92" t="s">
        <v>160</v>
      </c>
      <c r="E2044" s="83"/>
      <c r="F2044" s="80"/>
      <c r="G2044" s="80">
        <v>2.0</v>
      </c>
      <c r="H2044" s="80">
        <v>3.0</v>
      </c>
      <c r="I2044" s="80">
        <v>5.0</v>
      </c>
      <c r="J2044" s="32"/>
      <c r="K2044" s="32">
        <f t="shared" si="95"/>
        <v>2500</v>
      </c>
      <c r="L2044" s="83" t="str">
        <f t="shared" si="97"/>
        <v> 5-star +  RFC + 2 DME + 3 Patient Portal Login + 5 Completed Task</v>
      </c>
      <c r="M2044" s="83"/>
      <c r="N2044" s="83"/>
      <c r="O2044" s="14"/>
      <c r="P2044" s="14"/>
    </row>
    <row r="2045" hidden="1">
      <c r="A2045" s="88" t="s">
        <v>309</v>
      </c>
      <c r="B2045" s="93" t="s">
        <v>161</v>
      </c>
      <c r="C2045" s="93" t="s">
        <v>162</v>
      </c>
      <c r="D2045" s="93" t="s">
        <v>163</v>
      </c>
      <c r="E2045" s="83"/>
      <c r="F2045" s="80">
        <v>3.0</v>
      </c>
      <c r="G2045" s="80">
        <v>5.0</v>
      </c>
      <c r="H2045" s="80">
        <v>6.0</v>
      </c>
      <c r="I2045" s="80">
        <v>5.0</v>
      </c>
      <c r="J2045" s="32"/>
      <c r="K2045" s="32">
        <f t="shared" si="95"/>
        <v>5500</v>
      </c>
      <c r="L2045" s="83" t="str">
        <f t="shared" si="97"/>
        <v> 5-star + 3 RFC + 5 DME + 6 Patient Portal Login + 5 Completed Task</v>
      </c>
      <c r="M2045" s="83"/>
      <c r="N2045" s="83"/>
      <c r="O2045" s="14"/>
      <c r="P2045" s="14"/>
    </row>
    <row r="2046" hidden="1">
      <c r="A2046" s="88" t="s">
        <v>309</v>
      </c>
      <c r="B2046" s="93" t="s">
        <v>164</v>
      </c>
      <c r="C2046" s="93" t="s">
        <v>165</v>
      </c>
      <c r="D2046" s="93" t="s">
        <v>166</v>
      </c>
      <c r="E2046" s="83"/>
      <c r="F2046" s="80">
        <v>1.0</v>
      </c>
      <c r="G2046" s="83"/>
      <c r="H2046" s="80">
        <v>4.0</v>
      </c>
      <c r="I2046" s="80">
        <v>4.0</v>
      </c>
      <c r="J2046" s="32"/>
      <c r="K2046" s="32">
        <f t="shared" si="95"/>
        <v>2500</v>
      </c>
      <c r="L2046" s="83" t="str">
        <f t="shared" si="97"/>
        <v> 5-star + 1 RFC +  DME + 4 Patient Portal Login + 4 Completed Task</v>
      </c>
      <c r="M2046" s="83"/>
      <c r="N2046" s="83"/>
      <c r="O2046" s="14"/>
      <c r="P2046" s="14"/>
    </row>
    <row r="2047" hidden="1">
      <c r="A2047" s="88" t="s">
        <v>309</v>
      </c>
      <c r="B2047" s="93" t="s">
        <v>167</v>
      </c>
      <c r="C2047" s="93" t="s">
        <v>168</v>
      </c>
      <c r="D2047" s="93" t="s">
        <v>169</v>
      </c>
      <c r="E2047" s="83"/>
      <c r="F2047" s="80">
        <v>7.0</v>
      </c>
      <c r="G2047" s="80"/>
      <c r="H2047" s="80">
        <v>1.0</v>
      </c>
      <c r="I2047" s="80">
        <v>5.0</v>
      </c>
      <c r="J2047" s="32"/>
      <c r="K2047" s="32">
        <f t="shared" si="95"/>
        <v>5000</v>
      </c>
      <c r="L2047" s="83" t="str">
        <f t="shared" si="97"/>
        <v> 5-star + 7 RFC +  DME + 1 Patient Portal Login + 5 Completed Task</v>
      </c>
      <c r="M2047" s="83"/>
      <c r="N2047" s="83"/>
      <c r="O2047" s="14"/>
      <c r="P2047" s="14"/>
    </row>
    <row r="2048" hidden="1">
      <c r="A2048" s="88" t="s">
        <v>309</v>
      </c>
      <c r="B2048" s="93" t="s">
        <v>170</v>
      </c>
      <c r="C2048" s="93" t="s">
        <v>171</v>
      </c>
      <c r="D2048" s="93" t="s">
        <v>172</v>
      </c>
      <c r="E2048" s="83"/>
      <c r="F2048" s="80">
        <v>5.0</v>
      </c>
      <c r="G2048" s="80"/>
      <c r="H2048" s="80">
        <v>1.0</v>
      </c>
      <c r="I2048" s="80">
        <v>5.0</v>
      </c>
      <c r="J2048" s="32"/>
      <c r="K2048" s="32">
        <f t="shared" si="95"/>
        <v>4000</v>
      </c>
      <c r="L2048" s="83" t="str">
        <f t="shared" si="97"/>
        <v> 5-star + 5 RFC +  DME + 1 Patient Portal Login + 5 Completed Task</v>
      </c>
      <c r="M2048" s="83"/>
      <c r="N2048" s="83"/>
      <c r="O2048" s="14"/>
      <c r="P2048" s="14"/>
    </row>
    <row r="2049" hidden="1">
      <c r="A2049" s="88" t="s">
        <v>309</v>
      </c>
      <c r="B2049" s="92" t="s">
        <v>173</v>
      </c>
      <c r="C2049" s="92" t="s">
        <v>174</v>
      </c>
      <c r="D2049" s="92" t="s">
        <v>175</v>
      </c>
      <c r="E2049" s="83"/>
      <c r="F2049" s="80">
        <v>3.0</v>
      </c>
      <c r="G2049" s="80">
        <v>2.0</v>
      </c>
      <c r="H2049" s="80">
        <v>6.0</v>
      </c>
      <c r="I2049" s="80">
        <v>5.0</v>
      </c>
      <c r="J2049" s="32"/>
      <c r="K2049" s="32">
        <f t="shared" si="95"/>
        <v>4750</v>
      </c>
      <c r="L2049" s="83" t="str">
        <f t="shared" si="97"/>
        <v> 5-star + 3 RFC + 2 DME + 6 Patient Portal Login + 5 Completed Task</v>
      </c>
      <c r="M2049" s="83"/>
      <c r="N2049" s="83"/>
      <c r="O2049" s="14"/>
      <c r="P2049" s="14"/>
    </row>
    <row r="2050" hidden="1">
      <c r="A2050" s="88" t="s">
        <v>309</v>
      </c>
      <c r="B2050" s="92" t="s">
        <v>176</v>
      </c>
      <c r="C2050" s="92" t="s">
        <v>177</v>
      </c>
      <c r="D2050" s="92" t="s">
        <v>178</v>
      </c>
      <c r="E2050" s="80">
        <v>1.0</v>
      </c>
      <c r="F2050" s="80">
        <v>6.0</v>
      </c>
      <c r="G2050" s="80"/>
      <c r="H2050" s="80">
        <v>6.0</v>
      </c>
      <c r="I2050" s="80">
        <v>4.0</v>
      </c>
      <c r="J2050" s="32"/>
      <c r="K2050" s="32">
        <f t="shared" si="95"/>
        <v>5750</v>
      </c>
      <c r="L2050" s="83" t="str">
        <f t="shared" si="97"/>
        <v>1 5-star + 6 RFC +  DME + 6 Patient Portal Login + 4 Completed Task</v>
      </c>
      <c r="M2050" s="83"/>
      <c r="N2050" s="83"/>
      <c r="O2050" s="14"/>
      <c r="P2050" s="14"/>
    </row>
    <row r="2051" hidden="1">
      <c r="A2051" s="88" t="s">
        <v>309</v>
      </c>
      <c r="B2051" s="94" t="s">
        <v>291</v>
      </c>
      <c r="C2051" s="94" t="s">
        <v>292</v>
      </c>
      <c r="D2051" s="94" t="s">
        <v>293</v>
      </c>
      <c r="E2051" s="83"/>
      <c r="F2051" s="80"/>
      <c r="G2051" s="85">
        <v>1.0</v>
      </c>
      <c r="H2051" s="85">
        <v>2.0</v>
      </c>
      <c r="I2051" s="85">
        <v>5.0</v>
      </c>
      <c r="J2051" s="32"/>
      <c r="K2051" s="32">
        <f t="shared" si="95"/>
        <v>2000</v>
      </c>
      <c r="L2051" s="83" t="str">
        <f t="shared" si="97"/>
        <v> 5-star +  RFC + 1 DME + 2 Patient Portal Login + 5 Completed Task</v>
      </c>
      <c r="M2051" s="83"/>
      <c r="N2051" s="83"/>
      <c r="O2051" s="23"/>
      <c r="P2051" s="23"/>
    </row>
    <row r="2052" hidden="1">
      <c r="A2052" s="88" t="s">
        <v>309</v>
      </c>
      <c r="B2052" s="94" t="s">
        <v>294</v>
      </c>
      <c r="C2052" s="94" t="s">
        <v>295</v>
      </c>
      <c r="D2052" s="94" t="s">
        <v>296</v>
      </c>
      <c r="E2052" s="83"/>
      <c r="F2052" s="80">
        <v>1.0</v>
      </c>
      <c r="G2052" s="85"/>
      <c r="H2052" s="85"/>
      <c r="I2052" s="85">
        <v>4.0</v>
      </c>
      <c r="J2052" s="32"/>
      <c r="K2052" s="32">
        <f t="shared" si="95"/>
        <v>1500</v>
      </c>
      <c r="L2052" s="83" t="str">
        <f t="shared" si="97"/>
        <v> 5-star + 1 RFC +  DME +  Patient Portal Login + 4 Completed Task</v>
      </c>
      <c r="M2052" s="83"/>
      <c r="N2052" s="83"/>
      <c r="O2052" s="23"/>
      <c r="P2052" s="23"/>
    </row>
    <row r="2053" hidden="1">
      <c r="A2053" s="88" t="s">
        <v>309</v>
      </c>
      <c r="B2053" s="94" t="s">
        <v>179</v>
      </c>
      <c r="C2053" s="94" t="s">
        <v>180</v>
      </c>
      <c r="D2053" s="94" t="s">
        <v>181</v>
      </c>
      <c r="E2053" s="80">
        <v>5.0</v>
      </c>
      <c r="F2053" s="80">
        <v>3.0</v>
      </c>
      <c r="G2053" s="85"/>
      <c r="H2053" s="85">
        <v>14.0</v>
      </c>
      <c r="I2053" s="85">
        <v>5.0</v>
      </c>
      <c r="J2053" s="32"/>
      <c r="K2053" s="32">
        <f t="shared" si="95"/>
        <v>7500</v>
      </c>
      <c r="L2053" s="83" t="str">
        <f t="shared" si="97"/>
        <v>5 5-star + 3 RFC +  DME + 14 Patient Portal Login + 5 Completed Task</v>
      </c>
      <c r="M2053" s="83"/>
      <c r="N2053" s="83"/>
      <c r="O2053" s="23"/>
      <c r="P2053" s="23"/>
    </row>
    <row r="2054" hidden="1">
      <c r="A2054" s="88" t="s">
        <v>309</v>
      </c>
      <c r="B2054" s="94" t="s">
        <v>182</v>
      </c>
      <c r="C2054" s="94" t="s">
        <v>183</v>
      </c>
      <c r="D2054" s="94" t="s">
        <v>184</v>
      </c>
      <c r="E2054" s="83"/>
      <c r="F2054" s="80">
        <v>2.0</v>
      </c>
      <c r="G2054" s="85">
        <v>2.0</v>
      </c>
      <c r="H2054" s="85">
        <v>10.0</v>
      </c>
      <c r="I2054" s="85">
        <v>4.0</v>
      </c>
      <c r="J2054" s="32"/>
      <c r="K2054" s="32">
        <f t="shared" si="95"/>
        <v>5000</v>
      </c>
      <c r="L2054" s="83" t="str">
        <f t="shared" si="97"/>
        <v> 5-star + 2 RFC + 2 DME + 10 Patient Portal Login + 4 Completed Task</v>
      </c>
      <c r="M2054" s="83"/>
      <c r="N2054" s="83"/>
      <c r="O2054" s="23"/>
      <c r="P2054" s="23"/>
    </row>
    <row r="2055" hidden="1">
      <c r="A2055" s="88" t="s">
        <v>309</v>
      </c>
      <c r="B2055" s="94" t="s">
        <v>185</v>
      </c>
      <c r="C2055" s="94" t="s">
        <v>186</v>
      </c>
      <c r="D2055" s="94" t="s">
        <v>187</v>
      </c>
      <c r="E2055" s="80">
        <v>2.0</v>
      </c>
      <c r="F2055" s="80">
        <v>5.0</v>
      </c>
      <c r="G2055" s="85"/>
      <c r="H2055" s="85">
        <v>17.0</v>
      </c>
      <c r="I2055" s="85">
        <v>3.0</v>
      </c>
      <c r="J2055" s="32"/>
      <c r="K2055" s="32">
        <f t="shared" si="95"/>
        <v>8000</v>
      </c>
      <c r="L2055" s="83" t="str">
        <f t="shared" si="97"/>
        <v>2 5-star + 5 RFC +  DME + 17 Patient Portal Login + 3 Completed Task</v>
      </c>
      <c r="M2055" s="83"/>
      <c r="N2055" s="83"/>
      <c r="O2055" s="23"/>
      <c r="P2055" s="23"/>
    </row>
    <row r="2056" hidden="1">
      <c r="A2056" s="88" t="s">
        <v>309</v>
      </c>
      <c r="B2056" s="94" t="s">
        <v>188</v>
      </c>
      <c r="C2056" s="94" t="s">
        <v>189</v>
      </c>
      <c r="D2056" s="94" t="s">
        <v>190</v>
      </c>
      <c r="E2056" s="83"/>
      <c r="F2056" s="80">
        <v>1.0</v>
      </c>
      <c r="G2056" s="85"/>
      <c r="H2056" s="85">
        <v>5.0</v>
      </c>
      <c r="I2056" s="85">
        <v>1.0</v>
      </c>
      <c r="J2056" s="32"/>
      <c r="K2056" s="32">
        <f t="shared" si="95"/>
        <v>2000</v>
      </c>
      <c r="L2056" s="83" t="str">
        <f t="shared" si="97"/>
        <v> 5-star + 1 RFC +  DME + 5 Patient Portal Login + 1 Completed Task</v>
      </c>
      <c r="M2056" s="83"/>
      <c r="N2056" s="83"/>
      <c r="O2056" s="23"/>
      <c r="P2056" s="23"/>
    </row>
    <row r="2057" hidden="1">
      <c r="A2057" s="88" t="s">
        <v>309</v>
      </c>
      <c r="B2057" s="95" t="s">
        <v>258</v>
      </c>
      <c r="C2057" s="94" t="s">
        <v>259</v>
      </c>
      <c r="D2057" s="94" t="s">
        <v>260</v>
      </c>
      <c r="E2057" s="80">
        <v>10.0</v>
      </c>
      <c r="F2057" s="83"/>
      <c r="G2057" s="85">
        <v>1.0</v>
      </c>
      <c r="H2057" s="85">
        <v>3.0</v>
      </c>
      <c r="I2057" s="85">
        <v>1.0</v>
      </c>
      <c r="J2057" s="32"/>
      <c r="K2057" s="32">
        <f t="shared" si="95"/>
        <v>3750</v>
      </c>
      <c r="L2057" s="83" t="str">
        <f t="shared" si="97"/>
        <v>10 5-star +  RFC + 1 DME + 3 Patient Portal Login + 1 Completed Task</v>
      </c>
      <c r="M2057" s="83"/>
      <c r="N2057" s="83"/>
      <c r="O2057" s="23"/>
      <c r="P2057" s="23"/>
    </row>
    <row r="2058" hidden="1">
      <c r="A2058" s="88" t="s">
        <v>309</v>
      </c>
      <c r="B2058" s="94" t="s">
        <v>262</v>
      </c>
      <c r="C2058" s="94" t="s">
        <v>263</v>
      </c>
      <c r="D2058" s="94" t="s">
        <v>264</v>
      </c>
      <c r="E2058" s="80">
        <v>18.0</v>
      </c>
      <c r="F2058" s="83"/>
      <c r="G2058" s="86"/>
      <c r="H2058" s="85">
        <v>2.0</v>
      </c>
      <c r="I2058" s="85">
        <v>3.0</v>
      </c>
      <c r="J2058" s="32"/>
      <c r="K2058" s="32">
        <f t="shared" si="95"/>
        <v>5750</v>
      </c>
      <c r="L2058" s="83" t="str">
        <f t="shared" si="97"/>
        <v>18 5-star +  RFC +  DME + 2 Patient Portal Login + 3 Completed Task</v>
      </c>
      <c r="M2058" s="83"/>
      <c r="N2058" s="83"/>
      <c r="O2058" s="23"/>
      <c r="P2058" s="23"/>
    </row>
    <row r="2059" hidden="1">
      <c r="A2059" s="88" t="s">
        <v>309</v>
      </c>
      <c r="B2059" s="94" t="s">
        <v>191</v>
      </c>
      <c r="C2059" s="94" t="s">
        <v>192</v>
      </c>
      <c r="D2059" s="94" t="s">
        <v>193</v>
      </c>
      <c r="E2059" s="80">
        <v>1.0</v>
      </c>
      <c r="F2059" s="83"/>
      <c r="G2059" s="85">
        <v>1.0</v>
      </c>
      <c r="H2059" s="85">
        <v>6.0</v>
      </c>
      <c r="I2059" s="85">
        <v>3.0</v>
      </c>
      <c r="J2059" s="32"/>
      <c r="K2059" s="32">
        <f t="shared" si="95"/>
        <v>2750</v>
      </c>
      <c r="L2059" s="83" t="str">
        <f t="shared" si="97"/>
        <v>1 5-star +  RFC + 1 DME + 6 Patient Portal Login + 3 Completed Task</v>
      </c>
      <c r="M2059" s="83"/>
      <c r="N2059" s="83"/>
      <c r="O2059" s="23"/>
      <c r="P2059" s="23"/>
    </row>
    <row r="2060" hidden="1">
      <c r="A2060" s="88" t="s">
        <v>309</v>
      </c>
      <c r="B2060" s="94" t="s">
        <v>194</v>
      </c>
      <c r="C2060" s="94" t="s">
        <v>195</v>
      </c>
      <c r="D2060" s="94" t="s">
        <v>196</v>
      </c>
      <c r="E2060" s="83"/>
      <c r="F2060" s="83"/>
      <c r="G2060" s="86"/>
      <c r="H2060" s="85">
        <v>11.0</v>
      </c>
      <c r="I2060" s="85">
        <v>4.0</v>
      </c>
      <c r="J2060" s="32"/>
      <c r="K2060" s="32">
        <f t="shared" si="95"/>
        <v>3750</v>
      </c>
      <c r="L2060" s="83" t="str">
        <f t="shared" si="97"/>
        <v> 5-star +  RFC +  DME + 11 Patient Portal Login + 4 Completed Task</v>
      </c>
      <c r="M2060" s="83"/>
      <c r="N2060" s="83"/>
      <c r="O2060" s="23"/>
      <c r="P2060" s="23"/>
    </row>
    <row r="2061" hidden="1">
      <c r="A2061" s="88" t="s">
        <v>309</v>
      </c>
      <c r="B2061" s="94" t="s">
        <v>303</v>
      </c>
      <c r="C2061" s="94" t="s">
        <v>304</v>
      </c>
      <c r="D2061" s="94" t="s">
        <v>305</v>
      </c>
      <c r="E2061" s="80">
        <v>3.0</v>
      </c>
      <c r="F2061" s="80"/>
      <c r="G2061" s="85"/>
      <c r="H2061" s="86"/>
      <c r="I2061" s="85">
        <v>3.0</v>
      </c>
      <c r="J2061" s="32"/>
      <c r="K2061" s="32">
        <f t="shared" si="95"/>
        <v>1500</v>
      </c>
      <c r="L2061" s="83" t="str">
        <f t="shared" si="97"/>
        <v>3 5-star +  RFC +  DME +  Patient Portal Login + 3 Completed Task</v>
      </c>
      <c r="M2061" s="83"/>
      <c r="N2061" s="83"/>
      <c r="O2061" s="23"/>
      <c r="P2061" s="23"/>
    </row>
    <row r="2062" hidden="1">
      <c r="A2062" s="88" t="s">
        <v>309</v>
      </c>
      <c r="B2062" s="94" t="s">
        <v>197</v>
      </c>
      <c r="C2062" s="94" t="s">
        <v>198</v>
      </c>
      <c r="D2062" s="94" t="s">
        <v>199</v>
      </c>
      <c r="E2062" s="80">
        <v>1.0</v>
      </c>
      <c r="F2062" s="83"/>
      <c r="G2062" s="86"/>
      <c r="H2062" s="85">
        <v>4.0</v>
      </c>
      <c r="I2062" s="85">
        <v>4.0</v>
      </c>
      <c r="J2062" s="32"/>
      <c r="K2062" s="32">
        <f t="shared" si="95"/>
        <v>2250</v>
      </c>
      <c r="L2062" s="83" t="str">
        <f t="shared" si="97"/>
        <v>1 5-star +  RFC +  DME + 4 Patient Portal Login + 4 Completed Task</v>
      </c>
      <c r="M2062" s="83"/>
      <c r="N2062" s="83"/>
      <c r="O2062" s="23"/>
      <c r="P2062" s="23"/>
    </row>
    <row r="2063" hidden="1">
      <c r="A2063" s="88" t="s">
        <v>309</v>
      </c>
      <c r="B2063" s="94" t="s">
        <v>200</v>
      </c>
      <c r="C2063" s="94" t="s">
        <v>201</v>
      </c>
      <c r="D2063" s="94" t="s">
        <v>202</v>
      </c>
      <c r="E2063" s="80">
        <v>1.0</v>
      </c>
      <c r="F2063" s="80"/>
      <c r="G2063" s="85"/>
      <c r="H2063" s="85">
        <v>11.0</v>
      </c>
      <c r="I2063" s="85">
        <v>3.0</v>
      </c>
      <c r="J2063" s="32"/>
      <c r="K2063" s="32">
        <f t="shared" si="95"/>
        <v>3750</v>
      </c>
      <c r="L2063" s="83" t="str">
        <f t="shared" si="97"/>
        <v>1 5-star +  RFC +  DME + 11 Patient Portal Login + 3 Completed Task</v>
      </c>
      <c r="M2063" s="83"/>
      <c r="N2063" s="83"/>
      <c r="O2063" s="23"/>
      <c r="P2063" s="23"/>
    </row>
    <row r="2064" hidden="1">
      <c r="A2064" s="34" t="s">
        <v>310</v>
      </c>
      <c r="B2064" s="92" t="s">
        <v>216</v>
      </c>
      <c r="C2064" s="91" t="s">
        <v>217</v>
      </c>
      <c r="D2064" s="92" t="s">
        <v>274</v>
      </c>
      <c r="E2064" s="80">
        <v>0.0</v>
      </c>
      <c r="F2064" s="80">
        <v>1.0</v>
      </c>
      <c r="G2064" s="80">
        <v>0.0</v>
      </c>
      <c r="H2064" s="80">
        <v>3.0</v>
      </c>
      <c r="I2064" s="80">
        <v>5.0</v>
      </c>
      <c r="J2064" s="32"/>
      <c r="K2064" s="32">
        <f t="shared" si="95"/>
        <v>2500</v>
      </c>
      <c r="L2064" s="80" t="s">
        <v>311</v>
      </c>
      <c r="M2064" s="80"/>
      <c r="N2064" s="80"/>
      <c r="O2064" s="14"/>
      <c r="P2064" s="14"/>
    </row>
    <row r="2065" hidden="1">
      <c r="A2065" s="34" t="s">
        <v>310</v>
      </c>
      <c r="B2065" s="92" t="s">
        <v>119</v>
      </c>
      <c r="C2065" s="91" t="s">
        <v>120</v>
      </c>
      <c r="D2065" s="92" t="s">
        <v>121</v>
      </c>
      <c r="E2065" s="80">
        <v>0.0</v>
      </c>
      <c r="F2065" s="80">
        <v>2.0</v>
      </c>
      <c r="G2065" s="80">
        <v>0.0</v>
      </c>
      <c r="H2065" s="80">
        <v>0.0</v>
      </c>
      <c r="I2065" s="80">
        <v>3.0</v>
      </c>
      <c r="J2065" s="32"/>
      <c r="K2065" s="32">
        <f t="shared" si="95"/>
        <v>1750</v>
      </c>
      <c r="L2065" s="80" t="s">
        <v>312</v>
      </c>
      <c r="M2065" s="80"/>
      <c r="N2065" s="80"/>
      <c r="O2065" s="14"/>
      <c r="P2065" s="14"/>
    </row>
    <row r="2066" hidden="1">
      <c r="A2066" s="34" t="s">
        <v>310</v>
      </c>
      <c r="B2066" s="92" t="s">
        <v>267</v>
      </c>
      <c r="C2066" s="91" t="s">
        <v>268</v>
      </c>
      <c r="D2066" s="92" t="s">
        <v>269</v>
      </c>
      <c r="E2066" s="80">
        <v>0.0</v>
      </c>
      <c r="F2066" s="80">
        <v>3.0</v>
      </c>
      <c r="G2066" s="80">
        <v>0.0</v>
      </c>
      <c r="H2066" s="80">
        <v>11.0</v>
      </c>
      <c r="I2066" s="80">
        <v>5.0</v>
      </c>
      <c r="J2066" s="32"/>
      <c r="K2066" s="32">
        <f t="shared" si="95"/>
        <v>5500</v>
      </c>
      <c r="L2066" s="80" t="s">
        <v>313</v>
      </c>
      <c r="M2066" s="80"/>
      <c r="N2066" s="80"/>
      <c r="O2066" s="14"/>
      <c r="P2066" s="14"/>
    </row>
    <row r="2067" hidden="1">
      <c r="A2067" s="34" t="s">
        <v>310</v>
      </c>
      <c r="B2067" s="92" t="s">
        <v>275</v>
      </c>
      <c r="C2067" s="91" t="s">
        <v>276</v>
      </c>
      <c r="D2067" s="92" t="s">
        <v>277</v>
      </c>
      <c r="E2067" s="80">
        <v>0.0</v>
      </c>
      <c r="F2067" s="80">
        <v>2.0</v>
      </c>
      <c r="G2067" s="80">
        <v>1.0</v>
      </c>
      <c r="H2067" s="80">
        <v>3.0</v>
      </c>
      <c r="I2067" s="80">
        <v>5.0</v>
      </c>
      <c r="J2067" s="32"/>
      <c r="K2067" s="32">
        <f t="shared" si="95"/>
        <v>3250</v>
      </c>
      <c r="L2067" s="80" t="s">
        <v>314</v>
      </c>
      <c r="M2067" s="80"/>
      <c r="N2067" s="80"/>
      <c r="O2067" s="14"/>
      <c r="P2067" s="14"/>
    </row>
    <row r="2068" hidden="1">
      <c r="A2068" s="34" t="s">
        <v>310</v>
      </c>
      <c r="B2068" s="92" t="s">
        <v>122</v>
      </c>
      <c r="C2068" s="91" t="s">
        <v>123</v>
      </c>
      <c r="D2068" s="92" t="s">
        <v>124</v>
      </c>
      <c r="E2068" s="80">
        <v>0.0</v>
      </c>
      <c r="F2068" s="80">
        <v>2.0</v>
      </c>
      <c r="G2068" s="80">
        <v>2.0</v>
      </c>
      <c r="H2068" s="80">
        <v>0.0</v>
      </c>
      <c r="I2068" s="80">
        <v>5.0</v>
      </c>
      <c r="J2068" s="32"/>
      <c r="K2068" s="32">
        <f t="shared" si="95"/>
        <v>2750</v>
      </c>
      <c r="L2068" s="80" t="s">
        <v>315</v>
      </c>
      <c r="M2068" s="80"/>
      <c r="N2068" s="80"/>
      <c r="O2068" s="14"/>
      <c r="P2068" s="14"/>
    </row>
    <row r="2069" hidden="1">
      <c r="A2069" s="34" t="s">
        <v>310</v>
      </c>
      <c r="B2069" s="92" t="s">
        <v>125</v>
      </c>
      <c r="C2069" s="91" t="s">
        <v>126</v>
      </c>
      <c r="D2069" s="92" t="s">
        <v>127</v>
      </c>
      <c r="E2069" s="80">
        <v>0.0</v>
      </c>
      <c r="F2069" s="80">
        <v>4.0</v>
      </c>
      <c r="G2069" s="80">
        <v>0.0</v>
      </c>
      <c r="H2069" s="80">
        <v>1.0</v>
      </c>
      <c r="I2069" s="80">
        <v>5.0</v>
      </c>
      <c r="J2069" s="32"/>
      <c r="K2069" s="32">
        <f t="shared" si="95"/>
        <v>3500</v>
      </c>
      <c r="L2069" s="80" t="s">
        <v>316</v>
      </c>
      <c r="M2069" s="80"/>
      <c r="N2069" s="80"/>
      <c r="O2069" s="14"/>
      <c r="P2069" s="14"/>
    </row>
    <row r="2070" hidden="1">
      <c r="A2070" s="34" t="s">
        <v>310</v>
      </c>
      <c r="B2070" s="92" t="s">
        <v>128</v>
      </c>
      <c r="C2070" s="91" t="s">
        <v>129</v>
      </c>
      <c r="D2070" s="92" t="s">
        <v>130</v>
      </c>
      <c r="E2070" s="80">
        <v>0.0</v>
      </c>
      <c r="F2070" s="80">
        <v>0.0</v>
      </c>
      <c r="G2070" s="80">
        <v>0.0</v>
      </c>
      <c r="H2070" s="80">
        <v>3.0</v>
      </c>
      <c r="I2070" s="80">
        <v>4.0</v>
      </c>
      <c r="J2070" s="32"/>
      <c r="K2070" s="32">
        <f t="shared" si="95"/>
        <v>1750</v>
      </c>
      <c r="L2070" s="80" t="s">
        <v>317</v>
      </c>
      <c r="M2070" s="80"/>
      <c r="N2070" s="80"/>
      <c r="O2070" s="14"/>
      <c r="P2070" s="14"/>
    </row>
    <row r="2071" hidden="1">
      <c r="A2071" s="34" t="s">
        <v>310</v>
      </c>
      <c r="B2071" s="92" t="s">
        <v>131</v>
      </c>
      <c r="C2071" s="91" t="s">
        <v>132</v>
      </c>
      <c r="D2071" s="92" t="s">
        <v>133</v>
      </c>
      <c r="E2071" s="80">
        <v>0.0</v>
      </c>
      <c r="F2071" s="80">
        <v>7.0</v>
      </c>
      <c r="G2071" s="80">
        <v>0.0</v>
      </c>
      <c r="H2071" s="80">
        <v>8.0</v>
      </c>
      <c r="I2071" s="80">
        <v>5.0</v>
      </c>
      <c r="J2071" s="32"/>
      <c r="K2071" s="32">
        <f t="shared" si="95"/>
        <v>6750</v>
      </c>
      <c r="L2071" s="80" t="s">
        <v>318</v>
      </c>
      <c r="M2071" s="80"/>
      <c r="N2071" s="80"/>
      <c r="O2071" s="14"/>
      <c r="P2071" s="14"/>
    </row>
    <row r="2072" hidden="1">
      <c r="A2072" s="34" t="s">
        <v>310</v>
      </c>
      <c r="B2072" s="92" t="s">
        <v>134</v>
      </c>
      <c r="C2072" s="91" t="s">
        <v>135</v>
      </c>
      <c r="D2072" s="92" t="s">
        <v>136</v>
      </c>
      <c r="E2072" s="80">
        <v>0.0</v>
      </c>
      <c r="F2072" s="80">
        <v>2.0</v>
      </c>
      <c r="G2072" s="80">
        <v>1.0</v>
      </c>
      <c r="H2072" s="80">
        <v>3.0</v>
      </c>
      <c r="I2072" s="80">
        <v>5.0</v>
      </c>
      <c r="J2072" s="32"/>
      <c r="K2072" s="32">
        <f t="shared" si="95"/>
        <v>3250</v>
      </c>
      <c r="L2072" s="80" t="s">
        <v>314</v>
      </c>
      <c r="M2072" s="80"/>
      <c r="N2072" s="80"/>
      <c r="O2072" s="14"/>
      <c r="P2072" s="14"/>
    </row>
    <row r="2073" hidden="1">
      <c r="A2073" s="34" t="s">
        <v>310</v>
      </c>
      <c r="B2073" s="92" t="s">
        <v>137</v>
      </c>
      <c r="C2073" s="91" t="s">
        <v>138</v>
      </c>
      <c r="D2073" s="92" t="s">
        <v>139</v>
      </c>
      <c r="E2073" s="80">
        <v>0.0</v>
      </c>
      <c r="F2073" s="80">
        <v>2.0</v>
      </c>
      <c r="G2073" s="80">
        <v>1.0</v>
      </c>
      <c r="H2073" s="80">
        <v>5.0</v>
      </c>
      <c r="I2073" s="80">
        <v>5.0</v>
      </c>
      <c r="J2073" s="32"/>
      <c r="K2073" s="32">
        <f t="shared" si="95"/>
        <v>3750</v>
      </c>
      <c r="L2073" s="80" t="s">
        <v>319</v>
      </c>
      <c r="M2073" s="80"/>
      <c r="N2073" s="80"/>
      <c r="O2073" s="14"/>
      <c r="P2073" s="14"/>
    </row>
    <row r="2074" hidden="1">
      <c r="A2074" s="34" t="s">
        <v>310</v>
      </c>
      <c r="B2074" s="92" t="s">
        <v>278</v>
      </c>
      <c r="C2074" s="91" t="s">
        <v>279</v>
      </c>
      <c r="D2074" s="92" t="s">
        <v>280</v>
      </c>
      <c r="E2074" s="80">
        <v>0.0</v>
      </c>
      <c r="F2074" s="80">
        <v>2.0</v>
      </c>
      <c r="G2074" s="80">
        <v>0.0</v>
      </c>
      <c r="H2074" s="80">
        <v>5.0</v>
      </c>
      <c r="I2074" s="80">
        <v>4.0</v>
      </c>
      <c r="J2074" s="32"/>
      <c r="K2074" s="32">
        <f t="shared" si="95"/>
        <v>3250</v>
      </c>
      <c r="L2074" s="80" t="s">
        <v>320</v>
      </c>
      <c r="M2074" s="80"/>
      <c r="N2074" s="80"/>
      <c r="O2074" s="14"/>
      <c r="P2074" s="14"/>
    </row>
    <row r="2075" hidden="1">
      <c r="A2075" s="34" t="s">
        <v>310</v>
      </c>
      <c r="B2075" s="92" t="s">
        <v>140</v>
      </c>
      <c r="C2075" s="91" t="s">
        <v>141</v>
      </c>
      <c r="D2075" s="92" t="s">
        <v>142</v>
      </c>
      <c r="E2075" s="80">
        <v>0.0</v>
      </c>
      <c r="F2075" s="80">
        <v>3.0</v>
      </c>
      <c r="G2075" s="80">
        <v>0.0</v>
      </c>
      <c r="H2075" s="80">
        <v>6.0</v>
      </c>
      <c r="I2075" s="80">
        <v>5.0</v>
      </c>
      <c r="J2075" s="32"/>
      <c r="K2075" s="32">
        <f t="shared" si="95"/>
        <v>4250</v>
      </c>
      <c r="L2075" s="80" t="s">
        <v>321</v>
      </c>
      <c r="M2075" s="80"/>
      <c r="N2075" s="80"/>
      <c r="O2075" s="14"/>
      <c r="P2075" s="14"/>
    </row>
    <row r="2076" hidden="1">
      <c r="A2076" s="34" t="s">
        <v>310</v>
      </c>
      <c r="B2076" s="92" t="s">
        <v>207</v>
      </c>
      <c r="C2076" s="91" t="s">
        <v>208</v>
      </c>
      <c r="D2076" s="92" t="s">
        <v>281</v>
      </c>
      <c r="E2076" s="80">
        <v>0.0</v>
      </c>
      <c r="F2076" s="80">
        <v>1.0</v>
      </c>
      <c r="G2076" s="80">
        <v>0.0</v>
      </c>
      <c r="H2076" s="80">
        <v>5.0</v>
      </c>
      <c r="I2076" s="80">
        <v>5.0</v>
      </c>
      <c r="J2076" s="32"/>
      <c r="K2076" s="32">
        <f t="shared" si="95"/>
        <v>3000</v>
      </c>
      <c r="L2076" s="80" t="s">
        <v>322</v>
      </c>
      <c r="M2076" s="80"/>
      <c r="N2076" s="80"/>
      <c r="O2076" s="14"/>
      <c r="P2076" s="14"/>
    </row>
    <row r="2077" hidden="1">
      <c r="A2077" s="34" t="s">
        <v>310</v>
      </c>
      <c r="B2077" s="92" t="s">
        <v>282</v>
      </c>
      <c r="C2077" s="91" t="s">
        <v>283</v>
      </c>
      <c r="D2077" s="92" t="s">
        <v>284</v>
      </c>
      <c r="E2077" s="80">
        <v>0.0</v>
      </c>
      <c r="F2077" s="80">
        <v>2.0</v>
      </c>
      <c r="G2077" s="80">
        <v>0.0</v>
      </c>
      <c r="H2077" s="80">
        <v>0.0</v>
      </c>
      <c r="I2077" s="80">
        <v>5.0</v>
      </c>
      <c r="J2077" s="32"/>
      <c r="K2077" s="32">
        <f t="shared" si="95"/>
        <v>2250</v>
      </c>
      <c r="L2077" s="80" t="s">
        <v>323</v>
      </c>
      <c r="M2077" s="80"/>
      <c r="N2077" s="80"/>
      <c r="O2077" s="14"/>
      <c r="P2077" s="14"/>
    </row>
    <row r="2078" hidden="1">
      <c r="A2078" s="34" t="s">
        <v>310</v>
      </c>
      <c r="B2078" s="92" t="s">
        <v>285</v>
      </c>
      <c r="C2078" s="91" t="s">
        <v>286</v>
      </c>
      <c r="D2078" s="92" t="s">
        <v>287</v>
      </c>
      <c r="E2078" s="80">
        <v>0.0</v>
      </c>
      <c r="F2078" s="80">
        <v>0.0</v>
      </c>
      <c r="G2078" s="80">
        <v>0.0</v>
      </c>
      <c r="H2078" s="80">
        <v>2.0</v>
      </c>
      <c r="I2078" s="80">
        <v>5.0</v>
      </c>
      <c r="J2078" s="32"/>
      <c r="K2078" s="32">
        <f t="shared" si="95"/>
        <v>1750</v>
      </c>
      <c r="L2078" s="80" t="s">
        <v>324</v>
      </c>
      <c r="M2078" s="80"/>
      <c r="N2078" s="80"/>
      <c r="O2078" s="14"/>
      <c r="P2078" s="14"/>
    </row>
    <row r="2079" hidden="1">
      <c r="A2079" s="34" t="s">
        <v>310</v>
      </c>
      <c r="B2079" s="92" t="s">
        <v>143</v>
      </c>
      <c r="C2079" s="91" t="s">
        <v>144</v>
      </c>
      <c r="D2079" s="92" t="s">
        <v>145</v>
      </c>
      <c r="E2079" s="80">
        <v>0.0</v>
      </c>
      <c r="F2079" s="80">
        <v>1.0</v>
      </c>
      <c r="G2079" s="80">
        <v>0.0</v>
      </c>
      <c r="H2079" s="80">
        <v>4.0</v>
      </c>
      <c r="I2079" s="80">
        <v>5.0</v>
      </c>
      <c r="J2079" s="32"/>
      <c r="K2079" s="32">
        <f t="shared" si="95"/>
        <v>2750</v>
      </c>
      <c r="L2079" s="80" t="s">
        <v>322</v>
      </c>
      <c r="M2079" s="80"/>
      <c r="N2079" s="80"/>
      <c r="O2079" s="14"/>
      <c r="P2079" s="14"/>
    </row>
    <row r="2080" hidden="1">
      <c r="A2080" s="34" t="s">
        <v>310</v>
      </c>
      <c r="B2080" s="92" t="s">
        <v>146</v>
      </c>
      <c r="C2080" s="91" t="s">
        <v>147</v>
      </c>
      <c r="D2080" s="92" t="s">
        <v>148</v>
      </c>
      <c r="E2080" s="80">
        <v>1.0</v>
      </c>
      <c r="F2080" s="80">
        <v>4.0</v>
      </c>
      <c r="G2080" s="80">
        <v>1.0</v>
      </c>
      <c r="H2080" s="80">
        <v>2.0</v>
      </c>
      <c r="I2080" s="80">
        <v>5.0</v>
      </c>
      <c r="J2080" s="32"/>
      <c r="K2080" s="32">
        <f t="shared" si="95"/>
        <v>4250</v>
      </c>
      <c r="L2080" s="80" t="s">
        <v>325</v>
      </c>
      <c r="M2080" s="80"/>
      <c r="N2080" s="80"/>
      <c r="O2080" s="14"/>
      <c r="P2080" s="14"/>
    </row>
    <row r="2081" hidden="1">
      <c r="A2081" s="34" t="s">
        <v>310</v>
      </c>
      <c r="B2081" s="92" t="s">
        <v>245</v>
      </c>
      <c r="C2081" s="91" t="s">
        <v>246</v>
      </c>
      <c r="D2081" s="92" t="s">
        <v>247</v>
      </c>
      <c r="E2081" s="80">
        <v>0.0</v>
      </c>
      <c r="F2081" s="80">
        <v>3.0</v>
      </c>
      <c r="G2081" s="80">
        <v>0.0</v>
      </c>
      <c r="H2081" s="80">
        <v>0.0</v>
      </c>
      <c r="I2081" s="80">
        <v>5.0</v>
      </c>
      <c r="J2081" s="32"/>
      <c r="K2081" s="32">
        <f t="shared" si="95"/>
        <v>2750</v>
      </c>
      <c r="L2081" s="80" t="s">
        <v>326</v>
      </c>
      <c r="M2081" s="80"/>
      <c r="N2081" s="80"/>
      <c r="O2081" s="14"/>
      <c r="P2081" s="14"/>
    </row>
    <row r="2082" hidden="1">
      <c r="A2082" s="34" t="s">
        <v>310</v>
      </c>
      <c r="B2082" s="92" t="s">
        <v>210</v>
      </c>
      <c r="C2082" s="91" t="s">
        <v>211</v>
      </c>
      <c r="D2082" s="92" t="s">
        <v>212</v>
      </c>
      <c r="E2082" s="80">
        <v>0.0</v>
      </c>
      <c r="F2082" s="80">
        <v>0.0</v>
      </c>
      <c r="G2082" s="80">
        <v>0.0</v>
      </c>
      <c r="H2082" s="80">
        <v>1.0</v>
      </c>
      <c r="I2082" s="80">
        <v>5.0</v>
      </c>
      <c r="J2082" s="32"/>
      <c r="K2082" s="32">
        <f t="shared" si="95"/>
        <v>1500</v>
      </c>
      <c r="L2082" s="80" t="s">
        <v>327</v>
      </c>
      <c r="M2082" s="80"/>
      <c r="N2082" s="80"/>
      <c r="O2082" s="14"/>
      <c r="P2082" s="14"/>
    </row>
    <row r="2083" hidden="1">
      <c r="A2083" s="34" t="s">
        <v>310</v>
      </c>
      <c r="B2083" s="92" t="s">
        <v>149</v>
      </c>
      <c r="C2083" s="91" t="s">
        <v>150</v>
      </c>
      <c r="D2083" s="92" t="s">
        <v>151</v>
      </c>
      <c r="E2083" s="80">
        <v>0.0</v>
      </c>
      <c r="F2083" s="80">
        <v>1.0</v>
      </c>
      <c r="G2083" s="80">
        <v>0.0</v>
      </c>
      <c r="H2083" s="80">
        <v>0.0</v>
      </c>
      <c r="I2083" s="80">
        <v>5.0</v>
      </c>
      <c r="J2083" s="32"/>
      <c r="K2083" s="32">
        <f t="shared" si="95"/>
        <v>1750</v>
      </c>
      <c r="L2083" s="80" t="s">
        <v>328</v>
      </c>
      <c r="M2083" s="80"/>
      <c r="N2083" s="80"/>
      <c r="O2083" s="14"/>
      <c r="P2083" s="14"/>
    </row>
    <row r="2084" hidden="1">
      <c r="A2084" s="34" t="s">
        <v>310</v>
      </c>
      <c r="B2084" s="92" t="s">
        <v>288</v>
      </c>
      <c r="C2084" s="91" t="s">
        <v>289</v>
      </c>
      <c r="D2084" s="92" t="s">
        <v>290</v>
      </c>
      <c r="E2084" s="80">
        <v>0.0</v>
      </c>
      <c r="F2084" s="80">
        <v>0.0</v>
      </c>
      <c r="G2084" s="80">
        <v>1.0</v>
      </c>
      <c r="H2084" s="80">
        <v>1.0</v>
      </c>
      <c r="I2084" s="80">
        <v>4.0</v>
      </c>
      <c r="J2084" s="32"/>
      <c r="K2084" s="32">
        <f t="shared" si="95"/>
        <v>1500</v>
      </c>
      <c r="L2084" s="80" t="s">
        <v>329</v>
      </c>
      <c r="M2084" s="80"/>
      <c r="N2084" s="80"/>
      <c r="O2084" s="14"/>
      <c r="P2084" s="14"/>
    </row>
    <row r="2085" hidden="1">
      <c r="A2085" s="34" t="s">
        <v>310</v>
      </c>
      <c r="B2085" s="92" t="s">
        <v>152</v>
      </c>
      <c r="C2085" s="91" t="s">
        <v>153</v>
      </c>
      <c r="D2085" s="92" t="s">
        <v>154</v>
      </c>
      <c r="E2085" s="80">
        <v>1.0</v>
      </c>
      <c r="F2085" s="80">
        <v>2.0</v>
      </c>
      <c r="G2085" s="80">
        <v>0.0</v>
      </c>
      <c r="H2085" s="80">
        <v>1.0</v>
      </c>
      <c r="I2085" s="80">
        <v>5.0</v>
      </c>
      <c r="J2085" s="32"/>
      <c r="K2085" s="32">
        <f t="shared" si="95"/>
        <v>2750</v>
      </c>
      <c r="L2085" s="80" t="s">
        <v>330</v>
      </c>
      <c r="M2085" s="80"/>
      <c r="N2085" s="80"/>
      <c r="O2085" s="14"/>
      <c r="P2085" s="14"/>
    </row>
    <row r="2086" hidden="1">
      <c r="A2086" s="34" t="s">
        <v>310</v>
      </c>
      <c r="B2086" s="92" t="s">
        <v>155</v>
      </c>
      <c r="C2086" s="91" t="s">
        <v>156</v>
      </c>
      <c r="D2086" s="92" t="s">
        <v>157</v>
      </c>
      <c r="E2086" s="80">
        <v>0.0</v>
      </c>
      <c r="F2086" s="80">
        <v>3.0</v>
      </c>
      <c r="G2086" s="80">
        <v>0.0</v>
      </c>
      <c r="H2086" s="80">
        <v>6.0</v>
      </c>
      <c r="I2086" s="80">
        <v>5.0</v>
      </c>
      <c r="J2086" s="32"/>
      <c r="K2086" s="32">
        <f t="shared" si="95"/>
        <v>4250</v>
      </c>
      <c r="L2086" s="80" t="s">
        <v>321</v>
      </c>
      <c r="M2086" s="80"/>
      <c r="N2086" s="80"/>
      <c r="O2086" s="14"/>
      <c r="P2086" s="14"/>
    </row>
    <row r="2087" hidden="1">
      <c r="A2087" s="34" t="s">
        <v>310</v>
      </c>
      <c r="B2087" s="92" t="s">
        <v>158</v>
      </c>
      <c r="C2087" s="91" t="s">
        <v>159</v>
      </c>
      <c r="D2087" s="92" t="s">
        <v>160</v>
      </c>
      <c r="E2087" s="80">
        <v>0.0</v>
      </c>
      <c r="F2087" s="80">
        <v>3.0</v>
      </c>
      <c r="G2087" s="80">
        <v>0.0</v>
      </c>
      <c r="H2087" s="80">
        <v>1.0</v>
      </c>
      <c r="I2087" s="80">
        <v>3.0</v>
      </c>
      <c r="J2087" s="32"/>
      <c r="K2087" s="32">
        <f t="shared" si="95"/>
        <v>2500</v>
      </c>
      <c r="L2087" s="80" t="s">
        <v>331</v>
      </c>
      <c r="M2087" s="80"/>
      <c r="N2087" s="80"/>
      <c r="O2087" s="14"/>
      <c r="P2087" s="14"/>
    </row>
    <row r="2088" hidden="1">
      <c r="A2088" s="34" t="s">
        <v>310</v>
      </c>
      <c r="B2088" s="93" t="s">
        <v>161</v>
      </c>
      <c r="C2088" s="96" t="s">
        <v>162</v>
      </c>
      <c r="D2088" s="93" t="s">
        <v>163</v>
      </c>
      <c r="E2088" s="80">
        <v>0.0</v>
      </c>
      <c r="F2088" s="80">
        <v>0.0</v>
      </c>
      <c r="G2088" s="80">
        <v>0.0</v>
      </c>
      <c r="H2088" s="80">
        <v>2.0</v>
      </c>
      <c r="I2088" s="80">
        <v>3.0</v>
      </c>
      <c r="J2088" s="32"/>
      <c r="K2088" s="32">
        <f t="shared" si="95"/>
        <v>1250</v>
      </c>
      <c r="L2088" s="80" t="str">
        <f t="shared" ref="L2088:L2106" si="98">(E2088&amp;" 5-Star") &amp; ( F2088&amp;" RFC") &amp; ( G2088&amp;"DME") &amp; ( H2088&amp;" Patient Portal Login") &amp; ( I2088&amp;" Completed Task")</f>
        <v>0 5-Star0 RFC0DME2 Patient Portal Login3 Completed Task</v>
      </c>
      <c r="M2088" s="80"/>
      <c r="N2088" s="80"/>
      <c r="O2088" s="14"/>
      <c r="P2088" s="14"/>
    </row>
    <row r="2089" hidden="1">
      <c r="A2089" s="34" t="s">
        <v>310</v>
      </c>
      <c r="B2089" s="93" t="s">
        <v>164</v>
      </c>
      <c r="C2089" s="96" t="s">
        <v>165</v>
      </c>
      <c r="D2089" s="93" t="s">
        <v>166</v>
      </c>
      <c r="E2089" s="80">
        <v>0.0</v>
      </c>
      <c r="F2089" s="80">
        <v>2.0</v>
      </c>
      <c r="G2089" s="80">
        <v>0.0</v>
      </c>
      <c r="H2089" s="80">
        <v>2.0</v>
      </c>
      <c r="I2089" s="80">
        <v>5.0</v>
      </c>
      <c r="J2089" s="32"/>
      <c r="K2089" s="32">
        <f t="shared" si="95"/>
        <v>2750</v>
      </c>
      <c r="L2089" s="80" t="str">
        <f t="shared" si="98"/>
        <v>0 5-Star2 RFC0DME2 Patient Portal Login5 Completed Task</v>
      </c>
      <c r="M2089" s="80"/>
      <c r="N2089" s="80"/>
      <c r="O2089" s="14"/>
      <c r="P2089" s="14"/>
    </row>
    <row r="2090" hidden="1">
      <c r="A2090" s="34" t="s">
        <v>310</v>
      </c>
      <c r="B2090" s="93" t="s">
        <v>167</v>
      </c>
      <c r="C2090" s="96" t="s">
        <v>168</v>
      </c>
      <c r="D2090" s="93" t="s">
        <v>169</v>
      </c>
      <c r="E2090" s="80">
        <v>0.0</v>
      </c>
      <c r="F2090" s="80">
        <v>8.0</v>
      </c>
      <c r="G2090" s="80">
        <v>4.0</v>
      </c>
      <c r="H2090" s="80">
        <v>2.0</v>
      </c>
      <c r="I2090" s="80">
        <v>4.0</v>
      </c>
      <c r="J2090" s="32"/>
      <c r="K2090" s="32">
        <f t="shared" si="95"/>
        <v>6500</v>
      </c>
      <c r="L2090" s="80" t="str">
        <f t="shared" si="98"/>
        <v>0 5-Star8 RFC4DME2 Patient Portal Login4 Completed Task</v>
      </c>
      <c r="M2090" s="80"/>
      <c r="N2090" s="80"/>
      <c r="O2090" s="14"/>
      <c r="P2090" s="14"/>
    </row>
    <row r="2091" hidden="1">
      <c r="A2091" s="34" t="s">
        <v>310</v>
      </c>
      <c r="B2091" s="93" t="s">
        <v>170</v>
      </c>
      <c r="C2091" s="96" t="s">
        <v>171</v>
      </c>
      <c r="D2091" s="93" t="s">
        <v>172</v>
      </c>
      <c r="E2091" s="80">
        <v>1.0</v>
      </c>
      <c r="F2091" s="80">
        <v>9.0</v>
      </c>
      <c r="G2091" s="80">
        <v>3.0</v>
      </c>
      <c r="H2091" s="80">
        <v>1.0</v>
      </c>
      <c r="I2091" s="80">
        <v>5.0</v>
      </c>
      <c r="J2091" s="32"/>
      <c r="K2091" s="32">
        <f t="shared" si="95"/>
        <v>7000</v>
      </c>
      <c r="L2091" s="80" t="str">
        <f t="shared" si="98"/>
        <v>1 5-Star9 RFC3DME1 Patient Portal Login5 Completed Task</v>
      </c>
      <c r="M2091" s="80"/>
      <c r="N2091" s="80"/>
      <c r="O2091" s="14"/>
      <c r="P2091" s="14"/>
    </row>
    <row r="2092" hidden="1">
      <c r="A2092" s="34" t="s">
        <v>310</v>
      </c>
      <c r="B2092" s="92" t="s">
        <v>173</v>
      </c>
      <c r="C2092" s="91" t="s">
        <v>174</v>
      </c>
      <c r="D2092" s="92" t="s">
        <v>175</v>
      </c>
      <c r="E2092" s="80">
        <v>0.0</v>
      </c>
      <c r="F2092" s="80">
        <v>3.0</v>
      </c>
      <c r="G2092" s="80">
        <v>1.0</v>
      </c>
      <c r="H2092" s="80">
        <v>8.0</v>
      </c>
      <c r="I2092" s="80">
        <v>3.0</v>
      </c>
      <c r="J2092" s="32"/>
      <c r="K2092" s="32">
        <f t="shared" si="95"/>
        <v>4500</v>
      </c>
      <c r="L2092" s="80" t="str">
        <f t="shared" si="98"/>
        <v>0 5-Star3 RFC1DME8 Patient Portal Login3 Completed Task</v>
      </c>
      <c r="M2092" s="80"/>
      <c r="N2092" s="80"/>
      <c r="O2092" s="14"/>
      <c r="P2092" s="14"/>
    </row>
    <row r="2093" hidden="1">
      <c r="A2093" s="34" t="s">
        <v>310</v>
      </c>
      <c r="B2093" s="92" t="s">
        <v>176</v>
      </c>
      <c r="C2093" s="91" t="s">
        <v>177</v>
      </c>
      <c r="D2093" s="92" t="s">
        <v>178</v>
      </c>
      <c r="E2093" s="80">
        <v>0.0</v>
      </c>
      <c r="F2093" s="80">
        <v>1.0</v>
      </c>
      <c r="G2093" s="80">
        <v>0.0</v>
      </c>
      <c r="H2093" s="80">
        <v>7.0</v>
      </c>
      <c r="I2093" s="80">
        <v>5.0</v>
      </c>
      <c r="J2093" s="32"/>
      <c r="K2093" s="32">
        <f t="shared" si="95"/>
        <v>3500</v>
      </c>
      <c r="L2093" s="80" t="str">
        <f t="shared" si="98"/>
        <v>0 5-Star1 RFC0DME7 Patient Portal Login5 Completed Task</v>
      </c>
      <c r="M2093" s="80"/>
      <c r="N2093" s="80"/>
      <c r="O2093" s="14"/>
      <c r="P2093" s="14"/>
    </row>
    <row r="2094" hidden="1">
      <c r="A2094" s="34" t="s">
        <v>310</v>
      </c>
      <c r="B2094" s="94" t="s">
        <v>291</v>
      </c>
      <c r="C2094" s="95" t="s">
        <v>292</v>
      </c>
      <c r="D2094" s="94" t="s">
        <v>293</v>
      </c>
      <c r="E2094" s="80">
        <v>3.0</v>
      </c>
      <c r="F2094" s="80">
        <v>1.0</v>
      </c>
      <c r="G2094" s="85">
        <v>0.0</v>
      </c>
      <c r="H2094" s="85">
        <v>4.0</v>
      </c>
      <c r="I2094" s="85">
        <v>1.0</v>
      </c>
      <c r="J2094" s="32"/>
      <c r="K2094" s="32">
        <f t="shared" si="95"/>
        <v>2500</v>
      </c>
      <c r="L2094" s="80" t="str">
        <f t="shared" si="98"/>
        <v>3 5-Star1 RFC0DME4 Patient Portal Login1 Completed Task</v>
      </c>
      <c r="M2094" s="80"/>
      <c r="N2094" s="80"/>
      <c r="O2094" s="23"/>
      <c r="P2094" s="23"/>
    </row>
    <row r="2095" hidden="1">
      <c r="A2095" s="34" t="s">
        <v>310</v>
      </c>
      <c r="B2095" s="94" t="s">
        <v>294</v>
      </c>
      <c r="C2095" s="95" t="s">
        <v>295</v>
      </c>
      <c r="D2095" s="94" t="s">
        <v>296</v>
      </c>
      <c r="E2095" s="80">
        <v>0.0</v>
      </c>
      <c r="F2095" s="80">
        <v>0.0</v>
      </c>
      <c r="G2095" s="85">
        <v>1.0</v>
      </c>
      <c r="H2095" s="85">
        <v>0.0</v>
      </c>
      <c r="I2095" s="85">
        <v>2.0</v>
      </c>
      <c r="J2095" s="32"/>
      <c r="K2095" s="32">
        <f t="shared" si="95"/>
        <v>750</v>
      </c>
      <c r="L2095" s="80" t="str">
        <f t="shared" si="98"/>
        <v>0 5-Star0 RFC1DME0 Patient Portal Login2 Completed Task</v>
      </c>
      <c r="M2095" s="80"/>
      <c r="N2095" s="80"/>
      <c r="O2095" s="23"/>
      <c r="P2095" s="23"/>
    </row>
    <row r="2096" hidden="1">
      <c r="A2096" s="34" t="s">
        <v>310</v>
      </c>
      <c r="B2096" s="94" t="s">
        <v>179</v>
      </c>
      <c r="C2096" s="95" t="s">
        <v>180</v>
      </c>
      <c r="D2096" s="94" t="s">
        <v>181</v>
      </c>
      <c r="E2096" s="80">
        <v>4.0</v>
      </c>
      <c r="F2096" s="80">
        <v>3.0</v>
      </c>
      <c r="G2096" s="85">
        <v>0.0</v>
      </c>
      <c r="H2096" s="85">
        <v>15.0</v>
      </c>
      <c r="I2096" s="85">
        <v>5.0</v>
      </c>
      <c r="J2096" s="32"/>
      <c r="K2096" s="32">
        <f t="shared" si="95"/>
        <v>7500</v>
      </c>
      <c r="L2096" s="80" t="str">
        <f t="shared" si="98"/>
        <v>4 5-Star3 RFC0DME15 Patient Portal Login5 Completed Task</v>
      </c>
      <c r="M2096" s="80"/>
      <c r="N2096" s="80"/>
      <c r="O2096" s="23"/>
      <c r="P2096" s="23"/>
    </row>
    <row r="2097" hidden="1">
      <c r="A2097" s="34" t="s">
        <v>310</v>
      </c>
      <c r="B2097" s="94" t="s">
        <v>182</v>
      </c>
      <c r="C2097" s="95" t="s">
        <v>183</v>
      </c>
      <c r="D2097" s="94" t="s">
        <v>184</v>
      </c>
      <c r="E2097" s="80">
        <v>2.0</v>
      </c>
      <c r="F2097" s="80">
        <v>1.0</v>
      </c>
      <c r="G2097" s="85">
        <v>2.0</v>
      </c>
      <c r="H2097" s="85">
        <v>10.0</v>
      </c>
      <c r="I2097" s="85">
        <v>3.0</v>
      </c>
      <c r="J2097" s="32"/>
      <c r="K2097" s="32">
        <f t="shared" si="95"/>
        <v>4750</v>
      </c>
      <c r="L2097" s="80" t="str">
        <f t="shared" si="98"/>
        <v>2 5-Star1 RFC2DME10 Patient Portal Login3 Completed Task</v>
      </c>
      <c r="M2097" s="80"/>
      <c r="N2097" s="80"/>
      <c r="O2097" s="23"/>
      <c r="P2097" s="23"/>
    </row>
    <row r="2098" hidden="1">
      <c r="A2098" s="34" t="s">
        <v>310</v>
      </c>
      <c r="B2098" s="94" t="s">
        <v>185</v>
      </c>
      <c r="C2098" s="95" t="s">
        <v>186</v>
      </c>
      <c r="D2098" s="94" t="s">
        <v>187</v>
      </c>
      <c r="E2098" s="80">
        <v>18.0</v>
      </c>
      <c r="F2098" s="80">
        <v>1.0</v>
      </c>
      <c r="G2098" s="85">
        <v>0.0</v>
      </c>
      <c r="H2098" s="85">
        <v>13.0</v>
      </c>
      <c r="I2098" s="85">
        <v>2.0</v>
      </c>
      <c r="J2098" s="32"/>
      <c r="K2098" s="32">
        <f t="shared" si="95"/>
        <v>8750</v>
      </c>
      <c r="L2098" s="80" t="str">
        <f t="shared" si="98"/>
        <v>18 5-Star1 RFC0DME13 Patient Portal Login2 Completed Task</v>
      </c>
      <c r="M2098" s="80"/>
      <c r="N2098" s="80"/>
      <c r="O2098" s="23"/>
      <c r="P2098" s="23"/>
    </row>
    <row r="2099" hidden="1">
      <c r="A2099" s="34" t="s">
        <v>310</v>
      </c>
      <c r="B2099" s="94" t="s">
        <v>188</v>
      </c>
      <c r="C2099" s="95" t="s">
        <v>189</v>
      </c>
      <c r="D2099" s="94" t="s">
        <v>190</v>
      </c>
      <c r="E2099" s="80">
        <v>3.0</v>
      </c>
      <c r="F2099" s="80">
        <v>0.0</v>
      </c>
      <c r="G2099" s="85">
        <v>0.0</v>
      </c>
      <c r="H2099" s="85">
        <v>6.0</v>
      </c>
      <c r="I2099" s="85">
        <v>2.0</v>
      </c>
      <c r="J2099" s="32"/>
      <c r="K2099" s="32">
        <f t="shared" si="95"/>
        <v>2750</v>
      </c>
      <c r="L2099" s="80" t="str">
        <f t="shared" si="98"/>
        <v>3 5-Star0 RFC0DME6 Patient Portal Login2 Completed Task</v>
      </c>
      <c r="M2099" s="80"/>
      <c r="N2099" s="80"/>
      <c r="O2099" s="23"/>
      <c r="P2099" s="23"/>
    </row>
    <row r="2100" hidden="1">
      <c r="A2100" s="34" t="s">
        <v>310</v>
      </c>
      <c r="B2100" s="95" t="s">
        <v>258</v>
      </c>
      <c r="C2100" s="95" t="s">
        <v>259</v>
      </c>
      <c r="D2100" s="94" t="s">
        <v>260</v>
      </c>
      <c r="E2100" s="80">
        <v>6.0</v>
      </c>
      <c r="F2100" s="80">
        <v>0.0</v>
      </c>
      <c r="G2100" s="85">
        <v>0.0</v>
      </c>
      <c r="H2100" s="85">
        <v>15.0</v>
      </c>
      <c r="I2100" s="85">
        <v>2.0</v>
      </c>
      <c r="J2100" s="32"/>
      <c r="K2100" s="32">
        <f t="shared" si="95"/>
        <v>5750</v>
      </c>
      <c r="L2100" s="80" t="str">
        <f t="shared" si="98"/>
        <v>6 5-Star0 RFC0DME15 Patient Portal Login2 Completed Task</v>
      </c>
      <c r="M2100" s="80"/>
      <c r="N2100" s="80"/>
      <c r="O2100" s="23"/>
      <c r="P2100" s="23"/>
    </row>
    <row r="2101" hidden="1">
      <c r="A2101" s="34" t="s">
        <v>310</v>
      </c>
      <c r="B2101" s="94" t="s">
        <v>262</v>
      </c>
      <c r="C2101" s="95" t="s">
        <v>263</v>
      </c>
      <c r="D2101" s="94" t="s">
        <v>264</v>
      </c>
      <c r="E2101" s="80">
        <v>21.0</v>
      </c>
      <c r="F2101" s="80">
        <v>0.0</v>
      </c>
      <c r="G2101" s="85">
        <v>0.0</v>
      </c>
      <c r="H2101" s="85">
        <v>0.0</v>
      </c>
      <c r="I2101" s="85">
        <v>4.0</v>
      </c>
      <c r="J2101" s="32"/>
      <c r="K2101" s="32">
        <f t="shared" si="95"/>
        <v>6250</v>
      </c>
      <c r="L2101" s="80" t="str">
        <f t="shared" si="98"/>
        <v>21 5-Star0 RFC0DME0 Patient Portal Login4 Completed Task</v>
      </c>
      <c r="M2101" s="80"/>
      <c r="N2101" s="80"/>
      <c r="O2101" s="23"/>
      <c r="P2101" s="23"/>
    </row>
    <row r="2102" hidden="1">
      <c r="A2102" s="34" t="s">
        <v>310</v>
      </c>
      <c r="B2102" s="94" t="s">
        <v>191</v>
      </c>
      <c r="C2102" s="95" t="s">
        <v>192</v>
      </c>
      <c r="D2102" s="94" t="s">
        <v>193</v>
      </c>
      <c r="E2102" s="80">
        <v>1.0</v>
      </c>
      <c r="F2102" s="80">
        <v>0.0</v>
      </c>
      <c r="G2102" s="85">
        <v>0.0</v>
      </c>
      <c r="H2102" s="85">
        <v>5.0</v>
      </c>
      <c r="I2102" s="85">
        <v>4.0</v>
      </c>
      <c r="J2102" s="32"/>
      <c r="K2102" s="32">
        <f t="shared" si="95"/>
        <v>2500</v>
      </c>
      <c r="L2102" s="80" t="str">
        <f t="shared" si="98"/>
        <v>1 5-Star0 RFC0DME5 Patient Portal Login4 Completed Task</v>
      </c>
      <c r="M2102" s="80"/>
      <c r="N2102" s="80"/>
      <c r="O2102" s="23"/>
      <c r="P2102" s="23"/>
    </row>
    <row r="2103" hidden="1">
      <c r="A2103" s="34" t="s">
        <v>310</v>
      </c>
      <c r="B2103" s="94" t="s">
        <v>194</v>
      </c>
      <c r="C2103" s="95" t="s">
        <v>195</v>
      </c>
      <c r="D2103" s="94" t="s">
        <v>196</v>
      </c>
      <c r="E2103" s="80">
        <v>11.0</v>
      </c>
      <c r="F2103" s="80">
        <v>0.0</v>
      </c>
      <c r="G2103" s="85">
        <v>0.0</v>
      </c>
      <c r="H2103" s="85">
        <v>10.0</v>
      </c>
      <c r="I2103" s="85">
        <v>5.0</v>
      </c>
      <c r="J2103" s="32"/>
      <c r="K2103" s="32">
        <f t="shared" si="95"/>
        <v>6500</v>
      </c>
      <c r="L2103" s="80" t="str">
        <f t="shared" si="98"/>
        <v>11 5-Star0 RFC0DME10 Patient Portal Login5 Completed Task</v>
      </c>
      <c r="M2103" s="80"/>
      <c r="N2103" s="80"/>
      <c r="O2103" s="23"/>
      <c r="P2103" s="23"/>
    </row>
    <row r="2104" hidden="1">
      <c r="A2104" s="34" t="s">
        <v>310</v>
      </c>
      <c r="B2104" s="94" t="s">
        <v>303</v>
      </c>
      <c r="C2104" s="95" t="s">
        <v>304</v>
      </c>
      <c r="D2104" s="94" t="s">
        <v>305</v>
      </c>
      <c r="E2104" s="80">
        <v>3.0</v>
      </c>
      <c r="F2104" s="80">
        <v>0.0</v>
      </c>
      <c r="G2104" s="85">
        <v>0.0</v>
      </c>
      <c r="H2104" s="85">
        <v>3.0</v>
      </c>
      <c r="I2104" s="85">
        <v>4.0</v>
      </c>
      <c r="J2104" s="32"/>
      <c r="K2104" s="32">
        <f t="shared" si="95"/>
        <v>2500</v>
      </c>
      <c r="L2104" s="80" t="str">
        <f t="shared" si="98"/>
        <v>3 5-Star0 RFC0DME3 Patient Portal Login4 Completed Task</v>
      </c>
      <c r="M2104" s="80"/>
      <c r="N2104" s="80"/>
      <c r="O2104" s="23"/>
      <c r="P2104" s="23"/>
    </row>
    <row r="2105" hidden="1">
      <c r="A2105" s="34" t="s">
        <v>310</v>
      </c>
      <c r="B2105" s="94" t="s">
        <v>197</v>
      </c>
      <c r="C2105" s="95" t="s">
        <v>198</v>
      </c>
      <c r="D2105" s="95" t="s">
        <v>199</v>
      </c>
      <c r="E2105" s="80">
        <v>0.0</v>
      </c>
      <c r="F2105" s="80">
        <v>0.0</v>
      </c>
      <c r="G2105" s="85">
        <v>0.0</v>
      </c>
      <c r="H2105" s="85">
        <v>0.0</v>
      </c>
      <c r="I2105" s="85">
        <v>4.0</v>
      </c>
      <c r="J2105" s="32"/>
      <c r="K2105" s="32">
        <f t="shared" si="95"/>
        <v>1000</v>
      </c>
      <c r="L2105" s="80" t="str">
        <f t="shared" si="98"/>
        <v>0 5-Star0 RFC0DME0 Patient Portal Login4 Completed Task</v>
      </c>
      <c r="M2105" s="80"/>
      <c r="N2105" s="80"/>
      <c r="O2105" s="23"/>
      <c r="P2105" s="23"/>
    </row>
    <row r="2106" hidden="1">
      <c r="A2106" s="34" t="s">
        <v>310</v>
      </c>
      <c r="B2106" s="94" t="s">
        <v>200</v>
      </c>
      <c r="C2106" s="95" t="s">
        <v>201</v>
      </c>
      <c r="D2106" s="94" t="s">
        <v>202</v>
      </c>
      <c r="E2106" s="80">
        <v>0.0</v>
      </c>
      <c r="F2106" s="80">
        <v>0.0</v>
      </c>
      <c r="G2106" s="85">
        <v>0.0</v>
      </c>
      <c r="H2106" s="85">
        <v>6.0</v>
      </c>
      <c r="I2106" s="85">
        <v>2.0</v>
      </c>
      <c r="J2106" s="32"/>
      <c r="K2106" s="32">
        <f t="shared" si="95"/>
        <v>2000</v>
      </c>
      <c r="L2106" s="80" t="str">
        <f t="shared" si="98"/>
        <v>0 5-Star0 RFC0DME6 Patient Portal Login2 Completed Task</v>
      </c>
      <c r="M2106" s="80"/>
      <c r="N2106" s="80"/>
      <c r="O2106" s="23"/>
      <c r="P2106" s="23"/>
    </row>
    <row r="2107" hidden="1">
      <c r="A2107" s="34" t="s">
        <v>332</v>
      </c>
      <c r="B2107" s="92" t="s">
        <v>216</v>
      </c>
      <c r="C2107" s="92"/>
      <c r="D2107" s="92" t="s">
        <v>274</v>
      </c>
      <c r="E2107" s="80">
        <v>2.0</v>
      </c>
      <c r="F2107" s="80">
        <v>2.0</v>
      </c>
      <c r="G2107" s="80">
        <v>0.0</v>
      </c>
      <c r="H2107" s="80">
        <v>3.0</v>
      </c>
      <c r="I2107" s="80">
        <v>3.0</v>
      </c>
      <c r="J2107" s="32"/>
      <c r="K2107" s="32">
        <f t="shared" si="95"/>
        <v>3000</v>
      </c>
      <c r="L2107" s="32"/>
      <c r="M2107" s="32"/>
      <c r="N2107" s="32"/>
      <c r="O2107" s="14"/>
      <c r="P2107" s="14"/>
    </row>
    <row r="2108" hidden="1">
      <c r="A2108" s="34" t="s">
        <v>332</v>
      </c>
      <c r="B2108" s="92" t="s">
        <v>119</v>
      </c>
      <c r="C2108" s="92"/>
      <c r="D2108" s="92" t="s">
        <v>121</v>
      </c>
      <c r="E2108" s="80">
        <v>2.0</v>
      </c>
      <c r="F2108" s="80">
        <v>2.0</v>
      </c>
      <c r="G2108" s="80">
        <v>0.0</v>
      </c>
      <c r="H2108" s="80">
        <v>0.0</v>
      </c>
      <c r="I2108" s="80">
        <v>4.0</v>
      </c>
      <c r="J2108" s="32"/>
      <c r="K2108" s="32">
        <f t="shared" si="95"/>
        <v>2500</v>
      </c>
      <c r="L2108" s="32"/>
      <c r="M2108" s="32"/>
      <c r="N2108" s="32"/>
      <c r="O2108" s="14"/>
      <c r="P2108" s="14"/>
    </row>
    <row r="2109" hidden="1">
      <c r="A2109" s="34" t="s">
        <v>332</v>
      </c>
      <c r="B2109" s="92" t="s">
        <v>267</v>
      </c>
      <c r="C2109" s="92"/>
      <c r="D2109" s="92" t="s">
        <v>269</v>
      </c>
      <c r="E2109" s="80">
        <v>1.0</v>
      </c>
      <c r="F2109" s="80">
        <v>3.0</v>
      </c>
      <c r="G2109" s="80">
        <v>1.0</v>
      </c>
      <c r="H2109" s="80">
        <v>3.0</v>
      </c>
      <c r="I2109" s="80">
        <v>4.0</v>
      </c>
      <c r="J2109" s="32"/>
      <c r="K2109" s="32">
        <f t="shared" si="95"/>
        <v>3750</v>
      </c>
      <c r="L2109" s="32"/>
      <c r="M2109" s="32"/>
      <c r="N2109" s="32"/>
      <c r="O2109" s="14"/>
      <c r="P2109" s="14"/>
    </row>
    <row r="2110" hidden="1">
      <c r="A2110" s="34" t="s">
        <v>332</v>
      </c>
      <c r="B2110" s="92" t="s">
        <v>275</v>
      </c>
      <c r="C2110" s="92"/>
      <c r="D2110" s="92" t="s">
        <v>277</v>
      </c>
      <c r="E2110" s="80">
        <v>0.0</v>
      </c>
      <c r="F2110" s="80">
        <v>2.0</v>
      </c>
      <c r="G2110" s="80">
        <v>0.0</v>
      </c>
      <c r="H2110" s="80">
        <v>7.0</v>
      </c>
      <c r="I2110" s="80">
        <v>4.0</v>
      </c>
      <c r="J2110" s="32"/>
      <c r="K2110" s="32">
        <f t="shared" si="95"/>
        <v>3750</v>
      </c>
      <c r="L2110" s="32"/>
      <c r="M2110" s="32"/>
      <c r="N2110" s="32"/>
      <c r="O2110" s="14"/>
      <c r="P2110" s="14"/>
    </row>
    <row r="2111" hidden="1">
      <c r="A2111" s="34" t="s">
        <v>332</v>
      </c>
      <c r="B2111" s="92" t="s">
        <v>122</v>
      </c>
      <c r="C2111" s="92"/>
      <c r="D2111" s="92" t="s">
        <v>124</v>
      </c>
      <c r="E2111" s="80">
        <v>0.0</v>
      </c>
      <c r="F2111" s="80">
        <v>1.0</v>
      </c>
      <c r="G2111" s="80">
        <v>1.0</v>
      </c>
      <c r="H2111" s="80">
        <v>1.0</v>
      </c>
      <c r="I2111" s="80">
        <v>4.0</v>
      </c>
      <c r="J2111" s="32"/>
      <c r="K2111" s="32">
        <f t="shared" si="95"/>
        <v>2000</v>
      </c>
      <c r="L2111" s="32"/>
      <c r="M2111" s="32"/>
      <c r="N2111" s="32"/>
      <c r="O2111" s="14"/>
      <c r="P2111" s="14"/>
    </row>
    <row r="2112" hidden="1">
      <c r="A2112" s="34" t="s">
        <v>332</v>
      </c>
      <c r="B2112" s="92" t="s">
        <v>125</v>
      </c>
      <c r="C2112" s="92"/>
      <c r="D2112" s="92" t="s">
        <v>127</v>
      </c>
      <c r="E2112" s="80">
        <v>0.0</v>
      </c>
      <c r="F2112" s="80">
        <v>0.0</v>
      </c>
      <c r="G2112" s="80">
        <v>0.0</v>
      </c>
      <c r="H2112" s="80">
        <v>8.0</v>
      </c>
      <c r="I2112" s="80">
        <v>4.0</v>
      </c>
      <c r="J2112" s="32"/>
      <c r="K2112" s="32">
        <f t="shared" si="95"/>
        <v>3000</v>
      </c>
      <c r="L2112" s="32"/>
      <c r="M2112" s="32"/>
      <c r="N2112" s="32"/>
      <c r="O2112" s="14"/>
      <c r="P2112" s="14"/>
    </row>
    <row r="2113" hidden="1">
      <c r="A2113" s="34" t="s">
        <v>332</v>
      </c>
      <c r="B2113" s="92" t="s">
        <v>128</v>
      </c>
      <c r="C2113" s="92"/>
      <c r="D2113" s="92" t="s">
        <v>130</v>
      </c>
      <c r="E2113" s="80">
        <v>3.0</v>
      </c>
      <c r="F2113" s="80">
        <v>1.0</v>
      </c>
      <c r="G2113" s="80">
        <v>0.0</v>
      </c>
      <c r="H2113" s="80">
        <v>5.0</v>
      </c>
      <c r="I2113" s="80">
        <v>4.0</v>
      </c>
      <c r="J2113" s="32"/>
      <c r="K2113" s="32">
        <f t="shared" si="95"/>
        <v>3500</v>
      </c>
      <c r="L2113" s="32"/>
      <c r="M2113" s="32"/>
      <c r="N2113" s="32"/>
      <c r="O2113" s="14"/>
      <c r="P2113" s="14"/>
    </row>
    <row r="2114" hidden="1">
      <c r="A2114" s="34" t="s">
        <v>332</v>
      </c>
      <c r="B2114" s="92" t="s">
        <v>131</v>
      </c>
      <c r="C2114" s="92"/>
      <c r="D2114" s="92" t="s">
        <v>133</v>
      </c>
      <c r="E2114" s="80">
        <v>1.0</v>
      </c>
      <c r="F2114" s="80">
        <v>4.0</v>
      </c>
      <c r="G2114" s="80">
        <v>0.0</v>
      </c>
      <c r="H2114" s="80">
        <v>5.0</v>
      </c>
      <c r="I2114" s="80">
        <v>4.0</v>
      </c>
      <c r="J2114" s="32"/>
      <c r="K2114" s="32">
        <f t="shared" si="95"/>
        <v>4500</v>
      </c>
      <c r="L2114" s="32"/>
      <c r="M2114" s="32"/>
      <c r="N2114" s="32"/>
      <c r="O2114" s="14"/>
      <c r="P2114" s="14"/>
    </row>
    <row r="2115" hidden="1">
      <c r="A2115" s="34" t="s">
        <v>332</v>
      </c>
      <c r="B2115" s="92" t="s">
        <v>134</v>
      </c>
      <c r="C2115" s="92"/>
      <c r="D2115" s="92" t="s">
        <v>136</v>
      </c>
      <c r="E2115" s="80">
        <v>0.0</v>
      </c>
      <c r="F2115" s="80">
        <v>0.0</v>
      </c>
      <c r="G2115" s="80">
        <v>3.0</v>
      </c>
      <c r="H2115" s="80">
        <v>0.0</v>
      </c>
      <c r="I2115" s="80">
        <v>4.0</v>
      </c>
      <c r="J2115" s="32"/>
      <c r="K2115" s="32">
        <f t="shared" si="95"/>
        <v>1750</v>
      </c>
      <c r="L2115" s="32"/>
      <c r="M2115" s="32"/>
      <c r="N2115" s="32"/>
      <c r="O2115" s="14"/>
      <c r="P2115" s="14"/>
    </row>
    <row r="2116" hidden="1">
      <c r="A2116" s="34" t="s">
        <v>332</v>
      </c>
      <c r="B2116" s="92" t="s">
        <v>137</v>
      </c>
      <c r="C2116" s="92"/>
      <c r="D2116" s="92" t="s">
        <v>139</v>
      </c>
      <c r="E2116" s="80">
        <v>0.0</v>
      </c>
      <c r="F2116" s="80">
        <v>2.0</v>
      </c>
      <c r="G2116" s="80">
        <v>0.0</v>
      </c>
      <c r="H2116" s="80">
        <v>5.0</v>
      </c>
      <c r="I2116" s="80">
        <v>4.0</v>
      </c>
      <c r="J2116" s="32"/>
      <c r="K2116" s="32">
        <f t="shared" si="95"/>
        <v>3250</v>
      </c>
      <c r="L2116" s="32"/>
      <c r="M2116" s="32"/>
      <c r="N2116" s="32"/>
      <c r="O2116" s="14"/>
      <c r="P2116" s="14"/>
    </row>
    <row r="2117" hidden="1">
      <c r="A2117" s="34" t="s">
        <v>332</v>
      </c>
      <c r="B2117" s="92" t="s">
        <v>278</v>
      </c>
      <c r="C2117" s="92"/>
      <c r="D2117" s="92" t="s">
        <v>280</v>
      </c>
      <c r="E2117" s="80">
        <v>0.0</v>
      </c>
      <c r="F2117" s="80">
        <v>1.0</v>
      </c>
      <c r="G2117" s="80">
        <v>1.0</v>
      </c>
      <c r="H2117" s="80">
        <v>0.0</v>
      </c>
      <c r="I2117" s="80">
        <v>4.0</v>
      </c>
      <c r="J2117" s="32"/>
      <c r="K2117" s="32">
        <f t="shared" si="95"/>
        <v>1750</v>
      </c>
      <c r="L2117" s="32"/>
      <c r="M2117" s="32"/>
      <c r="N2117" s="32"/>
      <c r="O2117" s="14"/>
      <c r="P2117" s="14"/>
    </row>
    <row r="2118" hidden="1">
      <c r="A2118" s="34" t="s">
        <v>332</v>
      </c>
      <c r="B2118" s="92" t="s">
        <v>140</v>
      </c>
      <c r="C2118" s="92"/>
      <c r="D2118" s="92" t="s">
        <v>142</v>
      </c>
      <c r="E2118" s="80">
        <v>1.0</v>
      </c>
      <c r="F2118" s="80">
        <v>1.0</v>
      </c>
      <c r="G2118" s="80">
        <v>0.0</v>
      </c>
      <c r="H2118" s="80">
        <v>13.0</v>
      </c>
      <c r="I2118" s="80">
        <v>4.0</v>
      </c>
      <c r="J2118" s="32"/>
      <c r="K2118" s="32">
        <f t="shared" si="95"/>
        <v>5000</v>
      </c>
      <c r="L2118" s="32"/>
      <c r="M2118" s="32"/>
      <c r="N2118" s="32"/>
      <c r="O2118" s="14"/>
      <c r="P2118" s="14"/>
    </row>
    <row r="2119" hidden="1">
      <c r="A2119" s="34" t="s">
        <v>332</v>
      </c>
      <c r="B2119" s="92" t="s">
        <v>207</v>
      </c>
      <c r="C2119" s="92"/>
      <c r="D2119" s="92" t="s">
        <v>281</v>
      </c>
      <c r="E2119" s="80">
        <v>2.0</v>
      </c>
      <c r="F2119" s="80">
        <v>3.0</v>
      </c>
      <c r="G2119" s="80">
        <v>0.0</v>
      </c>
      <c r="H2119" s="80">
        <v>0.0</v>
      </c>
      <c r="I2119" s="80">
        <v>4.0</v>
      </c>
      <c r="J2119" s="32"/>
      <c r="K2119" s="32">
        <f t="shared" si="95"/>
        <v>3000</v>
      </c>
      <c r="L2119" s="32"/>
      <c r="M2119" s="32"/>
      <c r="N2119" s="32"/>
      <c r="O2119" s="14"/>
      <c r="P2119" s="14"/>
    </row>
    <row r="2120" hidden="1">
      <c r="A2120" s="34" t="s">
        <v>332</v>
      </c>
      <c r="B2120" s="92" t="s">
        <v>282</v>
      </c>
      <c r="C2120" s="92"/>
      <c r="D2120" s="92" t="s">
        <v>284</v>
      </c>
      <c r="E2120" s="80">
        <v>0.0</v>
      </c>
      <c r="F2120" s="80">
        <v>3.0</v>
      </c>
      <c r="G2120" s="80">
        <v>2.0</v>
      </c>
      <c r="H2120" s="80">
        <v>1.0</v>
      </c>
      <c r="I2120" s="80">
        <v>3.0</v>
      </c>
      <c r="J2120" s="32"/>
      <c r="K2120" s="32">
        <f t="shared" si="95"/>
        <v>3000</v>
      </c>
      <c r="L2120" s="32"/>
      <c r="M2120" s="32"/>
      <c r="N2120" s="32"/>
      <c r="O2120" s="14"/>
      <c r="P2120" s="14"/>
    </row>
    <row r="2121" hidden="1">
      <c r="A2121" s="34" t="s">
        <v>332</v>
      </c>
      <c r="B2121" s="92" t="s">
        <v>285</v>
      </c>
      <c r="C2121" s="92"/>
      <c r="D2121" s="92" t="s">
        <v>287</v>
      </c>
      <c r="E2121" s="80">
        <v>0.0</v>
      </c>
      <c r="F2121" s="80">
        <v>0.0</v>
      </c>
      <c r="G2121" s="80">
        <v>0.0</v>
      </c>
      <c r="H2121" s="80">
        <v>0.0</v>
      </c>
      <c r="I2121" s="80">
        <v>3.0</v>
      </c>
      <c r="J2121" s="32"/>
      <c r="K2121" s="32">
        <f t="shared" si="95"/>
        <v>750</v>
      </c>
      <c r="L2121" s="32"/>
      <c r="M2121" s="32"/>
      <c r="N2121" s="32"/>
      <c r="O2121" s="14"/>
      <c r="P2121" s="14"/>
    </row>
    <row r="2122" hidden="1">
      <c r="A2122" s="34" t="s">
        <v>332</v>
      </c>
      <c r="B2122" s="92" t="s">
        <v>143</v>
      </c>
      <c r="C2122" s="92"/>
      <c r="D2122" s="92" t="s">
        <v>145</v>
      </c>
      <c r="E2122" s="80">
        <v>0.0</v>
      </c>
      <c r="F2122" s="80">
        <v>4.0</v>
      </c>
      <c r="G2122" s="80">
        <v>0.0</v>
      </c>
      <c r="H2122" s="80">
        <v>1.0</v>
      </c>
      <c r="I2122" s="80">
        <v>4.0</v>
      </c>
      <c r="J2122" s="32"/>
      <c r="K2122" s="32">
        <f t="shared" si="95"/>
        <v>3250</v>
      </c>
      <c r="L2122" s="32"/>
      <c r="M2122" s="32"/>
      <c r="N2122" s="32"/>
      <c r="O2122" s="14"/>
      <c r="P2122" s="14"/>
    </row>
    <row r="2123" hidden="1">
      <c r="A2123" s="34" t="s">
        <v>332</v>
      </c>
      <c r="B2123" s="92" t="s">
        <v>146</v>
      </c>
      <c r="C2123" s="92"/>
      <c r="D2123" s="92" t="s">
        <v>148</v>
      </c>
      <c r="E2123" s="80">
        <v>0.0</v>
      </c>
      <c r="F2123" s="80">
        <v>0.0</v>
      </c>
      <c r="G2123" s="80">
        <v>1.0</v>
      </c>
      <c r="H2123" s="80">
        <v>8.0</v>
      </c>
      <c r="I2123" s="80">
        <v>4.0</v>
      </c>
      <c r="J2123" s="32"/>
      <c r="K2123" s="32">
        <f t="shared" si="95"/>
        <v>3250</v>
      </c>
      <c r="L2123" s="32"/>
      <c r="M2123" s="32"/>
      <c r="N2123" s="32"/>
      <c r="O2123" s="14"/>
      <c r="P2123" s="14"/>
    </row>
    <row r="2124" hidden="1">
      <c r="A2124" s="34" t="s">
        <v>332</v>
      </c>
      <c r="B2124" s="92" t="s">
        <v>245</v>
      </c>
      <c r="C2124" s="92"/>
      <c r="D2124" s="92" t="s">
        <v>247</v>
      </c>
      <c r="E2124" s="80">
        <v>0.0</v>
      </c>
      <c r="F2124" s="80">
        <v>0.0</v>
      </c>
      <c r="G2124" s="80">
        <v>0.0</v>
      </c>
      <c r="H2124" s="80">
        <v>0.0</v>
      </c>
      <c r="I2124" s="80">
        <v>4.0</v>
      </c>
      <c r="J2124" s="32"/>
      <c r="K2124" s="32">
        <f t="shared" si="95"/>
        <v>1000</v>
      </c>
      <c r="L2124" s="32"/>
      <c r="M2124" s="32"/>
      <c r="N2124" s="32"/>
      <c r="O2124" s="14"/>
      <c r="P2124" s="14"/>
    </row>
    <row r="2125" hidden="1">
      <c r="A2125" s="34" t="s">
        <v>332</v>
      </c>
      <c r="B2125" s="92" t="s">
        <v>210</v>
      </c>
      <c r="C2125" s="92"/>
      <c r="D2125" s="92" t="s">
        <v>212</v>
      </c>
      <c r="E2125" s="80">
        <v>1.0</v>
      </c>
      <c r="F2125" s="80">
        <v>0.0</v>
      </c>
      <c r="G2125" s="80">
        <v>0.0</v>
      </c>
      <c r="H2125" s="80">
        <v>0.0</v>
      </c>
      <c r="I2125" s="80">
        <v>3.0</v>
      </c>
      <c r="J2125" s="32"/>
      <c r="K2125" s="32">
        <f t="shared" si="95"/>
        <v>1000</v>
      </c>
      <c r="L2125" s="32"/>
      <c r="M2125" s="32"/>
      <c r="N2125" s="32"/>
      <c r="O2125" s="14"/>
      <c r="P2125" s="14"/>
    </row>
    <row r="2126" hidden="1">
      <c r="A2126" s="34" t="s">
        <v>332</v>
      </c>
      <c r="B2126" s="92" t="s">
        <v>149</v>
      </c>
      <c r="C2126" s="92"/>
      <c r="D2126" s="92" t="s">
        <v>151</v>
      </c>
      <c r="E2126" s="80">
        <v>0.0</v>
      </c>
      <c r="F2126" s="80">
        <v>0.0</v>
      </c>
      <c r="G2126" s="80">
        <v>1.0</v>
      </c>
      <c r="H2126" s="80">
        <v>0.0</v>
      </c>
      <c r="I2126" s="80">
        <v>4.0</v>
      </c>
      <c r="J2126" s="32"/>
      <c r="K2126" s="32">
        <f t="shared" si="95"/>
        <v>1250</v>
      </c>
      <c r="L2126" s="32"/>
      <c r="M2126" s="32"/>
      <c r="N2126" s="32"/>
      <c r="O2126" s="14"/>
      <c r="P2126" s="14"/>
    </row>
    <row r="2127" hidden="1">
      <c r="A2127" s="34" t="s">
        <v>332</v>
      </c>
      <c r="B2127" s="92" t="s">
        <v>288</v>
      </c>
      <c r="C2127" s="92"/>
      <c r="D2127" s="92" t="s">
        <v>290</v>
      </c>
      <c r="E2127" s="80">
        <v>0.0</v>
      </c>
      <c r="F2127" s="80">
        <v>0.0</v>
      </c>
      <c r="G2127" s="80">
        <v>0.0</v>
      </c>
      <c r="H2127" s="80">
        <v>0.0</v>
      </c>
      <c r="I2127" s="80">
        <v>3.0</v>
      </c>
      <c r="J2127" s="32"/>
      <c r="K2127" s="32">
        <f t="shared" si="95"/>
        <v>750</v>
      </c>
      <c r="L2127" s="32"/>
      <c r="M2127" s="32"/>
      <c r="N2127" s="32"/>
      <c r="O2127" s="14"/>
      <c r="P2127" s="14"/>
    </row>
    <row r="2128" hidden="1">
      <c r="A2128" s="34" t="s">
        <v>332</v>
      </c>
      <c r="B2128" s="92" t="s">
        <v>152</v>
      </c>
      <c r="C2128" s="92"/>
      <c r="D2128" s="92" t="s">
        <v>154</v>
      </c>
      <c r="E2128" s="80">
        <v>7.0</v>
      </c>
      <c r="F2128" s="80">
        <v>1.0</v>
      </c>
      <c r="G2128" s="80">
        <v>0.0</v>
      </c>
      <c r="H2128" s="80">
        <v>0.0</v>
      </c>
      <c r="I2128" s="80">
        <v>3.0</v>
      </c>
      <c r="J2128" s="32"/>
      <c r="K2128" s="32">
        <f t="shared" si="95"/>
        <v>3000</v>
      </c>
      <c r="L2128" s="32"/>
      <c r="M2128" s="32"/>
      <c r="N2128" s="32"/>
      <c r="O2128" s="14"/>
      <c r="P2128" s="14"/>
    </row>
    <row r="2129" hidden="1">
      <c r="A2129" s="34" t="s">
        <v>332</v>
      </c>
      <c r="B2129" s="92" t="s">
        <v>155</v>
      </c>
      <c r="C2129" s="92"/>
      <c r="D2129" s="92" t="s">
        <v>157</v>
      </c>
      <c r="E2129" s="80">
        <v>0.0</v>
      </c>
      <c r="F2129" s="80">
        <v>0.0</v>
      </c>
      <c r="G2129" s="80">
        <v>1.0</v>
      </c>
      <c r="H2129" s="80">
        <v>4.0</v>
      </c>
      <c r="I2129" s="80">
        <v>2.0</v>
      </c>
      <c r="J2129" s="32"/>
      <c r="K2129" s="32">
        <f t="shared" si="95"/>
        <v>1750</v>
      </c>
      <c r="L2129" s="32"/>
      <c r="M2129" s="32"/>
      <c r="N2129" s="32"/>
      <c r="O2129" s="14"/>
      <c r="P2129" s="14"/>
    </row>
    <row r="2130" hidden="1">
      <c r="A2130" s="34" t="s">
        <v>332</v>
      </c>
      <c r="B2130" s="92" t="s">
        <v>158</v>
      </c>
      <c r="C2130" s="92"/>
      <c r="D2130" s="92" t="s">
        <v>160</v>
      </c>
      <c r="E2130" s="80">
        <v>0.0</v>
      </c>
      <c r="F2130" s="80">
        <v>0.0</v>
      </c>
      <c r="G2130" s="80">
        <v>0.0</v>
      </c>
      <c r="H2130" s="80">
        <v>0.0</v>
      </c>
      <c r="I2130" s="80">
        <v>4.0</v>
      </c>
      <c r="J2130" s="32"/>
      <c r="K2130" s="32">
        <f t="shared" si="95"/>
        <v>1000</v>
      </c>
      <c r="L2130" s="32"/>
      <c r="M2130" s="32"/>
      <c r="N2130" s="32"/>
      <c r="O2130" s="14"/>
      <c r="P2130" s="14"/>
    </row>
    <row r="2131" hidden="1">
      <c r="A2131" s="34" t="s">
        <v>332</v>
      </c>
      <c r="B2131" s="93" t="s">
        <v>161</v>
      </c>
      <c r="C2131" s="93"/>
      <c r="D2131" s="93" t="s">
        <v>163</v>
      </c>
      <c r="E2131" s="80">
        <v>0.0</v>
      </c>
      <c r="F2131" s="80">
        <v>0.0</v>
      </c>
      <c r="G2131" s="80">
        <v>0.0</v>
      </c>
      <c r="H2131" s="80">
        <v>7.0</v>
      </c>
      <c r="I2131" s="80">
        <v>4.0</v>
      </c>
      <c r="J2131" s="32"/>
      <c r="K2131" s="32">
        <f t="shared" si="95"/>
        <v>2750</v>
      </c>
      <c r="L2131" s="32"/>
      <c r="M2131" s="32"/>
      <c r="N2131" s="32"/>
      <c r="O2131" s="14"/>
      <c r="P2131" s="14"/>
    </row>
    <row r="2132" hidden="1">
      <c r="A2132" s="34" t="s">
        <v>332</v>
      </c>
      <c r="B2132" s="93" t="s">
        <v>164</v>
      </c>
      <c r="C2132" s="93"/>
      <c r="D2132" s="93" t="s">
        <v>166</v>
      </c>
      <c r="E2132" s="80">
        <v>0.0</v>
      </c>
      <c r="F2132" s="80">
        <v>2.0</v>
      </c>
      <c r="G2132" s="80">
        <v>0.0</v>
      </c>
      <c r="H2132" s="80">
        <v>2.0</v>
      </c>
      <c r="I2132" s="80">
        <v>1.0</v>
      </c>
      <c r="J2132" s="32"/>
      <c r="K2132" s="32">
        <f t="shared" si="95"/>
        <v>1750</v>
      </c>
      <c r="L2132" s="32"/>
      <c r="M2132" s="32"/>
      <c r="N2132" s="32"/>
      <c r="O2132" s="14"/>
      <c r="P2132" s="14"/>
    </row>
    <row r="2133" hidden="1">
      <c r="A2133" s="34" t="s">
        <v>332</v>
      </c>
      <c r="B2133" s="93" t="s">
        <v>167</v>
      </c>
      <c r="C2133" s="93"/>
      <c r="D2133" s="93" t="s">
        <v>169</v>
      </c>
      <c r="E2133" s="80">
        <v>0.0</v>
      </c>
      <c r="F2133" s="80">
        <v>9.0</v>
      </c>
      <c r="G2133" s="80">
        <v>4.0</v>
      </c>
      <c r="H2133" s="80">
        <v>9.0</v>
      </c>
      <c r="I2133" s="80">
        <v>3.0</v>
      </c>
      <c r="J2133" s="32"/>
      <c r="K2133" s="32">
        <f t="shared" si="95"/>
        <v>8500</v>
      </c>
      <c r="L2133" s="32"/>
      <c r="M2133" s="32"/>
      <c r="N2133" s="32"/>
      <c r="O2133" s="14"/>
      <c r="P2133" s="14"/>
    </row>
    <row r="2134" hidden="1">
      <c r="A2134" s="34" t="s">
        <v>332</v>
      </c>
      <c r="B2134" s="93" t="s">
        <v>170</v>
      </c>
      <c r="C2134" s="93"/>
      <c r="D2134" s="93" t="s">
        <v>172</v>
      </c>
      <c r="E2134" s="80">
        <v>0.0</v>
      </c>
      <c r="F2134" s="80">
        <v>3.0</v>
      </c>
      <c r="G2134" s="80">
        <v>0.0</v>
      </c>
      <c r="H2134" s="80">
        <v>2.0</v>
      </c>
      <c r="I2134" s="80">
        <v>4.0</v>
      </c>
      <c r="J2134" s="32"/>
      <c r="K2134" s="32">
        <f t="shared" si="95"/>
        <v>3000</v>
      </c>
      <c r="L2134" s="32"/>
      <c r="M2134" s="32"/>
      <c r="N2134" s="32"/>
      <c r="O2134" s="14"/>
      <c r="P2134" s="14"/>
    </row>
    <row r="2135" hidden="1">
      <c r="A2135" s="34" t="s">
        <v>332</v>
      </c>
      <c r="B2135" s="92" t="s">
        <v>173</v>
      </c>
      <c r="C2135" s="92"/>
      <c r="D2135" s="92" t="s">
        <v>175</v>
      </c>
      <c r="E2135" s="80">
        <v>0.0</v>
      </c>
      <c r="F2135" s="80">
        <v>7.0</v>
      </c>
      <c r="G2135" s="80">
        <v>0.0</v>
      </c>
      <c r="H2135" s="80">
        <v>4.0</v>
      </c>
      <c r="I2135" s="80">
        <v>3.0</v>
      </c>
      <c r="J2135" s="32"/>
      <c r="K2135" s="32">
        <f t="shared" si="95"/>
        <v>5250</v>
      </c>
      <c r="L2135" s="32"/>
      <c r="M2135" s="32"/>
      <c r="N2135" s="32"/>
      <c r="O2135" s="14"/>
      <c r="P2135" s="14"/>
    </row>
    <row r="2136" hidden="1">
      <c r="A2136" s="34" t="s">
        <v>332</v>
      </c>
      <c r="B2136" s="92" t="s">
        <v>176</v>
      </c>
      <c r="C2136" s="92"/>
      <c r="D2136" s="92" t="s">
        <v>178</v>
      </c>
      <c r="E2136" s="80">
        <v>0.0</v>
      </c>
      <c r="F2136" s="80">
        <v>5.0</v>
      </c>
      <c r="G2136" s="80">
        <v>0.0</v>
      </c>
      <c r="H2136" s="80">
        <v>8.0</v>
      </c>
      <c r="I2136" s="80">
        <v>4.0</v>
      </c>
      <c r="J2136" s="32"/>
      <c r="K2136" s="32">
        <f t="shared" si="95"/>
        <v>5500</v>
      </c>
      <c r="L2136" s="32"/>
      <c r="M2136" s="32"/>
      <c r="N2136" s="32"/>
      <c r="O2136" s="14"/>
      <c r="P2136" s="14"/>
    </row>
    <row r="2137" hidden="1">
      <c r="A2137" s="34" t="s">
        <v>332</v>
      </c>
      <c r="B2137" s="94" t="s">
        <v>291</v>
      </c>
      <c r="C2137" s="94"/>
      <c r="D2137" s="94" t="s">
        <v>293</v>
      </c>
      <c r="E2137" s="80">
        <v>12.0</v>
      </c>
      <c r="F2137" s="80">
        <v>0.0</v>
      </c>
      <c r="G2137" s="85">
        <v>0.0</v>
      </c>
      <c r="H2137" s="85">
        <v>7.0</v>
      </c>
      <c r="I2137" s="85">
        <v>5.0</v>
      </c>
      <c r="J2137" s="32"/>
      <c r="K2137" s="32">
        <f t="shared" si="95"/>
        <v>6000</v>
      </c>
      <c r="L2137" s="32"/>
      <c r="M2137" s="32"/>
      <c r="N2137" s="32"/>
      <c r="O2137" s="23"/>
      <c r="P2137" s="23"/>
    </row>
    <row r="2138" hidden="1">
      <c r="A2138" s="34" t="s">
        <v>332</v>
      </c>
      <c r="B2138" s="94" t="s">
        <v>294</v>
      </c>
      <c r="C2138" s="94"/>
      <c r="D2138" s="94" t="s">
        <v>296</v>
      </c>
      <c r="E2138" s="80">
        <v>0.0</v>
      </c>
      <c r="F2138" s="80">
        <v>0.0</v>
      </c>
      <c r="G2138" s="85">
        <v>0.0</v>
      </c>
      <c r="H2138" s="85">
        <v>0.0</v>
      </c>
      <c r="I2138" s="85">
        <v>4.0</v>
      </c>
      <c r="J2138" s="32"/>
      <c r="K2138" s="32">
        <f t="shared" si="95"/>
        <v>1000</v>
      </c>
      <c r="L2138" s="32"/>
      <c r="M2138" s="32"/>
      <c r="N2138" s="32"/>
      <c r="O2138" s="23"/>
      <c r="P2138" s="23"/>
    </row>
    <row r="2139" hidden="1">
      <c r="A2139" s="34" t="s">
        <v>332</v>
      </c>
      <c r="B2139" s="95" t="s">
        <v>333</v>
      </c>
      <c r="C2139" s="94"/>
      <c r="D2139" s="94" t="s">
        <v>334</v>
      </c>
      <c r="E2139" s="80">
        <v>1.0</v>
      </c>
      <c r="F2139" s="80">
        <v>0.0</v>
      </c>
      <c r="G2139" s="85">
        <v>0.0</v>
      </c>
      <c r="H2139" s="85">
        <v>0.0</v>
      </c>
      <c r="I2139" s="85">
        <v>1.0</v>
      </c>
      <c r="J2139" s="32"/>
      <c r="K2139" s="32">
        <f t="shared" si="95"/>
        <v>500</v>
      </c>
      <c r="L2139" s="32"/>
      <c r="M2139" s="32"/>
      <c r="N2139" s="32"/>
      <c r="O2139" s="23"/>
      <c r="P2139" s="23"/>
    </row>
    <row r="2140" hidden="1">
      <c r="A2140" s="34" t="s">
        <v>332</v>
      </c>
      <c r="B2140" s="94" t="s">
        <v>179</v>
      </c>
      <c r="C2140" s="94"/>
      <c r="D2140" s="94" t="s">
        <v>181</v>
      </c>
      <c r="E2140" s="80">
        <v>8.0</v>
      </c>
      <c r="F2140" s="80">
        <v>5.0</v>
      </c>
      <c r="G2140" s="85">
        <v>1.0</v>
      </c>
      <c r="H2140" s="85">
        <v>10.0</v>
      </c>
      <c r="I2140" s="85">
        <v>5.0</v>
      </c>
      <c r="J2140" s="32"/>
      <c r="K2140" s="32">
        <f t="shared" si="95"/>
        <v>8500</v>
      </c>
      <c r="L2140" s="32"/>
      <c r="M2140" s="32"/>
      <c r="N2140" s="32"/>
      <c r="O2140" s="23"/>
      <c r="P2140" s="23"/>
    </row>
    <row r="2141" hidden="1">
      <c r="A2141" s="34" t="s">
        <v>332</v>
      </c>
      <c r="B2141" s="94" t="s">
        <v>182</v>
      </c>
      <c r="C2141" s="94"/>
      <c r="D2141" s="94" t="s">
        <v>184</v>
      </c>
      <c r="E2141" s="80">
        <v>2.0</v>
      </c>
      <c r="F2141" s="80">
        <v>1.0</v>
      </c>
      <c r="G2141" s="85">
        <v>0.0</v>
      </c>
      <c r="H2141" s="85">
        <v>8.0</v>
      </c>
      <c r="I2141" s="85">
        <v>5.0</v>
      </c>
      <c r="J2141" s="32"/>
      <c r="K2141" s="32">
        <f t="shared" si="95"/>
        <v>4250</v>
      </c>
      <c r="L2141" s="32"/>
      <c r="M2141" s="32"/>
      <c r="N2141" s="32"/>
      <c r="O2141" s="23"/>
      <c r="P2141" s="23"/>
    </row>
    <row r="2142" hidden="1">
      <c r="A2142" s="34" t="s">
        <v>332</v>
      </c>
      <c r="B2142" s="94" t="s">
        <v>185</v>
      </c>
      <c r="C2142" s="94"/>
      <c r="D2142" s="94" t="s">
        <v>187</v>
      </c>
      <c r="E2142" s="80">
        <v>36.0</v>
      </c>
      <c r="F2142" s="80">
        <v>0.0</v>
      </c>
      <c r="G2142" s="85">
        <v>0.0</v>
      </c>
      <c r="H2142" s="85">
        <v>21.0</v>
      </c>
      <c r="I2142" s="85">
        <v>5.0</v>
      </c>
      <c r="J2142" s="32"/>
      <c r="K2142" s="32">
        <f t="shared" si="95"/>
        <v>15500</v>
      </c>
      <c r="L2142" s="32"/>
      <c r="M2142" s="32"/>
      <c r="N2142" s="32"/>
      <c r="O2142" s="23"/>
      <c r="P2142" s="23"/>
    </row>
    <row r="2143" hidden="1">
      <c r="A2143" s="34" t="s">
        <v>332</v>
      </c>
      <c r="B2143" s="94" t="s">
        <v>188</v>
      </c>
      <c r="C2143" s="94"/>
      <c r="D2143" s="94" t="s">
        <v>190</v>
      </c>
      <c r="E2143" s="80">
        <v>3.0</v>
      </c>
      <c r="F2143" s="80">
        <v>2.0</v>
      </c>
      <c r="G2143" s="85">
        <v>0.0</v>
      </c>
      <c r="H2143" s="85">
        <v>4.0</v>
      </c>
      <c r="I2143" s="85">
        <v>5.0</v>
      </c>
      <c r="J2143" s="32"/>
      <c r="K2143" s="32">
        <f t="shared" si="95"/>
        <v>4000</v>
      </c>
      <c r="L2143" s="32"/>
      <c r="M2143" s="32"/>
      <c r="N2143" s="32"/>
      <c r="O2143" s="23"/>
      <c r="P2143" s="23"/>
    </row>
    <row r="2144" hidden="1">
      <c r="A2144" s="34" t="s">
        <v>332</v>
      </c>
      <c r="B2144" s="95" t="s">
        <v>258</v>
      </c>
      <c r="C2144" s="94"/>
      <c r="D2144" s="94" t="s">
        <v>260</v>
      </c>
      <c r="E2144" s="80">
        <v>13.0</v>
      </c>
      <c r="F2144" s="80">
        <v>0.0</v>
      </c>
      <c r="G2144" s="85">
        <v>0.0</v>
      </c>
      <c r="H2144" s="85">
        <v>9.0</v>
      </c>
      <c r="I2144" s="85">
        <v>2.0</v>
      </c>
      <c r="J2144" s="32"/>
      <c r="K2144" s="32">
        <f t="shared" si="95"/>
        <v>6000</v>
      </c>
      <c r="L2144" s="32"/>
      <c r="M2144" s="32"/>
      <c r="N2144" s="32"/>
      <c r="O2144" s="23"/>
      <c r="P2144" s="23"/>
    </row>
    <row r="2145" hidden="1">
      <c r="A2145" s="34" t="s">
        <v>332</v>
      </c>
      <c r="B2145" s="94" t="s">
        <v>262</v>
      </c>
      <c r="C2145" s="94"/>
      <c r="D2145" s="94" t="s">
        <v>264</v>
      </c>
      <c r="E2145" s="80">
        <v>20.0</v>
      </c>
      <c r="F2145" s="80">
        <v>0.0</v>
      </c>
      <c r="G2145" s="85">
        <v>0.0</v>
      </c>
      <c r="H2145" s="85">
        <v>0.0</v>
      </c>
      <c r="I2145" s="85">
        <v>4.0</v>
      </c>
      <c r="J2145" s="32"/>
      <c r="K2145" s="32">
        <f t="shared" si="95"/>
        <v>6000</v>
      </c>
      <c r="L2145" s="32"/>
      <c r="M2145" s="32"/>
      <c r="N2145" s="32"/>
      <c r="O2145" s="23"/>
      <c r="P2145" s="23"/>
    </row>
    <row r="2146" hidden="1">
      <c r="A2146" s="34" t="s">
        <v>332</v>
      </c>
      <c r="B2146" s="95" t="s">
        <v>191</v>
      </c>
      <c r="C2146" s="95"/>
      <c r="D2146" s="95" t="s">
        <v>193</v>
      </c>
      <c r="E2146" s="80">
        <v>0.0</v>
      </c>
      <c r="F2146" s="80">
        <v>0.0</v>
      </c>
      <c r="G2146" s="85">
        <v>0.0</v>
      </c>
      <c r="H2146" s="85">
        <v>0.0</v>
      </c>
      <c r="I2146" s="85">
        <v>1.0</v>
      </c>
      <c r="J2146" s="32"/>
      <c r="K2146" s="32">
        <f t="shared" si="95"/>
        <v>250</v>
      </c>
      <c r="L2146" s="32"/>
      <c r="M2146" s="32"/>
      <c r="N2146" s="32"/>
      <c r="O2146" s="23"/>
      <c r="P2146" s="23"/>
    </row>
    <row r="2147" hidden="1">
      <c r="A2147" s="34" t="s">
        <v>332</v>
      </c>
      <c r="B2147" s="95" t="s">
        <v>194</v>
      </c>
      <c r="C2147" s="95"/>
      <c r="D2147" s="95" t="s">
        <v>196</v>
      </c>
      <c r="E2147" s="80">
        <v>3.0</v>
      </c>
      <c r="F2147" s="80">
        <v>0.0</v>
      </c>
      <c r="G2147" s="85">
        <v>0.0</v>
      </c>
      <c r="H2147" s="85">
        <v>2.0</v>
      </c>
      <c r="I2147" s="85">
        <v>0.0</v>
      </c>
      <c r="J2147" s="32"/>
      <c r="K2147" s="32">
        <f t="shared" si="95"/>
        <v>1250</v>
      </c>
      <c r="L2147" s="32"/>
      <c r="M2147" s="32"/>
      <c r="N2147" s="32"/>
      <c r="O2147" s="23"/>
      <c r="P2147" s="23"/>
    </row>
    <row r="2148" hidden="1">
      <c r="A2148" s="34" t="s">
        <v>332</v>
      </c>
      <c r="B2148" s="95" t="s">
        <v>303</v>
      </c>
      <c r="C2148" s="95"/>
      <c r="D2148" s="95" t="s">
        <v>305</v>
      </c>
      <c r="E2148" s="80">
        <v>1.0</v>
      </c>
      <c r="F2148" s="80">
        <v>0.0</v>
      </c>
      <c r="G2148" s="85">
        <v>0.0</v>
      </c>
      <c r="H2148" s="85">
        <v>0.0</v>
      </c>
      <c r="I2148" s="85">
        <v>0.0</v>
      </c>
      <c r="J2148" s="32"/>
      <c r="K2148" s="32">
        <f t="shared" si="95"/>
        <v>250</v>
      </c>
      <c r="L2148" s="32"/>
      <c r="M2148" s="32"/>
      <c r="N2148" s="32"/>
      <c r="O2148" s="23"/>
      <c r="P2148" s="23"/>
    </row>
    <row r="2149" hidden="1">
      <c r="A2149" s="34" t="s">
        <v>332</v>
      </c>
      <c r="B2149" s="95" t="s">
        <v>197</v>
      </c>
      <c r="C2149" s="95"/>
      <c r="D2149" s="95" t="s">
        <v>335</v>
      </c>
      <c r="E2149" s="80">
        <v>0.0</v>
      </c>
      <c r="F2149" s="80">
        <v>0.0</v>
      </c>
      <c r="G2149" s="85">
        <v>0.0</v>
      </c>
      <c r="H2149" s="85">
        <v>0.0</v>
      </c>
      <c r="I2149" s="85">
        <v>0.0</v>
      </c>
      <c r="J2149" s="32"/>
      <c r="K2149" s="32">
        <f t="shared" si="95"/>
        <v>0</v>
      </c>
      <c r="L2149" s="32"/>
      <c r="M2149" s="32"/>
      <c r="N2149" s="32"/>
      <c r="O2149" s="23"/>
      <c r="P2149" s="23"/>
    </row>
    <row r="2150" hidden="1">
      <c r="A2150" s="34" t="s">
        <v>332</v>
      </c>
      <c r="B2150" s="95" t="s">
        <v>200</v>
      </c>
      <c r="C2150" s="95"/>
      <c r="D2150" s="95" t="s">
        <v>202</v>
      </c>
      <c r="E2150" s="80">
        <v>0.0</v>
      </c>
      <c r="F2150" s="80">
        <v>0.0</v>
      </c>
      <c r="G2150" s="85">
        <v>0.0</v>
      </c>
      <c r="H2150" s="85">
        <v>0.0</v>
      </c>
      <c r="I2150" s="85">
        <v>5.0</v>
      </c>
      <c r="J2150" s="32"/>
      <c r="K2150" s="32">
        <f t="shared" si="95"/>
        <v>1250</v>
      </c>
      <c r="L2150" s="32"/>
      <c r="M2150" s="32"/>
      <c r="N2150" s="32"/>
      <c r="O2150" s="23"/>
      <c r="P2150" s="23"/>
    </row>
    <row r="2151" hidden="1">
      <c r="A2151" s="34" t="s">
        <v>336</v>
      </c>
      <c r="B2151" s="92" t="s">
        <v>216</v>
      </c>
      <c r="C2151" s="92"/>
      <c r="D2151" s="92" t="s">
        <v>274</v>
      </c>
      <c r="E2151" s="80">
        <v>0.0</v>
      </c>
      <c r="F2151" s="80">
        <v>0.0</v>
      </c>
      <c r="G2151" s="80">
        <v>1.0</v>
      </c>
      <c r="H2151" s="80">
        <v>3.0</v>
      </c>
      <c r="I2151" s="80">
        <v>5.0</v>
      </c>
      <c r="J2151" s="32"/>
      <c r="K2151" s="32">
        <f t="shared" si="95"/>
        <v>2250</v>
      </c>
      <c r="L2151" s="32"/>
      <c r="M2151" s="32"/>
      <c r="N2151" s="32"/>
      <c r="O2151" s="14"/>
      <c r="P2151" s="14"/>
    </row>
    <row r="2152" hidden="1">
      <c r="A2152" s="34" t="s">
        <v>336</v>
      </c>
      <c r="B2152" s="92" t="s">
        <v>119</v>
      </c>
      <c r="C2152" s="92"/>
      <c r="D2152" s="92" t="s">
        <v>121</v>
      </c>
      <c r="E2152" s="80">
        <v>0.0</v>
      </c>
      <c r="F2152" s="80">
        <v>2.0</v>
      </c>
      <c r="G2152" s="80">
        <v>0.0</v>
      </c>
      <c r="H2152" s="80">
        <v>1.0</v>
      </c>
      <c r="I2152" s="80">
        <v>5.0</v>
      </c>
      <c r="J2152" s="32"/>
      <c r="K2152" s="32">
        <f t="shared" si="95"/>
        <v>2500</v>
      </c>
      <c r="L2152" s="32"/>
      <c r="M2152" s="32"/>
      <c r="N2152" s="32"/>
      <c r="O2152" s="14"/>
      <c r="P2152" s="14"/>
    </row>
    <row r="2153" hidden="1">
      <c r="A2153" s="34" t="s">
        <v>336</v>
      </c>
      <c r="B2153" s="92" t="s">
        <v>267</v>
      </c>
      <c r="C2153" s="92"/>
      <c r="D2153" s="92" t="s">
        <v>269</v>
      </c>
      <c r="E2153" s="80">
        <v>0.0</v>
      </c>
      <c r="F2153" s="80">
        <v>2.0</v>
      </c>
      <c r="G2153" s="80">
        <v>1.0</v>
      </c>
      <c r="H2153" s="80">
        <v>9.0</v>
      </c>
      <c r="I2153" s="80">
        <v>5.0</v>
      </c>
      <c r="J2153" s="32"/>
      <c r="K2153" s="32">
        <f t="shared" si="95"/>
        <v>4750</v>
      </c>
      <c r="L2153" s="32"/>
      <c r="M2153" s="32"/>
      <c r="N2153" s="32"/>
      <c r="O2153" s="14"/>
      <c r="P2153" s="14"/>
    </row>
    <row r="2154" hidden="1">
      <c r="A2154" s="34" t="s">
        <v>336</v>
      </c>
      <c r="B2154" s="92" t="s">
        <v>275</v>
      </c>
      <c r="C2154" s="92"/>
      <c r="D2154" s="92" t="s">
        <v>277</v>
      </c>
      <c r="E2154" s="80">
        <v>0.0</v>
      </c>
      <c r="F2154" s="80">
        <v>1.0</v>
      </c>
      <c r="G2154" s="80">
        <v>1.0</v>
      </c>
      <c r="H2154" s="80">
        <v>5.0</v>
      </c>
      <c r="I2154" s="80">
        <v>5.0</v>
      </c>
      <c r="J2154" s="32"/>
      <c r="K2154" s="32">
        <f t="shared" si="95"/>
        <v>3250</v>
      </c>
      <c r="L2154" s="32"/>
      <c r="M2154" s="32"/>
      <c r="N2154" s="32"/>
      <c r="O2154" s="14"/>
      <c r="P2154" s="14"/>
    </row>
    <row r="2155" hidden="1">
      <c r="A2155" s="34" t="s">
        <v>336</v>
      </c>
      <c r="B2155" s="92" t="s">
        <v>122</v>
      </c>
      <c r="C2155" s="92"/>
      <c r="D2155" s="92" t="s">
        <v>124</v>
      </c>
      <c r="E2155" s="80">
        <v>0.0</v>
      </c>
      <c r="F2155" s="80">
        <v>8.0</v>
      </c>
      <c r="G2155" s="80">
        <v>1.0</v>
      </c>
      <c r="H2155" s="80">
        <v>3.0</v>
      </c>
      <c r="I2155" s="80">
        <v>5.0</v>
      </c>
      <c r="J2155" s="32"/>
      <c r="K2155" s="32">
        <f t="shared" si="95"/>
        <v>6250</v>
      </c>
      <c r="L2155" s="32"/>
      <c r="M2155" s="32"/>
      <c r="N2155" s="32"/>
      <c r="O2155" s="14"/>
      <c r="P2155" s="14"/>
    </row>
    <row r="2156" hidden="1">
      <c r="A2156" s="34" t="s">
        <v>336</v>
      </c>
      <c r="B2156" s="92" t="s">
        <v>125</v>
      </c>
      <c r="C2156" s="92"/>
      <c r="D2156" s="92" t="s">
        <v>127</v>
      </c>
      <c r="E2156" s="80">
        <v>0.0</v>
      </c>
      <c r="F2156" s="80">
        <v>1.0</v>
      </c>
      <c r="G2156" s="80">
        <v>4.0</v>
      </c>
      <c r="H2156" s="80">
        <v>8.0</v>
      </c>
      <c r="I2156" s="80">
        <v>5.0</v>
      </c>
      <c r="J2156" s="32"/>
      <c r="K2156" s="32">
        <f t="shared" si="95"/>
        <v>4750</v>
      </c>
      <c r="L2156" s="32"/>
      <c r="M2156" s="32"/>
      <c r="N2156" s="32"/>
      <c r="O2156" s="14"/>
      <c r="P2156" s="14"/>
    </row>
    <row r="2157" hidden="1">
      <c r="A2157" s="34" t="s">
        <v>336</v>
      </c>
      <c r="B2157" s="92" t="s">
        <v>128</v>
      </c>
      <c r="C2157" s="92"/>
      <c r="D2157" s="92" t="s">
        <v>130</v>
      </c>
      <c r="E2157" s="80">
        <v>0.0</v>
      </c>
      <c r="F2157" s="80">
        <v>0.0</v>
      </c>
      <c r="G2157" s="80">
        <v>0.0</v>
      </c>
      <c r="H2157" s="80">
        <v>2.0</v>
      </c>
      <c r="I2157" s="80">
        <v>4.0</v>
      </c>
      <c r="J2157" s="32"/>
      <c r="K2157" s="32">
        <f t="shared" si="95"/>
        <v>1500</v>
      </c>
      <c r="L2157" s="32"/>
      <c r="M2157" s="32"/>
      <c r="N2157" s="32"/>
      <c r="O2157" s="14"/>
      <c r="P2157" s="14"/>
    </row>
    <row r="2158" hidden="1">
      <c r="A2158" s="34" t="s">
        <v>336</v>
      </c>
      <c r="B2158" s="92" t="s">
        <v>131</v>
      </c>
      <c r="C2158" s="92"/>
      <c r="D2158" s="92" t="s">
        <v>133</v>
      </c>
      <c r="E2158" s="80">
        <v>0.0</v>
      </c>
      <c r="F2158" s="80">
        <v>1.0</v>
      </c>
      <c r="G2158" s="80">
        <v>3.0</v>
      </c>
      <c r="H2158" s="80">
        <v>8.0</v>
      </c>
      <c r="I2158" s="80">
        <v>5.0</v>
      </c>
      <c r="J2158" s="32"/>
      <c r="K2158" s="32">
        <f t="shared" si="95"/>
        <v>4500</v>
      </c>
      <c r="L2158" s="32"/>
      <c r="M2158" s="32"/>
      <c r="N2158" s="32"/>
      <c r="O2158" s="14"/>
      <c r="P2158" s="14"/>
    </row>
    <row r="2159" hidden="1">
      <c r="A2159" s="34" t="s">
        <v>336</v>
      </c>
      <c r="B2159" s="92" t="s">
        <v>134</v>
      </c>
      <c r="C2159" s="92"/>
      <c r="D2159" s="92" t="s">
        <v>136</v>
      </c>
      <c r="E2159" s="80">
        <v>0.0</v>
      </c>
      <c r="F2159" s="80">
        <v>1.0</v>
      </c>
      <c r="G2159" s="80">
        <v>0.0</v>
      </c>
      <c r="H2159" s="80">
        <v>3.0</v>
      </c>
      <c r="I2159" s="80">
        <v>5.0</v>
      </c>
      <c r="J2159" s="32"/>
      <c r="K2159" s="32">
        <f t="shared" si="95"/>
        <v>2500</v>
      </c>
      <c r="L2159" s="32"/>
      <c r="M2159" s="32"/>
      <c r="N2159" s="32"/>
      <c r="O2159" s="14"/>
      <c r="P2159" s="14"/>
    </row>
    <row r="2160" hidden="1">
      <c r="A2160" s="34" t="s">
        <v>336</v>
      </c>
      <c r="B2160" s="92" t="s">
        <v>137</v>
      </c>
      <c r="C2160" s="92"/>
      <c r="D2160" s="92" t="s">
        <v>139</v>
      </c>
      <c r="E2160" s="80">
        <v>0.0</v>
      </c>
      <c r="F2160" s="80">
        <v>5.0</v>
      </c>
      <c r="G2160" s="80">
        <v>0.0</v>
      </c>
      <c r="H2160" s="80">
        <v>2.0</v>
      </c>
      <c r="I2160" s="80">
        <v>5.0</v>
      </c>
      <c r="J2160" s="32"/>
      <c r="K2160" s="32">
        <f t="shared" si="95"/>
        <v>4250</v>
      </c>
      <c r="L2160" s="32"/>
      <c r="M2160" s="32"/>
      <c r="N2160" s="32"/>
      <c r="O2160" s="14"/>
      <c r="P2160" s="14"/>
    </row>
    <row r="2161" hidden="1">
      <c r="A2161" s="34" t="s">
        <v>336</v>
      </c>
      <c r="B2161" s="92" t="s">
        <v>278</v>
      </c>
      <c r="C2161" s="92"/>
      <c r="D2161" s="92" t="s">
        <v>280</v>
      </c>
      <c r="E2161" s="80">
        <v>0.0</v>
      </c>
      <c r="F2161" s="80">
        <v>0.0</v>
      </c>
      <c r="G2161" s="80">
        <v>0.0</v>
      </c>
      <c r="H2161" s="80">
        <v>3.0</v>
      </c>
      <c r="I2161" s="80">
        <v>5.0</v>
      </c>
      <c r="J2161" s="32"/>
      <c r="K2161" s="32">
        <f t="shared" si="95"/>
        <v>2000</v>
      </c>
      <c r="L2161" s="32"/>
      <c r="M2161" s="32"/>
      <c r="N2161" s="32"/>
      <c r="O2161" s="14"/>
      <c r="P2161" s="14"/>
    </row>
    <row r="2162" hidden="1">
      <c r="A2162" s="34" t="s">
        <v>336</v>
      </c>
      <c r="B2162" s="92" t="s">
        <v>140</v>
      </c>
      <c r="C2162" s="92"/>
      <c r="D2162" s="92" t="s">
        <v>142</v>
      </c>
      <c r="E2162" s="80">
        <v>1.0</v>
      </c>
      <c r="F2162" s="80">
        <v>0.0</v>
      </c>
      <c r="G2162" s="80">
        <v>0.0</v>
      </c>
      <c r="H2162" s="80">
        <v>7.0</v>
      </c>
      <c r="I2162" s="80">
        <v>5.0</v>
      </c>
      <c r="J2162" s="32"/>
      <c r="K2162" s="32">
        <f t="shared" si="95"/>
        <v>3250</v>
      </c>
      <c r="L2162" s="32"/>
      <c r="M2162" s="32"/>
      <c r="N2162" s="32"/>
      <c r="O2162" s="14"/>
      <c r="P2162" s="14"/>
    </row>
    <row r="2163" hidden="1">
      <c r="A2163" s="34" t="s">
        <v>336</v>
      </c>
      <c r="B2163" s="92" t="s">
        <v>207</v>
      </c>
      <c r="C2163" s="92"/>
      <c r="D2163" s="92" t="s">
        <v>281</v>
      </c>
      <c r="E2163" s="80">
        <v>1.0</v>
      </c>
      <c r="F2163" s="80">
        <v>1.0</v>
      </c>
      <c r="G2163" s="80">
        <v>0.0</v>
      </c>
      <c r="H2163" s="80">
        <v>6.0</v>
      </c>
      <c r="I2163" s="80">
        <v>5.0</v>
      </c>
      <c r="J2163" s="32"/>
      <c r="K2163" s="32">
        <f t="shared" si="95"/>
        <v>3500</v>
      </c>
      <c r="L2163" s="32"/>
      <c r="M2163" s="32"/>
      <c r="N2163" s="32"/>
      <c r="O2163" s="14"/>
      <c r="P2163" s="14"/>
    </row>
    <row r="2164" hidden="1">
      <c r="A2164" s="34" t="s">
        <v>336</v>
      </c>
      <c r="B2164" s="92" t="s">
        <v>282</v>
      </c>
      <c r="C2164" s="92"/>
      <c r="D2164" s="92" t="s">
        <v>284</v>
      </c>
      <c r="E2164" s="80">
        <v>0.0</v>
      </c>
      <c r="F2164" s="80">
        <v>0.0</v>
      </c>
      <c r="G2164" s="80">
        <v>1.0</v>
      </c>
      <c r="H2164" s="80">
        <v>2.0</v>
      </c>
      <c r="I2164" s="80">
        <v>5.0</v>
      </c>
      <c r="J2164" s="32"/>
      <c r="K2164" s="32">
        <f t="shared" si="95"/>
        <v>2000</v>
      </c>
      <c r="L2164" s="32"/>
      <c r="M2164" s="32"/>
      <c r="N2164" s="32"/>
      <c r="O2164" s="14"/>
      <c r="P2164" s="14"/>
    </row>
    <row r="2165" hidden="1">
      <c r="A2165" s="34" t="s">
        <v>336</v>
      </c>
      <c r="B2165" s="92" t="s">
        <v>285</v>
      </c>
      <c r="C2165" s="92"/>
      <c r="D2165" s="92" t="s">
        <v>287</v>
      </c>
      <c r="E2165" s="80">
        <v>0.0</v>
      </c>
      <c r="F2165" s="80">
        <v>0.0</v>
      </c>
      <c r="G2165" s="80">
        <v>2.0</v>
      </c>
      <c r="H2165" s="80">
        <v>3.0</v>
      </c>
      <c r="I2165" s="80">
        <v>5.0</v>
      </c>
      <c r="J2165" s="32"/>
      <c r="K2165" s="32">
        <f t="shared" si="95"/>
        <v>2500</v>
      </c>
      <c r="L2165" s="32"/>
      <c r="M2165" s="32"/>
      <c r="N2165" s="32"/>
      <c r="O2165" s="14"/>
      <c r="P2165" s="14"/>
    </row>
    <row r="2166" hidden="1">
      <c r="A2166" s="34" t="s">
        <v>336</v>
      </c>
      <c r="B2166" s="92" t="s">
        <v>143</v>
      </c>
      <c r="C2166" s="92"/>
      <c r="D2166" s="92" t="s">
        <v>145</v>
      </c>
      <c r="E2166" s="80">
        <v>0.0</v>
      </c>
      <c r="F2166" s="80">
        <v>1.0</v>
      </c>
      <c r="G2166" s="80">
        <v>0.0</v>
      </c>
      <c r="H2166" s="80">
        <v>0.0</v>
      </c>
      <c r="I2166" s="80">
        <v>3.0</v>
      </c>
      <c r="J2166" s="32"/>
      <c r="K2166" s="32">
        <f t="shared" si="95"/>
        <v>1250</v>
      </c>
      <c r="L2166" s="32"/>
      <c r="M2166" s="32"/>
      <c r="N2166" s="32"/>
      <c r="O2166" s="14"/>
      <c r="P2166" s="14"/>
    </row>
    <row r="2167" hidden="1">
      <c r="A2167" s="34" t="s">
        <v>336</v>
      </c>
      <c r="B2167" s="92" t="s">
        <v>146</v>
      </c>
      <c r="C2167" s="92"/>
      <c r="D2167" s="92" t="s">
        <v>148</v>
      </c>
      <c r="E2167" s="80">
        <v>0.0</v>
      </c>
      <c r="F2167" s="80">
        <v>2.0</v>
      </c>
      <c r="G2167" s="80">
        <v>0.0</v>
      </c>
      <c r="H2167" s="80">
        <v>5.0</v>
      </c>
      <c r="I2167" s="80">
        <v>5.0</v>
      </c>
      <c r="J2167" s="32"/>
      <c r="K2167" s="32">
        <f t="shared" si="95"/>
        <v>3500</v>
      </c>
      <c r="L2167" s="32"/>
      <c r="M2167" s="32"/>
      <c r="N2167" s="32"/>
      <c r="O2167" s="14"/>
      <c r="P2167" s="14"/>
    </row>
    <row r="2168" hidden="1">
      <c r="A2168" s="34" t="s">
        <v>336</v>
      </c>
      <c r="B2168" s="92" t="s">
        <v>245</v>
      </c>
      <c r="C2168" s="92"/>
      <c r="D2168" s="92" t="s">
        <v>247</v>
      </c>
      <c r="E2168" s="80">
        <v>0.0</v>
      </c>
      <c r="F2168" s="80">
        <v>2.0</v>
      </c>
      <c r="G2168" s="80">
        <v>0.0</v>
      </c>
      <c r="H2168" s="80">
        <v>2.0</v>
      </c>
      <c r="I2168" s="80">
        <v>4.0</v>
      </c>
      <c r="J2168" s="32"/>
      <c r="K2168" s="32">
        <f t="shared" si="95"/>
        <v>2500</v>
      </c>
      <c r="L2168" s="32"/>
      <c r="M2168" s="32"/>
      <c r="N2168" s="32"/>
      <c r="O2168" s="14"/>
      <c r="P2168" s="14"/>
    </row>
    <row r="2169" hidden="1">
      <c r="A2169" s="34" t="s">
        <v>336</v>
      </c>
      <c r="B2169" s="92" t="s">
        <v>210</v>
      </c>
      <c r="C2169" s="92"/>
      <c r="D2169" s="92" t="s">
        <v>212</v>
      </c>
      <c r="E2169" s="80">
        <v>0.0</v>
      </c>
      <c r="F2169" s="80">
        <v>3.0</v>
      </c>
      <c r="G2169" s="80">
        <v>1.0</v>
      </c>
      <c r="H2169" s="80">
        <v>1.0</v>
      </c>
      <c r="I2169" s="80">
        <v>3.0</v>
      </c>
      <c r="J2169" s="32"/>
      <c r="K2169" s="32">
        <f t="shared" si="95"/>
        <v>2750</v>
      </c>
      <c r="L2169" s="32"/>
      <c r="M2169" s="32"/>
      <c r="N2169" s="32"/>
      <c r="O2169" s="14"/>
      <c r="P2169" s="14"/>
    </row>
    <row r="2170" hidden="1">
      <c r="A2170" s="34" t="s">
        <v>336</v>
      </c>
      <c r="B2170" s="92" t="s">
        <v>149</v>
      </c>
      <c r="C2170" s="92"/>
      <c r="D2170" s="92" t="s">
        <v>151</v>
      </c>
      <c r="E2170" s="80">
        <v>0.0</v>
      </c>
      <c r="F2170" s="80">
        <v>2.0</v>
      </c>
      <c r="G2170" s="80">
        <v>0.0</v>
      </c>
      <c r="H2170" s="80">
        <v>2.0</v>
      </c>
      <c r="I2170" s="80">
        <v>6.0</v>
      </c>
      <c r="J2170" s="32"/>
      <c r="K2170" s="32">
        <f t="shared" si="95"/>
        <v>3000</v>
      </c>
      <c r="L2170" s="32"/>
      <c r="M2170" s="32"/>
      <c r="N2170" s="32"/>
      <c r="O2170" s="14"/>
      <c r="P2170" s="14"/>
    </row>
    <row r="2171" hidden="1">
      <c r="A2171" s="34" t="s">
        <v>336</v>
      </c>
      <c r="B2171" s="92" t="s">
        <v>288</v>
      </c>
      <c r="C2171" s="92"/>
      <c r="D2171" s="92" t="s">
        <v>290</v>
      </c>
      <c r="E2171" s="80">
        <v>0.0</v>
      </c>
      <c r="F2171" s="80">
        <v>0.0</v>
      </c>
      <c r="G2171" s="80">
        <v>0.0</v>
      </c>
      <c r="H2171" s="80">
        <v>0.0</v>
      </c>
      <c r="I2171" s="80">
        <v>3.0</v>
      </c>
      <c r="J2171" s="32"/>
      <c r="K2171" s="32">
        <f t="shared" si="95"/>
        <v>750</v>
      </c>
      <c r="L2171" s="32"/>
      <c r="M2171" s="32"/>
      <c r="N2171" s="32"/>
      <c r="O2171" s="14"/>
      <c r="P2171" s="14"/>
    </row>
    <row r="2172" hidden="1">
      <c r="A2172" s="34" t="s">
        <v>336</v>
      </c>
      <c r="B2172" s="92" t="s">
        <v>152</v>
      </c>
      <c r="C2172" s="92"/>
      <c r="D2172" s="92" t="s">
        <v>154</v>
      </c>
      <c r="E2172" s="80">
        <v>0.0</v>
      </c>
      <c r="F2172" s="80">
        <v>5.0</v>
      </c>
      <c r="G2172" s="80">
        <v>3.0</v>
      </c>
      <c r="H2172" s="80">
        <v>5.0</v>
      </c>
      <c r="I2172" s="80">
        <v>5.0</v>
      </c>
      <c r="J2172" s="32"/>
      <c r="K2172" s="32">
        <f t="shared" si="95"/>
        <v>5750</v>
      </c>
      <c r="L2172" s="32"/>
      <c r="M2172" s="32"/>
      <c r="N2172" s="32"/>
      <c r="O2172" s="14"/>
      <c r="P2172" s="14"/>
    </row>
    <row r="2173" hidden="1">
      <c r="A2173" s="34" t="s">
        <v>336</v>
      </c>
      <c r="B2173" s="92" t="s">
        <v>155</v>
      </c>
      <c r="C2173" s="92"/>
      <c r="D2173" s="92" t="s">
        <v>157</v>
      </c>
      <c r="E2173" s="80">
        <v>0.0</v>
      </c>
      <c r="F2173" s="80">
        <v>3.0</v>
      </c>
      <c r="G2173" s="80">
        <v>1.0</v>
      </c>
      <c r="H2173" s="80">
        <v>9.0</v>
      </c>
      <c r="I2173" s="80">
        <v>4.0</v>
      </c>
      <c r="J2173" s="32"/>
      <c r="K2173" s="32">
        <f t="shared" si="95"/>
        <v>5000</v>
      </c>
      <c r="L2173" s="32"/>
      <c r="M2173" s="32"/>
      <c r="N2173" s="32"/>
      <c r="O2173" s="14"/>
      <c r="P2173" s="14"/>
    </row>
    <row r="2174" hidden="1">
      <c r="A2174" s="34" t="s">
        <v>336</v>
      </c>
      <c r="B2174" s="92" t="s">
        <v>158</v>
      </c>
      <c r="C2174" s="92"/>
      <c r="D2174" s="92" t="s">
        <v>160</v>
      </c>
      <c r="E2174" s="80">
        <v>0.0</v>
      </c>
      <c r="F2174" s="80">
        <v>0.0</v>
      </c>
      <c r="G2174" s="80">
        <v>0.0</v>
      </c>
      <c r="H2174" s="80">
        <v>3.0</v>
      </c>
      <c r="I2174" s="80">
        <v>4.0</v>
      </c>
      <c r="J2174" s="32"/>
      <c r="K2174" s="32">
        <f t="shared" si="95"/>
        <v>1750</v>
      </c>
      <c r="L2174" s="32"/>
      <c r="M2174" s="32"/>
      <c r="N2174" s="32"/>
      <c r="O2174" s="14"/>
      <c r="P2174" s="14"/>
    </row>
    <row r="2175" hidden="1">
      <c r="A2175" s="34" t="s">
        <v>336</v>
      </c>
      <c r="B2175" s="93" t="s">
        <v>161</v>
      </c>
      <c r="C2175" s="93"/>
      <c r="D2175" s="93" t="s">
        <v>163</v>
      </c>
      <c r="E2175" s="80">
        <v>0.0</v>
      </c>
      <c r="F2175" s="80">
        <v>4.0</v>
      </c>
      <c r="G2175" s="80">
        <v>0.0</v>
      </c>
      <c r="H2175" s="80">
        <v>6.0</v>
      </c>
      <c r="I2175" s="80">
        <v>5.0</v>
      </c>
      <c r="J2175" s="32"/>
      <c r="K2175" s="32">
        <f t="shared" si="95"/>
        <v>4750</v>
      </c>
      <c r="L2175" s="32"/>
      <c r="M2175" s="32"/>
      <c r="N2175" s="32"/>
      <c r="O2175" s="14"/>
      <c r="P2175" s="14"/>
    </row>
    <row r="2176" hidden="1">
      <c r="A2176" s="34" t="s">
        <v>336</v>
      </c>
      <c r="B2176" s="93" t="s">
        <v>164</v>
      </c>
      <c r="C2176" s="93"/>
      <c r="D2176" s="93" t="s">
        <v>166</v>
      </c>
      <c r="E2176" s="80">
        <v>0.0</v>
      </c>
      <c r="F2176" s="80">
        <v>2.0</v>
      </c>
      <c r="G2176" s="80">
        <v>0.0</v>
      </c>
      <c r="H2176" s="80">
        <v>2.0</v>
      </c>
      <c r="I2176" s="80">
        <v>4.0</v>
      </c>
      <c r="J2176" s="32"/>
      <c r="K2176" s="32">
        <f t="shared" si="95"/>
        <v>2500</v>
      </c>
      <c r="L2176" s="32"/>
      <c r="M2176" s="32"/>
      <c r="N2176" s="32"/>
      <c r="O2176" s="14"/>
      <c r="P2176" s="14"/>
    </row>
    <row r="2177" hidden="1">
      <c r="A2177" s="34" t="s">
        <v>336</v>
      </c>
      <c r="B2177" s="93" t="s">
        <v>167</v>
      </c>
      <c r="C2177" s="93"/>
      <c r="D2177" s="93" t="s">
        <v>169</v>
      </c>
      <c r="E2177" s="80">
        <v>1.0</v>
      </c>
      <c r="F2177" s="80">
        <v>3.0</v>
      </c>
      <c r="G2177" s="80">
        <v>2.0</v>
      </c>
      <c r="H2177" s="80">
        <v>10.0</v>
      </c>
      <c r="I2177" s="80">
        <v>5.0</v>
      </c>
      <c r="J2177" s="32"/>
      <c r="K2177" s="32">
        <f t="shared" si="95"/>
        <v>6000</v>
      </c>
      <c r="L2177" s="32"/>
      <c r="M2177" s="32"/>
      <c r="N2177" s="32"/>
      <c r="O2177" s="14"/>
      <c r="P2177" s="14"/>
    </row>
    <row r="2178" hidden="1">
      <c r="A2178" s="34" t="s">
        <v>336</v>
      </c>
      <c r="B2178" s="93" t="s">
        <v>170</v>
      </c>
      <c r="C2178" s="93"/>
      <c r="D2178" s="93" t="s">
        <v>172</v>
      </c>
      <c r="E2178" s="80">
        <v>0.0</v>
      </c>
      <c r="F2178" s="80">
        <v>11.0</v>
      </c>
      <c r="G2178" s="80">
        <v>1.0</v>
      </c>
      <c r="H2178" s="80">
        <v>6.0</v>
      </c>
      <c r="I2178" s="80">
        <v>5.0</v>
      </c>
      <c r="J2178" s="32"/>
      <c r="K2178" s="32">
        <f t="shared" si="95"/>
        <v>8500</v>
      </c>
      <c r="L2178" s="32"/>
      <c r="M2178" s="32"/>
      <c r="N2178" s="32"/>
      <c r="O2178" s="14"/>
      <c r="P2178" s="14"/>
    </row>
    <row r="2179" hidden="1">
      <c r="A2179" s="34" t="s">
        <v>336</v>
      </c>
      <c r="B2179" s="92" t="s">
        <v>173</v>
      </c>
      <c r="C2179" s="92"/>
      <c r="D2179" s="92" t="s">
        <v>175</v>
      </c>
      <c r="E2179" s="80">
        <v>2.0</v>
      </c>
      <c r="F2179" s="80">
        <v>2.0</v>
      </c>
      <c r="G2179" s="80">
        <v>1.0</v>
      </c>
      <c r="H2179" s="80">
        <v>5.0</v>
      </c>
      <c r="I2179" s="80">
        <v>2.0</v>
      </c>
      <c r="J2179" s="32"/>
      <c r="K2179" s="32">
        <f t="shared" si="95"/>
        <v>3500</v>
      </c>
      <c r="L2179" s="32"/>
      <c r="M2179" s="32"/>
      <c r="N2179" s="32"/>
      <c r="O2179" s="14"/>
      <c r="P2179" s="14"/>
    </row>
    <row r="2180" hidden="1">
      <c r="A2180" s="34" t="s">
        <v>336</v>
      </c>
      <c r="B2180" s="92" t="s">
        <v>176</v>
      </c>
      <c r="C2180" s="92"/>
      <c r="D2180" s="92" t="s">
        <v>178</v>
      </c>
      <c r="E2180" s="80">
        <v>1.0</v>
      </c>
      <c r="F2180" s="80">
        <v>4.0</v>
      </c>
      <c r="G2180" s="80">
        <v>0.0</v>
      </c>
      <c r="H2180" s="80">
        <v>6.0</v>
      </c>
      <c r="I2180" s="80">
        <v>4.0</v>
      </c>
      <c r="J2180" s="32"/>
      <c r="K2180" s="32">
        <f t="shared" si="95"/>
        <v>4750</v>
      </c>
      <c r="L2180" s="32"/>
      <c r="M2180" s="32"/>
      <c r="N2180" s="32"/>
      <c r="O2180" s="14"/>
      <c r="P2180" s="14"/>
    </row>
    <row r="2181" hidden="1">
      <c r="A2181" s="34" t="s">
        <v>336</v>
      </c>
      <c r="B2181" s="94" t="s">
        <v>291</v>
      </c>
      <c r="C2181" s="94"/>
      <c r="D2181" s="94" t="s">
        <v>293</v>
      </c>
      <c r="E2181" s="80">
        <v>14.0</v>
      </c>
      <c r="F2181" s="80">
        <v>0.0</v>
      </c>
      <c r="G2181" s="85">
        <v>1.0</v>
      </c>
      <c r="H2181" s="85">
        <v>5.0</v>
      </c>
      <c r="I2181" s="85">
        <v>1.0</v>
      </c>
      <c r="J2181" s="32"/>
      <c r="K2181" s="32">
        <f t="shared" si="95"/>
        <v>5250</v>
      </c>
      <c r="L2181" s="32"/>
      <c r="M2181" s="32"/>
      <c r="N2181" s="32"/>
      <c r="O2181" s="23"/>
      <c r="P2181" s="23"/>
    </row>
    <row r="2182" hidden="1">
      <c r="A2182" s="34" t="s">
        <v>336</v>
      </c>
      <c r="B2182" s="94" t="s">
        <v>294</v>
      </c>
      <c r="C2182" s="94"/>
      <c r="D2182" s="94" t="s">
        <v>296</v>
      </c>
      <c r="E2182" s="80">
        <v>1.0</v>
      </c>
      <c r="F2182" s="80">
        <v>0.0</v>
      </c>
      <c r="G2182" s="85">
        <v>0.0</v>
      </c>
      <c r="H2182" s="85">
        <v>2.0</v>
      </c>
      <c r="I2182" s="85">
        <v>0.0</v>
      </c>
      <c r="J2182" s="32"/>
      <c r="K2182" s="32">
        <f t="shared" si="95"/>
        <v>750</v>
      </c>
      <c r="L2182" s="32"/>
      <c r="M2182" s="32"/>
      <c r="N2182" s="32"/>
      <c r="O2182" s="23"/>
      <c r="P2182" s="23"/>
    </row>
    <row r="2183" hidden="1">
      <c r="A2183" s="34" t="s">
        <v>336</v>
      </c>
      <c r="B2183" s="95" t="s">
        <v>333</v>
      </c>
      <c r="C2183" s="94"/>
      <c r="D2183" s="94" t="s">
        <v>334</v>
      </c>
      <c r="E2183" s="80">
        <v>2.0</v>
      </c>
      <c r="F2183" s="80">
        <v>0.0</v>
      </c>
      <c r="G2183" s="85">
        <v>0.0</v>
      </c>
      <c r="H2183" s="85">
        <v>0.0</v>
      </c>
      <c r="I2183" s="85">
        <v>0.0</v>
      </c>
      <c r="J2183" s="32"/>
      <c r="K2183" s="32">
        <f t="shared" si="95"/>
        <v>500</v>
      </c>
      <c r="L2183" s="32"/>
      <c r="M2183" s="32"/>
      <c r="N2183" s="32"/>
      <c r="O2183" s="23"/>
      <c r="P2183" s="23"/>
    </row>
    <row r="2184" hidden="1">
      <c r="A2184" s="34" t="s">
        <v>336</v>
      </c>
      <c r="B2184" s="94" t="s">
        <v>179</v>
      </c>
      <c r="C2184" s="94"/>
      <c r="D2184" s="94" t="s">
        <v>181</v>
      </c>
      <c r="E2184" s="80">
        <v>8.0</v>
      </c>
      <c r="F2184" s="80">
        <v>1.0</v>
      </c>
      <c r="G2184" s="85">
        <v>2.0</v>
      </c>
      <c r="H2184" s="85">
        <v>17.0</v>
      </c>
      <c r="I2184" s="85">
        <v>5.0</v>
      </c>
      <c r="J2184" s="32"/>
      <c r="K2184" s="32">
        <f t="shared" si="95"/>
        <v>8500</v>
      </c>
      <c r="L2184" s="32"/>
      <c r="M2184" s="32"/>
      <c r="N2184" s="32"/>
      <c r="O2184" s="23"/>
      <c r="P2184" s="23"/>
    </row>
    <row r="2185" hidden="1">
      <c r="A2185" s="34" t="s">
        <v>336</v>
      </c>
      <c r="B2185" s="94" t="s">
        <v>182</v>
      </c>
      <c r="C2185" s="94"/>
      <c r="D2185" s="94" t="s">
        <v>184</v>
      </c>
      <c r="E2185" s="80">
        <v>7.0</v>
      </c>
      <c r="F2185" s="80">
        <v>0.0</v>
      </c>
      <c r="G2185" s="85">
        <v>0.0</v>
      </c>
      <c r="H2185" s="85">
        <v>8.0</v>
      </c>
      <c r="I2185" s="85">
        <v>4.0</v>
      </c>
      <c r="J2185" s="32"/>
      <c r="K2185" s="32">
        <f t="shared" si="95"/>
        <v>4750</v>
      </c>
      <c r="L2185" s="32"/>
      <c r="M2185" s="32"/>
      <c r="N2185" s="32"/>
      <c r="O2185" s="23"/>
      <c r="P2185" s="23"/>
    </row>
    <row r="2186" hidden="1">
      <c r="A2186" s="34" t="s">
        <v>336</v>
      </c>
      <c r="B2186" s="94" t="s">
        <v>185</v>
      </c>
      <c r="C2186" s="94"/>
      <c r="D2186" s="94" t="s">
        <v>187</v>
      </c>
      <c r="E2186" s="80">
        <v>30.0</v>
      </c>
      <c r="F2186" s="80">
        <v>1.0</v>
      </c>
      <c r="G2186" s="85">
        <v>0.0</v>
      </c>
      <c r="H2186" s="85">
        <v>11.0</v>
      </c>
      <c r="I2186" s="85">
        <v>5.0</v>
      </c>
      <c r="J2186" s="32"/>
      <c r="K2186" s="32">
        <f t="shared" si="95"/>
        <v>12000</v>
      </c>
      <c r="L2186" s="32"/>
      <c r="M2186" s="32"/>
      <c r="N2186" s="32"/>
      <c r="O2186" s="23"/>
      <c r="P2186" s="23"/>
    </row>
    <row r="2187" hidden="1">
      <c r="A2187" s="34" t="s">
        <v>336</v>
      </c>
      <c r="B2187" s="94" t="s">
        <v>188</v>
      </c>
      <c r="C2187" s="94"/>
      <c r="D2187" s="94" t="s">
        <v>190</v>
      </c>
      <c r="E2187" s="80">
        <v>6.0</v>
      </c>
      <c r="F2187" s="80">
        <v>0.0</v>
      </c>
      <c r="G2187" s="85">
        <v>0.0</v>
      </c>
      <c r="H2187" s="85">
        <v>3.0</v>
      </c>
      <c r="I2187" s="85">
        <v>1.0</v>
      </c>
      <c r="J2187" s="32"/>
      <c r="K2187" s="32">
        <f t="shared" si="95"/>
        <v>2500</v>
      </c>
      <c r="L2187" s="32"/>
      <c r="M2187" s="32"/>
      <c r="N2187" s="32"/>
      <c r="O2187" s="23"/>
      <c r="P2187" s="23"/>
    </row>
    <row r="2188" hidden="1">
      <c r="A2188" s="34" t="s">
        <v>336</v>
      </c>
      <c r="B2188" s="95" t="s">
        <v>258</v>
      </c>
      <c r="C2188" s="94"/>
      <c r="D2188" s="94" t="s">
        <v>260</v>
      </c>
      <c r="E2188" s="80">
        <v>5.0</v>
      </c>
      <c r="F2188" s="80">
        <v>0.0</v>
      </c>
      <c r="G2188" s="85">
        <v>0.0</v>
      </c>
      <c r="H2188" s="85">
        <v>7.0</v>
      </c>
      <c r="I2188" s="85">
        <v>0.0</v>
      </c>
      <c r="J2188" s="32"/>
      <c r="K2188" s="32">
        <f t="shared" si="95"/>
        <v>3000</v>
      </c>
      <c r="L2188" s="32"/>
      <c r="M2188" s="32"/>
      <c r="N2188" s="32"/>
      <c r="O2188" s="23"/>
      <c r="P2188" s="23"/>
    </row>
    <row r="2189" hidden="1">
      <c r="A2189" s="34" t="s">
        <v>336</v>
      </c>
      <c r="B2189" s="94" t="s">
        <v>262</v>
      </c>
      <c r="C2189" s="94"/>
      <c r="D2189" s="94" t="s">
        <v>264</v>
      </c>
      <c r="E2189" s="80">
        <v>18.0</v>
      </c>
      <c r="F2189" s="80">
        <v>0.0</v>
      </c>
      <c r="G2189" s="85">
        <v>0.0</v>
      </c>
      <c r="H2189" s="85">
        <v>0.0</v>
      </c>
      <c r="I2189" s="85">
        <v>0.0</v>
      </c>
      <c r="J2189" s="32"/>
      <c r="K2189" s="32">
        <f t="shared" si="95"/>
        <v>4500</v>
      </c>
      <c r="L2189" s="32"/>
      <c r="M2189" s="32"/>
      <c r="N2189" s="32"/>
      <c r="O2189" s="23"/>
      <c r="P2189" s="23"/>
    </row>
    <row r="2190" hidden="1">
      <c r="A2190" s="34" t="s">
        <v>337</v>
      </c>
      <c r="B2190" s="92" t="s">
        <v>216</v>
      </c>
      <c r="C2190" s="92"/>
      <c r="D2190" s="92" t="s">
        <v>274</v>
      </c>
      <c r="E2190" s="80">
        <v>0.0</v>
      </c>
      <c r="F2190" s="80">
        <v>2.0</v>
      </c>
      <c r="G2190" s="80">
        <v>0.0</v>
      </c>
      <c r="H2190" s="80">
        <v>7.0</v>
      </c>
      <c r="I2190" s="80">
        <v>5.0</v>
      </c>
      <c r="J2190" s="32"/>
      <c r="K2190" s="32">
        <f t="shared" si="95"/>
        <v>4000</v>
      </c>
      <c r="L2190" s="32"/>
      <c r="M2190" s="32"/>
      <c r="N2190" s="32"/>
      <c r="O2190" s="14"/>
      <c r="P2190" s="14"/>
    </row>
    <row r="2191" hidden="1">
      <c r="A2191" s="34" t="s">
        <v>337</v>
      </c>
      <c r="B2191" s="92" t="s">
        <v>119</v>
      </c>
      <c r="C2191" s="92"/>
      <c r="D2191" s="92" t="s">
        <v>121</v>
      </c>
      <c r="E2191" s="80">
        <v>1.0</v>
      </c>
      <c r="F2191" s="80">
        <v>5.0</v>
      </c>
      <c r="G2191" s="80">
        <v>0.0</v>
      </c>
      <c r="H2191" s="80">
        <v>0.0</v>
      </c>
      <c r="I2191" s="80">
        <v>5.0</v>
      </c>
      <c r="J2191" s="32"/>
      <c r="K2191" s="32">
        <f t="shared" si="95"/>
        <v>4000</v>
      </c>
      <c r="L2191" s="32"/>
      <c r="M2191" s="32"/>
      <c r="N2191" s="32"/>
      <c r="O2191" s="14"/>
      <c r="P2191" s="14"/>
    </row>
    <row r="2192" hidden="1">
      <c r="A2192" s="34" t="s">
        <v>337</v>
      </c>
      <c r="B2192" s="92" t="s">
        <v>267</v>
      </c>
      <c r="C2192" s="92"/>
      <c r="D2192" s="92" t="s">
        <v>269</v>
      </c>
      <c r="E2192" s="80">
        <v>0.0</v>
      </c>
      <c r="F2192" s="80">
        <v>2.0</v>
      </c>
      <c r="G2192" s="80">
        <v>0.0</v>
      </c>
      <c r="H2192" s="80">
        <v>6.0</v>
      </c>
      <c r="I2192" s="80">
        <v>5.0</v>
      </c>
      <c r="J2192" s="32"/>
      <c r="K2192" s="32">
        <f t="shared" si="95"/>
        <v>3750</v>
      </c>
      <c r="L2192" s="32"/>
      <c r="M2192" s="32"/>
      <c r="N2192" s="32"/>
      <c r="O2192" s="14"/>
      <c r="P2192" s="14"/>
    </row>
    <row r="2193" hidden="1">
      <c r="A2193" s="34" t="s">
        <v>337</v>
      </c>
      <c r="B2193" s="92" t="s">
        <v>275</v>
      </c>
      <c r="C2193" s="92"/>
      <c r="D2193" s="92" t="s">
        <v>277</v>
      </c>
      <c r="E2193" s="80">
        <v>1.0</v>
      </c>
      <c r="F2193" s="80">
        <v>2.0</v>
      </c>
      <c r="G2193" s="80">
        <v>1.0</v>
      </c>
      <c r="H2193" s="80">
        <v>3.0</v>
      </c>
      <c r="I2193" s="80">
        <v>5.0</v>
      </c>
      <c r="J2193" s="32"/>
      <c r="K2193" s="32">
        <f t="shared" si="95"/>
        <v>3500</v>
      </c>
      <c r="L2193" s="32"/>
      <c r="M2193" s="32"/>
      <c r="N2193" s="32"/>
      <c r="O2193" s="14"/>
      <c r="P2193" s="14"/>
    </row>
    <row r="2194" hidden="1">
      <c r="A2194" s="34" t="s">
        <v>337</v>
      </c>
      <c r="B2194" s="92" t="s">
        <v>122</v>
      </c>
      <c r="C2194" s="92"/>
      <c r="D2194" s="92" t="s">
        <v>124</v>
      </c>
      <c r="E2194" s="80">
        <v>2.0</v>
      </c>
      <c r="F2194" s="80">
        <v>4.0</v>
      </c>
      <c r="G2194" s="80">
        <v>1.0</v>
      </c>
      <c r="H2194" s="80">
        <v>3.0</v>
      </c>
      <c r="I2194" s="80">
        <v>5.0</v>
      </c>
      <c r="J2194" s="32"/>
      <c r="K2194" s="32">
        <f t="shared" si="95"/>
        <v>4750</v>
      </c>
      <c r="L2194" s="32"/>
      <c r="M2194" s="32"/>
      <c r="N2194" s="32"/>
      <c r="O2194" s="14"/>
      <c r="P2194" s="14"/>
    </row>
    <row r="2195" hidden="1">
      <c r="A2195" s="34" t="s">
        <v>337</v>
      </c>
      <c r="B2195" s="92" t="s">
        <v>125</v>
      </c>
      <c r="C2195" s="92"/>
      <c r="D2195" s="92" t="s">
        <v>127</v>
      </c>
      <c r="E2195" s="80">
        <v>0.0</v>
      </c>
      <c r="F2195" s="80">
        <v>2.0</v>
      </c>
      <c r="G2195" s="80">
        <v>1.0</v>
      </c>
      <c r="H2195" s="80">
        <v>7.0</v>
      </c>
      <c r="I2195" s="80">
        <v>5.0</v>
      </c>
      <c r="J2195" s="32"/>
      <c r="K2195" s="32">
        <f t="shared" si="95"/>
        <v>4250</v>
      </c>
      <c r="L2195" s="32"/>
      <c r="M2195" s="32"/>
      <c r="N2195" s="32"/>
      <c r="O2195" s="14"/>
      <c r="P2195" s="14"/>
    </row>
    <row r="2196" hidden="1">
      <c r="A2196" s="34" t="s">
        <v>337</v>
      </c>
      <c r="B2196" s="92" t="s">
        <v>128</v>
      </c>
      <c r="C2196" s="92"/>
      <c r="D2196" s="92" t="s">
        <v>130</v>
      </c>
      <c r="E2196" s="80">
        <v>0.0</v>
      </c>
      <c r="F2196" s="80">
        <v>4.0</v>
      </c>
      <c r="G2196" s="80">
        <v>0.0</v>
      </c>
      <c r="H2196" s="80">
        <v>1.0</v>
      </c>
      <c r="I2196" s="80">
        <v>5.0</v>
      </c>
      <c r="J2196" s="32"/>
      <c r="K2196" s="32">
        <f t="shared" si="95"/>
        <v>3500</v>
      </c>
      <c r="L2196" s="32"/>
      <c r="M2196" s="32"/>
      <c r="N2196" s="32"/>
      <c r="O2196" s="14"/>
      <c r="P2196" s="14"/>
    </row>
    <row r="2197" hidden="1">
      <c r="A2197" s="34" t="s">
        <v>337</v>
      </c>
      <c r="B2197" s="92" t="s">
        <v>131</v>
      </c>
      <c r="C2197" s="92"/>
      <c r="D2197" s="92" t="s">
        <v>133</v>
      </c>
      <c r="E2197" s="80">
        <v>0.0</v>
      </c>
      <c r="F2197" s="80">
        <v>2.0</v>
      </c>
      <c r="G2197" s="80">
        <v>3.0</v>
      </c>
      <c r="H2197" s="80">
        <v>9.0</v>
      </c>
      <c r="I2197" s="80">
        <v>5.0</v>
      </c>
      <c r="J2197" s="32"/>
      <c r="K2197" s="32">
        <f t="shared" si="95"/>
        <v>5250</v>
      </c>
      <c r="L2197" s="32"/>
      <c r="M2197" s="32"/>
      <c r="N2197" s="32"/>
      <c r="O2197" s="14"/>
      <c r="P2197" s="14"/>
    </row>
    <row r="2198" hidden="1">
      <c r="A2198" s="34" t="s">
        <v>337</v>
      </c>
      <c r="B2198" s="92" t="s">
        <v>134</v>
      </c>
      <c r="C2198" s="92"/>
      <c r="D2198" s="92" t="s">
        <v>136</v>
      </c>
      <c r="E2198" s="80">
        <v>0.0</v>
      </c>
      <c r="F2198" s="80">
        <v>1.0</v>
      </c>
      <c r="G2198" s="80">
        <v>0.0</v>
      </c>
      <c r="H2198" s="80">
        <v>16.0</v>
      </c>
      <c r="I2198" s="80">
        <v>5.0</v>
      </c>
      <c r="J2198" s="32"/>
      <c r="K2198" s="32">
        <f t="shared" si="95"/>
        <v>5750</v>
      </c>
      <c r="L2198" s="32"/>
      <c r="M2198" s="32"/>
      <c r="N2198" s="32"/>
      <c r="O2198" s="14"/>
      <c r="P2198" s="14"/>
    </row>
    <row r="2199" hidden="1">
      <c r="A2199" s="34" t="s">
        <v>337</v>
      </c>
      <c r="B2199" s="92" t="s">
        <v>137</v>
      </c>
      <c r="C2199" s="92"/>
      <c r="D2199" s="92" t="s">
        <v>139</v>
      </c>
      <c r="E2199" s="80">
        <v>1.0</v>
      </c>
      <c r="F2199" s="80">
        <v>2.0</v>
      </c>
      <c r="G2199" s="80">
        <v>0.0</v>
      </c>
      <c r="H2199" s="80">
        <v>5.0</v>
      </c>
      <c r="I2199" s="80">
        <v>5.0</v>
      </c>
      <c r="J2199" s="32"/>
      <c r="K2199" s="32">
        <f t="shared" si="95"/>
        <v>3750</v>
      </c>
      <c r="L2199" s="32"/>
      <c r="M2199" s="32"/>
      <c r="N2199" s="32"/>
      <c r="O2199" s="14"/>
      <c r="P2199" s="14"/>
    </row>
    <row r="2200" hidden="1">
      <c r="A2200" s="34" t="s">
        <v>337</v>
      </c>
      <c r="B2200" s="92" t="s">
        <v>278</v>
      </c>
      <c r="C2200" s="92"/>
      <c r="D2200" s="92" t="s">
        <v>280</v>
      </c>
      <c r="E2200" s="80">
        <v>0.0</v>
      </c>
      <c r="F2200" s="80">
        <v>0.0</v>
      </c>
      <c r="G2200" s="80">
        <v>0.0</v>
      </c>
      <c r="H2200" s="80">
        <v>9.0</v>
      </c>
      <c r="I2200" s="80">
        <v>5.0</v>
      </c>
      <c r="J2200" s="32"/>
      <c r="K2200" s="32">
        <f t="shared" si="95"/>
        <v>3500</v>
      </c>
      <c r="L2200" s="32"/>
      <c r="M2200" s="32"/>
      <c r="N2200" s="32"/>
      <c r="O2200" s="14"/>
      <c r="P2200" s="14"/>
    </row>
    <row r="2201" hidden="1">
      <c r="A2201" s="34" t="s">
        <v>337</v>
      </c>
      <c r="B2201" s="92" t="s">
        <v>140</v>
      </c>
      <c r="C2201" s="92"/>
      <c r="D2201" s="92" t="s">
        <v>142</v>
      </c>
      <c r="E2201" s="80">
        <v>0.0</v>
      </c>
      <c r="F2201" s="80">
        <v>0.0</v>
      </c>
      <c r="G2201" s="80">
        <v>1.0</v>
      </c>
      <c r="H2201" s="80">
        <v>8.0</v>
      </c>
      <c r="I2201" s="80">
        <v>5.0</v>
      </c>
      <c r="J2201" s="32"/>
      <c r="K2201" s="32">
        <f t="shared" si="95"/>
        <v>3500</v>
      </c>
      <c r="L2201" s="32"/>
      <c r="M2201" s="32"/>
      <c r="N2201" s="32"/>
      <c r="O2201" s="14"/>
      <c r="P2201" s="14"/>
    </row>
    <row r="2202" hidden="1">
      <c r="A2202" s="34" t="s">
        <v>337</v>
      </c>
      <c r="B2202" s="92" t="s">
        <v>207</v>
      </c>
      <c r="C2202" s="92"/>
      <c r="D2202" s="92" t="s">
        <v>281</v>
      </c>
      <c r="E2202" s="80">
        <v>0.0</v>
      </c>
      <c r="F2202" s="80">
        <v>1.0</v>
      </c>
      <c r="G2202" s="80">
        <v>0.0</v>
      </c>
      <c r="H2202" s="80">
        <v>16.0</v>
      </c>
      <c r="I2202" s="80">
        <v>5.0</v>
      </c>
      <c r="J2202" s="32"/>
      <c r="K2202" s="32">
        <f t="shared" si="95"/>
        <v>5750</v>
      </c>
      <c r="L2202" s="32"/>
      <c r="M2202" s="32"/>
      <c r="N2202" s="32"/>
      <c r="O2202" s="14"/>
      <c r="P2202" s="14"/>
    </row>
    <row r="2203" hidden="1">
      <c r="A2203" s="34" t="s">
        <v>337</v>
      </c>
      <c r="B2203" s="92" t="s">
        <v>282</v>
      </c>
      <c r="C2203" s="92"/>
      <c r="D2203" s="92" t="s">
        <v>284</v>
      </c>
      <c r="E2203" s="80">
        <v>0.0</v>
      </c>
      <c r="F2203" s="80">
        <v>1.0</v>
      </c>
      <c r="G2203" s="80">
        <v>0.0</v>
      </c>
      <c r="H2203" s="80">
        <v>10.0</v>
      </c>
      <c r="I2203" s="80">
        <v>5.0</v>
      </c>
      <c r="J2203" s="32"/>
      <c r="K2203" s="32">
        <f t="shared" si="95"/>
        <v>4250</v>
      </c>
      <c r="L2203" s="32"/>
      <c r="M2203" s="32"/>
      <c r="N2203" s="32"/>
      <c r="O2203" s="14"/>
      <c r="P2203" s="14"/>
    </row>
    <row r="2204" hidden="1">
      <c r="A2204" s="34" t="s">
        <v>337</v>
      </c>
      <c r="B2204" s="92" t="s">
        <v>285</v>
      </c>
      <c r="C2204" s="92"/>
      <c r="D2204" s="92" t="s">
        <v>287</v>
      </c>
      <c r="E2204" s="80">
        <v>0.0</v>
      </c>
      <c r="F2204" s="80">
        <v>2.0</v>
      </c>
      <c r="G2204" s="80">
        <v>0.0</v>
      </c>
      <c r="H2204" s="80">
        <v>2.0</v>
      </c>
      <c r="I2204" s="80">
        <v>5.0</v>
      </c>
      <c r="J2204" s="32"/>
      <c r="K2204" s="32">
        <f t="shared" si="95"/>
        <v>2750</v>
      </c>
      <c r="L2204" s="32"/>
      <c r="M2204" s="32"/>
      <c r="N2204" s="32"/>
      <c r="O2204" s="14"/>
      <c r="P2204" s="14"/>
    </row>
    <row r="2205" hidden="1">
      <c r="A2205" s="34" t="s">
        <v>337</v>
      </c>
      <c r="B2205" s="92" t="s">
        <v>143</v>
      </c>
      <c r="C2205" s="92"/>
      <c r="D2205" s="92" t="s">
        <v>145</v>
      </c>
      <c r="E2205" s="80">
        <v>0.0</v>
      </c>
      <c r="F2205" s="80">
        <v>0.0</v>
      </c>
      <c r="G2205" s="80">
        <v>0.0</v>
      </c>
      <c r="H2205" s="80">
        <v>3.0</v>
      </c>
      <c r="I2205" s="80">
        <v>5.0</v>
      </c>
      <c r="J2205" s="32"/>
      <c r="K2205" s="32">
        <f t="shared" si="95"/>
        <v>2000</v>
      </c>
      <c r="L2205" s="32"/>
      <c r="M2205" s="32"/>
      <c r="N2205" s="32"/>
      <c r="O2205" s="14"/>
      <c r="P2205" s="14"/>
    </row>
    <row r="2206" hidden="1">
      <c r="A2206" s="34" t="s">
        <v>337</v>
      </c>
      <c r="B2206" s="92" t="s">
        <v>146</v>
      </c>
      <c r="C2206" s="92"/>
      <c r="D2206" s="92" t="s">
        <v>148</v>
      </c>
      <c r="E2206" s="80">
        <v>0.0</v>
      </c>
      <c r="F2206" s="80">
        <v>2.0</v>
      </c>
      <c r="G2206" s="80">
        <v>0.0</v>
      </c>
      <c r="H2206" s="80">
        <v>4.0</v>
      </c>
      <c r="I2206" s="80">
        <v>4.0</v>
      </c>
      <c r="J2206" s="32"/>
      <c r="K2206" s="32">
        <f t="shared" si="95"/>
        <v>3000</v>
      </c>
      <c r="L2206" s="32"/>
      <c r="M2206" s="32"/>
      <c r="N2206" s="32"/>
      <c r="O2206" s="14"/>
      <c r="P2206" s="14"/>
    </row>
    <row r="2207" hidden="1">
      <c r="A2207" s="34" t="s">
        <v>337</v>
      </c>
      <c r="B2207" s="92" t="s">
        <v>245</v>
      </c>
      <c r="C2207" s="92"/>
      <c r="D2207" s="92" t="s">
        <v>247</v>
      </c>
      <c r="E2207" s="80">
        <v>0.0</v>
      </c>
      <c r="F2207" s="80">
        <v>4.0</v>
      </c>
      <c r="G2207" s="80">
        <v>0.0</v>
      </c>
      <c r="H2207" s="80">
        <v>10.0</v>
      </c>
      <c r="I2207" s="80">
        <v>5.0</v>
      </c>
      <c r="J2207" s="32"/>
      <c r="K2207" s="32">
        <f t="shared" si="95"/>
        <v>5750</v>
      </c>
      <c r="L2207" s="32"/>
      <c r="M2207" s="32"/>
      <c r="N2207" s="32"/>
      <c r="O2207" s="14"/>
      <c r="P2207" s="14"/>
    </row>
    <row r="2208" hidden="1">
      <c r="A2208" s="34" t="s">
        <v>337</v>
      </c>
      <c r="B2208" s="92" t="s">
        <v>210</v>
      </c>
      <c r="C2208" s="92"/>
      <c r="D2208" s="92" t="s">
        <v>212</v>
      </c>
      <c r="E2208" s="80">
        <v>0.0</v>
      </c>
      <c r="F2208" s="80">
        <v>0.0</v>
      </c>
      <c r="G2208" s="80">
        <v>1.0</v>
      </c>
      <c r="H2208" s="80">
        <v>0.0</v>
      </c>
      <c r="I2208" s="80">
        <v>5.0</v>
      </c>
      <c r="J2208" s="32"/>
      <c r="K2208" s="32">
        <f t="shared" si="95"/>
        <v>1500</v>
      </c>
      <c r="L2208" s="32"/>
      <c r="M2208" s="32"/>
      <c r="N2208" s="32"/>
      <c r="O2208" s="14"/>
      <c r="P2208" s="14"/>
    </row>
    <row r="2209" hidden="1">
      <c r="A2209" s="34" t="s">
        <v>337</v>
      </c>
      <c r="B2209" s="92" t="s">
        <v>149</v>
      </c>
      <c r="C2209" s="92"/>
      <c r="D2209" s="92" t="s">
        <v>151</v>
      </c>
      <c r="E2209" s="80">
        <v>0.0</v>
      </c>
      <c r="F2209" s="80">
        <v>2.0</v>
      </c>
      <c r="G2209" s="80">
        <v>0.0</v>
      </c>
      <c r="H2209" s="80">
        <v>3.0</v>
      </c>
      <c r="I2209" s="80">
        <v>5.0</v>
      </c>
      <c r="J2209" s="32"/>
      <c r="K2209" s="32">
        <f t="shared" si="95"/>
        <v>3000</v>
      </c>
      <c r="L2209" s="32"/>
      <c r="M2209" s="32"/>
      <c r="N2209" s="32"/>
      <c r="O2209" s="14"/>
      <c r="P2209" s="14"/>
    </row>
    <row r="2210" hidden="1">
      <c r="A2210" s="34" t="s">
        <v>337</v>
      </c>
      <c r="B2210" s="92" t="s">
        <v>288</v>
      </c>
      <c r="C2210" s="92"/>
      <c r="D2210" s="92" t="s">
        <v>290</v>
      </c>
      <c r="E2210" s="80">
        <v>0.0</v>
      </c>
      <c r="F2210" s="80">
        <v>0.0</v>
      </c>
      <c r="G2210" s="80">
        <v>1.0</v>
      </c>
      <c r="H2210" s="80">
        <v>1.0</v>
      </c>
      <c r="I2210" s="80">
        <v>5.0</v>
      </c>
      <c r="J2210" s="32"/>
      <c r="K2210" s="32">
        <f t="shared" si="95"/>
        <v>1750</v>
      </c>
      <c r="L2210" s="32"/>
      <c r="M2210" s="32"/>
      <c r="N2210" s="32"/>
      <c r="O2210" s="14"/>
      <c r="P2210" s="14"/>
    </row>
    <row r="2211" hidden="1">
      <c r="A2211" s="34" t="s">
        <v>337</v>
      </c>
      <c r="B2211" s="92" t="s">
        <v>152</v>
      </c>
      <c r="C2211" s="92"/>
      <c r="D2211" s="92" t="s">
        <v>154</v>
      </c>
      <c r="E2211" s="80">
        <v>0.0</v>
      </c>
      <c r="F2211" s="80">
        <v>1.0</v>
      </c>
      <c r="G2211" s="80">
        <v>0.0</v>
      </c>
      <c r="H2211" s="80">
        <v>7.0</v>
      </c>
      <c r="I2211" s="80">
        <v>5.0</v>
      </c>
      <c r="J2211" s="32"/>
      <c r="K2211" s="32">
        <f t="shared" si="95"/>
        <v>3500</v>
      </c>
      <c r="L2211" s="32"/>
      <c r="M2211" s="32"/>
      <c r="N2211" s="32"/>
      <c r="O2211" s="14"/>
      <c r="P2211" s="14"/>
    </row>
    <row r="2212" hidden="1">
      <c r="A2212" s="34" t="s">
        <v>337</v>
      </c>
      <c r="B2212" s="92" t="s">
        <v>155</v>
      </c>
      <c r="C2212" s="92"/>
      <c r="D2212" s="92" t="s">
        <v>157</v>
      </c>
      <c r="E2212" s="80">
        <v>0.0</v>
      </c>
      <c r="F2212" s="80">
        <v>4.0</v>
      </c>
      <c r="G2212" s="80">
        <v>1.0</v>
      </c>
      <c r="H2212" s="80">
        <v>7.0</v>
      </c>
      <c r="I2212" s="80">
        <v>5.0</v>
      </c>
      <c r="J2212" s="32"/>
      <c r="K2212" s="32">
        <f t="shared" si="95"/>
        <v>5250</v>
      </c>
      <c r="L2212" s="32"/>
      <c r="M2212" s="32"/>
      <c r="N2212" s="32"/>
      <c r="O2212" s="14"/>
      <c r="P2212" s="14"/>
    </row>
    <row r="2213" hidden="1">
      <c r="A2213" s="34" t="s">
        <v>337</v>
      </c>
      <c r="B2213" s="92" t="s">
        <v>158</v>
      </c>
      <c r="C2213" s="92"/>
      <c r="D2213" s="92" t="s">
        <v>160</v>
      </c>
      <c r="E2213" s="80">
        <v>0.0</v>
      </c>
      <c r="F2213" s="80">
        <v>2.0</v>
      </c>
      <c r="G2213" s="80">
        <v>2.0</v>
      </c>
      <c r="H2213" s="80">
        <v>2.0</v>
      </c>
      <c r="I2213" s="80">
        <v>5.0</v>
      </c>
      <c r="J2213" s="32"/>
      <c r="K2213" s="32">
        <f t="shared" si="95"/>
        <v>3250</v>
      </c>
      <c r="L2213" s="32"/>
      <c r="M2213" s="32"/>
      <c r="N2213" s="32"/>
      <c r="O2213" s="14"/>
      <c r="P2213" s="14"/>
    </row>
    <row r="2214" hidden="1">
      <c r="A2214" s="34" t="s">
        <v>337</v>
      </c>
      <c r="B2214" s="93" t="s">
        <v>161</v>
      </c>
      <c r="C2214" s="93"/>
      <c r="D2214" s="93" t="s">
        <v>163</v>
      </c>
      <c r="E2214" s="80">
        <v>0.0</v>
      </c>
      <c r="F2214" s="80">
        <v>2.0</v>
      </c>
      <c r="G2214" s="80">
        <v>0.0</v>
      </c>
      <c r="H2214" s="80">
        <v>10.0</v>
      </c>
      <c r="I2214" s="80">
        <v>4.0</v>
      </c>
      <c r="J2214" s="32"/>
      <c r="K2214" s="32">
        <f t="shared" si="95"/>
        <v>4500</v>
      </c>
      <c r="L2214" s="32"/>
      <c r="M2214" s="32"/>
      <c r="N2214" s="32"/>
      <c r="O2214" s="14"/>
      <c r="P2214" s="14"/>
    </row>
    <row r="2215" hidden="1">
      <c r="A2215" s="34" t="s">
        <v>337</v>
      </c>
      <c r="B2215" s="93" t="s">
        <v>164</v>
      </c>
      <c r="C2215" s="93"/>
      <c r="D2215" s="93" t="s">
        <v>166</v>
      </c>
      <c r="E2215" s="80">
        <v>0.0</v>
      </c>
      <c r="F2215" s="80">
        <v>0.0</v>
      </c>
      <c r="G2215" s="80">
        <v>1.0</v>
      </c>
      <c r="H2215" s="80">
        <v>15.0</v>
      </c>
      <c r="I2215" s="80">
        <v>5.0</v>
      </c>
      <c r="J2215" s="32"/>
      <c r="K2215" s="32">
        <f t="shared" si="95"/>
        <v>5250</v>
      </c>
      <c r="L2215" s="32"/>
      <c r="M2215" s="32"/>
      <c r="N2215" s="32"/>
      <c r="O2215" s="14"/>
      <c r="P2215" s="14"/>
    </row>
    <row r="2216" hidden="1">
      <c r="A2216" s="34" t="s">
        <v>337</v>
      </c>
      <c r="B2216" s="93" t="s">
        <v>167</v>
      </c>
      <c r="C2216" s="93"/>
      <c r="D2216" s="93" t="s">
        <v>169</v>
      </c>
      <c r="E2216" s="80">
        <v>1.0</v>
      </c>
      <c r="F2216" s="80">
        <v>3.0</v>
      </c>
      <c r="G2216" s="80">
        <v>3.0</v>
      </c>
      <c r="H2216" s="80">
        <v>9.0</v>
      </c>
      <c r="I2216" s="80">
        <v>5.0</v>
      </c>
      <c r="J2216" s="32"/>
      <c r="K2216" s="32">
        <f t="shared" si="95"/>
        <v>6000</v>
      </c>
      <c r="L2216" s="32"/>
      <c r="M2216" s="32"/>
      <c r="N2216" s="32"/>
      <c r="O2216" s="14"/>
      <c r="P2216" s="14"/>
    </row>
    <row r="2217" hidden="1">
      <c r="A2217" s="34" t="s">
        <v>337</v>
      </c>
      <c r="B2217" s="93" t="s">
        <v>170</v>
      </c>
      <c r="C2217" s="93"/>
      <c r="D2217" s="93" t="s">
        <v>172</v>
      </c>
      <c r="E2217" s="80">
        <v>0.0</v>
      </c>
      <c r="F2217" s="80">
        <v>9.0</v>
      </c>
      <c r="G2217" s="80">
        <v>1.0</v>
      </c>
      <c r="H2217" s="80">
        <v>6.0</v>
      </c>
      <c r="I2217" s="80">
        <v>5.0</v>
      </c>
      <c r="J2217" s="32"/>
      <c r="K2217" s="32">
        <f t="shared" si="95"/>
        <v>7500</v>
      </c>
      <c r="L2217" s="32"/>
      <c r="M2217" s="32"/>
      <c r="N2217" s="32"/>
      <c r="O2217" s="14"/>
      <c r="P2217" s="14"/>
    </row>
    <row r="2218" hidden="1">
      <c r="A2218" s="34" t="s">
        <v>337</v>
      </c>
      <c r="B2218" s="92" t="s">
        <v>173</v>
      </c>
      <c r="C2218" s="92"/>
      <c r="D2218" s="92" t="s">
        <v>175</v>
      </c>
      <c r="E2218" s="80">
        <v>0.0</v>
      </c>
      <c r="F2218" s="80">
        <v>1.0</v>
      </c>
      <c r="G2218" s="80">
        <v>1.0</v>
      </c>
      <c r="H2218" s="80">
        <v>7.0</v>
      </c>
      <c r="I2218" s="80">
        <v>4.0</v>
      </c>
      <c r="J2218" s="32"/>
      <c r="K2218" s="32">
        <f t="shared" si="95"/>
        <v>3500</v>
      </c>
      <c r="L2218" s="32"/>
      <c r="M2218" s="32"/>
      <c r="N2218" s="32"/>
      <c r="O2218" s="14"/>
      <c r="P2218" s="14"/>
    </row>
    <row r="2219" hidden="1">
      <c r="A2219" s="34" t="s">
        <v>337</v>
      </c>
      <c r="B2219" s="92" t="s">
        <v>176</v>
      </c>
      <c r="C2219" s="92"/>
      <c r="D2219" s="92" t="s">
        <v>178</v>
      </c>
      <c r="E2219" s="80">
        <v>0.0</v>
      </c>
      <c r="F2219" s="80">
        <v>7.0</v>
      </c>
      <c r="G2219" s="80">
        <v>0.0</v>
      </c>
      <c r="H2219" s="80">
        <v>8.0</v>
      </c>
      <c r="I2219" s="80">
        <v>5.0</v>
      </c>
      <c r="J2219" s="32"/>
      <c r="K2219" s="32">
        <f t="shared" si="95"/>
        <v>6750</v>
      </c>
      <c r="L2219" s="32"/>
      <c r="M2219" s="32"/>
      <c r="N2219" s="32"/>
      <c r="O2219" s="14"/>
      <c r="P2219" s="14"/>
    </row>
    <row r="2220" hidden="1">
      <c r="A2220" s="34" t="s">
        <v>337</v>
      </c>
      <c r="B2220" s="94" t="s">
        <v>291</v>
      </c>
      <c r="C2220" s="94"/>
      <c r="D2220" s="94" t="s">
        <v>293</v>
      </c>
      <c r="E2220" s="80">
        <v>16.0</v>
      </c>
      <c r="F2220" s="80">
        <v>0.0</v>
      </c>
      <c r="G2220" s="85">
        <v>0.0</v>
      </c>
      <c r="H2220" s="85">
        <v>8.0</v>
      </c>
      <c r="I2220" s="85">
        <v>2.0</v>
      </c>
      <c r="J2220" s="32"/>
      <c r="K2220" s="32">
        <f t="shared" si="95"/>
        <v>6500</v>
      </c>
      <c r="L2220" s="32"/>
      <c r="M2220" s="32"/>
      <c r="N2220" s="32"/>
      <c r="O2220" s="23"/>
      <c r="P2220" s="23"/>
    </row>
    <row r="2221" hidden="1">
      <c r="A2221" s="34" t="s">
        <v>337</v>
      </c>
      <c r="B2221" s="94" t="s">
        <v>294</v>
      </c>
      <c r="C2221" s="94"/>
      <c r="D2221" s="94" t="s">
        <v>296</v>
      </c>
      <c r="E2221" s="80">
        <v>0.0</v>
      </c>
      <c r="F2221" s="80">
        <v>0.0</v>
      </c>
      <c r="G2221" s="85">
        <v>0.0</v>
      </c>
      <c r="H2221" s="85">
        <v>0.0</v>
      </c>
      <c r="I2221" s="85">
        <v>3.0</v>
      </c>
      <c r="J2221" s="32"/>
      <c r="K2221" s="32">
        <f t="shared" si="95"/>
        <v>750</v>
      </c>
      <c r="L2221" s="32"/>
      <c r="M2221" s="32"/>
      <c r="N2221" s="32"/>
      <c r="O2221" s="23"/>
      <c r="P2221" s="23"/>
    </row>
    <row r="2222" hidden="1">
      <c r="A2222" s="34" t="s">
        <v>337</v>
      </c>
      <c r="B2222" s="95" t="s">
        <v>333</v>
      </c>
      <c r="C2222" s="94"/>
      <c r="D2222" s="94" t="s">
        <v>334</v>
      </c>
      <c r="E2222" s="80">
        <v>2.0</v>
      </c>
      <c r="F2222" s="80">
        <v>0.0</v>
      </c>
      <c r="G2222" s="85">
        <v>0.0</v>
      </c>
      <c r="H2222" s="85">
        <v>0.0</v>
      </c>
      <c r="I2222" s="85">
        <v>2.0</v>
      </c>
      <c r="J2222" s="32"/>
      <c r="K2222" s="32">
        <f t="shared" si="95"/>
        <v>1000</v>
      </c>
      <c r="L2222" s="32"/>
      <c r="M2222" s="32"/>
      <c r="N2222" s="32"/>
      <c r="O2222" s="23"/>
      <c r="P2222" s="23"/>
    </row>
    <row r="2223" hidden="1">
      <c r="A2223" s="34" t="s">
        <v>337</v>
      </c>
      <c r="B2223" s="94" t="s">
        <v>179</v>
      </c>
      <c r="C2223" s="94"/>
      <c r="D2223" s="94" t="s">
        <v>181</v>
      </c>
      <c r="E2223" s="80">
        <v>10.0</v>
      </c>
      <c r="F2223" s="80">
        <v>0.0</v>
      </c>
      <c r="G2223" s="85">
        <v>0.0</v>
      </c>
      <c r="H2223" s="85">
        <v>12.0</v>
      </c>
      <c r="I2223" s="85">
        <v>5.0</v>
      </c>
      <c r="J2223" s="32"/>
      <c r="K2223" s="32">
        <f t="shared" si="95"/>
        <v>6750</v>
      </c>
      <c r="L2223" s="32"/>
      <c r="M2223" s="32"/>
      <c r="N2223" s="32"/>
      <c r="O2223" s="23"/>
      <c r="P2223" s="23"/>
    </row>
    <row r="2224" hidden="1">
      <c r="A2224" s="34" t="s">
        <v>337</v>
      </c>
      <c r="B2224" s="94" t="s">
        <v>182</v>
      </c>
      <c r="C2224" s="94"/>
      <c r="D2224" s="94" t="s">
        <v>184</v>
      </c>
      <c r="E2224" s="80">
        <v>6.0</v>
      </c>
      <c r="F2224" s="80">
        <v>0.0</v>
      </c>
      <c r="G2224" s="85">
        <v>0.0</v>
      </c>
      <c r="H2224" s="85">
        <v>10.0</v>
      </c>
      <c r="I2224" s="85">
        <v>3.0</v>
      </c>
      <c r="J2224" s="32"/>
      <c r="K2224" s="32">
        <f t="shared" si="95"/>
        <v>4750</v>
      </c>
      <c r="L2224" s="32"/>
      <c r="M2224" s="32"/>
      <c r="N2224" s="32"/>
      <c r="O2224" s="23"/>
      <c r="P2224" s="23"/>
    </row>
    <row r="2225" hidden="1">
      <c r="A2225" s="34" t="s">
        <v>337</v>
      </c>
      <c r="B2225" s="94" t="s">
        <v>185</v>
      </c>
      <c r="C2225" s="94"/>
      <c r="D2225" s="94" t="s">
        <v>187</v>
      </c>
      <c r="E2225" s="80">
        <v>39.0</v>
      </c>
      <c r="F2225" s="80">
        <v>0.0</v>
      </c>
      <c r="G2225" s="85">
        <v>0.0</v>
      </c>
      <c r="H2225" s="85">
        <v>0.0</v>
      </c>
      <c r="I2225" s="85">
        <v>4.0</v>
      </c>
      <c r="J2225" s="32"/>
      <c r="K2225" s="32">
        <f t="shared" si="95"/>
        <v>10750</v>
      </c>
      <c r="L2225" s="32"/>
      <c r="M2225" s="32"/>
      <c r="N2225" s="32"/>
      <c r="O2225" s="23"/>
      <c r="P2225" s="23"/>
    </row>
    <row r="2226" hidden="1">
      <c r="A2226" s="34" t="s">
        <v>337</v>
      </c>
      <c r="B2226" s="94" t="s">
        <v>188</v>
      </c>
      <c r="C2226" s="94"/>
      <c r="D2226" s="94" t="s">
        <v>190</v>
      </c>
      <c r="E2226" s="80">
        <v>8.0</v>
      </c>
      <c r="F2226" s="80">
        <v>0.0</v>
      </c>
      <c r="G2226" s="85">
        <v>0.0</v>
      </c>
      <c r="H2226" s="85">
        <v>1.0</v>
      </c>
      <c r="I2226" s="85">
        <v>5.0</v>
      </c>
      <c r="J2226" s="32"/>
      <c r="K2226" s="32">
        <f t="shared" si="95"/>
        <v>3500</v>
      </c>
      <c r="L2226" s="32"/>
      <c r="M2226" s="32"/>
      <c r="N2226" s="32"/>
      <c r="O2226" s="23"/>
      <c r="P2226" s="23"/>
    </row>
    <row r="2227" hidden="1">
      <c r="A2227" s="34" t="s">
        <v>337</v>
      </c>
      <c r="B2227" s="95" t="s">
        <v>258</v>
      </c>
      <c r="C2227" s="94"/>
      <c r="D2227" s="94" t="s">
        <v>260</v>
      </c>
      <c r="E2227" s="80">
        <v>4.0</v>
      </c>
      <c r="F2227" s="80">
        <v>0.0</v>
      </c>
      <c r="G2227" s="85">
        <v>0.0</v>
      </c>
      <c r="H2227" s="85">
        <v>3.0</v>
      </c>
      <c r="I2227" s="85">
        <v>2.0</v>
      </c>
      <c r="J2227" s="32"/>
      <c r="K2227" s="32">
        <f t="shared" si="95"/>
        <v>2250</v>
      </c>
      <c r="L2227" s="32"/>
      <c r="M2227" s="32"/>
      <c r="N2227" s="32"/>
      <c r="O2227" s="23"/>
      <c r="P2227" s="23"/>
    </row>
    <row r="2228" hidden="1">
      <c r="A2228" s="34" t="s">
        <v>337</v>
      </c>
      <c r="B2228" s="94" t="s">
        <v>262</v>
      </c>
      <c r="C2228" s="95"/>
      <c r="D2228" s="95" t="s">
        <v>264</v>
      </c>
      <c r="E2228" s="80">
        <v>17.0</v>
      </c>
      <c r="F2228" s="80">
        <v>0.0</v>
      </c>
      <c r="G2228" s="85">
        <v>0.0</v>
      </c>
      <c r="H2228" s="85">
        <v>0.0</v>
      </c>
      <c r="I2228" s="85">
        <v>5.0</v>
      </c>
      <c r="J2228" s="32"/>
      <c r="K2228" s="32">
        <f t="shared" si="95"/>
        <v>5500</v>
      </c>
      <c r="L2228" s="32"/>
      <c r="M2228" s="32"/>
      <c r="N2228" s="32"/>
      <c r="O2228" s="23"/>
      <c r="P2228" s="23"/>
    </row>
    <row r="2229" hidden="1">
      <c r="A2229" s="34" t="s">
        <v>338</v>
      </c>
      <c r="B2229" s="92" t="s">
        <v>216</v>
      </c>
      <c r="C2229" s="92"/>
      <c r="D2229" s="92" t="s">
        <v>274</v>
      </c>
      <c r="E2229" s="80">
        <v>0.0</v>
      </c>
      <c r="F2229" s="80">
        <v>3.0</v>
      </c>
      <c r="G2229" s="80">
        <v>3.0</v>
      </c>
      <c r="H2229" s="80">
        <v>16.0</v>
      </c>
      <c r="I2229" s="80">
        <v>5.0</v>
      </c>
      <c r="J2229" s="32"/>
      <c r="K2229" s="32">
        <f t="shared" si="95"/>
        <v>7500</v>
      </c>
      <c r="L2229" s="32"/>
      <c r="M2229" s="32"/>
      <c r="N2229" s="32"/>
      <c r="O2229" s="14"/>
      <c r="P2229" s="14"/>
    </row>
    <row r="2230" hidden="1">
      <c r="A2230" s="34" t="s">
        <v>338</v>
      </c>
      <c r="B2230" s="92" t="s">
        <v>119</v>
      </c>
      <c r="C2230" s="92"/>
      <c r="D2230" s="92" t="s">
        <v>121</v>
      </c>
      <c r="E2230" s="80">
        <v>1.0</v>
      </c>
      <c r="F2230" s="80">
        <v>0.0</v>
      </c>
      <c r="G2230" s="80">
        <v>0.0</v>
      </c>
      <c r="H2230" s="80">
        <v>0.0</v>
      </c>
      <c r="I2230" s="80">
        <v>5.0</v>
      </c>
      <c r="J2230" s="32"/>
      <c r="K2230" s="32">
        <f t="shared" si="95"/>
        <v>1500</v>
      </c>
      <c r="L2230" s="32"/>
      <c r="M2230" s="32"/>
      <c r="N2230" s="32"/>
      <c r="O2230" s="14"/>
      <c r="P2230" s="14"/>
    </row>
    <row r="2231" hidden="1">
      <c r="A2231" s="34" t="s">
        <v>338</v>
      </c>
      <c r="B2231" s="92" t="s">
        <v>267</v>
      </c>
      <c r="C2231" s="92"/>
      <c r="D2231" s="92" t="s">
        <v>269</v>
      </c>
      <c r="E2231" s="80">
        <v>3.0</v>
      </c>
      <c r="F2231" s="80">
        <v>1.0</v>
      </c>
      <c r="G2231" s="80">
        <v>0.0</v>
      </c>
      <c r="H2231" s="80">
        <v>7.0</v>
      </c>
      <c r="I2231" s="80">
        <v>5.0</v>
      </c>
      <c r="J2231" s="32"/>
      <c r="K2231" s="32">
        <f t="shared" si="95"/>
        <v>4250</v>
      </c>
      <c r="L2231" s="32"/>
      <c r="M2231" s="32"/>
      <c r="N2231" s="32"/>
      <c r="O2231" s="14"/>
      <c r="P2231" s="14"/>
    </row>
    <row r="2232" hidden="1">
      <c r="A2232" s="34" t="s">
        <v>338</v>
      </c>
      <c r="B2232" s="92" t="s">
        <v>275</v>
      </c>
      <c r="C2232" s="92"/>
      <c r="D2232" s="92" t="s">
        <v>277</v>
      </c>
      <c r="E2232" s="80">
        <v>1.0</v>
      </c>
      <c r="F2232" s="80">
        <v>2.0</v>
      </c>
      <c r="G2232" s="80">
        <v>0.0</v>
      </c>
      <c r="H2232" s="80">
        <v>9.0</v>
      </c>
      <c r="I2232" s="80">
        <v>5.0</v>
      </c>
      <c r="J2232" s="32"/>
      <c r="K2232" s="32">
        <f t="shared" si="95"/>
        <v>4750</v>
      </c>
      <c r="L2232" s="32"/>
      <c r="M2232" s="32"/>
      <c r="N2232" s="32"/>
      <c r="O2232" s="14"/>
      <c r="P2232" s="14"/>
    </row>
    <row r="2233" hidden="1">
      <c r="A2233" s="34" t="s">
        <v>338</v>
      </c>
      <c r="B2233" s="92" t="s">
        <v>122</v>
      </c>
      <c r="C2233" s="92"/>
      <c r="D2233" s="92" t="s">
        <v>124</v>
      </c>
      <c r="E2233" s="80">
        <v>0.0</v>
      </c>
      <c r="F2233" s="80">
        <v>3.0</v>
      </c>
      <c r="G2233" s="80">
        <v>0.0</v>
      </c>
      <c r="H2233" s="80">
        <v>6.0</v>
      </c>
      <c r="I2233" s="80">
        <v>5.0</v>
      </c>
      <c r="J2233" s="32"/>
      <c r="K2233" s="32">
        <f t="shared" si="95"/>
        <v>4250</v>
      </c>
      <c r="L2233" s="32"/>
      <c r="M2233" s="32"/>
      <c r="N2233" s="32"/>
      <c r="O2233" s="14"/>
      <c r="P2233" s="14"/>
    </row>
    <row r="2234" hidden="1">
      <c r="A2234" s="34" t="s">
        <v>338</v>
      </c>
      <c r="B2234" s="92" t="s">
        <v>125</v>
      </c>
      <c r="C2234" s="92"/>
      <c r="D2234" s="92" t="s">
        <v>127</v>
      </c>
      <c r="E2234" s="80">
        <v>0.0</v>
      </c>
      <c r="F2234" s="80">
        <v>0.0</v>
      </c>
      <c r="G2234" s="80">
        <v>0.0</v>
      </c>
      <c r="H2234" s="80">
        <v>1.0</v>
      </c>
      <c r="I2234" s="80">
        <v>5.0</v>
      </c>
      <c r="J2234" s="32"/>
      <c r="K2234" s="32">
        <f t="shared" si="95"/>
        <v>1500</v>
      </c>
      <c r="L2234" s="32"/>
      <c r="M2234" s="32"/>
      <c r="N2234" s="32"/>
      <c r="O2234" s="14"/>
      <c r="P2234" s="14"/>
    </row>
    <row r="2235" hidden="1">
      <c r="A2235" s="34" t="s">
        <v>338</v>
      </c>
      <c r="B2235" s="92" t="s">
        <v>128</v>
      </c>
      <c r="C2235" s="92"/>
      <c r="D2235" s="92" t="s">
        <v>130</v>
      </c>
      <c r="E2235" s="80">
        <v>0.0</v>
      </c>
      <c r="F2235" s="80">
        <v>8.0</v>
      </c>
      <c r="G2235" s="80">
        <v>0.0</v>
      </c>
      <c r="H2235" s="80">
        <v>2.0</v>
      </c>
      <c r="I2235" s="80">
        <v>5.0</v>
      </c>
      <c r="J2235" s="32"/>
      <c r="K2235" s="32">
        <f t="shared" si="95"/>
        <v>5750</v>
      </c>
      <c r="L2235" s="32"/>
      <c r="M2235" s="32"/>
      <c r="N2235" s="32"/>
      <c r="O2235" s="14"/>
      <c r="P2235" s="14"/>
    </row>
    <row r="2236" hidden="1">
      <c r="A2236" s="34" t="s">
        <v>338</v>
      </c>
      <c r="B2236" s="92" t="s">
        <v>131</v>
      </c>
      <c r="C2236" s="92"/>
      <c r="D2236" s="92" t="s">
        <v>133</v>
      </c>
      <c r="E2236" s="80">
        <v>0.0</v>
      </c>
      <c r="F2236" s="80">
        <v>2.0</v>
      </c>
      <c r="G2236" s="80">
        <v>2.0</v>
      </c>
      <c r="H2236" s="80">
        <v>15.0</v>
      </c>
      <c r="I2236" s="80">
        <v>5.0</v>
      </c>
      <c r="J2236" s="32"/>
      <c r="K2236" s="32">
        <f t="shared" si="95"/>
        <v>6500</v>
      </c>
      <c r="L2236" s="32"/>
      <c r="M2236" s="32"/>
      <c r="N2236" s="32"/>
      <c r="O2236" s="14"/>
      <c r="P2236" s="14"/>
    </row>
    <row r="2237" hidden="1">
      <c r="A2237" s="34" t="s">
        <v>338</v>
      </c>
      <c r="B2237" s="92" t="s">
        <v>134</v>
      </c>
      <c r="C2237" s="92"/>
      <c r="D2237" s="92" t="s">
        <v>136</v>
      </c>
      <c r="E2237" s="80">
        <v>0.0</v>
      </c>
      <c r="F2237" s="80">
        <v>0.0</v>
      </c>
      <c r="G2237" s="80">
        <v>0.0</v>
      </c>
      <c r="H2237" s="80">
        <v>4.0</v>
      </c>
      <c r="I2237" s="80">
        <v>5.0</v>
      </c>
      <c r="J2237" s="32"/>
      <c r="K2237" s="32">
        <f t="shared" si="95"/>
        <v>2250</v>
      </c>
      <c r="L2237" s="32"/>
      <c r="M2237" s="32"/>
      <c r="N2237" s="32"/>
      <c r="O2237" s="14"/>
      <c r="P2237" s="14"/>
    </row>
    <row r="2238" hidden="1">
      <c r="A2238" s="34" t="s">
        <v>338</v>
      </c>
      <c r="B2238" s="92" t="s">
        <v>137</v>
      </c>
      <c r="C2238" s="92"/>
      <c r="D2238" s="92" t="s">
        <v>139</v>
      </c>
      <c r="E2238" s="80">
        <v>2.0</v>
      </c>
      <c r="F2238" s="80">
        <v>8.0</v>
      </c>
      <c r="G2238" s="80">
        <v>1.0</v>
      </c>
      <c r="H2238" s="80">
        <v>8.0</v>
      </c>
      <c r="I2238" s="80">
        <v>5.0</v>
      </c>
      <c r="J2238" s="32"/>
      <c r="K2238" s="32">
        <f t="shared" si="95"/>
        <v>8000</v>
      </c>
      <c r="L2238" s="32"/>
      <c r="M2238" s="32"/>
      <c r="N2238" s="32"/>
      <c r="O2238" s="14"/>
      <c r="P2238" s="14"/>
    </row>
    <row r="2239" hidden="1">
      <c r="A2239" s="34" t="s">
        <v>338</v>
      </c>
      <c r="B2239" s="92" t="s">
        <v>278</v>
      </c>
      <c r="C2239" s="92"/>
      <c r="D2239" s="92" t="s">
        <v>280</v>
      </c>
      <c r="E2239" s="80">
        <v>1.0</v>
      </c>
      <c r="F2239" s="80">
        <v>5.0</v>
      </c>
      <c r="G2239" s="80">
        <v>2.0</v>
      </c>
      <c r="H2239" s="80">
        <v>6.0</v>
      </c>
      <c r="I2239" s="80">
        <v>5.0</v>
      </c>
      <c r="J2239" s="32"/>
      <c r="K2239" s="32">
        <f t="shared" si="95"/>
        <v>6000</v>
      </c>
      <c r="L2239" s="32"/>
      <c r="M2239" s="32"/>
      <c r="N2239" s="32"/>
      <c r="O2239" s="14"/>
      <c r="P2239" s="14"/>
    </row>
    <row r="2240" hidden="1">
      <c r="A2240" s="34" t="s">
        <v>338</v>
      </c>
      <c r="B2240" s="92" t="s">
        <v>140</v>
      </c>
      <c r="C2240" s="92"/>
      <c r="D2240" s="92" t="s">
        <v>142</v>
      </c>
      <c r="E2240" s="80">
        <v>6.0</v>
      </c>
      <c r="F2240" s="80">
        <v>2.0</v>
      </c>
      <c r="G2240" s="80">
        <v>0.0</v>
      </c>
      <c r="H2240" s="80">
        <v>9.0</v>
      </c>
      <c r="I2240" s="80">
        <v>5.0</v>
      </c>
      <c r="J2240" s="32"/>
      <c r="K2240" s="32">
        <f t="shared" si="95"/>
        <v>6000</v>
      </c>
      <c r="L2240" s="32"/>
      <c r="M2240" s="32"/>
      <c r="N2240" s="32"/>
      <c r="O2240" s="14"/>
      <c r="P2240" s="14"/>
    </row>
    <row r="2241" hidden="1">
      <c r="A2241" s="34" t="s">
        <v>338</v>
      </c>
      <c r="B2241" s="92" t="s">
        <v>207</v>
      </c>
      <c r="C2241" s="92"/>
      <c r="D2241" s="92" t="s">
        <v>281</v>
      </c>
      <c r="E2241" s="80">
        <v>1.0</v>
      </c>
      <c r="F2241" s="80">
        <v>0.0</v>
      </c>
      <c r="G2241" s="80">
        <v>0.0</v>
      </c>
      <c r="H2241" s="80">
        <v>4.0</v>
      </c>
      <c r="I2241" s="80">
        <v>5.0</v>
      </c>
      <c r="J2241" s="32"/>
      <c r="K2241" s="32">
        <f t="shared" si="95"/>
        <v>2500</v>
      </c>
      <c r="L2241" s="32"/>
      <c r="M2241" s="32"/>
      <c r="N2241" s="32"/>
      <c r="O2241" s="14"/>
      <c r="P2241" s="14"/>
    </row>
    <row r="2242" hidden="1">
      <c r="A2242" s="34" t="s">
        <v>338</v>
      </c>
      <c r="B2242" s="92" t="s">
        <v>282</v>
      </c>
      <c r="C2242" s="92"/>
      <c r="D2242" s="92" t="s">
        <v>284</v>
      </c>
      <c r="E2242" s="80">
        <v>0.0</v>
      </c>
      <c r="F2242" s="80">
        <v>2.0</v>
      </c>
      <c r="G2242" s="80">
        <v>0.0</v>
      </c>
      <c r="H2242" s="80">
        <v>10.0</v>
      </c>
      <c r="I2242" s="80">
        <v>5.0</v>
      </c>
      <c r="J2242" s="32"/>
      <c r="K2242" s="32">
        <f t="shared" si="95"/>
        <v>4750</v>
      </c>
      <c r="L2242" s="32"/>
      <c r="M2242" s="32"/>
      <c r="N2242" s="32"/>
      <c r="O2242" s="14"/>
      <c r="P2242" s="14"/>
    </row>
    <row r="2243" hidden="1">
      <c r="A2243" s="34" t="s">
        <v>338</v>
      </c>
      <c r="B2243" s="92" t="s">
        <v>285</v>
      </c>
      <c r="C2243" s="92"/>
      <c r="D2243" s="92" t="s">
        <v>287</v>
      </c>
      <c r="E2243" s="80">
        <v>1.0</v>
      </c>
      <c r="F2243" s="80">
        <v>0.0</v>
      </c>
      <c r="G2243" s="80">
        <v>0.0</v>
      </c>
      <c r="H2243" s="80">
        <v>6.0</v>
      </c>
      <c r="I2243" s="80">
        <v>5.0</v>
      </c>
      <c r="J2243" s="32"/>
      <c r="K2243" s="32">
        <f t="shared" si="95"/>
        <v>3000</v>
      </c>
      <c r="L2243" s="32"/>
      <c r="M2243" s="32"/>
      <c r="N2243" s="32"/>
      <c r="O2243" s="14"/>
      <c r="P2243" s="14"/>
    </row>
    <row r="2244" hidden="1">
      <c r="A2244" s="34" t="s">
        <v>338</v>
      </c>
      <c r="B2244" s="92" t="s">
        <v>143</v>
      </c>
      <c r="C2244" s="92"/>
      <c r="D2244" s="92" t="s">
        <v>145</v>
      </c>
      <c r="E2244" s="80">
        <v>0.0</v>
      </c>
      <c r="F2244" s="80">
        <v>1.0</v>
      </c>
      <c r="G2244" s="80">
        <v>1.0</v>
      </c>
      <c r="H2244" s="80">
        <v>4.0</v>
      </c>
      <c r="I2244" s="80">
        <v>4.0</v>
      </c>
      <c r="J2244" s="32"/>
      <c r="K2244" s="32">
        <f t="shared" si="95"/>
        <v>2750</v>
      </c>
      <c r="L2244" s="32"/>
      <c r="M2244" s="32"/>
      <c r="N2244" s="32"/>
      <c r="O2244" s="14"/>
      <c r="P2244" s="14"/>
    </row>
    <row r="2245" hidden="1">
      <c r="A2245" s="34" t="s">
        <v>338</v>
      </c>
      <c r="B2245" s="92" t="s">
        <v>146</v>
      </c>
      <c r="C2245" s="92"/>
      <c r="D2245" s="92" t="s">
        <v>148</v>
      </c>
      <c r="E2245" s="80">
        <v>2.0</v>
      </c>
      <c r="F2245" s="80">
        <v>0.0</v>
      </c>
      <c r="G2245" s="80">
        <v>0.0</v>
      </c>
      <c r="H2245" s="80">
        <v>7.0</v>
      </c>
      <c r="I2245" s="80">
        <v>5.0</v>
      </c>
      <c r="J2245" s="32"/>
      <c r="K2245" s="32">
        <f t="shared" si="95"/>
        <v>3500</v>
      </c>
      <c r="L2245" s="32"/>
      <c r="M2245" s="32"/>
      <c r="N2245" s="32"/>
      <c r="O2245" s="14"/>
      <c r="P2245" s="14"/>
    </row>
    <row r="2246" hidden="1">
      <c r="A2246" s="34" t="s">
        <v>338</v>
      </c>
      <c r="B2246" s="92" t="s">
        <v>245</v>
      </c>
      <c r="C2246" s="92"/>
      <c r="D2246" s="92" t="s">
        <v>247</v>
      </c>
      <c r="E2246" s="80">
        <v>0.0</v>
      </c>
      <c r="F2246" s="80">
        <v>3.0</v>
      </c>
      <c r="G2246" s="80">
        <v>0.0</v>
      </c>
      <c r="H2246" s="80">
        <v>9.0</v>
      </c>
      <c r="I2246" s="80">
        <v>5.0</v>
      </c>
      <c r="J2246" s="32"/>
      <c r="K2246" s="32">
        <f t="shared" si="95"/>
        <v>5000</v>
      </c>
      <c r="L2246" s="32"/>
      <c r="M2246" s="32"/>
      <c r="N2246" s="32"/>
      <c r="O2246" s="14"/>
      <c r="P2246" s="14"/>
    </row>
    <row r="2247" hidden="1">
      <c r="A2247" s="34" t="s">
        <v>338</v>
      </c>
      <c r="B2247" s="92" t="s">
        <v>210</v>
      </c>
      <c r="C2247" s="92"/>
      <c r="D2247" s="92" t="s">
        <v>212</v>
      </c>
      <c r="E2247" s="80">
        <v>0.0</v>
      </c>
      <c r="F2247" s="80">
        <v>1.0</v>
      </c>
      <c r="G2247" s="80">
        <v>0.0</v>
      </c>
      <c r="H2247" s="80">
        <v>0.0</v>
      </c>
      <c r="I2247" s="80">
        <v>5.0</v>
      </c>
      <c r="J2247" s="32"/>
      <c r="K2247" s="32">
        <f t="shared" si="95"/>
        <v>1750</v>
      </c>
      <c r="L2247" s="32"/>
      <c r="M2247" s="32"/>
      <c r="N2247" s="32"/>
      <c r="O2247" s="14"/>
      <c r="P2247" s="14"/>
    </row>
    <row r="2248" hidden="1">
      <c r="A2248" s="34" t="s">
        <v>338</v>
      </c>
      <c r="B2248" s="92" t="s">
        <v>149</v>
      </c>
      <c r="C2248" s="92"/>
      <c r="D2248" s="92" t="s">
        <v>151</v>
      </c>
      <c r="E2248" s="80">
        <v>0.0</v>
      </c>
      <c r="F2248" s="80">
        <v>0.0</v>
      </c>
      <c r="G2248" s="80">
        <v>1.0</v>
      </c>
      <c r="H2248" s="80">
        <v>0.0</v>
      </c>
      <c r="I2248" s="80">
        <v>5.0</v>
      </c>
      <c r="J2248" s="32"/>
      <c r="K2248" s="32">
        <f t="shared" si="95"/>
        <v>1500</v>
      </c>
      <c r="L2248" s="32"/>
      <c r="M2248" s="32"/>
      <c r="N2248" s="32"/>
      <c r="O2248" s="14"/>
      <c r="P2248" s="14"/>
    </row>
    <row r="2249" hidden="1">
      <c r="A2249" s="34" t="s">
        <v>338</v>
      </c>
      <c r="B2249" s="92" t="s">
        <v>288</v>
      </c>
      <c r="C2249" s="92"/>
      <c r="D2249" s="92" t="s">
        <v>290</v>
      </c>
      <c r="E2249" s="80">
        <v>0.0</v>
      </c>
      <c r="F2249" s="80">
        <v>2.0</v>
      </c>
      <c r="G2249" s="80">
        <v>0.0</v>
      </c>
      <c r="H2249" s="80">
        <v>9.0</v>
      </c>
      <c r="I2249" s="80">
        <v>4.0</v>
      </c>
      <c r="J2249" s="32"/>
      <c r="K2249" s="32">
        <f t="shared" si="95"/>
        <v>4250</v>
      </c>
      <c r="L2249" s="32"/>
      <c r="M2249" s="32"/>
      <c r="N2249" s="32"/>
      <c r="O2249" s="14"/>
      <c r="P2249" s="14"/>
    </row>
    <row r="2250" hidden="1">
      <c r="A2250" s="34" t="s">
        <v>338</v>
      </c>
      <c r="B2250" s="92" t="s">
        <v>152</v>
      </c>
      <c r="C2250" s="92"/>
      <c r="D2250" s="92" t="s">
        <v>154</v>
      </c>
      <c r="E2250" s="80">
        <v>1.0</v>
      </c>
      <c r="F2250" s="80">
        <v>0.0</v>
      </c>
      <c r="G2250" s="80">
        <v>2.0</v>
      </c>
      <c r="H2250" s="80">
        <v>7.0</v>
      </c>
      <c r="I2250" s="80">
        <v>5.0</v>
      </c>
      <c r="J2250" s="32"/>
      <c r="K2250" s="32">
        <f t="shared" si="95"/>
        <v>3750</v>
      </c>
      <c r="L2250" s="32"/>
      <c r="M2250" s="32"/>
      <c r="N2250" s="32"/>
      <c r="O2250" s="14"/>
      <c r="P2250" s="14"/>
    </row>
    <row r="2251" hidden="1">
      <c r="A2251" s="34" t="s">
        <v>338</v>
      </c>
      <c r="B2251" s="92" t="s">
        <v>155</v>
      </c>
      <c r="C2251" s="92"/>
      <c r="D2251" s="92" t="s">
        <v>157</v>
      </c>
      <c r="E2251" s="80">
        <v>0.0</v>
      </c>
      <c r="F2251" s="80">
        <v>1.0</v>
      </c>
      <c r="G2251" s="80">
        <v>0.0</v>
      </c>
      <c r="H2251" s="80">
        <v>7.0</v>
      </c>
      <c r="I2251" s="80">
        <v>5.0</v>
      </c>
      <c r="J2251" s="32"/>
      <c r="K2251" s="32">
        <f t="shared" si="95"/>
        <v>3500</v>
      </c>
      <c r="L2251" s="32"/>
      <c r="M2251" s="32"/>
      <c r="N2251" s="32"/>
      <c r="O2251" s="14"/>
      <c r="P2251" s="14"/>
    </row>
    <row r="2252" hidden="1">
      <c r="A2252" s="34" t="s">
        <v>338</v>
      </c>
      <c r="B2252" s="92" t="s">
        <v>158</v>
      </c>
      <c r="C2252" s="92"/>
      <c r="D2252" s="92" t="s">
        <v>160</v>
      </c>
      <c r="E2252" s="80">
        <v>0.0</v>
      </c>
      <c r="F2252" s="80">
        <v>2.0</v>
      </c>
      <c r="G2252" s="80">
        <v>1.0</v>
      </c>
      <c r="H2252" s="80">
        <v>4.0</v>
      </c>
      <c r="I2252" s="80">
        <v>4.0</v>
      </c>
      <c r="J2252" s="32"/>
      <c r="K2252" s="32">
        <f t="shared" si="95"/>
        <v>3250</v>
      </c>
      <c r="L2252" s="32"/>
      <c r="M2252" s="32"/>
      <c r="N2252" s="32"/>
      <c r="O2252" s="14"/>
      <c r="P2252" s="14"/>
    </row>
    <row r="2253" hidden="1">
      <c r="A2253" s="34" t="s">
        <v>338</v>
      </c>
      <c r="B2253" s="93" t="s">
        <v>161</v>
      </c>
      <c r="C2253" s="93"/>
      <c r="D2253" s="93" t="s">
        <v>163</v>
      </c>
      <c r="E2253" s="80">
        <v>0.0</v>
      </c>
      <c r="F2253" s="80">
        <v>2.0</v>
      </c>
      <c r="G2253" s="80">
        <v>0.0</v>
      </c>
      <c r="H2253" s="80">
        <v>2.0</v>
      </c>
      <c r="I2253" s="80">
        <v>4.0</v>
      </c>
      <c r="J2253" s="32"/>
      <c r="K2253" s="32">
        <f t="shared" si="95"/>
        <v>2500</v>
      </c>
      <c r="L2253" s="32"/>
      <c r="M2253" s="32"/>
      <c r="N2253" s="32"/>
      <c r="O2253" s="14"/>
      <c r="P2253" s="14"/>
    </row>
    <row r="2254" hidden="1">
      <c r="A2254" s="34" t="s">
        <v>338</v>
      </c>
      <c r="B2254" s="93" t="s">
        <v>164</v>
      </c>
      <c r="C2254" s="93"/>
      <c r="D2254" s="93" t="s">
        <v>166</v>
      </c>
      <c r="E2254" s="80">
        <v>0.0</v>
      </c>
      <c r="F2254" s="80">
        <v>2.0</v>
      </c>
      <c r="G2254" s="80">
        <v>1.0</v>
      </c>
      <c r="H2254" s="80">
        <v>7.0</v>
      </c>
      <c r="I2254" s="80">
        <v>5.0</v>
      </c>
      <c r="J2254" s="32"/>
      <c r="K2254" s="32">
        <f t="shared" si="95"/>
        <v>4250</v>
      </c>
      <c r="L2254" s="32"/>
      <c r="M2254" s="32"/>
      <c r="N2254" s="32"/>
      <c r="O2254" s="14"/>
      <c r="P2254" s="14"/>
    </row>
    <row r="2255" hidden="1">
      <c r="A2255" s="34" t="s">
        <v>338</v>
      </c>
      <c r="B2255" s="93" t="s">
        <v>167</v>
      </c>
      <c r="C2255" s="93"/>
      <c r="D2255" s="93" t="s">
        <v>169</v>
      </c>
      <c r="E2255" s="80">
        <v>0.0</v>
      </c>
      <c r="F2255" s="80">
        <v>5.0</v>
      </c>
      <c r="G2255" s="80">
        <v>0.0</v>
      </c>
      <c r="H2255" s="80">
        <v>15.0</v>
      </c>
      <c r="I2255" s="80">
        <v>5.0</v>
      </c>
      <c r="J2255" s="32"/>
      <c r="K2255" s="32">
        <f t="shared" si="95"/>
        <v>7500</v>
      </c>
      <c r="L2255" s="32"/>
      <c r="M2255" s="32"/>
      <c r="N2255" s="32"/>
      <c r="O2255" s="14"/>
      <c r="P2255" s="14"/>
    </row>
    <row r="2256" hidden="1">
      <c r="A2256" s="34" t="s">
        <v>338</v>
      </c>
      <c r="B2256" s="93" t="s">
        <v>170</v>
      </c>
      <c r="C2256" s="93"/>
      <c r="D2256" s="93" t="s">
        <v>172</v>
      </c>
      <c r="E2256" s="80">
        <v>2.0</v>
      </c>
      <c r="F2256" s="80">
        <v>10.0</v>
      </c>
      <c r="G2256" s="80">
        <v>0.0</v>
      </c>
      <c r="H2256" s="80">
        <v>6.0</v>
      </c>
      <c r="I2256" s="80">
        <v>4.0</v>
      </c>
      <c r="J2256" s="32"/>
      <c r="K2256" s="32">
        <f t="shared" si="95"/>
        <v>8000</v>
      </c>
      <c r="L2256" s="32"/>
      <c r="M2256" s="32"/>
      <c r="N2256" s="32"/>
      <c r="O2256" s="14"/>
      <c r="P2256" s="14"/>
    </row>
    <row r="2257" hidden="1">
      <c r="A2257" s="34" t="s">
        <v>338</v>
      </c>
      <c r="B2257" s="92" t="s">
        <v>173</v>
      </c>
      <c r="C2257" s="92"/>
      <c r="D2257" s="92" t="s">
        <v>175</v>
      </c>
      <c r="E2257" s="80">
        <v>1.0</v>
      </c>
      <c r="F2257" s="80">
        <v>8.0</v>
      </c>
      <c r="G2257" s="80">
        <v>1.0</v>
      </c>
      <c r="H2257" s="80">
        <v>10.0</v>
      </c>
      <c r="I2257" s="80">
        <v>3.0</v>
      </c>
      <c r="J2257" s="32"/>
      <c r="K2257" s="32">
        <f t="shared" si="95"/>
        <v>7750</v>
      </c>
      <c r="L2257" s="32"/>
      <c r="M2257" s="32"/>
      <c r="N2257" s="32"/>
      <c r="O2257" s="14"/>
      <c r="P2257" s="14"/>
    </row>
    <row r="2258" hidden="1">
      <c r="A2258" s="34" t="s">
        <v>338</v>
      </c>
      <c r="B2258" s="92" t="s">
        <v>176</v>
      </c>
      <c r="C2258" s="92"/>
      <c r="D2258" s="92" t="s">
        <v>178</v>
      </c>
      <c r="E2258" s="80">
        <v>3.0</v>
      </c>
      <c r="F2258" s="80">
        <v>0.0</v>
      </c>
      <c r="G2258" s="80">
        <v>1.0</v>
      </c>
      <c r="H2258" s="80">
        <v>9.0</v>
      </c>
      <c r="I2258" s="80">
        <v>3.0</v>
      </c>
      <c r="J2258" s="32"/>
      <c r="K2258" s="32">
        <f t="shared" si="95"/>
        <v>4000</v>
      </c>
      <c r="L2258" s="32"/>
      <c r="M2258" s="32"/>
      <c r="N2258" s="32"/>
      <c r="O2258" s="14"/>
      <c r="P2258" s="14"/>
    </row>
    <row r="2259" hidden="1">
      <c r="A2259" s="34" t="s">
        <v>338</v>
      </c>
      <c r="B2259" s="94" t="s">
        <v>291</v>
      </c>
      <c r="C2259" s="94"/>
      <c r="D2259" s="94" t="s">
        <v>293</v>
      </c>
      <c r="E2259" s="80">
        <v>11.0</v>
      </c>
      <c r="F2259" s="80">
        <v>0.0</v>
      </c>
      <c r="G2259" s="85">
        <v>0.0</v>
      </c>
      <c r="H2259" s="85">
        <v>12.0</v>
      </c>
      <c r="I2259" s="85">
        <v>1.0</v>
      </c>
      <c r="J2259" s="32"/>
      <c r="K2259" s="32">
        <f t="shared" si="95"/>
        <v>6000</v>
      </c>
      <c r="L2259" s="32"/>
      <c r="M2259" s="32"/>
      <c r="N2259" s="32"/>
      <c r="O2259" s="23"/>
      <c r="P2259" s="23"/>
    </row>
    <row r="2260" hidden="1">
      <c r="A2260" s="34" t="s">
        <v>338</v>
      </c>
      <c r="B2260" s="94" t="s">
        <v>294</v>
      </c>
      <c r="C2260" s="94"/>
      <c r="D2260" s="94" t="s">
        <v>296</v>
      </c>
      <c r="E2260" s="80">
        <v>0.0</v>
      </c>
      <c r="F2260" s="80">
        <v>0.0</v>
      </c>
      <c r="G2260" s="85">
        <v>0.0</v>
      </c>
      <c r="H2260" s="85">
        <v>0.0</v>
      </c>
      <c r="I2260" s="85">
        <v>3.0</v>
      </c>
      <c r="J2260" s="32"/>
      <c r="K2260" s="32">
        <f t="shared" si="95"/>
        <v>750</v>
      </c>
      <c r="L2260" s="32"/>
      <c r="M2260" s="32"/>
      <c r="N2260" s="32"/>
      <c r="O2260" s="23"/>
      <c r="P2260" s="23"/>
    </row>
    <row r="2261" hidden="1">
      <c r="A2261" s="34" t="s">
        <v>338</v>
      </c>
      <c r="B2261" s="95" t="s">
        <v>333</v>
      </c>
      <c r="C2261" s="94"/>
      <c r="D2261" s="94" t="s">
        <v>334</v>
      </c>
      <c r="E2261" s="80">
        <v>5.0</v>
      </c>
      <c r="F2261" s="80">
        <v>0.0</v>
      </c>
      <c r="G2261" s="85">
        <v>0.0</v>
      </c>
      <c r="H2261" s="85">
        <v>3.0</v>
      </c>
      <c r="I2261" s="85">
        <v>5.0</v>
      </c>
      <c r="J2261" s="32"/>
      <c r="K2261" s="32">
        <f t="shared" si="95"/>
        <v>3250</v>
      </c>
      <c r="L2261" s="32"/>
      <c r="M2261" s="32"/>
      <c r="N2261" s="32"/>
      <c r="O2261" s="23"/>
      <c r="P2261" s="23"/>
    </row>
    <row r="2262" hidden="1">
      <c r="A2262" s="34" t="s">
        <v>338</v>
      </c>
      <c r="B2262" s="94" t="s">
        <v>179</v>
      </c>
      <c r="C2262" s="94"/>
      <c r="D2262" s="94" t="s">
        <v>181</v>
      </c>
      <c r="E2262" s="80">
        <v>5.0</v>
      </c>
      <c r="F2262" s="80">
        <v>0.0</v>
      </c>
      <c r="G2262" s="85">
        <v>0.0</v>
      </c>
      <c r="H2262" s="85">
        <v>9.0</v>
      </c>
      <c r="I2262" s="85">
        <v>4.0</v>
      </c>
      <c r="J2262" s="32"/>
      <c r="K2262" s="32">
        <f t="shared" si="95"/>
        <v>4500</v>
      </c>
      <c r="L2262" s="32"/>
      <c r="M2262" s="32"/>
      <c r="N2262" s="32"/>
      <c r="O2262" s="23"/>
      <c r="P2262" s="23"/>
    </row>
    <row r="2263" hidden="1">
      <c r="A2263" s="34" t="s">
        <v>338</v>
      </c>
      <c r="B2263" s="95" t="s">
        <v>182</v>
      </c>
      <c r="C2263" s="95"/>
      <c r="D2263" s="95" t="s">
        <v>184</v>
      </c>
      <c r="E2263" s="80">
        <v>6.0</v>
      </c>
      <c r="F2263" s="80">
        <v>0.0</v>
      </c>
      <c r="G2263" s="85">
        <v>0.0</v>
      </c>
      <c r="H2263" s="85">
        <v>4.0</v>
      </c>
      <c r="I2263" s="85">
        <v>1.0</v>
      </c>
      <c r="J2263" s="32"/>
      <c r="K2263" s="32">
        <f t="shared" si="95"/>
        <v>2750</v>
      </c>
      <c r="L2263" s="32"/>
      <c r="M2263" s="32"/>
      <c r="N2263" s="32"/>
      <c r="O2263" s="23"/>
      <c r="P2263" s="23"/>
    </row>
    <row r="2264" hidden="1">
      <c r="A2264" s="34" t="s">
        <v>338</v>
      </c>
      <c r="B2264" s="95" t="s">
        <v>185</v>
      </c>
      <c r="C2264" s="95"/>
      <c r="D2264" s="95" t="s">
        <v>187</v>
      </c>
      <c r="E2264" s="80">
        <v>27.0</v>
      </c>
      <c r="F2264" s="80">
        <v>0.0</v>
      </c>
      <c r="G2264" s="85">
        <v>0.0</v>
      </c>
      <c r="H2264" s="85">
        <v>0.0</v>
      </c>
      <c r="I2264" s="85">
        <v>0.0</v>
      </c>
      <c r="J2264" s="32"/>
      <c r="K2264" s="32">
        <f t="shared" si="95"/>
        <v>6750</v>
      </c>
      <c r="L2264" s="32"/>
      <c r="M2264" s="32"/>
      <c r="N2264" s="32"/>
      <c r="O2264" s="23"/>
      <c r="P2264" s="23"/>
    </row>
    <row r="2265" hidden="1">
      <c r="A2265" s="34" t="s">
        <v>338</v>
      </c>
      <c r="B2265" s="95" t="s">
        <v>188</v>
      </c>
      <c r="C2265" s="95"/>
      <c r="D2265" s="95" t="s">
        <v>190</v>
      </c>
      <c r="E2265" s="80">
        <v>8.0</v>
      </c>
      <c r="F2265" s="80">
        <v>0.0</v>
      </c>
      <c r="G2265" s="85">
        <v>0.0</v>
      </c>
      <c r="H2265" s="85">
        <v>0.0</v>
      </c>
      <c r="I2265" s="85">
        <v>0.0</v>
      </c>
      <c r="J2265" s="32"/>
      <c r="K2265" s="32">
        <f t="shared" si="95"/>
        <v>2000</v>
      </c>
      <c r="L2265" s="32"/>
      <c r="M2265" s="32"/>
      <c r="N2265" s="32"/>
      <c r="O2265" s="23"/>
      <c r="P2265" s="23"/>
    </row>
    <row r="2266" hidden="1">
      <c r="A2266" s="34" t="s">
        <v>338</v>
      </c>
      <c r="B2266" s="95" t="s">
        <v>258</v>
      </c>
      <c r="C2266" s="95"/>
      <c r="D2266" s="95" t="s">
        <v>260</v>
      </c>
      <c r="E2266" s="80">
        <v>7.0</v>
      </c>
      <c r="F2266" s="80">
        <v>0.0</v>
      </c>
      <c r="G2266" s="85">
        <v>0.0</v>
      </c>
      <c r="H2266" s="85">
        <v>0.0</v>
      </c>
      <c r="I2266" s="85">
        <v>0.0</v>
      </c>
      <c r="J2266" s="32"/>
      <c r="K2266" s="32">
        <f t="shared" si="95"/>
        <v>1750</v>
      </c>
      <c r="L2266" s="32"/>
      <c r="M2266" s="32"/>
      <c r="N2266" s="32"/>
      <c r="O2266" s="23"/>
      <c r="P2266" s="23"/>
    </row>
    <row r="2267" hidden="1">
      <c r="A2267" s="34" t="s">
        <v>338</v>
      </c>
      <c r="B2267" s="95" t="s">
        <v>262</v>
      </c>
      <c r="C2267" s="95"/>
      <c r="D2267" s="95" t="s">
        <v>339</v>
      </c>
      <c r="E2267" s="80">
        <v>1.0</v>
      </c>
      <c r="F2267" s="80">
        <v>0.0</v>
      </c>
      <c r="G2267" s="85">
        <v>0.0</v>
      </c>
      <c r="H2267" s="85">
        <v>0.0</v>
      </c>
      <c r="I2267" s="85">
        <v>0.0</v>
      </c>
      <c r="J2267" s="32"/>
      <c r="K2267" s="32">
        <f t="shared" si="95"/>
        <v>250</v>
      </c>
      <c r="L2267" s="32"/>
      <c r="M2267" s="32"/>
      <c r="N2267" s="32"/>
      <c r="O2267" s="23"/>
      <c r="P2267" s="23"/>
    </row>
    <row r="2268" hidden="1">
      <c r="A2268" s="34" t="s">
        <v>340</v>
      </c>
      <c r="B2268" s="92" t="s">
        <v>216</v>
      </c>
      <c r="C2268" s="92"/>
      <c r="D2268" s="92" t="s">
        <v>274</v>
      </c>
      <c r="E2268" s="80">
        <v>0.0</v>
      </c>
      <c r="F2268" s="80">
        <v>6.0</v>
      </c>
      <c r="G2268" s="80">
        <v>1.0</v>
      </c>
      <c r="H2268" s="80">
        <v>19.0</v>
      </c>
      <c r="I2268" s="80">
        <v>5.0</v>
      </c>
      <c r="J2268" s="32"/>
      <c r="K2268" s="32">
        <f t="shared" si="95"/>
        <v>9250</v>
      </c>
      <c r="L2268" s="32"/>
      <c r="M2268" s="32"/>
      <c r="N2268" s="32"/>
      <c r="O2268" s="14"/>
      <c r="P2268" s="14"/>
    </row>
    <row r="2269" hidden="1">
      <c r="A2269" s="34" t="s">
        <v>340</v>
      </c>
      <c r="B2269" s="92" t="s">
        <v>119</v>
      </c>
      <c r="C2269" s="92"/>
      <c r="D2269" s="92" t="s">
        <v>121</v>
      </c>
      <c r="E2269" s="80">
        <v>1.0</v>
      </c>
      <c r="F2269" s="80">
        <v>2.0</v>
      </c>
      <c r="G2269" s="80">
        <v>0.0</v>
      </c>
      <c r="H2269" s="80">
        <v>0.0</v>
      </c>
      <c r="I2269" s="80">
        <v>5.0</v>
      </c>
      <c r="J2269" s="32"/>
      <c r="K2269" s="32">
        <f t="shared" si="95"/>
        <v>2500</v>
      </c>
      <c r="L2269" s="32"/>
      <c r="M2269" s="32"/>
      <c r="N2269" s="32"/>
      <c r="O2269" s="14"/>
      <c r="P2269" s="14"/>
    </row>
    <row r="2270" hidden="1">
      <c r="A2270" s="34" t="s">
        <v>340</v>
      </c>
      <c r="B2270" s="92" t="s">
        <v>267</v>
      </c>
      <c r="C2270" s="92"/>
      <c r="D2270" s="92" t="s">
        <v>269</v>
      </c>
      <c r="E2270" s="80">
        <v>6.0</v>
      </c>
      <c r="F2270" s="80">
        <v>2.0</v>
      </c>
      <c r="G2270" s="80">
        <v>1.0</v>
      </c>
      <c r="H2270" s="80">
        <v>2.0</v>
      </c>
      <c r="I2270" s="80">
        <v>5.0</v>
      </c>
      <c r="J2270" s="32"/>
      <c r="K2270" s="32">
        <f t="shared" si="95"/>
        <v>4500</v>
      </c>
      <c r="L2270" s="32"/>
      <c r="M2270" s="32"/>
      <c r="N2270" s="32"/>
      <c r="O2270" s="14"/>
      <c r="P2270" s="14"/>
    </row>
    <row r="2271" hidden="1">
      <c r="A2271" s="34" t="s">
        <v>340</v>
      </c>
      <c r="B2271" s="92" t="s">
        <v>275</v>
      </c>
      <c r="C2271" s="92"/>
      <c r="D2271" s="92" t="s">
        <v>277</v>
      </c>
      <c r="E2271" s="80">
        <v>0.0</v>
      </c>
      <c r="F2271" s="80">
        <v>3.0</v>
      </c>
      <c r="G2271" s="80">
        <v>0.0</v>
      </c>
      <c r="H2271" s="80">
        <v>6.0</v>
      </c>
      <c r="I2271" s="80">
        <v>5.0</v>
      </c>
      <c r="J2271" s="32"/>
      <c r="K2271" s="32">
        <f t="shared" si="95"/>
        <v>4250</v>
      </c>
      <c r="L2271" s="32"/>
      <c r="M2271" s="32"/>
      <c r="N2271" s="32"/>
      <c r="O2271" s="14"/>
      <c r="P2271" s="14"/>
    </row>
    <row r="2272" hidden="1">
      <c r="A2272" s="34" t="s">
        <v>340</v>
      </c>
      <c r="B2272" s="92" t="s">
        <v>122</v>
      </c>
      <c r="C2272" s="92"/>
      <c r="D2272" s="92" t="s">
        <v>124</v>
      </c>
      <c r="E2272" s="80">
        <v>1.0</v>
      </c>
      <c r="F2272" s="80">
        <v>2.0</v>
      </c>
      <c r="G2272" s="80">
        <v>3.0</v>
      </c>
      <c r="H2272" s="80">
        <v>4.0</v>
      </c>
      <c r="I2272" s="80">
        <v>5.0</v>
      </c>
      <c r="J2272" s="32"/>
      <c r="K2272" s="32">
        <f t="shared" si="95"/>
        <v>4250</v>
      </c>
      <c r="L2272" s="32"/>
      <c r="M2272" s="32"/>
      <c r="N2272" s="32"/>
      <c r="O2272" s="14"/>
      <c r="P2272" s="14"/>
    </row>
    <row r="2273" hidden="1">
      <c r="A2273" s="34" t="s">
        <v>340</v>
      </c>
      <c r="B2273" s="92" t="s">
        <v>125</v>
      </c>
      <c r="C2273" s="92"/>
      <c r="D2273" s="92" t="s">
        <v>127</v>
      </c>
      <c r="E2273" s="80">
        <v>0.0</v>
      </c>
      <c r="F2273" s="80">
        <v>1.0</v>
      </c>
      <c r="G2273" s="80">
        <v>0.0</v>
      </c>
      <c r="H2273" s="80">
        <v>1.0</v>
      </c>
      <c r="I2273" s="80">
        <v>5.0</v>
      </c>
      <c r="J2273" s="32"/>
      <c r="K2273" s="32">
        <f t="shared" si="95"/>
        <v>2000</v>
      </c>
      <c r="L2273" s="32"/>
      <c r="M2273" s="32"/>
      <c r="N2273" s="32"/>
      <c r="O2273" s="14"/>
      <c r="P2273" s="14"/>
    </row>
    <row r="2274" hidden="1">
      <c r="A2274" s="34" t="s">
        <v>340</v>
      </c>
      <c r="B2274" s="92" t="s">
        <v>128</v>
      </c>
      <c r="C2274" s="92"/>
      <c r="D2274" s="92" t="s">
        <v>130</v>
      </c>
      <c r="E2274" s="80">
        <v>0.0</v>
      </c>
      <c r="F2274" s="80">
        <v>0.0</v>
      </c>
      <c r="G2274" s="80">
        <v>0.0</v>
      </c>
      <c r="H2274" s="80">
        <v>2.0</v>
      </c>
      <c r="I2274" s="80">
        <v>5.0</v>
      </c>
      <c r="J2274" s="32"/>
      <c r="K2274" s="32">
        <f t="shared" si="95"/>
        <v>1750</v>
      </c>
      <c r="L2274" s="32"/>
      <c r="M2274" s="32"/>
      <c r="N2274" s="32"/>
      <c r="O2274" s="14"/>
      <c r="P2274" s="14"/>
    </row>
    <row r="2275" hidden="1">
      <c r="A2275" s="34" t="s">
        <v>340</v>
      </c>
      <c r="B2275" s="92" t="s">
        <v>131</v>
      </c>
      <c r="C2275" s="92"/>
      <c r="D2275" s="92" t="s">
        <v>133</v>
      </c>
      <c r="E2275" s="80">
        <v>0.0</v>
      </c>
      <c r="F2275" s="80">
        <v>3.0</v>
      </c>
      <c r="G2275" s="80">
        <v>1.0</v>
      </c>
      <c r="H2275" s="80">
        <v>7.0</v>
      </c>
      <c r="I2275" s="80">
        <v>5.0</v>
      </c>
      <c r="J2275" s="32"/>
      <c r="K2275" s="32">
        <f t="shared" si="95"/>
        <v>4750</v>
      </c>
      <c r="L2275" s="32"/>
      <c r="M2275" s="32"/>
      <c r="N2275" s="32"/>
      <c r="O2275" s="14"/>
      <c r="P2275" s="14"/>
    </row>
    <row r="2276" hidden="1">
      <c r="A2276" s="34" t="s">
        <v>340</v>
      </c>
      <c r="B2276" s="92" t="s">
        <v>134</v>
      </c>
      <c r="C2276" s="92"/>
      <c r="D2276" s="92" t="s">
        <v>136</v>
      </c>
      <c r="E2276" s="80">
        <v>5.0</v>
      </c>
      <c r="F2276" s="80">
        <v>2.0</v>
      </c>
      <c r="G2276" s="80">
        <v>0.0</v>
      </c>
      <c r="H2276" s="80">
        <v>9.0</v>
      </c>
      <c r="I2276" s="80">
        <v>5.0</v>
      </c>
      <c r="J2276" s="32"/>
      <c r="K2276" s="32">
        <f t="shared" si="95"/>
        <v>5750</v>
      </c>
      <c r="L2276" s="32"/>
      <c r="M2276" s="32"/>
      <c r="N2276" s="32"/>
      <c r="O2276" s="14"/>
      <c r="P2276" s="14"/>
    </row>
    <row r="2277" hidden="1">
      <c r="A2277" s="34" t="s">
        <v>340</v>
      </c>
      <c r="B2277" s="92" t="s">
        <v>137</v>
      </c>
      <c r="C2277" s="92"/>
      <c r="D2277" s="92" t="s">
        <v>139</v>
      </c>
      <c r="E2277" s="80">
        <v>0.0</v>
      </c>
      <c r="F2277" s="80">
        <v>2.0</v>
      </c>
      <c r="G2277" s="80">
        <v>4.0</v>
      </c>
      <c r="H2277" s="80">
        <v>17.0</v>
      </c>
      <c r="I2277" s="80">
        <v>5.0</v>
      </c>
      <c r="J2277" s="32"/>
      <c r="K2277" s="32">
        <f t="shared" si="95"/>
        <v>7500</v>
      </c>
      <c r="L2277" s="32"/>
      <c r="M2277" s="32"/>
      <c r="N2277" s="32"/>
      <c r="O2277" s="14"/>
      <c r="P2277" s="14"/>
    </row>
    <row r="2278" hidden="1">
      <c r="A2278" s="34" t="s">
        <v>340</v>
      </c>
      <c r="B2278" s="92" t="s">
        <v>278</v>
      </c>
      <c r="C2278" s="92"/>
      <c r="D2278" s="92" t="s">
        <v>280</v>
      </c>
      <c r="E2278" s="80">
        <v>0.0</v>
      </c>
      <c r="F2278" s="80">
        <v>1.0</v>
      </c>
      <c r="G2278" s="80">
        <v>0.0</v>
      </c>
      <c r="H2278" s="80">
        <v>5.0</v>
      </c>
      <c r="I2278" s="80">
        <v>5.0</v>
      </c>
      <c r="J2278" s="32"/>
      <c r="K2278" s="32">
        <f t="shared" si="95"/>
        <v>3000</v>
      </c>
      <c r="L2278" s="32"/>
      <c r="M2278" s="32"/>
      <c r="N2278" s="32"/>
      <c r="O2278" s="14"/>
      <c r="P2278" s="14"/>
    </row>
    <row r="2279" hidden="1">
      <c r="A2279" s="34" t="s">
        <v>340</v>
      </c>
      <c r="B2279" s="92" t="s">
        <v>140</v>
      </c>
      <c r="C2279" s="92"/>
      <c r="D2279" s="92" t="s">
        <v>142</v>
      </c>
      <c r="E2279" s="80">
        <v>2.0</v>
      </c>
      <c r="F2279" s="80">
        <v>4.0</v>
      </c>
      <c r="G2279" s="80">
        <v>0.0</v>
      </c>
      <c r="H2279" s="80">
        <v>12.0</v>
      </c>
      <c r="I2279" s="80">
        <v>5.0</v>
      </c>
      <c r="J2279" s="32"/>
      <c r="K2279" s="32">
        <f t="shared" si="95"/>
        <v>6750</v>
      </c>
      <c r="L2279" s="32"/>
      <c r="M2279" s="32"/>
      <c r="N2279" s="32"/>
      <c r="O2279" s="14"/>
      <c r="P2279" s="14"/>
    </row>
    <row r="2280" hidden="1">
      <c r="A2280" s="34" t="s">
        <v>340</v>
      </c>
      <c r="B2280" s="92" t="s">
        <v>207</v>
      </c>
      <c r="C2280" s="92"/>
      <c r="D2280" s="92" t="s">
        <v>281</v>
      </c>
      <c r="E2280" s="80">
        <v>0.0</v>
      </c>
      <c r="F2280" s="80">
        <v>2.0</v>
      </c>
      <c r="G2280" s="80">
        <v>0.0</v>
      </c>
      <c r="H2280" s="80">
        <v>2.0</v>
      </c>
      <c r="I2280" s="80">
        <v>5.0</v>
      </c>
      <c r="J2280" s="32"/>
      <c r="K2280" s="32">
        <f t="shared" si="95"/>
        <v>2750</v>
      </c>
      <c r="L2280" s="32"/>
      <c r="M2280" s="32"/>
      <c r="N2280" s="32"/>
      <c r="O2280" s="14"/>
      <c r="P2280" s="14"/>
    </row>
    <row r="2281" hidden="1">
      <c r="A2281" s="34" t="s">
        <v>340</v>
      </c>
      <c r="B2281" s="92" t="s">
        <v>282</v>
      </c>
      <c r="C2281" s="92"/>
      <c r="D2281" s="92" t="s">
        <v>284</v>
      </c>
      <c r="E2281" s="80">
        <v>1.0</v>
      </c>
      <c r="F2281" s="80">
        <v>7.0</v>
      </c>
      <c r="G2281" s="80">
        <v>0.0</v>
      </c>
      <c r="H2281" s="80">
        <v>10.0</v>
      </c>
      <c r="I2281" s="80">
        <v>5.0</v>
      </c>
      <c r="J2281" s="32"/>
      <c r="K2281" s="32">
        <f t="shared" si="95"/>
        <v>7500</v>
      </c>
      <c r="L2281" s="32"/>
      <c r="M2281" s="32"/>
      <c r="N2281" s="32"/>
      <c r="O2281" s="14"/>
      <c r="P2281" s="14"/>
    </row>
    <row r="2282" hidden="1">
      <c r="A2282" s="34" t="s">
        <v>340</v>
      </c>
      <c r="B2282" s="92" t="s">
        <v>285</v>
      </c>
      <c r="C2282" s="92"/>
      <c r="D2282" s="92" t="s">
        <v>287</v>
      </c>
      <c r="E2282" s="80">
        <v>0.0</v>
      </c>
      <c r="F2282" s="80">
        <v>0.0</v>
      </c>
      <c r="G2282" s="80">
        <v>0.0</v>
      </c>
      <c r="H2282" s="80">
        <v>9.0</v>
      </c>
      <c r="I2282" s="80">
        <v>5.0</v>
      </c>
      <c r="J2282" s="32"/>
      <c r="K2282" s="32">
        <f t="shared" si="95"/>
        <v>3500</v>
      </c>
      <c r="L2282" s="32"/>
      <c r="M2282" s="32"/>
      <c r="N2282" s="32"/>
      <c r="O2282" s="14"/>
      <c r="P2282" s="14"/>
    </row>
    <row r="2283" hidden="1">
      <c r="A2283" s="34" t="s">
        <v>340</v>
      </c>
      <c r="B2283" s="92" t="s">
        <v>143</v>
      </c>
      <c r="C2283" s="92"/>
      <c r="D2283" s="92" t="s">
        <v>145</v>
      </c>
      <c r="E2283" s="80">
        <v>0.0</v>
      </c>
      <c r="F2283" s="80">
        <v>5.0</v>
      </c>
      <c r="G2283" s="80">
        <v>0.0</v>
      </c>
      <c r="H2283" s="80">
        <v>14.0</v>
      </c>
      <c r="I2283" s="80">
        <v>4.0</v>
      </c>
      <c r="J2283" s="32"/>
      <c r="K2283" s="32">
        <f t="shared" si="95"/>
        <v>7000</v>
      </c>
      <c r="L2283" s="32"/>
      <c r="M2283" s="32"/>
      <c r="N2283" s="32"/>
      <c r="O2283" s="14"/>
      <c r="P2283" s="14"/>
    </row>
    <row r="2284" hidden="1">
      <c r="A2284" s="34" t="s">
        <v>340</v>
      </c>
      <c r="B2284" s="92" t="s">
        <v>146</v>
      </c>
      <c r="C2284" s="92"/>
      <c r="D2284" s="92" t="s">
        <v>148</v>
      </c>
      <c r="E2284" s="80">
        <v>0.0</v>
      </c>
      <c r="F2284" s="80">
        <v>2.0</v>
      </c>
      <c r="G2284" s="80">
        <v>0.0</v>
      </c>
      <c r="H2284" s="80">
        <v>4.0</v>
      </c>
      <c r="I2284" s="80">
        <v>5.0</v>
      </c>
      <c r="J2284" s="32"/>
      <c r="K2284" s="32">
        <f t="shared" si="95"/>
        <v>3250</v>
      </c>
      <c r="L2284" s="32"/>
      <c r="M2284" s="32"/>
      <c r="N2284" s="32"/>
      <c r="O2284" s="14"/>
      <c r="P2284" s="14"/>
    </row>
    <row r="2285" hidden="1">
      <c r="A2285" s="34" t="s">
        <v>340</v>
      </c>
      <c r="B2285" s="92" t="s">
        <v>245</v>
      </c>
      <c r="C2285" s="92"/>
      <c r="D2285" s="92" t="s">
        <v>247</v>
      </c>
      <c r="E2285" s="80">
        <v>0.0</v>
      </c>
      <c r="F2285" s="80">
        <v>2.0</v>
      </c>
      <c r="G2285" s="80">
        <v>0.0</v>
      </c>
      <c r="H2285" s="80">
        <v>9.0</v>
      </c>
      <c r="I2285" s="80">
        <v>4.0</v>
      </c>
      <c r="J2285" s="32"/>
      <c r="K2285" s="32">
        <f t="shared" si="95"/>
        <v>4250</v>
      </c>
      <c r="L2285" s="32"/>
      <c r="M2285" s="32"/>
      <c r="N2285" s="32"/>
      <c r="O2285" s="14"/>
      <c r="P2285" s="14"/>
    </row>
    <row r="2286" hidden="1">
      <c r="A2286" s="34" t="s">
        <v>340</v>
      </c>
      <c r="B2286" s="92" t="s">
        <v>210</v>
      </c>
      <c r="C2286" s="92"/>
      <c r="D2286" s="92" t="s">
        <v>212</v>
      </c>
      <c r="E2286" s="80">
        <v>1.0</v>
      </c>
      <c r="F2286" s="80">
        <v>1.0</v>
      </c>
      <c r="G2286" s="80">
        <v>0.0</v>
      </c>
      <c r="H2286" s="80">
        <v>2.0</v>
      </c>
      <c r="I2286" s="80">
        <v>4.0</v>
      </c>
      <c r="J2286" s="32"/>
      <c r="K2286" s="32">
        <f t="shared" si="95"/>
        <v>2250</v>
      </c>
      <c r="L2286" s="32"/>
      <c r="M2286" s="32"/>
      <c r="N2286" s="32"/>
      <c r="O2286" s="14"/>
      <c r="P2286" s="14"/>
    </row>
    <row r="2287" hidden="1">
      <c r="A2287" s="34" t="s">
        <v>340</v>
      </c>
      <c r="B2287" s="92" t="s">
        <v>149</v>
      </c>
      <c r="C2287" s="92"/>
      <c r="D2287" s="92" t="s">
        <v>151</v>
      </c>
      <c r="E2287" s="80">
        <v>0.0</v>
      </c>
      <c r="F2287" s="80">
        <v>0.0</v>
      </c>
      <c r="G2287" s="80">
        <v>1.0</v>
      </c>
      <c r="H2287" s="80">
        <v>4.0</v>
      </c>
      <c r="I2287" s="80">
        <v>5.0</v>
      </c>
      <c r="J2287" s="32"/>
      <c r="K2287" s="32">
        <f t="shared" si="95"/>
        <v>2500</v>
      </c>
      <c r="L2287" s="32"/>
      <c r="M2287" s="32"/>
      <c r="N2287" s="32"/>
      <c r="O2287" s="14"/>
      <c r="P2287" s="14"/>
    </row>
    <row r="2288" hidden="1">
      <c r="A2288" s="34" t="s">
        <v>340</v>
      </c>
      <c r="B2288" s="92" t="s">
        <v>288</v>
      </c>
      <c r="C2288" s="92"/>
      <c r="D2288" s="92" t="s">
        <v>290</v>
      </c>
      <c r="E2288" s="80">
        <v>0.0</v>
      </c>
      <c r="F2288" s="80">
        <v>3.0</v>
      </c>
      <c r="G2288" s="80">
        <v>3.0</v>
      </c>
      <c r="H2288" s="80">
        <v>0.0</v>
      </c>
      <c r="I2288" s="80">
        <v>4.0</v>
      </c>
      <c r="J2288" s="32"/>
      <c r="K2288" s="32">
        <f t="shared" si="95"/>
        <v>3250</v>
      </c>
      <c r="L2288" s="32"/>
      <c r="M2288" s="32"/>
      <c r="N2288" s="32"/>
      <c r="O2288" s="14"/>
      <c r="P2288" s="14"/>
    </row>
    <row r="2289" hidden="1">
      <c r="A2289" s="34" t="s">
        <v>340</v>
      </c>
      <c r="B2289" s="92" t="s">
        <v>152</v>
      </c>
      <c r="C2289" s="92"/>
      <c r="D2289" s="92" t="s">
        <v>154</v>
      </c>
      <c r="E2289" s="80">
        <v>1.0</v>
      </c>
      <c r="F2289" s="80">
        <v>1.0</v>
      </c>
      <c r="G2289" s="80">
        <v>0.0</v>
      </c>
      <c r="H2289" s="80">
        <v>2.0</v>
      </c>
      <c r="I2289" s="80">
        <v>5.0</v>
      </c>
      <c r="J2289" s="32"/>
      <c r="K2289" s="32">
        <f t="shared" si="95"/>
        <v>2500</v>
      </c>
      <c r="L2289" s="32"/>
      <c r="M2289" s="32"/>
      <c r="N2289" s="32"/>
      <c r="O2289" s="14"/>
      <c r="P2289" s="14"/>
    </row>
    <row r="2290" hidden="1">
      <c r="A2290" s="34" t="s">
        <v>340</v>
      </c>
      <c r="B2290" s="92" t="s">
        <v>155</v>
      </c>
      <c r="C2290" s="92"/>
      <c r="D2290" s="92" t="s">
        <v>157</v>
      </c>
      <c r="E2290" s="80">
        <v>0.0</v>
      </c>
      <c r="F2290" s="80">
        <v>2.0</v>
      </c>
      <c r="G2290" s="80">
        <v>0.0</v>
      </c>
      <c r="H2290" s="80">
        <v>7.0</v>
      </c>
      <c r="I2290" s="80">
        <v>5.0</v>
      </c>
      <c r="J2290" s="32"/>
      <c r="K2290" s="32">
        <f t="shared" si="95"/>
        <v>4000</v>
      </c>
      <c r="L2290" s="32"/>
      <c r="M2290" s="32"/>
      <c r="N2290" s="32"/>
      <c r="O2290" s="14"/>
      <c r="P2290" s="14"/>
    </row>
    <row r="2291" hidden="1">
      <c r="A2291" s="34" t="s">
        <v>340</v>
      </c>
      <c r="B2291" s="92" t="s">
        <v>158</v>
      </c>
      <c r="C2291" s="92"/>
      <c r="D2291" s="92" t="s">
        <v>160</v>
      </c>
      <c r="E2291" s="80">
        <v>0.0</v>
      </c>
      <c r="F2291" s="80">
        <v>5.0</v>
      </c>
      <c r="G2291" s="80">
        <v>0.0</v>
      </c>
      <c r="H2291" s="80">
        <v>11.0</v>
      </c>
      <c r="I2291" s="80">
        <v>5.0</v>
      </c>
      <c r="J2291" s="32"/>
      <c r="K2291" s="32">
        <f t="shared" si="95"/>
        <v>6500</v>
      </c>
      <c r="L2291" s="32"/>
      <c r="M2291" s="32"/>
      <c r="N2291" s="32"/>
      <c r="O2291" s="14"/>
      <c r="P2291" s="14"/>
    </row>
    <row r="2292" hidden="1">
      <c r="A2292" s="34" t="s">
        <v>340</v>
      </c>
      <c r="B2292" s="93" t="s">
        <v>161</v>
      </c>
      <c r="C2292" s="93"/>
      <c r="D2292" s="93" t="s">
        <v>163</v>
      </c>
      <c r="E2292" s="80">
        <v>2.0</v>
      </c>
      <c r="F2292" s="80">
        <v>2.0</v>
      </c>
      <c r="G2292" s="80">
        <v>1.0</v>
      </c>
      <c r="H2292" s="80">
        <v>3.0</v>
      </c>
      <c r="I2292" s="80">
        <v>5.0</v>
      </c>
      <c r="J2292" s="32"/>
      <c r="K2292" s="32">
        <f t="shared" si="95"/>
        <v>3750</v>
      </c>
      <c r="L2292" s="32"/>
      <c r="M2292" s="32"/>
      <c r="N2292" s="32"/>
      <c r="O2292" s="14"/>
      <c r="P2292" s="14"/>
    </row>
    <row r="2293" hidden="1">
      <c r="A2293" s="34" t="s">
        <v>340</v>
      </c>
      <c r="B2293" s="93" t="s">
        <v>164</v>
      </c>
      <c r="C2293" s="93"/>
      <c r="D2293" s="93" t="s">
        <v>166</v>
      </c>
      <c r="E2293" s="80">
        <v>1.0</v>
      </c>
      <c r="F2293" s="80">
        <v>3.0</v>
      </c>
      <c r="G2293" s="80">
        <v>0.0</v>
      </c>
      <c r="H2293" s="80">
        <v>17.0</v>
      </c>
      <c r="I2293" s="80">
        <v>5.0</v>
      </c>
      <c r="J2293" s="32"/>
      <c r="K2293" s="32">
        <f t="shared" si="95"/>
        <v>7250</v>
      </c>
      <c r="L2293" s="32"/>
      <c r="M2293" s="32"/>
      <c r="N2293" s="32"/>
      <c r="O2293" s="14"/>
      <c r="P2293" s="14"/>
    </row>
    <row r="2294" hidden="1">
      <c r="A2294" s="34" t="s">
        <v>340</v>
      </c>
      <c r="B2294" s="93" t="s">
        <v>167</v>
      </c>
      <c r="C2294" s="93"/>
      <c r="D2294" s="93" t="s">
        <v>169</v>
      </c>
      <c r="E2294" s="80">
        <v>1.0</v>
      </c>
      <c r="F2294" s="80">
        <v>0.0</v>
      </c>
      <c r="G2294" s="80">
        <v>0.0</v>
      </c>
      <c r="H2294" s="80">
        <v>0.0</v>
      </c>
      <c r="I2294" s="80">
        <v>5.0</v>
      </c>
      <c r="J2294" s="32"/>
      <c r="K2294" s="32">
        <f t="shared" si="95"/>
        <v>1500</v>
      </c>
      <c r="L2294" s="32"/>
      <c r="M2294" s="32"/>
      <c r="N2294" s="32"/>
      <c r="O2294" s="14"/>
      <c r="P2294" s="14"/>
    </row>
    <row r="2295" hidden="1">
      <c r="A2295" s="34" t="s">
        <v>340</v>
      </c>
      <c r="B2295" s="93" t="s">
        <v>170</v>
      </c>
      <c r="C2295" s="93"/>
      <c r="D2295" s="93" t="s">
        <v>172</v>
      </c>
      <c r="E2295" s="80">
        <v>0.0</v>
      </c>
      <c r="F2295" s="80">
        <v>2.0</v>
      </c>
      <c r="G2295" s="80">
        <v>0.0</v>
      </c>
      <c r="H2295" s="80">
        <v>8.0</v>
      </c>
      <c r="I2295" s="80">
        <v>5.0</v>
      </c>
      <c r="J2295" s="32"/>
      <c r="K2295" s="32">
        <f t="shared" si="95"/>
        <v>4250</v>
      </c>
      <c r="L2295" s="32"/>
      <c r="M2295" s="32"/>
      <c r="N2295" s="32"/>
      <c r="O2295" s="14"/>
      <c r="P2295" s="14"/>
    </row>
    <row r="2296" hidden="1">
      <c r="A2296" s="34" t="s">
        <v>340</v>
      </c>
      <c r="B2296" s="92" t="s">
        <v>173</v>
      </c>
      <c r="C2296" s="92"/>
      <c r="D2296" s="92" t="s">
        <v>175</v>
      </c>
      <c r="E2296" s="80">
        <v>0.0</v>
      </c>
      <c r="F2296" s="80">
        <v>3.0</v>
      </c>
      <c r="G2296" s="80">
        <v>1.0</v>
      </c>
      <c r="H2296" s="80">
        <v>4.0</v>
      </c>
      <c r="I2296" s="80">
        <v>2.0</v>
      </c>
      <c r="J2296" s="32"/>
      <c r="K2296" s="32">
        <f t="shared" si="95"/>
        <v>3250</v>
      </c>
      <c r="L2296" s="32"/>
      <c r="M2296" s="32"/>
      <c r="N2296" s="32"/>
      <c r="O2296" s="14"/>
      <c r="P2296" s="14"/>
    </row>
    <row r="2297" hidden="1">
      <c r="A2297" s="34" t="s">
        <v>340</v>
      </c>
      <c r="B2297" s="92" t="s">
        <v>176</v>
      </c>
      <c r="C2297" s="92"/>
      <c r="D2297" s="92" t="s">
        <v>178</v>
      </c>
      <c r="E2297" s="80">
        <v>0.0</v>
      </c>
      <c r="F2297" s="80">
        <v>1.0</v>
      </c>
      <c r="G2297" s="80">
        <v>0.0</v>
      </c>
      <c r="H2297" s="80">
        <v>8.0</v>
      </c>
      <c r="I2297" s="80">
        <v>1.0</v>
      </c>
      <c r="J2297" s="32"/>
      <c r="K2297" s="32">
        <f t="shared" si="95"/>
        <v>2750</v>
      </c>
      <c r="L2297" s="32"/>
      <c r="M2297" s="32"/>
      <c r="N2297" s="32"/>
      <c r="O2297" s="14"/>
      <c r="P2297" s="14"/>
    </row>
    <row r="2298" hidden="1">
      <c r="A2298" s="34" t="s">
        <v>340</v>
      </c>
      <c r="B2298" s="94" t="s">
        <v>291</v>
      </c>
      <c r="C2298" s="94"/>
      <c r="D2298" s="94" t="s">
        <v>293</v>
      </c>
      <c r="E2298" s="80">
        <v>5.0</v>
      </c>
      <c r="F2298" s="80">
        <v>0.0</v>
      </c>
      <c r="G2298" s="85">
        <v>0.0</v>
      </c>
      <c r="H2298" s="85">
        <v>18.0</v>
      </c>
      <c r="I2298" s="85">
        <v>0.0</v>
      </c>
      <c r="J2298" s="32"/>
      <c r="K2298" s="32">
        <f t="shared" si="95"/>
        <v>5750</v>
      </c>
      <c r="L2298" s="32"/>
      <c r="M2298" s="32"/>
      <c r="N2298" s="32"/>
      <c r="O2298" s="23"/>
      <c r="P2298" s="23"/>
    </row>
    <row r="2299" hidden="1">
      <c r="A2299" s="34" t="s">
        <v>340</v>
      </c>
      <c r="B2299" s="94" t="s">
        <v>294</v>
      </c>
      <c r="C2299" s="94"/>
      <c r="D2299" s="94" t="s">
        <v>296</v>
      </c>
      <c r="E2299" s="80">
        <v>0.0</v>
      </c>
      <c r="F2299" s="80">
        <v>0.0</v>
      </c>
      <c r="G2299" s="85">
        <v>1.0</v>
      </c>
      <c r="H2299" s="85">
        <v>0.0</v>
      </c>
      <c r="I2299" s="85">
        <v>0.0</v>
      </c>
      <c r="J2299" s="32"/>
      <c r="K2299" s="32">
        <f t="shared" si="95"/>
        <v>250</v>
      </c>
      <c r="L2299" s="32"/>
      <c r="M2299" s="32"/>
      <c r="N2299" s="32"/>
      <c r="O2299" s="23"/>
      <c r="P2299" s="23"/>
    </row>
    <row r="2300" hidden="1">
      <c r="A2300" s="34" t="s">
        <v>340</v>
      </c>
      <c r="B2300" s="95" t="s">
        <v>333</v>
      </c>
      <c r="C2300" s="94"/>
      <c r="D2300" s="94" t="s">
        <v>334</v>
      </c>
      <c r="E2300" s="80">
        <v>2.0</v>
      </c>
      <c r="F2300" s="80">
        <v>0.0</v>
      </c>
      <c r="G2300" s="85">
        <v>0.0</v>
      </c>
      <c r="H2300" s="85">
        <v>7.0</v>
      </c>
      <c r="I2300" s="85">
        <v>0.0</v>
      </c>
      <c r="J2300" s="32"/>
      <c r="K2300" s="32">
        <f t="shared" si="95"/>
        <v>2250</v>
      </c>
      <c r="L2300" s="32"/>
      <c r="M2300" s="32"/>
      <c r="N2300" s="32"/>
      <c r="O2300" s="23"/>
      <c r="P2300" s="23"/>
    </row>
    <row r="2301" hidden="1">
      <c r="A2301" s="34" t="s">
        <v>340</v>
      </c>
      <c r="B2301" s="94" t="s">
        <v>179</v>
      </c>
      <c r="C2301" s="94"/>
      <c r="D2301" s="94" t="s">
        <v>181</v>
      </c>
      <c r="E2301" s="80">
        <v>1.0</v>
      </c>
      <c r="F2301" s="80">
        <v>0.0</v>
      </c>
      <c r="G2301" s="85">
        <v>0.0</v>
      </c>
      <c r="H2301" s="85">
        <v>10.0</v>
      </c>
      <c r="I2301" s="85">
        <v>1.0</v>
      </c>
      <c r="J2301" s="32"/>
      <c r="K2301" s="32">
        <f t="shared" si="95"/>
        <v>3000</v>
      </c>
      <c r="L2301" s="32"/>
      <c r="M2301" s="32"/>
      <c r="N2301" s="32"/>
      <c r="O2301" s="23"/>
      <c r="P2301" s="23"/>
    </row>
    <row r="2302" hidden="1">
      <c r="A2302" s="34" t="s">
        <v>341</v>
      </c>
      <c r="B2302" s="92" t="s">
        <v>216</v>
      </c>
      <c r="C2302" s="92"/>
      <c r="D2302" s="92" t="s">
        <v>274</v>
      </c>
      <c r="E2302" s="80">
        <v>0.0</v>
      </c>
      <c r="F2302" s="80">
        <v>5.0</v>
      </c>
      <c r="G2302" s="80">
        <v>1.0</v>
      </c>
      <c r="H2302" s="80">
        <v>26.0</v>
      </c>
      <c r="I2302" s="80">
        <v>5.0</v>
      </c>
      <c r="J2302" s="32"/>
      <c r="K2302" s="32">
        <f t="shared" si="95"/>
        <v>10500</v>
      </c>
      <c r="L2302" s="32"/>
      <c r="M2302" s="32"/>
      <c r="N2302" s="32"/>
      <c r="O2302" s="14"/>
      <c r="P2302" s="14"/>
    </row>
    <row r="2303" hidden="1">
      <c r="A2303" s="34" t="s">
        <v>341</v>
      </c>
      <c r="B2303" s="92" t="s">
        <v>119</v>
      </c>
      <c r="C2303" s="92"/>
      <c r="D2303" s="92" t="s">
        <v>121</v>
      </c>
      <c r="E2303" s="80">
        <v>0.0</v>
      </c>
      <c r="F2303" s="80">
        <v>2.0</v>
      </c>
      <c r="G2303" s="80">
        <v>1.0</v>
      </c>
      <c r="H2303" s="80">
        <v>0.0</v>
      </c>
      <c r="I2303" s="80">
        <v>5.0</v>
      </c>
      <c r="J2303" s="32"/>
      <c r="K2303" s="32">
        <f t="shared" si="95"/>
        <v>2500</v>
      </c>
      <c r="L2303" s="32"/>
      <c r="M2303" s="32"/>
      <c r="N2303" s="32"/>
      <c r="O2303" s="14"/>
      <c r="P2303" s="14"/>
    </row>
    <row r="2304" hidden="1">
      <c r="A2304" s="34" t="s">
        <v>341</v>
      </c>
      <c r="B2304" s="92" t="s">
        <v>267</v>
      </c>
      <c r="C2304" s="92"/>
      <c r="D2304" s="92" t="s">
        <v>269</v>
      </c>
      <c r="E2304" s="80">
        <v>0.0</v>
      </c>
      <c r="F2304" s="80">
        <v>3.0</v>
      </c>
      <c r="G2304" s="80">
        <v>0.0</v>
      </c>
      <c r="H2304" s="80">
        <v>6.0</v>
      </c>
      <c r="I2304" s="80">
        <v>5.0</v>
      </c>
      <c r="J2304" s="32"/>
      <c r="K2304" s="32">
        <f t="shared" si="95"/>
        <v>4250</v>
      </c>
      <c r="L2304" s="32"/>
      <c r="M2304" s="32"/>
      <c r="N2304" s="32"/>
      <c r="O2304" s="14"/>
      <c r="P2304" s="14"/>
    </row>
    <row r="2305" hidden="1">
      <c r="A2305" s="34" t="s">
        <v>341</v>
      </c>
      <c r="B2305" s="92" t="s">
        <v>275</v>
      </c>
      <c r="C2305" s="92"/>
      <c r="D2305" s="92" t="s">
        <v>277</v>
      </c>
      <c r="E2305" s="80">
        <v>0.0</v>
      </c>
      <c r="F2305" s="80">
        <v>2.0</v>
      </c>
      <c r="G2305" s="80">
        <v>0.0</v>
      </c>
      <c r="H2305" s="80">
        <v>5.0</v>
      </c>
      <c r="I2305" s="80">
        <v>5.0</v>
      </c>
      <c r="J2305" s="32"/>
      <c r="K2305" s="32">
        <f t="shared" si="95"/>
        <v>3500</v>
      </c>
      <c r="L2305" s="32"/>
      <c r="M2305" s="32"/>
      <c r="N2305" s="32"/>
      <c r="O2305" s="14"/>
      <c r="P2305" s="14"/>
    </row>
    <row r="2306" hidden="1">
      <c r="A2306" s="34" t="s">
        <v>341</v>
      </c>
      <c r="B2306" s="92" t="s">
        <v>122</v>
      </c>
      <c r="C2306" s="91"/>
      <c r="D2306" s="91" t="s">
        <v>124</v>
      </c>
      <c r="E2306" s="80">
        <v>0.0</v>
      </c>
      <c r="F2306" s="80">
        <v>3.0</v>
      </c>
      <c r="G2306" s="80">
        <v>0.0</v>
      </c>
      <c r="H2306" s="80">
        <v>2.0</v>
      </c>
      <c r="I2306" s="80">
        <v>5.0</v>
      </c>
      <c r="J2306" s="32"/>
      <c r="K2306" s="32">
        <f t="shared" si="95"/>
        <v>3250</v>
      </c>
      <c r="L2306" s="32"/>
      <c r="M2306" s="32"/>
      <c r="N2306" s="32"/>
      <c r="O2306" s="14"/>
      <c r="P2306" s="14"/>
    </row>
    <row r="2307" hidden="1">
      <c r="A2307" s="34" t="s">
        <v>341</v>
      </c>
      <c r="B2307" s="92" t="s">
        <v>125</v>
      </c>
      <c r="C2307" s="92"/>
      <c r="D2307" s="92" t="s">
        <v>127</v>
      </c>
      <c r="E2307" s="80">
        <v>0.0</v>
      </c>
      <c r="F2307" s="80">
        <v>2.0</v>
      </c>
      <c r="G2307" s="80">
        <v>0.0</v>
      </c>
      <c r="H2307" s="80">
        <v>2.0</v>
      </c>
      <c r="I2307" s="80">
        <v>5.0</v>
      </c>
      <c r="J2307" s="32"/>
      <c r="K2307" s="32">
        <f t="shared" si="95"/>
        <v>2750</v>
      </c>
      <c r="L2307" s="32"/>
      <c r="M2307" s="32"/>
      <c r="N2307" s="32"/>
      <c r="O2307" s="14"/>
      <c r="P2307" s="14"/>
    </row>
    <row r="2308" hidden="1">
      <c r="A2308" s="34" t="s">
        <v>341</v>
      </c>
      <c r="B2308" s="92" t="s">
        <v>128</v>
      </c>
      <c r="C2308" s="92"/>
      <c r="D2308" s="92" t="s">
        <v>130</v>
      </c>
      <c r="E2308" s="80">
        <v>0.0</v>
      </c>
      <c r="F2308" s="80">
        <v>9.0</v>
      </c>
      <c r="G2308" s="80">
        <v>0.0</v>
      </c>
      <c r="H2308" s="80">
        <v>0.0</v>
      </c>
      <c r="I2308" s="80">
        <v>5.0</v>
      </c>
      <c r="J2308" s="32"/>
      <c r="K2308" s="32">
        <f t="shared" si="95"/>
        <v>5750</v>
      </c>
      <c r="L2308" s="32"/>
      <c r="M2308" s="32"/>
      <c r="N2308" s="32"/>
      <c r="O2308" s="14"/>
      <c r="P2308" s="14"/>
    </row>
    <row r="2309" hidden="1">
      <c r="A2309" s="34" t="s">
        <v>341</v>
      </c>
      <c r="B2309" s="92" t="s">
        <v>131</v>
      </c>
      <c r="C2309" s="92"/>
      <c r="D2309" s="92" t="s">
        <v>133</v>
      </c>
      <c r="E2309" s="80">
        <v>0.0</v>
      </c>
      <c r="F2309" s="80">
        <v>3.0</v>
      </c>
      <c r="G2309" s="80">
        <v>1.0</v>
      </c>
      <c r="H2309" s="80">
        <v>2.0</v>
      </c>
      <c r="I2309" s="80">
        <v>5.0</v>
      </c>
      <c r="J2309" s="32"/>
      <c r="K2309" s="32">
        <f t="shared" si="95"/>
        <v>3500</v>
      </c>
      <c r="L2309" s="32"/>
      <c r="M2309" s="32"/>
      <c r="N2309" s="32"/>
      <c r="O2309" s="14"/>
      <c r="P2309" s="14"/>
    </row>
    <row r="2310" hidden="1">
      <c r="A2310" s="34" t="s">
        <v>341</v>
      </c>
      <c r="B2310" s="92" t="s">
        <v>134</v>
      </c>
      <c r="C2310" s="92"/>
      <c r="D2310" s="92" t="s">
        <v>136</v>
      </c>
      <c r="E2310" s="80">
        <v>0.0</v>
      </c>
      <c r="F2310" s="80">
        <v>4.0</v>
      </c>
      <c r="G2310" s="80">
        <v>0.0</v>
      </c>
      <c r="H2310" s="80">
        <v>5.0</v>
      </c>
      <c r="I2310" s="80">
        <v>5.0</v>
      </c>
      <c r="J2310" s="32"/>
      <c r="K2310" s="32">
        <f t="shared" si="95"/>
        <v>4500</v>
      </c>
      <c r="L2310" s="32"/>
      <c r="M2310" s="32"/>
      <c r="N2310" s="32"/>
      <c r="O2310" s="14"/>
      <c r="P2310" s="14"/>
    </row>
    <row r="2311" hidden="1">
      <c r="A2311" s="34" t="s">
        <v>341</v>
      </c>
      <c r="B2311" s="92" t="s">
        <v>137</v>
      </c>
      <c r="C2311" s="92"/>
      <c r="D2311" s="92" t="s">
        <v>139</v>
      </c>
      <c r="E2311" s="80">
        <v>0.0</v>
      </c>
      <c r="F2311" s="80">
        <v>6.0</v>
      </c>
      <c r="G2311" s="80">
        <v>0.0</v>
      </c>
      <c r="H2311" s="80">
        <v>10.0</v>
      </c>
      <c r="I2311" s="80">
        <v>5.0</v>
      </c>
      <c r="J2311" s="32"/>
      <c r="K2311" s="32">
        <f t="shared" si="95"/>
        <v>6750</v>
      </c>
      <c r="L2311" s="32"/>
      <c r="M2311" s="32"/>
      <c r="N2311" s="32"/>
      <c r="O2311" s="14"/>
      <c r="P2311" s="14"/>
    </row>
    <row r="2312" hidden="1">
      <c r="A2312" s="34" t="s">
        <v>341</v>
      </c>
      <c r="B2312" s="92" t="s">
        <v>278</v>
      </c>
      <c r="C2312" s="92"/>
      <c r="D2312" s="92" t="s">
        <v>280</v>
      </c>
      <c r="E2312" s="80">
        <v>1.0</v>
      </c>
      <c r="F2312" s="80">
        <v>7.0</v>
      </c>
      <c r="G2312" s="80">
        <v>0.0</v>
      </c>
      <c r="H2312" s="80">
        <v>7.0</v>
      </c>
      <c r="I2312" s="80">
        <v>5.0</v>
      </c>
      <c r="J2312" s="32"/>
      <c r="K2312" s="32">
        <f t="shared" si="95"/>
        <v>6750</v>
      </c>
      <c r="L2312" s="32"/>
      <c r="M2312" s="32"/>
      <c r="N2312" s="32"/>
      <c r="O2312" s="14"/>
      <c r="P2312" s="14"/>
    </row>
    <row r="2313" hidden="1">
      <c r="A2313" s="34" t="s">
        <v>341</v>
      </c>
      <c r="B2313" s="92" t="s">
        <v>140</v>
      </c>
      <c r="C2313" s="92"/>
      <c r="D2313" s="92" t="s">
        <v>142</v>
      </c>
      <c r="E2313" s="80">
        <v>3.0</v>
      </c>
      <c r="F2313" s="80">
        <v>0.0</v>
      </c>
      <c r="G2313" s="80">
        <v>0.0</v>
      </c>
      <c r="H2313" s="80">
        <v>16.0</v>
      </c>
      <c r="I2313" s="80">
        <v>5.0</v>
      </c>
      <c r="J2313" s="32"/>
      <c r="K2313" s="32">
        <f t="shared" si="95"/>
        <v>6000</v>
      </c>
      <c r="L2313" s="32"/>
      <c r="M2313" s="32"/>
      <c r="N2313" s="32"/>
      <c r="O2313" s="14"/>
      <c r="P2313" s="14"/>
    </row>
    <row r="2314" hidden="1">
      <c r="A2314" s="34" t="s">
        <v>341</v>
      </c>
      <c r="B2314" s="92" t="s">
        <v>207</v>
      </c>
      <c r="C2314" s="92"/>
      <c r="D2314" s="92" t="s">
        <v>281</v>
      </c>
      <c r="E2314" s="80">
        <v>0.0</v>
      </c>
      <c r="F2314" s="80">
        <v>2.0</v>
      </c>
      <c r="G2314" s="80">
        <v>1.0</v>
      </c>
      <c r="H2314" s="80">
        <v>5.0</v>
      </c>
      <c r="I2314" s="80">
        <v>4.0</v>
      </c>
      <c r="J2314" s="32"/>
      <c r="K2314" s="32">
        <f t="shared" si="95"/>
        <v>3500</v>
      </c>
      <c r="L2314" s="32"/>
      <c r="M2314" s="32"/>
      <c r="N2314" s="32"/>
      <c r="O2314" s="14"/>
      <c r="P2314" s="14"/>
    </row>
    <row r="2315" hidden="1">
      <c r="A2315" s="34" t="s">
        <v>341</v>
      </c>
      <c r="B2315" s="92" t="s">
        <v>282</v>
      </c>
      <c r="C2315" s="92"/>
      <c r="D2315" s="92" t="s">
        <v>284</v>
      </c>
      <c r="E2315" s="80">
        <v>0.0</v>
      </c>
      <c r="F2315" s="80">
        <v>1.0</v>
      </c>
      <c r="G2315" s="80">
        <v>0.0</v>
      </c>
      <c r="H2315" s="80">
        <v>11.0</v>
      </c>
      <c r="I2315" s="80">
        <v>4.0</v>
      </c>
      <c r="J2315" s="32"/>
      <c r="K2315" s="32">
        <f t="shared" si="95"/>
        <v>4250</v>
      </c>
      <c r="L2315" s="32"/>
      <c r="M2315" s="32"/>
      <c r="N2315" s="32"/>
      <c r="O2315" s="14"/>
      <c r="P2315" s="14"/>
    </row>
    <row r="2316" hidden="1">
      <c r="A2316" s="34" t="s">
        <v>341</v>
      </c>
      <c r="B2316" s="92" t="s">
        <v>285</v>
      </c>
      <c r="C2316" s="92"/>
      <c r="D2316" s="92" t="s">
        <v>287</v>
      </c>
      <c r="E2316" s="80">
        <v>0.0</v>
      </c>
      <c r="F2316" s="80">
        <v>1.0</v>
      </c>
      <c r="G2316" s="80">
        <v>1.0</v>
      </c>
      <c r="H2316" s="80">
        <v>4.0</v>
      </c>
      <c r="I2316" s="80">
        <v>5.0</v>
      </c>
      <c r="J2316" s="32"/>
      <c r="K2316" s="32">
        <f t="shared" si="95"/>
        <v>3000</v>
      </c>
      <c r="L2316" s="32"/>
      <c r="M2316" s="32"/>
      <c r="N2316" s="32"/>
      <c r="O2316" s="14"/>
      <c r="P2316" s="14"/>
    </row>
    <row r="2317" hidden="1">
      <c r="A2317" s="34" t="s">
        <v>341</v>
      </c>
      <c r="B2317" s="92" t="s">
        <v>143</v>
      </c>
      <c r="C2317" s="92"/>
      <c r="D2317" s="92" t="s">
        <v>145</v>
      </c>
      <c r="E2317" s="80">
        <v>0.0</v>
      </c>
      <c r="F2317" s="80">
        <v>0.0</v>
      </c>
      <c r="G2317" s="80">
        <v>0.0</v>
      </c>
      <c r="H2317" s="80">
        <v>7.0</v>
      </c>
      <c r="I2317" s="80">
        <v>5.0</v>
      </c>
      <c r="J2317" s="32"/>
      <c r="K2317" s="32">
        <f t="shared" si="95"/>
        <v>3000</v>
      </c>
      <c r="L2317" s="32"/>
      <c r="M2317" s="32"/>
      <c r="N2317" s="32"/>
      <c r="O2317" s="14"/>
      <c r="P2317" s="14"/>
    </row>
    <row r="2318" hidden="1">
      <c r="A2318" s="34" t="s">
        <v>341</v>
      </c>
      <c r="B2318" s="92" t="s">
        <v>146</v>
      </c>
      <c r="C2318" s="92"/>
      <c r="D2318" s="92" t="s">
        <v>148</v>
      </c>
      <c r="E2318" s="80">
        <v>0.0</v>
      </c>
      <c r="F2318" s="80">
        <v>2.0</v>
      </c>
      <c r="G2318" s="80">
        <v>0.0</v>
      </c>
      <c r="H2318" s="80">
        <v>7.0</v>
      </c>
      <c r="I2318" s="80">
        <v>4.0</v>
      </c>
      <c r="J2318" s="32"/>
      <c r="K2318" s="32">
        <f t="shared" si="95"/>
        <v>3750</v>
      </c>
      <c r="L2318" s="32"/>
      <c r="M2318" s="32"/>
      <c r="N2318" s="32"/>
      <c r="O2318" s="14"/>
      <c r="P2318" s="14"/>
    </row>
    <row r="2319" hidden="1">
      <c r="A2319" s="34" t="s">
        <v>341</v>
      </c>
      <c r="B2319" s="92" t="s">
        <v>245</v>
      </c>
      <c r="C2319" s="92"/>
      <c r="D2319" s="92" t="s">
        <v>247</v>
      </c>
      <c r="E2319" s="80">
        <v>0.0</v>
      </c>
      <c r="F2319" s="80">
        <v>0.0</v>
      </c>
      <c r="G2319" s="80">
        <v>0.0</v>
      </c>
      <c r="H2319" s="80">
        <v>12.0</v>
      </c>
      <c r="I2319" s="80">
        <v>5.0</v>
      </c>
      <c r="J2319" s="32"/>
      <c r="K2319" s="32">
        <f t="shared" si="95"/>
        <v>4250</v>
      </c>
      <c r="L2319" s="32"/>
      <c r="M2319" s="32"/>
      <c r="N2319" s="32"/>
      <c r="O2319" s="14"/>
      <c r="P2319" s="14"/>
    </row>
    <row r="2320" hidden="1">
      <c r="A2320" s="34" t="s">
        <v>341</v>
      </c>
      <c r="B2320" s="92" t="s">
        <v>210</v>
      </c>
      <c r="C2320" s="92"/>
      <c r="D2320" s="92" t="s">
        <v>212</v>
      </c>
      <c r="E2320" s="80">
        <v>0.0</v>
      </c>
      <c r="F2320" s="80">
        <v>1.0</v>
      </c>
      <c r="G2320" s="80">
        <v>0.0</v>
      </c>
      <c r="H2320" s="80">
        <v>0.0</v>
      </c>
      <c r="I2320" s="80">
        <v>5.0</v>
      </c>
      <c r="J2320" s="32"/>
      <c r="K2320" s="32">
        <f t="shared" si="95"/>
        <v>1750</v>
      </c>
      <c r="L2320" s="32"/>
      <c r="M2320" s="32"/>
      <c r="N2320" s="32"/>
      <c r="O2320" s="14"/>
      <c r="P2320" s="14"/>
    </row>
    <row r="2321" hidden="1">
      <c r="A2321" s="34" t="s">
        <v>341</v>
      </c>
      <c r="B2321" s="92" t="s">
        <v>149</v>
      </c>
      <c r="C2321" s="92"/>
      <c r="D2321" s="92" t="s">
        <v>151</v>
      </c>
      <c r="E2321" s="80">
        <v>0.0</v>
      </c>
      <c r="F2321" s="80">
        <v>1.0</v>
      </c>
      <c r="G2321" s="80">
        <v>0.0</v>
      </c>
      <c r="H2321" s="80">
        <v>3.0</v>
      </c>
      <c r="I2321" s="80">
        <v>5.0</v>
      </c>
      <c r="J2321" s="32"/>
      <c r="K2321" s="32">
        <f t="shared" si="95"/>
        <v>2500</v>
      </c>
      <c r="L2321" s="32"/>
      <c r="M2321" s="32"/>
      <c r="N2321" s="32"/>
      <c r="O2321" s="14"/>
      <c r="P2321" s="14"/>
    </row>
    <row r="2322" hidden="1">
      <c r="A2322" s="34" t="s">
        <v>341</v>
      </c>
      <c r="B2322" s="92" t="s">
        <v>288</v>
      </c>
      <c r="C2322" s="92"/>
      <c r="D2322" s="92" t="s">
        <v>290</v>
      </c>
      <c r="E2322" s="80">
        <v>0.0</v>
      </c>
      <c r="F2322" s="80">
        <v>0.0</v>
      </c>
      <c r="G2322" s="80">
        <v>0.0</v>
      </c>
      <c r="H2322" s="80">
        <v>1.0</v>
      </c>
      <c r="I2322" s="80">
        <v>4.0</v>
      </c>
      <c r="J2322" s="32"/>
      <c r="K2322" s="32">
        <f t="shared" si="95"/>
        <v>1250</v>
      </c>
      <c r="L2322" s="32"/>
      <c r="M2322" s="32"/>
      <c r="N2322" s="32"/>
      <c r="O2322" s="14"/>
      <c r="P2322" s="14"/>
    </row>
    <row r="2323" hidden="1">
      <c r="A2323" s="34" t="s">
        <v>341</v>
      </c>
      <c r="B2323" s="92" t="s">
        <v>152</v>
      </c>
      <c r="C2323" s="92"/>
      <c r="D2323" s="92" t="s">
        <v>154</v>
      </c>
      <c r="E2323" s="80">
        <v>1.0</v>
      </c>
      <c r="F2323" s="80">
        <v>2.0</v>
      </c>
      <c r="G2323" s="80">
        <v>3.0</v>
      </c>
      <c r="H2323" s="80">
        <v>8.0</v>
      </c>
      <c r="I2323" s="80">
        <v>5.0</v>
      </c>
      <c r="J2323" s="32"/>
      <c r="K2323" s="32">
        <f t="shared" si="95"/>
        <v>5250</v>
      </c>
      <c r="L2323" s="32"/>
      <c r="M2323" s="32"/>
      <c r="N2323" s="32"/>
      <c r="O2323" s="14"/>
      <c r="P2323" s="14"/>
    </row>
    <row r="2324" hidden="1">
      <c r="A2324" s="34" t="s">
        <v>341</v>
      </c>
      <c r="B2324" s="92" t="s">
        <v>155</v>
      </c>
      <c r="C2324" s="92"/>
      <c r="D2324" s="92" t="s">
        <v>157</v>
      </c>
      <c r="E2324" s="80">
        <v>0.0</v>
      </c>
      <c r="F2324" s="80">
        <v>2.0</v>
      </c>
      <c r="G2324" s="80">
        <v>0.0</v>
      </c>
      <c r="H2324" s="80">
        <v>13.0</v>
      </c>
      <c r="I2324" s="80">
        <v>5.0</v>
      </c>
      <c r="J2324" s="32"/>
      <c r="K2324" s="32">
        <f t="shared" si="95"/>
        <v>5500</v>
      </c>
      <c r="L2324" s="32"/>
      <c r="M2324" s="32"/>
      <c r="N2324" s="32"/>
      <c r="O2324" s="14"/>
      <c r="P2324" s="14"/>
    </row>
    <row r="2325" hidden="1">
      <c r="A2325" s="34" t="s">
        <v>341</v>
      </c>
      <c r="B2325" s="92" t="s">
        <v>158</v>
      </c>
      <c r="C2325" s="92"/>
      <c r="D2325" s="92" t="s">
        <v>160</v>
      </c>
      <c r="E2325" s="80">
        <v>0.0</v>
      </c>
      <c r="F2325" s="80">
        <v>1.0</v>
      </c>
      <c r="G2325" s="80">
        <v>0.0</v>
      </c>
      <c r="H2325" s="80">
        <v>12.0</v>
      </c>
      <c r="I2325" s="80">
        <v>4.0</v>
      </c>
      <c r="J2325" s="32"/>
      <c r="K2325" s="32">
        <f t="shared" si="95"/>
        <v>4500</v>
      </c>
      <c r="L2325" s="32"/>
      <c r="M2325" s="32"/>
      <c r="N2325" s="32"/>
      <c r="O2325" s="14"/>
      <c r="P2325" s="14"/>
    </row>
    <row r="2326" hidden="1">
      <c r="A2326" s="34" t="s">
        <v>341</v>
      </c>
      <c r="B2326" s="93" t="s">
        <v>161</v>
      </c>
      <c r="C2326" s="93"/>
      <c r="D2326" s="93" t="s">
        <v>163</v>
      </c>
      <c r="E2326" s="80">
        <v>0.0</v>
      </c>
      <c r="F2326" s="80">
        <v>1.0</v>
      </c>
      <c r="G2326" s="80">
        <v>0.0</v>
      </c>
      <c r="H2326" s="80">
        <v>6.0</v>
      </c>
      <c r="I2326" s="80">
        <v>4.0</v>
      </c>
      <c r="J2326" s="32"/>
      <c r="K2326" s="32">
        <f t="shared" si="95"/>
        <v>3000</v>
      </c>
      <c r="L2326" s="32"/>
      <c r="M2326" s="32"/>
      <c r="N2326" s="32"/>
      <c r="O2326" s="14"/>
      <c r="P2326" s="14"/>
    </row>
    <row r="2327" hidden="1">
      <c r="A2327" s="34" t="s">
        <v>341</v>
      </c>
      <c r="B2327" s="93" t="s">
        <v>164</v>
      </c>
      <c r="C2327" s="93"/>
      <c r="D2327" s="93" t="s">
        <v>166</v>
      </c>
      <c r="E2327" s="80">
        <v>0.0</v>
      </c>
      <c r="F2327" s="80">
        <v>2.0</v>
      </c>
      <c r="G2327" s="80">
        <v>5.0</v>
      </c>
      <c r="H2327" s="80">
        <v>12.0</v>
      </c>
      <c r="I2327" s="80">
        <v>5.0</v>
      </c>
      <c r="J2327" s="32"/>
      <c r="K2327" s="32">
        <f t="shared" si="95"/>
        <v>6500</v>
      </c>
      <c r="L2327" s="32"/>
      <c r="M2327" s="32"/>
      <c r="N2327" s="32"/>
      <c r="O2327" s="14"/>
      <c r="P2327" s="14"/>
    </row>
    <row r="2328" hidden="1">
      <c r="A2328" s="34" t="s">
        <v>341</v>
      </c>
      <c r="B2328" s="93" t="s">
        <v>167</v>
      </c>
      <c r="C2328" s="93"/>
      <c r="D2328" s="93" t="s">
        <v>169</v>
      </c>
      <c r="E2328" s="80">
        <v>0.0</v>
      </c>
      <c r="F2328" s="80">
        <v>9.0</v>
      </c>
      <c r="G2328" s="80">
        <v>0.0</v>
      </c>
      <c r="H2328" s="80">
        <v>0.0</v>
      </c>
      <c r="I2328" s="80">
        <v>3.0</v>
      </c>
      <c r="J2328" s="32"/>
      <c r="K2328" s="32">
        <f t="shared" si="95"/>
        <v>5250</v>
      </c>
      <c r="L2328" s="32"/>
      <c r="M2328" s="32"/>
      <c r="N2328" s="32"/>
      <c r="O2328" s="14"/>
      <c r="P2328" s="14"/>
    </row>
    <row r="2329" hidden="1">
      <c r="A2329" s="34" t="s">
        <v>341</v>
      </c>
      <c r="B2329" s="93" t="s">
        <v>170</v>
      </c>
      <c r="C2329" s="93"/>
      <c r="D2329" s="93" t="s">
        <v>172</v>
      </c>
      <c r="E2329" s="80">
        <v>0.0</v>
      </c>
      <c r="F2329" s="80">
        <v>4.0</v>
      </c>
      <c r="G2329" s="80">
        <v>0.0</v>
      </c>
      <c r="H2329" s="80">
        <v>5.0</v>
      </c>
      <c r="I2329" s="80">
        <v>5.0</v>
      </c>
      <c r="J2329" s="32"/>
      <c r="K2329" s="32">
        <f t="shared" si="95"/>
        <v>4500</v>
      </c>
      <c r="L2329" s="32"/>
      <c r="M2329" s="32"/>
      <c r="N2329" s="32"/>
      <c r="O2329" s="14"/>
      <c r="P2329" s="14"/>
    </row>
    <row r="2330" hidden="1">
      <c r="A2330" s="34" t="s">
        <v>341</v>
      </c>
      <c r="B2330" s="92" t="s">
        <v>173</v>
      </c>
      <c r="C2330" s="92"/>
      <c r="D2330" s="92" t="s">
        <v>175</v>
      </c>
      <c r="E2330" s="80">
        <v>0.0</v>
      </c>
      <c r="F2330" s="80">
        <v>5.0</v>
      </c>
      <c r="G2330" s="80">
        <v>3.0</v>
      </c>
      <c r="H2330" s="80">
        <v>7.0</v>
      </c>
      <c r="I2330" s="80">
        <v>0.0</v>
      </c>
      <c r="J2330" s="32"/>
      <c r="K2330" s="32">
        <f t="shared" si="95"/>
        <v>5000</v>
      </c>
      <c r="L2330" s="32"/>
      <c r="M2330" s="32"/>
      <c r="N2330" s="32"/>
      <c r="O2330" s="14"/>
      <c r="P2330" s="14"/>
    </row>
    <row r="2331" hidden="1">
      <c r="A2331" s="34" t="s">
        <v>341</v>
      </c>
      <c r="B2331" s="92" t="s">
        <v>176</v>
      </c>
      <c r="C2331" s="92"/>
      <c r="D2331" s="92" t="s">
        <v>178</v>
      </c>
      <c r="E2331" s="80">
        <v>1.0</v>
      </c>
      <c r="F2331" s="80">
        <v>3.0</v>
      </c>
      <c r="G2331" s="80">
        <v>1.0</v>
      </c>
      <c r="H2331" s="80">
        <v>11.0</v>
      </c>
      <c r="I2331" s="80">
        <v>5.0</v>
      </c>
      <c r="J2331" s="32"/>
      <c r="K2331" s="32">
        <f t="shared" si="95"/>
        <v>6000</v>
      </c>
      <c r="L2331" s="32"/>
      <c r="M2331" s="32"/>
      <c r="N2331" s="32"/>
      <c r="O2331" s="14"/>
      <c r="P2331" s="14"/>
    </row>
    <row r="2332" hidden="1">
      <c r="A2332" s="34" t="s">
        <v>341</v>
      </c>
      <c r="B2332" s="94" t="s">
        <v>291</v>
      </c>
      <c r="C2332" s="94"/>
      <c r="D2332" s="94" t="s">
        <v>293</v>
      </c>
      <c r="E2332" s="80">
        <v>6.0</v>
      </c>
      <c r="F2332" s="80">
        <v>0.0</v>
      </c>
      <c r="G2332" s="85">
        <v>0.0</v>
      </c>
      <c r="H2332" s="85">
        <v>0.0</v>
      </c>
      <c r="I2332" s="85">
        <v>1.0</v>
      </c>
      <c r="J2332" s="32"/>
      <c r="K2332" s="32">
        <f t="shared" si="95"/>
        <v>1750</v>
      </c>
      <c r="L2332" s="32"/>
      <c r="M2332" s="32"/>
      <c r="N2332" s="32"/>
      <c r="O2332" s="23"/>
      <c r="P2332" s="23"/>
    </row>
    <row r="2333" hidden="1">
      <c r="A2333" s="34" t="s">
        <v>341</v>
      </c>
      <c r="B2333" s="94" t="s">
        <v>294</v>
      </c>
      <c r="C2333" s="94"/>
      <c r="D2333" s="94" t="s">
        <v>296</v>
      </c>
      <c r="E2333" s="80">
        <v>3.0</v>
      </c>
      <c r="F2333" s="80">
        <v>0.0</v>
      </c>
      <c r="G2333" s="85">
        <v>0.0</v>
      </c>
      <c r="H2333" s="85">
        <v>0.0</v>
      </c>
      <c r="I2333" s="85">
        <v>0.0</v>
      </c>
      <c r="J2333" s="32"/>
      <c r="K2333" s="32">
        <f t="shared" si="95"/>
        <v>750</v>
      </c>
      <c r="L2333" s="32"/>
      <c r="M2333" s="32"/>
      <c r="N2333" s="32"/>
      <c r="O2333" s="23"/>
      <c r="P2333" s="23"/>
    </row>
    <row r="2334" hidden="1">
      <c r="A2334" s="34" t="s">
        <v>341</v>
      </c>
      <c r="B2334" s="95" t="s">
        <v>333</v>
      </c>
      <c r="C2334" s="94"/>
      <c r="D2334" s="94" t="s">
        <v>334</v>
      </c>
      <c r="E2334" s="80">
        <v>3.0</v>
      </c>
      <c r="F2334" s="80">
        <v>0.0</v>
      </c>
      <c r="G2334" s="85">
        <v>0.0</v>
      </c>
      <c r="H2334" s="85">
        <v>5.0</v>
      </c>
      <c r="I2334" s="85">
        <v>0.0</v>
      </c>
      <c r="J2334" s="32"/>
      <c r="K2334" s="32">
        <f t="shared" si="95"/>
        <v>2000</v>
      </c>
      <c r="L2334" s="32"/>
      <c r="M2334" s="32"/>
      <c r="N2334" s="32"/>
      <c r="O2334" s="23"/>
      <c r="P2334" s="23"/>
    </row>
    <row r="2335" hidden="1">
      <c r="A2335" s="34" t="s">
        <v>341</v>
      </c>
      <c r="B2335" s="94" t="s">
        <v>179</v>
      </c>
      <c r="C2335" s="94"/>
      <c r="D2335" s="94" t="s">
        <v>181</v>
      </c>
      <c r="E2335" s="80">
        <v>0.0</v>
      </c>
      <c r="F2335" s="80">
        <v>0.0</v>
      </c>
      <c r="G2335" s="85">
        <v>1.0</v>
      </c>
      <c r="H2335" s="85">
        <v>3.0</v>
      </c>
      <c r="I2335" s="85">
        <v>1.0</v>
      </c>
      <c r="J2335" s="32"/>
      <c r="K2335" s="32">
        <f t="shared" si="95"/>
        <v>1250</v>
      </c>
      <c r="L2335" s="32"/>
      <c r="M2335" s="32"/>
      <c r="N2335" s="32"/>
      <c r="O2335" s="23"/>
      <c r="P2335" s="23"/>
    </row>
    <row r="2336" hidden="1">
      <c r="A2336" s="34" t="s">
        <v>342</v>
      </c>
      <c r="B2336" s="92" t="s">
        <v>216</v>
      </c>
      <c r="C2336" s="92"/>
      <c r="D2336" s="92" t="s">
        <v>274</v>
      </c>
      <c r="E2336" s="80">
        <v>0.0</v>
      </c>
      <c r="F2336" s="80">
        <v>4.0</v>
      </c>
      <c r="G2336" s="80">
        <v>7.0</v>
      </c>
      <c r="H2336" s="80">
        <v>19.0</v>
      </c>
      <c r="I2336" s="80">
        <v>5.0</v>
      </c>
      <c r="J2336" s="32"/>
      <c r="K2336" s="32">
        <f t="shared" si="95"/>
        <v>9750</v>
      </c>
      <c r="L2336" s="32"/>
      <c r="M2336" s="32"/>
      <c r="N2336" s="32"/>
      <c r="O2336" s="14"/>
      <c r="P2336" s="14"/>
    </row>
    <row r="2337" hidden="1">
      <c r="A2337" s="34" t="s">
        <v>342</v>
      </c>
      <c r="B2337" s="92" t="s">
        <v>119</v>
      </c>
      <c r="C2337" s="92"/>
      <c r="D2337" s="92" t="s">
        <v>121</v>
      </c>
      <c r="E2337" s="80">
        <v>1.0</v>
      </c>
      <c r="F2337" s="80">
        <v>7.0</v>
      </c>
      <c r="G2337" s="80">
        <v>0.0</v>
      </c>
      <c r="H2337" s="80">
        <v>0.0</v>
      </c>
      <c r="I2337" s="80">
        <v>4.0</v>
      </c>
      <c r="J2337" s="32"/>
      <c r="K2337" s="32">
        <f t="shared" si="95"/>
        <v>4750</v>
      </c>
      <c r="L2337" s="32"/>
      <c r="M2337" s="32"/>
      <c r="N2337" s="32"/>
      <c r="O2337" s="14"/>
      <c r="P2337" s="14"/>
    </row>
    <row r="2338" hidden="1">
      <c r="A2338" s="34" t="s">
        <v>342</v>
      </c>
      <c r="B2338" s="92" t="s">
        <v>267</v>
      </c>
      <c r="C2338" s="92"/>
      <c r="D2338" s="92" t="s">
        <v>269</v>
      </c>
      <c r="E2338" s="80">
        <v>1.0</v>
      </c>
      <c r="F2338" s="80">
        <v>3.0</v>
      </c>
      <c r="G2338" s="80">
        <v>0.0</v>
      </c>
      <c r="H2338" s="80">
        <v>16.0</v>
      </c>
      <c r="I2338" s="80">
        <v>5.0</v>
      </c>
      <c r="J2338" s="32"/>
      <c r="K2338" s="32">
        <f t="shared" si="95"/>
        <v>7000</v>
      </c>
      <c r="L2338" s="32"/>
      <c r="M2338" s="32"/>
      <c r="N2338" s="32"/>
      <c r="O2338" s="14"/>
      <c r="P2338" s="14"/>
    </row>
    <row r="2339" hidden="1">
      <c r="A2339" s="34" t="s">
        <v>342</v>
      </c>
      <c r="B2339" s="92" t="s">
        <v>275</v>
      </c>
      <c r="C2339" s="92"/>
      <c r="D2339" s="92" t="s">
        <v>277</v>
      </c>
      <c r="E2339" s="80">
        <v>0.0</v>
      </c>
      <c r="F2339" s="80">
        <v>6.0</v>
      </c>
      <c r="G2339" s="80">
        <v>1.0</v>
      </c>
      <c r="H2339" s="80">
        <v>12.0</v>
      </c>
      <c r="I2339" s="80">
        <v>5.0</v>
      </c>
      <c r="J2339" s="32"/>
      <c r="K2339" s="32">
        <f t="shared" si="95"/>
        <v>7500</v>
      </c>
      <c r="L2339" s="32"/>
      <c r="M2339" s="32"/>
      <c r="N2339" s="32"/>
      <c r="O2339" s="14"/>
      <c r="P2339" s="14"/>
    </row>
    <row r="2340" hidden="1">
      <c r="A2340" s="34" t="s">
        <v>342</v>
      </c>
      <c r="B2340" s="92" t="s">
        <v>122</v>
      </c>
      <c r="C2340" s="92"/>
      <c r="D2340" s="92" t="s">
        <v>343</v>
      </c>
      <c r="E2340" s="80">
        <v>0.0</v>
      </c>
      <c r="F2340" s="80">
        <v>3.0</v>
      </c>
      <c r="G2340" s="80">
        <v>2.0</v>
      </c>
      <c r="H2340" s="80">
        <v>3.0</v>
      </c>
      <c r="I2340" s="80">
        <v>4.0</v>
      </c>
      <c r="J2340" s="32"/>
      <c r="K2340" s="32">
        <f t="shared" si="95"/>
        <v>3750</v>
      </c>
      <c r="L2340" s="32"/>
      <c r="M2340" s="32"/>
      <c r="N2340" s="32"/>
      <c r="O2340" s="14"/>
      <c r="P2340" s="14"/>
    </row>
    <row r="2341" hidden="1">
      <c r="A2341" s="34" t="s">
        <v>342</v>
      </c>
      <c r="B2341" s="92" t="s">
        <v>125</v>
      </c>
      <c r="C2341" s="92"/>
      <c r="D2341" s="92" t="s">
        <v>127</v>
      </c>
      <c r="E2341" s="80">
        <v>0.0</v>
      </c>
      <c r="F2341" s="80">
        <v>5.0</v>
      </c>
      <c r="G2341" s="80">
        <v>0.0</v>
      </c>
      <c r="H2341" s="80">
        <v>0.0</v>
      </c>
      <c r="I2341" s="80">
        <v>5.0</v>
      </c>
      <c r="J2341" s="32"/>
      <c r="K2341" s="32">
        <f t="shared" si="95"/>
        <v>3750</v>
      </c>
      <c r="L2341" s="32"/>
      <c r="M2341" s="32"/>
      <c r="N2341" s="32"/>
      <c r="O2341" s="14"/>
      <c r="P2341" s="14"/>
    </row>
    <row r="2342" hidden="1">
      <c r="A2342" s="34" t="s">
        <v>342</v>
      </c>
      <c r="B2342" s="92" t="s">
        <v>128</v>
      </c>
      <c r="C2342" s="92"/>
      <c r="D2342" s="92" t="s">
        <v>130</v>
      </c>
      <c r="E2342" s="80">
        <v>0.0</v>
      </c>
      <c r="F2342" s="80">
        <v>0.0</v>
      </c>
      <c r="G2342" s="80">
        <v>1.0</v>
      </c>
      <c r="H2342" s="80">
        <v>1.0</v>
      </c>
      <c r="I2342" s="80">
        <v>3.0</v>
      </c>
      <c r="J2342" s="32"/>
      <c r="K2342" s="32">
        <f t="shared" si="95"/>
        <v>1250</v>
      </c>
      <c r="L2342" s="32"/>
      <c r="M2342" s="32"/>
      <c r="N2342" s="32"/>
      <c r="O2342" s="14"/>
      <c r="P2342" s="14"/>
    </row>
    <row r="2343" hidden="1">
      <c r="A2343" s="34" t="s">
        <v>342</v>
      </c>
      <c r="B2343" s="92" t="s">
        <v>131</v>
      </c>
      <c r="C2343" s="92"/>
      <c r="D2343" s="92" t="s">
        <v>133</v>
      </c>
      <c r="E2343" s="80">
        <v>0.0</v>
      </c>
      <c r="F2343" s="80">
        <v>5.0</v>
      </c>
      <c r="G2343" s="80">
        <v>0.0</v>
      </c>
      <c r="H2343" s="80">
        <v>8.0</v>
      </c>
      <c r="I2343" s="80">
        <v>5.0</v>
      </c>
      <c r="J2343" s="32"/>
      <c r="K2343" s="32">
        <f t="shared" si="95"/>
        <v>5750</v>
      </c>
      <c r="L2343" s="32"/>
      <c r="M2343" s="32"/>
      <c r="N2343" s="32"/>
      <c r="O2343" s="14"/>
      <c r="P2343" s="14"/>
    </row>
    <row r="2344" hidden="1">
      <c r="A2344" s="34" t="s">
        <v>342</v>
      </c>
      <c r="B2344" s="92" t="s">
        <v>134</v>
      </c>
      <c r="C2344" s="92"/>
      <c r="D2344" s="92" t="s">
        <v>136</v>
      </c>
      <c r="E2344" s="80">
        <v>0.0</v>
      </c>
      <c r="F2344" s="80">
        <v>1.0</v>
      </c>
      <c r="G2344" s="80">
        <v>0.0</v>
      </c>
      <c r="H2344" s="80">
        <v>4.0</v>
      </c>
      <c r="I2344" s="80">
        <v>5.0</v>
      </c>
      <c r="J2344" s="32"/>
      <c r="K2344" s="32">
        <f t="shared" si="95"/>
        <v>2750</v>
      </c>
      <c r="L2344" s="32"/>
      <c r="M2344" s="32"/>
      <c r="N2344" s="32"/>
      <c r="O2344" s="14"/>
      <c r="P2344" s="14"/>
    </row>
    <row r="2345" hidden="1">
      <c r="A2345" s="34" t="s">
        <v>342</v>
      </c>
      <c r="B2345" s="92" t="s">
        <v>137</v>
      </c>
      <c r="C2345" s="92"/>
      <c r="D2345" s="92" t="s">
        <v>139</v>
      </c>
      <c r="E2345" s="80">
        <v>0.0</v>
      </c>
      <c r="F2345" s="80">
        <v>7.0</v>
      </c>
      <c r="G2345" s="80">
        <v>3.0</v>
      </c>
      <c r="H2345" s="80">
        <v>4.0</v>
      </c>
      <c r="I2345" s="80">
        <v>5.0</v>
      </c>
      <c r="J2345" s="32"/>
      <c r="K2345" s="32">
        <f t="shared" si="95"/>
        <v>6500</v>
      </c>
      <c r="L2345" s="32"/>
      <c r="M2345" s="32"/>
      <c r="N2345" s="32"/>
      <c r="O2345" s="14"/>
      <c r="P2345" s="14"/>
    </row>
    <row r="2346" hidden="1">
      <c r="A2346" s="34" t="s">
        <v>342</v>
      </c>
      <c r="B2346" s="92" t="s">
        <v>278</v>
      </c>
      <c r="C2346" s="92"/>
      <c r="D2346" s="92" t="s">
        <v>280</v>
      </c>
      <c r="E2346" s="80">
        <v>0.0</v>
      </c>
      <c r="F2346" s="80">
        <v>3.0</v>
      </c>
      <c r="G2346" s="80">
        <v>3.0</v>
      </c>
      <c r="H2346" s="80">
        <v>17.0</v>
      </c>
      <c r="I2346" s="80">
        <v>5.0</v>
      </c>
      <c r="J2346" s="32"/>
      <c r="K2346" s="32">
        <f t="shared" si="95"/>
        <v>7750</v>
      </c>
      <c r="L2346" s="32"/>
      <c r="M2346" s="32"/>
      <c r="N2346" s="32"/>
      <c r="O2346" s="14"/>
      <c r="P2346" s="14"/>
    </row>
    <row r="2347" hidden="1">
      <c r="A2347" s="34" t="s">
        <v>342</v>
      </c>
      <c r="B2347" s="92" t="s">
        <v>140</v>
      </c>
      <c r="C2347" s="92"/>
      <c r="D2347" s="92" t="s">
        <v>142</v>
      </c>
      <c r="E2347" s="80">
        <v>3.0</v>
      </c>
      <c r="F2347" s="80">
        <v>0.0</v>
      </c>
      <c r="G2347" s="80">
        <v>2.0</v>
      </c>
      <c r="H2347" s="80">
        <v>11.0</v>
      </c>
      <c r="I2347" s="80">
        <v>5.0</v>
      </c>
      <c r="J2347" s="32"/>
      <c r="K2347" s="32">
        <f t="shared" si="95"/>
        <v>5250</v>
      </c>
      <c r="L2347" s="32"/>
      <c r="M2347" s="32"/>
      <c r="N2347" s="32"/>
      <c r="O2347" s="14"/>
      <c r="P2347" s="14"/>
    </row>
    <row r="2348" hidden="1">
      <c r="A2348" s="34" t="s">
        <v>342</v>
      </c>
      <c r="B2348" s="92" t="s">
        <v>207</v>
      </c>
      <c r="C2348" s="92"/>
      <c r="D2348" s="92" t="s">
        <v>281</v>
      </c>
      <c r="E2348" s="80">
        <v>0.0</v>
      </c>
      <c r="F2348" s="80">
        <v>0.0</v>
      </c>
      <c r="G2348" s="80">
        <v>2.0</v>
      </c>
      <c r="H2348" s="80">
        <v>8.0</v>
      </c>
      <c r="I2348" s="80">
        <v>5.0</v>
      </c>
      <c r="J2348" s="32"/>
      <c r="K2348" s="32">
        <f t="shared" si="95"/>
        <v>3750</v>
      </c>
      <c r="L2348" s="32"/>
      <c r="M2348" s="32"/>
      <c r="N2348" s="32"/>
      <c r="O2348" s="14"/>
      <c r="P2348" s="14"/>
    </row>
    <row r="2349" hidden="1">
      <c r="A2349" s="34" t="s">
        <v>342</v>
      </c>
      <c r="B2349" s="92" t="s">
        <v>282</v>
      </c>
      <c r="C2349" s="92"/>
      <c r="D2349" s="92" t="s">
        <v>284</v>
      </c>
      <c r="E2349" s="80">
        <v>0.0</v>
      </c>
      <c r="F2349" s="80">
        <v>6.0</v>
      </c>
      <c r="G2349" s="80">
        <v>1.0</v>
      </c>
      <c r="H2349" s="80">
        <v>19.0</v>
      </c>
      <c r="I2349" s="80">
        <v>5.0</v>
      </c>
      <c r="J2349" s="32"/>
      <c r="K2349" s="32">
        <f t="shared" si="95"/>
        <v>9250</v>
      </c>
      <c r="L2349" s="32"/>
      <c r="M2349" s="32"/>
      <c r="N2349" s="32"/>
      <c r="O2349" s="14"/>
      <c r="P2349" s="14"/>
    </row>
    <row r="2350" hidden="1">
      <c r="A2350" s="34" t="s">
        <v>342</v>
      </c>
      <c r="B2350" s="92" t="s">
        <v>285</v>
      </c>
      <c r="C2350" s="92"/>
      <c r="D2350" s="92" t="s">
        <v>287</v>
      </c>
      <c r="E2350" s="80">
        <v>0.0</v>
      </c>
      <c r="F2350" s="80">
        <v>1.0</v>
      </c>
      <c r="G2350" s="80">
        <v>0.0</v>
      </c>
      <c r="H2350" s="80">
        <v>7.0</v>
      </c>
      <c r="I2350" s="80">
        <v>5.0</v>
      </c>
      <c r="J2350" s="32"/>
      <c r="K2350" s="32">
        <f t="shared" si="95"/>
        <v>3500</v>
      </c>
      <c r="L2350" s="32"/>
      <c r="M2350" s="32"/>
      <c r="N2350" s="32"/>
      <c r="O2350" s="14"/>
      <c r="P2350" s="14"/>
    </row>
    <row r="2351" hidden="1">
      <c r="A2351" s="34" t="s">
        <v>342</v>
      </c>
      <c r="B2351" s="92" t="s">
        <v>143</v>
      </c>
      <c r="C2351" s="92"/>
      <c r="D2351" s="92" t="s">
        <v>145</v>
      </c>
      <c r="E2351" s="80">
        <v>0.0</v>
      </c>
      <c r="F2351" s="80">
        <v>1.0</v>
      </c>
      <c r="G2351" s="80">
        <v>0.0</v>
      </c>
      <c r="H2351" s="80">
        <v>11.0</v>
      </c>
      <c r="I2351" s="80">
        <v>4.0</v>
      </c>
      <c r="J2351" s="32"/>
      <c r="K2351" s="32">
        <f t="shared" si="95"/>
        <v>4250</v>
      </c>
      <c r="L2351" s="32"/>
      <c r="M2351" s="32"/>
      <c r="N2351" s="32"/>
      <c r="O2351" s="14"/>
      <c r="P2351" s="14"/>
    </row>
    <row r="2352" hidden="1">
      <c r="A2352" s="34" t="s">
        <v>342</v>
      </c>
      <c r="B2352" s="92" t="s">
        <v>146</v>
      </c>
      <c r="C2352" s="92"/>
      <c r="D2352" s="92" t="s">
        <v>148</v>
      </c>
      <c r="E2352" s="80">
        <v>0.0</v>
      </c>
      <c r="F2352" s="80">
        <v>1.0</v>
      </c>
      <c r="G2352" s="80">
        <v>3.0</v>
      </c>
      <c r="H2352" s="80">
        <v>0.0</v>
      </c>
      <c r="I2352" s="80">
        <v>4.0</v>
      </c>
      <c r="J2352" s="32"/>
      <c r="K2352" s="32">
        <f t="shared" si="95"/>
        <v>2250</v>
      </c>
      <c r="L2352" s="32"/>
      <c r="M2352" s="32"/>
      <c r="N2352" s="32"/>
      <c r="O2352" s="14"/>
      <c r="P2352" s="14"/>
    </row>
    <row r="2353" hidden="1">
      <c r="A2353" s="34" t="s">
        <v>342</v>
      </c>
      <c r="B2353" s="92" t="s">
        <v>245</v>
      </c>
      <c r="C2353" s="92"/>
      <c r="D2353" s="92" t="s">
        <v>247</v>
      </c>
      <c r="E2353" s="80">
        <v>0.0</v>
      </c>
      <c r="F2353" s="80">
        <v>2.0</v>
      </c>
      <c r="G2353" s="80">
        <v>1.0</v>
      </c>
      <c r="H2353" s="80">
        <v>0.0</v>
      </c>
      <c r="I2353" s="80">
        <v>5.0</v>
      </c>
      <c r="J2353" s="32"/>
      <c r="K2353" s="32">
        <f t="shared" si="95"/>
        <v>2500</v>
      </c>
      <c r="L2353" s="32"/>
      <c r="M2353" s="32"/>
      <c r="N2353" s="32"/>
      <c r="O2353" s="14"/>
      <c r="P2353" s="14"/>
    </row>
    <row r="2354" hidden="1">
      <c r="A2354" s="34" t="s">
        <v>342</v>
      </c>
      <c r="B2354" s="92" t="s">
        <v>210</v>
      </c>
      <c r="C2354" s="92"/>
      <c r="D2354" s="92" t="s">
        <v>212</v>
      </c>
      <c r="E2354" s="80">
        <v>0.0</v>
      </c>
      <c r="F2354" s="80">
        <v>0.0</v>
      </c>
      <c r="G2354" s="80">
        <v>0.0</v>
      </c>
      <c r="H2354" s="80">
        <v>2.0</v>
      </c>
      <c r="I2354" s="80">
        <v>4.0</v>
      </c>
      <c r="J2354" s="32"/>
      <c r="K2354" s="32">
        <f t="shared" si="95"/>
        <v>1500</v>
      </c>
      <c r="L2354" s="32"/>
      <c r="M2354" s="32"/>
      <c r="N2354" s="32"/>
      <c r="O2354" s="14"/>
      <c r="P2354" s="14"/>
    </row>
    <row r="2355" hidden="1">
      <c r="A2355" s="34" t="s">
        <v>342</v>
      </c>
      <c r="B2355" s="92" t="s">
        <v>149</v>
      </c>
      <c r="C2355" s="92"/>
      <c r="D2355" s="92" t="s">
        <v>151</v>
      </c>
      <c r="E2355" s="80">
        <v>0.0</v>
      </c>
      <c r="F2355" s="80">
        <v>1.0</v>
      </c>
      <c r="G2355" s="80">
        <v>0.0</v>
      </c>
      <c r="H2355" s="80">
        <v>9.0</v>
      </c>
      <c r="I2355" s="80">
        <v>3.0</v>
      </c>
      <c r="J2355" s="32"/>
      <c r="K2355" s="32">
        <f t="shared" si="95"/>
        <v>3500</v>
      </c>
      <c r="L2355" s="32"/>
      <c r="M2355" s="32"/>
      <c r="N2355" s="32"/>
      <c r="O2355" s="14"/>
      <c r="P2355" s="14"/>
    </row>
    <row r="2356" hidden="1">
      <c r="A2356" s="34" t="s">
        <v>342</v>
      </c>
      <c r="B2356" s="92" t="s">
        <v>288</v>
      </c>
      <c r="C2356" s="92"/>
      <c r="D2356" s="92" t="s">
        <v>290</v>
      </c>
      <c r="E2356" s="80">
        <v>0.0</v>
      </c>
      <c r="F2356" s="80">
        <v>2.0</v>
      </c>
      <c r="G2356" s="80">
        <v>2.0</v>
      </c>
      <c r="H2356" s="80">
        <v>5.0</v>
      </c>
      <c r="I2356" s="80">
        <v>4.0</v>
      </c>
      <c r="J2356" s="32"/>
      <c r="K2356" s="32">
        <f t="shared" si="95"/>
        <v>3750</v>
      </c>
      <c r="L2356" s="32"/>
      <c r="M2356" s="32"/>
      <c r="N2356" s="32"/>
      <c r="O2356" s="14"/>
      <c r="P2356" s="14"/>
    </row>
    <row r="2357" hidden="1">
      <c r="A2357" s="34" t="s">
        <v>342</v>
      </c>
      <c r="B2357" s="92" t="s">
        <v>152</v>
      </c>
      <c r="C2357" s="92"/>
      <c r="D2357" s="92" t="s">
        <v>154</v>
      </c>
      <c r="E2357" s="80">
        <v>0.0</v>
      </c>
      <c r="F2357" s="80">
        <v>0.0</v>
      </c>
      <c r="G2357" s="80">
        <v>5.0</v>
      </c>
      <c r="H2357" s="80">
        <v>4.0</v>
      </c>
      <c r="I2357" s="80">
        <v>5.0</v>
      </c>
      <c r="J2357" s="32"/>
      <c r="K2357" s="32">
        <f t="shared" si="95"/>
        <v>3500</v>
      </c>
      <c r="L2357" s="32"/>
      <c r="M2357" s="32"/>
      <c r="N2357" s="32"/>
      <c r="O2357" s="14"/>
      <c r="P2357" s="14"/>
    </row>
    <row r="2358" hidden="1">
      <c r="A2358" s="34" t="s">
        <v>342</v>
      </c>
      <c r="B2358" s="92" t="s">
        <v>155</v>
      </c>
      <c r="C2358" s="92"/>
      <c r="D2358" s="92" t="s">
        <v>157</v>
      </c>
      <c r="E2358" s="80">
        <v>0.0</v>
      </c>
      <c r="F2358" s="80">
        <v>3.0</v>
      </c>
      <c r="G2358" s="80">
        <v>0.0</v>
      </c>
      <c r="H2358" s="80">
        <v>9.0</v>
      </c>
      <c r="I2358" s="80">
        <v>4.0</v>
      </c>
      <c r="J2358" s="32"/>
      <c r="K2358" s="32">
        <f t="shared" si="95"/>
        <v>4750</v>
      </c>
      <c r="L2358" s="32"/>
      <c r="M2358" s="32"/>
      <c r="N2358" s="32"/>
      <c r="O2358" s="14"/>
      <c r="P2358" s="14"/>
    </row>
    <row r="2359" hidden="1">
      <c r="A2359" s="34" t="s">
        <v>342</v>
      </c>
      <c r="B2359" s="92" t="s">
        <v>158</v>
      </c>
      <c r="C2359" s="92"/>
      <c r="D2359" s="92" t="s">
        <v>160</v>
      </c>
      <c r="E2359" s="80">
        <v>1.0</v>
      </c>
      <c r="F2359" s="80">
        <v>3.0</v>
      </c>
      <c r="G2359" s="80">
        <v>0.0</v>
      </c>
      <c r="H2359" s="80">
        <v>8.0</v>
      </c>
      <c r="I2359" s="80">
        <v>4.0</v>
      </c>
      <c r="J2359" s="32"/>
      <c r="K2359" s="32">
        <f t="shared" si="95"/>
        <v>4750</v>
      </c>
      <c r="L2359" s="32"/>
      <c r="M2359" s="32"/>
      <c r="N2359" s="32"/>
      <c r="O2359" s="14"/>
      <c r="P2359" s="14"/>
    </row>
    <row r="2360" hidden="1">
      <c r="A2360" s="34" t="s">
        <v>342</v>
      </c>
      <c r="B2360" s="93" t="s">
        <v>161</v>
      </c>
      <c r="C2360" s="93"/>
      <c r="D2360" s="93" t="s">
        <v>163</v>
      </c>
      <c r="E2360" s="80">
        <v>2.0</v>
      </c>
      <c r="F2360" s="80">
        <v>0.0</v>
      </c>
      <c r="G2360" s="80">
        <v>0.0</v>
      </c>
      <c r="H2360" s="80">
        <v>3.0</v>
      </c>
      <c r="I2360" s="80">
        <v>4.0</v>
      </c>
      <c r="J2360" s="32"/>
      <c r="K2360" s="32">
        <f t="shared" si="95"/>
        <v>2250</v>
      </c>
      <c r="L2360" s="32"/>
      <c r="M2360" s="32"/>
      <c r="N2360" s="32"/>
      <c r="O2360" s="14"/>
      <c r="P2360" s="14"/>
    </row>
    <row r="2361" hidden="1">
      <c r="A2361" s="34" t="s">
        <v>342</v>
      </c>
      <c r="B2361" s="93" t="s">
        <v>164</v>
      </c>
      <c r="C2361" s="93"/>
      <c r="D2361" s="93" t="s">
        <v>166</v>
      </c>
      <c r="E2361" s="80">
        <v>2.0</v>
      </c>
      <c r="F2361" s="80">
        <v>0.0</v>
      </c>
      <c r="G2361" s="80">
        <v>0.0</v>
      </c>
      <c r="H2361" s="80">
        <v>0.0</v>
      </c>
      <c r="I2361" s="80">
        <v>2.0</v>
      </c>
      <c r="J2361" s="32"/>
      <c r="K2361" s="32">
        <f t="shared" si="95"/>
        <v>1000</v>
      </c>
      <c r="L2361" s="32"/>
      <c r="M2361" s="32"/>
      <c r="N2361" s="32"/>
      <c r="O2361" s="14"/>
      <c r="P2361" s="14"/>
    </row>
    <row r="2362" hidden="1">
      <c r="A2362" s="34" t="s">
        <v>342</v>
      </c>
      <c r="B2362" s="93" t="s">
        <v>167</v>
      </c>
      <c r="C2362" s="93"/>
      <c r="D2362" s="93" t="s">
        <v>169</v>
      </c>
      <c r="E2362" s="80">
        <v>3.0</v>
      </c>
      <c r="F2362" s="80">
        <v>2.0</v>
      </c>
      <c r="G2362" s="80">
        <v>0.0</v>
      </c>
      <c r="H2362" s="80">
        <v>0.0</v>
      </c>
      <c r="I2362" s="80">
        <v>3.0</v>
      </c>
      <c r="J2362" s="32"/>
      <c r="K2362" s="32">
        <f t="shared" si="95"/>
        <v>2500</v>
      </c>
      <c r="L2362" s="32"/>
      <c r="M2362" s="32"/>
      <c r="N2362" s="32"/>
      <c r="O2362" s="14"/>
      <c r="P2362" s="14"/>
    </row>
    <row r="2363" hidden="1">
      <c r="A2363" s="34" t="s">
        <v>342</v>
      </c>
      <c r="B2363" s="93" t="s">
        <v>170</v>
      </c>
      <c r="C2363" s="93"/>
      <c r="D2363" s="93" t="s">
        <v>172</v>
      </c>
      <c r="E2363" s="80">
        <v>1.0</v>
      </c>
      <c r="F2363" s="80">
        <v>1.0</v>
      </c>
      <c r="G2363" s="80">
        <v>0.0</v>
      </c>
      <c r="H2363" s="80">
        <v>3.0</v>
      </c>
      <c r="I2363" s="80">
        <v>4.0</v>
      </c>
      <c r="J2363" s="32"/>
      <c r="K2363" s="32">
        <f t="shared" si="95"/>
        <v>2500</v>
      </c>
      <c r="L2363" s="32"/>
      <c r="M2363" s="32"/>
      <c r="N2363" s="32"/>
      <c r="O2363" s="14"/>
      <c r="P2363" s="14"/>
    </row>
    <row r="2364" hidden="1">
      <c r="A2364" s="34" t="s">
        <v>342</v>
      </c>
      <c r="B2364" s="92" t="s">
        <v>173</v>
      </c>
      <c r="C2364" s="92"/>
      <c r="D2364" s="92" t="s">
        <v>175</v>
      </c>
      <c r="E2364" s="80">
        <v>0.0</v>
      </c>
      <c r="F2364" s="80">
        <v>2.0</v>
      </c>
      <c r="G2364" s="80">
        <v>0.0</v>
      </c>
      <c r="H2364" s="80">
        <v>7.0</v>
      </c>
      <c r="I2364" s="80">
        <v>0.0</v>
      </c>
      <c r="J2364" s="32"/>
      <c r="K2364" s="32">
        <f t="shared" si="95"/>
        <v>2750</v>
      </c>
      <c r="L2364" s="32"/>
      <c r="M2364" s="32"/>
      <c r="N2364" s="32"/>
      <c r="O2364" s="14"/>
      <c r="P2364" s="14"/>
    </row>
    <row r="2365" hidden="1">
      <c r="A2365" s="34" t="s">
        <v>342</v>
      </c>
      <c r="B2365" s="92" t="s">
        <v>176</v>
      </c>
      <c r="C2365" s="92"/>
      <c r="D2365" s="92" t="s">
        <v>178</v>
      </c>
      <c r="E2365" s="80">
        <v>1.0</v>
      </c>
      <c r="F2365" s="80">
        <v>5.0</v>
      </c>
      <c r="G2365" s="80">
        <v>0.0</v>
      </c>
      <c r="H2365" s="80">
        <v>4.0</v>
      </c>
      <c r="I2365" s="80">
        <v>2.0</v>
      </c>
      <c r="J2365" s="32"/>
      <c r="K2365" s="32">
        <f t="shared" si="95"/>
        <v>4250</v>
      </c>
      <c r="L2365" s="32"/>
      <c r="M2365" s="32"/>
      <c r="N2365" s="32"/>
      <c r="O2365" s="14"/>
      <c r="P2365" s="14"/>
    </row>
    <row r="2366" hidden="1">
      <c r="A2366" s="34" t="s">
        <v>342</v>
      </c>
      <c r="B2366" s="94" t="s">
        <v>291</v>
      </c>
      <c r="C2366" s="94"/>
      <c r="D2366" s="94" t="s">
        <v>293</v>
      </c>
      <c r="E2366" s="80">
        <v>2.0</v>
      </c>
      <c r="F2366" s="80">
        <v>0.0</v>
      </c>
      <c r="G2366" s="85">
        <v>0.0</v>
      </c>
      <c r="H2366" s="85">
        <v>1.0</v>
      </c>
      <c r="I2366" s="85">
        <v>0.0</v>
      </c>
      <c r="J2366" s="32"/>
      <c r="K2366" s="32">
        <f t="shared" si="95"/>
        <v>750</v>
      </c>
      <c r="L2366" s="32"/>
      <c r="M2366" s="32"/>
      <c r="N2366" s="32"/>
      <c r="O2366" s="23"/>
      <c r="P2366" s="23"/>
    </row>
    <row r="2367" hidden="1">
      <c r="A2367" s="34" t="s">
        <v>342</v>
      </c>
      <c r="B2367" s="94" t="s">
        <v>294</v>
      </c>
      <c r="C2367" s="94"/>
      <c r="D2367" s="94" t="s">
        <v>296</v>
      </c>
      <c r="E2367" s="80">
        <v>0.0</v>
      </c>
      <c r="F2367" s="80">
        <v>0.0</v>
      </c>
      <c r="G2367" s="85">
        <v>0.0</v>
      </c>
      <c r="H2367" s="85">
        <v>0.0</v>
      </c>
      <c r="I2367" s="85">
        <v>0.0</v>
      </c>
      <c r="J2367" s="32"/>
      <c r="K2367" s="32">
        <f t="shared" si="95"/>
        <v>0</v>
      </c>
      <c r="L2367" s="32"/>
      <c r="M2367" s="32"/>
      <c r="N2367" s="32"/>
      <c r="O2367" s="23"/>
      <c r="P2367" s="23"/>
    </row>
    <row r="2368" hidden="1">
      <c r="A2368" s="34" t="s">
        <v>342</v>
      </c>
      <c r="B2368" s="95" t="s">
        <v>333</v>
      </c>
      <c r="C2368" s="94"/>
      <c r="D2368" s="94" t="s">
        <v>334</v>
      </c>
      <c r="E2368" s="80">
        <v>2.0</v>
      </c>
      <c r="F2368" s="80">
        <v>0.0</v>
      </c>
      <c r="G2368" s="85">
        <v>0.0</v>
      </c>
      <c r="H2368" s="85">
        <v>2.0</v>
      </c>
      <c r="I2368" s="85">
        <v>0.0</v>
      </c>
      <c r="J2368" s="32"/>
      <c r="K2368" s="32">
        <f t="shared" si="95"/>
        <v>1000</v>
      </c>
      <c r="L2368" s="32"/>
      <c r="M2368" s="32"/>
      <c r="N2368" s="32"/>
      <c r="O2368" s="23"/>
      <c r="P2368" s="23"/>
    </row>
    <row r="2369" hidden="1">
      <c r="A2369" s="34" t="s">
        <v>342</v>
      </c>
      <c r="B2369" s="94" t="s">
        <v>179</v>
      </c>
      <c r="C2369" s="94"/>
      <c r="D2369" s="94" t="s">
        <v>181</v>
      </c>
      <c r="E2369" s="80">
        <v>2.0</v>
      </c>
      <c r="F2369" s="80">
        <v>0.0</v>
      </c>
      <c r="G2369" s="85">
        <v>0.0</v>
      </c>
      <c r="H2369" s="85">
        <v>5.0</v>
      </c>
      <c r="I2369" s="85">
        <v>0.0</v>
      </c>
      <c r="J2369" s="32"/>
      <c r="K2369" s="32">
        <f t="shared" si="95"/>
        <v>1750</v>
      </c>
      <c r="L2369" s="32"/>
      <c r="M2369" s="32"/>
      <c r="N2369" s="32"/>
      <c r="O2369" s="23"/>
      <c r="P2369" s="23"/>
    </row>
    <row r="2370" hidden="1">
      <c r="A2370" s="34" t="s">
        <v>342</v>
      </c>
      <c r="B2370" s="92" t="s">
        <v>344</v>
      </c>
      <c r="C2370" s="92"/>
      <c r="D2370" s="92" t="s">
        <v>345</v>
      </c>
      <c r="E2370" s="83"/>
      <c r="F2370" s="83"/>
      <c r="G2370" s="86"/>
      <c r="H2370" s="86"/>
      <c r="I2370" s="86"/>
      <c r="J2370" s="32"/>
      <c r="K2370" s="32">
        <f t="shared" si="95"/>
        <v>0</v>
      </c>
      <c r="L2370" s="32"/>
      <c r="M2370" s="32"/>
      <c r="N2370" s="32"/>
      <c r="O2370" s="14"/>
      <c r="P2370" s="14"/>
    </row>
    <row r="2371" hidden="1">
      <c r="A2371" s="34" t="s">
        <v>342</v>
      </c>
      <c r="B2371" s="92" t="s">
        <v>271</v>
      </c>
      <c r="C2371" s="92"/>
      <c r="D2371" s="92" t="s">
        <v>346</v>
      </c>
      <c r="E2371" s="83"/>
      <c r="F2371" s="83"/>
      <c r="G2371" s="86"/>
      <c r="H2371" s="86"/>
      <c r="I2371" s="86"/>
      <c r="J2371" s="32"/>
      <c r="K2371" s="32">
        <f t="shared" si="95"/>
        <v>0</v>
      </c>
      <c r="L2371" s="32"/>
      <c r="M2371" s="32"/>
      <c r="N2371" s="32"/>
      <c r="O2371" s="14"/>
      <c r="P2371" s="14"/>
    </row>
    <row r="2372" hidden="1">
      <c r="A2372" s="34" t="s">
        <v>347</v>
      </c>
      <c r="B2372" s="92" t="s">
        <v>216</v>
      </c>
      <c r="C2372" s="92"/>
      <c r="D2372" s="92" t="s">
        <v>274</v>
      </c>
      <c r="E2372" s="80">
        <v>1.0</v>
      </c>
      <c r="F2372" s="80">
        <v>3.0</v>
      </c>
      <c r="G2372" s="80">
        <v>2.0</v>
      </c>
      <c r="H2372" s="80">
        <v>25.0</v>
      </c>
      <c r="I2372" s="80">
        <v>5.0</v>
      </c>
      <c r="J2372" s="32"/>
      <c r="K2372" s="32">
        <f t="shared" si="95"/>
        <v>9750</v>
      </c>
      <c r="L2372" s="32"/>
      <c r="M2372" s="32"/>
      <c r="N2372" s="32"/>
      <c r="O2372" s="32"/>
      <c r="P2372" s="32"/>
    </row>
    <row r="2373" hidden="1">
      <c r="A2373" s="34" t="s">
        <v>347</v>
      </c>
      <c r="B2373" s="92" t="s">
        <v>119</v>
      </c>
      <c r="C2373" s="92"/>
      <c r="D2373" s="92" t="s">
        <v>121</v>
      </c>
      <c r="E2373" s="80">
        <v>0.0</v>
      </c>
      <c r="F2373" s="80">
        <v>3.0</v>
      </c>
      <c r="G2373" s="80">
        <v>0.0</v>
      </c>
      <c r="H2373" s="80">
        <v>0.0</v>
      </c>
      <c r="I2373" s="80">
        <v>4.0</v>
      </c>
      <c r="J2373" s="32"/>
      <c r="K2373" s="32">
        <f t="shared" si="95"/>
        <v>2500</v>
      </c>
      <c r="L2373" s="32"/>
      <c r="M2373" s="32"/>
      <c r="N2373" s="32"/>
      <c r="O2373" s="32"/>
      <c r="P2373" s="32"/>
    </row>
    <row r="2374" hidden="1">
      <c r="A2374" s="34" t="s">
        <v>347</v>
      </c>
      <c r="B2374" s="92" t="s">
        <v>267</v>
      </c>
      <c r="C2374" s="92"/>
      <c r="D2374" s="92" t="s">
        <v>269</v>
      </c>
      <c r="E2374" s="80">
        <v>1.0</v>
      </c>
      <c r="F2374" s="80">
        <v>0.0</v>
      </c>
      <c r="G2374" s="80">
        <v>0.0</v>
      </c>
      <c r="H2374" s="80">
        <v>26.0</v>
      </c>
      <c r="I2374" s="80">
        <v>4.0</v>
      </c>
      <c r="J2374" s="32"/>
      <c r="K2374" s="32">
        <f t="shared" si="95"/>
        <v>7750</v>
      </c>
      <c r="L2374" s="32"/>
      <c r="M2374" s="32"/>
      <c r="N2374" s="32"/>
      <c r="O2374" s="32"/>
      <c r="P2374" s="32"/>
    </row>
    <row r="2375" hidden="1">
      <c r="A2375" s="34" t="s">
        <v>347</v>
      </c>
      <c r="B2375" s="92" t="s">
        <v>275</v>
      </c>
      <c r="C2375" s="92"/>
      <c r="D2375" s="92" t="s">
        <v>277</v>
      </c>
      <c r="E2375" s="80">
        <v>0.0</v>
      </c>
      <c r="F2375" s="80">
        <v>7.0</v>
      </c>
      <c r="G2375" s="80">
        <v>1.0</v>
      </c>
      <c r="H2375" s="80">
        <v>7.0</v>
      </c>
      <c r="I2375" s="80">
        <v>5.0</v>
      </c>
      <c r="J2375" s="32"/>
      <c r="K2375" s="32">
        <f t="shared" si="95"/>
        <v>6750</v>
      </c>
      <c r="L2375" s="32"/>
      <c r="M2375" s="32"/>
      <c r="N2375" s="32"/>
      <c r="O2375" s="32"/>
      <c r="P2375" s="32"/>
    </row>
    <row r="2376" hidden="1">
      <c r="A2376" s="34" t="s">
        <v>347</v>
      </c>
      <c r="B2376" s="92" t="s">
        <v>122</v>
      </c>
      <c r="C2376" s="92"/>
      <c r="D2376" s="92" t="s">
        <v>343</v>
      </c>
      <c r="E2376" s="80">
        <v>0.0</v>
      </c>
      <c r="F2376" s="80">
        <v>7.0</v>
      </c>
      <c r="G2376" s="80">
        <v>2.0</v>
      </c>
      <c r="H2376" s="80">
        <v>4.0</v>
      </c>
      <c r="I2376" s="80">
        <v>5.0</v>
      </c>
      <c r="J2376" s="32"/>
      <c r="K2376" s="32">
        <f t="shared" si="95"/>
        <v>6250</v>
      </c>
      <c r="L2376" s="32"/>
      <c r="M2376" s="32"/>
      <c r="N2376" s="32"/>
      <c r="O2376" s="32"/>
      <c r="P2376" s="32"/>
    </row>
    <row r="2377" hidden="1">
      <c r="A2377" s="34" t="s">
        <v>347</v>
      </c>
      <c r="B2377" s="92" t="s">
        <v>125</v>
      </c>
      <c r="C2377" s="92"/>
      <c r="D2377" s="92" t="s">
        <v>127</v>
      </c>
      <c r="E2377" s="80">
        <v>0.0</v>
      </c>
      <c r="F2377" s="80">
        <v>1.0</v>
      </c>
      <c r="G2377" s="80">
        <v>0.0</v>
      </c>
      <c r="H2377" s="80">
        <v>0.0</v>
      </c>
      <c r="I2377" s="80">
        <v>5.0</v>
      </c>
      <c r="J2377" s="32"/>
      <c r="K2377" s="32">
        <f t="shared" si="95"/>
        <v>1750</v>
      </c>
      <c r="L2377" s="32"/>
      <c r="M2377" s="32"/>
      <c r="N2377" s="32"/>
      <c r="O2377" s="32"/>
      <c r="P2377" s="32"/>
    </row>
    <row r="2378" hidden="1">
      <c r="A2378" s="34" t="s">
        <v>347</v>
      </c>
      <c r="B2378" s="92" t="s">
        <v>128</v>
      </c>
      <c r="C2378" s="92"/>
      <c r="D2378" s="92" t="s">
        <v>130</v>
      </c>
      <c r="E2378" s="80">
        <v>1.0</v>
      </c>
      <c r="F2378" s="80">
        <v>5.0</v>
      </c>
      <c r="G2378" s="80">
        <v>0.0</v>
      </c>
      <c r="H2378" s="80">
        <v>0.0</v>
      </c>
      <c r="I2378" s="80">
        <v>5.0</v>
      </c>
      <c r="J2378" s="32"/>
      <c r="K2378" s="32">
        <f t="shared" si="95"/>
        <v>4000</v>
      </c>
      <c r="L2378" s="32"/>
      <c r="M2378" s="32"/>
      <c r="N2378" s="32"/>
      <c r="O2378" s="32"/>
      <c r="P2378" s="32"/>
    </row>
    <row r="2379" hidden="1">
      <c r="A2379" s="34" t="s">
        <v>347</v>
      </c>
      <c r="B2379" s="92" t="s">
        <v>131</v>
      </c>
      <c r="C2379" s="92"/>
      <c r="D2379" s="92" t="s">
        <v>133</v>
      </c>
      <c r="E2379" s="80">
        <v>0.0</v>
      </c>
      <c r="F2379" s="80">
        <v>0.0</v>
      </c>
      <c r="G2379" s="80">
        <v>0.0</v>
      </c>
      <c r="H2379" s="80">
        <v>12.0</v>
      </c>
      <c r="I2379" s="80">
        <v>5.0</v>
      </c>
      <c r="J2379" s="32"/>
      <c r="K2379" s="32">
        <f t="shared" si="95"/>
        <v>4250</v>
      </c>
      <c r="L2379" s="32"/>
      <c r="M2379" s="32"/>
      <c r="N2379" s="32"/>
      <c r="O2379" s="32"/>
      <c r="P2379" s="32"/>
    </row>
    <row r="2380" hidden="1">
      <c r="A2380" s="34" t="s">
        <v>347</v>
      </c>
      <c r="B2380" s="92" t="s">
        <v>134</v>
      </c>
      <c r="C2380" s="92"/>
      <c r="D2380" s="92" t="s">
        <v>136</v>
      </c>
      <c r="E2380" s="80">
        <v>0.0</v>
      </c>
      <c r="F2380" s="80">
        <v>2.0</v>
      </c>
      <c r="G2380" s="80">
        <v>0.0</v>
      </c>
      <c r="H2380" s="80">
        <v>4.0</v>
      </c>
      <c r="I2380" s="80">
        <v>5.0</v>
      </c>
      <c r="J2380" s="32"/>
      <c r="K2380" s="32">
        <f t="shared" si="95"/>
        <v>3250</v>
      </c>
      <c r="L2380" s="32"/>
      <c r="M2380" s="32"/>
      <c r="N2380" s="32"/>
      <c r="O2380" s="32"/>
      <c r="P2380" s="32"/>
    </row>
    <row r="2381" hidden="1">
      <c r="A2381" s="34" t="s">
        <v>347</v>
      </c>
      <c r="B2381" s="92" t="s">
        <v>137</v>
      </c>
      <c r="C2381" s="92"/>
      <c r="D2381" s="92" t="s">
        <v>139</v>
      </c>
      <c r="E2381" s="80">
        <v>0.0</v>
      </c>
      <c r="F2381" s="80">
        <v>5.0</v>
      </c>
      <c r="G2381" s="80">
        <v>2.0</v>
      </c>
      <c r="H2381" s="80">
        <v>23.0</v>
      </c>
      <c r="I2381" s="80">
        <v>5.0</v>
      </c>
      <c r="J2381" s="32"/>
      <c r="K2381" s="32">
        <f t="shared" si="95"/>
        <v>10000</v>
      </c>
      <c r="L2381" s="32"/>
      <c r="M2381" s="32"/>
      <c r="N2381" s="32"/>
      <c r="O2381" s="32"/>
      <c r="P2381" s="32"/>
    </row>
    <row r="2382" hidden="1">
      <c r="A2382" s="34" t="s">
        <v>347</v>
      </c>
      <c r="B2382" s="92" t="s">
        <v>278</v>
      </c>
      <c r="C2382" s="92"/>
      <c r="D2382" s="92" t="s">
        <v>280</v>
      </c>
      <c r="E2382" s="80">
        <v>0.0</v>
      </c>
      <c r="F2382" s="80">
        <v>3.0</v>
      </c>
      <c r="G2382" s="80">
        <v>1.0</v>
      </c>
      <c r="H2382" s="80">
        <v>6.0</v>
      </c>
      <c r="I2382" s="80">
        <v>5.0</v>
      </c>
      <c r="J2382" s="32"/>
      <c r="K2382" s="32">
        <f t="shared" si="95"/>
        <v>4500</v>
      </c>
      <c r="L2382" s="32"/>
      <c r="M2382" s="32"/>
      <c r="N2382" s="32"/>
      <c r="O2382" s="32"/>
      <c r="P2382" s="32"/>
    </row>
    <row r="2383" hidden="1">
      <c r="A2383" s="34" t="s">
        <v>347</v>
      </c>
      <c r="B2383" s="92" t="s">
        <v>140</v>
      </c>
      <c r="C2383" s="92"/>
      <c r="D2383" s="92" t="s">
        <v>142</v>
      </c>
      <c r="E2383" s="80">
        <v>2.0</v>
      </c>
      <c r="F2383" s="80">
        <v>1.0</v>
      </c>
      <c r="G2383" s="80">
        <v>1.0</v>
      </c>
      <c r="H2383" s="80">
        <v>15.0</v>
      </c>
      <c r="I2383" s="80">
        <v>5.0</v>
      </c>
      <c r="J2383" s="32"/>
      <c r="K2383" s="32">
        <f t="shared" si="95"/>
        <v>6250</v>
      </c>
      <c r="L2383" s="32"/>
      <c r="M2383" s="32"/>
      <c r="N2383" s="32"/>
      <c r="O2383" s="32"/>
      <c r="P2383" s="32"/>
    </row>
    <row r="2384" hidden="1">
      <c r="A2384" s="34" t="s">
        <v>347</v>
      </c>
      <c r="B2384" s="92" t="s">
        <v>207</v>
      </c>
      <c r="C2384" s="92"/>
      <c r="D2384" s="92" t="s">
        <v>281</v>
      </c>
      <c r="E2384" s="80">
        <v>0.0</v>
      </c>
      <c r="F2384" s="80">
        <v>4.0</v>
      </c>
      <c r="G2384" s="80">
        <v>1.0</v>
      </c>
      <c r="H2384" s="80">
        <v>8.0</v>
      </c>
      <c r="I2384" s="80">
        <v>4.0</v>
      </c>
      <c r="J2384" s="32"/>
      <c r="K2384" s="32">
        <f t="shared" si="95"/>
        <v>5250</v>
      </c>
      <c r="L2384" s="32"/>
      <c r="M2384" s="32"/>
      <c r="N2384" s="32"/>
      <c r="O2384" s="32"/>
      <c r="P2384" s="32"/>
    </row>
    <row r="2385" hidden="1">
      <c r="A2385" s="34" t="s">
        <v>347</v>
      </c>
      <c r="B2385" s="92" t="s">
        <v>282</v>
      </c>
      <c r="C2385" s="92"/>
      <c r="D2385" s="92" t="s">
        <v>284</v>
      </c>
      <c r="E2385" s="80">
        <v>1.0</v>
      </c>
      <c r="F2385" s="80">
        <v>0.0</v>
      </c>
      <c r="G2385" s="80">
        <v>1.0</v>
      </c>
      <c r="H2385" s="80">
        <v>35.0</v>
      </c>
      <c r="I2385" s="80">
        <v>5.0</v>
      </c>
      <c r="J2385" s="32"/>
      <c r="K2385" s="32">
        <f t="shared" si="95"/>
        <v>10500</v>
      </c>
      <c r="L2385" s="32"/>
      <c r="M2385" s="32"/>
      <c r="N2385" s="32"/>
      <c r="O2385" s="32"/>
      <c r="P2385" s="32"/>
    </row>
    <row r="2386" hidden="1">
      <c r="A2386" s="34" t="s">
        <v>347</v>
      </c>
      <c r="B2386" s="92" t="s">
        <v>285</v>
      </c>
      <c r="C2386" s="92"/>
      <c r="D2386" s="92" t="s">
        <v>287</v>
      </c>
      <c r="E2386" s="80">
        <v>0.0</v>
      </c>
      <c r="F2386" s="80">
        <v>2.0</v>
      </c>
      <c r="G2386" s="80">
        <v>0.0</v>
      </c>
      <c r="H2386" s="80">
        <v>6.0</v>
      </c>
      <c r="I2386" s="80">
        <v>5.0</v>
      </c>
      <c r="J2386" s="32"/>
      <c r="K2386" s="32">
        <f t="shared" si="95"/>
        <v>3750</v>
      </c>
      <c r="L2386" s="32"/>
      <c r="M2386" s="32"/>
      <c r="N2386" s="32"/>
      <c r="O2386" s="32"/>
      <c r="P2386" s="32"/>
    </row>
    <row r="2387" hidden="1">
      <c r="A2387" s="34" t="s">
        <v>347</v>
      </c>
      <c r="B2387" s="92" t="s">
        <v>143</v>
      </c>
      <c r="C2387" s="92"/>
      <c r="D2387" s="92" t="s">
        <v>145</v>
      </c>
      <c r="E2387" s="80">
        <v>1.0</v>
      </c>
      <c r="F2387" s="80">
        <v>2.0</v>
      </c>
      <c r="G2387" s="80">
        <v>0.0</v>
      </c>
      <c r="H2387" s="80">
        <v>17.0</v>
      </c>
      <c r="I2387" s="80">
        <v>4.0</v>
      </c>
      <c r="J2387" s="32"/>
      <c r="K2387" s="32">
        <f t="shared" si="95"/>
        <v>6500</v>
      </c>
      <c r="L2387" s="32"/>
      <c r="M2387" s="32"/>
      <c r="N2387" s="32"/>
      <c r="O2387" s="32"/>
      <c r="P2387" s="32"/>
    </row>
    <row r="2388" hidden="1">
      <c r="A2388" s="34" t="s">
        <v>347</v>
      </c>
      <c r="B2388" s="92" t="s">
        <v>146</v>
      </c>
      <c r="C2388" s="92"/>
      <c r="D2388" s="92" t="s">
        <v>148</v>
      </c>
      <c r="E2388" s="80">
        <v>1.0</v>
      </c>
      <c r="F2388" s="80">
        <v>0.0</v>
      </c>
      <c r="G2388" s="80">
        <v>1.0</v>
      </c>
      <c r="H2388" s="80">
        <v>3.0</v>
      </c>
      <c r="I2388" s="80">
        <v>4.0</v>
      </c>
      <c r="J2388" s="32"/>
      <c r="K2388" s="32">
        <f t="shared" si="95"/>
        <v>2250</v>
      </c>
      <c r="L2388" s="32"/>
      <c r="M2388" s="32"/>
      <c r="N2388" s="32"/>
      <c r="O2388" s="32"/>
      <c r="P2388" s="32"/>
    </row>
    <row r="2389" hidden="1">
      <c r="A2389" s="34" t="s">
        <v>347</v>
      </c>
      <c r="B2389" s="92" t="s">
        <v>245</v>
      </c>
      <c r="C2389" s="92"/>
      <c r="D2389" s="92" t="s">
        <v>247</v>
      </c>
      <c r="E2389" s="80">
        <v>0.0</v>
      </c>
      <c r="F2389" s="80">
        <v>1.0</v>
      </c>
      <c r="G2389" s="80">
        <v>0.0</v>
      </c>
      <c r="H2389" s="80">
        <v>0.0</v>
      </c>
      <c r="I2389" s="80">
        <v>5.0</v>
      </c>
      <c r="J2389" s="32"/>
      <c r="K2389" s="32">
        <f t="shared" si="95"/>
        <v>1750</v>
      </c>
      <c r="L2389" s="32"/>
      <c r="M2389" s="32"/>
      <c r="N2389" s="32"/>
      <c r="O2389" s="32"/>
      <c r="P2389" s="32"/>
    </row>
    <row r="2390" hidden="1">
      <c r="A2390" s="34" t="s">
        <v>347</v>
      </c>
      <c r="B2390" s="92" t="s">
        <v>210</v>
      </c>
      <c r="C2390" s="92"/>
      <c r="D2390" s="92" t="s">
        <v>212</v>
      </c>
      <c r="E2390" s="80">
        <v>0.0</v>
      </c>
      <c r="F2390" s="80">
        <v>0.0</v>
      </c>
      <c r="G2390" s="80">
        <v>0.0</v>
      </c>
      <c r="H2390" s="80">
        <v>2.0</v>
      </c>
      <c r="I2390" s="80">
        <v>4.0</v>
      </c>
      <c r="J2390" s="32"/>
      <c r="K2390" s="32">
        <f t="shared" si="95"/>
        <v>1500</v>
      </c>
      <c r="L2390" s="32"/>
      <c r="M2390" s="32"/>
      <c r="N2390" s="32"/>
      <c r="O2390" s="32"/>
      <c r="P2390" s="32"/>
    </row>
    <row r="2391" hidden="1">
      <c r="A2391" s="34" t="s">
        <v>347</v>
      </c>
      <c r="B2391" s="92" t="s">
        <v>149</v>
      </c>
      <c r="C2391" s="92"/>
      <c r="D2391" s="92" t="s">
        <v>151</v>
      </c>
      <c r="E2391" s="80">
        <v>4.0</v>
      </c>
      <c r="F2391" s="80">
        <v>1.0</v>
      </c>
      <c r="G2391" s="80">
        <v>1.0</v>
      </c>
      <c r="H2391" s="80">
        <v>11.0</v>
      </c>
      <c r="I2391" s="80">
        <v>4.0</v>
      </c>
      <c r="J2391" s="32"/>
      <c r="K2391" s="32">
        <f t="shared" si="95"/>
        <v>5500</v>
      </c>
      <c r="L2391" s="32"/>
      <c r="M2391" s="32"/>
      <c r="N2391" s="32"/>
      <c r="O2391" s="32"/>
      <c r="P2391" s="32"/>
    </row>
    <row r="2392" hidden="1">
      <c r="A2392" s="34" t="s">
        <v>347</v>
      </c>
      <c r="B2392" s="92" t="s">
        <v>288</v>
      </c>
      <c r="C2392" s="92"/>
      <c r="D2392" s="92" t="s">
        <v>290</v>
      </c>
      <c r="E2392" s="80">
        <v>0.0</v>
      </c>
      <c r="F2392" s="80">
        <v>0.0</v>
      </c>
      <c r="G2392" s="80">
        <v>0.0</v>
      </c>
      <c r="H2392" s="80">
        <v>0.0</v>
      </c>
      <c r="I2392" s="80">
        <v>4.0</v>
      </c>
      <c r="J2392" s="32"/>
      <c r="K2392" s="32">
        <f t="shared" si="95"/>
        <v>1000</v>
      </c>
      <c r="L2392" s="32"/>
      <c r="M2392" s="32"/>
      <c r="N2392" s="32"/>
      <c r="O2392" s="32"/>
      <c r="P2392" s="32"/>
    </row>
    <row r="2393" hidden="1">
      <c r="A2393" s="34" t="s">
        <v>347</v>
      </c>
      <c r="B2393" s="92" t="s">
        <v>152</v>
      </c>
      <c r="C2393" s="92"/>
      <c r="D2393" s="92" t="s">
        <v>154</v>
      </c>
      <c r="E2393" s="80">
        <v>0.0</v>
      </c>
      <c r="F2393" s="80">
        <v>6.0</v>
      </c>
      <c r="G2393" s="80">
        <v>1.0</v>
      </c>
      <c r="H2393" s="80">
        <v>3.0</v>
      </c>
      <c r="I2393" s="80">
        <v>5.0</v>
      </c>
      <c r="J2393" s="32"/>
      <c r="K2393" s="32">
        <f t="shared" si="95"/>
        <v>5250</v>
      </c>
      <c r="L2393" s="32"/>
      <c r="M2393" s="32"/>
      <c r="N2393" s="32"/>
      <c r="O2393" s="32"/>
      <c r="P2393" s="32"/>
    </row>
    <row r="2394" hidden="1">
      <c r="A2394" s="34" t="s">
        <v>347</v>
      </c>
      <c r="B2394" s="92" t="s">
        <v>155</v>
      </c>
      <c r="C2394" s="92"/>
      <c r="D2394" s="92" t="s">
        <v>157</v>
      </c>
      <c r="E2394" s="80">
        <v>0.0</v>
      </c>
      <c r="F2394" s="80">
        <v>2.0</v>
      </c>
      <c r="G2394" s="80">
        <v>1.0</v>
      </c>
      <c r="H2394" s="80">
        <v>9.0</v>
      </c>
      <c r="I2394" s="80">
        <v>4.0</v>
      </c>
      <c r="J2394" s="32"/>
      <c r="K2394" s="32">
        <f t="shared" si="95"/>
        <v>4500</v>
      </c>
      <c r="L2394" s="32"/>
      <c r="M2394" s="32"/>
      <c r="N2394" s="32"/>
      <c r="O2394" s="32"/>
      <c r="P2394" s="32"/>
    </row>
    <row r="2395" hidden="1">
      <c r="A2395" s="34" t="s">
        <v>347</v>
      </c>
      <c r="B2395" s="92" t="s">
        <v>158</v>
      </c>
      <c r="C2395" s="92"/>
      <c r="D2395" s="92" t="s">
        <v>160</v>
      </c>
      <c r="E2395" s="80">
        <v>0.0</v>
      </c>
      <c r="F2395" s="80">
        <v>1.0</v>
      </c>
      <c r="G2395" s="80">
        <v>0.0</v>
      </c>
      <c r="H2395" s="80">
        <v>0.0</v>
      </c>
      <c r="I2395" s="80">
        <v>4.0</v>
      </c>
      <c r="J2395" s="32"/>
      <c r="K2395" s="32">
        <f t="shared" si="95"/>
        <v>1500</v>
      </c>
      <c r="L2395" s="32"/>
      <c r="M2395" s="32"/>
      <c r="N2395" s="32"/>
      <c r="O2395" s="32"/>
      <c r="P2395" s="32"/>
    </row>
    <row r="2396" hidden="1">
      <c r="A2396" s="34" t="s">
        <v>347</v>
      </c>
      <c r="B2396" s="96" t="s">
        <v>161</v>
      </c>
      <c r="C2396" s="93"/>
      <c r="D2396" s="93" t="s">
        <v>163</v>
      </c>
      <c r="E2396" s="80">
        <v>2.0</v>
      </c>
      <c r="F2396" s="80">
        <v>2.0</v>
      </c>
      <c r="G2396" s="80">
        <v>0.0</v>
      </c>
      <c r="H2396" s="80">
        <v>4.0</v>
      </c>
      <c r="I2396" s="80">
        <v>1.0</v>
      </c>
      <c r="J2396" s="32"/>
      <c r="K2396" s="32">
        <f t="shared" si="95"/>
        <v>2750</v>
      </c>
      <c r="L2396" s="32"/>
      <c r="M2396" s="32"/>
      <c r="N2396" s="32"/>
      <c r="O2396" s="32"/>
      <c r="P2396" s="32"/>
    </row>
    <row r="2397" hidden="1">
      <c r="A2397" s="34" t="s">
        <v>347</v>
      </c>
      <c r="B2397" s="93" t="s">
        <v>164</v>
      </c>
      <c r="C2397" s="93"/>
      <c r="D2397" s="93" t="s">
        <v>166</v>
      </c>
      <c r="E2397" s="80">
        <v>0.0</v>
      </c>
      <c r="F2397" s="80">
        <v>0.0</v>
      </c>
      <c r="G2397" s="80">
        <v>1.0</v>
      </c>
      <c r="H2397" s="80">
        <v>0.0</v>
      </c>
      <c r="I2397" s="80">
        <v>2.0</v>
      </c>
      <c r="J2397" s="32"/>
      <c r="K2397" s="32">
        <f t="shared" si="95"/>
        <v>750</v>
      </c>
      <c r="L2397" s="32"/>
      <c r="M2397" s="32"/>
      <c r="N2397" s="32"/>
      <c r="O2397" s="32"/>
      <c r="P2397" s="32"/>
    </row>
    <row r="2398" hidden="1">
      <c r="A2398" s="34" t="s">
        <v>347</v>
      </c>
      <c r="B2398" s="93" t="s">
        <v>167</v>
      </c>
      <c r="C2398" s="93"/>
      <c r="D2398" s="93" t="s">
        <v>169</v>
      </c>
      <c r="E2398" s="80">
        <v>2.0</v>
      </c>
      <c r="F2398" s="80">
        <v>0.0</v>
      </c>
      <c r="G2398" s="80">
        <v>0.0</v>
      </c>
      <c r="H2398" s="80">
        <v>1.0</v>
      </c>
      <c r="I2398" s="80">
        <v>1.0</v>
      </c>
      <c r="J2398" s="32"/>
      <c r="K2398" s="32">
        <f t="shared" si="95"/>
        <v>1000</v>
      </c>
      <c r="L2398" s="32"/>
      <c r="M2398" s="32"/>
      <c r="N2398" s="32"/>
      <c r="O2398" s="32"/>
      <c r="P2398" s="32"/>
    </row>
    <row r="2399" hidden="1">
      <c r="A2399" s="34" t="s">
        <v>347</v>
      </c>
      <c r="B2399" s="93" t="s">
        <v>170</v>
      </c>
      <c r="C2399" s="93"/>
      <c r="D2399" s="93" t="s">
        <v>172</v>
      </c>
      <c r="E2399" s="80">
        <v>1.0</v>
      </c>
      <c r="F2399" s="80">
        <v>2.0</v>
      </c>
      <c r="G2399" s="80">
        <v>0.0</v>
      </c>
      <c r="H2399" s="80">
        <v>5.0</v>
      </c>
      <c r="I2399" s="80">
        <v>1.0</v>
      </c>
      <c r="J2399" s="32"/>
      <c r="K2399" s="32">
        <f t="shared" si="95"/>
        <v>2750</v>
      </c>
      <c r="L2399" s="32"/>
      <c r="M2399" s="32"/>
      <c r="N2399" s="32"/>
      <c r="O2399" s="32"/>
      <c r="P2399" s="32"/>
    </row>
    <row r="2400" hidden="1">
      <c r="A2400" s="34" t="s">
        <v>347</v>
      </c>
      <c r="B2400" s="92" t="s">
        <v>173</v>
      </c>
      <c r="C2400" s="92"/>
      <c r="D2400" s="92" t="s">
        <v>175</v>
      </c>
      <c r="E2400" s="80">
        <v>0.0</v>
      </c>
      <c r="F2400" s="80">
        <v>0.0</v>
      </c>
      <c r="G2400" s="80">
        <v>0.0</v>
      </c>
      <c r="H2400" s="80">
        <v>6.0</v>
      </c>
      <c r="I2400" s="80">
        <v>0.0</v>
      </c>
      <c r="J2400" s="32"/>
      <c r="K2400" s="32">
        <f t="shared" si="95"/>
        <v>1500</v>
      </c>
      <c r="L2400" s="32"/>
      <c r="M2400" s="32"/>
      <c r="N2400" s="32"/>
      <c r="O2400" s="32"/>
      <c r="P2400" s="32"/>
    </row>
    <row r="2401" hidden="1">
      <c r="A2401" s="34" t="s">
        <v>347</v>
      </c>
      <c r="B2401" s="92" t="s">
        <v>176</v>
      </c>
      <c r="C2401" s="92"/>
      <c r="D2401" s="92" t="s">
        <v>178</v>
      </c>
      <c r="E2401" s="80">
        <v>1.0</v>
      </c>
      <c r="F2401" s="80">
        <v>1.0</v>
      </c>
      <c r="G2401" s="80">
        <v>0.0</v>
      </c>
      <c r="H2401" s="80">
        <v>3.0</v>
      </c>
      <c r="I2401" s="80">
        <v>0.0</v>
      </c>
      <c r="J2401" s="32"/>
      <c r="K2401" s="32">
        <f t="shared" si="95"/>
        <v>1500</v>
      </c>
      <c r="L2401" s="32"/>
      <c r="M2401" s="32"/>
      <c r="N2401" s="32"/>
      <c r="O2401" s="32"/>
      <c r="P2401" s="32"/>
    </row>
    <row r="2402" hidden="1">
      <c r="A2402" s="34" t="s">
        <v>347</v>
      </c>
      <c r="B2402" s="92" t="s">
        <v>344</v>
      </c>
      <c r="C2402" s="92"/>
      <c r="D2402" s="92" t="s">
        <v>345</v>
      </c>
      <c r="E2402" s="97">
        <v>0.0</v>
      </c>
      <c r="F2402" s="97">
        <v>0.0</v>
      </c>
      <c r="G2402" s="98">
        <v>0.0</v>
      </c>
      <c r="H2402" s="98">
        <v>0.0</v>
      </c>
      <c r="I2402" s="98">
        <v>0.0</v>
      </c>
      <c r="J2402" s="32"/>
      <c r="K2402" s="32">
        <f t="shared" si="95"/>
        <v>0</v>
      </c>
      <c r="L2402" s="32"/>
      <c r="M2402" s="32"/>
      <c r="N2402" s="32"/>
      <c r="O2402" s="32"/>
      <c r="P2402" s="32"/>
    </row>
    <row r="2403" hidden="1">
      <c r="A2403" s="34" t="s">
        <v>347</v>
      </c>
      <c r="B2403" s="92" t="s">
        <v>271</v>
      </c>
      <c r="C2403" s="92"/>
      <c r="D2403" s="92" t="s">
        <v>346</v>
      </c>
      <c r="E2403" s="97">
        <v>0.0</v>
      </c>
      <c r="F2403" s="97">
        <v>0.0</v>
      </c>
      <c r="G2403" s="98">
        <v>0.0</v>
      </c>
      <c r="H2403" s="98">
        <v>0.0</v>
      </c>
      <c r="I2403" s="98">
        <v>0.0</v>
      </c>
      <c r="J2403" s="32"/>
      <c r="K2403" s="32">
        <f t="shared" si="95"/>
        <v>0</v>
      </c>
      <c r="L2403" s="32"/>
      <c r="M2403" s="32"/>
      <c r="N2403" s="32"/>
      <c r="O2403" s="32"/>
      <c r="P2403" s="32"/>
    </row>
    <row r="2404" hidden="1">
      <c r="A2404" s="34" t="s">
        <v>347</v>
      </c>
      <c r="B2404" s="99" t="s">
        <v>333</v>
      </c>
      <c r="C2404" s="99"/>
      <c r="D2404" s="99" t="s">
        <v>334</v>
      </c>
      <c r="E2404" s="97">
        <v>0.0</v>
      </c>
      <c r="F2404" s="97">
        <v>0.0</v>
      </c>
      <c r="G2404" s="98">
        <v>0.0</v>
      </c>
      <c r="H2404" s="98">
        <v>0.0</v>
      </c>
      <c r="I2404" s="98">
        <v>0.0</v>
      </c>
      <c r="J2404" s="32"/>
      <c r="K2404" s="32">
        <f t="shared" si="95"/>
        <v>0</v>
      </c>
      <c r="L2404" s="32"/>
      <c r="M2404" s="32"/>
      <c r="N2404" s="32"/>
      <c r="O2404" s="100"/>
      <c r="P2404" s="100"/>
    </row>
    <row r="2405" hidden="1">
      <c r="A2405" s="34" t="s">
        <v>347</v>
      </c>
      <c r="B2405" s="101" t="s">
        <v>291</v>
      </c>
      <c r="C2405" s="99"/>
      <c r="D2405" s="99" t="s">
        <v>293</v>
      </c>
      <c r="E2405" s="97">
        <v>0.0</v>
      </c>
      <c r="F2405" s="97">
        <v>0.0</v>
      </c>
      <c r="G2405" s="98">
        <v>0.0</v>
      </c>
      <c r="H2405" s="98">
        <v>0.0</v>
      </c>
      <c r="I2405" s="98">
        <v>0.0</v>
      </c>
      <c r="J2405" s="32"/>
      <c r="K2405" s="32">
        <f t="shared" si="95"/>
        <v>0</v>
      </c>
      <c r="L2405" s="32"/>
      <c r="M2405" s="32"/>
      <c r="N2405" s="32"/>
      <c r="O2405" s="100"/>
      <c r="P2405" s="100"/>
    </row>
    <row r="2406" hidden="1">
      <c r="A2406" s="34" t="s">
        <v>347</v>
      </c>
      <c r="B2406" s="101" t="s">
        <v>294</v>
      </c>
      <c r="C2406" s="99"/>
      <c r="D2406" s="99" t="s">
        <v>296</v>
      </c>
      <c r="E2406" s="97">
        <v>0.0</v>
      </c>
      <c r="F2406" s="97">
        <v>0.0</v>
      </c>
      <c r="G2406" s="98">
        <v>0.0</v>
      </c>
      <c r="H2406" s="98">
        <v>0.0</v>
      </c>
      <c r="I2406" s="98">
        <v>0.0</v>
      </c>
      <c r="J2406" s="32"/>
      <c r="K2406" s="32">
        <f t="shared" si="95"/>
        <v>0</v>
      </c>
      <c r="L2406" s="32"/>
      <c r="M2406" s="32"/>
      <c r="N2406" s="32"/>
      <c r="O2406" s="100"/>
      <c r="P2406" s="100"/>
    </row>
    <row r="2407" hidden="1">
      <c r="A2407" s="34" t="s">
        <v>347</v>
      </c>
      <c r="B2407" s="101" t="s">
        <v>179</v>
      </c>
      <c r="C2407" s="99"/>
      <c r="D2407" s="99" t="s">
        <v>181</v>
      </c>
      <c r="E2407" s="97">
        <v>0.0</v>
      </c>
      <c r="F2407" s="97">
        <v>0.0</v>
      </c>
      <c r="G2407" s="98">
        <v>0.0</v>
      </c>
      <c r="H2407" s="98">
        <v>0.0</v>
      </c>
      <c r="I2407" s="98">
        <v>0.0</v>
      </c>
      <c r="J2407" s="32"/>
      <c r="K2407" s="32">
        <f t="shared" si="95"/>
        <v>0</v>
      </c>
      <c r="L2407" s="32"/>
      <c r="M2407" s="32"/>
      <c r="N2407" s="32"/>
      <c r="O2407" s="100"/>
      <c r="P2407" s="100"/>
    </row>
    <row r="2408" hidden="1">
      <c r="A2408" s="34" t="s">
        <v>348</v>
      </c>
      <c r="B2408" s="92" t="s">
        <v>216</v>
      </c>
      <c r="C2408" s="92"/>
      <c r="D2408" s="92" t="s">
        <v>274</v>
      </c>
      <c r="E2408" s="80">
        <v>0.0</v>
      </c>
      <c r="F2408" s="80">
        <v>2.0</v>
      </c>
      <c r="G2408" s="80">
        <v>1.0</v>
      </c>
      <c r="H2408" s="34">
        <v>15.0</v>
      </c>
      <c r="I2408" s="80">
        <v>5.0</v>
      </c>
      <c r="J2408" s="32"/>
      <c r="K2408" s="32">
        <f t="shared" si="95"/>
        <v>6250</v>
      </c>
      <c r="L2408" s="32"/>
      <c r="M2408" s="32"/>
      <c r="N2408" s="32"/>
      <c r="O2408" s="32">
        <v>5750.0</v>
      </c>
      <c r="P2408" s="32">
        <f t="shared" ref="P2408:P2439" si="99">MINUS(K2408,O2408)</f>
        <v>500</v>
      </c>
    </row>
    <row r="2409" hidden="1">
      <c r="A2409" s="34" t="s">
        <v>348</v>
      </c>
      <c r="B2409" s="92" t="s">
        <v>119</v>
      </c>
      <c r="C2409" s="92"/>
      <c r="D2409" s="92" t="s">
        <v>121</v>
      </c>
      <c r="E2409" s="80">
        <v>1.0</v>
      </c>
      <c r="F2409" s="80">
        <v>3.0</v>
      </c>
      <c r="G2409" s="80">
        <v>0.0</v>
      </c>
      <c r="H2409" s="34">
        <v>0.0</v>
      </c>
      <c r="I2409" s="80">
        <v>5.0</v>
      </c>
      <c r="J2409" s="32"/>
      <c r="K2409" s="32">
        <f t="shared" si="95"/>
        <v>3000</v>
      </c>
      <c r="L2409" s="32"/>
      <c r="M2409" s="32"/>
      <c r="N2409" s="32"/>
      <c r="O2409" s="32">
        <v>3250.0</v>
      </c>
      <c r="P2409" s="32">
        <f t="shared" si="99"/>
        <v>-250</v>
      </c>
    </row>
    <row r="2410" hidden="1">
      <c r="A2410" s="34" t="s">
        <v>348</v>
      </c>
      <c r="B2410" s="92" t="s">
        <v>267</v>
      </c>
      <c r="C2410" s="92"/>
      <c r="D2410" s="92" t="s">
        <v>269</v>
      </c>
      <c r="E2410" s="80">
        <v>0.0</v>
      </c>
      <c r="F2410" s="80">
        <v>2.0</v>
      </c>
      <c r="G2410" s="80">
        <v>0.0</v>
      </c>
      <c r="H2410" s="34">
        <v>18.0</v>
      </c>
      <c r="I2410" s="80">
        <v>5.0</v>
      </c>
      <c r="J2410" s="32"/>
      <c r="K2410" s="32">
        <f t="shared" si="95"/>
        <v>6750</v>
      </c>
      <c r="L2410" s="32"/>
      <c r="M2410" s="32"/>
      <c r="N2410" s="32"/>
      <c r="O2410" s="32">
        <v>3000.0</v>
      </c>
      <c r="P2410" s="32">
        <f t="shared" si="99"/>
        <v>3750</v>
      </c>
    </row>
    <row r="2411" hidden="1">
      <c r="A2411" s="34" t="s">
        <v>348</v>
      </c>
      <c r="B2411" s="92" t="s">
        <v>275</v>
      </c>
      <c r="C2411" s="92"/>
      <c r="D2411" s="92" t="s">
        <v>277</v>
      </c>
      <c r="E2411" s="80">
        <v>0.0</v>
      </c>
      <c r="F2411" s="80">
        <v>3.0</v>
      </c>
      <c r="G2411" s="80">
        <v>0.0</v>
      </c>
      <c r="H2411" s="34">
        <v>2.0</v>
      </c>
      <c r="I2411" s="80">
        <v>5.0</v>
      </c>
      <c r="J2411" s="32"/>
      <c r="K2411" s="32">
        <f t="shared" si="95"/>
        <v>3250</v>
      </c>
      <c r="L2411" s="32"/>
      <c r="M2411" s="32"/>
      <c r="N2411" s="32"/>
      <c r="O2411" s="32">
        <v>2750.0</v>
      </c>
      <c r="P2411" s="32">
        <f t="shared" si="99"/>
        <v>500</v>
      </c>
    </row>
    <row r="2412" hidden="1">
      <c r="A2412" s="34" t="s">
        <v>348</v>
      </c>
      <c r="B2412" s="92" t="s">
        <v>122</v>
      </c>
      <c r="C2412" s="92"/>
      <c r="D2412" s="92" t="s">
        <v>343</v>
      </c>
      <c r="E2412" s="80">
        <v>1.0</v>
      </c>
      <c r="F2412" s="80">
        <v>6.0</v>
      </c>
      <c r="G2412" s="80">
        <v>1.0</v>
      </c>
      <c r="H2412" s="34">
        <v>3.0</v>
      </c>
      <c r="I2412" s="80">
        <v>4.0</v>
      </c>
      <c r="J2412" s="32"/>
      <c r="K2412" s="32">
        <f t="shared" si="95"/>
        <v>5250</v>
      </c>
      <c r="L2412" s="32"/>
      <c r="M2412" s="32"/>
      <c r="N2412" s="32"/>
      <c r="O2412" s="32">
        <v>3000.0</v>
      </c>
      <c r="P2412" s="32">
        <f t="shared" si="99"/>
        <v>2250</v>
      </c>
    </row>
    <row r="2413" hidden="1">
      <c r="A2413" s="34" t="s">
        <v>348</v>
      </c>
      <c r="B2413" s="92" t="s">
        <v>125</v>
      </c>
      <c r="C2413" s="92"/>
      <c r="D2413" s="92" t="s">
        <v>127</v>
      </c>
      <c r="E2413" s="80">
        <v>0.0</v>
      </c>
      <c r="F2413" s="80">
        <v>7.0</v>
      </c>
      <c r="G2413" s="80">
        <v>0.0</v>
      </c>
      <c r="H2413" s="34">
        <v>0.0</v>
      </c>
      <c r="I2413" s="80">
        <v>5.0</v>
      </c>
      <c r="J2413" s="32"/>
      <c r="K2413" s="32">
        <f t="shared" si="95"/>
        <v>4750</v>
      </c>
      <c r="L2413" s="32"/>
      <c r="M2413" s="32"/>
      <c r="N2413" s="32"/>
      <c r="O2413" s="32">
        <v>2500.0</v>
      </c>
      <c r="P2413" s="32">
        <f t="shared" si="99"/>
        <v>2250</v>
      </c>
    </row>
    <row r="2414" hidden="1">
      <c r="A2414" s="34" t="s">
        <v>348</v>
      </c>
      <c r="B2414" s="92" t="s">
        <v>128</v>
      </c>
      <c r="C2414" s="92"/>
      <c r="D2414" s="92" t="s">
        <v>130</v>
      </c>
      <c r="E2414" s="80">
        <v>1.0</v>
      </c>
      <c r="F2414" s="80">
        <v>0.0</v>
      </c>
      <c r="G2414" s="80">
        <v>0.0</v>
      </c>
      <c r="H2414" s="34">
        <v>2.0</v>
      </c>
      <c r="I2414" s="80">
        <v>5.0</v>
      </c>
      <c r="J2414" s="32"/>
      <c r="K2414" s="32">
        <f t="shared" si="95"/>
        <v>2000</v>
      </c>
      <c r="L2414" s="32"/>
      <c r="M2414" s="32"/>
      <c r="N2414" s="32"/>
      <c r="O2414" s="32">
        <v>4000.0</v>
      </c>
      <c r="P2414" s="32">
        <f t="shared" si="99"/>
        <v>-2000</v>
      </c>
    </row>
    <row r="2415" hidden="1">
      <c r="A2415" s="34" t="s">
        <v>348</v>
      </c>
      <c r="B2415" s="92" t="s">
        <v>131</v>
      </c>
      <c r="C2415" s="92"/>
      <c r="D2415" s="92" t="s">
        <v>133</v>
      </c>
      <c r="E2415" s="80">
        <v>0.0</v>
      </c>
      <c r="F2415" s="80">
        <v>0.0</v>
      </c>
      <c r="G2415" s="80">
        <v>0.0</v>
      </c>
      <c r="H2415" s="34">
        <v>5.0</v>
      </c>
      <c r="I2415" s="80">
        <v>5.0</v>
      </c>
      <c r="J2415" s="32"/>
      <c r="K2415" s="32">
        <f t="shared" si="95"/>
        <v>2500</v>
      </c>
      <c r="L2415" s="32"/>
      <c r="M2415" s="32"/>
      <c r="N2415" s="32"/>
      <c r="O2415" s="32">
        <v>2750.0</v>
      </c>
      <c r="P2415" s="32">
        <f t="shared" si="99"/>
        <v>-250</v>
      </c>
    </row>
    <row r="2416" hidden="1">
      <c r="A2416" s="34" t="s">
        <v>348</v>
      </c>
      <c r="B2416" s="92" t="s">
        <v>134</v>
      </c>
      <c r="C2416" s="92"/>
      <c r="D2416" s="92" t="s">
        <v>136</v>
      </c>
      <c r="E2416" s="80">
        <v>1.0</v>
      </c>
      <c r="F2416" s="80">
        <v>1.0</v>
      </c>
      <c r="G2416" s="80">
        <v>1.0</v>
      </c>
      <c r="H2416" s="34">
        <v>3.0</v>
      </c>
      <c r="I2416" s="80">
        <v>4.0</v>
      </c>
      <c r="J2416" s="32"/>
      <c r="K2416" s="32">
        <f t="shared" si="95"/>
        <v>2750</v>
      </c>
      <c r="L2416" s="32"/>
      <c r="M2416" s="32"/>
      <c r="N2416" s="32"/>
      <c r="O2416" s="32">
        <v>2500.0</v>
      </c>
      <c r="P2416" s="32">
        <f t="shared" si="99"/>
        <v>250</v>
      </c>
    </row>
    <row r="2417" hidden="1">
      <c r="A2417" s="34" t="s">
        <v>348</v>
      </c>
      <c r="B2417" s="92" t="s">
        <v>137</v>
      </c>
      <c r="C2417" s="92"/>
      <c r="D2417" s="92" t="s">
        <v>139</v>
      </c>
      <c r="E2417" s="80">
        <v>0.0</v>
      </c>
      <c r="F2417" s="80">
        <v>7.0</v>
      </c>
      <c r="G2417" s="80">
        <v>1.0</v>
      </c>
      <c r="H2417" s="34">
        <v>12.0</v>
      </c>
      <c r="I2417" s="80">
        <v>5.0</v>
      </c>
      <c r="J2417" s="32"/>
      <c r="K2417" s="32">
        <f t="shared" si="95"/>
        <v>8000</v>
      </c>
      <c r="L2417" s="32"/>
      <c r="M2417" s="32"/>
      <c r="N2417" s="32"/>
      <c r="O2417" s="32">
        <v>8500.0</v>
      </c>
      <c r="P2417" s="32">
        <f t="shared" si="99"/>
        <v>-500</v>
      </c>
    </row>
    <row r="2418" hidden="1">
      <c r="A2418" s="34" t="s">
        <v>348</v>
      </c>
      <c r="B2418" s="92" t="s">
        <v>278</v>
      </c>
      <c r="C2418" s="92"/>
      <c r="D2418" s="92" t="s">
        <v>280</v>
      </c>
      <c r="E2418" s="80">
        <v>0.0</v>
      </c>
      <c r="F2418" s="80">
        <v>6.0</v>
      </c>
      <c r="G2418" s="80">
        <v>1.0</v>
      </c>
      <c r="H2418" s="34">
        <v>7.0</v>
      </c>
      <c r="I2418" s="80">
        <v>5.0</v>
      </c>
      <c r="J2418" s="32"/>
      <c r="K2418" s="32">
        <f t="shared" si="95"/>
        <v>6250</v>
      </c>
      <c r="L2418" s="32"/>
      <c r="M2418" s="32"/>
      <c r="N2418" s="32"/>
      <c r="O2418" s="32">
        <v>1500.0</v>
      </c>
      <c r="P2418" s="32">
        <f t="shared" si="99"/>
        <v>4750</v>
      </c>
    </row>
    <row r="2419" hidden="1">
      <c r="A2419" s="34" t="s">
        <v>348</v>
      </c>
      <c r="B2419" s="92" t="s">
        <v>140</v>
      </c>
      <c r="C2419" s="92"/>
      <c r="D2419" s="92" t="s">
        <v>142</v>
      </c>
      <c r="E2419" s="80">
        <v>0.0</v>
      </c>
      <c r="F2419" s="80">
        <v>1.0</v>
      </c>
      <c r="G2419" s="80">
        <v>0.0</v>
      </c>
      <c r="H2419" s="34">
        <v>0.0</v>
      </c>
      <c r="I2419" s="80">
        <v>5.0</v>
      </c>
      <c r="J2419" s="32"/>
      <c r="K2419" s="32">
        <f t="shared" si="95"/>
        <v>1750</v>
      </c>
      <c r="L2419" s="32"/>
      <c r="M2419" s="32"/>
      <c r="N2419" s="32"/>
      <c r="O2419" s="32">
        <v>2750.0</v>
      </c>
      <c r="P2419" s="32">
        <f t="shared" si="99"/>
        <v>-1000</v>
      </c>
    </row>
    <row r="2420" hidden="1">
      <c r="A2420" s="34" t="s">
        <v>348</v>
      </c>
      <c r="B2420" s="92" t="s">
        <v>207</v>
      </c>
      <c r="C2420" s="92"/>
      <c r="D2420" s="92" t="s">
        <v>281</v>
      </c>
      <c r="E2420" s="80">
        <v>0.0</v>
      </c>
      <c r="F2420" s="80">
        <v>4.0</v>
      </c>
      <c r="G2420" s="80">
        <v>0.0</v>
      </c>
      <c r="H2420" s="34">
        <v>2.0</v>
      </c>
      <c r="I2420" s="80">
        <v>5.0</v>
      </c>
      <c r="J2420" s="32"/>
      <c r="K2420" s="32">
        <f t="shared" si="95"/>
        <v>3750</v>
      </c>
      <c r="L2420" s="32"/>
      <c r="M2420" s="32"/>
      <c r="N2420" s="32"/>
      <c r="O2420" s="32">
        <v>1500.0</v>
      </c>
      <c r="P2420" s="32">
        <f t="shared" si="99"/>
        <v>2250</v>
      </c>
    </row>
    <row r="2421" hidden="1">
      <c r="A2421" s="34" t="s">
        <v>348</v>
      </c>
      <c r="B2421" s="92" t="s">
        <v>282</v>
      </c>
      <c r="C2421" s="92"/>
      <c r="D2421" s="92" t="s">
        <v>284</v>
      </c>
      <c r="E2421" s="80">
        <v>1.0</v>
      </c>
      <c r="F2421" s="80">
        <v>2.0</v>
      </c>
      <c r="G2421" s="80">
        <v>0.0</v>
      </c>
      <c r="H2421" s="34">
        <v>16.0</v>
      </c>
      <c r="I2421" s="80">
        <v>5.0</v>
      </c>
      <c r="J2421" s="32"/>
      <c r="K2421" s="32">
        <f t="shared" si="95"/>
        <v>6500</v>
      </c>
      <c r="L2421" s="32"/>
      <c r="M2421" s="32"/>
      <c r="N2421" s="32"/>
      <c r="O2421" s="32">
        <v>2500.0</v>
      </c>
      <c r="P2421" s="32">
        <f t="shared" si="99"/>
        <v>4000</v>
      </c>
    </row>
    <row r="2422" hidden="1">
      <c r="A2422" s="34" t="s">
        <v>348</v>
      </c>
      <c r="B2422" s="92" t="s">
        <v>285</v>
      </c>
      <c r="C2422" s="92"/>
      <c r="D2422" s="92" t="s">
        <v>287</v>
      </c>
      <c r="E2422" s="80">
        <v>0.0</v>
      </c>
      <c r="F2422" s="80">
        <v>0.0</v>
      </c>
      <c r="G2422" s="80">
        <v>0.0</v>
      </c>
      <c r="H2422" s="34">
        <v>3.0</v>
      </c>
      <c r="I2422" s="80">
        <v>4.0</v>
      </c>
      <c r="J2422" s="32"/>
      <c r="K2422" s="32">
        <f t="shared" si="95"/>
        <v>1750</v>
      </c>
      <c r="L2422" s="32"/>
      <c r="M2422" s="32"/>
      <c r="N2422" s="32"/>
      <c r="O2422" s="32">
        <v>1750.0</v>
      </c>
      <c r="P2422" s="32">
        <f t="shared" si="99"/>
        <v>0</v>
      </c>
    </row>
    <row r="2423" hidden="1">
      <c r="A2423" s="34" t="s">
        <v>348</v>
      </c>
      <c r="B2423" s="92" t="s">
        <v>143</v>
      </c>
      <c r="C2423" s="92"/>
      <c r="D2423" s="92" t="s">
        <v>145</v>
      </c>
      <c r="E2423" s="80">
        <v>0.0</v>
      </c>
      <c r="F2423" s="80">
        <v>1.0</v>
      </c>
      <c r="G2423" s="80">
        <v>0.0</v>
      </c>
      <c r="H2423" s="34">
        <v>11.0</v>
      </c>
      <c r="I2423" s="80">
        <v>5.0</v>
      </c>
      <c r="J2423" s="32"/>
      <c r="K2423" s="32">
        <f t="shared" si="95"/>
        <v>4500</v>
      </c>
      <c r="L2423" s="32"/>
      <c r="M2423" s="32"/>
      <c r="N2423" s="32"/>
      <c r="O2423" s="32">
        <v>2000.0</v>
      </c>
      <c r="P2423" s="32">
        <f t="shared" si="99"/>
        <v>2500</v>
      </c>
    </row>
    <row r="2424" hidden="1">
      <c r="A2424" s="34" t="s">
        <v>348</v>
      </c>
      <c r="B2424" s="92" t="s">
        <v>146</v>
      </c>
      <c r="C2424" s="92"/>
      <c r="D2424" s="92" t="s">
        <v>148</v>
      </c>
      <c r="E2424" s="80">
        <v>0.0</v>
      </c>
      <c r="F2424" s="80">
        <v>3.0</v>
      </c>
      <c r="G2424" s="80">
        <v>0.0</v>
      </c>
      <c r="H2424" s="34">
        <v>0.0</v>
      </c>
      <c r="I2424" s="80">
        <v>5.0</v>
      </c>
      <c r="J2424" s="32"/>
      <c r="K2424" s="32">
        <f t="shared" si="95"/>
        <v>2750</v>
      </c>
      <c r="L2424" s="32"/>
      <c r="M2424" s="32"/>
      <c r="N2424" s="32"/>
      <c r="O2424" s="32">
        <v>3000.0</v>
      </c>
      <c r="P2424" s="32">
        <f t="shared" si="99"/>
        <v>-250</v>
      </c>
    </row>
    <row r="2425" hidden="1">
      <c r="A2425" s="34" t="s">
        <v>348</v>
      </c>
      <c r="B2425" s="92" t="s">
        <v>245</v>
      </c>
      <c r="C2425" s="92"/>
      <c r="D2425" s="92" t="s">
        <v>247</v>
      </c>
      <c r="E2425" s="80">
        <v>1.0</v>
      </c>
      <c r="F2425" s="80">
        <v>0.0</v>
      </c>
      <c r="G2425" s="80">
        <v>0.0</v>
      </c>
      <c r="H2425" s="34">
        <v>0.0</v>
      </c>
      <c r="I2425" s="80">
        <v>5.0</v>
      </c>
      <c r="J2425" s="32"/>
      <c r="K2425" s="32">
        <f t="shared" si="95"/>
        <v>1500</v>
      </c>
      <c r="L2425" s="32"/>
      <c r="M2425" s="32"/>
      <c r="N2425" s="32"/>
      <c r="O2425" s="32">
        <v>4250.0</v>
      </c>
      <c r="P2425" s="32">
        <f t="shared" si="99"/>
        <v>-2750</v>
      </c>
    </row>
    <row r="2426" hidden="1">
      <c r="A2426" s="34" t="s">
        <v>348</v>
      </c>
      <c r="B2426" s="92" t="s">
        <v>210</v>
      </c>
      <c r="C2426" s="92"/>
      <c r="D2426" s="92" t="s">
        <v>212</v>
      </c>
      <c r="E2426" s="80">
        <v>0.0</v>
      </c>
      <c r="F2426" s="80">
        <v>0.0</v>
      </c>
      <c r="G2426" s="80">
        <v>0.0</v>
      </c>
      <c r="H2426" s="34">
        <v>0.0</v>
      </c>
      <c r="I2426" s="80">
        <v>5.0</v>
      </c>
      <c r="J2426" s="32"/>
      <c r="K2426" s="32">
        <f t="shared" si="95"/>
        <v>1250</v>
      </c>
      <c r="L2426" s="32"/>
      <c r="M2426" s="32"/>
      <c r="N2426" s="32"/>
      <c r="O2426" s="32">
        <v>1250.0</v>
      </c>
      <c r="P2426" s="32">
        <f t="shared" si="99"/>
        <v>0</v>
      </c>
    </row>
    <row r="2427" hidden="1">
      <c r="A2427" s="34" t="s">
        <v>348</v>
      </c>
      <c r="B2427" s="92" t="s">
        <v>149</v>
      </c>
      <c r="C2427" s="92"/>
      <c r="D2427" s="92" t="s">
        <v>151</v>
      </c>
      <c r="E2427" s="80">
        <v>0.0</v>
      </c>
      <c r="F2427" s="80">
        <v>1.0</v>
      </c>
      <c r="G2427" s="80">
        <v>1.0</v>
      </c>
      <c r="H2427" s="34">
        <v>5.0</v>
      </c>
      <c r="I2427" s="80">
        <v>6.0</v>
      </c>
      <c r="J2427" s="32"/>
      <c r="K2427" s="32">
        <f t="shared" si="95"/>
        <v>3500</v>
      </c>
      <c r="L2427" s="32"/>
      <c r="M2427" s="32"/>
      <c r="N2427" s="32"/>
      <c r="O2427" s="32">
        <v>1750.0</v>
      </c>
      <c r="P2427" s="32">
        <f t="shared" si="99"/>
        <v>1750</v>
      </c>
    </row>
    <row r="2428" hidden="1">
      <c r="A2428" s="34" t="s">
        <v>348</v>
      </c>
      <c r="B2428" s="92" t="s">
        <v>288</v>
      </c>
      <c r="C2428" s="92"/>
      <c r="D2428" s="92" t="s">
        <v>290</v>
      </c>
      <c r="E2428" s="80">
        <v>0.0</v>
      </c>
      <c r="F2428" s="80">
        <v>2.0</v>
      </c>
      <c r="G2428" s="80">
        <v>5.0</v>
      </c>
      <c r="H2428" s="34">
        <v>0.0</v>
      </c>
      <c r="I2428" s="80">
        <v>5.0</v>
      </c>
      <c r="J2428" s="32"/>
      <c r="K2428" s="32">
        <f t="shared" si="95"/>
        <v>3500</v>
      </c>
      <c r="L2428" s="32"/>
      <c r="M2428" s="32"/>
      <c r="N2428" s="32"/>
      <c r="O2428" s="32">
        <v>2000.0</v>
      </c>
      <c r="P2428" s="32">
        <f t="shared" si="99"/>
        <v>1500</v>
      </c>
    </row>
    <row r="2429" hidden="1">
      <c r="A2429" s="34" t="s">
        <v>348</v>
      </c>
      <c r="B2429" s="92" t="s">
        <v>152</v>
      </c>
      <c r="C2429" s="92"/>
      <c r="D2429" s="92" t="s">
        <v>154</v>
      </c>
      <c r="E2429" s="80">
        <v>0.0</v>
      </c>
      <c r="F2429" s="80">
        <v>2.0</v>
      </c>
      <c r="G2429" s="80">
        <v>1.0</v>
      </c>
      <c r="H2429" s="34">
        <v>8.0</v>
      </c>
      <c r="I2429" s="80">
        <v>5.0</v>
      </c>
      <c r="J2429" s="32"/>
      <c r="K2429" s="32">
        <f t="shared" si="95"/>
        <v>4500</v>
      </c>
      <c r="L2429" s="32"/>
      <c r="M2429" s="32"/>
      <c r="N2429" s="32"/>
      <c r="O2429" s="32">
        <v>6000.0</v>
      </c>
      <c r="P2429" s="32">
        <f t="shared" si="99"/>
        <v>-1500</v>
      </c>
    </row>
    <row r="2430" hidden="1">
      <c r="A2430" s="34" t="s">
        <v>348</v>
      </c>
      <c r="B2430" s="92" t="s">
        <v>155</v>
      </c>
      <c r="C2430" s="92"/>
      <c r="D2430" s="92" t="s">
        <v>157</v>
      </c>
      <c r="E2430" s="80">
        <v>2.0</v>
      </c>
      <c r="F2430" s="80">
        <v>4.0</v>
      </c>
      <c r="G2430" s="80">
        <v>0.0</v>
      </c>
      <c r="H2430" s="34">
        <v>3.0</v>
      </c>
      <c r="I2430" s="80">
        <v>5.0</v>
      </c>
      <c r="J2430" s="32"/>
      <c r="K2430" s="32">
        <f t="shared" si="95"/>
        <v>4500</v>
      </c>
      <c r="L2430" s="32"/>
      <c r="M2430" s="32"/>
      <c r="N2430" s="32"/>
      <c r="O2430" s="32">
        <v>4250.0</v>
      </c>
      <c r="P2430" s="32">
        <f t="shared" si="99"/>
        <v>250</v>
      </c>
    </row>
    <row r="2431" hidden="1">
      <c r="A2431" s="34" t="s">
        <v>348</v>
      </c>
      <c r="B2431" s="92" t="s">
        <v>158</v>
      </c>
      <c r="C2431" s="92"/>
      <c r="D2431" s="92" t="s">
        <v>160</v>
      </c>
      <c r="E2431" s="80">
        <v>0.0</v>
      </c>
      <c r="F2431" s="80">
        <v>4.0</v>
      </c>
      <c r="G2431" s="80">
        <v>0.0</v>
      </c>
      <c r="H2431" s="34">
        <v>0.0</v>
      </c>
      <c r="I2431" s="80">
        <v>5.0</v>
      </c>
      <c r="J2431" s="32"/>
      <c r="K2431" s="32">
        <f t="shared" si="95"/>
        <v>3250</v>
      </c>
      <c r="L2431" s="32"/>
      <c r="M2431" s="32"/>
      <c r="N2431" s="32"/>
      <c r="O2431" s="32">
        <v>2500.0</v>
      </c>
      <c r="P2431" s="32">
        <f t="shared" si="99"/>
        <v>750</v>
      </c>
    </row>
    <row r="2432" hidden="1">
      <c r="A2432" s="34" t="s">
        <v>348</v>
      </c>
      <c r="B2432" s="96" t="s">
        <v>349</v>
      </c>
      <c r="C2432" s="93"/>
      <c r="D2432" s="93" t="s">
        <v>163</v>
      </c>
      <c r="E2432" s="80">
        <v>0.0</v>
      </c>
      <c r="F2432" s="80">
        <v>4.0</v>
      </c>
      <c r="G2432" s="80">
        <v>0.0</v>
      </c>
      <c r="H2432" s="34">
        <v>6.0</v>
      </c>
      <c r="I2432" s="80">
        <v>5.0</v>
      </c>
      <c r="J2432" s="32"/>
      <c r="K2432" s="32">
        <f t="shared" si="95"/>
        <v>4750</v>
      </c>
      <c r="L2432" s="32"/>
      <c r="M2432" s="32"/>
      <c r="N2432" s="32"/>
      <c r="O2432" s="32">
        <v>3000.0</v>
      </c>
      <c r="P2432" s="32">
        <f t="shared" si="99"/>
        <v>1750</v>
      </c>
    </row>
    <row r="2433" hidden="1">
      <c r="A2433" s="34" t="s">
        <v>348</v>
      </c>
      <c r="B2433" s="93" t="s">
        <v>164</v>
      </c>
      <c r="C2433" s="93"/>
      <c r="D2433" s="93" t="s">
        <v>166</v>
      </c>
      <c r="E2433" s="80">
        <v>0.0</v>
      </c>
      <c r="F2433" s="80">
        <v>0.0</v>
      </c>
      <c r="G2433" s="80">
        <v>0.0</v>
      </c>
      <c r="H2433" s="34">
        <v>0.0</v>
      </c>
      <c r="I2433" s="80">
        <v>1.0</v>
      </c>
      <c r="J2433" s="32"/>
      <c r="K2433" s="32">
        <f t="shared" si="95"/>
        <v>250</v>
      </c>
      <c r="L2433" s="32"/>
      <c r="M2433" s="32"/>
      <c r="N2433" s="32"/>
      <c r="O2433" s="32">
        <v>2750.0</v>
      </c>
      <c r="P2433" s="32">
        <f t="shared" si="99"/>
        <v>-2500</v>
      </c>
    </row>
    <row r="2434" hidden="1">
      <c r="A2434" s="34" t="s">
        <v>348</v>
      </c>
      <c r="B2434" s="93" t="s">
        <v>167</v>
      </c>
      <c r="C2434" s="93"/>
      <c r="D2434" s="93" t="s">
        <v>169</v>
      </c>
      <c r="E2434" s="80">
        <v>1.0</v>
      </c>
      <c r="F2434" s="80">
        <v>1.0</v>
      </c>
      <c r="G2434" s="80">
        <v>1.0</v>
      </c>
      <c r="H2434" s="34">
        <v>1.0</v>
      </c>
      <c r="I2434" s="80">
        <v>0.0</v>
      </c>
      <c r="J2434" s="32"/>
      <c r="K2434" s="32">
        <f t="shared" si="95"/>
        <v>1250</v>
      </c>
      <c r="L2434" s="32"/>
      <c r="M2434" s="32"/>
      <c r="N2434" s="32"/>
      <c r="O2434" s="32">
        <v>2500.0</v>
      </c>
      <c r="P2434" s="32">
        <f t="shared" si="99"/>
        <v>-1250</v>
      </c>
    </row>
    <row r="2435" hidden="1">
      <c r="A2435" s="34" t="s">
        <v>348</v>
      </c>
      <c r="B2435" s="93" t="s">
        <v>170</v>
      </c>
      <c r="C2435" s="93"/>
      <c r="D2435" s="93" t="s">
        <v>172</v>
      </c>
      <c r="E2435" s="80">
        <v>1.0</v>
      </c>
      <c r="F2435" s="80">
        <v>0.0</v>
      </c>
      <c r="G2435" s="80">
        <v>0.0</v>
      </c>
      <c r="H2435" s="34">
        <v>8.0</v>
      </c>
      <c r="I2435" s="80">
        <v>2.0</v>
      </c>
      <c r="J2435" s="32"/>
      <c r="K2435" s="32">
        <f t="shared" si="95"/>
        <v>2750</v>
      </c>
      <c r="L2435" s="32"/>
      <c r="M2435" s="32"/>
      <c r="N2435" s="32"/>
      <c r="O2435" s="32">
        <v>750.0</v>
      </c>
      <c r="P2435" s="32">
        <f t="shared" si="99"/>
        <v>2000</v>
      </c>
    </row>
    <row r="2436" hidden="1">
      <c r="A2436" s="34" t="s">
        <v>348</v>
      </c>
      <c r="B2436" s="92" t="s">
        <v>173</v>
      </c>
      <c r="C2436" s="92"/>
      <c r="D2436" s="92" t="s">
        <v>175</v>
      </c>
      <c r="E2436" s="80">
        <v>0.0</v>
      </c>
      <c r="F2436" s="80">
        <v>0.0</v>
      </c>
      <c r="G2436" s="80">
        <v>0.0</v>
      </c>
      <c r="H2436" s="34">
        <v>0.0</v>
      </c>
      <c r="I2436" s="80">
        <v>0.0</v>
      </c>
      <c r="J2436" s="32"/>
      <c r="K2436" s="32">
        <f t="shared" si="95"/>
        <v>0</v>
      </c>
      <c r="L2436" s="32"/>
      <c r="M2436" s="32"/>
      <c r="N2436" s="32"/>
      <c r="O2436" s="32">
        <v>0.0</v>
      </c>
      <c r="P2436" s="32">
        <f t="shared" si="99"/>
        <v>0</v>
      </c>
    </row>
    <row r="2437" hidden="1">
      <c r="A2437" s="34" t="s">
        <v>348</v>
      </c>
      <c r="B2437" s="92" t="s">
        <v>176</v>
      </c>
      <c r="C2437" s="92"/>
      <c r="D2437" s="92" t="s">
        <v>178</v>
      </c>
      <c r="E2437" s="80">
        <v>0.0</v>
      </c>
      <c r="F2437" s="80">
        <v>0.0</v>
      </c>
      <c r="G2437" s="80">
        <v>0.0</v>
      </c>
      <c r="H2437" s="34">
        <v>0.0</v>
      </c>
      <c r="I2437" s="80">
        <v>1.0</v>
      </c>
      <c r="J2437" s="32"/>
      <c r="K2437" s="32">
        <f t="shared" si="95"/>
        <v>250</v>
      </c>
      <c r="L2437" s="32"/>
      <c r="M2437" s="32"/>
      <c r="N2437" s="32"/>
      <c r="O2437" s="32">
        <v>250.0</v>
      </c>
      <c r="P2437" s="32">
        <f t="shared" si="99"/>
        <v>0</v>
      </c>
    </row>
    <row r="2438" hidden="1">
      <c r="A2438" s="34" t="s">
        <v>348</v>
      </c>
      <c r="B2438" s="92" t="s">
        <v>344</v>
      </c>
      <c r="C2438" s="92"/>
      <c r="D2438" s="92" t="s">
        <v>345</v>
      </c>
      <c r="E2438" s="83"/>
      <c r="F2438" s="83"/>
      <c r="G2438" s="83"/>
      <c r="H2438" s="78"/>
      <c r="I2438" s="83"/>
      <c r="J2438" s="32"/>
      <c r="K2438" s="32">
        <f t="shared" si="95"/>
        <v>0</v>
      </c>
      <c r="L2438" s="32"/>
      <c r="M2438" s="32"/>
      <c r="N2438" s="32"/>
      <c r="O2438" s="32">
        <v>0.0</v>
      </c>
      <c r="P2438" s="32">
        <f t="shared" si="99"/>
        <v>0</v>
      </c>
    </row>
    <row r="2439" hidden="1">
      <c r="A2439" s="34" t="s">
        <v>348</v>
      </c>
      <c r="B2439" s="92" t="s">
        <v>271</v>
      </c>
      <c r="C2439" s="92"/>
      <c r="D2439" s="92" t="s">
        <v>346</v>
      </c>
      <c r="E2439" s="83"/>
      <c r="F2439" s="83"/>
      <c r="G2439" s="83"/>
      <c r="H2439" s="78"/>
      <c r="I2439" s="83"/>
      <c r="J2439" s="32"/>
      <c r="K2439" s="32">
        <f t="shared" si="95"/>
        <v>0</v>
      </c>
      <c r="L2439" s="32"/>
      <c r="M2439" s="32"/>
      <c r="N2439" s="32"/>
      <c r="O2439" s="32">
        <v>0.0</v>
      </c>
      <c r="P2439" s="32">
        <f t="shared" si="99"/>
        <v>0</v>
      </c>
    </row>
    <row r="2440" hidden="1">
      <c r="A2440" s="34" t="s">
        <v>350</v>
      </c>
      <c r="B2440" s="92" t="s">
        <v>216</v>
      </c>
      <c r="C2440" s="92"/>
      <c r="D2440" s="92" t="s">
        <v>274</v>
      </c>
      <c r="E2440" s="80">
        <v>1.0</v>
      </c>
      <c r="F2440" s="80">
        <v>7.0</v>
      </c>
      <c r="G2440" s="80">
        <v>3.0</v>
      </c>
      <c r="H2440" s="80"/>
      <c r="I2440" s="80">
        <v>5.0</v>
      </c>
      <c r="J2440" s="32"/>
      <c r="K2440" s="32" t="str">
        <f t="shared" ref="K2440:K2463" si="100">sum(E2440*250)+(F2440*500)+(#REF!*250)+(G2440*250)+(H2440*250)+(I2440*250)</f>
        <v>#REF!</v>
      </c>
      <c r="L2440" s="32"/>
      <c r="M2440" s="32"/>
      <c r="N2440" s="32"/>
      <c r="O2440" s="32"/>
      <c r="P2440" s="32"/>
    </row>
    <row r="2441" hidden="1">
      <c r="A2441" s="34" t="s">
        <v>350</v>
      </c>
      <c r="B2441" s="92" t="s">
        <v>119</v>
      </c>
      <c r="C2441" s="92"/>
      <c r="D2441" s="92" t="s">
        <v>121</v>
      </c>
      <c r="E2441" s="80">
        <v>0.0</v>
      </c>
      <c r="F2441" s="80">
        <v>4.0</v>
      </c>
      <c r="G2441" s="80">
        <v>0.0</v>
      </c>
      <c r="H2441" s="102"/>
      <c r="I2441" s="80">
        <v>6.0</v>
      </c>
      <c r="J2441" s="32"/>
      <c r="K2441" s="32" t="str">
        <f t="shared" si="100"/>
        <v>#REF!</v>
      </c>
      <c r="L2441" s="32"/>
      <c r="M2441" s="32"/>
      <c r="N2441" s="32"/>
      <c r="O2441" s="32"/>
      <c r="P2441" s="32"/>
    </row>
    <row r="2442" hidden="1">
      <c r="A2442" s="34" t="s">
        <v>350</v>
      </c>
      <c r="B2442" s="92" t="s">
        <v>267</v>
      </c>
      <c r="C2442" s="92"/>
      <c r="D2442" s="92" t="s">
        <v>269</v>
      </c>
      <c r="E2442" s="80">
        <v>0.0</v>
      </c>
      <c r="F2442" s="80">
        <v>2.0</v>
      </c>
      <c r="G2442" s="80">
        <v>3.0</v>
      </c>
      <c r="H2442" s="80"/>
      <c r="I2442" s="80">
        <v>5.0</v>
      </c>
      <c r="J2442" s="32"/>
      <c r="K2442" s="32" t="str">
        <f t="shared" si="100"/>
        <v>#REF!</v>
      </c>
      <c r="L2442" s="32"/>
      <c r="M2442" s="32"/>
      <c r="N2442" s="32"/>
      <c r="O2442" s="32"/>
      <c r="P2442" s="32"/>
    </row>
    <row r="2443" hidden="1">
      <c r="A2443" s="34" t="s">
        <v>350</v>
      </c>
      <c r="B2443" s="92" t="s">
        <v>275</v>
      </c>
      <c r="C2443" s="92"/>
      <c r="D2443" s="92" t="s">
        <v>277</v>
      </c>
      <c r="E2443" s="80">
        <v>0.0</v>
      </c>
      <c r="F2443" s="80">
        <v>3.0</v>
      </c>
      <c r="G2443" s="80">
        <v>0.0</v>
      </c>
      <c r="H2443" s="80"/>
      <c r="I2443" s="80">
        <v>5.0</v>
      </c>
      <c r="J2443" s="32"/>
      <c r="K2443" s="32" t="str">
        <f t="shared" si="100"/>
        <v>#REF!</v>
      </c>
      <c r="L2443" s="32"/>
      <c r="M2443" s="32"/>
      <c r="N2443" s="32"/>
      <c r="O2443" s="32"/>
      <c r="P2443" s="32"/>
    </row>
    <row r="2444" hidden="1">
      <c r="A2444" s="34" t="s">
        <v>350</v>
      </c>
      <c r="B2444" s="92" t="s">
        <v>122</v>
      </c>
      <c r="C2444" s="92"/>
      <c r="D2444" s="92" t="s">
        <v>343</v>
      </c>
      <c r="E2444" s="80">
        <v>0.0</v>
      </c>
      <c r="F2444" s="80">
        <v>4.0</v>
      </c>
      <c r="G2444" s="80">
        <v>0.0</v>
      </c>
      <c r="H2444" s="80"/>
      <c r="I2444" s="80">
        <v>4.0</v>
      </c>
      <c r="J2444" s="32"/>
      <c r="K2444" s="32" t="str">
        <f t="shared" si="100"/>
        <v>#REF!</v>
      </c>
      <c r="L2444" s="32"/>
      <c r="M2444" s="32"/>
      <c r="N2444" s="32"/>
      <c r="O2444" s="32"/>
      <c r="P2444" s="32"/>
    </row>
    <row r="2445" hidden="1">
      <c r="A2445" s="34" t="s">
        <v>350</v>
      </c>
      <c r="B2445" s="92" t="s">
        <v>125</v>
      </c>
      <c r="C2445" s="92"/>
      <c r="D2445" s="92" t="s">
        <v>127</v>
      </c>
      <c r="E2445" s="80">
        <v>1.0</v>
      </c>
      <c r="F2445" s="80">
        <v>2.0</v>
      </c>
      <c r="G2445" s="80">
        <v>0.0</v>
      </c>
      <c r="H2445" s="80"/>
      <c r="I2445" s="80">
        <v>5.0</v>
      </c>
      <c r="J2445" s="32"/>
      <c r="K2445" s="32" t="str">
        <f t="shared" si="100"/>
        <v>#REF!</v>
      </c>
      <c r="L2445" s="32"/>
      <c r="M2445" s="32"/>
      <c r="N2445" s="32"/>
      <c r="O2445" s="32"/>
      <c r="P2445" s="32"/>
    </row>
    <row r="2446" hidden="1">
      <c r="A2446" s="34" t="s">
        <v>350</v>
      </c>
      <c r="B2446" s="92" t="s">
        <v>128</v>
      </c>
      <c r="C2446" s="92"/>
      <c r="D2446" s="92" t="s">
        <v>130</v>
      </c>
      <c r="E2446" s="80">
        <v>0.0</v>
      </c>
      <c r="F2446" s="80">
        <v>5.0</v>
      </c>
      <c r="G2446" s="80">
        <v>1.0</v>
      </c>
      <c r="H2446" s="80"/>
      <c r="I2446" s="80">
        <v>5.0</v>
      </c>
      <c r="J2446" s="32"/>
      <c r="K2446" s="32" t="str">
        <f t="shared" si="100"/>
        <v>#REF!</v>
      </c>
      <c r="L2446" s="32"/>
      <c r="M2446" s="32"/>
      <c r="N2446" s="32"/>
      <c r="O2446" s="32"/>
      <c r="P2446" s="32"/>
    </row>
    <row r="2447" hidden="1">
      <c r="A2447" s="34" t="s">
        <v>350</v>
      </c>
      <c r="B2447" s="92" t="s">
        <v>131</v>
      </c>
      <c r="C2447" s="92"/>
      <c r="D2447" s="92" t="s">
        <v>133</v>
      </c>
      <c r="E2447" s="80">
        <v>0.0</v>
      </c>
      <c r="F2447" s="80">
        <v>3.0</v>
      </c>
      <c r="G2447" s="80">
        <v>0.0</v>
      </c>
      <c r="H2447" s="80"/>
      <c r="I2447" s="80">
        <v>5.0</v>
      </c>
      <c r="J2447" s="32"/>
      <c r="K2447" s="32" t="str">
        <f t="shared" si="100"/>
        <v>#REF!</v>
      </c>
      <c r="L2447" s="32"/>
      <c r="M2447" s="32"/>
      <c r="N2447" s="32"/>
      <c r="O2447" s="32"/>
      <c r="P2447" s="32"/>
    </row>
    <row r="2448" hidden="1">
      <c r="A2448" s="34" t="s">
        <v>350</v>
      </c>
      <c r="B2448" s="92" t="s">
        <v>134</v>
      </c>
      <c r="C2448" s="92"/>
      <c r="D2448" s="92" t="s">
        <v>136</v>
      </c>
      <c r="E2448" s="80">
        <v>2.0</v>
      </c>
      <c r="F2448" s="80">
        <v>1.0</v>
      </c>
      <c r="G2448" s="80">
        <v>1.0</v>
      </c>
      <c r="H2448" s="80"/>
      <c r="I2448" s="80">
        <v>5.0</v>
      </c>
      <c r="J2448" s="32"/>
      <c r="K2448" s="32" t="str">
        <f t="shared" si="100"/>
        <v>#REF!</v>
      </c>
      <c r="L2448" s="32"/>
      <c r="M2448" s="32"/>
      <c r="N2448" s="32"/>
      <c r="O2448" s="32"/>
      <c r="P2448" s="32"/>
    </row>
    <row r="2449" hidden="1">
      <c r="A2449" s="34" t="s">
        <v>350</v>
      </c>
      <c r="B2449" s="92" t="s">
        <v>137</v>
      </c>
      <c r="C2449" s="92"/>
      <c r="D2449" s="92" t="s">
        <v>139</v>
      </c>
      <c r="E2449" s="80">
        <v>0.0</v>
      </c>
      <c r="F2449" s="80">
        <v>12.0</v>
      </c>
      <c r="G2449" s="80">
        <v>5.0</v>
      </c>
      <c r="H2449" s="80"/>
      <c r="I2449" s="80">
        <v>5.0</v>
      </c>
      <c r="J2449" s="32"/>
      <c r="K2449" s="32" t="str">
        <f t="shared" si="100"/>
        <v>#REF!</v>
      </c>
      <c r="L2449" s="32"/>
      <c r="M2449" s="32"/>
      <c r="N2449" s="32"/>
      <c r="O2449" s="32"/>
      <c r="P2449" s="32"/>
    </row>
    <row r="2450" hidden="1">
      <c r="A2450" s="34" t="s">
        <v>350</v>
      </c>
      <c r="B2450" s="92" t="s">
        <v>278</v>
      </c>
      <c r="C2450" s="92"/>
      <c r="D2450" s="92" t="s">
        <v>280</v>
      </c>
      <c r="E2450" s="80">
        <v>1.0</v>
      </c>
      <c r="F2450" s="80">
        <v>0.0</v>
      </c>
      <c r="G2450" s="80">
        <v>0.0</v>
      </c>
      <c r="H2450" s="80"/>
      <c r="I2450" s="80">
        <v>5.0</v>
      </c>
      <c r="J2450" s="32"/>
      <c r="K2450" s="32" t="str">
        <f t="shared" si="100"/>
        <v>#REF!</v>
      </c>
      <c r="L2450" s="32"/>
      <c r="M2450" s="32"/>
      <c r="N2450" s="32"/>
      <c r="O2450" s="32"/>
      <c r="P2450" s="32"/>
    </row>
    <row r="2451" hidden="1">
      <c r="A2451" s="34" t="s">
        <v>350</v>
      </c>
      <c r="B2451" s="92" t="s">
        <v>140</v>
      </c>
      <c r="C2451" s="92"/>
      <c r="D2451" s="92" t="s">
        <v>142</v>
      </c>
      <c r="E2451" s="80">
        <v>1.0</v>
      </c>
      <c r="F2451" s="80">
        <v>2.0</v>
      </c>
      <c r="G2451" s="80">
        <v>1.0</v>
      </c>
      <c r="H2451" s="80"/>
      <c r="I2451" s="80">
        <v>5.0</v>
      </c>
      <c r="J2451" s="32"/>
      <c r="K2451" s="32" t="str">
        <f t="shared" si="100"/>
        <v>#REF!</v>
      </c>
      <c r="L2451" s="32"/>
      <c r="M2451" s="32"/>
      <c r="N2451" s="32"/>
      <c r="O2451" s="32"/>
      <c r="P2451" s="32"/>
    </row>
    <row r="2452" hidden="1">
      <c r="A2452" s="34" t="s">
        <v>350</v>
      </c>
      <c r="B2452" s="92" t="s">
        <v>207</v>
      </c>
      <c r="C2452" s="92"/>
      <c r="D2452" s="92" t="s">
        <v>281</v>
      </c>
      <c r="E2452" s="80">
        <v>0.0</v>
      </c>
      <c r="F2452" s="80">
        <v>0.0</v>
      </c>
      <c r="G2452" s="80">
        <v>1.0</v>
      </c>
      <c r="H2452" s="80"/>
      <c r="I2452" s="80">
        <v>5.0</v>
      </c>
      <c r="J2452" s="32"/>
      <c r="K2452" s="32" t="str">
        <f t="shared" si="100"/>
        <v>#REF!</v>
      </c>
      <c r="L2452" s="32"/>
      <c r="M2452" s="32"/>
      <c r="N2452" s="32"/>
      <c r="O2452" s="32"/>
      <c r="P2452" s="32"/>
    </row>
    <row r="2453" hidden="1">
      <c r="A2453" s="34" t="s">
        <v>350</v>
      </c>
      <c r="B2453" s="92" t="s">
        <v>282</v>
      </c>
      <c r="C2453" s="92"/>
      <c r="D2453" s="92" t="s">
        <v>284</v>
      </c>
      <c r="E2453" s="80">
        <v>0.0</v>
      </c>
      <c r="F2453" s="80">
        <v>1.0</v>
      </c>
      <c r="G2453" s="80">
        <v>3.0</v>
      </c>
      <c r="H2453" s="80"/>
      <c r="I2453" s="80">
        <v>5.0</v>
      </c>
      <c r="J2453" s="32"/>
      <c r="K2453" s="32" t="str">
        <f t="shared" si="100"/>
        <v>#REF!</v>
      </c>
      <c r="L2453" s="32"/>
      <c r="M2453" s="32"/>
      <c r="N2453" s="32"/>
      <c r="O2453" s="32"/>
      <c r="P2453" s="32"/>
    </row>
    <row r="2454" hidden="1">
      <c r="A2454" s="34" t="s">
        <v>350</v>
      </c>
      <c r="B2454" s="92" t="s">
        <v>285</v>
      </c>
      <c r="C2454" s="92"/>
      <c r="D2454" s="92" t="s">
        <v>287</v>
      </c>
      <c r="E2454" s="80">
        <v>0.0</v>
      </c>
      <c r="F2454" s="80">
        <v>1.0</v>
      </c>
      <c r="G2454" s="80">
        <v>0.0</v>
      </c>
      <c r="H2454" s="80"/>
      <c r="I2454" s="80">
        <v>5.0</v>
      </c>
      <c r="J2454" s="32"/>
      <c r="K2454" s="32" t="str">
        <f t="shared" si="100"/>
        <v>#REF!</v>
      </c>
      <c r="L2454" s="32"/>
      <c r="M2454" s="32"/>
      <c r="N2454" s="32"/>
      <c r="O2454" s="32"/>
      <c r="P2454" s="32"/>
    </row>
    <row r="2455" hidden="1">
      <c r="A2455" s="34" t="s">
        <v>350</v>
      </c>
      <c r="B2455" s="92" t="s">
        <v>143</v>
      </c>
      <c r="C2455" s="92"/>
      <c r="D2455" s="92" t="s">
        <v>145</v>
      </c>
      <c r="E2455" s="80">
        <v>0.0</v>
      </c>
      <c r="F2455" s="80">
        <v>1.0</v>
      </c>
      <c r="G2455" s="80">
        <v>1.0</v>
      </c>
      <c r="H2455" s="80"/>
      <c r="I2455" s="80">
        <v>5.0</v>
      </c>
      <c r="J2455" s="32"/>
      <c r="K2455" s="32" t="str">
        <f t="shared" si="100"/>
        <v>#REF!</v>
      </c>
      <c r="L2455" s="32"/>
      <c r="M2455" s="32"/>
      <c r="N2455" s="32"/>
      <c r="O2455" s="32"/>
      <c r="P2455" s="32"/>
    </row>
    <row r="2456" hidden="1">
      <c r="A2456" s="34" t="s">
        <v>350</v>
      </c>
      <c r="B2456" s="92" t="s">
        <v>146</v>
      </c>
      <c r="C2456" s="92"/>
      <c r="D2456" s="92" t="s">
        <v>148</v>
      </c>
      <c r="E2456" s="80">
        <v>0.0</v>
      </c>
      <c r="F2456" s="80">
        <v>3.0</v>
      </c>
      <c r="G2456" s="80">
        <v>1.0</v>
      </c>
      <c r="H2456" s="80"/>
      <c r="I2456" s="80">
        <v>5.0</v>
      </c>
      <c r="J2456" s="32"/>
      <c r="K2456" s="32" t="str">
        <f t="shared" si="100"/>
        <v>#REF!</v>
      </c>
      <c r="L2456" s="32"/>
      <c r="M2456" s="32"/>
      <c r="N2456" s="32"/>
      <c r="O2456" s="32"/>
      <c r="P2456" s="32"/>
    </row>
    <row r="2457" hidden="1">
      <c r="A2457" s="34" t="s">
        <v>350</v>
      </c>
      <c r="B2457" s="92" t="s">
        <v>245</v>
      </c>
      <c r="C2457" s="92"/>
      <c r="D2457" s="92" t="s">
        <v>247</v>
      </c>
      <c r="E2457" s="80">
        <v>0.0</v>
      </c>
      <c r="F2457" s="80">
        <v>6.0</v>
      </c>
      <c r="G2457" s="80">
        <v>0.0</v>
      </c>
      <c r="H2457" s="80"/>
      <c r="I2457" s="80">
        <v>5.0</v>
      </c>
      <c r="J2457" s="32"/>
      <c r="K2457" s="32" t="str">
        <f t="shared" si="100"/>
        <v>#REF!</v>
      </c>
      <c r="L2457" s="32"/>
      <c r="M2457" s="32"/>
      <c r="N2457" s="32"/>
      <c r="O2457" s="32"/>
      <c r="P2457" s="32"/>
    </row>
    <row r="2458" hidden="1">
      <c r="A2458" s="34" t="s">
        <v>350</v>
      </c>
      <c r="B2458" s="92" t="s">
        <v>210</v>
      </c>
      <c r="C2458" s="92"/>
      <c r="D2458" s="92" t="s">
        <v>212</v>
      </c>
      <c r="E2458" s="80">
        <v>0.0</v>
      </c>
      <c r="F2458" s="80">
        <v>0.0</v>
      </c>
      <c r="G2458" s="80">
        <v>0.0</v>
      </c>
      <c r="H2458" s="80"/>
      <c r="I2458" s="80">
        <v>5.0</v>
      </c>
      <c r="J2458" s="32"/>
      <c r="K2458" s="32" t="str">
        <f t="shared" si="100"/>
        <v>#REF!</v>
      </c>
      <c r="L2458" s="32"/>
      <c r="M2458" s="32"/>
      <c r="N2458" s="32"/>
      <c r="O2458" s="32"/>
      <c r="P2458" s="32"/>
    </row>
    <row r="2459" hidden="1">
      <c r="A2459" s="34" t="s">
        <v>350</v>
      </c>
      <c r="B2459" s="92" t="s">
        <v>149</v>
      </c>
      <c r="C2459" s="92"/>
      <c r="D2459" s="92" t="s">
        <v>151</v>
      </c>
      <c r="E2459" s="80">
        <v>0.0</v>
      </c>
      <c r="F2459" s="80">
        <v>0.0</v>
      </c>
      <c r="G2459" s="80">
        <v>2.0</v>
      </c>
      <c r="H2459" s="80"/>
      <c r="I2459" s="80">
        <v>5.0</v>
      </c>
      <c r="J2459" s="32"/>
      <c r="K2459" s="32" t="str">
        <f t="shared" si="100"/>
        <v>#REF!</v>
      </c>
      <c r="L2459" s="32"/>
      <c r="M2459" s="32"/>
      <c r="N2459" s="32"/>
      <c r="O2459" s="32"/>
      <c r="P2459" s="32"/>
    </row>
    <row r="2460" hidden="1">
      <c r="A2460" s="34" t="s">
        <v>350</v>
      </c>
      <c r="B2460" s="92" t="s">
        <v>288</v>
      </c>
      <c r="C2460" s="92"/>
      <c r="D2460" s="92" t="s">
        <v>290</v>
      </c>
      <c r="E2460" s="80">
        <v>0.0</v>
      </c>
      <c r="F2460" s="80">
        <v>2.0</v>
      </c>
      <c r="G2460" s="80">
        <v>0.0</v>
      </c>
      <c r="H2460" s="80"/>
      <c r="I2460" s="80">
        <v>4.0</v>
      </c>
      <c r="J2460" s="32"/>
      <c r="K2460" s="32" t="str">
        <f t="shared" si="100"/>
        <v>#REF!</v>
      </c>
      <c r="L2460" s="32"/>
      <c r="M2460" s="32"/>
      <c r="N2460" s="32"/>
      <c r="O2460" s="32"/>
      <c r="P2460" s="32"/>
    </row>
    <row r="2461" hidden="1">
      <c r="A2461" s="34" t="s">
        <v>350</v>
      </c>
      <c r="B2461" s="92" t="s">
        <v>152</v>
      </c>
      <c r="C2461" s="92"/>
      <c r="D2461" s="92" t="s">
        <v>154</v>
      </c>
      <c r="E2461" s="80">
        <v>5.0</v>
      </c>
      <c r="F2461" s="80">
        <v>6.0</v>
      </c>
      <c r="G2461" s="80">
        <v>2.0</v>
      </c>
      <c r="H2461" s="80"/>
      <c r="I2461" s="80">
        <v>5.0</v>
      </c>
      <c r="J2461" s="32"/>
      <c r="K2461" s="32" t="str">
        <f t="shared" si="100"/>
        <v>#REF!</v>
      </c>
      <c r="L2461" s="32"/>
      <c r="M2461" s="32"/>
      <c r="N2461" s="32"/>
      <c r="O2461" s="32"/>
      <c r="P2461" s="32"/>
    </row>
    <row r="2462" hidden="1">
      <c r="A2462" s="34" t="s">
        <v>350</v>
      </c>
      <c r="B2462" s="92" t="s">
        <v>155</v>
      </c>
      <c r="C2462" s="92"/>
      <c r="D2462" s="92" t="s">
        <v>157</v>
      </c>
      <c r="E2462" s="80">
        <v>2.0</v>
      </c>
      <c r="F2462" s="80">
        <v>5.0</v>
      </c>
      <c r="G2462" s="80">
        <v>0.0</v>
      </c>
      <c r="H2462" s="80"/>
      <c r="I2462" s="80">
        <v>5.0</v>
      </c>
      <c r="J2462" s="32"/>
      <c r="K2462" s="32" t="str">
        <f t="shared" si="100"/>
        <v>#REF!</v>
      </c>
      <c r="L2462" s="32"/>
      <c r="M2462" s="32"/>
      <c r="N2462" s="32"/>
      <c r="O2462" s="32"/>
      <c r="P2462" s="32"/>
    </row>
    <row r="2463" hidden="1">
      <c r="A2463" s="34" t="s">
        <v>350</v>
      </c>
      <c r="B2463" s="92" t="s">
        <v>158</v>
      </c>
      <c r="C2463" s="92"/>
      <c r="D2463" s="92" t="s">
        <v>160</v>
      </c>
      <c r="E2463" s="80">
        <v>1.0</v>
      </c>
      <c r="F2463" s="80">
        <v>2.0</v>
      </c>
      <c r="G2463" s="80">
        <v>0.0</v>
      </c>
      <c r="H2463" s="80"/>
      <c r="I2463" s="80">
        <v>5.0</v>
      </c>
      <c r="J2463" s="32"/>
      <c r="K2463" s="32" t="str">
        <f t="shared" si="100"/>
        <v>#REF!</v>
      </c>
      <c r="L2463" s="32"/>
      <c r="M2463" s="32"/>
      <c r="N2463" s="32"/>
      <c r="O2463" s="32"/>
      <c r="P2463" s="32"/>
    </row>
    <row r="2464" hidden="1">
      <c r="A2464" s="34" t="s">
        <v>350</v>
      </c>
      <c r="B2464" s="93" t="s">
        <v>161</v>
      </c>
      <c r="C2464" s="93"/>
      <c r="D2464" s="93" t="s">
        <v>163</v>
      </c>
      <c r="E2464" s="80">
        <v>1.0</v>
      </c>
      <c r="F2464" s="80">
        <v>3.0</v>
      </c>
      <c r="G2464" s="80">
        <v>0.0</v>
      </c>
      <c r="H2464" s="80"/>
      <c r="I2464" s="80">
        <v>5.0</v>
      </c>
      <c r="J2464" s="32"/>
      <c r="K2464" s="32">
        <f>sum(E2464*250)+(F2464*500)+(G2464*250)+(H2464*250)+(I2464*250)</f>
        <v>3000</v>
      </c>
      <c r="L2464" s="32"/>
      <c r="M2464" s="32"/>
      <c r="N2464" s="32"/>
      <c r="O2464" s="32"/>
      <c r="P2464" s="32"/>
    </row>
    <row r="2465" hidden="1">
      <c r="A2465" s="34" t="s">
        <v>350</v>
      </c>
      <c r="B2465" s="93" t="s">
        <v>164</v>
      </c>
      <c r="C2465" s="93"/>
      <c r="D2465" s="93" t="s">
        <v>166</v>
      </c>
      <c r="E2465" s="80">
        <v>3.0</v>
      </c>
      <c r="F2465" s="80">
        <v>2.0</v>
      </c>
      <c r="G2465" s="80">
        <v>0.0</v>
      </c>
      <c r="H2465" s="80"/>
      <c r="I2465" s="80">
        <v>4.0</v>
      </c>
      <c r="J2465" s="32"/>
      <c r="K2465" s="32" t="str">
        <f t="shared" ref="K2465:K2471" si="101">sum(E2465*250)+(F2465*500)+(#REF!*250)+(G2465*250)+(H2465*250)+(I2465*250)</f>
        <v>#REF!</v>
      </c>
      <c r="L2465" s="32"/>
      <c r="M2465" s="32"/>
      <c r="N2465" s="32"/>
      <c r="O2465" s="32"/>
      <c r="P2465" s="32"/>
    </row>
    <row r="2466" hidden="1">
      <c r="A2466" s="34" t="s">
        <v>350</v>
      </c>
      <c r="B2466" s="93" t="s">
        <v>167</v>
      </c>
      <c r="C2466" s="93"/>
      <c r="D2466" s="93" t="s">
        <v>169</v>
      </c>
      <c r="E2466" s="80">
        <v>5.0</v>
      </c>
      <c r="F2466" s="80">
        <v>1.0</v>
      </c>
      <c r="G2466" s="80">
        <v>0.0</v>
      </c>
      <c r="H2466" s="80"/>
      <c r="I2466" s="80">
        <v>3.0</v>
      </c>
      <c r="J2466" s="32"/>
      <c r="K2466" s="32" t="str">
        <f t="shared" si="101"/>
        <v>#REF!</v>
      </c>
      <c r="L2466" s="32"/>
      <c r="M2466" s="32"/>
      <c r="N2466" s="32"/>
      <c r="O2466" s="32"/>
      <c r="P2466" s="32"/>
    </row>
    <row r="2467" hidden="1">
      <c r="A2467" s="34" t="s">
        <v>350</v>
      </c>
      <c r="B2467" s="93" t="s">
        <v>170</v>
      </c>
      <c r="C2467" s="93"/>
      <c r="D2467" s="93" t="s">
        <v>172</v>
      </c>
      <c r="E2467" s="80">
        <v>1.0</v>
      </c>
      <c r="F2467" s="80">
        <v>0.0</v>
      </c>
      <c r="G2467" s="80">
        <v>0.0</v>
      </c>
      <c r="H2467" s="80"/>
      <c r="I2467" s="80">
        <v>1.0</v>
      </c>
      <c r="J2467" s="32"/>
      <c r="K2467" s="32" t="str">
        <f t="shared" si="101"/>
        <v>#REF!</v>
      </c>
      <c r="L2467" s="32"/>
      <c r="M2467" s="32"/>
      <c r="N2467" s="32"/>
      <c r="O2467" s="32"/>
      <c r="P2467" s="32"/>
    </row>
    <row r="2468" hidden="1">
      <c r="A2468" s="34" t="s">
        <v>350</v>
      </c>
      <c r="B2468" s="91" t="s">
        <v>173</v>
      </c>
      <c r="C2468" s="91"/>
      <c r="D2468" s="91" t="s">
        <v>175</v>
      </c>
      <c r="E2468" s="80">
        <v>0.0</v>
      </c>
      <c r="F2468" s="34">
        <v>0.0</v>
      </c>
      <c r="G2468" s="34">
        <v>0.0</v>
      </c>
      <c r="H2468" s="34"/>
      <c r="I2468" s="34">
        <v>0.0</v>
      </c>
      <c r="J2468" s="32"/>
      <c r="K2468" s="32" t="str">
        <f t="shared" si="101"/>
        <v>#REF!</v>
      </c>
      <c r="L2468" s="32"/>
      <c r="M2468" s="32"/>
      <c r="N2468" s="32"/>
      <c r="O2468" s="32"/>
      <c r="P2468" s="32"/>
    </row>
    <row r="2469" hidden="1">
      <c r="A2469" s="34" t="s">
        <v>350</v>
      </c>
      <c r="B2469" s="91" t="s">
        <v>176</v>
      </c>
      <c r="C2469" s="91"/>
      <c r="D2469" s="91" t="s">
        <v>178</v>
      </c>
      <c r="E2469" s="80">
        <v>0.0</v>
      </c>
      <c r="F2469" s="34">
        <v>0.0</v>
      </c>
      <c r="G2469" s="34">
        <v>0.0</v>
      </c>
      <c r="H2469" s="34"/>
      <c r="I2469" s="34">
        <v>1.0</v>
      </c>
      <c r="J2469" s="32"/>
      <c r="K2469" s="32" t="str">
        <f t="shared" si="101"/>
        <v>#REF!</v>
      </c>
      <c r="L2469" s="32"/>
      <c r="M2469" s="32"/>
      <c r="N2469" s="32"/>
      <c r="O2469" s="32"/>
      <c r="P2469" s="32"/>
    </row>
    <row r="2470" hidden="1">
      <c r="A2470" s="34" t="s">
        <v>350</v>
      </c>
      <c r="B2470" s="92" t="s">
        <v>344</v>
      </c>
      <c r="C2470" s="92"/>
      <c r="D2470" s="92" t="s">
        <v>345</v>
      </c>
      <c r="E2470" s="34">
        <v>0.0</v>
      </c>
      <c r="F2470" s="34">
        <v>0.0</v>
      </c>
      <c r="G2470" s="34">
        <v>0.0</v>
      </c>
      <c r="H2470" s="34"/>
      <c r="I2470" s="34">
        <v>0.0</v>
      </c>
      <c r="J2470" s="32"/>
      <c r="K2470" s="32" t="str">
        <f t="shared" si="101"/>
        <v>#REF!</v>
      </c>
      <c r="L2470" s="32"/>
      <c r="M2470" s="32"/>
      <c r="N2470" s="32"/>
      <c r="O2470" s="32"/>
      <c r="P2470" s="32"/>
    </row>
    <row r="2471" hidden="1">
      <c r="A2471" s="34" t="s">
        <v>350</v>
      </c>
      <c r="B2471" s="92" t="s">
        <v>271</v>
      </c>
      <c r="C2471" s="92"/>
      <c r="D2471" s="92" t="s">
        <v>346</v>
      </c>
      <c r="E2471" s="34">
        <v>0.0</v>
      </c>
      <c r="F2471" s="34">
        <v>0.0</v>
      </c>
      <c r="G2471" s="34">
        <v>0.0</v>
      </c>
      <c r="H2471" s="34"/>
      <c r="I2471" s="34">
        <v>0.0</v>
      </c>
      <c r="J2471" s="32"/>
      <c r="K2471" s="32" t="str">
        <f t="shared" si="101"/>
        <v>#REF!</v>
      </c>
      <c r="L2471" s="32"/>
      <c r="M2471" s="32"/>
      <c r="N2471" s="32"/>
      <c r="O2471" s="32"/>
      <c r="P2471" s="32"/>
    </row>
    <row r="2472" hidden="1">
      <c r="A2472" s="34" t="s">
        <v>351</v>
      </c>
      <c r="B2472" s="92" t="s">
        <v>216</v>
      </c>
      <c r="C2472" s="92"/>
      <c r="D2472" s="92" t="s">
        <v>274</v>
      </c>
      <c r="E2472" s="80">
        <v>1.0</v>
      </c>
      <c r="F2472" s="80">
        <v>3.0</v>
      </c>
      <c r="G2472" s="80">
        <v>0.0</v>
      </c>
      <c r="H2472" s="80"/>
      <c r="I2472" s="80">
        <v>5.0</v>
      </c>
      <c r="J2472" s="32"/>
      <c r="K2472" s="32" t="str">
        <f t="shared" ref="K2472:K2613" si="102">sum(E2472*250)+(F2472*500)+(#REF!*250)+(G2472*250)+(I2472*250)</f>
        <v>#REF!</v>
      </c>
      <c r="L2472" s="32"/>
      <c r="M2472" s="32"/>
      <c r="N2472" s="32"/>
      <c r="O2472" s="32"/>
      <c r="P2472" s="32"/>
    </row>
    <row r="2473" hidden="1">
      <c r="A2473" s="34" t="s">
        <v>351</v>
      </c>
      <c r="B2473" s="92" t="s">
        <v>119</v>
      </c>
      <c r="C2473" s="92"/>
      <c r="D2473" s="92" t="s">
        <v>121</v>
      </c>
      <c r="E2473" s="80">
        <v>0.0</v>
      </c>
      <c r="F2473" s="80">
        <v>2.0</v>
      </c>
      <c r="G2473" s="80">
        <v>0.0</v>
      </c>
      <c r="H2473" s="80"/>
      <c r="I2473" s="80">
        <v>5.0</v>
      </c>
      <c r="J2473" s="32"/>
      <c r="K2473" s="32" t="str">
        <f t="shared" si="102"/>
        <v>#REF!</v>
      </c>
      <c r="L2473" s="32"/>
      <c r="M2473" s="32"/>
      <c r="N2473" s="32"/>
      <c r="O2473" s="32"/>
      <c r="P2473" s="32"/>
    </row>
    <row r="2474" hidden="1">
      <c r="A2474" s="34" t="s">
        <v>351</v>
      </c>
      <c r="B2474" s="92" t="s">
        <v>267</v>
      </c>
      <c r="C2474" s="92"/>
      <c r="D2474" s="92" t="s">
        <v>269</v>
      </c>
      <c r="E2474" s="80">
        <v>1.0</v>
      </c>
      <c r="F2474" s="80">
        <v>3.0</v>
      </c>
      <c r="G2474" s="80">
        <v>2.0</v>
      </c>
      <c r="H2474" s="80"/>
      <c r="I2474" s="80">
        <v>5.0</v>
      </c>
      <c r="J2474" s="32"/>
      <c r="K2474" s="32" t="str">
        <f t="shared" si="102"/>
        <v>#REF!</v>
      </c>
      <c r="L2474" s="32"/>
      <c r="M2474" s="32"/>
      <c r="N2474" s="32"/>
      <c r="O2474" s="32"/>
      <c r="P2474" s="32"/>
    </row>
    <row r="2475" hidden="1">
      <c r="A2475" s="34" t="s">
        <v>351</v>
      </c>
      <c r="B2475" s="92" t="s">
        <v>275</v>
      </c>
      <c r="C2475" s="92"/>
      <c r="D2475" s="92" t="s">
        <v>277</v>
      </c>
      <c r="E2475" s="80">
        <v>0.0</v>
      </c>
      <c r="F2475" s="80">
        <v>0.0</v>
      </c>
      <c r="G2475" s="80">
        <v>1.0</v>
      </c>
      <c r="H2475" s="80"/>
      <c r="I2475" s="80">
        <v>5.0</v>
      </c>
      <c r="J2475" s="32"/>
      <c r="K2475" s="32" t="str">
        <f t="shared" si="102"/>
        <v>#REF!</v>
      </c>
      <c r="L2475" s="32"/>
      <c r="M2475" s="32"/>
      <c r="N2475" s="32"/>
      <c r="O2475" s="32"/>
      <c r="P2475" s="32"/>
    </row>
    <row r="2476" hidden="1">
      <c r="A2476" s="34" t="s">
        <v>351</v>
      </c>
      <c r="B2476" s="92" t="s">
        <v>122</v>
      </c>
      <c r="C2476" s="92"/>
      <c r="D2476" s="92" t="s">
        <v>343</v>
      </c>
      <c r="E2476" s="80">
        <v>1.0</v>
      </c>
      <c r="F2476" s="80">
        <v>8.0</v>
      </c>
      <c r="G2476" s="80">
        <v>3.0</v>
      </c>
      <c r="H2476" s="80"/>
      <c r="I2476" s="80">
        <v>5.0</v>
      </c>
      <c r="J2476" s="32"/>
      <c r="K2476" s="32" t="str">
        <f t="shared" si="102"/>
        <v>#REF!</v>
      </c>
      <c r="L2476" s="32"/>
      <c r="M2476" s="32"/>
      <c r="N2476" s="32"/>
      <c r="O2476" s="32"/>
      <c r="P2476" s="32"/>
    </row>
    <row r="2477" hidden="1">
      <c r="A2477" s="34" t="s">
        <v>351</v>
      </c>
      <c r="B2477" s="92" t="s">
        <v>125</v>
      </c>
      <c r="C2477" s="92"/>
      <c r="D2477" s="92" t="s">
        <v>127</v>
      </c>
      <c r="E2477" s="80">
        <v>0.0</v>
      </c>
      <c r="F2477" s="80">
        <v>1.0</v>
      </c>
      <c r="G2477" s="80">
        <v>0.0</v>
      </c>
      <c r="H2477" s="80"/>
      <c r="I2477" s="80">
        <v>5.0</v>
      </c>
      <c r="J2477" s="32"/>
      <c r="K2477" s="32" t="str">
        <f t="shared" si="102"/>
        <v>#REF!</v>
      </c>
      <c r="L2477" s="32"/>
      <c r="M2477" s="32"/>
      <c r="N2477" s="32"/>
      <c r="O2477" s="32"/>
      <c r="P2477" s="32"/>
    </row>
    <row r="2478" hidden="1">
      <c r="A2478" s="34" t="s">
        <v>351</v>
      </c>
      <c r="B2478" s="92" t="s">
        <v>128</v>
      </c>
      <c r="C2478" s="92"/>
      <c r="D2478" s="92" t="s">
        <v>130</v>
      </c>
      <c r="E2478" s="80">
        <v>0.0</v>
      </c>
      <c r="F2478" s="80">
        <v>0.0</v>
      </c>
      <c r="G2478" s="80">
        <v>0.0</v>
      </c>
      <c r="H2478" s="80"/>
      <c r="I2478" s="80">
        <v>5.0</v>
      </c>
      <c r="J2478" s="32"/>
      <c r="K2478" s="32" t="str">
        <f t="shared" si="102"/>
        <v>#REF!</v>
      </c>
      <c r="L2478" s="32"/>
      <c r="M2478" s="32"/>
      <c r="N2478" s="32"/>
      <c r="O2478" s="32"/>
      <c r="P2478" s="32"/>
    </row>
    <row r="2479" hidden="1">
      <c r="A2479" s="34" t="s">
        <v>351</v>
      </c>
      <c r="B2479" s="92" t="s">
        <v>131</v>
      </c>
      <c r="C2479" s="92"/>
      <c r="D2479" s="92" t="s">
        <v>133</v>
      </c>
      <c r="E2479" s="80">
        <v>0.0</v>
      </c>
      <c r="F2479" s="80">
        <v>0.0</v>
      </c>
      <c r="G2479" s="80">
        <v>2.0</v>
      </c>
      <c r="H2479" s="80"/>
      <c r="I2479" s="80">
        <v>5.0</v>
      </c>
      <c r="J2479" s="32"/>
      <c r="K2479" s="32" t="str">
        <f t="shared" si="102"/>
        <v>#REF!</v>
      </c>
      <c r="L2479" s="32"/>
      <c r="M2479" s="32"/>
      <c r="N2479" s="32"/>
      <c r="O2479" s="32"/>
      <c r="P2479" s="32"/>
    </row>
    <row r="2480" hidden="1">
      <c r="A2480" s="34" t="s">
        <v>351</v>
      </c>
      <c r="B2480" s="92" t="s">
        <v>134</v>
      </c>
      <c r="C2480" s="92"/>
      <c r="D2480" s="92" t="s">
        <v>136</v>
      </c>
      <c r="E2480" s="80">
        <v>2.0</v>
      </c>
      <c r="F2480" s="80">
        <v>4.0</v>
      </c>
      <c r="G2480" s="80">
        <v>0.0</v>
      </c>
      <c r="H2480" s="80"/>
      <c r="I2480" s="80">
        <v>5.0</v>
      </c>
      <c r="J2480" s="32"/>
      <c r="K2480" s="32" t="str">
        <f t="shared" si="102"/>
        <v>#REF!</v>
      </c>
      <c r="L2480" s="32"/>
      <c r="M2480" s="32"/>
      <c r="N2480" s="32"/>
      <c r="O2480" s="32"/>
      <c r="P2480" s="32"/>
    </row>
    <row r="2481" hidden="1">
      <c r="A2481" s="34" t="s">
        <v>351</v>
      </c>
      <c r="B2481" s="92" t="s">
        <v>137</v>
      </c>
      <c r="C2481" s="92"/>
      <c r="D2481" s="92" t="s">
        <v>139</v>
      </c>
      <c r="E2481" s="80">
        <v>2.0</v>
      </c>
      <c r="F2481" s="80">
        <v>6.0</v>
      </c>
      <c r="G2481" s="80">
        <v>5.0</v>
      </c>
      <c r="H2481" s="80"/>
      <c r="I2481" s="80">
        <v>5.0</v>
      </c>
      <c r="J2481" s="32"/>
      <c r="K2481" s="32" t="str">
        <f t="shared" si="102"/>
        <v>#REF!</v>
      </c>
      <c r="L2481" s="32"/>
      <c r="M2481" s="32"/>
      <c r="N2481" s="32"/>
      <c r="O2481" s="32"/>
      <c r="P2481" s="32"/>
    </row>
    <row r="2482" hidden="1">
      <c r="A2482" s="34" t="s">
        <v>351</v>
      </c>
      <c r="B2482" s="92" t="s">
        <v>278</v>
      </c>
      <c r="C2482" s="92"/>
      <c r="D2482" s="92" t="s">
        <v>280</v>
      </c>
      <c r="E2482" s="80">
        <v>0.0</v>
      </c>
      <c r="F2482" s="80">
        <v>6.0</v>
      </c>
      <c r="G2482" s="80">
        <v>0.0</v>
      </c>
      <c r="H2482" s="80"/>
      <c r="I2482" s="80">
        <v>5.0</v>
      </c>
      <c r="J2482" s="32"/>
      <c r="K2482" s="32" t="str">
        <f t="shared" si="102"/>
        <v>#REF!</v>
      </c>
      <c r="L2482" s="32"/>
      <c r="M2482" s="32"/>
      <c r="N2482" s="32"/>
      <c r="O2482" s="32"/>
      <c r="P2482" s="32"/>
    </row>
    <row r="2483" hidden="1">
      <c r="A2483" s="34" t="s">
        <v>351</v>
      </c>
      <c r="B2483" s="92" t="s">
        <v>140</v>
      </c>
      <c r="C2483" s="92"/>
      <c r="D2483" s="92" t="s">
        <v>142</v>
      </c>
      <c r="E2483" s="80">
        <v>2.0</v>
      </c>
      <c r="F2483" s="80">
        <v>1.0</v>
      </c>
      <c r="G2483" s="80">
        <v>1.0</v>
      </c>
      <c r="H2483" s="80"/>
      <c r="I2483" s="80">
        <v>5.0</v>
      </c>
      <c r="J2483" s="32"/>
      <c r="K2483" s="32" t="str">
        <f t="shared" si="102"/>
        <v>#REF!</v>
      </c>
      <c r="L2483" s="32"/>
      <c r="M2483" s="32"/>
      <c r="N2483" s="32"/>
      <c r="O2483" s="32"/>
      <c r="P2483" s="32"/>
    </row>
    <row r="2484" hidden="1">
      <c r="A2484" s="34" t="s">
        <v>351</v>
      </c>
      <c r="B2484" s="92" t="s">
        <v>207</v>
      </c>
      <c r="C2484" s="92"/>
      <c r="D2484" s="92" t="s">
        <v>281</v>
      </c>
      <c r="E2484" s="80">
        <v>0.0</v>
      </c>
      <c r="F2484" s="80">
        <v>5.0</v>
      </c>
      <c r="G2484" s="80">
        <v>5.0</v>
      </c>
      <c r="H2484" s="80"/>
      <c r="I2484" s="80">
        <v>5.0</v>
      </c>
      <c r="J2484" s="32"/>
      <c r="K2484" s="32" t="str">
        <f t="shared" si="102"/>
        <v>#REF!</v>
      </c>
      <c r="L2484" s="32"/>
      <c r="M2484" s="32"/>
      <c r="N2484" s="32"/>
      <c r="O2484" s="32"/>
      <c r="P2484" s="32"/>
    </row>
    <row r="2485" hidden="1">
      <c r="A2485" s="34" t="s">
        <v>351</v>
      </c>
      <c r="B2485" s="92" t="s">
        <v>282</v>
      </c>
      <c r="C2485" s="92"/>
      <c r="D2485" s="92" t="s">
        <v>284</v>
      </c>
      <c r="E2485" s="80">
        <v>0.0</v>
      </c>
      <c r="F2485" s="80">
        <v>11.0</v>
      </c>
      <c r="G2485" s="80">
        <v>4.0</v>
      </c>
      <c r="H2485" s="80"/>
      <c r="I2485" s="80">
        <v>5.0</v>
      </c>
      <c r="J2485" s="32"/>
      <c r="K2485" s="32" t="str">
        <f t="shared" si="102"/>
        <v>#REF!</v>
      </c>
      <c r="L2485" s="32"/>
      <c r="M2485" s="32"/>
      <c r="N2485" s="32"/>
      <c r="O2485" s="32"/>
      <c r="P2485" s="32"/>
    </row>
    <row r="2486" hidden="1">
      <c r="A2486" s="34" t="s">
        <v>351</v>
      </c>
      <c r="B2486" s="92" t="s">
        <v>285</v>
      </c>
      <c r="C2486" s="92"/>
      <c r="D2486" s="92" t="s">
        <v>287</v>
      </c>
      <c r="E2486" s="80">
        <v>0.0</v>
      </c>
      <c r="F2486" s="80">
        <v>0.0</v>
      </c>
      <c r="G2486" s="80">
        <v>1.0</v>
      </c>
      <c r="H2486" s="80"/>
      <c r="I2486" s="80">
        <v>5.0</v>
      </c>
      <c r="J2486" s="32"/>
      <c r="K2486" s="32" t="str">
        <f t="shared" si="102"/>
        <v>#REF!</v>
      </c>
      <c r="L2486" s="32"/>
      <c r="M2486" s="32"/>
      <c r="N2486" s="32"/>
      <c r="O2486" s="32"/>
      <c r="P2486" s="32"/>
    </row>
    <row r="2487" hidden="1">
      <c r="A2487" s="34" t="s">
        <v>351</v>
      </c>
      <c r="B2487" s="92" t="s">
        <v>143</v>
      </c>
      <c r="C2487" s="92"/>
      <c r="D2487" s="92" t="s">
        <v>145</v>
      </c>
      <c r="E2487" s="80">
        <v>1.0</v>
      </c>
      <c r="F2487" s="80">
        <v>3.0</v>
      </c>
      <c r="G2487" s="80">
        <v>0.0</v>
      </c>
      <c r="H2487" s="80"/>
      <c r="I2487" s="80">
        <v>5.0</v>
      </c>
      <c r="J2487" s="32"/>
      <c r="K2487" s="32" t="str">
        <f t="shared" si="102"/>
        <v>#REF!</v>
      </c>
      <c r="L2487" s="32"/>
      <c r="M2487" s="32"/>
      <c r="N2487" s="32"/>
      <c r="O2487" s="32"/>
      <c r="P2487" s="32"/>
    </row>
    <row r="2488" hidden="1">
      <c r="A2488" s="34" t="s">
        <v>351</v>
      </c>
      <c r="B2488" s="92" t="s">
        <v>146</v>
      </c>
      <c r="C2488" s="92"/>
      <c r="D2488" s="92" t="s">
        <v>148</v>
      </c>
      <c r="E2488" s="80">
        <v>1.0</v>
      </c>
      <c r="F2488" s="80">
        <v>2.0</v>
      </c>
      <c r="G2488" s="80">
        <v>1.0</v>
      </c>
      <c r="H2488" s="80"/>
      <c r="I2488" s="80">
        <v>5.0</v>
      </c>
      <c r="J2488" s="32"/>
      <c r="K2488" s="32" t="str">
        <f t="shared" si="102"/>
        <v>#REF!</v>
      </c>
      <c r="L2488" s="32"/>
      <c r="M2488" s="32"/>
      <c r="N2488" s="32"/>
      <c r="O2488" s="32"/>
      <c r="P2488" s="32"/>
    </row>
    <row r="2489" hidden="1">
      <c r="A2489" s="34" t="s">
        <v>351</v>
      </c>
      <c r="B2489" s="92" t="s">
        <v>245</v>
      </c>
      <c r="C2489" s="92"/>
      <c r="D2489" s="92" t="s">
        <v>247</v>
      </c>
      <c r="E2489" s="80">
        <v>0.0</v>
      </c>
      <c r="F2489" s="80">
        <v>2.0</v>
      </c>
      <c r="G2489" s="80">
        <v>0.0</v>
      </c>
      <c r="H2489" s="80"/>
      <c r="I2489" s="80">
        <v>5.0</v>
      </c>
      <c r="J2489" s="32"/>
      <c r="K2489" s="32" t="str">
        <f t="shared" si="102"/>
        <v>#REF!</v>
      </c>
      <c r="L2489" s="32"/>
      <c r="M2489" s="32"/>
      <c r="N2489" s="32"/>
      <c r="O2489" s="32"/>
      <c r="P2489" s="32"/>
    </row>
    <row r="2490" hidden="1">
      <c r="A2490" s="34" t="s">
        <v>351</v>
      </c>
      <c r="B2490" s="92" t="s">
        <v>210</v>
      </c>
      <c r="C2490" s="92"/>
      <c r="D2490" s="92" t="s">
        <v>212</v>
      </c>
      <c r="E2490" s="80">
        <v>0.0</v>
      </c>
      <c r="F2490" s="80">
        <v>0.0</v>
      </c>
      <c r="G2490" s="80">
        <v>0.0</v>
      </c>
      <c r="H2490" s="80"/>
      <c r="I2490" s="80">
        <v>5.0</v>
      </c>
      <c r="J2490" s="32"/>
      <c r="K2490" s="32" t="str">
        <f t="shared" si="102"/>
        <v>#REF!</v>
      </c>
      <c r="L2490" s="32"/>
      <c r="M2490" s="32"/>
      <c r="N2490" s="32"/>
      <c r="O2490" s="32"/>
      <c r="P2490" s="32"/>
    </row>
    <row r="2491" hidden="1">
      <c r="A2491" s="34" t="s">
        <v>351</v>
      </c>
      <c r="B2491" s="92" t="s">
        <v>149</v>
      </c>
      <c r="C2491" s="92"/>
      <c r="D2491" s="92" t="s">
        <v>151</v>
      </c>
      <c r="E2491" s="80">
        <v>0.0</v>
      </c>
      <c r="F2491" s="80">
        <v>0.0</v>
      </c>
      <c r="G2491" s="80">
        <v>3.0</v>
      </c>
      <c r="H2491" s="80"/>
      <c r="I2491" s="80">
        <v>5.0</v>
      </c>
      <c r="J2491" s="32"/>
      <c r="K2491" s="32" t="str">
        <f t="shared" si="102"/>
        <v>#REF!</v>
      </c>
      <c r="L2491" s="32"/>
      <c r="M2491" s="32"/>
      <c r="N2491" s="32"/>
      <c r="O2491" s="32"/>
      <c r="P2491" s="32"/>
    </row>
    <row r="2492" hidden="1">
      <c r="A2492" s="34" t="s">
        <v>351</v>
      </c>
      <c r="B2492" s="92" t="s">
        <v>288</v>
      </c>
      <c r="C2492" s="92"/>
      <c r="D2492" s="92" t="s">
        <v>290</v>
      </c>
      <c r="E2492" s="80">
        <v>0.0</v>
      </c>
      <c r="F2492" s="80">
        <v>2.0</v>
      </c>
      <c r="G2492" s="80">
        <v>3.0</v>
      </c>
      <c r="H2492" s="80"/>
      <c r="I2492" s="80">
        <v>5.0</v>
      </c>
      <c r="J2492" s="32"/>
      <c r="K2492" s="32" t="str">
        <f t="shared" si="102"/>
        <v>#REF!</v>
      </c>
      <c r="L2492" s="32"/>
      <c r="M2492" s="32"/>
      <c r="N2492" s="32"/>
      <c r="O2492" s="32"/>
      <c r="P2492" s="32"/>
    </row>
    <row r="2493" hidden="1">
      <c r="A2493" s="34" t="s">
        <v>351</v>
      </c>
      <c r="B2493" s="92" t="s">
        <v>152</v>
      </c>
      <c r="C2493" s="92"/>
      <c r="D2493" s="92" t="s">
        <v>154</v>
      </c>
      <c r="E2493" s="80">
        <v>1.0</v>
      </c>
      <c r="F2493" s="80">
        <v>1.0</v>
      </c>
      <c r="G2493" s="80">
        <v>0.0</v>
      </c>
      <c r="H2493" s="80"/>
      <c r="I2493" s="80">
        <v>5.0</v>
      </c>
      <c r="J2493" s="32"/>
      <c r="K2493" s="32" t="str">
        <f t="shared" si="102"/>
        <v>#REF!</v>
      </c>
      <c r="L2493" s="32"/>
      <c r="M2493" s="32"/>
      <c r="N2493" s="32"/>
      <c r="O2493" s="32"/>
      <c r="P2493" s="32"/>
    </row>
    <row r="2494" hidden="1">
      <c r="A2494" s="34" t="s">
        <v>351</v>
      </c>
      <c r="B2494" s="92" t="s">
        <v>155</v>
      </c>
      <c r="C2494" s="92"/>
      <c r="D2494" s="92" t="s">
        <v>157</v>
      </c>
      <c r="E2494" s="80">
        <v>4.0</v>
      </c>
      <c r="F2494" s="80">
        <v>2.0</v>
      </c>
      <c r="G2494" s="80">
        <v>0.0</v>
      </c>
      <c r="H2494" s="80"/>
      <c r="I2494" s="80">
        <v>5.0</v>
      </c>
      <c r="J2494" s="32"/>
      <c r="K2494" s="32" t="str">
        <f t="shared" si="102"/>
        <v>#REF!</v>
      </c>
      <c r="L2494" s="32"/>
      <c r="M2494" s="32"/>
      <c r="N2494" s="32"/>
      <c r="O2494" s="32"/>
      <c r="P2494" s="32"/>
    </row>
    <row r="2495" hidden="1">
      <c r="A2495" s="34" t="s">
        <v>351</v>
      </c>
      <c r="B2495" s="92" t="s">
        <v>158</v>
      </c>
      <c r="C2495" s="92"/>
      <c r="D2495" s="92" t="s">
        <v>160</v>
      </c>
      <c r="E2495" s="80">
        <v>0.0</v>
      </c>
      <c r="F2495" s="80">
        <v>0.0</v>
      </c>
      <c r="G2495" s="80">
        <v>1.0</v>
      </c>
      <c r="H2495" s="80"/>
      <c r="I2495" s="80">
        <v>5.0</v>
      </c>
      <c r="J2495" s="32"/>
      <c r="K2495" s="32" t="str">
        <f t="shared" si="102"/>
        <v>#REF!</v>
      </c>
      <c r="L2495" s="32"/>
      <c r="M2495" s="32"/>
      <c r="N2495" s="32"/>
      <c r="O2495" s="32"/>
      <c r="P2495" s="32"/>
    </row>
    <row r="2496" hidden="1">
      <c r="A2496" s="34" t="s">
        <v>351</v>
      </c>
      <c r="B2496" s="96" t="s">
        <v>161</v>
      </c>
      <c r="C2496" s="93"/>
      <c r="D2496" s="93" t="s">
        <v>163</v>
      </c>
      <c r="E2496" s="80">
        <v>2.0</v>
      </c>
      <c r="F2496" s="80">
        <v>1.0</v>
      </c>
      <c r="G2496" s="80">
        <v>1.0</v>
      </c>
      <c r="H2496" s="80"/>
      <c r="I2496" s="80">
        <v>5.0</v>
      </c>
      <c r="J2496" s="32"/>
      <c r="K2496" s="32" t="str">
        <f t="shared" si="102"/>
        <v>#REF!</v>
      </c>
      <c r="L2496" s="32"/>
      <c r="M2496" s="32"/>
      <c r="N2496" s="32"/>
      <c r="O2496" s="32"/>
      <c r="P2496" s="32"/>
    </row>
    <row r="2497" hidden="1">
      <c r="A2497" s="34" t="s">
        <v>351</v>
      </c>
      <c r="B2497" s="93" t="s">
        <v>164</v>
      </c>
      <c r="C2497" s="93"/>
      <c r="D2497" s="93" t="s">
        <v>166</v>
      </c>
      <c r="E2497" s="80">
        <v>0.0</v>
      </c>
      <c r="F2497" s="80">
        <v>0.0</v>
      </c>
      <c r="G2497" s="80">
        <v>0.0</v>
      </c>
      <c r="H2497" s="80"/>
      <c r="I2497" s="80">
        <v>2.0</v>
      </c>
      <c r="J2497" s="32"/>
      <c r="K2497" s="32" t="str">
        <f t="shared" si="102"/>
        <v>#REF!</v>
      </c>
      <c r="L2497" s="32"/>
      <c r="M2497" s="32"/>
      <c r="N2497" s="32"/>
      <c r="O2497" s="32"/>
      <c r="P2497" s="32"/>
    </row>
    <row r="2498" hidden="1">
      <c r="A2498" s="34" t="s">
        <v>351</v>
      </c>
      <c r="B2498" s="93" t="s">
        <v>167</v>
      </c>
      <c r="C2498" s="93"/>
      <c r="D2498" s="93" t="s">
        <v>169</v>
      </c>
      <c r="E2498" s="80">
        <v>3.0</v>
      </c>
      <c r="F2498" s="80">
        <v>1.0</v>
      </c>
      <c r="G2498" s="80">
        <v>0.0</v>
      </c>
      <c r="H2498" s="80"/>
      <c r="I2498" s="80">
        <v>2.0</v>
      </c>
      <c r="J2498" s="32"/>
      <c r="K2498" s="32" t="str">
        <f t="shared" si="102"/>
        <v>#REF!</v>
      </c>
      <c r="L2498" s="32"/>
      <c r="M2498" s="32"/>
      <c r="N2498" s="32"/>
      <c r="O2498" s="32"/>
      <c r="P2498" s="32"/>
    </row>
    <row r="2499" hidden="1">
      <c r="A2499" s="34" t="s">
        <v>351</v>
      </c>
      <c r="B2499" s="96" t="s">
        <v>170</v>
      </c>
      <c r="C2499" s="93"/>
      <c r="D2499" s="93" t="s">
        <v>172</v>
      </c>
      <c r="E2499" s="80">
        <v>0.0</v>
      </c>
      <c r="F2499" s="80">
        <v>0.0</v>
      </c>
      <c r="G2499" s="80">
        <v>0.0</v>
      </c>
      <c r="H2499" s="80"/>
      <c r="I2499" s="80">
        <v>3.0</v>
      </c>
      <c r="J2499" s="32"/>
      <c r="K2499" s="32" t="str">
        <f t="shared" si="102"/>
        <v>#REF!</v>
      </c>
      <c r="L2499" s="32"/>
      <c r="M2499" s="32"/>
      <c r="N2499" s="32"/>
      <c r="O2499" s="32"/>
      <c r="P2499" s="32"/>
    </row>
    <row r="2500" hidden="1">
      <c r="A2500" s="34" t="s">
        <v>351</v>
      </c>
      <c r="B2500" s="92" t="s">
        <v>344</v>
      </c>
      <c r="C2500" s="92"/>
      <c r="D2500" s="92" t="s">
        <v>345</v>
      </c>
      <c r="E2500" s="78"/>
      <c r="F2500" s="78"/>
      <c r="G2500" s="78"/>
      <c r="H2500" s="78"/>
      <c r="I2500" s="78"/>
      <c r="J2500" s="32"/>
      <c r="K2500" s="32" t="str">
        <f t="shared" si="102"/>
        <v>#REF!</v>
      </c>
      <c r="L2500" s="32"/>
      <c r="M2500" s="32"/>
      <c r="N2500" s="32"/>
      <c r="O2500" s="32"/>
      <c r="P2500" s="32"/>
    </row>
    <row r="2501" hidden="1">
      <c r="A2501" s="34" t="s">
        <v>351</v>
      </c>
      <c r="B2501" s="92" t="s">
        <v>271</v>
      </c>
      <c r="C2501" s="92"/>
      <c r="D2501" s="92" t="s">
        <v>346</v>
      </c>
      <c r="E2501" s="80" t="s">
        <v>161</v>
      </c>
      <c r="F2501" s="83"/>
      <c r="G2501" s="83"/>
      <c r="H2501" s="83"/>
      <c r="I2501" s="83"/>
      <c r="J2501" s="32"/>
      <c r="K2501" s="32" t="str">
        <f t="shared" si="102"/>
        <v>#VALUE!</v>
      </c>
      <c r="L2501" s="32"/>
      <c r="M2501" s="32"/>
      <c r="N2501" s="32"/>
      <c r="O2501" s="32"/>
      <c r="P2501" s="32"/>
    </row>
    <row r="2502" hidden="1">
      <c r="A2502" s="34" t="s">
        <v>352</v>
      </c>
      <c r="B2502" s="92" t="s">
        <v>128</v>
      </c>
      <c r="C2502" s="92"/>
      <c r="D2502" s="92" t="s">
        <v>130</v>
      </c>
      <c r="E2502" s="80">
        <v>1.0</v>
      </c>
      <c r="F2502" s="80">
        <v>0.0</v>
      </c>
      <c r="G2502" s="80">
        <v>0.0</v>
      </c>
      <c r="H2502" s="80"/>
      <c r="I2502" s="80">
        <v>3.0</v>
      </c>
      <c r="J2502" s="32"/>
      <c r="K2502" s="32" t="str">
        <f t="shared" si="102"/>
        <v>#REF!</v>
      </c>
      <c r="L2502" s="32"/>
      <c r="M2502" s="32"/>
      <c r="N2502" s="32"/>
      <c r="O2502" s="32"/>
      <c r="P2502" s="32"/>
    </row>
    <row r="2503" hidden="1">
      <c r="A2503" s="34" t="s">
        <v>352</v>
      </c>
      <c r="B2503" s="92" t="s">
        <v>125</v>
      </c>
      <c r="C2503" s="92"/>
      <c r="D2503" s="92" t="s">
        <v>127</v>
      </c>
      <c r="E2503" s="80">
        <v>0.0</v>
      </c>
      <c r="F2503" s="80">
        <v>1.0</v>
      </c>
      <c r="G2503" s="80">
        <v>0.0</v>
      </c>
      <c r="H2503" s="80"/>
      <c r="I2503" s="80">
        <v>3.0</v>
      </c>
      <c r="J2503" s="32"/>
      <c r="K2503" s="32" t="str">
        <f t="shared" si="102"/>
        <v>#REF!</v>
      </c>
      <c r="L2503" s="32"/>
      <c r="M2503" s="32"/>
      <c r="N2503" s="32"/>
      <c r="O2503" s="32"/>
      <c r="P2503" s="32"/>
    </row>
    <row r="2504" hidden="1">
      <c r="A2504" s="34" t="s">
        <v>352</v>
      </c>
      <c r="B2504" s="92" t="s">
        <v>275</v>
      </c>
      <c r="C2504" s="92"/>
      <c r="D2504" s="92" t="s">
        <v>277</v>
      </c>
      <c r="E2504" s="80">
        <v>1.0</v>
      </c>
      <c r="F2504" s="80">
        <v>0.0</v>
      </c>
      <c r="G2504" s="80">
        <v>2.0</v>
      </c>
      <c r="H2504" s="80"/>
      <c r="I2504" s="80">
        <v>5.0</v>
      </c>
      <c r="J2504" s="32"/>
      <c r="K2504" s="32" t="str">
        <f t="shared" si="102"/>
        <v>#REF!</v>
      </c>
      <c r="L2504" s="32"/>
      <c r="M2504" s="32"/>
      <c r="N2504" s="32"/>
      <c r="O2504" s="32"/>
      <c r="P2504" s="32"/>
    </row>
    <row r="2505" hidden="1">
      <c r="A2505" s="34" t="s">
        <v>352</v>
      </c>
      <c r="B2505" s="92" t="s">
        <v>267</v>
      </c>
      <c r="C2505" s="92"/>
      <c r="D2505" s="92" t="s">
        <v>269</v>
      </c>
      <c r="E2505" s="80">
        <v>0.0</v>
      </c>
      <c r="F2505" s="80">
        <v>5.0</v>
      </c>
      <c r="G2505" s="80">
        <v>7.0</v>
      </c>
      <c r="H2505" s="80"/>
      <c r="I2505" s="80">
        <v>5.0</v>
      </c>
      <c r="J2505" s="32"/>
      <c r="K2505" s="32" t="str">
        <f t="shared" si="102"/>
        <v>#REF!</v>
      </c>
      <c r="L2505" s="32"/>
      <c r="M2505" s="32"/>
      <c r="N2505" s="32"/>
      <c r="O2505" s="32"/>
      <c r="P2505" s="32"/>
    </row>
    <row r="2506" hidden="1">
      <c r="A2506" s="34" t="s">
        <v>352</v>
      </c>
      <c r="B2506" s="92" t="s">
        <v>119</v>
      </c>
      <c r="C2506" s="92"/>
      <c r="D2506" s="92" t="s">
        <v>121</v>
      </c>
      <c r="E2506" s="80">
        <v>0.0</v>
      </c>
      <c r="F2506" s="80">
        <v>0.0</v>
      </c>
      <c r="G2506" s="80">
        <v>0.0</v>
      </c>
      <c r="H2506" s="80"/>
      <c r="I2506" s="80">
        <v>2.0</v>
      </c>
      <c r="J2506" s="32"/>
      <c r="K2506" s="32" t="str">
        <f t="shared" si="102"/>
        <v>#REF!</v>
      </c>
      <c r="L2506" s="32"/>
      <c r="M2506" s="32"/>
      <c r="N2506" s="32"/>
      <c r="O2506" s="32"/>
      <c r="P2506" s="32"/>
    </row>
    <row r="2507" hidden="1">
      <c r="A2507" s="34" t="s">
        <v>352</v>
      </c>
      <c r="B2507" s="92" t="s">
        <v>134</v>
      </c>
      <c r="C2507" s="92"/>
      <c r="D2507" s="92" t="s">
        <v>136</v>
      </c>
      <c r="E2507" s="80">
        <v>3.0</v>
      </c>
      <c r="F2507" s="80">
        <v>0.0</v>
      </c>
      <c r="G2507" s="80">
        <v>0.0</v>
      </c>
      <c r="H2507" s="80"/>
      <c r="I2507" s="80">
        <v>2.0</v>
      </c>
      <c r="J2507" s="32"/>
      <c r="K2507" s="32" t="str">
        <f t="shared" si="102"/>
        <v>#REF!</v>
      </c>
      <c r="L2507" s="32"/>
      <c r="M2507" s="32"/>
      <c r="N2507" s="32"/>
      <c r="O2507" s="32"/>
      <c r="P2507" s="32"/>
    </row>
    <row r="2508" hidden="1">
      <c r="A2508" s="34" t="s">
        <v>352</v>
      </c>
      <c r="B2508" s="92" t="s">
        <v>216</v>
      </c>
      <c r="C2508" s="92"/>
      <c r="D2508" s="92" t="s">
        <v>274</v>
      </c>
      <c r="E2508" s="80">
        <v>1.0</v>
      </c>
      <c r="F2508" s="80">
        <v>2.0</v>
      </c>
      <c r="G2508" s="80">
        <v>5.0</v>
      </c>
      <c r="H2508" s="80"/>
      <c r="I2508" s="80">
        <v>5.0</v>
      </c>
      <c r="J2508" s="32"/>
      <c r="K2508" s="32" t="str">
        <f t="shared" si="102"/>
        <v>#REF!</v>
      </c>
      <c r="L2508" s="32"/>
      <c r="M2508" s="32"/>
      <c r="N2508" s="32"/>
      <c r="O2508" s="32"/>
      <c r="P2508" s="32"/>
    </row>
    <row r="2509" hidden="1">
      <c r="A2509" s="34" t="s">
        <v>352</v>
      </c>
      <c r="B2509" s="92" t="s">
        <v>131</v>
      </c>
      <c r="C2509" s="92"/>
      <c r="D2509" s="92" t="s">
        <v>133</v>
      </c>
      <c r="E2509" s="80">
        <v>4.0</v>
      </c>
      <c r="F2509" s="80">
        <v>0.0</v>
      </c>
      <c r="G2509" s="80">
        <v>0.0</v>
      </c>
      <c r="H2509" s="80"/>
      <c r="I2509" s="80">
        <v>1.0</v>
      </c>
      <c r="J2509" s="32"/>
      <c r="K2509" s="32" t="str">
        <f t="shared" si="102"/>
        <v>#REF!</v>
      </c>
      <c r="L2509" s="32"/>
      <c r="M2509" s="32"/>
      <c r="N2509" s="32"/>
      <c r="O2509" s="32"/>
      <c r="P2509" s="32"/>
    </row>
    <row r="2510" hidden="1">
      <c r="A2510" s="34" t="s">
        <v>352</v>
      </c>
      <c r="B2510" s="92" t="s">
        <v>122</v>
      </c>
      <c r="C2510" s="92"/>
      <c r="D2510" s="92" t="s">
        <v>343</v>
      </c>
      <c r="E2510" s="80">
        <v>4.0</v>
      </c>
      <c r="F2510" s="80">
        <v>5.0</v>
      </c>
      <c r="G2510" s="80">
        <v>0.0</v>
      </c>
      <c r="H2510" s="80"/>
      <c r="I2510" s="80">
        <v>2.0</v>
      </c>
      <c r="J2510" s="32"/>
      <c r="K2510" s="32" t="str">
        <f t="shared" si="102"/>
        <v>#REF!</v>
      </c>
      <c r="L2510" s="32"/>
      <c r="M2510" s="32"/>
      <c r="N2510" s="32"/>
      <c r="O2510" s="32"/>
      <c r="P2510" s="32"/>
    </row>
    <row r="2511" hidden="1">
      <c r="A2511" s="34" t="s">
        <v>352</v>
      </c>
      <c r="B2511" s="92" t="s">
        <v>137</v>
      </c>
      <c r="C2511" s="92"/>
      <c r="D2511" s="92" t="s">
        <v>139</v>
      </c>
      <c r="E2511" s="80">
        <v>1.0</v>
      </c>
      <c r="F2511" s="80">
        <v>3.0</v>
      </c>
      <c r="G2511" s="80">
        <v>1.0</v>
      </c>
      <c r="H2511" s="80"/>
      <c r="I2511" s="80">
        <v>5.0</v>
      </c>
      <c r="J2511" s="32"/>
      <c r="K2511" s="32" t="str">
        <f t="shared" si="102"/>
        <v>#REF!</v>
      </c>
      <c r="L2511" s="32"/>
      <c r="M2511" s="32"/>
      <c r="N2511" s="32"/>
      <c r="O2511" s="32"/>
      <c r="P2511" s="32"/>
    </row>
    <row r="2512" hidden="1">
      <c r="A2512" s="34" t="s">
        <v>352</v>
      </c>
      <c r="B2512" s="92" t="s">
        <v>278</v>
      </c>
      <c r="C2512" s="92"/>
      <c r="D2512" s="92" t="s">
        <v>280</v>
      </c>
      <c r="E2512" s="80">
        <v>2.0</v>
      </c>
      <c r="F2512" s="80">
        <v>1.0</v>
      </c>
      <c r="G2512" s="80">
        <v>1.0</v>
      </c>
      <c r="H2512" s="80"/>
      <c r="I2512" s="80">
        <v>4.0</v>
      </c>
      <c r="J2512" s="32"/>
      <c r="K2512" s="32" t="str">
        <f t="shared" si="102"/>
        <v>#REF!</v>
      </c>
      <c r="L2512" s="32"/>
      <c r="M2512" s="32"/>
      <c r="N2512" s="32"/>
      <c r="O2512" s="32"/>
      <c r="P2512" s="32"/>
    </row>
    <row r="2513" hidden="1">
      <c r="A2513" s="34" t="s">
        <v>352</v>
      </c>
      <c r="B2513" s="92" t="s">
        <v>140</v>
      </c>
      <c r="C2513" s="92"/>
      <c r="D2513" s="92" t="s">
        <v>142</v>
      </c>
      <c r="E2513" s="80">
        <v>0.0</v>
      </c>
      <c r="F2513" s="80">
        <v>2.0</v>
      </c>
      <c r="G2513" s="80">
        <v>0.0</v>
      </c>
      <c r="H2513" s="80"/>
      <c r="I2513" s="80">
        <v>5.0</v>
      </c>
      <c r="J2513" s="32"/>
      <c r="K2513" s="32" t="str">
        <f t="shared" si="102"/>
        <v>#REF!</v>
      </c>
      <c r="L2513" s="32"/>
      <c r="M2513" s="32"/>
      <c r="N2513" s="32"/>
      <c r="O2513" s="32"/>
      <c r="P2513" s="32"/>
    </row>
    <row r="2514" hidden="1">
      <c r="A2514" s="34" t="s">
        <v>352</v>
      </c>
      <c r="B2514" s="92" t="s">
        <v>207</v>
      </c>
      <c r="C2514" s="92"/>
      <c r="D2514" s="92" t="s">
        <v>281</v>
      </c>
      <c r="E2514" s="80">
        <v>0.0</v>
      </c>
      <c r="F2514" s="80">
        <v>6.0</v>
      </c>
      <c r="G2514" s="80">
        <v>4.0</v>
      </c>
      <c r="H2514" s="80"/>
      <c r="I2514" s="80">
        <v>4.0</v>
      </c>
      <c r="J2514" s="32"/>
      <c r="K2514" s="32" t="str">
        <f t="shared" si="102"/>
        <v>#REF!</v>
      </c>
      <c r="L2514" s="32"/>
      <c r="M2514" s="32"/>
      <c r="N2514" s="32"/>
      <c r="O2514" s="32"/>
      <c r="P2514" s="32"/>
    </row>
    <row r="2515" hidden="1">
      <c r="A2515" s="34" t="s">
        <v>352</v>
      </c>
      <c r="B2515" s="92" t="s">
        <v>282</v>
      </c>
      <c r="C2515" s="92"/>
      <c r="D2515" s="92" t="s">
        <v>284</v>
      </c>
      <c r="E2515" s="80">
        <v>0.0</v>
      </c>
      <c r="F2515" s="80">
        <v>3.0</v>
      </c>
      <c r="G2515" s="80">
        <v>2.0</v>
      </c>
      <c r="H2515" s="80"/>
      <c r="I2515" s="80">
        <v>4.0</v>
      </c>
      <c r="J2515" s="32"/>
      <c r="K2515" s="32" t="str">
        <f t="shared" si="102"/>
        <v>#REF!</v>
      </c>
      <c r="L2515" s="32"/>
      <c r="M2515" s="32"/>
      <c r="N2515" s="32"/>
      <c r="O2515" s="32"/>
      <c r="P2515" s="32"/>
    </row>
    <row r="2516" hidden="1">
      <c r="A2516" s="34" t="s">
        <v>352</v>
      </c>
      <c r="B2516" s="92" t="s">
        <v>285</v>
      </c>
      <c r="C2516" s="92"/>
      <c r="D2516" s="92" t="s">
        <v>287</v>
      </c>
      <c r="E2516" s="80">
        <v>0.0</v>
      </c>
      <c r="F2516" s="80">
        <v>0.0</v>
      </c>
      <c r="G2516" s="80">
        <v>0.0</v>
      </c>
      <c r="H2516" s="80"/>
      <c r="I2516" s="80">
        <v>4.0</v>
      </c>
      <c r="J2516" s="32"/>
      <c r="K2516" s="32" t="str">
        <f t="shared" si="102"/>
        <v>#REF!</v>
      </c>
      <c r="L2516" s="32"/>
      <c r="M2516" s="32"/>
      <c r="N2516" s="32"/>
      <c r="O2516" s="32"/>
      <c r="P2516" s="32"/>
    </row>
    <row r="2517" hidden="1">
      <c r="A2517" s="34" t="s">
        <v>352</v>
      </c>
      <c r="B2517" s="92" t="s">
        <v>143</v>
      </c>
      <c r="C2517" s="92"/>
      <c r="D2517" s="92" t="s">
        <v>145</v>
      </c>
      <c r="E2517" s="80">
        <v>0.0</v>
      </c>
      <c r="F2517" s="80">
        <v>2.0</v>
      </c>
      <c r="G2517" s="80">
        <v>0.0</v>
      </c>
      <c r="H2517" s="80"/>
      <c r="I2517" s="80">
        <v>5.0</v>
      </c>
      <c r="J2517" s="32"/>
      <c r="K2517" s="32" t="str">
        <f t="shared" si="102"/>
        <v>#REF!</v>
      </c>
      <c r="L2517" s="32"/>
      <c r="M2517" s="32"/>
      <c r="N2517" s="32"/>
      <c r="O2517" s="32"/>
      <c r="P2517" s="32"/>
    </row>
    <row r="2518" hidden="1">
      <c r="A2518" s="34" t="s">
        <v>352</v>
      </c>
      <c r="B2518" s="92" t="s">
        <v>146</v>
      </c>
      <c r="C2518" s="92"/>
      <c r="D2518" s="92" t="s">
        <v>148</v>
      </c>
      <c r="E2518" s="80">
        <v>0.0</v>
      </c>
      <c r="F2518" s="80">
        <v>0.0</v>
      </c>
      <c r="G2518" s="80">
        <v>0.0</v>
      </c>
      <c r="H2518" s="80"/>
      <c r="I2518" s="80">
        <v>5.0</v>
      </c>
      <c r="J2518" s="32"/>
      <c r="K2518" s="32" t="str">
        <f t="shared" si="102"/>
        <v>#REF!</v>
      </c>
      <c r="L2518" s="32"/>
      <c r="M2518" s="32"/>
      <c r="N2518" s="32"/>
      <c r="O2518" s="32"/>
      <c r="P2518" s="32"/>
    </row>
    <row r="2519" hidden="1">
      <c r="A2519" s="34" t="s">
        <v>352</v>
      </c>
      <c r="B2519" s="92" t="s">
        <v>271</v>
      </c>
      <c r="C2519" s="92"/>
      <c r="D2519" s="92" t="s">
        <v>346</v>
      </c>
      <c r="E2519" s="80">
        <v>0.0</v>
      </c>
      <c r="F2519" s="80">
        <v>0.0</v>
      </c>
      <c r="G2519" s="80">
        <v>0.0</v>
      </c>
      <c r="H2519" s="80"/>
      <c r="I2519" s="80">
        <v>0.0</v>
      </c>
      <c r="J2519" s="32"/>
      <c r="K2519" s="32" t="str">
        <f t="shared" si="102"/>
        <v>#REF!</v>
      </c>
      <c r="L2519" s="32"/>
      <c r="M2519" s="32"/>
      <c r="N2519" s="32"/>
      <c r="O2519" s="32"/>
      <c r="P2519" s="32"/>
    </row>
    <row r="2520" hidden="1">
      <c r="A2520" s="34" t="s">
        <v>352</v>
      </c>
      <c r="B2520" s="92" t="s">
        <v>245</v>
      </c>
      <c r="C2520" s="92"/>
      <c r="D2520" s="92" t="s">
        <v>247</v>
      </c>
      <c r="E2520" s="80">
        <v>0.0</v>
      </c>
      <c r="F2520" s="80">
        <v>2.0</v>
      </c>
      <c r="G2520" s="80">
        <v>0.0</v>
      </c>
      <c r="H2520" s="80"/>
      <c r="I2520" s="80">
        <v>5.0</v>
      </c>
      <c r="J2520" s="32"/>
      <c r="K2520" s="32" t="str">
        <f t="shared" si="102"/>
        <v>#REF!</v>
      </c>
      <c r="L2520" s="32"/>
      <c r="M2520" s="32"/>
      <c r="N2520" s="32"/>
      <c r="O2520" s="32"/>
      <c r="P2520" s="32"/>
    </row>
    <row r="2521" hidden="1">
      <c r="A2521" s="34" t="s">
        <v>352</v>
      </c>
      <c r="B2521" s="92" t="s">
        <v>210</v>
      </c>
      <c r="C2521" s="92"/>
      <c r="D2521" s="92" t="s">
        <v>212</v>
      </c>
      <c r="E2521" s="80">
        <v>0.0</v>
      </c>
      <c r="F2521" s="80">
        <v>8.0</v>
      </c>
      <c r="G2521" s="80">
        <v>1.0</v>
      </c>
      <c r="H2521" s="80"/>
      <c r="I2521" s="80">
        <v>4.0</v>
      </c>
      <c r="J2521" s="32"/>
      <c r="K2521" s="32" t="str">
        <f t="shared" si="102"/>
        <v>#REF!</v>
      </c>
      <c r="L2521" s="32"/>
      <c r="M2521" s="32"/>
      <c r="N2521" s="32"/>
      <c r="O2521" s="32"/>
      <c r="P2521" s="32"/>
    </row>
    <row r="2522" hidden="1">
      <c r="A2522" s="34" t="s">
        <v>352</v>
      </c>
      <c r="B2522" s="92" t="s">
        <v>149</v>
      </c>
      <c r="C2522" s="92"/>
      <c r="D2522" s="92" t="s">
        <v>151</v>
      </c>
      <c r="E2522" s="80">
        <v>0.0</v>
      </c>
      <c r="F2522" s="80">
        <v>0.0</v>
      </c>
      <c r="G2522" s="80">
        <v>2.0</v>
      </c>
      <c r="H2522" s="80"/>
      <c r="I2522" s="80">
        <v>4.0</v>
      </c>
      <c r="J2522" s="32"/>
      <c r="K2522" s="32" t="str">
        <f t="shared" si="102"/>
        <v>#REF!</v>
      </c>
      <c r="L2522" s="32"/>
      <c r="M2522" s="32"/>
      <c r="N2522" s="32"/>
      <c r="O2522" s="32"/>
      <c r="P2522" s="32"/>
    </row>
    <row r="2523" hidden="1">
      <c r="A2523" s="34" t="s">
        <v>352</v>
      </c>
      <c r="B2523" s="92" t="s">
        <v>288</v>
      </c>
      <c r="C2523" s="92"/>
      <c r="D2523" s="92" t="s">
        <v>290</v>
      </c>
      <c r="E2523" s="80">
        <v>0.0</v>
      </c>
      <c r="F2523" s="80">
        <v>2.0</v>
      </c>
      <c r="G2523" s="80">
        <v>0.0</v>
      </c>
      <c r="H2523" s="80"/>
      <c r="I2523" s="80">
        <v>4.0</v>
      </c>
      <c r="J2523" s="32"/>
      <c r="K2523" s="32" t="str">
        <f t="shared" si="102"/>
        <v>#REF!</v>
      </c>
      <c r="L2523" s="32"/>
      <c r="M2523" s="32"/>
      <c r="N2523" s="32"/>
      <c r="O2523" s="32"/>
      <c r="P2523" s="32"/>
    </row>
    <row r="2524" hidden="1">
      <c r="A2524" s="34" t="s">
        <v>352</v>
      </c>
      <c r="B2524" s="92" t="s">
        <v>152</v>
      </c>
      <c r="C2524" s="92"/>
      <c r="D2524" s="92" t="s">
        <v>154</v>
      </c>
      <c r="E2524" s="80">
        <v>0.0</v>
      </c>
      <c r="F2524" s="80">
        <v>3.0</v>
      </c>
      <c r="G2524" s="80">
        <v>3.0</v>
      </c>
      <c r="H2524" s="80"/>
      <c r="I2524" s="80">
        <v>5.0</v>
      </c>
      <c r="J2524" s="32"/>
      <c r="K2524" s="32" t="str">
        <f t="shared" si="102"/>
        <v>#REF!</v>
      </c>
      <c r="L2524" s="32"/>
      <c r="M2524" s="32"/>
      <c r="N2524" s="32"/>
      <c r="O2524" s="32"/>
      <c r="P2524" s="32"/>
    </row>
    <row r="2525" hidden="1">
      <c r="A2525" s="34" t="s">
        <v>352</v>
      </c>
      <c r="B2525" s="92" t="s">
        <v>155</v>
      </c>
      <c r="C2525" s="92"/>
      <c r="D2525" s="92" t="s">
        <v>157</v>
      </c>
      <c r="E2525" s="80">
        <v>2.0</v>
      </c>
      <c r="F2525" s="80">
        <v>0.0</v>
      </c>
      <c r="G2525" s="80">
        <v>0.0</v>
      </c>
      <c r="H2525" s="80"/>
      <c r="I2525" s="80">
        <v>0.0</v>
      </c>
      <c r="J2525" s="32"/>
      <c r="K2525" s="32" t="str">
        <f t="shared" si="102"/>
        <v>#REF!</v>
      </c>
      <c r="L2525" s="32"/>
      <c r="M2525" s="32"/>
      <c r="N2525" s="32"/>
      <c r="O2525" s="32"/>
      <c r="P2525" s="32"/>
    </row>
    <row r="2526" hidden="1">
      <c r="A2526" s="34" t="s">
        <v>352</v>
      </c>
      <c r="B2526" s="92" t="s">
        <v>158</v>
      </c>
      <c r="C2526" s="92"/>
      <c r="D2526" s="92" t="s">
        <v>160</v>
      </c>
      <c r="E2526" s="80">
        <v>0.0</v>
      </c>
      <c r="F2526" s="80">
        <v>4.0</v>
      </c>
      <c r="G2526" s="80">
        <v>0.0</v>
      </c>
      <c r="H2526" s="80"/>
      <c r="I2526" s="80">
        <v>3.0</v>
      </c>
      <c r="J2526" s="32"/>
      <c r="K2526" s="32" t="str">
        <f t="shared" si="102"/>
        <v>#REF!</v>
      </c>
      <c r="L2526" s="32"/>
      <c r="M2526" s="32"/>
      <c r="N2526" s="32"/>
      <c r="O2526" s="32"/>
      <c r="P2526" s="32"/>
    </row>
    <row r="2527" hidden="1">
      <c r="A2527" s="34" t="s">
        <v>352</v>
      </c>
      <c r="B2527" s="92" t="s">
        <v>344</v>
      </c>
      <c r="C2527" s="92"/>
      <c r="D2527" s="92" t="s">
        <v>345</v>
      </c>
      <c r="E2527" s="83"/>
      <c r="F2527" s="83"/>
      <c r="G2527" s="83"/>
      <c r="H2527" s="83"/>
      <c r="I2527" s="83"/>
      <c r="J2527" s="32"/>
      <c r="K2527" s="32" t="str">
        <f t="shared" si="102"/>
        <v>#REF!</v>
      </c>
      <c r="L2527" s="32"/>
      <c r="M2527" s="32"/>
      <c r="N2527" s="32"/>
      <c r="O2527" s="32"/>
      <c r="P2527" s="32"/>
    </row>
    <row r="2528" hidden="1">
      <c r="A2528" s="34" t="s">
        <v>352</v>
      </c>
      <c r="B2528" s="93" t="s">
        <v>167</v>
      </c>
      <c r="C2528" s="93"/>
      <c r="D2528" s="93" t="s">
        <v>169</v>
      </c>
      <c r="E2528" s="80">
        <v>3.0</v>
      </c>
      <c r="F2528" s="80">
        <v>0.0</v>
      </c>
      <c r="G2528" s="80">
        <v>0.0</v>
      </c>
      <c r="H2528" s="80"/>
      <c r="I2528" s="80">
        <v>0.0</v>
      </c>
      <c r="J2528" s="32"/>
      <c r="K2528" s="32" t="str">
        <f t="shared" si="102"/>
        <v>#REF!</v>
      </c>
      <c r="L2528" s="32"/>
      <c r="M2528" s="32"/>
      <c r="N2528" s="32"/>
      <c r="O2528" s="32"/>
      <c r="P2528" s="32"/>
    </row>
    <row r="2529" hidden="1">
      <c r="A2529" s="34" t="s">
        <v>352</v>
      </c>
      <c r="B2529" s="93" t="s">
        <v>164</v>
      </c>
      <c r="C2529" s="93"/>
      <c r="D2529" s="93" t="s">
        <v>166</v>
      </c>
      <c r="E2529" s="80">
        <v>2.0</v>
      </c>
      <c r="F2529" s="80">
        <v>0.0</v>
      </c>
      <c r="G2529" s="80">
        <v>0.0</v>
      </c>
      <c r="H2529" s="80"/>
      <c r="I2529" s="80">
        <v>0.0</v>
      </c>
      <c r="J2529" s="32"/>
      <c r="K2529" s="32" t="str">
        <f t="shared" si="102"/>
        <v>#REF!</v>
      </c>
      <c r="L2529" s="32"/>
      <c r="M2529" s="32"/>
      <c r="N2529" s="32"/>
      <c r="O2529" s="32"/>
      <c r="P2529" s="32"/>
    </row>
    <row r="2530" hidden="1">
      <c r="A2530" s="34" t="s">
        <v>352</v>
      </c>
      <c r="B2530" s="93" t="s">
        <v>349</v>
      </c>
      <c r="C2530" s="93"/>
      <c r="D2530" s="93" t="s">
        <v>163</v>
      </c>
      <c r="E2530" s="80">
        <v>0.0</v>
      </c>
      <c r="F2530" s="80">
        <v>3.0</v>
      </c>
      <c r="G2530" s="80">
        <v>0.0</v>
      </c>
      <c r="H2530" s="80"/>
      <c r="I2530" s="80">
        <v>3.0</v>
      </c>
      <c r="J2530" s="32"/>
      <c r="K2530" s="32" t="str">
        <f t="shared" si="102"/>
        <v>#REF!</v>
      </c>
      <c r="L2530" s="32"/>
      <c r="M2530" s="32"/>
      <c r="N2530" s="32"/>
      <c r="O2530" s="32"/>
      <c r="P2530" s="32"/>
    </row>
    <row r="2531" hidden="1">
      <c r="A2531" s="34" t="s">
        <v>352</v>
      </c>
      <c r="B2531" s="93" t="s">
        <v>222</v>
      </c>
      <c r="C2531" s="93"/>
      <c r="D2531" s="93" t="s">
        <v>172</v>
      </c>
      <c r="E2531" s="80">
        <v>1.0</v>
      </c>
      <c r="F2531" s="80">
        <v>0.0</v>
      </c>
      <c r="G2531" s="80">
        <v>0.0</v>
      </c>
      <c r="H2531" s="80"/>
      <c r="I2531" s="80">
        <v>0.0</v>
      </c>
      <c r="J2531" s="32"/>
      <c r="K2531" s="32" t="str">
        <f t="shared" si="102"/>
        <v>#REF!</v>
      </c>
      <c r="L2531" s="32"/>
      <c r="M2531" s="32"/>
      <c r="N2531" s="32"/>
      <c r="O2531" s="32"/>
      <c r="P2531" s="32"/>
    </row>
    <row r="2532" hidden="1">
      <c r="A2532" s="34" t="s">
        <v>353</v>
      </c>
      <c r="B2532" s="91" t="s">
        <v>128</v>
      </c>
      <c r="C2532" s="92"/>
      <c r="D2532" s="92" t="s">
        <v>130</v>
      </c>
      <c r="E2532" s="80">
        <v>1.0</v>
      </c>
      <c r="F2532" s="80">
        <v>0.0</v>
      </c>
      <c r="G2532" s="80">
        <v>0.0</v>
      </c>
      <c r="H2532" s="80"/>
      <c r="I2532" s="80">
        <v>4.0</v>
      </c>
      <c r="J2532" s="32"/>
      <c r="K2532" s="32" t="str">
        <f t="shared" si="102"/>
        <v>#REF!</v>
      </c>
      <c r="L2532" s="32"/>
      <c r="M2532" s="32"/>
      <c r="N2532" s="32"/>
      <c r="O2532" s="32"/>
      <c r="P2532" s="32"/>
    </row>
    <row r="2533" hidden="1">
      <c r="A2533" s="34" t="s">
        <v>353</v>
      </c>
      <c r="B2533" s="91" t="s">
        <v>125</v>
      </c>
      <c r="C2533" s="92"/>
      <c r="D2533" s="92" t="s">
        <v>127</v>
      </c>
      <c r="E2533" s="80">
        <v>1.0</v>
      </c>
      <c r="F2533" s="80">
        <v>3.0</v>
      </c>
      <c r="G2533" s="80">
        <v>0.0</v>
      </c>
      <c r="H2533" s="80"/>
      <c r="I2533" s="80">
        <v>5.0</v>
      </c>
      <c r="J2533" s="32"/>
      <c r="K2533" s="32" t="str">
        <f t="shared" si="102"/>
        <v>#REF!</v>
      </c>
      <c r="L2533" s="32"/>
      <c r="M2533" s="32"/>
      <c r="N2533" s="32"/>
      <c r="O2533" s="32"/>
      <c r="P2533" s="32"/>
    </row>
    <row r="2534" hidden="1">
      <c r="A2534" s="34" t="s">
        <v>353</v>
      </c>
      <c r="B2534" s="91" t="s">
        <v>275</v>
      </c>
      <c r="C2534" s="92"/>
      <c r="D2534" s="92" t="s">
        <v>277</v>
      </c>
      <c r="E2534" s="80">
        <v>0.0</v>
      </c>
      <c r="F2534" s="80">
        <v>2.0</v>
      </c>
      <c r="G2534" s="80">
        <v>1.0</v>
      </c>
      <c r="H2534" s="80"/>
      <c r="I2534" s="80">
        <v>5.0</v>
      </c>
      <c r="J2534" s="32"/>
      <c r="K2534" s="32" t="str">
        <f t="shared" si="102"/>
        <v>#REF!</v>
      </c>
      <c r="L2534" s="32"/>
      <c r="M2534" s="32"/>
      <c r="N2534" s="32"/>
      <c r="O2534" s="32"/>
      <c r="P2534" s="32"/>
    </row>
    <row r="2535" hidden="1">
      <c r="A2535" s="34" t="s">
        <v>353</v>
      </c>
      <c r="B2535" s="91" t="s">
        <v>267</v>
      </c>
      <c r="C2535" s="92"/>
      <c r="D2535" s="92" t="s">
        <v>269</v>
      </c>
      <c r="E2535" s="80">
        <v>0.0</v>
      </c>
      <c r="F2535" s="80">
        <v>5.0</v>
      </c>
      <c r="G2535" s="80">
        <v>4.0</v>
      </c>
      <c r="H2535" s="80"/>
      <c r="I2535" s="80">
        <v>5.0</v>
      </c>
      <c r="J2535" s="32"/>
      <c r="K2535" s="32" t="str">
        <f t="shared" si="102"/>
        <v>#REF!</v>
      </c>
      <c r="L2535" s="32"/>
      <c r="M2535" s="32"/>
      <c r="N2535" s="32"/>
      <c r="O2535" s="32"/>
      <c r="P2535" s="32"/>
    </row>
    <row r="2536" hidden="1">
      <c r="A2536" s="34" t="s">
        <v>353</v>
      </c>
      <c r="B2536" s="91" t="s">
        <v>119</v>
      </c>
      <c r="C2536" s="92"/>
      <c r="D2536" s="92" t="s">
        <v>121</v>
      </c>
      <c r="E2536" s="80">
        <v>6.0</v>
      </c>
      <c r="F2536" s="80">
        <v>2.0</v>
      </c>
      <c r="G2536" s="80">
        <v>0.0</v>
      </c>
      <c r="H2536" s="80"/>
      <c r="I2536" s="80">
        <v>5.0</v>
      </c>
      <c r="J2536" s="32"/>
      <c r="K2536" s="32" t="str">
        <f t="shared" si="102"/>
        <v>#REF!</v>
      </c>
      <c r="L2536" s="32"/>
      <c r="M2536" s="32"/>
      <c r="N2536" s="32"/>
      <c r="O2536" s="32"/>
      <c r="P2536" s="32"/>
    </row>
    <row r="2537" hidden="1">
      <c r="A2537" s="34" t="s">
        <v>353</v>
      </c>
      <c r="B2537" s="91" t="s">
        <v>134</v>
      </c>
      <c r="C2537" s="92"/>
      <c r="D2537" s="92" t="s">
        <v>136</v>
      </c>
      <c r="E2537" s="80">
        <v>4.0</v>
      </c>
      <c r="F2537" s="80">
        <v>2.0</v>
      </c>
      <c r="G2537" s="80">
        <v>0.0</v>
      </c>
      <c r="H2537" s="80"/>
      <c r="I2537" s="80">
        <v>4.0</v>
      </c>
      <c r="J2537" s="32"/>
      <c r="K2537" s="32" t="str">
        <f t="shared" si="102"/>
        <v>#REF!</v>
      </c>
      <c r="L2537" s="32"/>
      <c r="M2537" s="32"/>
      <c r="N2537" s="32"/>
      <c r="O2537" s="32"/>
      <c r="P2537" s="32"/>
    </row>
    <row r="2538" hidden="1">
      <c r="A2538" s="34" t="s">
        <v>353</v>
      </c>
      <c r="B2538" s="91" t="s">
        <v>216</v>
      </c>
      <c r="C2538" s="92"/>
      <c r="D2538" s="92" t="s">
        <v>274</v>
      </c>
      <c r="E2538" s="80">
        <v>0.0</v>
      </c>
      <c r="F2538" s="80">
        <v>1.0</v>
      </c>
      <c r="G2538" s="80">
        <v>2.0</v>
      </c>
      <c r="H2538" s="80"/>
      <c r="I2538" s="80">
        <v>5.0</v>
      </c>
      <c r="J2538" s="32"/>
      <c r="K2538" s="32" t="str">
        <f t="shared" si="102"/>
        <v>#REF!</v>
      </c>
      <c r="L2538" s="32"/>
      <c r="M2538" s="32"/>
      <c r="N2538" s="32"/>
      <c r="O2538" s="32"/>
      <c r="P2538" s="32"/>
    </row>
    <row r="2539" hidden="1">
      <c r="A2539" s="34" t="s">
        <v>353</v>
      </c>
      <c r="B2539" s="91" t="s">
        <v>131</v>
      </c>
      <c r="C2539" s="92"/>
      <c r="D2539" s="92" t="s">
        <v>133</v>
      </c>
      <c r="E2539" s="80">
        <v>6.0</v>
      </c>
      <c r="F2539" s="80">
        <v>0.0</v>
      </c>
      <c r="G2539" s="80">
        <v>0.0</v>
      </c>
      <c r="H2539" s="80"/>
      <c r="I2539" s="80">
        <v>5.0</v>
      </c>
      <c r="J2539" s="32"/>
      <c r="K2539" s="32" t="str">
        <f t="shared" si="102"/>
        <v>#REF!</v>
      </c>
      <c r="L2539" s="32"/>
      <c r="M2539" s="32"/>
      <c r="N2539" s="32"/>
      <c r="O2539" s="32"/>
      <c r="P2539" s="32"/>
    </row>
    <row r="2540" hidden="1">
      <c r="A2540" s="34" t="s">
        <v>353</v>
      </c>
      <c r="B2540" s="91" t="s">
        <v>122</v>
      </c>
      <c r="C2540" s="92"/>
      <c r="D2540" s="92" t="s">
        <v>343</v>
      </c>
      <c r="E2540" s="80">
        <v>3.0</v>
      </c>
      <c r="F2540" s="80">
        <v>3.0</v>
      </c>
      <c r="G2540" s="80">
        <v>0.0</v>
      </c>
      <c r="H2540" s="80"/>
      <c r="I2540" s="80">
        <v>5.0</v>
      </c>
      <c r="J2540" s="32"/>
      <c r="K2540" s="32" t="str">
        <f t="shared" si="102"/>
        <v>#REF!</v>
      </c>
      <c r="L2540" s="32"/>
      <c r="M2540" s="32"/>
      <c r="N2540" s="32"/>
      <c r="O2540" s="32"/>
      <c r="P2540" s="32"/>
    </row>
    <row r="2541" hidden="1">
      <c r="A2541" s="34" t="s">
        <v>353</v>
      </c>
      <c r="B2541" s="91" t="s">
        <v>137</v>
      </c>
      <c r="C2541" s="92"/>
      <c r="D2541" s="92" t="s">
        <v>139</v>
      </c>
      <c r="E2541" s="80">
        <v>0.0</v>
      </c>
      <c r="F2541" s="80">
        <v>4.0</v>
      </c>
      <c r="G2541" s="80">
        <v>0.0</v>
      </c>
      <c r="H2541" s="80"/>
      <c r="I2541" s="80">
        <v>5.0</v>
      </c>
      <c r="J2541" s="32"/>
      <c r="K2541" s="32" t="str">
        <f t="shared" si="102"/>
        <v>#REF!</v>
      </c>
      <c r="L2541" s="32"/>
      <c r="M2541" s="32"/>
      <c r="N2541" s="32"/>
      <c r="O2541" s="32"/>
      <c r="P2541" s="32"/>
    </row>
    <row r="2542" hidden="1">
      <c r="A2542" s="34" t="s">
        <v>353</v>
      </c>
      <c r="B2542" s="91" t="s">
        <v>278</v>
      </c>
      <c r="C2542" s="92"/>
      <c r="D2542" s="92" t="s">
        <v>280</v>
      </c>
      <c r="E2542" s="80">
        <v>5.0</v>
      </c>
      <c r="F2542" s="80">
        <v>0.0</v>
      </c>
      <c r="G2542" s="80">
        <v>0.0</v>
      </c>
      <c r="H2542" s="80"/>
      <c r="I2542" s="80">
        <v>5.0</v>
      </c>
      <c r="J2542" s="32"/>
      <c r="K2542" s="32" t="str">
        <f t="shared" si="102"/>
        <v>#REF!</v>
      </c>
      <c r="L2542" s="32"/>
      <c r="M2542" s="32"/>
      <c r="N2542" s="32"/>
      <c r="O2542" s="32"/>
      <c r="P2542" s="32"/>
    </row>
    <row r="2543" hidden="1">
      <c r="A2543" s="34" t="s">
        <v>353</v>
      </c>
      <c r="B2543" s="91" t="s">
        <v>140</v>
      </c>
      <c r="C2543" s="92"/>
      <c r="D2543" s="92" t="s">
        <v>142</v>
      </c>
      <c r="E2543" s="80">
        <v>1.0</v>
      </c>
      <c r="F2543" s="80">
        <v>1.0</v>
      </c>
      <c r="G2543" s="80">
        <v>0.0</v>
      </c>
      <c r="H2543" s="80"/>
      <c r="I2543" s="80">
        <v>5.0</v>
      </c>
      <c r="J2543" s="32"/>
      <c r="K2543" s="32" t="str">
        <f t="shared" si="102"/>
        <v>#REF!</v>
      </c>
      <c r="L2543" s="32"/>
      <c r="M2543" s="32"/>
      <c r="N2543" s="32"/>
      <c r="O2543" s="32"/>
      <c r="P2543" s="32"/>
    </row>
    <row r="2544" hidden="1">
      <c r="A2544" s="34" t="s">
        <v>353</v>
      </c>
      <c r="B2544" s="91" t="s">
        <v>207</v>
      </c>
      <c r="C2544" s="92"/>
      <c r="D2544" s="92" t="s">
        <v>281</v>
      </c>
      <c r="E2544" s="80">
        <v>0.0</v>
      </c>
      <c r="F2544" s="80">
        <v>2.0</v>
      </c>
      <c r="G2544" s="80">
        <v>0.0</v>
      </c>
      <c r="H2544" s="80"/>
      <c r="I2544" s="80">
        <v>5.0</v>
      </c>
      <c r="J2544" s="32"/>
      <c r="K2544" s="32" t="str">
        <f t="shared" si="102"/>
        <v>#REF!</v>
      </c>
      <c r="L2544" s="32"/>
      <c r="M2544" s="32"/>
      <c r="N2544" s="32"/>
      <c r="O2544" s="32"/>
      <c r="P2544" s="32"/>
    </row>
    <row r="2545" hidden="1">
      <c r="A2545" s="34" t="s">
        <v>353</v>
      </c>
      <c r="B2545" s="91" t="s">
        <v>282</v>
      </c>
      <c r="C2545" s="92"/>
      <c r="D2545" s="92" t="s">
        <v>284</v>
      </c>
      <c r="E2545" s="80">
        <v>0.0</v>
      </c>
      <c r="F2545" s="80">
        <v>3.0</v>
      </c>
      <c r="G2545" s="80">
        <v>0.0</v>
      </c>
      <c r="H2545" s="80"/>
      <c r="I2545" s="80">
        <v>5.0</v>
      </c>
      <c r="J2545" s="32"/>
      <c r="K2545" s="32" t="str">
        <f t="shared" si="102"/>
        <v>#REF!</v>
      </c>
      <c r="L2545" s="32"/>
      <c r="M2545" s="32"/>
      <c r="N2545" s="32"/>
      <c r="O2545" s="32"/>
      <c r="P2545" s="32"/>
    </row>
    <row r="2546" hidden="1">
      <c r="A2546" s="34" t="s">
        <v>353</v>
      </c>
      <c r="B2546" s="91" t="s">
        <v>285</v>
      </c>
      <c r="C2546" s="92"/>
      <c r="D2546" s="92" t="s">
        <v>287</v>
      </c>
      <c r="E2546" s="80">
        <v>0.0</v>
      </c>
      <c r="F2546" s="80">
        <v>3.0</v>
      </c>
      <c r="G2546" s="80">
        <v>0.0</v>
      </c>
      <c r="H2546" s="80"/>
      <c r="I2546" s="80">
        <v>5.0</v>
      </c>
      <c r="J2546" s="32"/>
      <c r="K2546" s="32" t="str">
        <f t="shared" si="102"/>
        <v>#REF!</v>
      </c>
      <c r="L2546" s="32"/>
      <c r="M2546" s="32"/>
      <c r="N2546" s="32"/>
      <c r="O2546" s="32"/>
      <c r="P2546" s="32"/>
    </row>
    <row r="2547" hidden="1">
      <c r="A2547" s="34" t="s">
        <v>353</v>
      </c>
      <c r="B2547" s="91" t="s">
        <v>143</v>
      </c>
      <c r="C2547" s="92"/>
      <c r="D2547" s="92" t="s">
        <v>145</v>
      </c>
      <c r="E2547" s="80">
        <v>0.0</v>
      </c>
      <c r="F2547" s="80">
        <v>0.0</v>
      </c>
      <c r="G2547" s="80">
        <v>3.0</v>
      </c>
      <c r="H2547" s="80"/>
      <c r="I2547" s="80">
        <v>5.0</v>
      </c>
      <c r="J2547" s="32"/>
      <c r="K2547" s="32" t="str">
        <f t="shared" si="102"/>
        <v>#REF!</v>
      </c>
      <c r="L2547" s="32"/>
      <c r="M2547" s="32"/>
      <c r="N2547" s="32"/>
      <c r="O2547" s="32"/>
      <c r="P2547" s="32"/>
    </row>
    <row r="2548" hidden="1">
      <c r="A2548" s="34" t="s">
        <v>353</v>
      </c>
      <c r="B2548" s="91" t="s">
        <v>146</v>
      </c>
      <c r="C2548" s="92"/>
      <c r="D2548" s="92" t="s">
        <v>148</v>
      </c>
      <c r="E2548" s="80">
        <v>0.0</v>
      </c>
      <c r="F2548" s="80">
        <v>4.0</v>
      </c>
      <c r="G2548" s="80">
        <v>0.0</v>
      </c>
      <c r="H2548" s="80"/>
      <c r="I2548" s="80">
        <v>5.0</v>
      </c>
      <c r="J2548" s="32"/>
      <c r="K2548" s="32" t="str">
        <f t="shared" si="102"/>
        <v>#REF!</v>
      </c>
      <c r="L2548" s="32"/>
      <c r="M2548" s="32"/>
      <c r="N2548" s="32"/>
      <c r="O2548" s="32"/>
      <c r="P2548" s="32"/>
    </row>
    <row r="2549" hidden="1">
      <c r="A2549" s="34" t="s">
        <v>353</v>
      </c>
      <c r="B2549" s="91" t="s">
        <v>271</v>
      </c>
      <c r="C2549" s="92"/>
      <c r="D2549" s="92" t="s">
        <v>346</v>
      </c>
      <c r="E2549" s="80">
        <v>0.0</v>
      </c>
      <c r="F2549" s="80">
        <v>4.0</v>
      </c>
      <c r="G2549" s="80">
        <v>0.0</v>
      </c>
      <c r="H2549" s="80"/>
      <c r="I2549" s="80">
        <v>5.0</v>
      </c>
      <c r="J2549" s="32"/>
      <c r="K2549" s="32" t="str">
        <f t="shared" si="102"/>
        <v>#REF!</v>
      </c>
      <c r="L2549" s="32"/>
      <c r="M2549" s="32"/>
      <c r="N2549" s="32"/>
      <c r="O2549" s="32"/>
      <c r="P2549" s="32"/>
    </row>
    <row r="2550" hidden="1">
      <c r="A2550" s="34" t="s">
        <v>353</v>
      </c>
      <c r="B2550" s="91" t="s">
        <v>245</v>
      </c>
      <c r="C2550" s="92"/>
      <c r="D2550" s="92" t="s">
        <v>247</v>
      </c>
      <c r="E2550" s="80">
        <v>0.0</v>
      </c>
      <c r="F2550" s="80">
        <v>0.0</v>
      </c>
      <c r="G2550" s="80">
        <v>0.0</v>
      </c>
      <c r="H2550" s="80"/>
      <c r="I2550" s="80">
        <v>5.0</v>
      </c>
      <c r="J2550" s="32"/>
      <c r="K2550" s="32" t="str">
        <f t="shared" si="102"/>
        <v>#REF!</v>
      </c>
      <c r="L2550" s="32"/>
      <c r="M2550" s="32"/>
      <c r="N2550" s="32"/>
      <c r="O2550" s="32"/>
      <c r="P2550" s="32"/>
    </row>
    <row r="2551" hidden="1">
      <c r="A2551" s="34" t="s">
        <v>353</v>
      </c>
      <c r="B2551" s="91" t="s">
        <v>210</v>
      </c>
      <c r="C2551" s="92"/>
      <c r="D2551" s="92" t="s">
        <v>212</v>
      </c>
      <c r="E2551" s="80">
        <v>0.0</v>
      </c>
      <c r="F2551" s="80">
        <v>0.0</v>
      </c>
      <c r="G2551" s="80">
        <v>1.0</v>
      </c>
      <c r="H2551" s="80"/>
      <c r="I2551" s="80">
        <v>5.0</v>
      </c>
      <c r="J2551" s="32"/>
      <c r="K2551" s="32" t="str">
        <f t="shared" si="102"/>
        <v>#REF!</v>
      </c>
      <c r="L2551" s="32"/>
      <c r="M2551" s="32"/>
      <c r="N2551" s="32"/>
      <c r="O2551" s="32"/>
      <c r="P2551" s="32"/>
    </row>
    <row r="2552" hidden="1">
      <c r="A2552" s="34" t="s">
        <v>353</v>
      </c>
      <c r="B2552" s="91" t="s">
        <v>149</v>
      </c>
      <c r="C2552" s="92"/>
      <c r="D2552" s="92" t="s">
        <v>151</v>
      </c>
      <c r="E2552" s="80">
        <v>1.0</v>
      </c>
      <c r="F2552" s="80">
        <v>0.0</v>
      </c>
      <c r="G2552" s="80">
        <v>3.0</v>
      </c>
      <c r="H2552" s="80"/>
      <c r="I2552" s="80">
        <v>5.0</v>
      </c>
      <c r="J2552" s="32"/>
      <c r="K2552" s="32" t="str">
        <f t="shared" si="102"/>
        <v>#REF!</v>
      </c>
      <c r="L2552" s="32"/>
      <c r="M2552" s="32"/>
      <c r="N2552" s="32"/>
      <c r="O2552" s="32"/>
      <c r="P2552" s="32"/>
    </row>
    <row r="2553" hidden="1">
      <c r="A2553" s="34" t="s">
        <v>353</v>
      </c>
      <c r="B2553" s="91" t="s">
        <v>288</v>
      </c>
      <c r="C2553" s="92"/>
      <c r="D2553" s="92" t="s">
        <v>290</v>
      </c>
      <c r="E2553" s="80">
        <v>0.0</v>
      </c>
      <c r="F2553" s="80">
        <v>5.0</v>
      </c>
      <c r="G2553" s="80">
        <v>2.0</v>
      </c>
      <c r="H2553" s="80"/>
      <c r="I2553" s="80">
        <v>5.0</v>
      </c>
      <c r="J2553" s="32"/>
      <c r="K2553" s="32" t="str">
        <f t="shared" si="102"/>
        <v>#REF!</v>
      </c>
      <c r="L2553" s="32"/>
      <c r="M2553" s="32"/>
      <c r="N2553" s="32"/>
      <c r="O2553" s="32"/>
      <c r="P2553" s="32"/>
    </row>
    <row r="2554" hidden="1">
      <c r="A2554" s="34" t="s">
        <v>353</v>
      </c>
      <c r="B2554" s="91" t="s">
        <v>152</v>
      </c>
      <c r="C2554" s="92"/>
      <c r="D2554" s="92" t="s">
        <v>154</v>
      </c>
      <c r="E2554" s="80">
        <v>0.0</v>
      </c>
      <c r="F2554" s="80">
        <v>3.0</v>
      </c>
      <c r="G2554" s="80">
        <v>1.0</v>
      </c>
      <c r="H2554" s="80"/>
      <c r="I2554" s="80">
        <v>5.0</v>
      </c>
      <c r="J2554" s="32"/>
      <c r="K2554" s="32" t="str">
        <f t="shared" si="102"/>
        <v>#REF!</v>
      </c>
      <c r="L2554" s="32"/>
      <c r="M2554" s="32"/>
      <c r="N2554" s="32"/>
      <c r="O2554" s="32"/>
      <c r="P2554" s="32"/>
    </row>
    <row r="2555" hidden="1">
      <c r="A2555" s="34" t="s">
        <v>353</v>
      </c>
      <c r="B2555" s="91" t="s">
        <v>155</v>
      </c>
      <c r="C2555" s="92"/>
      <c r="D2555" s="92" t="s">
        <v>157</v>
      </c>
      <c r="E2555" s="80">
        <v>2.0</v>
      </c>
      <c r="F2555" s="80">
        <v>0.0</v>
      </c>
      <c r="G2555" s="80">
        <v>0.0</v>
      </c>
      <c r="H2555" s="80"/>
      <c r="I2555" s="80">
        <v>5.0</v>
      </c>
      <c r="J2555" s="32"/>
      <c r="K2555" s="32" t="str">
        <f t="shared" si="102"/>
        <v>#REF!</v>
      </c>
      <c r="L2555" s="32"/>
      <c r="M2555" s="32"/>
      <c r="N2555" s="32"/>
      <c r="O2555" s="32"/>
      <c r="P2555" s="32"/>
    </row>
    <row r="2556" hidden="1">
      <c r="A2556" s="34" t="s">
        <v>353</v>
      </c>
      <c r="B2556" s="91" t="s">
        <v>158</v>
      </c>
      <c r="C2556" s="92"/>
      <c r="D2556" s="92" t="s">
        <v>160</v>
      </c>
      <c r="E2556" s="80">
        <v>2.0</v>
      </c>
      <c r="F2556" s="80">
        <v>0.0</v>
      </c>
      <c r="G2556" s="80">
        <v>0.0</v>
      </c>
      <c r="H2556" s="80"/>
      <c r="I2556" s="80">
        <v>5.0</v>
      </c>
      <c r="J2556" s="32"/>
      <c r="K2556" s="32" t="str">
        <f t="shared" si="102"/>
        <v>#REF!</v>
      </c>
      <c r="L2556" s="32"/>
      <c r="M2556" s="32"/>
      <c r="N2556" s="32"/>
      <c r="O2556" s="32"/>
      <c r="P2556" s="32"/>
    </row>
    <row r="2557" hidden="1">
      <c r="A2557" s="34" t="s">
        <v>353</v>
      </c>
      <c r="B2557" s="91" t="s">
        <v>344</v>
      </c>
      <c r="C2557" s="92"/>
      <c r="D2557" s="92" t="s">
        <v>345</v>
      </c>
      <c r="E2557" s="80">
        <v>0.0</v>
      </c>
      <c r="F2557" s="80">
        <v>0.0</v>
      </c>
      <c r="G2557" s="80">
        <v>0.0</v>
      </c>
      <c r="H2557" s="80"/>
      <c r="I2557" s="80">
        <v>0.0</v>
      </c>
      <c r="J2557" s="32"/>
      <c r="K2557" s="32" t="str">
        <f t="shared" si="102"/>
        <v>#REF!</v>
      </c>
      <c r="L2557" s="32"/>
      <c r="M2557" s="32"/>
      <c r="N2557" s="32"/>
      <c r="O2557" s="32"/>
      <c r="P2557" s="32"/>
    </row>
    <row r="2558" hidden="1">
      <c r="A2558" s="34" t="s">
        <v>353</v>
      </c>
      <c r="B2558" s="96" t="s">
        <v>167</v>
      </c>
      <c r="C2558" s="93"/>
      <c r="D2558" s="93" t="s">
        <v>169</v>
      </c>
      <c r="E2558" s="80">
        <v>0.0</v>
      </c>
      <c r="F2558" s="80">
        <v>0.0</v>
      </c>
      <c r="G2558" s="80">
        <v>0.0</v>
      </c>
      <c r="H2558" s="80"/>
      <c r="I2558" s="80">
        <v>4.0</v>
      </c>
      <c r="J2558" s="32"/>
      <c r="K2558" s="32" t="str">
        <f t="shared" si="102"/>
        <v>#REF!</v>
      </c>
      <c r="L2558" s="32"/>
      <c r="M2558" s="32"/>
      <c r="N2558" s="32"/>
      <c r="O2558" s="32"/>
      <c r="P2558" s="32"/>
    </row>
    <row r="2559" hidden="1">
      <c r="A2559" s="34" t="s">
        <v>353</v>
      </c>
      <c r="B2559" s="96" t="s">
        <v>164</v>
      </c>
      <c r="C2559" s="93"/>
      <c r="D2559" s="93" t="s">
        <v>166</v>
      </c>
      <c r="E2559" s="80">
        <v>0.0</v>
      </c>
      <c r="F2559" s="80">
        <v>0.0</v>
      </c>
      <c r="G2559" s="80">
        <v>0.0</v>
      </c>
      <c r="H2559" s="80"/>
      <c r="I2559" s="80">
        <v>4.0</v>
      </c>
      <c r="J2559" s="32"/>
      <c r="K2559" s="32" t="str">
        <f t="shared" si="102"/>
        <v>#REF!</v>
      </c>
      <c r="L2559" s="32"/>
      <c r="M2559" s="32"/>
      <c r="N2559" s="32"/>
      <c r="O2559" s="32"/>
      <c r="P2559" s="32"/>
    </row>
    <row r="2560" hidden="1">
      <c r="A2560" s="34" t="s">
        <v>353</v>
      </c>
      <c r="B2560" s="96" t="s">
        <v>349</v>
      </c>
      <c r="C2560" s="93"/>
      <c r="D2560" s="93" t="s">
        <v>163</v>
      </c>
      <c r="E2560" s="80">
        <v>0.0</v>
      </c>
      <c r="F2560" s="80">
        <v>0.0</v>
      </c>
      <c r="G2560" s="80">
        <v>0.0</v>
      </c>
      <c r="H2560" s="80"/>
      <c r="I2560" s="80">
        <v>4.0</v>
      </c>
      <c r="J2560" s="32"/>
      <c r="K2560" s="32" t="str">
        <f t="shared" si="102"/>
        <v>#REF!</v>
      </c>
      <c r="L2560" s="32"/>
      <c r="M2560" s="32"/>
      <c r="N2560" s="32"/>
      <c r="O2560" s="32"/>
      <c r="P2560" s="32"/>
    </row>
    <row r="2561" hidden="1">
      <c r="A2561" s="34" t="s">
        <v>353</v>
      </c>
      <c r="B2561" s="96" t="s">
        <v>222</v>
      </c>
      <c r="C2561" s="93"/>
      <c r="D2561" s="93" t="s">
        <v>172</v>
      </c>
      <c r="E2561" s="80">
        <v>0.0</v>
      </c>
      <c r="F2561" s="80">
        <v>0.0</v>
      </c>
      <c r="G2561" s="80">
        <v>0.0</v>
      </c>
      <c r="H2561" s="80"/>
      <c r="I2561" s="80">
        <v>4.0</v>
      </c>
      <c r="J2561" s="32"/>
      <c r="K2561" s="32" t="str">
        <f t="shared" si="102"/>
        <v>#REF!</v>
      </c>
      <c r="L2561" s="32"/>
      <c r="M2561" s="32"/>
      <c r="N2561" s="32"/>
      <c r="O2561" s="32"/>
      <c r="P2561" s="32"/>
    </row>
    <row r="2562" hidden="1">
      <c r="A2562" s="34" t="s">
        <v>354</v>
      </c>
      <c r="B2562" s="103"/>
      <c r="C2562" s="103"/>
      <c r="D2562" s="103" t="s">
        <v>130</v>
      </c>
      <c r="E2562" s="80">
        <v>0.0</v>
      </c>
      <c r="F2562" s="80">
        <v>4.0</v>
      </c>
      <c r="G2562" s="80">
        <v>0.0</v>
      </c>
      <c r="H2562" s="80"/>
      <c r="I2562" s="80">
        <v>5.0</v>
      </c>
      <c r="J2562" s="32"/>
      <c r="K2562" s="32" t="str">
        <f t="shared" si="102"/>
        <v>#REF!</v>
      </c>
      <c r="L2562" s="32"/>
      <c r="M2562" s="32"/>
      <c r="N2562" s="32"/>
      <c r="O2562" s="32"/>
      <c r="P2562" s="32"/>
    </row>
    <row r="2563" hidden="1">
      <c r="A2563" s="34" t="s">
        <v>354</v>
      </c>
      <c r="B2563" s="103"/>
      <c r="C2563" s="103"/>
      <c r="D2563" s="103" t="s">
        <v>127</v>
      </c>
      <c r="E2563" s="80">
        <v>1.0</v>
      </c>
      <c r="F2563" s="80">
        <v>4.0</v>
      </c>
      <c r="G2563" s="80">
        <v>1.0</v>
      </c>
      <c r="H2563" s="80"/>
      <c r="I2563" s="80">
        <v>5.0</v>
      </c>
      <c r="J2563" s="32"/>
      <c r="K2563" s="32" t="str">
        <f t="shared" si="102"/>
        <v>#REF!</v>
      </c>
      <c r="L2563" s="32"/>
      <c r="M2563" s="32"/>
      <c r="N2563" s="32"/>
      <c r="O2563" s="32"/>
      <c r="P2563" s="32"/>
    </row>
    <row r="2564" hidden="1">
      <c r="A2564" s="34" t="s">
        <v>354</v>
      </c>
      <c r="B2564" s="103"/>
      <c r="C2564" s="103"/>
      <c r="D2564" s="103" t="s">
        <v>277</v>
      </c>
      <c r="E2564" s="80">
        <v>3.0</v>
      </c>
      <c r="F2564" s="80">
        <v>2.0</v>
      </c>
      <c r="G2564" s="80">
        <v>1.0</v>
      </c>
      <c r="H2564" s="80"/>
      <c r="I2564" s="80">
        <v>5.0</v>
      </c>
      <c r="J2564" s="32"/>
      <c r="K2564" s="32" t="str">
        <f t="shared" si="102"/>
        <v>#REF!</v>
      </c>
      <c r="L2564" s="32"/>
      <c r="M2564" s="32"/>
      <c r="N2564" s="32"/>
      <c r="O2564" s="32"/>
      <c r="P2564" s="32"/>
    </row>
    <row r="2565" hidden="1">
      <c r="A2565" s="34" t="s">
        <v>354</v>
      </c>
      <c r="B2565" s="103"/>
      <c r="C2565" s="103"/>
      <c r="D2565" s="103" t="s">
        <v>269</v>
      </c>
      <c r="E2565" s="80">
        <v>1.0</v>
      </c>
      <c r="F2565" s="80">
        <v>2.0</v>
      </c>
      <c r="G2565" s="80">
        <v>2.0</v>
      </c>
      <c r="H2565" s="80"/>
      <c r="I2565" s="80">
        <v>5.0</v>
      </c>
      <c r="J2565" s="32"/>
      <c r="K2565" s="32" t="str">
        <f t="shared" si="102"/>
        <v>#REF!</v>
      </c>
      <c r="L2565" s="32"/>
      <c r="M2565" s="32"/>
      <c r="N2565" s="32"/>
      <c r="O2565" s="32"/>
      <c r="P2565" s="32"/>
    </row>
    <row r="2566" hidden="1">
      <c r="A2566" s="34" t="s">
        <v>354</v>
      </c>
      <c r="B2566" s="103"/>
      <c r="C2566" s="103"/>
      <c r="D2566" s="103" t="s">
        <v>121</v>
      </c>
      <c r="E2566" s="80">
        <v>5.0</v>
      </c>
      <c r="F2566" s="80">
        <v>0.0</v>
      </c>
      <c r="G2566" s="80">
        <v>0.0</v>
      </c>
      <c r="H2566" s="80"/>
      <c r="I2566" s="80">
        <v>5.0</v>
      </c>
      <c r="J2566" s="32"/>
      <c r="K2566" s="32" t="str">
        <f t="shared" si="102"/>
        <v>#REF!</v>
      </c>
      <c r="L2566" s="32"/>
      <c r="M2566" s="32"/>
      <c r="N2566" s="32"/>
      <c r="O2566" s="32"/>
      <c r="P2566" s="32"/>
    </row>
    <row r="2567" hidden="1">
      <c r="A2567" s="34" t="s">
        <v>354</v>
      </c>
      <c r="B2567" s="103"/>
      <c r="C2567" s="103"/>
      <c r="D2567" s="103" t="s">
        <v>136</v>
      </c>
      <c r="E2567" s="80">
        <v>9.0</v>
      </c>
      <c r="F2567" s="80">
        <v>0.0</v>
      </c>
      <c r="G2567" s="80">
        <v>0.0</v>
      </c>
      <c r="H2567" s="80"/>
      <c r="I2567" s="80">
        <v>5.0</v>
      </c>
      <c r="J2567" s="32"/>
      <c r="K2567" s="32" t="str">
        <f t="shared" si="102"/>
        <v>#REF!</v>
      </c>
      <c r="L2567" s="32"/>
      <c r="M2567" s="32"/>
      <c r="N2567" s="32"/>
      <c r="O2567" s="32"/>
      <c r="P2567" s="32"/>
    </row>
    <row r="2568" hidden="1">
      <c r="A2568" s="34" t="s">
        <v>354</v>
      </c>
      <c r="B2568" s="103"/>
      <c r="C2568" s="103"/>
      <c r="D2568" s="103" t="s">
        <v>274</v>
      </c>
      <c r="E2568" s="80">
        <v>0.0</v>
      </c>
      <c r="F2568" s="80">
        <v>8.0</v>
      </c>
      <c r="G2568" s="80">
        <v>1.0</v>
      </c>
      <c r="H2568" s="80"/>
      <c r="I2568" s="80">
        <v>5.0</v>
      </c>
      <c r="J2568" s="32"/>
      <c r="K2568" s="32" t="str">
        <f t="shared" si="102"/>
        <v>#REF!</v>
      </c>
      <c r="L2568" s="32"/>
      <c r="M2568" s="32"/>
      <c r="N2568" s="32"/>
      <c r="O2568" s="32"/>
      <c r="P2568" s="32"/>
    </row>
    <row r="2569" hidden="1">
      <c r="A2569" s="34" t="s">
        <v>354</v>
      </c>
      <c r="B2569" s="103"/>
      <c r="C2569" s="103"/>
      <c r="D2569" s="103" t="s">
        <v>133</v>
      </c>
      <c r="E2569" s="80">
        <v>10.0</v>
      </c>
      <c r="F2569" s="80">
        <v>0.0</v>
      </c>
      <c r="G2569" s="80">
        <v>1.0</v>
      </c>
      <c r="H2569" s="80"/>
      <c r="I2569" s="80">
        <v>5.0</v>
      </c>
      <c r="J2569" s="32"/>
      <c r="K2569" s="32" t="str">
        <f t="shared" si="102"/>
        <v>#REF!</v>
      </c>
      <c r="L2569" s="32"/>
      <c r="M2569" s="32"/>
      <c r="N2569" s="32"/>
      <c r="O2569" s="32"/>
      <c r="P2569" s="32"/>
    </row>
    <row r="2570" hidden="1">
      <c r="A2570" s="34" t="s">
        <v>354</v>
      </c>
      <c r="B2570" s="103"/>
      <c r="C2570" s="103"/>
      <c r="D2570" s="103" t="s">
        <v>343</v>
      </c>
      <c r="E2570" s="80">
        <v>4.0</v>
      </c>
      <c r="F2570" s="80">
        <v>3.0</v>
      </c>
      <c r="G2570" s="80">
        <v>0.0</v>
      </c>
      <c r="H2570" s="80"/>
      <c r="I2570" s="80">
        <v>3.0</v>
      </c>
      <c r="J2570" s="32"/>
      <c r="K2570" s="32" t="str">
        <f t="shared" si="102"/>
        <v>#REF!</v>
      </c>
      <c r="L2570" s="32"/>
      <c r="M2570" s="32"/>
      <c r="N2570" s="32"/>
      <c r="O2570" s="32"/>
      <c r="P2570" s="32"/>
    </row>
    <row r="2571" hidden="1">
      <c r="A2571" s="34" t="s">
        <v>354</v>
      </c>
      <c r="B2571" s="103"/>
      <c r="C2571" s="103"/>
      <c r="D2571" s="103" t="s">
        <v>139</v>
      </c>
      <c r="E2571" s="80">
        <v>8.0</v>
      </c>
      <c r="F2571" s="80">
        <v>4.0</v>
      </c>
      <c r="G2571" s="80">
        <v>0.0</v>
      </c>
      <c r="H2571" s="80"/>
      <c r="I2571" s="80">
        <v>5.0</v>
      </c>
      <c r="J2571" s="32"/>
      <c r="K2571" s="32" t="str">
        <f t="shared" si="102"/>
        <v>#REF!</v>
      </c>
      <c r="L2571" s="32"/>
      <c r="M2571" s="32"/>
      <c r="N2571" s="32"/>
      <c r="O2571" s="32"/>
      <c r="P2571" s="32"/>
    </row>
    <row r="2572" hidden="1">
      <c r="A2572" s="34" t="s">
        <v>354</v>
      </c>
      <c r="B2572" s="103"/>
      <c r="C2572" s="103"/>
      <c r="D2572" s="103" t="s">
        <v>280</v>
      </c>
      <c r="E2572" s="80">
        <v>6.0</v>
      </c>
      <c r="F2572" s="80">
        <v>2.0</v>
      </c>
      <c r="G2572" s="80">
        <v>0.0</v>
      </c>
      <c r="H2572" s="80"/>
      <c r="I2572" s="80">
        <v>5.0</v>
      </c>
      <c r="J2572" s="32"/>
      <c r="K2572" s="32" t="str">
        <f t="shared" si="102"/>
        <v>#REF!</v>
      </c>
      <c r="L2572" s="32"/>
      <c r="M2572" s="32"/>
      <c r="N2572" s="32"/>
      <c r="O2572" s="32"/>
      <c r="P2572" s="32"/>
    </row>
    <row r="2573" hidden="1">
      <c r="A2573" s="34" t="s">
        <v>354</v>
      </c>
      <c r="B2573" s="103"/>
      <c r="C2573" s="103"/>
      <c r="D2573" s="103" t="s">
        <v>142</v>
      </c>
      <c r="E2573" s="80">
        <v>2.0</v>
      </c>
      <c r="F2573" s="80">
        <v>3.0</v>
      </c>
      <c r="G2573" s="80">
        <v>0.0</v>
      </c>
      <c r="H2573" s="80"/>
      <c r="I2573" s="80">
        <v>5.0</v>
      </c>
      <c r="J2573" s="32"/>
      <c r="K2573" s="32" t="str">
        <f t="shared" si="102"/>
        <v>#REF!</v>
      </c>
      <c r="L2573" s="32"/>
      <c r="M2573" s="32"/>
      <c r="N2573" s="32"/>
      <c r="O2573" s="32"/>
      <c r="P2573" s="32"/>
    </row>
    <row r="2574" hidden="1">
      <c r="A2574" s="34" t="s">
        <v>354</v>
      </c>
      <c r="B2574" s="103"/>
      <c r="C2574" s="103"/>
      <c r="D2574" s="103" t="s">
        <v>281</v>
      </c>
      <c r="E2574" s="80">
        <v>0.0</v>
      </c>
      <c r="F2574" s="80">
        <v>4.0</v>
      </c>
      <c r="G2574" s="80">
        <v>0.0</v>
      </c>
      <c r="H2574" s="80"/>
      <c r="I2574" s="80">
        <v>5.0</v>
      </c>
      <c r="J2574" s="32"/>
      <c r="K2574" s="32" t="str">
        <f t="shared" si="102"/>
        <v>#REF!</v>
      </c>
      <c r="L2574" s="32"/>
      <c r="M2574" s="32"/>
      <c r="N2574" s="32"/>
      <c r="O2574" s="32"/>
      <c r="P2574" s="32"/>
    </row>
    <row r="2575" hidden="1">
      <c r="A2575" s="34" t="s">
        <v>354</v>
      </c>
      <c r="B2575" s="103"/>
      <c r="C2575" s="103"/>
      <c r="D2575" s="103" t="s">
        <v>284</v>
      </c>
      <c r="E2575" s="80">
        <v>2.0</v>
      </c>
      <c r="F2575" s="80">
        <v>1.0</v>
      </c>
      <c r="G2575" s="80">
        <v>1.0</v>
      </c>
      <c r="H2575" s="80"/>
      <c r="I2575" s="80">
        <v>5.0</v>
      </c>
      <c r="J2575" s="32"/>
      <c r="K2575" s="32" t="str">
        <f t="shared" si="102"/>
        <v>#REF!</v>
      </c>
      <c r="L2575" s="32"/>
      <c r="M2575" s="32"/>
      <c r="N2575" s="32"/>
      <c r="O2575" s="32"/>
      <c r="P2575" s="32"/>
    </row>
    <row r="2576" hidden="1">
      <c r="A2576" s="34" t="s">
        <v>354</v>
      </c>
      <c r="B2576" s="103"/>
      <c r="C2576" s="103"/>
      <c r="D2576" s="103" t="s">
        <v>287</v>
      </c>
      <c r="E2576" s="80">
        <v>0.0</v>
      </c>
      <c r="F2576" s="80">
        <v>1.0</v>
      </c>
      <c r="G2576" s="80">
        <v>1.0</v>
      </c>
      <c r="H2576" s="80"/>
      <c r="I2576" s="80">
        <v>5.0</v>
      </c>
      <c r="J2576" s="32"/>
      <c r="K2576" s="32" t="str">
        <f t="shared" si="102"/>
        <v>#REF!</v>
      </c>
      <c r="L2576" s="32"/>
      <c r="M2576" s="32"/>
      <c r="N2576" s="32"/>
      <c r="O2576" s="32"/>
      <c r="P2576" s="32"/>
    </row>
    <row r="2577" hidden="1">
      <c r="A2577" s="34" t="s">
        <v>354</v>
      </c>
      <c r="B2577" s="103"/>
      <c r="C2577" s="103"/>
      <c r="D2577" s="103" t="s">
        <v>145</v>
      </c>
      <c r="E2577" s="80">
        <v>0.0</v>
      </c>
      <c r="F2577" s="80">
        <v>3.0</v>
      </c>
      <c r="G2577" s="80">
        <v>1.0</v>
      </c>
      <c r="H2577" s="80"/>
      <c r="I2577" s="80">
        <v>5.0</v>
      </c>
      <c r="J2577" s="32"/>
      <c r="K2577" s="32" t="str">
        <f t="shared" si="102"/>
        <v>#REF!</v>
      </c>
      <c r="L2577" s="32"/>
      <c r="M2577" s="32"/>
      <c r="N2577" s="32"/>
      <c r="O2577" s="32"/>
      <c r="P2577" s="32"/>
    </row>
    <row r="2578" hidden="1">
      <c r="A2578" s="34" t="s">
        <v>354</v>
      </c>
      <c r="B2578" s="103"/>
      <c r="C2578" s="103"/>
      <c r="D2578" s="103" t="s">
        <v>148</v>
      </c>
      <c r="E2578" s="80">
        <v>0.0</v>
      </c>
      <c r="F2578" s="80">
        <v>2.0</v>
      </c>
      <c r="G2578" s="80">
        <v>0.0</v>
      </c>
      <c r="H2578" s="80"/>
      <c r="I2578" s="80">
        <v>4.0</v>
      </c>
      <c r="J2578" s="32"/>
      <c r="K2578" s="32" t="str">
        <f t="shared" si="102"/>
        <v>#REF!</v>
      </c>
      <c r="L2578" s="32"/>
      <c r="M2578" s="32"/>
      <c r="N2578" s="32"/>
      <c r="O2578" s="32"/>
      <c r="P2578" s="32"/>
    </row>
    <row r="2579" hidden="1">
      <c r="A2579" s="34" t="s">
        <v>354</v>
      </c>
      <c r="B2579" s="103"/>
      <c r="C2579" s="103"/>
      <c r="D2579" s="103" t="s">
        <v>346</v>
      </c>
      <c r="E2579" s="80">
        <v>0.0</v>
      </c>
      <c r="F2579" s="80">
        <v>2.0</v>
      </c>
      <c r="G2579" s="80">
        <v>0.0</v>
      </c>
      <c r="H2579" s="80"/>
      <c r="I2579" s="80">
        <v>5.0</v>
      </c>
      <c r="J2579" s="32"/>
      <c r="K2579" s="32" t="str">
        <f t="shared" si="102"/>
        <v>#REF!</v>
      </c>
      <c r="L2579" s="32"/>
      <c r="M2579" s="32"/>
      <c r="N2579" s="32"/>
      <c r="O2579" s="32"/>
      <c r="P2579" s="32"/>
    </row>
    <row r="2580" hidden="1">
      <c r="A2580" s="34" t="s">
        <v>354</v>
      </c>
      <c r="B2580" s="103"/>
      <c r="C2580" s="103"/>
      <c r="D2580" s="103" t="s">
        <v>247</v>
      </c>
      <c r="E2580" s="80">
        <v>0.0</v>
      </c>
      <c r="F2580" s="80">
        <v>2.0</v>
      </c>
      <c r="G2580" s="80">
        <v>0.0</v>
      </c>
      <c r="H2580" s="80"/>
      <c r="I2580" s="80">
        <v>5.0</v>
      </c>
      <c r="J2580" s="32"/>
      <c r="K2580" s="32" t="str">
        <f t="shared" si="102"/>
        <v>#REF!</v>
      </c>
      <c r="L2580" s="32"/>
      <c r="M2580" s="32"/>
      <c r="N2580" s="32"/>
      <c r="O2580" s="32"/>
      <c r="P2580" s="32"/>
    </row>
    <row r="2581" hidden="1">
      <c r="A2581" s="34" t="s">
        <v>354</v>
      </c>
      <c r="B2581" s="103"/>
      <c r="C2581" s="103"/>
      <c r="D2581" s="103" t="s">
        <v>212</v>
      </c>
      <c r="E2581" s="80">
        <v>0.0</v>
      </c>
      <c r="F2581" s="80">
        <v>3.0</v>
      </c>
      <c r="G2581" s="80">
        <v>0.0</v>
      </c>
      <c r="H2581" s="80"/>
      <c r="I2581" s="80">
        <v>5.0</v>
      </c>
      <c r="J2581" s="32"/>
      <c r="K2581" s="32" t="str">
        <f t="shared" si="102"/>
        <v>#REF!</v>
      </c>
      <c r="L2581" s="32"/>
      <c r="M2581" s="32"/>
      <c r="N2581" s="32"/>
      <c r="O2581" s="32"/>
      <c r="P2581" s="32"/>
    </row>
    <row r="2582" hidden="1">
      <c r="A2582" s="34" t="s">
        <v>354</v>
      </c>
      <c r="B2582" s="103"/>
      <c r="C2582" s="103"/>
      <c r="D2582" s="103" t="s">
        <v>151</v>
      </c>
      <c r="E2582" s="80">
        <v>0.0</v>
      </c>
      <c r="F2582" s="80">
        <v>0.0</v>
      </c>
      <c r="G2582" s="80">
        <v>1.0</v>
      </c>
      <c r="H2582" s="80"/>
      <c r="I2582" s="80">
        <v>5.0</v>
      </c>
      <c r="J2582" s="32"/>
      <c r="K2582" s="32" t="str">
        <f t="shared" si="102"/>
        <v>#REF!</v>
      </c>
      <c r="L2582" s="32"/>
      <c r="M2582" s="32"/>
      <c r="N2582" s="32"/>
      <c r="O2582" s="32"/>
      <c r="P2582" s="32"/>
    </row>
    <row r="2583" hidden="1">
      <c r="A2583" s="34" t="s">
        <v>354</v>
      </c>
      <c r="B2583" s="103"/>
      <c r="C2583" s="103"/>
      <c r="D2583" s="103" t="s">
        <v>290</v>
      </c>
      <c r="E2583" s="80">
        <v>0.0</v>
      </c>
      <c r="F2583" s="80">
        <v>0.0</v>
      </c>
      <c r="G2583" s="80">
        <v>0.0</v>
      </c>
      <c r="H2583" s="80"/>
      <c r="I2583" s="80">
        <v>5.0</v>
      </c>
      <c r="J2583" s="32"/>
      <c r="K2583" s="32" t="str">
        <f t="shared" si="102"/>
        <v>#REF!</v>
      </c>
      <c r="L2583" s="32"/>
      <c r="M2583" s="32"/>
      <c r="N2583" s="32"/>
      <c r="O2583" s="32"/>
      <c r="P2583" s="32"/>
    </row>
    <row r="2584" hidden="1">
      <c r="A2584" s="34" t="s">
        <v>354</v>
      </c>
      <c r="B2584" s="103"/>
      <c r="C2584" s="103"/>
      <c r="D2584" s="103" t="s">
        <v>154</v>
      </c>
      <c r="E2584" s="80">
        <v>1.0</v>
      </c>
      <c r="F2584" s="80">
        <v>4.0</v>
      </c>
      <c r="G2584" s="80">
        <v>1.0</v>
      </c>
      <c r="H2584" s="80"/>
      <c r="I2584" s="80">
        <v>5.0</v>
      </c>
      <c r="J2584" s="32"/>
      <c r="K2584" s="32" t="str">
        <f t="shared" si="102"/>
        <v>#REF!</v>
      </c>
      <c r="L2584" s="32"/>
      <c r="M2584" s="32"/>
      <c r="N2584" s="32"/>
      <c r="O2584" s="32"/>
      <c r="P2584" s="32"/>
    </row>
    <row r="2585" hidden="1">
      <c r="A2585" s="34" t="s">
        <v>354</v>
      </c>
      <c r="B2585" s="103"/>
      <c r="C2585" s="103"/>
      <c r="D2585" s="103" t="s">
        <v>157</v>
      </c>
      <c r="E2585" s="80">
        <v>3.0</v>
      </c>
      <c r="F2585" s="80">
        <v>0.0</v>
      </c>
      <c r="G2585" s="80">
        <v>0.0</v>
      </c>
      <c r="H2585" s="80"/>
      <c r="I2585" s="80">
        <v>5.0</v>
      </c>
      <c r="J2585" s="32"/>
      <c r="K2585" s="32" t="str">
        <f t="shared" si="102"/>
        <v>#REF!</v>
      </c>
      <c r="L2585" s="32"/>
      <c r="M2585" s="32"/>
      <c r="N2585" s="32"/>
      <c r="O2585" s="32"/>
      <c r="P2585" s="32"/>
    </row>
    <row r="2586" hidden="1">
      <c r="A2586" s="34" t="s">
        <v>354</v>
      </c>
      <c r="B2586" s="103"/>
      <c r="C2586" s="103"/>
      <c r="D2586" s="103" t="s">
        <v>160</v>
      </c>
      <c r="E2586" s="80">
        <v>3.0</v>
      </c>
      <c r="F2586" s="80">
        <v>2.0</v>
      </c>
      <c r="G2586" s="80">
        <v>0.0</v>
      </c>
      <c r="H2586" s="80"/>
      <c r="I2586" s="80">
        <v>5.0</v>
      </c>
      <c r="J2586" s="32"/>
      <c r="K2586" s="32" t="str">
        <f t="shared" si="102"/>
        <v>#REF!</v>
      </c>
      <c r="L2586" s="32"/>
      <c r="M2586" s="32"/>
      <c r="N2586" s="32"/>
      <c r="O2586" s="32"/>
      <c r="P2586" s="32"/>
    </row>
    <row r="2587" hidden="1">
      <c r="A2587" s="34" t="s">
        <v>354</v>
      </c>
      <c r="B2587" s="103"/>
      <c r="C2587" s="103"/>
      <c r="D2587" s="103" t="s">
        <v>345</v>
      </c>
      <c r="E2587" s="80">
        <v>0.0</v>
      </c>
      <c r="F2587" s="80">
        <v>0.0</v>
      </c>
      <c r="G2587" s="80">
        <v>0.0</v>
      </c>
      <c r="H2587" s="80"/>
      <c r="I2587" s="80">
        <v>0.0</v>
      </c>
      <c r="J2587" s="32"/>
      <c r="K2587" s="32" t="str">
        <f t="shared" si="102"/>
        <v>#REF!</v>
      </c>
      <c r="L2587" s="32"/>
      <c r="M2587" s="32"/>
      <c r="N2587" s="32"/>
      <c r="O2587" s="32"/>
      <c r="P2587" s="32"/>
    </row>
    <row r="2588" hidden="1">
      <c r="A2588" s="104" t="s">
        <v>355</v>
      </c>
      <c r="B2588" s="105"/>
      <c r="C2588" s="105"/>
      <c r="D2588" s="105" t="s">
        <v>356</v>
      </c>
      <c r="E2588" s="97">
        <v>0.0</v>
      </c>
      <c r="F2588" s="97">
        <v>0.0</v>
      </c>
      <c r="G2588" s="97">
        <v>0.0</v>
      </c>
      <c r="H2588" s="97"/>
      <c r="I2588" s="97">
        <v>5.0</v>
      </c>
      <c r="J2588" s="106"/>
      <c r="K2588" s="106" t="str">
        <f t="shared" si="102"/>
        <v>#REF!</v>
      </c>
      <c r="L2588" s="106"/>
      <c r="M2588" s="106"/>
      <c r="N2588" s="106"/>
      <c r="O2588" s="106"/>
      <c r="P2588" s="106"/>
    </row>
    <row r="2589" hidden="1">
      <c r="A2589" s="104" t="s">
        <v>355</v>
      </c>
      <c r="B2589" s="105"/>
      <c r="C2589" s="105"/>
      <c r="D2589" s="105" t="s">
        <v>357</v>
      </c>
      <c r="E2589" s="97">
        <v>3.0</v>
      </c>
      <c r="F2589" s="97">
        <v>1.0</v>
      </c>
      <c r="G2589" s="97">
        <v>0.0</v>
      </c>
      <c r="H2589" s="97"/>
      <c r="I2589" s="97">
        <v>4.0</v>
      </c>
      <c r="J2589" s="106"/>
      <c r="K2589" s="106" t="str">
        <f t="shared" si="102"/>
        <v>#REF!</v>
      </c>
      <c r="L2589" s="106"/>
      <c r="M2589" s="106"/>
      <c r="N2589" s="106"/>
      <c r="O2589" s="106"/>
      <c r="P2589" s="106"/>
    </row>
    <row r="2590" hidden="1">
      <c r="A2590" s="104" t="s">
        <v>355</v>
      </c>
      <c r="B2590" s="105"/>
      <c r="C2590" s="105"/>
      <c r="D2590" s="105" t="s">
        <v>358</v>
      </c>
      <c r="E2590" s="97">
        <v>1.0</v>
      </c>
      <c r="F2590" s="97">
        <v>2.0</v>
      </c>
      <c r="G2590" s="97">
        <v>0.0</v>
      </c>
      <c r="H2590" s="97"/>
      <c r="I2590" s="97">
        <v>5.0</v>
      </c>
      <c r="J2590" s="106"/>
      <c r="K2590" s="106" t="str">
        <f t="shared" si="102"/>
        <v>#REF!</v>
      </c>
      <c r="L2590" s="106"/>
      <c r="M2590" s="106"/>
      <c r="N2590" s="106"/>
      <c r="O2590" s="106"/>
      <c r="P2590" s="106"/>
    </row>
    <row r="2591" hidden="1">
      <c r="A2591" s="104" t="s">
        <v>355</v>
      </c>
      <c r="B2591" s="105"/>
      <c r="C2591" s="105"/>
      <c r="D2591" s="105" t="s">
        <v>359</v>
      </c>
      <c r="E2591" s="97">
        <v>2.0</v>
      </c>
      <c r="F2591" s="97">
        <v>6.0</v>
      </c>
      <c r="G2591" s="97">
        <v>0.0</v>
      </c>
      <c r="H2591" s="97"/>
      <c r="I2591" s="97">
        <v>5.0</v>
      </c>
      <c r="J2591" s="106"/>
      <c r="K2591" s="106" t="str">
        <f t="shared" si="102"/>
        <v>#REF!</v>
      </c>
      <c r="L2591" s="106"/>
      <c r="M2591" s="106"/>
      <c r="N2591" s="106"/>
      <c r="O2591" s="106"/>
      <c r="P2591" s="106"/>
    </row>
    <row r="2592" hidden="1">
      <c r="A2592" s="104" t="s">
        <v>355</v>
      </c>
      <c r="B2592" s="105"/>
      <c r="C2592" s="105"/>
      <c r="D2592" s="105" t="s">
        <v>360</v>
      </c>
      <c r="E2592" s="97">
        <v>13.0</v>
      </c>
      <c r="F2592" s="97">
        <v>0.0</v>
      </c>
      <c r="G2592" s="97">
        <v>0.0</v>
      </c>
      <c r="H2592" s="97"/>
      <c r="I2592" s="97">
        <v>5.0</v>
      </c>
      <c r="J2592" s="106"/>
      <c r="K2592" s="106" t="str">
        <f t="shared" si="102"/>
        <v>#REF!</v>
      </c>
      <c r="L2592" s="106"/>
      <c r="M2592" s="106"/>
      <c r="N2592" s="106"/>
      <c r="O2592" s="106"/>
      <c r="P2592" s="106"/>
    </row>
    <row r="2593" hidden="1">
      <c r="A2593" s="104" t="s">
        <v>355</v>
      </c>
      <c r="B2593" s="105"/>
      <c r="C2593" s="105"/>
      <c r="D2593" s="105" t="s">
        <v>361</v>
      </c>
      <c r="E2593" s="97">
        <v>11.0</v>
      </c>
      <c r="F2593" s="97">
        <v>2.0</v>
      </c>
      <c r="G2593" s="97">
        <v>0.0</v>
      </c>
      <c r="H2593" s="97"/>
      <c r="I2593" s="97">
        <v>5.0</v>
      </c>
      <c r="J2593" s="106"/>
      <c r="K2593" s="106" t="str">
        <f t="shared" si="102"/>
        <v>#REF!</v>
      </c>
      <c r="L2593" s="106"/>
      <c r="M2593" s="106"/>
      <c r="N2593" s="106"/>
      <c r="O2593" s="106"/>
      <c r="P2593" s="106"/>
    </row>
    <row r="2594" hidden="1">
      <c r="A2594" s="104" t="s">
        <v>355</v>
      </c>
      <c r="B2594" s="105"/>
      <c r="C2594" s="105"/>
      <c r="D2594" s="105" t="s">
        <v>362</v>
      </c>
      <c r="E2594" s="97">
        <v>0.0</v>
      </c>
      <c r="F2594" s="97">
        <v>3.0</v>
      </c>
      <c r="G2594" s="97">
        <v>0.0</v>
      </c>
      <c r="H2594" s="97"/>
      <c r="I2594" s="97">
        <v>5.0</v>
      </c>
      <c r="J2594" s="106"/>
      <c r="K2594" s="106" t="str">
        <f t="shared" si="102"/>
        <v>#REF!</v>
      </c>
      <c r="L2594" s="106"/>
      <c r="M2594" s="106"/>
      <c r="N2594" s="106"/>
      <c r="O2594" s="106"/>
      <c r="P2594" s="106"/>
    </row>
    <row r="2595" hidden="1">
      <c r="A2595" s="104" t="s">
        <v>355</v>
      </c>
      <c r="B2595" s="105"/>
      <c r="C2595" s="105"/>
      <c r="D2595" s="105" t="s">
        <v>363</v>
      </c>
      <c r="E2595" s="97">
        <v>3.0</v>
      </c>
      <c r="F2595" s="97">
        <v>0.0</v>
      </c>
      <c r="G2595" s="97">
        <v>0.0</v>
      </c>
      <c r="H2595" s="97"/>
      <c r="I2595" s="97">
        <v>4.0</v>
      </c>
      <c r="J2595" s="106"/>
      <c r="K2595" s="106" t="str">
        <f t="shared" si="102"/>
        <v>#REF!</v>
      </c>
      <c r="L2595" s="106"/>
      <c r="M2595" s="106"/>
      <c r="N2595" s="106"/>
      <c r="O2595" s="106"/>
      <c r="P2595" s="106"/>
    </row>
    <row r="2596" hidden="1">
      <c r="A2596" s="104" t="s">
        <v>355</v>
      </c>
      <c r="B2596" s="105"/>
      <c r="C2596" s="105"/>
      <c r="D2596" s="105" t="s">
        <v>364</v>
      </c>
      <c r="E2596" s="97">
        <v>4.0</v>
      </c>
      <c r="F2596" s="97">
        <v>2.0</v>
      </c>
      <c r="G2596" s="97">
        <v>0.0</v>
      </c>
      <c r="H2596" s="97"/>
      <c r="I2596" s="97">
        <v>4.0</v>
      </c>
      <c r="J2596" s="106"/>
      <c r="K2596" s="106" t="str">
        <f t="shared" si="102"/>
        <v>#REF!</v>
      </c>
      <c r="L2596" s="106"/>
      <c r="M2596" s="106"/>
      <c r="N2596" s="106"/>
      <c r="O2596" s="106"/>
      <c r="P2596" s="106"/>
    </row>
    <row r="2597" hidden="1">
      <c r="A2597" s="104" t="s">
        <v>355</v>
      </c>
      <c r="B2597" s="105"/>
      <c r="C2597" s="105"/>
      <c r="D2597" s="105" t="s">
        <v>365</v>
      </c>
      <c r="E2597" s="97">
        <v>13.0</v>
      </c>
      <c r="F2597" s="97">
        <v>6.0</v>
      </c>
      <c r="G2597" s="97">
        <v>0.0</v>
      </c>
      <c r="H2597" s="97"/>
      <c r="I2597" s="97">
        <v>6.0</v>
      </c>
      <c r="J2597" s="106"/>
      <c r="K2597" s="106" t="str">
        <f t="shared" si="102"/>
        <v>#REF!</v>
      </c>
      <c r="L2597" s="106"/>
      <c r="M2597" s="106"/>
      <c r="N2597" s="106"/>
      <c r="O2597" s="106"/>
      <c r="P2597" s="106"/>
    </row>
    <row r="2598" hidden="1">
      <c r="A2598" s="104" t="s">
        <v>355</v>
      </c>
      <c r="B2598" s="105"/>
      <c r="C2598" s="105"/>
      <c r="D2598" s="105" t="s">
        <v>366</v>
      </c>
      <c r="E2598" s="97">
        <v>5.0</v>
      </c>
      <c r="F2598" s="97">
        <v>0.0</v>
      </c>
      <c r="G2598" s="97">
        <v>0.0</v>
      </c>
      <c r="H2598" s="97"/>
      <c r="I2598" s="97">
        <v>4.0</v>
      </c>
      <c r="J2598" s="106"/>
      <c r="K2598" s="106" t="str">
        <f t="shared" si="102"/>
        <v>#REF!</v>
      </c>
      <c r="L2598" s="106"/>
      <c r="M2598" s="106"/>
      <c r="N2598" s="106"/>
      <c r="O2598" s="106"/>
      <c r="P2598" s="106"/>
    </row>
    <row r="2599" hidden="1">
      <c r="A2599" s="104" t="s">
        <v>355</v>
      </c>
      <c r="B2599" s="105"/>
      <c r="C2599" s="105"/>
      <c r="D2599" s="105" t="s">
        <v>367</v>
      </c>
      <c r="E2599" s="97">
        <v>1.0</v>
      </c>
      <c r="F2599" s="97">
        <v>3.0</v>
      </c>
      <c r="G2599" s="97">
        <v>0.0</v>
      </c>
      <c r="H2599" s="97"/>
      <c r="I2599" s="97">
        <v>5.0</v>
      </c>
      <c r="J2599" s="106"/>
      <c r="K2599" s="106" t="str">
        <f t="shared" si="102"/>
        <v>#REF!</v>
      </c>
      <c r="L2599" s="106"/>
      <c r="M2599" s="106"/>
      <c r="N2599" s="106"/>
      <c r="O2599" s="106"/>
      <c r="P2599" s="106"/>
    </row>
    <row r="2600" hidden="1">
      <c r="A2600" s="104" t="s">
        <v>355</v>
      </c>
      <c r="B2600" s="105"/>
      <c r="C2600" s="105"/>
      <c r="D2600" s="105" t="s">
        <v>368</v>
      </c>
      <c r="E2600" s="97">
        <v>1.0</v>
      </c>
      <c r="F2600" s="97">
        <v>3.0</v>
      </c>
      <c r="G2600" s="97">
        <v>0.0</v>
      </c>
      <c r="H2600" s="97"/>
      <c r="I2600" s="97">
        <v>5.0</v>
      </c>
      <c r="J2600" s="106"/>
      <c r="K2600" s="106" t="str">
        <f t="shared" si="102"/>
        <v>#REF!</v>
      </c>
      <c r="L2600" s="106"/>
      <c r="M2600" s="106"/>
      <c r="N2600" s="106"/>
      <c r="O2600" s="106"/>
      <c r="P2600" s="106"/>
    </row>
    <row r="2601" hidden="1">
      <c r="A2601" s="104" t="s">
        <v>355</v>
      </c>
      <c r="B2601" s="105"/>
      <c r="C2601" s="105"/>
      <c r="D2601" s="105" t="s">
        <v>369</v>
      </c>
      <c r="E2601" s="97">
        <v>0.0</v>
      </c>
      <c r="F2601" s="97">
        <v>14.0</v>
      </c>
      <c r="G2601" s="97">
        <v>0.0</v>
      </c>
      <c r="H2601" s="97"/>
      <c r="I2601" s="97">
        <v>5.0</v>
      </c>
      <c r="J2601" s="106"/>
      <c r="K2601" s="106" t="str">
        <f t="shared" si="102"/>
        <v>#REF!</v>
      </c>
      <c r="L2601" s="106"/>
      <c r="M2601" s="106"/>
      <c r="N2601" s="106"/>
      <c r="O2601" s="106"/>
      <c r="P2601" s="106"/>
    </row>
    <row r="2602" hidden="1">
      <c r="A2602" s="104" t="s">
        <v>355</v>
      </c>
      <c r="B2602" s="105"/>
      <c r="C2602" s="105"/>
      <c r="D2602" s="105" t="s">
        <v>370</v>
      </c>
      <c r="E2602" s="97">
        <v>0.0</v>
      </c>
      <c r="F2602" s="97">
        <v>2.0</v>
      </c>
      <c r="G2602" s="97">
        <v>0.0</v>
      </c>
      <c r="H2602" s="97"/>
      <c r="I2602" s="97">
        <v>5.0</v>
      </c>
      <c r="J2602" s="106"/>
      <c r="K2602" s="106" t="str">
        <f t="shared" si="102"/>
        <v>#REF!</v>
      </c>
      <c r="L2602" s="106"/>
      <c r="M2602" s="106"/>
      <c r="N2602" s="106"/>
      <c r="O2602" s="106"/>
      <c r="P2602" s="106"/>
    </row>
    <row r="2603" hidden="1">
      <c r="A2603" s="104" t="s">
        <v>355</v>
      </c>
      <c r="B2603" s="105"/>
      <c r="C2603" s="105"/>
      <c r="D2603" s="105" t="s">
        <v>371</v>
      </c>
      <c r="E2603" s="97">
        <v>0.0</v>
      </c>
      <c r="F2603" s="97">
        <v>4.0</v>
      </c>
      <c r="G2603" s="97">
        <v>0.0</v>
      </c>
      <c r="H2603" s="97"/>
      <c r="I2603" s="97">
        <v>5.0</v>
      </c>
      <c r="J2603" s="106"/>
      <c r="K2603" s="106" t="str">
        <f t="shared" si="102"/>
        <v>#REF!</v>
      </c>
      <c r="L2603" s="106"/>
      <c r="M2603" s="106"/>
      <c r="N2603" s="106"/>
      <c r="O2603" s="106"/>
      <c r="P2603" s="106"/>
    </row>
    <row r="2604" hidden="1">
      <c r="A2604" s="104" t="s">
        <v>355</v>
      </c>
      <c r="B2604" s="105"/>
      <c r="C2604" s="105"/>
      <c r="D2604" s="105" t="s">
        <v>372</v>
      </c>
      <c r="E2604" s="97">
        <v>4.0</v>
      </c>
      <c r="F2604" s="97">
        <v>0.0</v>
      </c>
      <c r="G2604" s="97">
        <v>0.0</v>
      </c>
      <c r="H2604" s="97"/>
      <c r="I2604" s="97">
        <v>5.0</v>
      </c>
      <c r="J2604" s="106"/>
      <c r="K2604" s="106" t="str">
        <f t="shared" si="102"/>
        <v>#REF!</v>
      </c>
      <c r="L2604" s="106"/>
      <c r="M2604" s="106"/>
      <c r="N2604" s="106"/>
      <c r="O2604" s="106"/>
      <c r="P2604" s="106"/>
    </row>
    <row r="2605" hidden="1">
      <c r="A2605" s="104" t="s">
        <v>355</v>
      </c>
      <c r="B2605" s="105"/>
      <c r="C2605" s="105"/>
      <c r="D2605" s="105" t="s">
        <v>373</v>
      </c>
      <c r="E2605" s="97">
        <v>0.0</v>
      </c>
      <c r="F2605" s="97">
        <v>6.0</v>
      </c>
      <c r="G2605" s="97">
        <v>0.0</v>
      </c>
      <c r="H2605" s="97"/>
      <c r="I2605" s="97">
        <v>5.0</v>
      </c>
      <c r="J2605" s="106"/>
      <c r="K2605" s="106" t="str">
        <f t="shared" si="102"/>
        <v>#REF!</v>
      </c>
      <c r="L2605" s="106"/>
      <c r="M2605" s="106"/>
      <c r="N2605" s="106"/>
      <c r="O2605" s="106"/>
      <c r="P2605" s="106"/>
    </row>
    <row r="2606" hidden="1">
      <c r="A2606" s="104" t="s">
        <v>355</v>
      </c>
      <c r="B2606" s="105"/>
      <c r="C2606" s="105"/>
      <c r="D2606" s="105" t="s">
        <v>374</v>
      </c>
      <c r="E2606" s="97">
        <v>0.0</v>
      </c>
      <c r="F2606" s="97">
        <v>1.0</v>
      </c>
      <c r="G2606" s="97">
        <v>0.0</v>
      </c>
      <c r="H2606" s="97"/>
      <c r="I2606" s="97">
        <v>5.0</v>
      </c>
      <c r="J2606" s="106"/>
      <c r="K2606" s="106" t="str">
        <f t="shared" si="102"/>
        <v>#REF!</v>
      </c>
      <c r="L2606" s="106"/>
      <c r="M2606" s="106"/>
      <c r="N2606" s="106"/>
      <c r="O2606" s="106"/>
      <c r="P2606" s="106"/>
    </row>
    <row r="2607" hidden="1">
      <c r="A2607" s="104" t="s">
        <v>355</v>
      </c>
      <c r="B2607" s="105"/>
      <c r="C2607" s="105"/>
      <c r="D2607" s="105" t="s">
        <v>375</v>
      </c>
      <c r="E2607" s="97">
        <v>0.0</v>
      </c>
      <c r="F2607" s="97">
        <v>3.0</v>
      </c>
      <c r="G2607" s="97">
        <v>0.0</v>
      </c>
      <c r="H2607" s="97"/>
      <c r="I2607" s="97">
        <v>5.0</v>
      </c>
      <c r="J2607" s="106"/>
      <c r="K2607" s="106" t="str">
        <f t="shared" si="102"/>
        <v>#REF!</v>
      </c>
      <c r="L2607" s="106"/>
      <c r="M2607" s="106"/>
      <c r="N2607" s="106"/>
      <c r="O2607" s="106"/>
      <c r="P2607" s="106"/>
    </row>
    <row r="2608" hidden="1">
      <c r="A2608" s="104" t="s">
        <v>355</v>
      </c>
      <c r="B2608" s="105"/>
      <c r="C2608" s="105"/>
      <c r="D2608" s="105" t="s">
        <v>376</v>
      </c>
      <c r="E2608" s="97">
        <v>0.0</v>
      </c>
      <c r="F2608" s="97">
        <v>0.0</v>
      </c>
      <c r="G2608" s="97">
        <v>0.0</v>
      </c>
      <c r="H2608" s="97"/>
      <c r="I2608" s="97">
        <v>5.0</v>
      </c>
      <c r="J2608" s="106"/>
      <c r="K2608" s="106" t="str">
        <f t="shared" si="102"/>
        <v>#REF!</v>
      </c>
      <c r="L2608" s="106"/>
      <c r="M2608" s="106"/>
      <c r="N2608" s="106"/>
      <c r="O2608" s="106"/>
      <c r="P2608" s="106"/>
    </row>
    <row r="2609" hidden="1">
      <c r="A2609" s="104" t="s">
        <v>355</v>
      </c>
      <c r="B2609" s="105"/>
      <c r="C2609" s="105"/>
      <c r="D2609" s="105" t="s">
        <v>377</v>
      </c>
      <c r="E2609" s="97">
        <v>0.0</v>
      </c>
      <c r="F2609" s="97">
        <v>3.0</v>
      </c>
      <c r="G2609" s="97">
        <v>0.0</v>
      </c>
      <c r="H2609" s="97"/>
      <c r="I2609" s="97">
        <v>5.0</v>
      </c>
      <c r="J2609" s="106"/>
      <c r="K2609" s="106" t="str">
        <f t="shared" si="102"/>
        <v>#REF!</v>
      </c>
      <c r="L2609" s="106"/>
      <c r="M2609" s="106"/>
      <c r="N2609" s="106"/>
      <c r="O2609" s="106"/>
      <c r="P2609" s="106"/>
    </row>
    <row r="2610" hidden="1">
      <c r="A2610" s="104" t="s">
        <v>355</v>
      </c>
      <c r="B2610" s="105"/>
      <c r="C2610" s="105"/>
      <c r="D2610" s="105" t="s">
        <v>378</v>
      </c>
      <c r="E2610" s="97">
        <v>0.0</v>
      </c>
      <c r="F2610" s="97">
        <v>9.0</v>
      </c>
      <c r="G2610" s="97">
        <v>0.0</v>
      </c>
      <c r="H2610" s="97"/>
      <c r="I2610" s="97">
        <v>5.0</v>
      </c>
      <c r="J2610" s="106"/>
      <c r="K2610" s="106" t="str">
        <f t="shared" si="102"/>
        <v>#REF!</v>
      </c>
      <c r="L2610" s="106"/>
      <c r="M2610" s="106"/>
      <c r="N2610" s="106"/>
      <c r="O2610" s="106"/>
      <c r="P2610" s="106"/>
    </row>
    <row r="2611" hidden="1">
      <c r="A2611" s="104" t="s">
        <v>355</v>
      </c>
      <c r="B2611" s="105"/>
      <c r="C2611" s="105"/>
      <c r="D2611" s="105" t="s">
        <v>379</v>
      </c>
      <c r="E2611" s="97">
        <v>4.0</v>
      </c>
      <c r="F2611" s="97">
        <v>0.0</v>
      </c>
      <c r="G2611" s="97">
        <v>0.0</v>
      </c>
      <c r="H2611" s="97"/>
      <c r="I2611" s="97">
        <v>3.0</v>
      </c>
      <c r="J2611" s="106"/>
      <c r="K2611" s="106" t="str">
        <f t="shared" si="102"/>
        <v>#REF!</v>
      </c>
      <c r="L2611" s="106"/>
      <c r="M2611" s="106"/>
      <c r="N2611" s="106"/>
      <c r="O2611" s="106"/>
      <c r="P2611" s="106"/>
    </row>
    <row r="2612" hidden="1">
      <c r="A2612" s="104" t="s">
        <v>355</v>
      </c>
      <c r="B2612" s="105"/>
      <c r="C2612" s="105"/>
      <c r="D2612" s="105" t="s">
        <v>380</v>
      </c>
      <c r="E2612" s="97">
        <v>1.0</v>
      </c>
      <c r="F2612" s="97">
        <v>0.0</v>
      </c>
      <c r="G2612" s="97">
        <v>0.0</v>
      </c>
      <c r="H2612" s="97"/>
      <c r="I2612" s="97">
        <v>5.0</v>
      </c>
      <c r="J2612" s="106"/>
      <c r="K2612" s="106" t="str">
        <f t="shared" si="102"/>
        <v>#REF!</v>
      </c>
      <c r="L2612" s="106"/>
      <c r="M2612" s="106"/>
      <c r="N2612" s="106"/>
      <c r="O2612" s="106"/>
      <c r="P2612" s="106"/>
    </row>
    <row r="2613" hidden="1">
      <c r="A2613" s="104" t="s">
        <v>355</v>
      </c>
      <c r="B2613" s="105"/>
      <c r="C2613" s="105"/>
      <c r="D2613" s="105" t="s">
        <v>381</v>
      </c>
      <c r="E2613" s="97">
        <v>0.0</v>
      </c>
      <c r="F2613" s="97">
        <v>0.0</v>
      </c>
      <c r="G2613" s="97">
        <v>0.0</v>
      </c>
      <c r="H2613" s="97"/>
      <c r="I2613" s="97">
        <v>0.0</v>
      </c>
      <c r="J2613" s="106"/>
      <c r="K2613" s="106" t="str">
        <f t="shared" si="102"/>
        <v>#REF!</v>
      </c>
      <c r="L2613" s="106"/>
      <c r="M2613" s="106"/>
      <c r="N2613" s="106"/>
      <c r="O2613" s="106"/>
      <c r="P2613" s="106"/>
    </row>
    <row r="2614" hidden="1">
      <c r="A2614" s="104" t="s">
        <v>382</v>
      </c>
      <c r="B2614" s="97"/>
      <c r="C2614" s="97"/>
      <c r="D2614" s="97" t="s">
        <v>368</v>
      </c>
      <c r="E2614" s="97">
        <v>0.0</v>
      </c>
      <c r="F2614" s="97">
        <v>0.0</v>
      </c>
      <c r="G2614" s="97"/>
      <c r="H2614" s="97"/>
      <c r="I2614" s="97">
        <v>5.0</v>
      </c>
      <c r="J2614" s="106"/>
      <c r="K2614" s="106" t="str">
        <f t="shared" ref="K2614:K2639" si="103">sum(E2614*250)+(F2614*500)+(#REF!*250)+(I2614*250)</f>
        <v>#REF!</v>
      </c>
      <c r="L2614" s="106"/>
      <c r="M2614" s="106"/>
      <c r="N2614" s="106"/>
      <c r="O2614" s="106"/>
      <c r="P2614" s="106"/>
    </row>
    <row r="2615" hidden="1">
      <c r="A2615" s="104" t="s">
        <v>382</v>
      </c>
      <c r="B2615" s="106"/>
      <c r="C2615" s="106"/>
      <c r="D2615" s="106" t="s">
        <v>383</v>
      </c>
      <c r="E2615" s="97">
        <v>2.0</v>
      </c>
      <c r="F2615" s="97">
        <v>4.0</v>
      </c>
      <c r="G2615" s="97"/>
      <c r="H2615" s="97"/>
      <c r="I2615" s="97">
        <v>5.0</v>
      </c>
      <c r="J2615" s="106"/>
      <c r="K2615" s="106" t="str">
        <f t="shared" si="103"/>
        <v>#REF!</v>
      </c>
      <c r="L2615" s="106"/>
      <c r="M2615" s="106"/>
      <c r="N2615" s="106"/>
      <c r="O2615" s="106"/>
      <c r="P2615" s="106"/>
    </row>
    <row r="2616" hidden="1">
      <c r="A2616" s="104" t="s">
        <v>382</v>
      </c>
      <c r="B2616" s="97"/>
      <c r="C2616" s="97"/>
      <c r="D2616" s="97" t="s">
        <v>384</v>
      </c>
      <c r="E2616" s="97">
        <v>10.0</v>
      </c>
      <c r="F2616" s="97">
        <v>0.0</v>
      </c>
      <c r="G2616" s="97"/>
      <c r="H2616" s="97"/>
      <c r="I2616" s="97">
        <v>5.0</v>
      </c>
      <c r="J2616" s="106"/>
      <c r="K2616" s="106" t="str">
        <f t="shared" si="103"/>
        <v>#REF!</v>
      </c>
      <c r="L2616" s="106"/>
      <c r="M2616" s="106"/>
      <c r="N2616" s="106"/>
      <c r="O2616" s="106"/>
      <c r="P2616" s="106"/>
    </row>
    <row r="2617" hidden="1">
      <c r="A2617" s="104" t="s">
        <v>382</v>
      </c>
      <c r="B2617" s="97"/>
      <c r="C2617" s="97"/>
      <c r="D2617" s="97" t="s">
        <v>385</v>
      </c>
      <c r="E2617" s="97">
        <v>0.0</v>
      </c>
      <c r="F2617" s="97">
        <v>0.0</v>
      </c>
      <c r="G2617" s="97"/>
      <c r="H2617" s="97"/>
      <c r="I2617" s="97">
        <v>2.0</v>
      </c>
      <c r="J2617" s="106"/>
      <c r="K2617" s="106" t="str">
        <f t="shared" si="103"/>
        <v>#REF!</v>
      </c>
      <c r="L2617" s="106"/>
      <c r="M2617" s="106"/>
      <c r="N2617" s="106"/>
      <c r="O2617" s="106"/>
      <c r="P2617" s="106"/>
    </row>
    <row r="2618" hidden="1">
      <c r="A2618" s="104" t="s">
        <v>382</v>
      </c>
      <c r="B2618" s="97"/>
      <c r="C2618" s="97"/>
      <c r="D2618" s="97" t="s">
        <v>386</v>
      </c>
      <c r="E2618" s="97">
        <v>1.0</v>
      </c>
      <c r="F2618" s="97">
        <v>0.0</v>
      </c>
      <c r="G2618" s="97"/>
      <c r="H2618" s="97"/>
      <c r="I2618" s="97">
        <v>2.0</v>
      </c>
      <c r="J2618" s="106"/>
      <c r="K2618" s="106" t="str">
        <f t="shared" si="103"/>
        <v>#REF!</v>
      </c>
      <c r="L2618" s="106"/>
      <c r="M2618" s="106"/>
      <c r="N2618" s="106"/>
      <c r="O2618" s="106"/>
      <c r="P2618" s="106"/>
    </row>
    <row r="2619" hidden="1">
      <c r="A2619" s="104" t="s">
        <v>382</v>
      </c>
      <c r="B2619" s="97"/>
      <c r="C2619" s="97"/>
      <c r="D2619" s="97" t="s">
        <v>365</v>
      </c>
      <c r="E2619" s="97">
        <v>15.0</v>
      </c>
      <c r="F2619" s="97">
        <v>7.0</v>
      </c>
      <c r="G2619" s="97"/>
      <c r="H2619" s="97"/>
      <c r="I2619" s="97">
        <v>5.0</v>
      </c>
      <c r="J2619" s="106"/>
      <c r="K2619" s="106" t="str">
        <f t="shared" si="103"/>
        <v>#REF!</v>
      </c>
      <c r="L2619" s="106"/>
      <c r="M2619" s="106"/>
      <c r="N2619" s="106"/>
      <c r="O2619" s="106"/>
      <c r="P2619" s="106"/>
    </row>
    <row r="2620" hidden="1">
      <c r="A2620" s="104" t="s">
        <v>382</v>
      </c>
      <c r="B2620" s="97"/>
      <c r="C2620" s="97"/>
      <c r="D2620" s="97" t="s">
        <v>387</v>
      </c>
      <c r="E2620" s="97">
        <v>16.0</v>
      </c>
      <c r="F2620" s="97">
        <v>2.0</v>
      </c>
      <c r="G2620" s="97"/>
      <c r="H2620" s="97"/>
      <c r="I2620" s="97">
        <v>4.0</v>
      </c>
      <c r="J2620" s="106"/>
      <c r="K2620" s="106" t="str">
        <f t="shared" si="103"/>
        <v>#REF!</v>
      </c>
      <c r="L2620" s="106"/>
      <c r="M2620" s="106"/>
      <c r="N2620" s="106"/>
      <c r="O2620" s="106"/>
      <c r="P2620" s="106"/>
    </row>
    <row r="2621" hidden="1">
      <c r="A2621" s="104" t="s">
        <v>382</v>
      </c>
      <c r="B2621" s="97"/>
      <c r="C2621" s="97"/>
      <c r="D2621" s="97" t="s">
        <v>356</v>
      </c>
      <c r="E2621" s="97">
        <v>1.0</v>
      </c>
      <c r="F2621" s="97">
        <v>5.0</v>
      </c>
      <c r="G2621" s="97"/>
      <c r="H2621" s="97"/>
      <c r="I2621" s="97">
        <v>5.0</v>
      </c>
      <c r="J2621" s="106"/>
      <c r="K2621" s="106" t="str">
        <f t="shared" si="103"/>
        <v>#REF!</v>
      </c>
      <c r="L2621" s="106"/>
      <c r="M2621" s="106"/>
      <c r="N2621" s="106"/>
      <c r="O2621" s="106"/>
      <c r="P2621" s="106"/>
    </row>
    <row r="2622" hidden="1">
      <c r="A2622" s="104" t="s">
        <v>382</v>
      </c>
      <c r="B2622" s="97"/>
      <c r="C2622" s="97"/>
      <c r="D2622" s="97" t="s">
        <v>369</v>
      </c>
      <c r="E2622" s="97">
        <v>0.0</v>
      </c>
      <c r="F2622" s="97">
        <v>7.0</v>
      </c>
      <c r="G2622" s="97"/>
      <c r="H2622" s="97"/>
      <c r="I2622" s="97">
        <v>5.0</v>
      </c>
      <c r="J2622" s="106"/>
      <c r="K2622" s="106" t="str">
        <f t="shared" si="103"/>
        <v>#REF!</v>
      </c>
      <c r="L2622" s="106"/>
      <c r="M2622" s="106"/>
      <c r="N2622" s="106"/>
      <c r="O2622" s="106"/>
      <c r="P2622" s="106"/>
    </row>
    <row r="2623" hidden="1">
      <c r="A2623" s="104" t="s">
        <v>382</v>
      </c>
      <c r="B2623" s="97"/>
      <c r="C2623" s="97"/>
      <c r="D2623" s="97" t="s">
        <v>374</v>
      </c>
      <c r="E2623" s="97">
        <v>0.0</v>
      </c>
      <c r="F2623" s="97">
        <v>2.0</v>
      </c>
      <c r="G2623" s="97"/>
      <c r="H2623" s="97"/>
      <c r="I2623" s="97">
        <v>5.0</v>
      </c>
      <c r="J2623" s="106"/>
      <c r="K2623" s="106" t="str">
        <f t="shared" si="103"/>
        <v>#REF!</v>
      </c>
      <c r="L2623" s="106"/>
      <c r="M2623" s="106"/>
      <c r="N2623" s="106"/>
      <c r="O2623" s="106"/>
      <c r="P2623" s="106"/>
    </row>
    <row r="2624" hidden="1">
      <c r="A2624" s="104" t="s">
        <v>382</v>
      </c>
      <c r="B2624" s="97"/>
      <c r="C2624" s="97"/>
      <c r="D2624" s="97" t="s">
        <v>388</v>
      </c>
      <c r="E2624" s="107">
        <v>0.0</v>
      </c>
      <c r="F2624" s="107">
        <v>5.0</v>
      </c>
      <c r="G2624" s="108"/>
      <c r="H2624" s="108"/>
      <c r="I2624" s="108">
        <v>5.0</v>
      </c>
      <c r="J2624" s="106"/>
      <c r="K2624" s="106" t="str">
        <f t="shared" si="103"/>
        <v>#REF!</v>
      </c>
      <c r="L2624" s="106"/>
      <c r="M2624" s="106"/>
      <c r="N2624" s="106"/>
      <c r="O2624" s="106"/>
      <c r="P2624" s="106"/>
    </row>
    <row r="2625" hidden="1">
      <c r="A2625" s="104" t="s">
        <v>382</v>
      </c>
      <c r="B2625" s="97"/>
      <c r="C2625" s="97"/>
      <c r="D2625" s="97" t="s">
        <v>359</v>
      </c>
      <c r="E2625" s="107">
        <v>2.0</v>
      </c>
      <c r="F2625" s="107">
        <v>11.0</v>
      </c>
      <c r="G2625" s="109"/>
      <c r="H2625" s="109"/>
      <c r="I2625" s="109">
        <v>5.0</v>
      </c>
      <c r="J2625" s="106"/>
      <c r="K2625" s="106" t="str">
        <f t="shared" si="103"/>
        <v>#REF!</v>
      </c>
      <c r="L2625" s="106"/>
      <c r="M2625" s="106"/>
      <c r="N2625" s="106"/>
      <c r="O2625" s="106"/>
      <c r="P2625" s="106"/>
    </row>
    <row r="2626" hidden="1">
      <c r="A2626" s="104" t="s">
        <v>382</v>
      </c>
      <c r="B2626" s="97"/>
      <c r="C2626" s="97"/>
      <c r="D2626" s="97" t="s">
        <v>370</v>
      </c>
      <c r="E2626" s="107">
        <v>0.0</v>
      </c>
      <c r="F2626" s="110">
        <v>2.0</v>
      </c>
      <c r="G2626" s="109"/>
      <c r="H2626" s="109"/>
      <c r="I2626" s="109">
        <v>5.0</v>
      </c>
      <c r="J2626" s="106"/>
      <c r="K2626" s="106" t="str">
        <f t="shared" si="103"/>
        <v>#REF!</v>
      </c>
      <c r="L2626" s="106"/>
      <c r="M2626" s="106"/>
      <c r="N2626" s="106"/>
      <c r="O2626" s="106"/>
      <c r="P2626" s="106"/>
    </row>
    <row r="2627" hidden="1">
      <c r="A2627" s="104" t="s">
        <v>382</v>
      </c>
      <c r="B2627" s="97"/>
      <c r="C2627" s="97"/>
      <c r="D2627" s="97" t="s">
        <v>362</v>
      </c>
      <c r="E2627" s="107">
        <v>1.0</v>
      </c>
      <c r="F2627" s="110">
        <v>3.0</v>
      </c>
      <c r="G2627" s="108"/>
      <c r="H2627" s="108"/>
      <c r="I2627" s="108">
        <v>5.0</v>
      </c>
      <c r="J2627" s="106"/>
      <c r="K2627" s="106" t="str">
        <f t="shared" si="103"/>
        <v>#REF!</v>
      </c>
      <c r="L2627" s="106"/>
      <c r="M2627" s="106"/>
      <c r="N2627" s="106"/>
      <c r="O2627" s="106"/>
      <c r="P2627" s="106"/>
    </row>
    <row r="2628" hidden="1">
      <c r="A2628" s="104" t="s">
        <v>382</v>
      </c>
      <c r="B2628" s="97"/>
      <c r="C2628" s="97"/>
      <c r="D2628" s="97" t="s">
        <v>372</v>
      </c>
      <c r="E2628" s="107">
        <v>0.0</v>
      </c>
      <c r="F2628" s="107">
        <v>1.0</v>
      </c>
      <c r="G2628" s="108"/>
      <c r="H2628" s="108"/>
      <c r="I2628" s="108">
        <v>5.0</v>
      </c>
      <c r="J2628" s="106"/>
      <c r="K2628" s="106" t="str">
        <f t="shared" si="103"/>
        <v>#REF!</v>
      </c>
      <c r="L2628" s="106"/>
      <c r="M2628" s="106"/>
      <c r="N2628" s="106"/>
      <c r="O2628" s="106"/>
      <c r="P2628" s="106"/>
    </row>
    <row r="2629" hidden="1">
      <c r="A2629" s="104" t="s">
        <v>382</v>
      </c>
      <c r="B2629" s="97"/>
      <c r="C2629" s="97"/>
      <c r="D2629" s="97" t="s">
        <v>389</v>
      </c>
      <c r="E2629" s="107">
        <v>0.0</v>
      </c>
      <c r="F2629" s="107">
        <v>1.0</v>
      </c>
      <c r="G2629" s="109"/>
      <c r="H2629" s="109"/>
      <c r="I2629" s="109">
        <v>5.0</v>
      </c>
      <c r="J2629" s="106"/>
      <c r="K2629" s="106" t="str">
        <f t="shared" si="103"/>
        <v>#REF!</v>
      </c>
      <c r="L2629" s="106"/>
      <c r="M2629" s="106"/>
      <c r="N2629" s="106"/>
      <c r="O2629" s="106"/>
      <c r="P2629" s="106"/>
    </row>
    <row r="2630" hidden="1">
      <c r="A2630" s="104" t="s">
        <v>382</v>
      </c>
      <c r="B2630" s="97"/>
      <c r="C2630" s="97"/>
      <c r="D2630" s="97" t="s">
        <v>375</v>
      </c>
      <c r="E2630" s="107">
        <v>0.0</v>
      </c>
      <c r="F2630" s="110">
        <v>7.0</v>
      </c>
      <c r="G2630" s="109"/>
      <c r="H2630" s="109"/>
      <c r="I2630" s="109">
        <v>4.0</v>
      </c>
      <c r="J2630" s="106"/>
      <c r="K2630" s="106" t="str">
        <f t="shared" si="103"/>
        <v>#REF!</v>
      </c>
      <c r="L2630" s="106"/>
      <c r="M2630" s="106"/>
      <c r="N2630" s="106"/>
      <c r="O2630" s="106"/>
      <c r="P2630" s="106"/>
    </row>
    <row r="2631" hidden="1">
      <c r="A2631" s="104" t="s">
        <v>382</v>
      </c>
      <c r="B2631" s="97"/>
      <c r="C2631" s="97"/>
      <c r="D2631" s="97" t="s">
        <v>390</v>
      </c>
      <c r="E2631" s="107">
        <v>0.0</v>
      </c>
      <c r="F2631" s="107">
        <v>2.0</v>
      </c>
      <c r="G2631" s="109"/>
      <c r="H2631" s="109"/>
      <c r="I2631" s="109">
        <v>5.0</v>
      </c>
      <c r="J2631" s="106"/>
      <c r="K2631" s="106" t="str">
        <f t="shared" si="103"/>
        <v>#REF!</v>
      </c>
      <c r="L2631" s="106"/>
      <c r="M2631" s="106"/>
      <c r="N2631" s="106"/>
      <c r="O2631" s="106"/>
      <c r="P2631" s="106"/>
    </row>
    <row r="2632" hidden="1">
      <c r="A2632" s="104" t="s">
        <v>382</v>
      </c>
      <c r="B2632" s="97"/>
      <c r="C2632" s="97"/>
      <c r="D2632" s="97" t="s">
        <v>376</v>
      </c>
      <c r="E2632" s="107">
        <v>0.0</v>
      </c>
      <c r="F2632" s="110">
        <v>0.0</v>
      </c>
      <c r="G2632" s="109"/>
      <c r="H2632" s="109"/>
      <c r="I2632" s="109">
        <v>5.0</v>
      </c>
      <c r="J2632" s="106"/>
      <c r="K2632" s="106" t="str">
        <f t="shared" si="103"/>
        <v>#REF!</v>
      </c>
      <c r="L2632" s="106"/>
      <c r="M2632" s="106"/>
      <c r="N2632" s="106"/>
      <c r="O2632" s="106"/>
      <c r="P2632" s="106"/>
    </row>
    <row r="2633" hidden="1">
      <c r="A2633" s="104" t="s">
        <v>382</v>
      </c>
      <c r="B2633" s="97"/>
      <c r="C2633" s="97"/>
      <c r="D2633" s="97" t="s">
        <v>373</v>
      </c>
      <c r="E2633" s="107">
        <v>2.0</v>
      </c>
      <c r="F2633" s="110">
        <v>11.0</v>
      </c>
      <c r="G2633" s="108"/>
      <c r="H2633" s="108"/>
      <c r="I2633" s="108">
        <v>5.0</v>
      </c>
      <c r="J2633" s="106"/>
      <c r="K2633" s="106" t="str">
        <f t="shared" si="103"/>
        <v>#REF!</v>
      </c>
      <c r="L2633" s="106"/>
      <c r="M2633" s="106"/>
      <c r="N2633" s="106"/>
      <c r="O2633" s="106"/>
      <c r="P2633" s="106"/>
    </row>
    <row r="2634" hidden="1">
      <c r="A2634" s="104" t="s">
        <v>382</v>
      </c>
      <c r="B2634" s="97"/>
      <c r="C2634" s="97"/>
      <c r="D2634" s="97" t="s">
        <v>363</v>
      </c>
      <c r="E2634" s="97">
        <v>1.0</v>
      </c>
      <c r="F2634" s="97">
        <v>0.0</v>
      </c>
      <c r="G2634" s="97"/>
      <c r="H2634" s="97"/>
      <c r="I2634" s="97">
        <v>0.0</v>
      </c>
      <c r="J2634" s="106"/>
      <c r="K2634" s="106" t="str">
        <f t="shared" si="103"/>
        <v>#REF!</v>
      </c>
      <c r="L2634" s="106"/>
      <c r="M2634" s="106"/>
      <c r="N2634" s="106"/>
      <c r="O2634" s="106"/>
      <c r="P2634" s="106"/>
    </row>
    <row r="2635" hidden="1">
      <c r="A2635" s="104" t="s">
        <v>382</v>
      </c>
      <c r="B2635" s="97"/>
      <c r="C2635" s="97"/>
      <c r="D2635" s="97" t="s">
        <v>377</v>
      </c>
      <c r="E2635" s="97">
        <v>1.0</v>
      </c>
      <c r="F2635" s="97">
        <v>7.0</v>
      </c>
      <c r="G2635" s="97"/>
      <c r="H2635" s="97"/>
      <c r="I2635" s="97">
        <v>5.0</v>
      </c>
      <c r="J2635" s="106"/>
      <c r="K2635" s="106" t="str">
        <f t="shared" si="103"/>
        <v>#REF!</v>
      </c>
      <c r="L2635" s="106"/>
      <c r="M2635" s="106"/>
      <c r="N2635" s="106"/>
      <c r="O2635" s="106"/>
      <c r="P2635" s="106"/>
    </row>
    <row r="2636" hidden="1">
      <c r="A2636" s="104" t="s">
        <v>382</v>
      </c>
      <c r="B2636" s="97"/>
      <c r="C2636" s="97"/>
      <c r="D2636" s="97" t="s">
        <v>378</v>
      </c>
      <c r="E2636" s="97">
        <v>1.0</v>
      </c>
      <c r="F2636" s="97">
        <v>7.0</v>
      </c>
      <c r="G2636" s="97"/>
      <c r="H2636" s="97"/>
      <c r="I2636" s="97">
        <v>5.0</v>
      </c>
      <c r="J2636" s="106"/>
      <c r="K2636" s="106" t="str">
        <f t="shared" si="103"/>
        <v>#REF!</v>
      </c>
      <c r="L2636" s="106"/>
      <c r="M2636" s="106"/>
      <c r="N2636" s="106"/>
      <c r="O2636" s="106"/>
      <c r="P2636" s="106"/>
    </row>
    <row r="2637" hidden="1">
      <c r="A2637" s="104" t="s">
        <v>382</v>
      </c>
      <c r="B2637" s="97"/>
      <c r="C2637" s="97"/>
      <c r="D2637" s="97" t="s">
        <v>379</v>
      </c>
      <c r="E2637" s="97">
        <v>2.0</v>
      </c>
      <c r="F2637" s="97">
        <v>0.0</v>
      </c>
      <c r="G2637" s="97"/>
      <c r="H2637" s="97"/>
      <c r="I2637" s="97">
        <v>0.0</v>
      </c>
      <c r="J2637" s="106"/>
      <c r="K2637" s="106" t="str">
        <f t="shared" si="103"/>
        <v>#REF!</v>
      </c>
      <c r="L2637" s="106"/>
      <c r="M2637" s="106"/>
      <c r="N2637" s="106"/>
      <c r="O2637" s="106"/>
      <c r="P2637" s="106"/>
    </row>
    <row r="2638" hidden="1">
      <c r="A2638" s="104" t="s">
        <v>382</v>
      </c>
      <c r="B2638" s="97"/>
      <c r="C2638" s="97"/>
      <c r="D2638" s="97" t="s">
        <v>380</v>
      </c>
      <c r="E2638" s="97">
        <v>1.0</v>
      </c>
      <c r="F2638" s="97">
        <v>3.0</v>
      </c>
      <c r="G2638" s="97"/>
      <c r="H2638" s="97"/>
      <c r="I2638" s="97">
        <v>5.0</v>
      </c>
      <c r="J2638" s="106"/>
      <c r="K2638" s="106" t="str">
        <f t="shared" si="103"/>
        <v>#REF!</v>
      </c>
      <c r="L2638" s="106"/>
      <c r="M2638" s="106"/>
      <c r="N2638" s="106"/>
      <c r="O2638" s="106"/>
      <c r="P2638" s="106"/>
    </row>
    <row r="2639" hidden="1">
      <c r="A2639" s="104" t="s">
        <v>382</v>
      </c>
      <c r="B2639" s="97"/>
      <c r="C2639" s="97"/>
      <c r="D2639" s="97" t="s">
        <v>366</v>
      </c>
      <c r="E2639" s="97">
        <v>6.0</v>
      </c>
      <c r="F2639" s="97">
        <v>0.0</v>
      </c>
      <c r="G2639" s="97"/>
      <c r="H2639" s="97"/>
      <c r="I2639" s="97">
        <v>0.0</v>
      </c>
      <c r="J2639" s="106"/>
      <c r="K2639" s="106" t="str">
        <f t="shared" si="103"/>
        <v>#REF!</v>
      </c>
      <c r="L2639" s="106"/>
      <c r="M2639" s="106"/>
      <c r="N2639" s="106"/>
      <c r="O2639" s="106"/>
      <c r="P2639" s="106"/>
    </row>
    <row r="2640" hidden="1">
      <c r="B2640" s="111"/>
      <c r="C2640" s="111"/>
      <c r="D2640" s="111"/>
      <c r="E2640" s="112"/>
      <c r="F2640" s="113"/>
      <c r="G2640" s="114"/>
      <c r="H2640" s="114"/>
      <c r="I2640" s="114"/>
    </row>
    <row r="2641" hidden="1">
      <c r="A2641" s="100"/>
      <c r="B2641" s="113"/>
      <c r="C2641" s="113"/>
      <c r="D2641" s="113"/>
      <c r="E2641" s="113"/>
      <c r="F2641" s="113"/>
      <c r="G2641" s="114"/>
      <c r="H2641" s="114"/>
      <c r="I2641" s="114"/>
    </row>
    <row r="2642" hidden="1">
      <c r="A2642" s="100"/>
      <c r="B2642" s="113"/>
      <c r="C2642" s="113"/>
      <c r="D2642" s="113"/>
      <c r="E2642" s="113"/>
      <c r="F2642" s="113"/>
      <c r="G2642" s="115"/>
      <c r="H2642" s="115"/>
      <c r="I2642" s="115"/>
      <c r="J2642" s="100"/>
      <c r="K2642" s="100"/>
      <c r="L2642" s="100"/>
      <c r="M2642" s="100"/>
      <c r="N2642" s="100"/>
      <c r="O2642" s="100"/>
      <c r="P2642" s="100"/>
    </row>
    <row r="2643" hidden="1">
      <c r="A2643" s="100"/>
      <c r="B2643" s="113"/>
      <c r="C2643" s="113"/>
      <c r="D2643" s="113"/>
      <c r="E2643" s="113"/>
      <c r="F2643" s="113"/>
      <c r="G2643" s="115"/>
      <c r="H2643" s="115"/>
      <c r="I2643" s="115"/>
      <c r="J2643" s="100"/>
      <c r="K2643" s="100"/>
      <c r="L2643" s="100"/>
      <c r="M2643" s="100"/>
      <c r="N2643" s="100"/>
      <c r="O2643" s="100"/>
      <c r="P2643" s="100"/>
    </row>
    <row r="2644" hidden="1">
      <c r="A2644" s="100"/>
      <c r="B2644" s="113"/>
      <c r="C2644" s="113"/>
      <c r="D2644" s="113"/>
      <c r="E2644" s="113"/>
      <c r="F2644" s="113"/>
      <c r="G2644" s="115"/>
      <c r="H2644" s="115"/>
      <c r="I2644" s="115"/>
      <c r="J2644" s="100"/>
      <c r="K2644" s="100"/>
      <c r="L2644" s="100"/>
      <c r="M2644" s="100"/>
      <c r="N2644" s="100"/>
      <c r="O2644" s="100"/>
      <c r="P2644" s="100"/>
    </row>
    <row r="2645" hidden="1">
      <c r="A2645" s="100"/>
      <c r="B2645" s="113"/>
      <c r="C2645" s="113"/>
      <c r="D2645" s="113"/>
      <c r="E2645" s="113"/>
      <c r="F2645" s="113"/>
      <c r="G2645" s="115"/>
      <c r="H2645" s="115"/>
      <c r="I2645" s="115"/>
      <c r="J2645" s="100"/>
      <c r="K2645" s="100"/>
      <c r="L2645" s="100"/>
      <c r="M2645" s="100"/>
      <c r="N2645" s="100"/>
      <c r="O2645" s="100"/>
      <c r="P2645" s="100"/>
    </row>
    <row r="2646" hidden="1">
      <c r="A2646" s="100"/>
      <c r="B2646" s="113"/>
      <c r="C2646" s="113"/>
      <c r="D2646" s="113"/>
      <c r="E2646" s="113"/>
      <c r="F2646" s="113"/>
      <c r="G2646" s="115"/>
      <c r="H2646" s="115"/>
      <c r="I2646" s="115"/>
      <c r="J2646" s="100"/>
      <c r="K2646" s="100"/>
      <c r="L2646" s="100"/>
      <c r="M2646" s="100"/>
      <c r="N2646" s="100"/>
      <c r="O2646" s="100"/>
      <c r="P2646" s="100"/>
    </row>
    <row r="2647" hidden="1">
      <c r="A2647" s="100"/>
      <c r="G2647" s="116"/>
      <c r="H2647" s="116"/>
      <c r="I2647" s="116"/>
      <c r="J2647" s="100"/>
      <c r="K2647" s="100"/>
      <c r="L2647" s="100"/>
      <c r="M2647" s="100"/>
      <c r="N2647" s="100"/>
      <c r="O2647" s="100"/>
      <c r="P2647" s="100"/>
    </row>
    <row r="2648" hidden="1">
      <c r="A2648" s="100"/>
      <c r="B2648" s="113"/>
      <c r="C2648" s="113"/>
      <c r="D2648" s="113"/>
      <c r="E2648" s="113"/>
      <c r="F2648" s="113"/>
      <c r="G2648" s="116"/>
      <c r="H2648" s="116"/>
      <c r="I2648" s="116"/>
      <c r="J2648" s="100"/>
      <c r="K2648" s="100"/>
      <c r="L2648" s="100"/>
      <c r="M2648" s="100"/>
      <c r="N2648" s="100"/>
      <c r="O2648" s="100"/>
      <c r="P2648" s="100"/>
    </row>
    <row r="2649" hidden="1">
      <c r="A2649" s="100"/>
      <c r="B2649" s="113"/>
      <c r="C2649" s="113"/>
      <c r="D2649" s="113"/>
      <c r="E2649" s="113"/>
      <c r="F2649" s="113"/>
      <c r="G2649" s="116"/>
      <c r="H2649" s="116"/>
      <c r="I2649" s="116"/>
      <c r="J2649" s="100"/>
      <c r="K2649" s="100"/>
      <c r="L2649" s="100"/>
      <c r="M2649" s="100"/>
      <c r="N2649" s="100"/>
      <c r="O2649" s="100"/>
      <c r="P2649" s="100"/>
    </row>
    <row r="2650" hidden="1">
      <c r="A2650" s="100"/>
      <c r="B2650" s="113"/>
      <c r="C2650" s="113"/>
      <c r="D2650" s="113"/>
      <c r="E2650" s="113"/>
      <c r="F2650" s="113"/>
      <c r="G2650" s="116"/>
      <c r="H2650" s="116"/>
      <c r="I2650" s="116"/>
      <c r="J2650" s="100"/>
      <c r="K2650" s="100"/>
      <c r="L2650" s="100"/>
      <c r="M2650" s="100"/>
      <c r="N2650" s="100"/>
      <c r="O2650" s="100"/>
      <c r="P2650" s="100"/>
    </row>
    <row r="2651" hidden="1">
      <c r="A2651" s="100"/>
      <c r="B2651" s="113"/>
      <c r="C2651" s="113"/>
      <c r="D2651" s="113"/>
      <c r="E2651" s="113"/>
      <c r="F2651" s="113"/>
      <c r="G2651" s="116"/>
      <c r="H2651" s="116"/>
      <c r="I2651" s="116"/>
      <c r="J2651" s="100"/>
      <c r="K2651" s="100"/>
      <c r="L2651" s="100"/>
      <c r="M2651" s="100"/>
      <c r="N2651" s="100"/>
      <c r="O2651" s="100"/>
      <c r="P2651" s="100"/>
    </row>
    <row r="2652" hidden="1">
      <c r="A2652" s="100"/>
      <c r="B2652" s="113"/>
      <c r="C2652" s="113"/>
      <c r="D2652" s="113"/>
      <c r="E2652" s="113"/>
      <c r="F2652" s="113"/>
      <c r="G2652" s="116"/>
      <c r="H2652" s="116"/>
      <c r="I2652" s="116"/>
      <c r="J2652" s="100"/>
      <c r="K2652" s="100"/>
      <c r="L2652" s="100"/>
      <c r="M2652" s="100"/>
      <c r="N2652" s="100"/>
      <c r="O2652" s="100"/>
      <c r="P2652" s="100"/>
    </row>
    <row r="2653" hidden="1">
      <c r="A2653" s="100"/>
      <c r="B2653" s="113"/>
      <c r="C2653" s="113"/>
      <c r="D2653" s="113"/>
      <c r="E2653" s="113"/>
      <c r="F2653" s="113"/>
      <c r="G2653" s="116"/>
      <c r="H2653" s="116"/>
      <c r="I2653" s="116"/>
      <c r="J2653" s="100"/>
      <c r="K2653" s="100"/>
      <c r="L2653" s="100"/>
      <c r="M2653" s="100"/>
      <c r="N2653" s="100"/>
      <c r="O2653" s="100"/>
      <c r="P2653" s="100"/>
    </row>
    <row r="2654" hidden="1">
      <c r="A2654" s="100"/>
      <c r="B2654" s="111"/>
      <c r="C2654" s="111"/>
      <c r="D2654" s="111"/>
      <c r="E2654" s="112"/>
      <c r="F2654" s="113"/>
      <c r="G2654" s="116"/>
      <c r="H2654" s="116"/>
      <c r="I2654" s="116"/>
      <c r="J2654" s="100"/>
      <c r="K2654" s="100"/>
      <c r="L2654" s="100"/>
      <c r="M2654" s="100"/>
      <c r="N2654" s="100"/>
      <c r="O2654" s="100"/>
      <c r="P2654" s="100"/>
    </row>
    <row r="2655" hidden="1">
      <c r="A2655" s="100"/>
      <c r="B2655" s="111"/>
      <c r="C2655" s="111"/>
      <c r="D2655" s="111"/>
      <c r="E2655" s="112"/>
      <c r="F2655" s="113"/>
      <c r="G2655" s="116"/>
      <c r="H2655" s="116"/>
      <c r="I2655" s="116"/>
      <c r="J2655" s="100"/>
      <c r="K2655" s="100"/>
      <c r="L2655" s="100"/>
      <c r="M2655" s="100"/>
      <c r="N2655" s="100"/>
      <c r="O2655" s="100"/>
      <c r="P2655" s="100"/>
    </row>
    <row r="2656" hidden="1">
      <c r="A2656" s="100"/>
      <c r="B2656" s="111"/>
      <c r="C2656" s="111"/>
      <c r="D2656" s="111"/>
      <c r="E2656" s="112"/>
      <c r="F2656" s="113"/>
      <c r="G2656" s="116"/>
      <c r="H2656" s="116"/>
      <c r="I2656" s="116"/>
      <c r="J2656" s="100"/>
      <c r="K2656" s="100"/>
      <c r="L2656" s="100"/>
      <c r="M2656" s="100"/>
      <c r="N2656" s="100"/>
      <c r="O2656" s="100"/>
      <c r="P2656" s="100"/>
    </row>
    <row r="2657" hidden="1">
      <c r="A2657" s="100"/>
      <c r="G2657" s="116"/>
      <c r="H2657" s="116"/>
      <c r="I2657" s="116"/>
      <c r="J2657" s="100"/>
      <c r="K2657" s="100"/>
      <c r="L2657" s="100"/>
      <c r="M2657" s="100"/>
      <c r="N2657" s="100"/>
      <c r="O2657" s="100"/>
      <c r="P2657" s="100"/>
    </row>
    <row r="2658" hidden="1">
      <c r="A2658" s="100"/>
      <c r="G2658" s="116"/>
      <c r="H2658" s="116"/>
      <c r="I2658" s="116"/>
      <c r="J2658" s="100"/>
      <c r="K2658" s="100"/>
      <c r="L2658" s="100"/>
      <c r="M2658" s="100"/>
      <c r="N2658" s="100"/>
      <c r="O2658" s="100"/>
      <c r="P2658" s="100"/>
    </row>
    <row r="2659" hidden="1">
      <c r="A2659" s="100"/>
      <c r="G2659" s="116"/>
      <c r="H2659" s="116"/>
      <c r="I2659" s="116"/>
      <c r="J2659" s="100"/>
      <c r="K2659" s="100"/>
      <c r="L2659" s="100"/>
      <c r="M2659" s="100"/>
      <c r="N2659" s="100"/>
      <c r="O2659" s="100"/>
      <c r="P2659" s="100"/>
    </row>
    <row r="2660" hidden="1">
      <c r="A2660" s="100"/>
      <c r="G2660" s="116"/>
      <c r="H2660" s="116"/>
      <c r="I2660" s="116"/>
      <c r="J2660" s="100"/>
      <c r="K2660" s="100"/>
      <c r="L2660" s="100"/>
      <c r="M2660" s="100"/>
      <c r="N2660" s="100"/>
      <c r="O2660" s="100"/>
      <c r="P2660" s="100"/>
    </row>
    <row r="2661" hidden="1">
      <c r="A2661" s="100"/>
      <c r="G2661" s="116"/>
      <c r="H2661" s="116"/>
      <c r="I2661" s="116"/>
      <c r="J2661" s="100"/>
      <c r="K2661" s="100"/>
      <c r="L2661" s="100"/>
      <c r="M2661" s="100"/>
      <c r="N2661" s="100"/>
      <c r="O2661" s="100"/>
      <c r="P2661" s="100"/>
    </row>
    <row r="2662" hidden="1">
      <c r="A2662" s="100"/>
      <c r="G2662" s="116"/>
      <c r="H2662" s="116"/>
      <c r="I2662" s="116"/>
      <c r="J2662" s="100"/>
      <c r="K2662" s="100"/>
      <c r="L2662" s="100"/>
      <c r="M2662" s="100"/>
      <c r="N2662" s="100"/>
      <c r="O2662" s="100"/>
      <c r="P2662" s="100"/>
    </row>
    <row r="2663" hidden="1">
      <c r="A2663" s="100"/>
      <c r="G2663" s="116"/>
      <c r="H2663" s="116"/>
      <c r="I2663" s="116"/>
      <c r="J2663" s="100"/>
      <c r="K2663" s="100"/>
      <c r="L2663" s="100"/>
      <c r="M2663" s="100"/>
      <c r="N2663" s="100"/>
      <c r="O2663" s="100"/>
      <c r="P2663" s="100"/>
    </row>
    <row r="2664" hidden="1">
      <c r="A2664" s="100"/>
      <c r="G2664" s="116"/>
      <c r="H2664" s="116"/>
      <c r="I2664" s="116"/>
      <c r="J2664" s="100"/>
      <c r="K2664" s="100"/>
      <c r="L2664" s="100"/>
      <c r="M2664" s="100"/>
      <c r="N2664" s="100"/>
      <c r="O2664" s="100"/>
      <c r="P2664" s="100"/>
    </row>
    <row r="2665" hidden="1">
      <c r="A2665" s="100"/>
      <c r="G2665" s="116"/>
      <c r="H2665" s="116"/>
      <c r="I2665" s="116"/>
      <c r="J2665" s="100"/>
      <c r="K2665" s="100"/>
      <c r="L2665" s="100"/>
      <c r="M2665" s="100"/>
      <c r="N2665" s="100"/>
      <c r="O2665" s="100"/>
      <c r="P2665" s="100"/>
    </row>
    <row r="2666" hidden="1">
      <c r="A2666" s="100"/>
      <c r="G2666" s="116"/>
      <c r="H2666" s="116"/>
      <c r="I2666" s="116"/>
      <c r="J2666" s="100"/>
      <c r="K2666" s="100"/>
      <c r="L2666" s="100"/>
      <c r="M2666" s="100"/>
      <c r="N2666" s="100"/>
      <c r="O2666" s="100"/>
      <c r="P2666" s="100"/>
    </row>
    <row r="2667" hidden="1">
      <c r="A2667" s="100"/>
      <c r="G2667" s="116"/>
      <c r="H2667" s="116"/>
      <c r="I2667" s="116"/>
      <c r="J2667" s="100"/>
      <c r="K2667" s="100"/>
      <c r="L2667" s="100"/>
      <c r="M2667" s="100"/>
      <c r="N2667" s="100"/>
      <c r="O2667" s="100"/>
      <c r="P2667" s="100"/>
    </row>
    <row r="2668" hidden="1">
      <c r="A2668" s="100"/>
      <c r="G2668" s="116"/>
      <c r="H2668" s="116"/>
      <c r="I2668" s="116"/>
      <c r="J2668" s="100"/>
      <c r="K2668" s="100"/>
      <c r="L2668" s="100"/>
      <c r="M2668" s="100"/>
      <c r="N2668" s="100"/>
      <c r="O2668" s="100"/>
      <c r="P2668" s="100"/>
    </row>
    <row r="2669" hidden="1">
      <c r="A2669" s="100"/>
      <c r="G2669" s="116"/>
      <c r="H2669" s="116"/>
      <c r="I2669" s="116"/>
      <c r="J2669" s="100"/>
      <c r="K2669" s="100"/>
      <c r="L2669" s="100"/>
      <c r="M2669" s="100"/>
      <c r="N2669" s="100"/>
      <c r="O2669" s="100"/>
      <c r="P2669" s="100"/>
    </row>
    <row r="2670" hidden="1">
      <c r="A2670" s="100"/>
      <c r="G2670" s="116"/>
      <c r="H2670" s="116"/>
      <c r="I2670" s="116"/>
      <c r="J2670" s="100"/>
      <c r="K2670" s="100"/>
      <c r="L2670" s="100"/>
      <c r="M2670" s="100"/>
      <c r="N2670" s="100"/>
      <c r="O2670" s="100"/>
      <c r="P2670" s="100"/>
    </row>
    <row r="2671" hidden="1">
      <c r="A2671" s="100"/>
      <c r="G2671" s="116"/>
      <c r="H2671" s="116"/>
      <c r="I2671" s="116"/>
      <c r="J2671" s="100"/>
      <c r="K2671" s="100"/>
      <c r="L2671" s="100"/>
      <c r="M2671" s="100"/>
      <c r="N2671" s="100"/>
      <c r="O2671" s="100"/>
      <c r="P2671" s="100"/>
    </row>
    <row r="2672" hidden="1">
      <c r="A2672" s="100"/>
      <c r="G2672" s="116"/>
      <c r="H2672" s="116"/>
      <c r="I2672" s="116"/>
      <c r="J2672" s="100"/>
      <c r="K2672" s="100"/>
      <c r="L2672" s="100"/>
      <c r="M2672" s="100"/>
      <c r="N2672" s="100"/>
      <c r="O2672" s="100"/>
      <c r="P2672" s="100"/>
    </row>
    <row r="2673" hidden="1">
      <c r="A2673" s="100"/>
      <c r="G2673" s="116"/>
      <c r="H2673" s="116"/>
      <c r="I2673" s="116"/>
      <c r="J2673" s="100"/>
      <c r="K2673" s="100"/>
      <c r="L2673" s="100"/>
      <c r="M2673" s="100"/>
      <c r="N2673" s="100"/>
      <c r="O2673" s="100"/>
      <c r="P2673" s="100"/>
    </row>
  </sheetData>
  <autoFilter ref="$A$3:$K$2673">
    <filterColumn colId="0">
      <filters>
        <filter val="Week 3/23/26 - 3/29/26"/>
      </filters>
    </filterColumn>
  </autoFilter>
  <mergeCells count="1">
    <mergeCell ref="A1:K1"/>
  </mergeCells>
  <dataValidations>
    <dataValidation type="list" allowBlank="1" showErrorMessage="1" sqref="A1724:A1784">
      <formula1>"Week 9/1/25 - 9/7/25"</formula1>
    </dataValidation>
    <dataValidation type="list" allowBlank="1" showErrorMessage="1" sqref="A1338:A1393">
      <formula1>"Week 10/13/25 - 10/19/25"</formula1>
    </dataValidation>
    <dataValidation type="list" allowBlank="1" showErrorMessage="1" sqref="A435:A500">
      <formula1>"Week 2/23/26 - 3/1/26"</formula1>
    </dataValidation>
    <dataValidation type="list" allowBlank="1" showErrorMessage="1" sqref="A1906:A1961">
      <formula1>"Week 8/11/25 - 8/17/25 "</formula1>
    </dataValidation>
    <dataValidation type="list" allowBlank="1" showErrorMessage="1" sqref="A2015:A2063">
      <formula1>"Week 7/28/25 - 8/3/25"</formula1>
    </dataValidation>
    <dataValidation type="list" allowBlank="1" showErrorMessage="1" sqref="A765:A830">
      <formula1>"Week 1/19/26 - 1/25/26"</formula1>
    </dataValidation>
    <dataValidation type="list" allowBlank="1" showErrorMessage="1" sqref="A1394:A1460">
      <formula1>"Week 10/6/25 - 10/12/25"</formula1>
    </dataValidation>
    <dataValidation type="list" allowBlank="1" showErrorMessage="1" sqref="A179:A234">
      <formula1>"Week 12/15/25 - 12/21/25"</formula1>
    </dataValidation>
    <dataValidation type="list" allowBlank="1" showErrorMessage="1" sqref="A567:A632">
      <formula1>"Week 2/9/26 - 2/15/26"</formula1>
    </dataValidation>
    <dataValidation type="list" allowBlank="1" showErrorMessage="1" sqref="A4:A66">
      <formula1>"Week 1/5/26 - 1/11/26"</formula1>
    </dataValidation>
    <dataValidation type="list" allowBlank="1" showErrorMessage="1" sqref="A501:A566">
      <formula1>"Week 2/16/26 - 2/22/26"</formula1>
    </dataValidation>
    <dataValidation type="list" allowBlank="1" showErrorMessage="1" sqref="A1962:A2014">
      <formula1>"Week 8/4/25 - 8/10/25"</formula1>
    </dataValidation>
    <dataValidation type="list" allowBlank="1" showErrorMessage="1" sqref="A893:A948">
      <formula1>"Week 12/8/25 - 12/14/25"</formula1>
    </dataValidation>
    <dataValidation type="list" allowBlank="1" showErrorMessage="1" sqref="A1063:A1117">
      <formula1>"Week 11/17/25 - 11/23/25"</formula1>
    </dataValidation>
    <dataValidation type="list" allowBlank="1" showErrorMessage="1" sqref="A1847:A1905">
      <formula1>"Week 8/18/25 - 8/24/25 "</formula1>
    </dataValidation>
    <dataValidation type="list" allowBlank="1" showErrorMessage="1" sqref="A831:A892">
      <formula1>"Week 1/12/26 - 1/18/26"</formula1>
    </dataValidation>
    <dataValidation type="list" allowBlank="1" showErrorMessage="1" sqref="A335:A384">
      <formula1>"Week 3/9/26 - 3/15/26"</formula1>
    </dataValidation>
    <dataValidation type="list" allowBlank="1" showErrorMessage="1" sqref="A2614:A2639">
      <formula1>"Week 3/31/25 - 4/6/25"</formula1>
    </dataValidation>
    <dataValidation type="list" allowBlank="1" showErrorMessage="1" sqref="A67:A122">
      <formula1>"Week 12/29/25 - 1/4/26"</formula1>
    </dataValidation>
    <dataValidation type="list" allowBlank="1" showErrorMessage="1" sqref="A1461:A1527">
      <formula1>"Week 9/29/25 - 10/5/25"</formula1>
    </dataValidation>
    <dataValidation type="list" allowBlank="1" showErrorMessage="1" sqref="A949:A1005">
      <formula1>"Week 12/1/25 - 12/7/25"</formula1>
    </dataValidation>
    <dataValidation type="list" allowBlank="1" showErrorMessage="1" sqref="A1283:A1337">
      <formula1>"Week 10/20/25 - 10/26/25"</formula1>
    </dataValidation>
    <dataValidation type="list" allowBlank="1" showErrorMessage="1" sqref="A385:A434">
      <formula1>"Week 3/2/26 - 3/8/26"</formula1>
    </dataValidation>
    <dataValidation type="list" allowBlank="1" showErrorMessage="1" sqref="A1118:A1173">
      <formula1>"Week 11/10/25 - 11/16/25"</formula1>
    </dataValidation>
    <dataValidation type="list" allowBlank="1" showErrorMessage="1" sqref="A1228:A1282">
      <formula1>"Week 10/27/25 - 11/2/25"</formula1>
    </dataValidation>
    <dataValidation type="list" allowBlank="1" showErrorMessage="1" sqref="A1528:A1594">
      <formula1>"Week 9/22/25 - 9/28/25"</formula1>
    </dataValidation>
    <dataValidation type="list" allowBlank="1" showErrorMessage="1" sqref="A699:A764">
      <formula1>"Week 1/26/26 - 2/1/26"</formula1>
    </dataValidation>
    <dataValidation type="list" allowBlank="1" showErrorMessage="1" sqref="A235:A284">
      <formula1>"Week 3/23/26 - 3/29/26"</formula1>
    </dataValidation>
    <dataValidation type="list" allowBlank="1" showErrorMessage="1" sqref="A1174:A1227">
      <formula1>"Week 11/3/25 - 11/9/25"</formula1>
    </dataValidation>
    <dataValidation type="list" allowBlank="1" showErrorMessage="1" sqref="A1662:A1723">
      <formula1>"Week 9/08/25 - 9/14/25"</formula1>
    </dataValidation>
    <dataValidation type="list" allowBlank="1" showErrorMessage="1" sqref="A1785:A1846">
      <formula1>"Week 8/25/25 - 8/31/25"</formula1>
    </dataValidation>
    <dataValidation type="list" allowBlank="1" showErrorMessage="1" sqref="A1006:A1062">
      <formula1>"Week 11/24/25 - 11/30/25"</formula1>
    </dataValidation>
    <dataValidation type="list" allowBlank="1" showErrorMessage="1" sqref="A2064:A2613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285:A334">
      <formula1>"Week 3/16/26 - 3/22/26"</formula1>
    </dataValidation>
    <dataValidation type="list" allowBlank="1" showErrorMessage="1" sqref="A1595:A1661">
      <formula1>"Week 9/15/25 - 9/21/25"</formula1>
    </dataValidation>
    <dataValidation type="list" allowBlank="1" showErrorMessage="1" sqref="A123:A178">
      <formula1>"Week 12/22/25 - 12/28/25"</formula1>
    </dataValidation>
    <dataValidation type="list" allowBlank="1" showErrorMessage="1" sqref="A633:A698">
      <formula1>"Week 2/2/26 - 2/8/26"</formula1>
    </dataValidation>
  </dataValidations>
  <hyperlinks>
    <hyperlink r:id="rId2" location="gid=68380012" ref="A2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3.75"/>
    <col customWidth="1" min="3" max="4" width="29.13"/>
    <col customWidth="1" min="8" max="8" width="27.38"/>
  </cols>
  <sheetData>
    <row r="1">
      <c r="A1" s="117" t="s">
        <v>391</v>
      </c>
      <c r="H1" s="117"/>
      <c r="I1" s="117"/>
      <c r="J1" s="117"/>
    </row>
    <row r="2">
      <c r="H2" s="117"/>
      <c r="I2" s="117"/>
      <c r="J2" s="117"/>
    </row>
    <row r="3">
      <c r="A3" s="118" t="s">
        <v>2</v>
      </c>
      <c r="B3" s="119" t="s">
        <v>3</v>
      </c>
      <c r="C3" s="120" t="s">
        <v>392</v>
      </c>
      <c r="D3" s="120" t="s">
        <v>5</v>
      </c>
      <c r="E3" s="121" t="s">
        <v>393</v>
      </c>
      <c r="F3" s="122" t="s">
        <v>394</v>
      </c>
      <c r="G3" s="123" t="s">
        <v>12</v>
      </c>
      <c r="H3" s="123"/>
      <c r="I3" s="123"/>
      <c r="J3" s="123"/>
    </row>
    <row r="4">
      <c r="A4" s="54" t="s">
        <v>299</v>
      </c>
      <c r="B4" s="91" t="s">
        <v>395</v>
      </c>
      <c r="C4" s="96" t="s">
        <v>396</v>
      </c>
      <c r="D4" s="96" t="s">
        <v>397</v>
      </c>
      <c r="E4" s="124">
        <v>2.0</v>
      </c>
      <c r="F4" s="19">
        <v>0.0</v>
      </c>
      <c r="G4" s="125">
        <f t="shared" ref="G4:G157" si="1">IF(E4&gt;=75,100*E4,IF(E4&gt;=65,75*E4,IF(E4&gt;=50,50*E4,0))) + (250*F4)</f>
        <v>0</v>
      </c>
      <c r="H4" s="126" t="str">
        <f t="shared" ref="H4:H157" si="2">E4 &amp; " Total Filings, " &amp; F4 &amp; " Patient Portal Logins"</f>
        <v>2 Total Filings, 0 Patient Portal Logins</v>
      </c>
      <c r="I4" s="23"/>
      <c r="J4" s="23"/>
    </row>
    <row r="5">
      <c r="A5" s="6" t="s">
        <v>299</v>
      </c>
      <c r="B5" s="92" t="s">
        <v>398</v>
      </c>
      <c r="C5" s="93" t="s">
        <v>399</v>
      </c>
      <c r="D5" s="93" t="s">
        <v>400</v>
      </c>
      <c r="E5" s="124">
        <v>45.0</v>
      </c>
      <c r="F5" s="127">
        <v>4.0</v>
      </c>
      <c r="G5" s="125">
        <f t="shared" si="1"/>
        <v>1000</v>
      </c>
      <c r="H5" s="126" t="str">
        <f t="shared" si="2"/>
        <v>45 Total Filings, 4 Patient Portal Logins</v>
      </c>
      <c r="I5" s="23"/>
      <c r="J5" s="23"/>
    </row>
    <row r="6">
      <c r="A6" s="6" t="s">
        <v>299</v>
      </c>
      <c r="B6" s="92" t="s">
        <v>401</v>
      </c>
      <c r="C6" s="93" t="s">
        <v>402</v>
      </c>
      <c r="D6" s="93" t="s">
        <v>403</v>
      </c>
      <c r="E6" s="124">
        <v>12.0</v>
      </c>
      <c r="F6" s="19">
        <v>0.0</v>
      </c>
      <c r="G6" s="125">
        <f t="shared" si="1"/>
        <v>0</v>
      </c>
      <c r="H6" s="126" t="str">
        <f t="shared" si="2"/>
        <v>12 Total Filings, 0 Patient Portal Logins</v>
      </c>
      <c r="I6" s="23"/>
      <c r="J6" s="23"/>
    </row>
    <row r="7">
      <c r="A7" s="6" t="s">
        <v>299</v>
      </c>
      <c r="B7" s="92" t="s">
        <v>404</v>
      </c>
      <c r="C7" s="93" t="s">
        <v>405</v>
      </c>
      <c r="D7" s="93" t="s">
        <v>406</v>
      </c>
      <c r="E7" s="124">
        <v>50.0</v>
      </c>
      <c r="F7" s="128">
        <v>0.0</v>
      </c>
      <c r="G7" s="125">
        <f t="shared" si="1"/>
        <v>2500</v>
      </c>
      <c r="H7" s="126" t="str">
        <f t="shared" si="2"/>
        <v>50 Total Filings, 0 Patient Portal Logins</v>
      </c>
      <c r="I7" s="23"/>
      <c r="J7" s="23"/>
    </row>
    <row r="8">
      <c r="A8" s="6" t="s">
        <v>299</v>
      </c>
      <c r="B8" s="92" t="s">
        <v>407</v>
      </c>
      <c r="C8" s="93" t="s">
        <v>408</v>
      </c>
      <c r="D8" s="93" t="s">
        <v>409</v>
      </c>
      <c r="E8" s="124">
        <v>53.0</v>
      </c>
      <c r="F8" s="128">
        <v>0.0</v>
      </c>
      <c r="G8" s="125">
        <f t="shared" si="1"/>
        <v>2650</v>
      </c>
      <c r="H8" s="126" t="str">
        <f t="shared" si="2"/>
        <v>53 Total Filings, 0 Patient Portal Logins</v>
      </c>
      <c r="I8" s="23"/>
      <c r="J8" s="23"/>
    </row>
    <row r="9">
      <c r="A9" s="6" t="s">
        <v>299</v>
      </c>
      <c r="B9" s="92" t="s">
        <v>410</v>
      </c>
      <c r="C9" s="93" t="s">
        <v>411</v>
      </c>
      <c r="D9" s="93" t="s">
        <v>412</v>
      </c>
      <c r="E9" s="124">
        <v>39.0</v>
      </c>
      <c r="F9" s="128">
        <v>0.0</v>
      </c>
      <c r="G9" s="125">
        <f t="shared" si="1"/>
        <v>0</v>
      </c>
      <c r="H9" s="126" t="str">
        <f t="shared" si="2"/>
        <v>39 Total Filings, 0 Patient Portal Logins</v>
      </c>
      <c r="I9" s="23"/>
      <c r="J9" s="23"/>
    </row>
    <row r="10">
      <c r="A10" s="6" t="s">
        <v>299</v>
      </c>
      <c r="B10" s="92" t="s">
        <v>413</v>
      </c>
      <c r="C10" s="93" t="s">
        <v>414</v>
      </c>
      <c r="D10" s="93" t="s">
        <v>415</v>
      </c>
      <c r="E10" s="124">
        <v>52.0</v>
      </c>
      <c r="F10" s="127">
        <v>30.0</v>
      </c>
      <c r="G10" s="125">
        <f t="shared" si="1"/>
        <v>10100</v>
      </c>
      <c r="H10" s="126" t="str">
        <f t="shared" si="2"/>
        <v>52 Total Filings, 30 Patient Portal Logins</v>
      </c>
      <c r="I10" s="23"/>
      <c r="J10" s="23"/>
    </row>
    <row r="11">
      <c r="A11" s="6" t="s">
        <v>299</v>
      </c>
      <c r="B11" s="92" t="s">
        <v>416</v>
      </c>
      <c r="C11" s="93" t="s">
        <v>417</v>
      </c>
      <c r="D11" s="93" t="s">
        <v>418</v>
      </c>
      <c r="E11" s="124">
        <v>50.0</v>
      </c>
      <c r="F11" s="128">
        <v>0.0</v>
      </c>
      <c r="G11" s="125">
        <f t="shared" si="1"/>
        <v>2500</v>
      </c>
      <c r="H11" s="126" t="str">
        <f t="shared" si="2"/>
        <v>50 Total Filings, 0 Patient Portal Logins</v>
      </c>
      <c r="I11" s="23"/>
      <c r="J11" s="23"/>
    </row>
    <row r="12">
      <c r="A12" s="6" t="s">
        <v>299</v>
      </c>
      <c r="B12" s="92" t="s">
        <v>41</v>
      </c>
      <c r="C12" s="93" t="s">
        <v>42</v>
      </c>
      <c r="D12" s="93" t="s">
        <v>43</v>
      </c>
      <c r="E12" s="76"/>
      <c r="F12" s="76"/>
      <c r="G12" s="125">
        <f t="shared" si="1"/>
        <v>0</v>
      </c>
      <c r="H12" s="126" t="str">
        <f t="shared" si="2"/>
        <v> Total Filings,  Patient Portal Logins</v>
      </c>
      <c r="I12" s="23"/>
      <c r="J12" s="23"/>
    </row>
    <row r="13">
      <c r="A13" s="6" t="s">
        <v>299</v>
      </c>
      <c r="B13" s="92" t="s">
        <v>35</v>
      </c>
      <c r="C13" s="93" t="s">
        <v>36</v>
      </c>
      <c r="D13" s="93" t="s">
        <v>37</v>
      </c>
      <c r="E13" s="76"/>
      <c r="F13" s="76"/>
      <c r="G13" s="125">
        <f t="shared" si="1"/>
        <v>0</v>
      </c>
      <c r="H13" s="126" t="str">
        <f t="shared" si="2"/>
        <v> Total Filings,  Patient Portal Logins</v>
      </c>
      <c r="I13" s="23"/>
      <c r="J13" s="23"/>
    </row>
    <row r="14">
      <c r="A14" s="6" t="s">
        <v>299</v>
      </c>
      <c r="B14" s="92" t="s">
        <v>47</v>
      </c>
      <c r="C14" s="93" t="s">
        <v>48</v>
      </c>
      <c r="D14" s="93" t="s">
        <v>49</v>
      </c>
      <c r="E14" s="76"/>
      <c r="F14" s="76"/>
      <c r="G14" s="125">
        <f t="shared" si="1"/>
        <v>0</v>
      </c>
      <c r="H14" s="126" t="str">
        <f t="shared" si="2"/>
        <v> Total Filings,  Patient Portal Logins</v>
      </c>
      <c r="I14" s="23"/>
      <c r="J14" s="23"/>
    </row>
    <row r="15">
      <c r="A15" s="6" t="s">
        <v>299</v>
      </c>
      <c r="B15" s="92" t="s">
        <v>419</v>
      </c>
      <c r="C15" s="93" t="s">
        <v>420</v>
      </c>
      <c r="D15" s="93" t="s">
        <v>421</v>
      </c>
      <c r="E15" s="124">
        <v>33.0</v>
      </c>
      <c r="F15" s="19">
        <v>0.0</v>
      </c>
      <c r="G15" s="125">
        <f t="shared" si="1"/>
        <v>0</v>
      </c>
      <c r="H15" s="126" t="str">
        <f t="shared" si="2"/>
        <v>33 Total Filings, 0 Patient Portal Logins</v>
      </c>
      <c r="I15" s="23"/>
      <c r="J15" s="23"/>
    </row>
    <row r="16">
      <c r="A16" s="6" t="s">
        <v>299</v>
      </c>
      <c r="B16" s="92" t="s">
        <v>422</v>
      </c>
      <c r="C16" s="93" t="s">
        <v>423</v>
      </c>
      <c r="D16" s="93" t="s">
        <v>424</v>
      </c>
      <c r="E16" s="124">
        <v>79.0</v>
      </c>
      <c r="F16" s="19">
        <v>0.0</v>
      </c>
      <c r="G16" s="125">
        <f t="shared" si="1"/>
        <v>7900</v>
      </c>
      <c r="H16" s="126" t="str">
        <f t="shared" si="2"/>
        <v>79 Total Filings, 0 Patient Portal Logins</v>
      </c>
      <c r="I16" s="23"/>
      <c r="J16" s="23"/>
    </row>
    <row r="17">
      <c r="A17" s="6" t="s">
        <v>299</v>
      </c>
      <c r="B17" s="92" t="s">
        <v>425</v>
      </c>
      <c r="C17" s="93" t="s">
        <v>426</v>
      </c>
      <c r="D17" s="93" t="s">
        <v>427</v>
      </c>
      <c r="E17" s="124">
        <v>50.0</v>
      </c>
      <c r="F17" s="127">
        <v>8.0</v>
      </c>
      <c r="G17" s="125">
        <f t="shared" si="1"/>
        <v>4500</v>
      </c>
      <c r="H17" s="126" t="str">
        <f t="shared" si="2"/>
        <v>50 Total Filings, 8 Patient Portal Logins</v>
      </c>
      <c r="I17" s="23"/>
      <c r="J17" s="23"/>
    </row>
    <row r="18">
      <c r="A18" s="6" t="s">
        <v>299</v>
      </c>
      <c r="B18" s="92" t="s">
        <v>428</v>
      </c>
      <c r="C18" s="93" t="s">
        <v>429</v>
      </c>
      <c r="D18" s="93" t="s">
        <v>430</v>
      </c>
      <c r="E18" s="124">
        <v>77.0</v>
      </c>
      <c r="F18" s="127">
        <v>28.0</v>
      </c>
      <c r="G18" s="125">
        <f t="shared" si="1"/>
        <v>14700</v>
      </c>
      <c r="H18" s="126" t="str">
        <f t="shared" si="2"/>
        <v>77 Total Filings, 28 Patient Portal Logins</v>
      </c>
      <c r="I18" s="23"/>
      <c r="J18" s="23"/>
    </row>
    <row r="19">
      <c r="A19" s="6" t="s">
        <v>299</v>
      </c>
      <c r="B19" s="92" t="s">
        <v>431</v>
      </c>
      <c r="C19" s="93" t="s">
        <v>432</v>
      </c>
      <c r="D19" s="93" t="s">
        <v>433</v>
      </c>
      <c r="E19" s="124">
        <v>75.0</v>
      </c>
      <c r="F19" s="127">
        <v>15.0</v>
      </c>
      <c r="G19" s="125">
        <f t="shared" si="1"/>
        <v>11250</v>
      </c>
      <c r="H19" s="126" t="str">
        <f t="shared" si="2"/>
        <v>75 Total Filings, 15 Patient Portal Logins</v>
      </c>
      <c r="I19" s="23"/>
      <c r="J19" s="23"/>
    </row>
    <row r="20">
      <c r="A20" s="6" t="s">
        <v>299</v>
      </c>
      <c r="B20" s="92" t="s">
        <v>434</v>
      </c>
      <c r="C20" s="93" t="s">
        <v>435</v>
      </c>
      <c r="D20" s="93" t="s">
        <v>436</v>
      </c>
      <c r="E20" s="124">
        <v>52.0</v>
      </c>
      <c r="F20" s="127">
        <v>30.0</v>
      </c>
      <c r="G20" s="125">
        <f t="shared" si="1"/>
        <v>10100</v>
      </c>
      <c r="H20" s="126" t="str">
        <f t="shared" si="2"/>
        <v>52 Total Filings, 30 Patient Portal Logins</v>
      </c>
      <c r="I20" s="23"/>
      <c r="J20" s="23"/>
    </row>
    <row r="21">
      <c r="A21" s="6" t="s">
        <v>299</v>
      </c>
      <c r="B21" s="92" t="s">
        <v>437</v>
      </c>
      <c r="C21" s="93" t="s">
        <v>438</v>
      </c>
      <c r="D21" s="93" t="s">
        <v>439</v>
      </c>
      <c r="E21" s="124">
        <v>65.0</v>
      </c>
      <c r="F21" s="127">
        <v>10.0</v>
      </c>
      <c r="G21" s="125">
        <f t="shared" si="1"/>
        <v>7375</v>
      </c>
      <c r="H21" s="126" t="str">
        <f t="shared" si="2"/>
        <v>65 Total Filings, 10 Patient Portal Logins</v>
      </c>
      <c r="I21" s="23"/>
      <c r="J21" s="23"/>
    </row>
    <row r="22">
      <c r="A22" s="6" t="s">
        <v>299</v>
      </c>
      <c r="B22" s="92" t="s">
        <v>440</v>
      </c>
      <c r="C22" s="93" t="s">
        <v>441</v>
      </c>
      <c r="D22" s="93" t="s">
        <v>442</v>
      </c>
      <c r="E22" s="76"/>
      <c r="F22" s="76"/>
      <c r="G22" s="125">
        <f t="shared" si="1"/>
        <v>0</v>
      </c>
      <c r="H22" s="126" t="str">
        <f t="shared" si="2"/>
        <v> Total Filings,  Patient Portal Logins</v>
      </c>
      <c r="I22" s="23"/>
      <c r="J22" s="23"/>
    </row>
    <row r="23">
      <c r="A23" s="6" t="s">
        <v>299</v>
      </c>
      <c r="B23" s="95" t="s">
        <v>443</v>
      </c>
      <c r="C23" s="94" t="s">
        <v>444</v>
      </c>
      <c r="D23" s="94" t="s">
        <v>445</v>
      </c>
      <c r="E23" s="129"/>
      <c r="F23" s="129"/>
      <c r="G23" s="125">
        <f t="shared" si="1"/>
        <v>0</v>
      </c>
      <c r="H23" s="126" t="str">
        <f t="shared" si="2"/>
        <v> Total Filings,  Patient Portal Logins</v>
      </c>
      <c r="I23" s="23"/>
      <c r="J23" s="23"/>
    </row>
    <row r="24">
      <c r="A24" s="6" t="s">
        <v>299</v>
      </c>
      <c r="B24" s="95" t="s">
        <v>446</v>
      </c>
      <c r="C24" s="94" t="s">
        <v>447</v>
      </c>
      <c r="D24" s="94" t="s">
        <v>448</v>
      </c>
      <c r="E24" s="124">
        <v>34.0</v>
      </c>
      <c r="F24" s="127">
        <v>7.0</v>
      </c>
      <c r="G24" s="125">
        <f t="shared" si="1"/>
        <v>1750</v>
      </c>
      <c r="H24" s="126" t="str">
        <f t="shared" si="2"/>
        <v>34 Total Filings, 7 Patient Portal Logins</v>
      </c>
      <c r="I24" s="23"/>
      <c r="J24" s="23"/>
    </row>
    <row r="25">
      <c r="A25" s="6" t="s">
        <v>299</v>
      </c>
      <c r="B25" s="95" t="s">
        <v>449</v>
      </c>
      <c r="C25" s="94" t="s">
        <v>450</v>
      </c>
      <c r="D25" s="94" t="s">
        <v>451</v>
      </c>
      <c r="E25" s="124">
        <v>73.0</v>
      </c>
      <c r="F25" s="127">
        <v>2.0</v>
      </c>
      <c r="G25" s="125">
        <f t="shared" si="1"/>
        <v>5975</v>
      </c>
      <c r="H25" s="126" t="str">
        <f t="shared" si="2"/>
        <v>73 Total Filings, 2 Patient Portal Logins</v>
      </c>
      <c r="I25" s="23"/>
      <c r="J25" s="23"/>
    </row>
    <row r="26">
      <c r="A26" s="6" t="s">
        <v>299</v>
      </c>
      <c r="B26" s="94" t="s">
        <v>452</v>
      </c>
      <c r="C26" s="94" t="s">
        <v>453</v>
      </c>
      <c r="D26" s="94" t="s">
        <v>454</v>
      </c>
      <c r="E26" s="124">
        <v>52.0</v>
      </c>
      <c r="F26" s="127">
        <v>23.0</v>
      </c>
      <c r="G26" s="125">
        <f t="shared" si="1"/>
        <v>8350</v>
      </c>
      <c r="H26" s="126" t="str">
        <f t="shared" si="2"/>
        <v>52 Total Filings, 23 Patient Portal Logins</v>
      </c>
      <c r="I26" s="23"/>
      <c r="J26" s="23"/>
    </row>
    <row r="27">
      <c r="A27" s="6" t="s">
        <v>299</v>
      </c>
      <c r="B27" s="94" t="s">
        <v>455</v>
      </c>
      <c r="C27" s="94" t="s">
        <v>456</v>
      </c>
      <c r="D27" s="94" t="s">
        <v>457</v>
      </c>
      <c r="E27" s="124">
        <v>38.0</v>
      </c>
      <c r="F27" s="127">
        <v>3.0</v>
      </c>
      <c r="G27" s="125">
        <f t="shared" si="1"/>
        <v>750</v>
      </c>
      <c r="H27" s="126" t="str">
        <f t="shared" si="2"/>
        <v>38 Total Filings, 3 Patient Portal Logins</v>
      </c>
      <c r="I27" s="23"/>
      <c r="J27" s="23"/>
    </row>
    <row r="28">
      <c r="A28" s="6" t="s">
        <v>299</v>
      </c>
      <c r="B28" s="94" t="s">
        <v>458</v>
      </c>
      <c r="C28" s="94" t="s">
        <v>459</v>
      </c>
      <c r="D28" s="94" t="s">
        <v>460</v>
      </c>
      <c r="E28" s="124">
        <v>55.0</v>
      </c>
      <c r="F28" s="19">
        <v>0.0</v>
      </c>
      <c r="G28" s="125">
        <f t="shared" si="1"/>
        <v>2750</v>
      </c>
      <c r="H28" s="126" t="str">
        <f t="shared" si="2"/>
        <v>55 Total Filings, 0 Patient Portal Logins</v>
      </c>
      <c r="I28" s="23"/>
      <c r="J28" s="23"/>
    </row>
    <row r="29" hidden="1">
      <c r="A29" s="6" t="s">
        <v>300</v>
      </c>
      <c r="B29" s="92" t="s">
        <v>398</v>
      </c>
      <c r="C29" s="93" t="s">
        <v>399</v>
      </c>
      <c r="D29" s="93" t="s">
        <v>400</v>
      </c>
      <c r="E29" s="124">
        <v>46.0</v>
      </c>
      <c r="F29" s="127">
        <v>4.0</v>
      </c>
      <c r="G29" s="125">
        <f t="shared" si="1"/>
        <v>1000</v>
      </c>
      <c r="H29" s="126" t="str">
        <f t="shared" si="2"/>
        <v>46 Total Filings, 4 Patient Portal Logins</v>
      </c>
      <c r="I29" s="130"/>
      <c r="J29" s="23"/>
    </row>
    <row r="30" hidden="1">
      <c r="A30" s="6" t="s">
        <v>300</v>
      </c>
      <c r="B30" s="92" t="s">
        <v>401</v>
      </c>
      <c r="C30" s="93" t="s">
        <v>402</v>
      </c>
      <c r="D30" s="93" t="s">
        <v>403</v>
      </c>
      <c r="E30" s="124">
        <v>20.0</v>
      </c>
      <c r="F30" s="127">
        <v>0.0</v>
      </c>
      <c r="G30" s="125">
        <f t="shared" si="1"/>
        <v>0</v>
      </c>
      <c r="H30" s="126" t="str">
        <f t="shared" si="2"/>
        <v>20 Total Filings, 0 Patient Portal Logins</v>
      </c>
      <c r="I30" s="130"/>
      <c r="J30" s="23"/>
    </row>
    <row r="31" hidden="1">
      <c r="A31" s="6" t="s">
        <v>300</v>
      </c>
      <c r="B31" s="92" t="s">
        <v>404</v>
      </c>
      <c r="C31" s="93" t="s">
        <v>405</v>
      </c>
      <c r="D31" s="93" t="s">
        <v>406</v>
      </c>
      <c r="E31" s="124">
        <v>37.0</v>
      </c>
      <c r="F31" s="127">
        <v>0.0</v>
      </c>
      <c r="G31" s="125">
        <f t="shared" si="1"/>
        <v>0</v>
      </c>
      <c r="H31" s="126" t="str">
        <f t="shared" si="2"/>
        <v>37 Total Filings, 0 Patient Portal Logins</v>
      </c>
      <c r="I31" s="130"/>
      <c r="J31" s="23"/>
    </row>
    <row r="32" hidden="1">
      <c r="A32" s="6" t="s">
        <v>300</v>
      </c>
      <c r="B32" s="92" t="s">
        <v>407</v>
      </c>
      <c r="C32" s="93" t="s">
        <v>408</v>
      </c>
      <c r="D32" s="93" t="s">
        <v>409</v>
      </c>
      <c r="E32" s="124">
        <v>53.0</v>
      </c>
      <c r="F32" s="127">
        <v>0.0</v>
      </c>
      <c r="G32" s="125">
        <f t="shared" si="1"/>
        <v>2650</v>
      </c>
      <c r="H32" s="126" t="str">
        <f t="shared" si="2"/>
        <v>53 Total Filings, 0 Patient Portal Logins</v>
      </c>
      <c r="I32" s="130"/>
      <c r="J32" s="23"/>
    </row>
    <row r="33" hidden="1">
      <c r="A33" s="6" t="s">
        <v>300</v>
      </c>
      <c r="B33" s="92" t="s">
        <v>410</v>
      </c>
      <c r="C33" s="93" t="s">
        <v>411</v>
      </c>
      <c r="D33" s="93" t="s">
        <v>412</v>
      </c>
      <c r="E33" s="124">
        <v>38.0</v>
      </c>
      <c r="F33" s="127">
        <v>0.0</v>
      </c>
      <c r="G33" s="125">
        <f t="shared" si="1"/>
        <v>0</v>
      </c>
      <c r="H33" s="126" t="str">
        <f t="shared" si="2"/>
        <v>38 Total Filings, 0 Patient Portal Logins</v>
      </c>
      <c r="I33" s="130"/>
      <c r="J33" s="23"/>
    </row>
    <row r="34" hidden="1">
      <c r="A34" s="6" t="s">
        <v>300</v>
      </c>
      <c r="B34" s="92" t="s">
        <v>413</v>
      </c>
      <c r="C34" s="93" t="s">
        <v>414</v>
      </c>
      <c r="D34" s="93" t="s">
        <v>415</v>
      </c>
      <c r="E34" s="124">
        <v>61.0</v>
      </c>
      <c r="F34" s="127">
        <v>22.0</v>
      </c>
      <c r="G34" s="125">
        <f t="shared" si="1"/>
        <v>8550</v>
      </c>
      <c r="H34" s="126" t="str">
        <f t="shared" si="2"/>
        <v>61 Total Filings, 22 Patient Portal Logins</v>
      </c>
      <c r="I34" s="130"/>
      <c r="J34" s="23"/>
    </row>
    <row r="35" hidden="1">
      <c r="A35" s="6" t="s">
        <v>300</v>
      </c>
      <c r="B35" s="92" t="s">
        <v>416</v>
      </c>
      <c r="C35" s="93" t="s">
        <v>417</v>
      </c>
      <c r="D35" s="93" t="s">
        <v>418</v>
      </c>
      <c r="E35" s="124">
        <v>50.0</v>
      </c>
      <c r="F35" s="127">
        <v>0.0</v>
      </c>
      <c r="G35" s="125">
        <f t="shared" si="1"/>
        <v>2500</v>
      </c>
      <c r="H35" s="126" t="str">
        <f t="shared" si="2"/>
        <v>50 Total Filings, 0 Patient Portal Logins</v>
      </c>
      <c r="I35" s="130"/>
      <c r="J35" s="23"/>
    </row>
    <row r="36" hidden="1">
      <c r="A36" s="6" t="s">
        <v>300</v>
      </c>
      <c r="B36" s="92" t="s">
        <v>41</v>
      </c>
      <c r="C36" s="93" t="s">
        <v>42</v>
      </c>
      <c r="D36" s="93" t="s">
        <v>43</v>
      </c>
      <c r="E36" s="129"/>
      <c r="F36" s="129"/>
      <c r="G36" s="125">
        <f t="shared" si="1"/>
        <v>0</v>
      </c>
      <c r="H36" s="126" t="str">
        <f t="shared" si="2"/>
        <v> Total Filings,  Patient Portal Logins</v>
      </c>
      <c r="I36" s="130"/>
      <c r="J36" s="23"/>
    </row>
    <row r="37" hidden="1">
      <c r="A37" s="6" t="s">
        <v>300</v>
      </c>
      <c r="B37" s="92" t="s">
        <v>35</v>
      </c>
      <c r="C37" s="93" t="s">
        <v>36</v>
      </c>
      <c r="D37" s="93" t="s">
        <v>37</v>
      </c>
      <c r="E37" s="129"/>
      <c r="F37" s="129"/>
      <c r="G37" s="125">
        <f t="shared" si="1"/>
        <v>0</v>
      </c>
      <c r="H37" s="126" t="str">
        <f t="shared" si="2"/>
        <v> Total Filings,  Patient Portal Logins</v>
      </c>
      <c r="I37" s="130"/>
      <c r="J37" s="23"/>
    </row>
    <row r="38" hidden="1">
      <c r="A38" s="6" t="s">
        <v>300</v>
      </c>
      <c r="B38" s="92" t="s">
        <v>47</v>
      </c>
      <c r="C38" s="93" t="s">
        <v>48</v>
      </c>
      <c r="D38" s="93" t="s">
        <v>49</v>
      </c>
      <c r="E38" s="129"/>
      <c r="F38" s="129"/>
      <c r="G38" s="125">
        <f t="shared" si="1"/>
        <v>0</v>
      </c>
      <c r="H38" s="126" t="str">
        <f t="shared" si="2"/>
        <v> Total Filings,  Patient Portal Logins</v>
      </c>
      <c r="I38" s="130"/>
      <c r="J38" s="23"/>
    </row>
    <row r="39" hidden="1">
      <c r="A39" s="6" t="s">
        <v>300</v>
      </c>
      <c r="B39" s="92" t="s">
        <v>419</v>
      </c>
      <c r="C39" s="93" t="s">
        <v>420</v>
      </c>
      <c r="D39" s="93" t="s">
        <v>421</v>
      </c>
      <c r="E39" s="129"/>
      <c r="F39" s="129"/>
      <c r="G39" s="125">
        <f t="shared" si="1"/>
        <v>0</v>
      </c>
      <c r="H39" s="126" t="str">
        <f t="shared" si="2"/>
        <v> Total Filings,  Patient Portal Logins</v>
      </c>
      <c r="I39" s="130"/>
      <c r="J39" s="23"/>
    </row>
    <row r="40" hidden="1">
      <c r="A40" s="6" t="s">
        <v>300</v>
      </c>
      <c r="B40" s="92" t="s">
        <v>422</v>
      </c>
      <c r="C40" s="93" t="s">
        <v>423</v>
      </c>
      <c r="D40" s="93" t="s">
        <v>424</v>
      </c>
      <c r="E40" s="124">
        <v>85.0</v>
      </c>
      <c r="F40" s="127">
        <v>0.0</v>
      </c>
      <c r="G40" s="125">
        <f t="shared" si="1"/>
        <v>8500</v>
      </c>
      <c r="H40" s="126" t="str">
        <f t="shared" si="2"/>
        <v>85 Total Filings, 0 Patient Portal Logins</v>
      </c>
      <c r="I40" s="130"/>
      <c r="J40" s="23"/>
    </row>
    <row r="41" hidden="1">
      <c r="A41" s="6" t="s">
        <v>300</v>
      </c>
      <c r="B41" s="92" t="s">
        <v>425</v>
      </c>
      <c r="C41" s="93" t="s">
        <v>426</v>
      </c>
      <c r="D41" s="93" t="s">
        <v>427</v>
      </c>
      <c r="E41" s="124">
        <v>76.0</v>
      </c>
      <c r="F41" s="127">
        <v>13.0</v>
      </c>
      <c r="G41" s="125">
        <f t="shared" si="1"/>
        <v>10850</v>
      </c>
      <c r="H41" s="126" t="str">
        <f t="shared" si="2"/>
        <v>76 Total Filings, 13 Patient Portal Logins</v>
      </c>
      <c r="I41" s="130"/>
      <c r="J41" s="23"/>
    </row>
    <row r="42" hidden="1">
      <c r="A42" s="6" t="s">
        <v>300</v>
      </c>
      <c r="B42" s="92" t="s">
        <v>428</v>
      </c>
      <c r="C42" s="93" t="s">
        <v>429</v>
      </c>
      <c r="D42" s="93" t="s">
        <v>430</v>
      </c>
      <c r="E42" s="124">
        <v>75.0</v>
      </c>
      <c r="F42" s="127">
        <v>25.0</v>
      </c>
      <c r="G42" s="125">
        <f t="shared" si="1"/>
        <v>13750</v>
      </c>
      <c r="H42" s="126" t="str">
        <f t="shared" si="2"/>
        <v>75 Total Filings, 25 Patient Portal Logins</v>
      </c>
      <c r="I42" s="130"/>
      <c r="J42" s="23"/>
    </row>
    <row r="43" hidden="1">
      <c r="A43" s="6" t="s">
        <v>300</v>
      </c>
      <c r="B43" s="92" t="s">
        <v>431</v>
      </c>
      <c r="C43" s="93" t="s">
        <v>432</v>
      </c>
      <c r="D43" s="93" t="s">
        <v>433</v>
      </c>
      <c r="E43" s="124">
        <v>75.0</v>
      </c>
      <c r="F43" s="127">
        <v>15.0</v>
      </c>
      <c r="G43" s="125">
        <f t="shared" si="1"/>
        <v>11250</v>
      </c>
      <c r="H43" s="126" t="str">
        <f t="shared" si="2"/>
        <v>75 Total Filings, 15 Patient Portal Logins</v>
      </c>
      <c r="I43" s="130"/>
      <c r="J43" s="23"/>
    </row>
    <row r="44" hidden="1">
      <c r="A44" s="6" t="s">
        <v>300</v>
      </c>
      <c r="B44" s="92" t="s">
        <v>434</v>
      </c>
      <c r="C44" s="93" t="s">
        <v>435</v>
      </c>
      <c r="D44" s="93" t="s">
        <v>436</v>
      </c>
      <c r="E44" s="124">
        <v>65.0</v>
      </c>
      <c r="F44" s="127">
        <v>1.0</v>
      </c>
      <c r="G44" s="125">
        <f t="shared" si="1"/>
        <v>5125</v>
      </c>
      <c r="H44" s="126" t="str">
        <f t="shared" si="2"/>
        <v>65 Total Filings, 1 Patient Portal Logins</v>
      </c>
      <c r="I44" s="130"/>
      <c r="J44" s="23"/>
    </row>
    <row r="45" hidden="1">
      <c r="A45" s="6" t="s">
        <v>300</v>
      </c>
      <c r="B45" s="92" t="s">
        <v>437</v>
      </c>
      <c r="C45" s="93" t="s">
        <v>438</v>
      </c>
      <c r="D45" s="93" t="s">
        <v>439</v>
      </c>
      <c r="E45" s="124">
        <v>50.0</v>
      </c>
      <c r="F45" s="127">
        <v>17.0</v>
      </c>
      <c r="G45" s="125">
        <f t="shared" si="1"/>
        <v>6750</v>
      </c>
      <c r="H45" s="126" t="str">
        <f t="shared" si="2"/>
        <v>50 Total Filings, 17 Patient Portal Logins</v>
      </c>
      <c r="I45" s="130"/>
      <c r="J45" s="23"/>
    </row>
    <row r="46" hidden="1">
      <c r="A46" s="6" t="s">
        <v>300</v>
      </c>
      <c r="B46" s="92" t="s">
        <v>440</v>
      </c>
      <c r="C46" s="93" t="s">
        <v>441</v>
      </c>
      <c r="D46" s="93" t="s">
        <v>442</v>
      </c>
      <c r="E46" s="76"/>
      <c r="F46" s="76"/>
      <c r="G46" s="125">
        <f t="shared" si="1"/>
        <v>0</v>
      </c>
      <c r="H46" s="126" t="str">
        <f t="shared" si="2"/>
        <v> Total Filings,  Patient Portal Logins</v>
      </c>
      <c r="I46" s="130"/>
      <c r="J46" s="23"/>
    </row>
    <row r="47" hidden="1">
      <c r="A47" s="6" t="s">
        <v>300</v>
      </c>
      <c r="B47" s="95" t="s">
        <v>443</v>
      </c>
      <c r="C47" s="94" t="s">
        <v>444</v>
      </c>
      <c r="D47" s="94" t="s">
        <v>445</v>
      </c>
      <c r="E47" s="124">
        <v>35.0</v>
      </c>
      <c r="F47" s="127">
        <v>0.0</v>
      </c>
      <c r="G47" s="125">
        <f t="shared" si="1"/>
        <v>0</v>
      </c>
      <c r="H47" s="126" t="str">
        <f t="shared" si="2"/>
        <v>35 Total Filings, 0 Patient Portal Logins</v>
      </c>
      <c r="I47" s="130"/>
      <c r="J47" s="23"/>
    </row>
    <row r="48" hidden="1">
      <c r="A48" s="6" t="s">
        <v>300</v>
      </c>
      <c r="B48" s="95" t="s">
        <v>446</v>
      </c>
      <c r="C48" s="94" t="s">
        <v>447</v>
      </c>
      <c r="D48" s="94" t="s">
        <v>448</v>
      </c>
      <c r="E48" s="124">
        <v>75.0</v>
      </c>
      <c r="F48" s="127">
        <v>7.0</v>
      </c>
      <c r="G48" s="125">
        <f t="shared" si="1"/>
        <v>9250</v>
      </c>
      <c r="H48" s="126" t="str">
        <f t="shared" si="2"/>
        <v>75 Total Filings, 7 Patient Portal Logins</v>
      </c>
      <c r="I48" s="130"/>
      <c r="J48" s="23"/>
    </row>
    <row r="49" hidden="1">
      <c r="A49" s="6" t="s">
        <v>300</v>
      </c>
      <c r="B49" s="95" t="s">
        <v>449</v>
      </c>
      <c r="C49" s="94" t="s">
        <v>450</v>
      </c>
      <c r="D49" s="94" t="s">
        <v>451</v>
      </c>
      <c r="E49" s="124">
        <v>55.0</v>
      </c>
      <c r="F49" s="127">
        <v>0.0</v>
      </c>
      <c r="G49" s="125">
        <f t="shared" si="1"/>
        <v>2750</v>
      </c>
      <c r="H49" s="126" t="str">
        <f t="shared" si="2"/>
        <v>55 Total Filings, 0 Patient Portal Logins</v>
      </c>
      <c r="I49" s="130"/>
      <c r="J49" s="23"/>
    </row>
    <row r="50" hidden="1">
      <c r="A50" s="6" t="s">
        <v>300</v>
      </c>
      <c r="B50" s="94" t="s">
        <v>452</v>
      </c>
      <c r="C50" s="94" t="s">
        <v>453</v>
      </c>
      <c r="D50" s="94" t="s">
        <v>454</v>
      </c>
      <c r="E50" s="124">
        <v>45.0</v>
      </c>
      <c r="F50" s="127">
        <v>9.0</v>
      </c>
      <c r="G50" s="125">
        <f t="shared" si="1"/>
        <v>2250</v>
      </c>
      <c r="H50" s="126" t="str">
        <f t="shared" si="2"/>
        <v>45 Total Filings, 9 Patient Portal Logins</v>
      </c>
      <c r="I50" s="130"/>
      <c r="J50" s="23"/>
    </row>
    <row r="51" hidden="1">
      <c r="A51" s="6" t="s">
        <v>300</v>
      </c>
      <c r="B51" s="94" t="s">
        <v>455</v>
      </c>
      <c r="C51" s="94" t="s">
        <v>456</v>
      </c>
      <c r="D51" s="94" t="s">
        <v>457</v>
      </c>
      <c r="E51" s="124">
        <v>26.0</v>
      </c>
      <c r="F51" s="127">
        <v>4.0</v>
      </c>
      <c r="G51" s="125">
        <f t="shared" si="1"/>
        <v>1000</v>
      </c>
      <c r="H51" s="126" t="str">
        <f t="shared" si="2"/>
        <v>26 Total Filings, 4 Patient Portal Logins</v>
      </c>
      <c r="I51" s="130"/>
      <c r="J51" s="23"/>
    </row>
    <row r="52" hidden="1">
      <c r="A52" s="6" t="s">
        <v>300</v>
      </c>
      <c r="B52" s="94" t="s">
        <v>458</v>
      </c>
      <c r="C52" s="94" t="s">
        <v>459</v>
      </c>
      <c r="D52" s="94" t="s">
        <v>460</v>
      </c>
      <c r="E52" s="124">
        <v>50.0</v>
      </c>
      <c r="F52" s="127">
        <v>0.0</v>
      </c>
      <c r="G52" s="125">
        <f t="shared" si="1"/>
        <v>2500</v>
      </c>
      <c r="H52" s="126" t="str">
        <f t="shared" si="2"/>
        <v>50 Total Filings, 0 Patient Portal Logins</v>
      </c>
      <c r="I52" s="130"/>
      <c r="J52" s="23"/>
    </row>
    <row r="53" hidden="1">
      <c r="A53" s="54" t="s">
        <v>301</v>
      </c>
      <c r="B53" s="92" t="s">
        <v>398</v>
      </c>
      <c r="C53" s="93" t="s">
        <v>399</v>
      </c>
      <c r="D53" s="93" t="s">
        <v>400</v>
      </c>
      <c r="E53" s="124">
        <v>50.0</v>
      </c>
      <c r="F53" s="127">
        <v>0.0</v>
      </c>
      <c r="G53" s="125">
        <f t="shared" si="1"/>
        <v>2500</v>
      </c>
      <c r="H53" s="126" t="str">
        <f t="shared" si="2"/>
        <v>50 Total Filings, 0 Patient Portal Logins</v>
      </c>
      <c r="I53" s="60">
        <v>2500.0</v>
      </c>
      <c r="J53" s="23"/>
    </row>
    <row r="54" hidden="1">
      <c r="A54" s="54" t="s">
        <v>301</v>
      </c>
      <c r="B54" s="92" t="s">
        <v>401</v>
      </c>
      <c r="C54" s="93" t="s">
        <v>402</v>
      </c>
      <c r="D54" s="93" t="s">
        <v>403</v>
      </c>
      <c r="E54" s="124">
        <v>34.0</v>
      </c>
      <c r="F54" s="127">
        <v>0.0</v>
      </c>
      <c r="G54" s="125">
        <f t="shared" si="1"/>
        <v>0</v>
      </c>
      <c r="H54" s="126" t="str">
        <f t="shared" si="2"/>
        <v>34 Total Filings, 0 Patient Portal Logins</v>
      </c>
      <c r="I54" s="60">
        <v>0.0</v>
      </c>
      <c r="J54" s="23"/>
    </row>
    <row r="55" hidden="1">
      <c r="A55" s="54" t="s">
        <v>301</v>
      </c>
      <c r="B55" s="92" t="s">
        <v>404</v>
      </c>
      <c r="C55" s="93" t="s">
        <v>405</v>
      </c>
      <c r="D55" s="93" t="s">
        <v>406</v>
      </c>
      <c r="E55" s="124">
        <v>31.0</v>
      </c>
      <c r="F55" s="127">
        <v>0.0</v>
      </c>
      <c r="G55" s="125">
        <f t="shared" si="1"/>
        <v>0</v>
      </c>
      <c r="H55" s="126" t="str">
        <f t="shared" si="2"/>
        <v>31 Total Filings, 0 Patient Portal Logins</v>
      </c>
      <c r="I55" s="60">
        <v>0.0</v>
      </c>
      <c r="J55" s="23"/>
    </row>
    <row r="56" hidden="1">
      <c r="A56" s="54" t="s">
        <v>301</v>
      </c>
      <c r="B56" s="92" t="s">
        <v>407</v>
      </c>
      <c r="C56" s="93" t="s">
        <v>408</v>
      </c>
      <c r="D56" s="93" t="s">
        <v>409</v>
      </c>
      <c r="E56" s="124">
        <v>32.0</v>
      </c>
      <c r="F56" s="127">
        <v>0.0</v>
      </c>
      <c r="G56" s="125">
        <f t="shared" si="1"/>
        <v>0</v>
      </c>
      <c r="H56" s="126" t="str">
        <f t="shared" si="2"/>
        <v>32 Total Filings, 0 Patient Portal Logins</v>
      </c>
      <c r="I56" s="60">
        <v>0.0</v>
      </c>
      <c r="J56" s="23"/>
    </row>
    <row r="57" hidden="1">
      <c r="A57" s="54" t="s">
        <v>301</v>
      </c>
      <c r="B57" s="92" t="s">
        <v>410</v>
      </c>
      <c r="C57" s="93" t="s">
        <v>411</v>
      </c>
      <c r="D57" s="93" t="s">
        <v>412</v>
      </c>
      <c r="E57" s="124">
        <v>30.0</v>
      </c>
      <c r="F57" s="127">
        <v>0.0</v>
      </c>
      <c r="G57" s="125">
        <f t="shared" si="1"/>
        <v>0</v>
      </c>
      <c r="H57" s="126" t="str">
        <f t="shared" si="2"/>
        <v>30 Total Filings, 0 Patient Portal Logins</v>
      </c>
      <c r="I57" s="60">
        <v>0.0</v>
      </c>
      <c r="J57" s="23"/>
    </row>
    <row r="58" hidden="1">
      <c r="A58" s="54" t="s">
        <v>301</v>
      </c>
      <c r="B58" s="92" t="s">
        <v>413</v>
      </c>
      <c r="C58" s="93" t="s">
        <v>414</v>
      </c>
      <c r="D58" s="93" t="s">
        <v>415</v>
      </c>
      <c r="E58" s="124">
        <v>51.0</v>
      </c>
      <c r="F58" s="11">
        <v>5.0</v>
      </c>
      <c r="G58" s="125">
        <f t="shared" si="1"/>
        <v>3800</v>
      </c>
      <c r="H58" s="126" t="str">
        <f t="shared" si="2"/>
        <v>51 Total Filings, 5 Patient Portal Logins</v>
      </c>
      <c r="I58" s="60">
        <v>3800.0</v>
      </c>
      <c r="J58" s="23"/>
    </row>
    <row r="59" hidden="1">
      <c r="A59" s="54" t="s">
        <v>301</v>
      </c>
      <c r="B59" s="92" t="s">
        <v>416</v>
      </c>
      <c r="C59" s="93" t="s">
        <v>417</v>
      </c>
      <c r="D59" s="93" t="s">
        <v>418</v>
      </c>
      <c r="E59" s="124">
        <v>39.0</v>
      </c>
      <c r="F59" s="127">
        <v>0.0</v>
      </c>
      <c r="G59" s="125">
        <f t="shared" si="1"/>
        <v>0</v>
      </c>
      <c r="H59" s="126" t="str">
        <f t="shared" si="2"/>
        <v>39 Total Filings, 0 Patient Portal Logins</v>
      </c>
      <c r="I59" s="60">
        <v>0.0</v>
      </c>
      <c r="J59" s="23"/>
    </row>
    <row r="60" hidden="1">
      <c r="A60" s="54" t="s">
        <v>301</v>
      </c>
      <c r="B60" s="92" t="s">
        <v>41</v>
      </c>
      <c r="C60" s="93" t="s">
        <v>42</v>
      </c>
      <c r="D60" s="93" t="s">
        <v>43</v>
      </c>
      <c r="E60" s="124">
        <v>8.0</v>
      </c>
      <c r="F60" s="127">
        <v>0.0</v>
      </c>
      <c r="G60" s="125">
        <f t="shared" si="1"/>
        <v>0</v>
      </c>
      <c r="H60" s="126" t="str">
        <f t="shared" si="2"/>
        <v>8 Total Filings, 0 Patient Portal Logins</v>
      </c>
      <c r="I60" s="60">
        <v>0.0</v>
      </c>
      <c r="J60" s="23"/>
    </row>
    <row r="61" hidden="1">
      <c r="A61" s="54" t="s">
        <v>301</v>
      </c>
      <c r="B61" s="92" t="s">
        <v>35</v>
      </c>
      <c r="C61" s="93" t="s">
        <v>36</v>
      </c>
      <c r="D61" s="93" t="s">
        <v>37</v>
      </c>
      <c r="E61" s="124">
        <v>4.0</v>
      </c>
      <c r="F61" s="128">
        <v>3.0</v>
      </c>
      <c r="G61" s="125">
        <f t="shared" si="1"/>
        <v>750</v>
      </c>
      <c r="H61" s="126" t="str">
        <f t="shared" si="2"/>
        <v>4 Total Filings, 3 Patient Portal Logins</v>
      </c>
      <c r="I61" s="60">
        <v>750.0</v>
      </c>
      <c r="J61" s="23"/>
    </row>
    <row r="62" hidden="1">
      <c r="A62" s="54" t="s">
        <v>301</v>
      </c>
      <c r="B62" s="92" t="s">
        <v>47</v>
      </c>
      <c r="C62" s="93" t="s">
        <v>48</v>
      </c>
      <c r="D62" s="93" t="s">
        <v>49</v>
      </c>
      <c r="E62" s="124">
        <v>12.0</v>
      </c>
      <c r="F62" s="127">
        <v>0.0</v>
      </c>
      <c r="G62" s="125">
        <f t="shared" si="1"/>
        <v>0</v>
      </c>
      <c r="H62" s="126" t="str">
        <f t="shared" si="2"/>
        <v>12 Total Filings, 0 Patient Portal Logins</v>
      </c>
      <c r="I62" s="60">
        <v>0.0</v>
      </c>
      <c r="J62" s="23"/>
    </row>
    <row r="63" hidden="1">
      <c r="A63" s="54" t="s">
        <v>301</v>
      </c>
      <c r="B63" s="92" t="s">
        <v>419</v>
      </c>
      <c r="C63" s="93" t="s">
        <v>420</v>
      </c>
      <c r="D63" s="93" t="s">
        <v>421</v>
      </c>
      <c r="E63" s="124">
        <v>8.0</v>
      </c>
      <c r="F63" s="128">
        <v>1.0</v>
      </c>
      <c r="G63" s="125">
        <f t="shared" si="1"/>
        <v>250</v>
      </c>
      <c r="H63" s="126" t="str">
        <f t="shared" si="2"/>
        <v>8 Total Filings, 1 Patient Portal Logins</v>
      </c>
      <c r="I63" s="60">
        <v>250.0</v>
      </c>
      <c r="J63" s="23"/>
    </row>
    <row r="64" hidden="1">
      <c r="A64" s="54" t="s">
        <v>301</v>
      </c>
      <c r="B64" s="92" t="s">
        <v>422</v>
      </c>
      <c r="C64" s="93" t="s">
        <v>423</v>
      </c>
      <c r="D64" s="93" t="s">
        <v>424</v>
      </c>
      <c r="E64" s="124">
        <v>90.0</v>
      </c>
      <c r="F64" s="127">
        <v>0.0</v>
      </c>
      <c r="G64" s="125">
        <f t="shared" si="1"/>
        <v>9000</v>
      </c>
      <c r="H64" s="126" t="str">
        <f t="shared" si="2"/>
        <v>90 Total Filings, 0 Patient Portal Logins</v>
      </c>
      <c r="I64" s="60">
        <v>9000.0</v>
      </c>
      <c r="J64" s="23"/>
    </row>
    <row r="65" hidden="1">
      <c r="A65" s="54" t="s">
        <v>301</v>
      </c>
      <c r="B65" s="92" t="s">
        <v>425</v>
      </c>
      <c r="C65" s="93" t="s">
        <v>426</v>
      </c>
      <c r="D65" s="93" t="s">
        <v>427</v>
      </c>
      <c r="E65" s="124">
        <v>50.0</v>
      </c>
      <c r="F65" s="127">
        <v>9.0</v>
      </c>
      <c r="G65" s="125">
        <f t="shared" si="1"/>
        <v>4750</v>
      </c>
      <c r="H65" s="126" t="str">
        <f t="shared" si="2"/>
        <v>50 Total Filings, 9 Patient Portal Logins</v>
      </c>
      <c r="I65" s="60">
        <v>4750.0</v>
      </c>
      <c r="J65" s="23"/>
    </row>
    <row r="66" hidden="1">
      <c r="A66" s="54" t="s">
        <v>301</v>
      </c>
      <c r="B66" s="92" t="s">
        <v>428</v>
      </c>
      <c r="C66" s="93" t="s">
        <v>429</v>
      </c>
      <c r="D66" s="93" t="s">
        <v>430</v>
      </c>
      <c r="E66" s="124">
        <v>81.0</v>
      </c>
      <c r="F66" s="127">
        <v>34.0</v>
      </c>
      <c r="G66" s="125">
        <f t="shared" si="1"/>
        <v>16600</v>
      </c>
      <c r="H66" s="126" t="str">
        <f t="shared" si="2"/>
        <v>81 Total Filings, 34 Patient Portal Logins</v>
      </c>
      <c r="I66" s="60">
        <v>16600.0</v>
      </c>
      <c r="J66" s="23"/>
    </row>
    <row r="67" hidden="1">
      <c r="A67" s="54" t="s">
        <v>301</v>
      </c>
      <c r="B67" s="92" t="s">
        <v>431</v>
      </c>
      <c r="C67" s="93" t="s">
        <v>432</v>
      </c>
      <c r="D67" s="93" t="s">
        <v>433</v>
      </c>
      <c r="E67" s="124">
        <v>80.0</v>
      </c>
      <c r="F67" s="127">
        <v>7.0</v>
      </c>
      <c r="G67" s="125">
        <f t="shared" si="1"/>
        <v>9750</v>
      </c>
      <c r="H67" s="126" t="str">
        <f t="shared" si="2"/>
        <v>80 Total Filings, 7 Patient Portal Logins</v>
      </c>
      <c r="I67" s="60">
        <v>9750.0</v>
      </c>
      <c r="J67" s="23"/>
    </row>
    <row r="68" hidden="1">
      <c r="A68" s="54" t="s">
        <v>301</v>
      </c>
      <c r="B68" s="92" t="s">
        <v>434</v>
      </c>
      <c r="C68" s="93" t="s">
        <v>435</v>
      </c>
      <c r="D68" s="93" t="s">
        <v>436</v>
      </c>
      <c r="E68" s="124">
        <v>65.0</v>
      </c>
      <c r="F68" s="127">
        <v>0.0</v>
      </c>
      <c r="G68" s="125">
        <f t="shared" si="1"/>
        <v>4875</v>
      </c>
      <c r="H68" s="126" t="str">
        <f t="shared" si="2"/>
        <v>65 Total Filings, 0 Patient Portal Logins</v>
      </c>
      <c r="I68" s="60">
        <v>4875.0</v>
      </c>
      <c r="J68" s="23"/>
    </row>
    <row r="69" hidden="1">
      <c r="A69" s="54" t="s">
        <v>301</v>
      </c>
      <c r="B69" s="92" t="s">
        <v>437</v>
      </c>
      <c r="C69" s="93" t="s">
        <v>438</v>
      </c>
      <c r="D69" s="93" t="s">
        <v>439</v>
      </c>
      <c r="E69" s="124">
        <v>57.0</v>
      </c>
      <c r="F69" s="127">
        <v>4.0</v>
      </c>
      <c r="G69" s="125">
        <f t="shared" si="1"/>
        <v>3850</v>
      </c>
      <c r="H69" s="126" t="str">
        <f t="shared" si="2"/>
        <v>57 Total Filings, 4 Patient Portal Logins</v>
      </c>
      <c r="I69" s="60">
        <v>3850.0</v>
      </c>
      <c r="J69" s="23"/>
    </row>
    <row r="70" hidden="1">
      <c r="A70" s="54" t="s">
        <v>301</v>
      </c>
      <c r="B70" s="92" t="s">
        <v>440</v>
      </c>
      <c r="C70" s="93" t="s">
        <v>441</v>
      </c>
      <c r="D70" s="93" t="s">
        <v>442</v>
      </c>
      <c r="E70" s="126"/>
      <c r="F70" s="86"/>
      <c r="G70" s="125">
        <f t="shared" si="1"/>
        <v>0</v>
      </c>
      <c r="H70" s="126" t="str">
        <f t="shared" si="2"/>
        <v> Total Filings,  Patient Portal Logins</v>
      </c>
      <c r="I70" s="60">
        <v>0.0</v>
      </c>
      <c r="J70" s="23"/>
    </row>
    <row r="71" hidden="1">
      <c r="A71" s="54" t="s">
        <v>301</v>
      </c>
      <c r="B71" s="95" t="s">
        <v>443</v>
      </c>
      <c r="C71" s="94" t="s">
        <v>444</v>
      </c>
      <c r="D71" s="94" t="s">
        <v>445</v>
      </c>
      <c r="E71" s="124">
        <v>47.0</v>
      </c>
      <c r="F71" s="127">
        <v>0.0</v>
      </c>
      <c r="G71" s="125">
        <f t="shared" si="1"/>
        <v>0</v>
      </c>
      <c r="H71" s="126" t="str">
        <f t="shared" si="2"/>
        <v>47 Total Filings, 0 Patient Portal Logins</v>
      </c>
      <c r="I71" s="60">
        <v>0.0</v>
      </c>
      <c r="J71" s="23"/>
    </row>
    <row r="72" hidden="1">
      <c r="A72" s="54" t="s">
        <v>301</v>
      </c>
      <c r="B72" s="95" t="s">
        <v>446</v>
      </c>
      <c r="C72" s="94" t="s">
        <v>447</v>
      </c>
      <c r="D72" s="94" t="s">
        <v>448</v>
      </c>
      <c r="E72" s="124">
        <v>80.0</v>
      </c>
      <c r="F72" s="127">
        <v>3.0</v>
      </c>
      <c r="G72" s="125">
        <f t="shared" si="1"/>
        <v>8750</v>
      </c>
      <c r="H72" s="126" t="str">
        <f t="shared" si="2"/>
        <v>80 Total Filings, 3 Patient Portal Logins</v>
      </c>
      <c r="I72" s="60">
        <v>8750.0</v>
      </c>
      <c r="J72" s="23"/>
    </row>
    <row r="73" hidden="1">
      <c r="A73" s="54" t="s">
        <v>301</v>
      </c>
      <c r="B73" s="95" t="s">
        <v>449</v>
      </c>
      <c r="C73" s="94" t="s">
        <v>450</v>
      </c>
      <c r="D73" s="94" t="s">
        <v>451</v>
      </c>
      <c r="E73" s="124">
        <v>5.0</v>
      </c>
      <c r="F73" s="127">
        <v>0.0</v>
      </c>
      <c r="G73" s="125">
        <f t="shared" si="1"/>
        <v>0</v>
      </c>
      <c r="H73" s="126" t="str">
        <f t="shared" si="2"/>
        <v>5 Total Filings, 0 Patient Portal Logins</v>
      </c>
      <c r="I73" s="60">
        <v>0.0</v>
      </c>
      <c r="J73" s="23"/>
    </row>
    <row r="74" hidden="1">
      <c r="A74" s="54" t="s">
        <v>301</v>
      </c>
      <c r="B74" s="94" t="s">
        <v>452</v>
      </c>
      <c r="C74" s="94" t="s">
        <v>453</v>
      </c>
      <c r="D74" s="94" t="s">
        <v>454</v>
      </c>
      <c r="E74" s="124">
        <v>50.0</v>
      </c>
      <c r="F74" s="127">
        <v>1.0</v>
      </c>
      <c r="G74" s="125">
        <f t="shared" si="1"/>
        <v>2750</v>
      </c>
      <c r="H74" s="126" t="str">
        <f t="shared" si="2"/>
        <v>50 Total Filings, 1 Patient Portal Logins</v>
      </c>
      <c r="I74" s="60">
        <v>2750.0</v>
      </c>
      <c r="J74" s="23"/>
    </row>
    <row r="75" hidden="1">
      <c r="A75" s="54" t="s">
        <v>301</v>
      </c>
      <c r="B75" s="94" t="s">
        <v>455</v>
      </c>
      <c r="C75" s="94" t="s">
        <v>456</v>
      </c>
      <c r="D75" s="94" t="s">
        <v>457</v>
      </c>
      <c r="E75" s="124">
        <v>50.0</v>
      </c>
      <c r="F75" s="11">
        <v>5.0</v>
      </c>
      <c r="G75" s="125">
        <f t="shared" si="1"/>
        <v>3750</v>
      </c>
      <c r="H75" s="126" t="str">
        <f t="shared" si="2"/>
        <v>50 Total Filings, 5 Patient Portal Logins</v>
      </c>
      <c r="I75" s="60">
        <v>3750.0</v>
      </c>
      <c r="J75" s="23"/>
    </row>
    <row r="76" hidden="1">
      <c r="A76" s="54" t="s">
        <v>301</v>
      </c>
      <c r="B76" s="94" t="s">
        <v>458</v>
      </c>
      <c r="C76" s="94" t="s">
        <v>459</v>
      </c>
      <c r="D76" s="94" t="s">
        <v>460</v>
      </c>
      <c r="E76" s="124">
        <v>50.0</v>
      </c>
      <c r="F76" s="127">
        <v>2.0</v>
      </c>
      <c r="G76" s="125">
        <f t="shared" si="1"/>
        <v>3000</v>
      </c>
      <c r="H76" s="126" t="str">
        <f t="shared" si="2"/>
        <v>50 Total Filings, 2 Patient Portal Logins</v>
      </c>
      <c r="I76" s="60">
        <v>3000.0</v>
      </c>
      <c r="J76" s="23"/>
    </row>
    <row r="77" hidden="1">
      <c r="A77" s="54" t="s">
        <v>302</v>
      </c>
      <c r="B77" s="131" t="s">
        <v>398</v>
      </c>
      <c r="C77" s="132" t="s">
        <v>399</v>
      </c>
      <c r="D77" s="132" t="s">
        <v>400</v>
      </c>
      <c r="E77" s="133">
        <v>40.0</v>
      </c>
      <c r="F77" s="134">
        <v>0.0</v>
      </c>
      <c r="G77" s="135">
        <f t="shared" si="1"/>
        <v>0</v>
      </c>
      <c r="H77" s="136" t="str">
        <f t="shared" si="2"/>
        <v>40 Total Filings, 0 Patient Portal Logins</v>
      </c>
      <c r="I77" s="137"/>
      <c r="J77" s="137"/>
    </row>
    <row r="78" hidden="1">
      <c r="A78" s="54" t="s">
        <v>302</v>
      </c>
      <c r="B78" s="131" t="s">
        <v>401</v>
      </c>
      <c r="C78" s="132" t="s">
        <v>402</v>
      </c>
      <c r="D78" s="132" t="s">
        <v>403</v>
      </c>
      <c r="E78" s="133">
        <v>15.0</v>
      </c>
      <c r="F78" s="134">
        <v>0.0</v>
      </c>
      <c r="G78" s="135">
        <f t="shared" si="1"/>
        <v>0</v>
      </c>
      <c r="H78" s="136" t="str">
        <f t="shared" si="2"/>
        <v>15 Total Filings, 0 Patient Portal Logins</v>
      </c>
      <c r="I78" s="137"/>
      <c r="J78" s="137"/>
    </row>
    <row r="79" hidden="1">
      <c r="A79" s="54" t="s">
        <v>302</v>
      </c>
      <c r="B79" s="131" t="s">
        <v>404</v>
      </c>
      <c r="C79" s="132" t="s">
        <v>405</v>
      </c>
      <c r="D79" s="132" t="s">
        <v>406</v>
      </c>
      <c r="E79" s="133">
        <v>25.0</v>
      </c>
      <c r="F79" s="134">
        <v>0.0</v>
      </c>
      <c r="G79" s="135">
        <f t="shared" si="1"/>
        <v>0</v>
      </c>
      <c r="H79" s="136" t="str">
        <f t="shared" si="2"/>
        <v>25 Total Filings, 0 Patient Portal Logins</v>
      </c>
      <c r="I79" s="137"/>
      <c r="J79" s="137"/>
    </row>
    <row r="80" hidden="1">
      <c r="A80" s="54" t="s">
        <v>302</v>
      </c>
      <c r="B80" s="131" t="s">
        <v>407</v>
      </c>
      <c r="C80" s="132" t="s">
        <v>408</v>
      </c>
      <c r="D80" s="132" t="s">
        <v>409</v>
      </c>
      <c r="E80" s="133">
        <v>21.0</v>
      </c>
      <c r="F80" s="134">
        <v>0.0</v>
      </c>
      <c r="G80" s="135">
        <f t="shared" si="1"/>
        <v>0</v>
      </c>
      <c r="H80" s="136" t="str">
        <f t="shared" si="2"/>
        <v>21 Total Filings, 0 Patient Portal Logins</v>
      </c>
      <c r="I80" s="137"/>
      <c r="J80" s="137"/>
    </row>
    <row r="81" hidden="1">
      <c r="A81" s="54" t="s">
        <v>302</v>
      </c>
      <c r="B81" s="131" t="s">
        <v>410</v>
      </c>
      <c r="C81" s="132" t="s">
        <v>411</v>
      </c>
      <c r="D81" s="132" t="s">
        <v>412</v>
      </c>
      <c r="E81" s="133">
        <v>12.0</v>
      </c>
      <c r="F81" s="134">
        <v>0.0</v>
      </c>
      <c r="G81" s="135">
        <f t="shared" si="1"/>
        <v>0</v>
      </c>
      <c r="H81" s="136" t="str">
        <f t="shared" si="2"/>
        <v>12 Total Filings, 0 Patient Portal Logins</v>
      </c>
      <c r="I81" s="137"/>
      <c r="J81" s="137"/>
    </row>
    <row r="82" hidden="1">
      <c r="A82" s="54" t="s">
        <v>302</v>
      </c>
      <c r="B82" s="131" t="s">
        <v>413</v>
      </c>
      <c r="C82" s="132" t="s">
        <v>414</v>
      </c>
      <c r="D82" s="132" t="s">
        <v>415</v>
      </c>
      <c r="E82" s="133">
        <v>28.0</v>
      </c>
      <c r="F82" s="134">
        <v>0.0</v>
      </c>
      <c r="G82" s="135">
        <f t="shared" si="1"/>
        <v>0</v>
      </c>
      <c r="H82" s="136" t="str">
        <f t="shared" si="2"/>
        <v>28 Total Filings, 0 Patient Portal Logins</v>
      </c>
      <c r="I82" s="137"/>
      <c r="J82" s="137"/>
    </row>
    <row r="83" hidden="1">
      <c r="A83" s="54" t="s">
        <v>302</v>
      </c>
      <c r="B83" s="131" t="s">
        <v>416</v>
      </c>
      <c r="C83" s="132" t="s">
        <v>417</v>
      </c>
      <c r="D83" s="132" t="s">
        <v>418</v>
      </c>
      <c r="E83" s="133">
        <v>50.0</v>
      </c>
      <c r="F83" s="134">
        <v>0.0</v>
      </c>
      <c r="G83" s="135">
        <f t="shared" si="1"/>
        <v>2500</v>
      </c>
      <c r="H83" s="136" t="str">
        <f t="shared" si="2"/>
        <v>50 Total Filings, 0 Patient Portal Logins</v>
      </c>
      <c r="I83" s="137"/>
      <c r="J83" s="137"/>
    </row>
    <row r="84" hidden="1">
      <c r="A84" s="54" t="s">
        <v>302</v>
      </c>
      <c r="B84" s="138" t="s">
        <v>41</v>
      </c>
      <c r="C84" s="139" t="s">
        <v>42</v>
      </c>
      <c r="D84" s="139" t="s">
        <v>43</v>
      </c>
      <c r="E84" s="133">
        <v>23.0</v>
      </c>
      <c r="F84" s="134">
        <v>0.0</v>
      </c>
      <c r="G84" s="135">
        <f t="shared" si="1"/>
        <v>0</v>
      </c>
      <c r="H84" s="136" t="str">
        <f t="shared" si="2"/>
        <v>23 Total Filings, 0 Patient Portal Logins</v>
      </c>
      <c r="I84" s="137"/>
      <c r="J84" s="137"/>
    </row>
    <row r="85" hidden="1">
      <c r="A85" s="54" t="s">
        <v>302</v>
      </c>
      <c r="B85" s="131" t="s">
        <v>35</v>
      </c>
      <c r="C85" s="132" t="s">
        <v>36</v>
      </c>
      <c r="D85" s="132" t="s">
        <v>37</v>
      </c>
      <c r="E85" s="133">
        <v>10.0</v>
      </c>
      <c r="F85" s="134">
        <v>2.0</v>
      </c>
      <c r="G85" s="135">
        <f t="shared" si="1"/>
        <v>500</v>
      </c>
      <c r="H85" s="136" t="str">
        <f t="shared" si="2"/>
        <v>10 Total Filings, 2 Patient Portal Logins</v>
      </c>
      <c r="I85" s="137"/>
      <c r="J85" s="137"/>
    </row>
    <row r="86" hidden="1">
      <c r="A86" s="54" t="s">
        <v>302</v>
      </c>
      <c r="B86" s="131" t="s">
        <v>47</v>
      </c>
      <c r="C86" s="132" t="s">
        <v>48</v>
      </c>
      <c r="D86" s="132" t="s">
        <v>49</v>
      </c>
      <c r="E86" s="133">
        <v>24.0</v>
      </c>
      <c r="F86" s="134"/>
      <c r="G86" s="135">
        <f t="shared" si="1"/>
        <v>0</v>
      </c>
      <c r="H86" s="136" t="str">
        <f t="shared" si="2"/>
        <v>24 Total Filings,  Patient Portal Logins</v>
      </c>
      <c r="I86" s="137"/>
      <c r="J86" s="137"/>
    </row>
    <row r="87" hidden="1">
      <c r="A87" s="54" t="s">
        <v>302</v>
      </c>
      <c r="B87" s="131" t="s">
        <v>419</v>
      </c>
      <c r="C87" s="132" t="s">
        <v>420</v>
      </c>
      <c r="D87" s="132" t="s">
        <v>421</v>
      </c>
      <c r="E87" s="133">
        <v>17.0</v>
      </c>
      <c r="F87" s="134">
        <v>0.0</v>
      </c>
      <c r="G87" s="135">
        <f t="shared" si="1"/>
        <v>0</v>
      </c>
      <c r="H87" s="136" t="str">
        <f t="shared" si="2"/>
        <v>17 Total Filings, 0 Patient Portal Logins</v>
      </c>
      <c r="I87" s="137"/>
      <c r="J87" s="137"/>
    </row>
    <row r="88" hidden="1">
      <c r="A88" s="54" t="s">
        <v>302</v>
      </c>
      <c r="B88" s="138" t="s">
        <v>422</v>
      </c>
      <c r="C88" s="139" t="s">
        <v>423</v>
      </c>
      <c r="D88" s="139" t="s">
        <v>424</v>
      </c>
      <c r="E88" s="133">
        <v>100.0</v>
      </c>
      <c r="F88" s="134">
        <v>0.0</v>
      </c>
      <c r="G88" s="135">
        <f t="shared" si="1"/>
        <v>10000</v>
      </c>
      <c r="H88" s="136" t="str">
        <f t="shared" si="2"/>
        <v>100 Total Filings, 0 Patient Portal Logins</v>
      </c>
      <c r="I88" s="137"/>
      <c r="J88" s="137"/>
    </row>
    <row r="89" hidden="1">
      <c r="A89" s="54" t="s">
        <v>302</v>
      </c>
      <c r="B89" s="138" t="s">
        <v>425</v>
      </c>
      <c r="C89" s="139" t="s">
        <v>426</v>
      </c>
      <c r="D89" s="139" t="s">
        <v>427</v>
      </c>
      <c r="E89" s="133">
        <v>50.0</v>
      </c>
      <c r="F89" s="134">
        <v>3.0</v>
      </c>
      <c r="G89" s="135">
        <f t="shared" si="1"/>
        <v>3250</v>
      </c>
      <c r="H89" s="136" t="str">
        <f t="shared" si="2"/>
        <v>50 Total Filings, 3 Patient Portal Logins</v>
      </c>
      <c r="I89" s="137"/>
      <c r="J89" s="137"/>
    </row>
    <row r="90" hidden="1">
      <c r="A90" s="54" t="s">
        <v>302</v>
      </c>
      <c r="B90" s="138" t="s">
        <v>428</v>
      </c>
      <c r="C90" s="139" t="s">
        <v>429</v>
      </c>
      <c r="D90" s="139" t="s">
        <v>430</v>
      </c>
      <c r="E90" s="133">
        <v>75.0</v>
      </c>
      <c r="F90" s="134">
        <v>15.0</v>
      </c>
      <c r="G90" s="135">
        <f t="shared" si="1"/>
        <v>11250</v>
      </c>
      <c r="H90" s="136" t="str">
        <f t="shared" si="2"/>
        <v>75 Total Filings, 15 Patient Portal Logins</v>
      </c>
      <c r="I90" s="137"/>
      <c r="J90" s="137"/>
    </row>
    <row r="91" hidden="1">
      <c r="A91" s="54" t="s">
        <v>302</v>
      </c>
      <c r="B91" s="138" t="s">
        <v>431</v>
      </c>
      <c r="C91" s="139" t="s">
        <v>432</v>
      </c>
      <c r="D91" s="139" t="s">
        <v>433</v>
      </c>
      <c r="E91" s="133">
        <v>80.0</v>
      </c>
      <c r="F91" s="134">
        <v>15.0</v>
      </c>
      <c r="G91" s="135">
        <f t="shared" si="1"/>
        <v>11750</v>
      </c>
      <c r="H91" s="136" t="str">
        <f t="shared" si="2"/>
        <v>80 Total Filings, 15 Patient Portal Logins</v>
      </c>
      <c r="I91" s="137"/>
      <c r="J91" s="137"/>
    </row>
    <row r="92" hidden="1">
      <c r="A92" s="54" t="s">
        <v>302</v>
      </c>
      <c r="B92" s="138" t="s">
        <v>434</v>
      </c>
      <c r="C92" s="139" t="s">
        <v>435</v>
      </c>
      <c r="D92" s="139" t="s">
        <v>436</v>
      </c>
      <c r="E92" s="133">
        <v>65.0</v>
      </c>
      <c r="F92" s="134">
        <v>0.0</v>
      </c>
      <c r="G92" s="135">
        <f t="shared" si="1"/>
        <v>4875</v>
      </c>
      <c r="H92" s="136" t="str">
        <f t="shared" si="2"/>
        <v>65 Total Filings, 0 Patient Portal Logins</v>
      </c>
      <c r="I92" s="137"/>
      <c r="J92" s="137"/>
    </row>
    <row r="93" hidden="1">
      <c r="A93" s="54" t="s">
        <v>302</v>
      </c>
      <c r="B93" s="138" t="s">
        <v>437</v>
      </c>
      <c r="C93" s="139" t="s">
        <v>438</v>
      </c>
      <c r="D93" s="139" t="s">
        <v>439</v>
      </c>
      <c r="E93" s="133">
        <v>76.0</v>
      </c>
      <c r="F93" s="134">
        <v>0.0</v>
      </c>
      <c r="G93" s="135">
        <f t="shared" si="1"/>
        <v>7600</v>
      </c>
      <c r="H93" s="136" t="str">
        <f t="shared" si="2"/>
        <v>76 Total Filings, 0 Patient Portal Logins</v>
      </c>
      <c r="I93" s="137"/>
      <c r="J93" s="137"/>
    </row>
    <row r="94" hidden="1">
      <c r="A94" s="54" t="s">
        <v>302</v>
      </c>
      <c r="B94" s="138" t="s">
        <v>440</v>
      </c>
      <c r="C94" s="139" t="s">
        <v>441</v>
      </c>
      <c r="D94" s="139" t="s">
        <v>442</v>
      </c>
      <c r="E94" s="133">
        <v>56.0</v>
      </c>
      <c r="F94" s="134">
        <v>7.0</v>
      </c>
      <c r="G94" s="135">
        <f t="shared" si="1"/>
        <v>4550</v>
      </c>
      <c r="H94" s="136" t="str">
        <f t="shared" si="2"/>
        <v>56 Total Filings, 7 Patient Portal Logins</v>
      </c>
      <c r="I94" s="137"/>
      <c r="J94" s="137"/>
    </row>
    <row r="95" hidden="1">
      <c r="A95" s="54" t="s">
        <v>302</v>
      </c>
      <c r="B95" s="140" t="s">
        <v>443</v>
      </c>
      <c r="C95" s="141" t="s">
        <v>444</v>
      </c>
      <c r="D95" s="141" t="s">
        <v>445</v>
      </c>
      <c r="E95" s="133">
        <v>54.0</v>
      </c>
      <c r="F95" s="134">
        <v>0.0</v>
      </c>
      <c r="G95" s="135">
        <f t="shared" si="1"/>
        <v>2700</v>
      </c>
      <c r="H95" s="136" t="str">
        <f t="shared" si="2"/>
        <v>54 Total Filings, 0 Patient Portal Logins</v>
      </c>
      <c r="I95" s="137"/>
      <c r="J95" s="137"/>
    </row>
    <row r="96" hidden="1">
      <c r="A96" s="54" t="s">
        <v>302</v>
      </c>
      <c r="B96" s="140" t="s">
        <v>446</v>
      </c>
      <c r="C96" s="141" t="s">
        <v>447</v>
      </c>
      <c r="D96" s="141" t="s">
        <v>448</v>
      </c>
      <c r="E96" s="133">
        <v>76.0</v>
      </c>
      <c r="F96" s="134">
        <v>2.0</v>
      </c>
      <c r="G96" s="135">
        <f t="shared" si="1"/>
        <v>8100</v>
      </c>
      <c r="H96" s="136" t="str">
        <f t="shared" si="2"/>
        <v>76 Total Filings, 2 Patient Portal Logins</v>
      </c>
      <c r="I96" s="137"/>
      <c r="J96" s="137"/>
    </row>
    <row r="97" hidden="1">
      <c r="A97" s="54" t="s">
        <v>302</v>
      </c>
      <c r="B97" s="140" t="s">
        <v>449</v>
      </c>
      <c r="C97" s="141" t="s">
        <v>450</v>
      </c>
      <c r="D97" s="141" t="s">
        <v>451</v>
      </c>
      <c r="E97" s="133">
        <v>43.0</v>
      </c>
      <c r="F97" s="134">
        <v>1.0</v>
      </c>
      <c r="G97" s="135">
        <f t="shared" si="1"/>
        <v>250</v>
      </c>
      <c r="H97" s="136" t="str">
        <f t="shared" si="2"/>
        <v>43 Total Filings, 1 Patient Portal Logins</v>
      </c>
      <c r="I97" s="137"/>
      <c r="J97" s="137"/>
    </row>
    <row r="98" hidden="1">
      <c r="A98" s="54" t="s">
        <v>302</v>
      </c>
      <c r="B98" s="141" t="s">
        <v>452</v>
      </c>
      <c r="C98" s="141" t="s">
        <v>453</v>
      </c>
      <c r="D98" s="141" t="s">
        <v>454</v>
      </c>
      <c r="E98" s="133">
        <v>65.0</v>
      </c>
      <c r="F98" s="134">
        <v>17.0</v>
      </c>
      <c r="G98" s="135">
        <f t="shared" si="1"/>
        <v>9125</v>
      </c>
      <c r="H98" s="136" t="str">
        <f t="shared" si="2"/>
        <v>65 Total Filings, 17 Patient Portal Logins</v>
      </c>
      <c r="I98" s="137"/>
      <c r="J98" s="137"/>
    </row>
    <row r="99" hidden="1">
      <c r="A99" s="54" t="s">
        <v>302</v>
      </c>
      <c r="B99" s="141" t="s">
        <v>455</v>
      </c>
      <c r="C99" s="141" t="s">
        <v>456</v>
      </c>
      <c r="D99" s="141" t="s">
        <v>457</v>
      </c>
      <c r="E99" s="133">
        <v>50.0</v>
      </c>
      <c r="F99" s="134">
        <v>0.0</v>
      </c>
      <c r="G99" s="135">
        <f t="shared" si="1"/>
        <v>2500</v>
      </c>
      <c r="H99" s="136" t="str">
        <f t="shared" si="2"/>
        <v>50 Total Filings, 0 Patient Portal Logins</v>
      </c>
      <c r="I99" s="137"/>
      <c r="J99" s="137"/>
    </row>
    <row r="100" hidden="1">
      <c r="A100" s="54" t="s">
        <v>302</v>
      </c>
      <c r="B100" s="141" t="s">
        <v>458</v>
      </c>
      <c r="C100" s="141" t="s">
        <v>459</v>
      </c>
      <c r="D100" s="141" t="s">
        <v>460</v>
      </c>
      <c r="E100" s="133">
        <v>65.0</v>
      </c>
      <c r="F100" s="134">
        <v>0.0</v>
      </c>
      <c r="G100" s="135">
        <f t="shared" si="1"/>
        <v>4875</v>
      </c>
      <c r="H100" s="136" t="str">
        <f t="shared" si="2"/>
        <v>65 Total Filings, 0 Patient Portal Logins</v>
      </c>
      <c r="I100" s="137"/>
      <c r="J100" s="137"/>
    </row>
    <row r="101" hidden="1">
      <c r="A101" s="88" t="s">
        <v>306</v>
      </c>
      <c r="B101" s="138" t="s">
        <v>41</v>
      </c>
      <c r="C101" s="139" t="s">
        <v>42</v>
      </c>
      <c r="D101" s="139" t="s">
        <v>43</v>
      </c>
      <c r="E101" s="133">
        <v>26.0</v>
      </c>
      <c r="F101" s="134">
        <v>0.0</v>
      </c>
      <c r="G101" s="135">
        <f t="shared" si="1"/>
        <v>0</v>
      </c>
      <c r="H101" s="136" t="str">
        <f t="shared" si="2"/>
        <v>26 Total Filings, 0 Patient Portal Logins</v>
      </c>
      <c r="I101" s="137"/>
      <c r="J101" s="137"/>
    </row>
    <row r="102" hidden="1">
      <c r="A102" s="88" t="s">
        <v>306</v>
      </c>
      <c r="B102" s="131" t="s">
        <v>35</v>
      </c>
      <c r="C102" s="132" t="s">
        <v>36</v>
      </c>
      <c r="D102" s="132" t="s">
        <v>37</v>
      </c>
      <c r="E102" s="133">
        <v>3.0</v>
      </c>
      <c r="F102" s="134">
        <v>2.0</v>
      </c>
      <c r="G102" s="135">
        <f t="shared" si="1"/>
        <v>500</v>
      </c>
      <c r="H102" s="136" t="str">
        <f t="shared" si="2"/>
        <v>3 Total Filings, 2 Patient Portal Logins</v>
      </c>
      <c r="I102" s="137"/>
      <c r="J102" s="137"/>
    </row>
    <row r="103" hidden="1">
      <c r="A103" s="88" t="s">
        <v>306</v>
      </c>
      <c r="B103" s="131" t="s">
        <v>47</v>
      </c>
      <c r="C103" s="132" t="s">
        <v>48</v>
      </c>
      <c r="D103" s="132" t="s">
        <v>49</v>
      </c>
      <c r="E103" s="133">
        <v>12.0</v>
      </c>
      <c r="F103" s="134">
        <v>1.0</v>
      </c>
      <c r="G103" s="135">
        <f t="shared" si="1"/>
        <v>250</v>
      </c>
      <c r="H103" s="136" t="str">
        <f t="shared" si="2"/>
        <v>12 Total Filings, 1 Patient Portal Logins</v>
      </c>
      <c r="I103" s="137"/>
      <c r="J103" s="137"/>
    </row>
    <row r="104" hidden="1">
      <c r="A104" s="88" t="s">
        <v>306</v>
      </c>
      <c r="B104" s="131" t="s">
        <v>419</v>
      </c>
      <c r="C104" s="132" t="s">
        <v>420</v>
      </c>
      <c r="D104" s="132" t="s">
        <v>421</v>
      </c>
      <c r="E104" s="133">
        <v>17.0</v>
      </c>
      <c r="F104" s="134">
        <v>0.0</v>
      </c>
      <c r="G104" s="135">
        <f t="shared" si="1"/>
        <v>0</v>
      </c>
      <c r="H104" s="136" t="str">
        <f t="shared" si="2"/>
        <v>17 Total Filings, 0 Patient Portal Logins</v>
      </c>
      <c r="I104" s="137"/>
      <c r="J104" s="137"/>
    </row>
    <row r="105" hidden="1">
      <c r="A105" s="88" t="s">
        <v>306</v>
      </c>
      <c r="B105" s="138" t="s">
        <v>422</v>
      </c>
      <c r="C105" s="139" t="s">
        <v>423</v>
      </c>
      <c r="D105" s="139" t="s">
        <v>424</v>
      </c>
      <c r="E105" s="133">
        <v>99.0</v>
      </c>
      <c r="F105" s="134">
        <v>0.0</v>
      </c>
      <c r="G105" s="135">
        <f t="shared" si="1"/>
        <v>9900</v>
      </c>
      <c r="H105" s="136" t="str">
        <f t="shared" si="2"/>
        <v>99 Total Filings, 0 Patient Portal Logins</v>
      </c>
      <c r="I105" s="137"/>
      <c r="J105" s="137"/>
    </row>
    <row r="106" hidden="1">
      <c r="A106" s="88" t="s">
        <v>306</v>
      </c>
      <c r="B106" s="138" t="s">
        <v>425</v>
      </c>
      <c r="C106" s="139" t="s">
        <v>426</v>
      </c>
      <c r="D106" s="139" t="s">
        <v>427</v>
      </c>
      <c r="E106" s="133">
        <v>50.0</v>
      </c>
      <c r="F106" s="134">
        <v>0.0</v>
      </c>
      <c r="G106" s="135">
        <f t="shared" si="1"/>
        <v>2500</v>
      </c>
      <c r="H106" s="136" t="str">
        <f t="shared" si="2"/>
        <v>50 Total Filings, 0 Patient Portal Logins</v>
      </c>
      <c r="I106" s="137"/>
      <c r="J106" s="137"/>
    </row>
    <row r="107" hidden="1">
      <c r="A107" s="88" t="s">
        <v>306</v>
      </c>
      <c r="B107" s="138" t="s">
        <v>428</v>
      </c>
      <c r="C107" s="139" t="s">
        <v>429</v>
      </c>
      <c r="D107" s="139" t="s">
        <v>430</v>
      </c>
      <c r="E107" s="133">
        <v>50.0</v>
      </c>
      <c r="F107" s="134">
        <v>20.0</v>
      </c>
      <c r="G107" s="135">
        <f t="shared" si="1"/>
        <v>7500</v>
      </c>
      <c r="H107" s="136" t="str">
        <f t="shared" si="2"/>
        <v>50 Total Filings, 20 Patient Portal Logins</v>
      </c>
      <c r="I107" s="137"/>
      <c r="J107" s="137"/>
    </row>
    <row r="108" hidden="1">
      <c r="A108" s="88" t="s">
        <v>306</v>
      </c>
      <c r="B108" s="138" t="s">
        <v>431</v>
      </c>
      <c r="C108" s="139" t="s">
        <v>432</v>
      </c>
      <c r="D108" s="139" t="s">
        <v>433</v>
      </c>
      <c r="E108" s="133">
        <v>75.0</v>
      </c>
      <c r="F108" s="134">
        <v>2.0</v>
      </c>
      <c r="G108" s="135">
        <f t="shared" si="1"/>
        <v>8000</v>
      </c>
      <c r="H108" s="136" t="str">
        <f t="shared" si="2"/>
        <v>75 Total Filings, 2 Patient Portal Logins</v>
      </c>
      <c r="I108" s="137"/>
      <c r="J108" s="137"/>
    </row>
    <row r="109" hidden="1">
      <c r="A109" s="88" t="s">
        <v>306</v>
      </c>
      <c r="B109" s="138" t="s">
        <v>434</v>
      </c>
      <c r="C109" s="139" t="s">
        <v>435</v>
      </c>
      <c r="D109" s="139" t="s">
        <v>436</v>
      </c>
      <c r="E109" s="133">
        <v>53.0</v>
      </c>
      <c r="F109" s="134">
        <v>0.0</v>
      </c>
      <c r="G109" s="135">
        <f t="shared" si="1"/>
        <v>2650</v>
      </c>
      <c r="H109" s="136" t="str">
        <f t="shared" si="2"/>
        <v>53 Total Filings, 0 Patient Portal Logins</v>
      </c>
      <c r="I109" s="137"/>
      <c r="J109" s="137"/>
    </row>
    <row r="110" hidden="1">
      <c r="A110" s="88" t="s">
        <v>306</v>
      </c>
      <c r="B110" s="138" t="s">
        <v>437</v>
      </c>
      <c r="C110" s="139" t="s">
        <v>438</v>
      </c>
      <c r="D110" s="139" t="s">
        <v>439</v>
      </c>
      <c r="E110" s="133">
        <v>78.0</v>
      </c>
      <c r="F110" s="134">
        <v>0.0</v>
      </c>
      <c r="G110" s="135">
        <f t="shared" si="1"/>
        <v>7800</v>
      </c>
      <c r="H110" s="136" t="str">
        <f t="shared" si="2"/>
        <v>78 Total Filings, 0 Patient Portal Logins</v>
      </c>
      <c r="I110" s="137"/>
      <c r="J110" s="137"/>
    </row>
    <row r="111" hidden="1">
      <c r="A111" s="88" t="s">
        <v>306</v>
      </c>
      <c r="B111" s="138" t="s">
        <v>440</v>
      </c>
      <c r="C111" s="139" t="s">
        <v>441</v>
      </c>
      <c r="D111" s="139" t="s">
        <v>442</v>
      </c>
      <c r="E111" s="133">
        <v>75.0</v>
      </c>
      <c r="F111" s="134">
        <v>0.0</v>
      </c>
      <c r="G111" s="135">
        <f t="shared" si="1"/>
        <v>7500</v>
      </c>
      <c r="H111" s="136" t="str">
        <f t="shared" si="2"/>
        <v>75 Total Filings, 0 Patient Portal Logins</v>
      </c>
      <c r="I111" s="137"/>
      <c r="J111" s="137"/>
    </row>
    <row r="112" hidden="1">
      <c r="A112" s="88" t="s">
        <v>306</v>
      </c>
      <c r="B112" s="140" t="s">
        <v>443</v>
      </c>
      <c r="C112" s="141" t="s">
        <v>444</v>
      </c>
      <c r="D112" s="141" t="s">
        <v>445</v>
      </c>
      <c r="E112" s="133">
        <v>40.0</v>
      </c>
      <c r="F112" s="134">
        <v>0.0</v>
      </c>
      <c r="G112" s="135">
        <f t="shared" si="1"/>
        <v>0</v>
      </c>
      <c r="H112" s="136" t="str">
        <f t="shared" si="2"/>
        <v>40 Total Filings, 0 Patient Portal Logins</v>
      </c>
      <c r="I112" s="137"/>
      <c r="J112" s="137"/>
    </row>
    <row r="113" hidden="1">
      <c r="A113" s="88" t="s">
        <v>306</v>
      </c>
      <c r="B113" s="140" t="s">
        <v>446</v>
      </c>
      <c r="C113" s="141" t="s">
        <v>447</v>
      </c>
      <c r="D113" s="141" t="s">
        <v>448</v>
      </c>
      <c r="E113" s="133">
        <v>60.0</v>
      </c>
      <c r="F113" s="134">
        <v>0.0</v>
      </c>
      <c r="G113" s="135">
        <f t="shared" si="1"/>
        <v>3000</v>
      </c>
      <c r="H113" s="136" t="str">
        <f t="shared" si="2"/>
        <v>60 Total Filings, 0 Patient Portal Logins</v>
      </c>
      <c r="I113" s="137"/>
      <c r="J113" s="137"/>
    </row>
    <row r="114" hidden="1">
      <c r="A114" s="88" t="s">
        <v>306</v>
      </c>
      <c r="B114" s="140" t="s">
        <v>449</v>
      </c>
      <c r="C114" s="141" t="s">
        <v>450</v>
      </c>
      <c r="D114" s="141" t="s">
        <v>451</v>
      </c>
      <c r="E114" s="133">
        <v>65.0</v>
      </c>
      <c r="F114" s="134">
        <v>0.0</v>
      </c>
      <c r="G114" s="135">
        <f t="shared" si="1"/>
        <v>4875</v>
      </c>
      <c r="H114" s="136" t="str">
        <f t="shared" si="2"/>
        <v>65 Total Filings, 0 Patient Portal Logins</v>
      </c>
      <c r="I114" s="137"/>
      <c r="J114" s="137"/>
    </row>
    <row r="115" hidden="1">
      <c r="A115" s="88" t="s">
        <v>306</v>
      </c>
      <c r="B115" s="141" t="s">
        <v>452</v>
      </c>
      <c r="C115" s="141" t="s">
        <v>453</v>
      </c>
      <c r="D115" s="141" t="s">
        <v>454</v>
      </c>
      <c r="E115" s="133">
        <v>65.0</v>
      </c>
      <c r="F115" s="134">
        <v>7.0</v>
      </c>
      <c r="G115" s="135">
        <f t="shared" si="1"/>
        <v>6625</v>
      </c>
      <c r="H115" s="136" t="str">
        <f t="shared" si="2"/>
        <v>65 Total Filings, 7 Patient Portal Logins</v>
      </c>
      <c r="I115" s="137"/>
      <c r="J115" s="137"/>
    </row>
    <row r="116" hidden="1">
      <c r="A116" s="88" t="s">
        <v>306</v>
      </c>
      <c r="B116" s="141" t="s">
        <v>455</v>
      </c>
      <c r="C116" s="141" t="s">
        <v>456</v>
      </c>
      <c r="D116" s="141" t="s">
        <v>457</v>
      </c>
      <c r="E116" s="133">
        <v>50.0</v>
      </c>
      <c r="F116" s="134">
        <v>0.0</v>
      </c>
      <c r="G116" s="135">
        <f t="shared" si="1"/>
        <v>2500</v>
      </c>
      <c r="H116" s="136" t="str">
        <f t="shared" si="2"/>
        <v>50 Total Filings, 0 Patient Portal Logins</v>
      </c>
      <c r="I116" s="137"/>
      <c r="J116" s="137"/>
    </row>
    <row r="117" hidden="1">
      <c r="A117" s="88" t="s">
        <v>306</v>
      </c>
      <c r="B117" s="141" t="s">
        <v>458</v>
      </c>
      <c r="C117" s="141" t="s">
        <v>459</v>
      </c>
      <c r="D117" s="141" t="s">
        <v>460</v>
      </c>
      <c r="E117" s="133">
        <v>50.0</v>
      </c>
      <c r="F117" s="134">
        <v>1.0</v>
      </c>
      <c r="G117" s="135">
        <f t="shared" si="1"/>
        <v>2750</v>
      </c>
      <c r="H117" s="136" t="str">
        <f t="shared" si="2"/>
        <v>50 Total Filings, 1 Patient Portal Logins</v>
      </c>
      <c r="I117" s="137"/>
      <c r="J117" s="137"/>
    </row>
    <row r="118" hidden="1">
      <c r="A118" s="89" t="s">
        <v>307</v>
      </c>
      <c r="B118" s="138" t="s">
        <v>41</v>
      </c>
      <c r="C118" s="139" t="s">
        <v>42</v>
      </c>
      <c r="D118" s="139" t="s">
        <v>43</v>
      </c>
      <c r="E118" s="133">
        <v>27.0</v>
      </c>
      <c r="F118" s="134">
        <v>0.0</v>
      </c>
      <c r="G118" s="135">
        <f t="shared" si="1"/>
        <v>0</v>
      </c>
      <c r="H118" s="136" t="str">
        <f t="shared" si="2"/>
        <v>27 Total Filings, 0 Patient Portal Logins</v>
      </c>
      <c r="I118" s="137"/>
      <c r="J118" s="137"/>
    </row>
    <row r="119" hidden="1">
      <c r="A119" s="89" t="s">
        <v>307</v>
      </c>
      <c r="B119" s="131" t="s">
        <v>35</v>
      </c>
      <c r="C119" s="132" t="s">
        <v>36</v>
      </c>
      <c r="D119" s="132" t="s">
        <v>37</v>
      </c>
      <c r="E119" s="133">
        <v>18.0</v>
      </c>
      <c r="F119" s="134">
        <v>10.0</v>
      </c>
      <c r="G119" s="135">
        <f t="shared" si="1"/>
        <v>2500</v>
      </c>
      <c r="H119" s="136" t="str">
        <f t="shared" si="2"/>
        <v>18 Total Filings, 10 Patient Portal Logins</v>
      </c>
      <c r="I119" s="137"/>
      <c r="J119" s="137"/>
    </row>
    <row r="120" hidden="1">
      <c r="A120" s="89" t="s">
        <v>307</v>
      </c>
      <c r="B120" s="131" t="s">
        <v>47</v>
      </c>
      <c r="C120" s="132" t="s">
        <v>48</v>
      </c>
      <c r="D120" s="132" t="s">
        <v>49</v>
      </c>
      <c r="E120" s="133">
        <v>16.0</v>
      </c>
      <c r="F120" s="134">
        <v>0.0</v>
      </c>
      <c r="G120" s="135">
        <f t="shared" si="1"/>
        <v>0</v>
      </c>
      <c r="H120" s="136" t="str">
        <f t="shared" si="2"/>
        <v>16 Total Filings, 0 Patient Portal Logins</v>
      </c>
      <c r="I120" s="137"/>
      <c r="J120" s="137"/>
    </row>
    <row r="121" hidden="1">
      <c r="A121" s="89" t="s">
        <v>307</v>
      </c>
      <c r="B121" s="131" t="s">
        <v>419</v>
      </c>
      <c r="C121" s="132" t="s">
        <v>420</v>
      </c>
      <c r="D121" s="132" t="s">
        <v>421</v>
      </c>
      <c r="E121" s="133">
        <v>13.0</v>
      </c>
      <c r="F121" s="134">
        <v>11.0</v>
      </c>
      <c r="G121" s="135">
        <f t="shared" si="1"/>
        <v>2750</v>
      </c>
      <c r="H121" s="136" t="str">
        <f t="shared" si="2"/>
        <v>13 Total Filings, 11 Patient Portal Logins</v>
      </c>
      <c r="I121" s="137"/>
      <c r="J121" s="137"/>
    </row>
    <row r="122" hidden="1">
      <c r="A122" s="89" t="s">
        <v>307</v>
      </c>
      <c r="B122" s="138" t="s">
        <v>422</v>
      </c>
      <c r="C122" s="139" t="s">
        <v>423</v>
      </c>
      <c r="D122" s="139" t="s">
        <v>424</v>
      </c>
      <c r="E122" s="133">
        <v>85.0</v>
      </c>
      <c r="F122" s="134">
        <v>0.0</v>
      </c>
      <c r="G122" s="135">
        <f t="shared" si="1"/>
        <v>8500</v>
      </c>
      <c r="H122" s="136" t="str">
        <f t="shared" si="2"/>
        <v>85 Total Filings, 0 Patient Portal Logins</v>
      </c>
      <c r="I122" s="137"/>
      <c r="J122" s="137"/>
    </row>
    <row r="123" hidden="1">
      <c r="A123" s="89" t="s">
        <v>307</v>
      </c>
      <c r="B123" s="138" t="s">
        <v>425</v>
      </c>
      <c r="C123" s="139" t="s">
        <v>426</v>
      </c>
      <c r="D123" s="139" t="s">
        <v>427</v>
      </c>
      <c r="E123" s="133">
        <v>57.0</v>
      </c>
      <c r="F123" s="134">
        <v>0.0</v>
      </c>
      <c r="G123" s="135">
        <f t="shared" si="1"/>
        <v>2850</v>
      </c>
      <c r="H123" s="136" t="str">
        <f t="shared" si="2"/>
        <v>57 Total Filings, 0 Patient Portal Logins</v>
      </c>
      <c r="I123" s="137"/>
      <c r="J123" s="137"/>
    </row>
    <row r="124" hidden="1">
      <c r="A124" s="89" t="s">
        <v>307</v>
      </c>
      <c r="B124" s="138" t="s">
        <v>428</v>
      </c>
      <c r="C124" s="139" t="s">
        <v>429</v>
      </c>
      <c r="D124" s="139" t="s">
        <v>430</v>
      </c>
      <c r="E124" s="133">
        <v>76.0</v>
      </c>
      <c r="F124" s="134">
        <v>13.0</v>
      </c>
      <c r="G124" s="135">
        <f t="shared" si="1"/>
        <v>10850</v>
      </c>
      <c r="H124" s="136" t="str">
        <f t="shared" si="2"/>
        <v>76 Total Filings, 13 Patient Portal Logins</v>
      </c>
      <c r="I124" s="137"/>
      <c r="J124" s="137"/>
    </row>
    <row r="125" hidden="1">
      <c r="A125" s="89" t="s">
        <v>307</v>
      </c>
      <c r="B125" s="138" t="s">
        <v>431</v>
      </c>
      <c r="C125" s="139" t="s">
        <v>432</v>
      </c>
      <c r="D125" s="139" t="s">
        <v>433</v>
      </c>
      <c r="E125" s="133">
        <v>90.0</v>
      </c>
      <c r="F125" s="134">
        <v>0.0</v>
      </c>
      <c r="G125" s="135">
        <f t="shared" si="1"/>
        <v>9000</v>
      </c>
      <c r="H125" s="136" t="str">
        <f t="shared" si="2"/>
        <v>90 Total Filings, 0 Patient Portal Logins</v>
      </c>
      <c r="I125" s="137"/>
      <c r="J125" s="137"/>
    </row>
    <row r="126" hidden="1">
      <c r="A126" s="89" t="s">
        <v>307</v>
      </c>
      <c r="B126" s="138" t="s">
        <v>434</v>
      </c>
      <c r="C126" s="139" t="s">
        <v>435</v>
      </c>
      <c r="D126" s="139" t="s">
        <v>436</v>
      </c>
      <c r="E126" s="133">
        <v>65.0</v>
      </c>
      <c r="F126" s="134">
        <v>1.0</v>
      </c>
      <c r="G126" s="135">
        <f t="shared" si="1"/>
        <v>5125</v>
      </c>
      <c r="H126" s="136" t="str">
        <f t="shared" si="2"/>
        <v>65 Total Filings, 1 Patient Portal Logins</v>
      </c>
      <c r="I126" s="137"/>
      <c r="J126" s="137"/>
    </row>
    <row r="127" hidden="1">
      <c r="A127" s="89" t="s">
        <v>307</v>
      </c>
      <c r="B127" s="138" t="s">
        <v>437</v>
      </c>
      <c r="C127" s="139" t="s">
        <v>438</v>
      </c>
      <c r="D127" s="139" t="s">
        <v>439</v>
      </c>
      <c r="E127" s="133">
        <v>65.0</v>
      </c>
      <c r="F127" s="134">
        <v>4.0</v>
      </c>
      <c r="G127" s="135">
        <f t="shared" si="1"/>
        <v>5875</v>
      </c>
      <c r="H127" s="136" t="str">
        <f t="shared" si="2"/>
        <v>65 Total Filings, 4 Patient Portal Logins</v>
      </c>
      <c r="I127" s="137"/>
      <c r="J127" s="137"/>
    </row>
    <row r="128" hidden="1">
      <c r="A128" s="89" t="s">
        <v>307</v>
      </c>
      <c r="B128" s="138" t="s">
        <v>440</v>
      </c>
      <c r="C128" s="139" t="s">
        <v>441</v>
      </c>
      <c r="D128" s="139" t="s">
        <v>442</v>
      </c>
      <c r="E128" s="133">
        <v>65.0</v>
      </c>
      <c r="F128" s="134">
        <v>3.0</v>
      </c>
      <c r="G128" s="135">
        <f t="shared" si="1"/>
        <v>5625</v>
      </c>
      <c r="H128" s="136" t="str">
        <f t="shared" si="2"/>
        <v>65 Total Filings, 3 Patient Portal Logins</v>
      </c>
      <c r="I128" s="137"/>
      <c r="J128" s="137"/>
    </row>
    <row r="129" hidden="1">
      <c r="A129" s="89" t="s">
        <v>307</v>
      </c>
      <c r="B129" s="140" t="s">
        <v>443</v>
      </c>
      <c r="C129" s="141" t="s">
        <v>444</v>
      </c>
      <c r="D129" s="141" t="s">
        <v>445</v>
      </c>
      <c r="E129" s="133">
        <v>56.0</v>
      </c>
      <c r="F129" s="134">
        <v>0.0</v>
      </c>
      <c r="G129" s="135">
        <f t="shared" si="1"/>
        <v>2800</v>
      </c>
      <c r="H129" s="136" t="str">
        <f t="shared" si="2"/>
        <v>56 Total Filings, 0 Patient Portal Logins</v>
      </c>
      <c r="I129" s="142"/>
      <c r="J129" s="142"/>
    </row>
    <row r="130" hidden="1">
      <c r="A130" s="89" t="s">
        <v>307</v>
      </c>
      <c r="B130" s="140" t="s">
        <v>446</v>
      </c>
      <c r="C130" s="141" t="s">
        <v>447</v>
      </c>
      <c r="D130" s="141" t="s">
        <v>448</v>
      </c>
      <c r="E130" s="133">
        <v>52.0</v>
      </c>
      <c r="F130" s="134">
        <v>1.0</v>
      </c>
      <c r="G130" s="135">
        <f t="shared" si="1"/>
        <v>2850</v>
      </c>
      <c r="H130" s="136" t="str">
        <f t="shared" si="2"/>
        <v>52 Total Filings, 1 Patient Portal Logins</v>
      </c>
      <c r="I130" s="142"/>
      <c r="J130" s="142"/>
    </row>
    <row r="131" hidden="1">
      <c r="A131" s="89" t="s">
        <v>307</v>
      </c>
      <c r="B131" s="140" t="s">
        <v>449</v>
      </c>
      <c r="C131" s="141" t="s">
        <v>450</v>
      </c>
      <c r="D131" s="141" t="s">
        <v>451</v>
      </c>
      <c r="E131" s="133">
        <v>52.0</v>
      </c>
      <c r="F131" s="134">
        <v>2.0</v>
      </c>
      <c r="G131" s="135">
        <f t="shared" si="1"/>
        <v>3100</v>
      </c>
      <c r="H131" s="136" t="str">
        <f t="shared" si="2"/>
        <v>52 Total Filings, 2 Patient Portal Logins</v>
      </c>
      <c r="I131" s="142"/>
      <c r="J131" s="142"/>
    </row>
    <row r="132" hidden="1">
      <c r="A132" s="89" t="s">
        <v>307</v>
      </c>
      <c r="B132" s="141" t="s">
        <v>452</v>
      </c>
      <c r="C132" s="141" t="s">
        <v>453</v>
      </c>
      <c r="D132" s="141" t="s">
        <v>454</v>
      </c>
      <c r="E132" s="133">
        <v>50.0</v>
      </c>
      <c r="F132" s="134">
        <v>13.0</v>
      </c>
      <c r="G132" s="135">
        <f t="shared" si="1"/>
        <v>5750</v>
      </c>
      <c r="H132" s="136" t="str">
        <f t="shared" si="2"/>
        <v>50 Total Filings, 13 Patient Portal Logins</v>
      </c>
      <c r="I132" s="142"/>
      <c r="J132" s="142"/>
    </row>
    <row r="133" hidden="1">
      <c r="A133" s="89" t="s">
        <v>307</v>
      </c>
      <c r="B133" s="141" t="s">
        <v>455</v>
      </c>
      <c r="C133" s="141" t="s">
        <v>456</v>
      </c>
      <c r="D133" s="141" t="s">
        <v>457</v>
      </c>
      <c r="E133" s="133">
        <v>52.0</v>
      </c>
      <c r="F133" s="134">
        <v>2.0</v>
      </c>
      <c r="G133" s="135">
        <f t="shared" si="1"/>
        <v>3100</v>
      </c>
      <c r="H133" s="136" t="str">
        <f t="shared" si="2"/>
        <v>52 Total Filings, 2 Patient Portal Logins</v>
      </c>
      <c r="I133" s="142"/>
      <c r="J133" s="142"/>
    </row>
    <row r="134" hidden="1">
      <c r="A134" s="89" t="s">
        <v>307</v>
      </c>
      <c r="B134" s="141" t="s">
        <v>458</v>
      </c>
      <c r="C134" s="141" t="s">
        <v>459</v>
      </c>
      <c r="D134" s="141" t="s">
        <v>460</v>
      </c>
      <c r="E134" s="133">
        <v>56.0</v>
      </c>
      <c r="F134" s="134">
        <v>0.0</v>
      </c>
      <c r="G134" s="135">
        <f t="shared" si="1"/>
        <v>2800</v>
      </c>
      <c r="H134" s="136" t="str">
        <f t="shared" si="2"/>
        <v>56 Total Filings, 0 Patient Portal Logins</v>
      </c>
      <c r="I134" s="142"/>
      <c r="J134" s="142"/>
    </row>
    <row r="135" hidden="1">
      <c r="A135" s="88" t="s">
        <v>308</v>
      </c>
      <c r="B135" s="91" t="s">
        <v>41</v>
      </c>
      <c r="C135" s="96" t="s">
        <v>42</v>
      </c>
      <c r="D135" s="96" t="s">
        <v>43</v>
      </c>
      <c r="E135" s="143">
        <v>23.0</v>
      </c>
      <c r="F135" s="144"/>
      <c r="G135" s="144">
        <f t="shared" si="1"/>
        <v>0</v>
      </c>
      <c r="H135" s="126" t="str">
        <f t="shared" si="2"/>
        <v>23 Total Filings,  Patient Portal Logins</v>
      </c>
      <c r="I135" s="23"/>
      <c r="J135" s="23"/>
    </row>
    <row r="136" hidden="1">
      <c r="A136" s="88" t="s">
        <v>308</v>
      </c>
      <c r="B136" s="92" t="s">
        <v>422</v>
      </c>
      <c r="C136" s="93" t="s">
        <v>423</v>
      </c>
      <c r="D136" s="93" t="s">
        <v>424</v>
      </c>
      <c r="E136" s="143">
        <v>92.0</v>
      </c>
      <c r="F136" s="144"/>
      <c r="G136" s="144">
        <f t="shared" si="1"/>
        <v>9200</v>
      </c>
      <c r="H136" s="126" t="str">
        <f t="shared" si="2"/>
        <v>92 Total Filings,  Patient Portal Logins</v>
      </c>
      <c r="I136" s="23"/>
      <c r="J136" s="23"/>
    </row>
    <row r="137" hidden="1">
      <c r="A137" s="88" t="s">
        <v>308</v>
      </c>
      <c r="B137" s="92" t="s">
        <v>425</v>
      </c>
      <c r="C137" s="93" t="s">
        <v>426</v>
      </c>
      <c r="D137" s="93" t="s">
        <v>427</v>
      </c>
      <c r="E137" s="143">
        <v>65.0</v>
      </c>
      <c r="F137" s="144"/>
      <c r="G137" s="144">
        <f t="shared" si="1"/>
        <v>4875</v>
      </c>
      <c r="H137" s="126" t="str">
        <f t="shared" si="2"/>
        <v>65 Total Filings,  Patient Portal Logins</v>
      </c>
      <c r="I137" s="23"/>
      <c r="J137" s="23"/>
    </row>
    <row r="138" hidden="1">
      <c r="A138" s="88" t="s">
        <v>308</v>
      </c>
      <c r="B138" s="92" t="s">
        <v>428</v>
      </c>
      <c r="C138" s="93" t="s">
        <v>429</v>
      </c>
      <c r="D138" s="93" t="s">
        <v>430</v>
      </c>
      <c r="E138" s="143">
        <v>77.0</v>
      </c>
      <c r="F138" s="144"/>
      <c r="G138" s="144">
        <f t="shared" si="1"/>
        <v>7700</v>
      </c>
      <c r="H138" s="126" t="str">
        <f t="shared" si="2"/>
        <v>77 Total Filings,  Patient Portal Logins</v>
      </c>
      <c r="I138" s="23"/>
      <c r="J138" s="23"/>
    </row>
    <row r="139" hidden="1">
      <c r="A139" s="88" t="s">
        <v>308</v>
      </c>
      <c r="B139" s="92" t="s">
        <v>431</v>
      </c>
      <c r="C139" s="93" t="s">
        <v>432</v>
      </c>
      <c r="D139" s="93" t="s">
        <v>433</v>
      </c>
      <c r="E139" s="143">
        <v>80.0</v>
      </c>
      <c r="F139" s="144"/>
      <c r="G139" s="144">
        <f t="shared" si="1"/>
        <v>8000</v>
      </c>
      <c r="H139" s="126" t="str">
        <f t="shared" si="2"/>
        <v>80 Total Filings,  Patient Portal Logins</v>
      </c>
      <c r="I139" s="23"/>
      <c r="J139" s="23"/>
    </row>
    <row r="140" hidden="1">
      <c r="A140" s="88" t="s">
        <v>308</v>
      </c>
      <c r="B140" s="92" t="s">
        <v>434</v>
      </c>
      <c r="C140" s="93" t="s">
        <v>435</v>
      </c>
      <c r="D140" s="93" t="s">
        <v>436</v>
      </c>
      <c r="E140" s="143">
        <v>75.0</v>
      </c>
      <c r="F140" s="144"/>
      <c r="G140" s="144">
        <f t="shared" si="1"/>
        <v>7500</v>
      </c>
      <c r="H140" s="126" t="str">
        <f t="shared" si="2"/>
        <v>75 Total Filings,  Patient Portal Logins</v>
      </c>
      <c r="I140" s="23"/>
      <c r="J140" s="23"/>
    </row>
    <row r="141" hidden="1">
      <c r="A141" s="88" t="s">
        <v>308</v>
      </c>
      <c r="B141" s="92" t="s">
        <v>437</v>
      </c>
      <c r="C141" s="93" t="s">
        <v>438</v>
      </c>
      <c r="D141" s="93" t="s">
        <v>439</v>
      </c>
      <c r="E141" s="143">
        <v>75.0</v>
      </c>
      <c r="F141" s="144"/>
      <c r="G141" s="144">
        <f t="shared" si="1"/>
        <v>7500</v>
      </c>
      <c r="H141" s="126" t="str">
        <f t="shared" si="2"/>
        <v>75 Total Filings,  Patient Portal Logins</v>
      </c>
      <c r="I141" s="23"/>
      <c r="J141" s="23"/>
    </row>
    <row r="142" hidden="1">
      <c r="A142" s="88" t="s">
        <v>308</v>
      </c>
      <c r="B142" s="92" t="s">
        <v>440</v>
      </c>
      <c r="C142" s="93" t="s">
        <v>441</v>
      </c>
      <c r="D142" s="93" t="s">
        <v>442</v>
      </c>
      <c r="E142" s="143">
        <v>75.0</v>
      </c>
      <c r="F142" s="144"/>
      <c r="G142" s="144">
        <f t="shared" si="1"/>
        <v>7500</v>
      </c>
      <c r="H142" s="126" t="str">
        <f t="shared" si="2"/>
        <v>75 Total Filings,  Patient Portal Logins</v>
      </c>
      <c r="I142" s="23"/>
      <c r="J142" s="23"/>
    </row>
    <row r="143" hidden="1">
      <c r="A143" s="88" t="s">
        <v>308</v>
      </c>
      <c r="B143" s="95" t="s">
        <v>443</v>
      </c>
      <c r="C143" s="94" t="s">
        <v>444</v>
      </c>
      <c r="D143" s="94" t="s">
        <v>445</v>
      </c>
      <c r="E143" s="143">
        <v>50.0</v>
      </c>
      <c r="F143" s="144"/>
      <c r="G143" s="144">
        <f t="shared" si="1"/>
        <v>2500</v>
      </c>
      <c r="H143" s="126" t="str">
        <f t="shared" si="2"/>
        <v>50 Total Filings,  Patient Portal Logins</v>
      </c>
      <c r="I143" s="14"/>
      <c r="J143" s="14"/>
    </row>
    <row r="144" hidden="1">
      <c r="A144" s="88" t="s">
        <v>308</v>
      </c>
      <c r="B144" s="95" t="s">
        <v>446</v>
      </c>
      <c r="C144" s="94" t="s">
        <v>447</v>
      </c>
      <c r="D144" s="94" t="s">
        <v>448</v>
      </c>
      <c r="E144" s="143">
        <v>60.0</v>
      </c>
      <c r="F144" s="144"/>
      <c r="G144" s="144">
        <f t="shared" si="1"/>
        <v>3000</v>
      </c>
      <c r="H144" s="126" t="str">
        <f t="shared" si="2"/>
        <v>60 Total Filings,  Patient Portal Logins</v>
      </c>
      <c r="I144" s="14"/>
      <c r="J144" s="14"/>
    </row>
    <row r="145" hidden="1">
      <c r="A145" s="88" t="s">
        <v>308</v>
      </c>
      <c r="B145" s="95" t="s">
        <v>449</v>
      </c>
      <c r="C145" s="94" t="s">
        <v>450</v>
      </c>
      <c r="D145" s="94" t="s">
        <v>451</v>
      </c>
      <c r="E145" s="143">
        <v>65.0</v>
      </c>
      <c r="F145" s="144"/>
      <c r="G145" s="144">
        <f t="shared" si="1"/>
        <v>4875</v>
      </c>
      <c r="H145" s="126" t="str">
        <f t="shared" si="2"/>
        <v>65 Total Filings,  Patient Portal Logins</v>
      </c>
      <c r="I145" s="14"/>
      <c r="J145" s="14"/>
    </row>
    <row r="146" hidden="1">
      <c r="A146" s="88" t="s">
        <v>308</v>
      </c>
      <c r="B146" s="95" t="s">
        <v>461</v>
      </c>
      <c r="C146" s="94" t="s">
        <v>462</v>
      </c>
      <c r="D146" s="94" t="s">
        <v>463</v>
      </c>
      <c r="E146" s="143">
        <v>51.0</v>
      </c>
      <c r="F146" s="144"/>
      <c r="G146" s="144">
        <f t="shared" si="1"/>
        <v>2550</v>
      </c>
      <c r="H146" s="126" t="str">
        <f t="shared" si="2"/>
        <v>51 Total Filings,  Patient Portal Logins</v>
      </c>
      <c r="I146" s="14"/>
      <c r="J146" s="14"/>
    </row>
    <row r="147" hidden="1">
      <c r="A147" s="88" t="s">
        <v>308</v>
      </c>
      <c r="B147" s="94" t="s">
        <v>464</v>
      </c>
      <c r="C147" s="94" t="s">
        <v>465</v>
      </c>
      <c r="D147" s="94" t="s">
        <v>466</v>
      </c>
      <c r="E147" s="126"/>
      <c r="F147" s="144"/>
      <c r="G147" s="144">
        <f t="shared" si="1"/>
        <v>0</v>
      </c>
      <c r="H147" s="126" t="str">
        <f t="shared" si="2"/>
        <v> Total Filings,  Patient Portal Logins</v>
      </c>
      <c r="I147" s="14"/>
      <c r="J147" s="14"/>
    </row>
    <row r="148" hidden="1">
      <c r="A148" s="88" t="s">
        <v>308</v>
      </c>
      <c r="B148" s="94" t="s">
        <v>86</v>
      </c>
      <c r="C148" s="94" t="s">
        <v>87</v>
      </c>
      <c r="D148" s="94" t="s">
        <v>88</v>
      </c>
      <c r="E148" s="126"/>
      <c r="F148" s="144"/>
      <c r="G148" s="144">
        <f t="shared" si="1"/>
        <v>0</v>
      </c>
      <c r="H148" s="126" t="str">
        <f t="shared" si="2"/>
        <v> Total Filings,  Patient Portal Logins</v>
      </c>
      <c r="I148" s="14"/>
      <c r="J148" s="14"/>
    </row>
    <row r="149" hidden="1">
      <c r="A149" s="88" t="s">
        <v>308</v>
      </c>
      <c r="B149" s="94" t="s">
        <v>62</v>
      </c>
      <c r="C149" s="94" t="s">
        <v>63</v>
      </c>
      <c r="D149" s="94" t="s">
        <v>64</v>
      </c>
      <c r="E149" s="143">
        <v>50.0</v>
      </c>
      <c r="F149" s="144"/>
      <c r="G149" s="144">
        <f t="shared" si="1"/>
        <v>2500</v>
      </c>
      <c r="H149" s="126" t="str">
        <f t="shared" si="2"/>
        <v>50 Total Filings,  Patient Portal Logins</v>
      </c>
      <c r="I149" s="14"/>
      <c r="J149" s="14"/>
    </row>
    <row r="150" hidden="1">
      <c r="A150" s="88" t="s">
        <v>308</v>
      </c>
      <c r="B150" s="94" t="s">
        <v>89</v>
      </c>
      <c r="C150" s="94" t="s">
        <v>90</v>
      </c>
      <c r="D150" s="94" t="s">
        <v>91</v>
      </c>
      <c r="E150" s="143"/>
      <c r="F150" s="144"/>
      <c r="G150" s="144">
        <f t="shared" si="1"/>
        <v>0</v>
      </c>
      <c r="H150" s="126" t="str">
        <f t="shared" si="2"/>
        <v> Total Filings,  Patient Portal Logins</v>
      </c>
      <c r="I150" s="14"/>
      <c r="J150" s="14"/>
    </row>
    <row r="151" hidden="1">
      <c r="A151" s="88" t="s">
        <v>308</v>
      </c>
      <c r="B151" s="94" t="s">
        <v>251</v>
      </c>
      <c r="C151" s="94" t="s">
        <v>252</v>
      </c>
      <c r="D151" s="94" t="s">
        <v>253</v>
      </c>
      <c r="E151" s="126"/>
      <c r="F151" s="144"/>
      <c r="G151" s="144">
        <f t="shared" si="1"/>
        <v>0</v>
      </c>
      <c r="H151" s="126" t="str">
        <f t="shared" si="2"/>
        <v> Total Filings,  Patient Portal Logins</v>
      </c>
      <c r="I151" s="14"/>
      <c r="J151" s="14"/>
    </row>
    <row r="152" hidden="1">
      <c r="A152" s="88" t="s">
        <v>308</v>
      </c>
      <c r="B152" s="94" t="s">
        <v>59</v>
      </c>
      <c r="C152" s="94" t="s">
        <v>60</v>
      </c>
      <c r="D152" s="94" t="s">
        <v>61</v>
      </c>
      <c r="E152" s="126"/>
      <c r="F152" s="144"/>
      <c r="G152" s="144">
        <f t="shared" si="1"/>
        <v>0</v>
      </c>
      <c r="H152" s="126" t="str">
        <f t="shared" si="2"/>
        <v> Total Filings,  Patient Portal Logins</v>
      </c>
      <c r="I152" s="14"/>
      <c r="J152" s="14"/>
    </row>
    <row r="153" hidden="1">
      <c r="A153" s="88" t="s">
        <v>308</v>
      </c>
      <c r="B153" s="94" t="s">
        <v>467</v>
      </c>
      <c r="C153" s="94" t="s">
        <v>468</v>
      </c>
      <c r="D153" s="94" t="s">
        <v>469</v>
      </c>
      <c r="E153" s="126"/>
      <c r="F153" s="144"/>
      <c r="G153" s="144">
        <f t="shared" si="1"/>
        <v>0</v>
      </c>
      <c r="H153" s="126" t="str">
        <f t="shared" si="2"/>
        <v> Total Filings,  Patient Portal Logins</v>
      </c>
      <c r="I153" s="14"/>
      <c r="J153" s="14"/>
    </row>
    <row r="154" hidden="1">
      <c r="A154" s="88" t="s">
        <v>308</v>
      </c>
      <c r="B154" s="94" t="s">
        <v>452</v>
      </c>
      <c r="C154" s="94" t="s">
        <v>453</v>
      </c>
      <c r="D154" s="94" t="s">
        <v>454</v>
      </c>
      <c r="E154" s="143">
        <v>50.0</v>
      </c>
      <c r="F154" s="144"/>
      <c r="G154" s="144">
        <f t="shared" si="1"/>
        <v>2500</v>
      </c>
      <c r="H154" s="126" t="str">
        <f t="shared" si="2"/>
        <v>50 Total Filings,  Patient Portal Logins</v>
      </c>
      <c r="I154" s="14"/>
      <c r="J154" s="14"/>
    </row>
    <row r="155" hidden="1">
      <c r="A155" s="88" t="s">
        <v>308</v>
      </c>
      <c r="B155" s="94" t="s">
        <v>455</v>
      </c>
      <c r="C155" s="94" t="s">
        <v>456</v>
      </c>
      <c r="D155" s="94" t="s">
        <v>457</v>
      </c>
      <c r="E155" s="143">
        <v>50.0</v>
      </c>
      <c r="F155" s="144"/>
      <c r="G155" s="144">
        <f t="shared" si="1"/>
        <v>2500</v>
      </c>
      <c r="H155" s="126" t="str">
        <f t="shared" si="2"/>
        <v>50 Total Filings,  Patient Portal Logins</v>
      </c>
      <c r="I155" s="14"/>
      <c r="J155" s="14"/>
    </row>
    <row r="156" hidden="1">
      <c r="A156" s="88" t="s">
        <v>308</v>
      </c>
      <c r="B156" s="94" t="s">
        <v>458</v>
      </c>
      <c r="C156" s="94" t="s">
        <v>459</v>
      </c>
      <c r="D156" s="94" t="s">
        <v>460</v>
      </c>
      <c r="E156" s="143">
        <v>65.0</v>
      </c>
      <c r="F156" s="144"/>
      <c r="G156" s="144">
        <f t="shared" si="1"/>
        <v>4875</v>
      </c>
      <c r="H156" s="126" t="str">
        <f t="shared" si="2"/>
        <v>65 Total Filings,  Patient Portal Logins</v>
      </c>
      <c r="I156" s="14"/>
      <c r="J156" s="14"/>
    </row>
    <row r="157" hidden="1">
      <c r="A157" s="88" t="s">
        <v>308</v>
      </c>
      <c r="B157" s="94" t="s">
        <v>65</v>
      </c>
      <c r="C157" s="94" t="s">
        <v>470</v>
      </c>
      <c r="D157" s="94" t="s">
        <v>67</v>
      </c>
      <c r="E157" s="126"/>
      <c r="F157" s="144"/>
      <c r="G157" s="144">
        <f t="shared" si="1"/>
        <v>0</v>
      </c>
      <c r="H157" s="126" t="str">
        <f t="shared" si="2"/>
        <v> Total Filings,  Patient Portal Logins</v>
      </c>
      <c r="I157" s="14"/>
      <c r="J157" s="14"/>
    </row>
    <row r="158" hidden="1">
      <c r="A158" s="88" t="s">
        <v>309</v>
      </c>
      <c r="B158" s="92" t="s">
        <v>422</v>
      </c>
      <c r="C158" s="93" t="s">
        <v>423</v>
      </c>
      <c r="D158" s="93" t="s">
        <v>424</v>
      </c>
      <c r="E158" s="143">
        <v>88.0</v>
      </c>
      <c r="F158" s="144"/>
      <c r="G158" s="144">
        <f t="shared" ref="G158:G458" si="3">IF(E158&gt;=75,100*E158,IF(E158&gt;=65,75*E158,IF(E158&gt;=50,50*E158,0)))</f>
        <v>8800</v>
      </c>
      <c r="H158" s="126" t="str">
        <f t="shared" ref="H158:H179" si="4">E158 &amp; " Total Filings"
</f>
        <v>88 Total Filings</v>
      </c>
      <c r="I158" s="23"/>
      <c r="J158" s="23"/>
    </row>
    <row r="159" hidden="1">
      <c r="A159" s="88" t="s">
        <v>309</v>
      </c>
      <c r="B159" s="92" t="s">
        <v>425</v>
      </c>
      <c r="C159" s="93" t="s">
        <v>426</v>
      </c>
      <c r="D159" s="93" t="s">
        <v>427</v>
      </c>
      <c r="E159" s="143">
        <v>50.0</v>
      </c>
      <c r="F159" s="144"/>
      <c r="G159" s="144">
        <f t="shared" si="3"/>
        <v>2500</v>
      </c>
      <c r="H159" s="126" t="str">
        <f t="shared" si="4"/>
        <v>50 Total Filings</v>
      </c>
      <c r="I159" s="23"/>
      <c r="J159" s="23"/>
    </row>
    <row r="160" hidden="1">
      <c r="A160" s="88" t="s">
        <v>309</v>
      </c>
      <c r="B160" s="92" t="s">
        <v>428</v>
      </c>
      <c r="C160" s="93" t="s">
        <v>429</v>
      </c>
      <c r="D160" s="93" t="s">
        <v>430</v>
      </c>
      <c r="E160" s="143">
        <v>82.0</v>
      </c>
      <c r="F160" s="144"/>
      <c r="G160" s="144">
        <f t="shared" si="3"/>
        <v>8200</v>
      </c>
      <c r="H160" s="126" t="str">
        <f t="shared" si="4"/>
        <v>82 Total Filings</v>
      </c>
      <c r="I160" s="23"/>
      <c r="J160" s="23"/>
    </row>
    <row r="161" hidden="1">
      <c r="A161" s="88" t="s">
        <v>309</v>
      </c>
      <c r="B161" s="92" t="s">
        <v>431</v>
      </c>
      <c r="C161" s="93" t="s">
        <v>432</v>
      </c>
      <c r="D161" s="93" t="s">
        <v>433</v>
      </c>
      <c r="E161" s="143">
        <v>80.0</v>
      </c>
      <c r="F161" s="144"/>
      <c r="G161" s="144">
        <f t="shared" si="3"/>
        <v>8000</v>
      </c>
      <c r="H161" s="126" t="str">
        <f t="shared" si="4"/>
        <v>80 Total Filings</v>
      </c>
      <c r="I161" s="23"/>
      <c r="J161" s="23"/>
    </row>
    <row r="162" hidden="1">
      <c r="A162" s="88" t="s">
        <v>309</v>
      </c>
      <c r="B162" s="92" t="s">
        <v>434</v>
      </c>
      <c r="C162" s="93" t="s">
        <v>435</v>
      </c>
      <c r="D162" s="93" t="s">
        <v>436</v>
      </c>
      <c r="E162" s="143">
        <v>75.0</v>
      </c>
      <c r="F162" s="144"/>
      <c r="G162" s="144">
        <f t="shared" si="3"/>
        <v>7500</v>
      </c>
      <c r="H162" s="126" t="str">
        <f t="shared" si="4"/>
        <v>75 Total Filings</v>
      </c>
      <c r="I162" s="23"/>
      <c r="J162" s="23"/>
    </row>
    <row r="163" hidden="1">
      <c r="A163" s="88" t="s">
        <v>309</v>
      </c>
      <c r="B163" s="92" t="s">
        <v>437</v>
      </c>
      <c r="C163" s="93" t="s">
        <v>438</v>
      </c>
      <c r="D163" s="93" t="s">
        <v>439</v>
      </c>
      <c r="E163" s="143">
        <v>75.0</v>
      </c>
      <c r="F163" s="144"/>
      <c r="G163" s="144">
        <f t="shared" si="3"/>
        <v>7500</v>
      </c>
      <c r="H163" s="126" t="str">
        <f t="shared" si="4"/>
        <v>75 Total Filings</v>
      </c>
      <c r="I163" s="23"/>
      <c r="J163" s="23"/>
    </row>
    <row r="164" hidden="1">
      <c r="A164" s="88" t="s">
        <v>309</v>
      </c>
      <c r="B164" s="92" t="s">
        <v>440</v>
      </c>
      <c r="C164" s="93" t="s">
        <v>441</v>
      </c>
      <c r="D164" s="93" t="s">
        <v>442</v>
      </c>
      <c r="E164" s="143">
        <v>65.0</v>
      </c>
      <c r="F164" s="144"/>
      <c r="G164" s="144">
        <f t="shared" si="3"/>
        <v>4875</v>
      </c>
      <c r="H164" s="126" t="str">
        <f t="shared" si="4"/>
        <v>65 Total Filings</v>
      </c>
      <c r="I164" s="23"/>
      <c r="J164" s="23"/>
    </row>
    <row r="165" hidden="1">
      <c r="A165" s="88" t="s">
        <v>309</v>
      </c>
      <c r="B165" s="95" t="s">
        <v>443</v>
      </c>
      <c r="C165" s="94" t="s">
        <v>444</v>
      </c>
      <c r="D165" s="94" t="s">
        <v>445</v>
      </c>
      <c r="E165" s="143">
        <v>33.0</v>
      </c>
      <c r="F165" s="144"/>
      <c r="G165" s="144">
        <f t="shared" si="3"/>
        <v>0</v>
      </c>
      <c r="H165" s="126" t="str">
        <f t="shared" si="4"/>
        <v>33 Total Filings</v>
      </c>
      <c r="I165" s="14"/>
      <c r="J165" s="14"/>
    </row>
    <row r="166" hidden="1">
      <c r="A166" s="88" t="s">
        <v>309</v>
      </c>
      <c r="B166" s="95" t="s">
        <v>446</v>
      </c>
      <c r="C166" s="94" t="s">
        <v>447</v>
      </c>
      <c r="D166" s="94" t="s">
        <v>448</v>
      </c>
      <c r="E166" s="143">
        <v>50.0</v>
      </c>
      <c r="F166" s="144"/>
      <c r="G166" s="144">
        <f t="shared" si="3"/>
        <v>2500</v>
      </c>
      <c r="H166" s="126" t="str">
        <f t="shared" si="4"/>
        <v>50 Total Filings</v>
      </c>
      <c r="I166" s="14"/>
      <c r="J166" s="14"/>
    </row>
    <row r="167" hidden="1">
      <c r="A167" s="88" t="s">
        <v>309</v>
      </c>
      <c r="B167" s="95" t="s">
        <v>449</v>
      </c>
      <c r="C167" s="94" t="s">
        <v>450</v>
      </c>
      <c r="D167" s="94" t="s">
        <v>451</v>
      </c>
      <c r="E167" s="143">
        <v>60.0</v>
      </c>
      <c r="F167" s="144"/>
      <c r="G167" s="144">
        <f t="shared" si="3"/>
        <v>3000</v>
      </c>
      <c r="H167" s="126" t="str">
        <f t="shared" si="4"/>
        <v>60 Total Filings</v>
      </c>
      <c r="I167" s="14"/>
      <c r="J167" s="14"/>
    </row>
    <row r="168" hidden="1">
      <c r="A168" s="88" t="s">
        <v>309</v>
      </c>
      <c r="B168" s="95" t="s">
        <v>461</v>
      </c>
      <c r="C168" s="94" t="s">
        <v>462</v>
      </c>
      <c r="D168" s="94" t="s">
        <v>463</v>
      </c>
      <c r="E168" s="143">
        <v>24.0</v>
      </c>
      <c r="F168" s="144"/>
      <c r="G168" s="144">
        <f t="shared" si="3"/>
        <v>0</v>
      </c>
      <c r="H168" s="126" t="str">
        <f t="shared" si="4"/>
        <v>24 Total Filings</v>
      </c>
      <c r="I168" s="14"/>
      <c r="J168" s="14"/>
    </row>
    <row r="169" hidden="1">
      <c r="A169" s="88" t="s">
        <v>309</v>
      </c>
      <c r="B169" s="94" t="s">
        <v>464</v>
      </c>
      <c r="C169" s="94" t="s">
        <v>465</v>
      </c>
      <c r="D169" s="94" t="s">
        <v>466</v>
      </c>
      <c r="E169" s="143">
        <v>0.0</v>
      </c>
      <c r="F169" s="144"/>
      <c r="G169" s="144">
        <f t="shared" si="3"/>
        <v>0</v>
      </c>
      <c r="H169" s="126" t="str">
        <f t="shared" si="4"/>
        <v>0 Total Filings</v>
      </c>
      <c r="I169" s="14"/>
      <c r="J169" s="14"/>
    </row>
    <row r="170" hidden="1">
      <c r="A170" s="88" t="s">
        <v>309</v>
      </c>
      <c r="B170" s="94" t="s">
        <v>86</v>
      </c>
      <c r="C170" s="94" t="s">
        <v>87</v>
      </c>
      <c r="D170" s="94" t="s">
        <v>88</v>
      </c>
      <c r="E170" s="143">
        <v>0.0</v>
      </c>
      <c r="F170" s="144"/>
      <c r="G170" s="144">
        <f t="shared" si="3"/>
        <v>0</v>
      </c>
      <c r="H170" s="126" t="str">
        <f t="shared" si="4"/>
        <v>0 Total Filings</v>
      </c>
      <c r="I170" s="14"/>
      <c r="J170" s="14"/>
    </row>
    <row r="171" hidden="1">
      <c r="A171" s="88" t="s">
        <v>309</v>
      </c>
      <c r="B171" s="94" t="s">
        <v>62</v>
      </c>
      <c r="C171" s="94" t="s">
        <v>63</v>
      </c>
      <c r="D171" s="94" t="s">
        <v>64</v>
      </c>
      <c r="E171" s="143">
        <v>37.0</v>
      </c>
      <c r="F171" s="144"/>
      <c r="G171" s="144">
        <f t="shared" si="3"/>
        <v>0</v>
      </c>
      <c r="H171" s="126" t="str">
        <f t="shared" si="4"/>
        <v>37 Total Filings</v>
      </c>
      <c r="I171" s="14"/>
      <c r="J171" s="14"/>
    </row>
    <row r="172" hidden="1">
      <c r="A172" s="88" t="s">
        <v>309</v>
      </c>
      <c r="B172" s="94" t="s">
        <v>89</v>
      </c>
      <c r="C172" s="94" t="s">
        <v>90</v>
      </c>
      <c r="D172" s="94" t="s">
        <v>91</v>
      </c>
      <c r="E172" s="143">
        <v>0.0</v>
      </c>
      <c r="F172" s="144"/>
      <c r="G172" s="144">
        <f t="shared" si="3"/>
        <v>0</v>
      </c>
      <c r="H172" s="126" t="str">
        <f t="shared" si="4"/>
        <v>0 Total Filings</v>
      </c>
      <c r="I172" s="14"/>
      <c r="J172" s="14"/>
    </row>
    <row r="173" hidden="1">
      <c r="A173" s="88" t="s">
        <v>309</v>
      </c>
      <c r="B173" s="94" t="s">
        <v>251</v>
      </c>
      <c r="C173" s="94" t="s">
        <v>252</v>
      </c>
      <c r="D173" s="94" t="s">
        <v>253</v>
      </c>
      <c r="E173" s="143">
        <v>0.0</v>
      </c>
      <c r="F173" s="144"/>
      <c r="G173" s="144">
        <f t="shared" si="3"/>
        <v>0</v>
      </c>
      <c r="H173" s="126" t="str">
        <f t="shared" si="4"/>
        <v>0 Total Filings</v>
      </c>
      <c r="I173" s="14"/>
      <c r="J173" s="14"/>
    </row>
    <row r="174" hidden="1">
      <c r="A174" s="88" t="s">
        <v>309</v>
      </c>
      <c r="B174" s="94" t="s">
        <v>59</v>
      </c>
      <c r="C174" s="94" t="s">
        <v>60</v>
      </c>
      <c r="D174" s="94" t="s">
        <v>61</v>
      </c>
      <c r="E174" s="143">
        <v>0.0</v>
      </c>
      <c r="F174" s="144"/>
      <c r="G174" s="144">
        <f t="shared" si="3"/>
        <v>0</v>
      </c>
      <c r="H174" s="126" t="str">
        <f t="shared" si="4"/>
        <v>0 Total Filings</v>
      </c>
      <c r="I174" s="14"/>
      <c r="J174" s="14"/>
    </row>
    <row r="175" hidden="1">
      <c r="A175" s="88" t="s">
        <v>309</v>
      </c>
      <c r="B175" s="94" t="s">
        <v>467</v>
      </c>
      <c r="C175" s="94" t="s">
        <v>468</v>
      </c>
      <c r="D175" s="94" t="s">
        <v>469</v>
      </c>
      <c r="E175" s="143">
        <v>0.0</v>
      </c>
      <c r="F175" s="144"/>
      <c r="G175" s="144">
        <f t="shared" si="3"/>
        <v>0</v>
      </c>
      <c r="H175" s="126" t="str">
        <f t="shared" si="4"/>
        <v>0 Total Filings</v>
      </c>
      <c r="I175" s="14"/>
      <c r="J175" s="14"/>
    </row>
    <row r="176" hidden="1">
      <c r="A176" s="88" t="s">
        <v>309</v>
      </c>
      <c r="B176" s="94" t="s">
        <v>452</v>
      </c>
      <c r="C176" s="94" t="s">
        <v>453</v>
      </c>
      <c r="D176" s="94" t="s">
        <v>454</v>
      </c>
      <c r="E176" s="143">
        <v>50.0</v>
      </c>
      <c r="F176" s="144"/>
      <c r="G176" s="144">
        <f t="shared" si="3"/>
        <v>2500</v>
      </c>
      <c r="H176" s="126" t="str">
        <f t="shared" si="4"/>
        <v>50 Total Filings</v>
      </c>
      <c r="I176" s="14"/>
      <c r="J176" s="14"/>
    </row>
    <row r="177" hidden="1">
      <c r="A177" s="88" t="s">
        <v>309</v>
      </c>
      <c r="B177" s="94" t="s">
        <v>455</v>
      </c>
      <c r="C177" s="94" t="s">
        <v>456</v>
      </c>
      <c r="D177" s="94" t="s">
        <v>457</v>
      </c>
      <c r="E177" s="143">
        <v>50.0</v>
      </c>
      <c r="F177" s="144"/>
      <c r="G177" s="144">
        <f t="shared" si="3"/>
        <v>2500</v>
      </c>
      <c r="H177" s="126" t="str">
        <f t="shared" si="4"/>
        <v>50 Total Filings</v>
      </c>
      <c r="I177" s="14"/>
      <c r="J177" s="14"/>
    </row>
    <row r="178" hidden="1">
      <c r="A178" s="88" t="s">
        <v>309</v>
      </c>
      <c r="B178" s="94" t="s">
        <v>458</v>
      </c>
      <c r="C178" s="94" t="s">
        <v>459</v>
      </c>
      <c r="D178" s="94" t="s">
        <v>460</v>
      </c>
      <c r="E178" s="143">
        <v>50.0</v>
      </c>
      <c r="F178" s="144"/>
      <c r="G178" s="144">
        <f t="shared" si="3"/>
        <v>2500</v>
      </c>
      <c r="H178" s="126" t="str">
        <f t="shared" si="4"/>
        <v>50 Total Filings</v>
      </c>
      <c r="I178" s="14"/>
      <c r="J178" s="14"/>
    </row>
    <row r="179" hidden="1">
      <c r="A179" s="88" t="s">
        <v>309</v>
      </c>
      <c r="B179" s="94" t="s">
        <v>65</v>
      </c>
      <c r="C179" s="94" t="s">
        <v>470</v>
      </c>
      <c r="D179" s="94" t="s">
        <v>67</v>
      </c>
      <c r="E179" s="143">
        <v>0.0</v>
      </c>
      <c r="F179" s="144"/>
      <c r="G179" s="144">
        <f t="shared" si="3"/>
        <v>0</v>
      </c>
      <c r="H179" s="126" t="str">
        <f t="shared" si="4"/>
        <v>0 Total Filings</v>
      </c>
      <c r="I179" s="14"/>
      <c r="J179" s="14"/>
    </row>
    <row r="180" hidden="1">
      <c r="A180" s="88" t="s">
        <v>310</v>
      </c>
      <c r="B180" s="92" t="s">
        <v>422</v>
      </c>
      <c r="C180" s="96" t="s">
        <v>423</v>
      </c>
      <c r="D180" s="93" t="s">
        <v>424</v>
      </c>
      <c r="E180" s="143">
        <v>96.0</v>
      </c>
      <c r="F180" s="144"/>
      <c r="G180" s="144">
        <f t="shared" si="3"/>
        <v>9600</v>
      </c>
      <c r="H180" s="143" t="s">
        <v>471</v>
      </c>
      <c r="I180" s="23"/>
      <c r="J180" s="23"/>
    </row>
    <row r="181" hidden="1">
      <c r="A181" s="88" t="s">
        <v>310</v>
      </c>
      <c r="B181" s="92" t="s">
        <v>425</v>
      </c>
      <c r="C181" s="96" t="s">
        <v>426</v>
      </c>
      <c r="D181" s="93" t="s">
        <v>427</v>
      </c>
      <c r="E181" s="143">
        <v>52.0</v>
      </c>
      <c r="F181" s="144"/>
      <c r="G181" s="144">
        <f t="shared" si="3"/>
        <v>2600</v>
      </c>
      <c r="H181" s="143" t="s">
        <v>472</v>
      </c>
      <c r="I181" s="23"/>
      <c r="J181" s="23"/>
    </row>
    <row r="182" hidden="1">
      <c r="A182" s="88" t="s">
        <v>310</v>
      </c>
      <c r="B182" s="92" t="s">
        <v>428</v>
      </c>
      <c r="C182" s="96" t="s">
        <v>429</v>
      </c>
      <c r="D182" s="93" t="s">
        <v>430</v>
      </c>
      <c r="E182" s="143">
        <v>93.0</v>
      </c>
      <c r="F182" s="144"/>
      <c r="G182" s="144">
        <f t="shared" si="3"/>
        <v>9300</v>
      </c>
      <c r="H182" s="143" t="s">
        <v>473</v>
      </c>
      <c r="I182" s="23"/>
      <c r="J182" s="23"/>
    </row>
    <row r="183" hidden="1">
      <c r="A183" s="88" t="s">
        <v>310</v>
      </c>
      <c r="B183" s="92" t="s">
        <v>431</v>
      </c>
      <c r="C183" s="96" t="s">
        <v>432</v>
      </c>
      <c r="D183" s="93" t="s">
        <v>433</v>
      </c>
      <c r="E183" s="143">
        <v>75.0</v>
      </c>
      <c r="F183" s="144"/>
      <c r="G183" s="144">
        <f t="shared" si="3"/>
        <v>7500</v>
      </c>
      <c r="H183" s="143" t="s">
        <v>474</v>
      </c>
      <c r="I183" s="23"/>
      <c r="J183" s="23"/>
    </row>
    <row r="184" hidden="1">
      <c r="A184" s="88" t="s">
        <v>310</v>
      </c>
      <c r="B184" s="92" t="s">
        <v>434</v>
      </c>
      <c r="C184" s="96" t="s">
        <v>435</v>
      </c>
      <c r="D184" s="93" t="s">
        <v>436</v>
      </c>
      <c r="E184" s="143">
        <v>75.0</v>
      </c>
      <c r="F184" s="144"/>
      <c r="G184" s="144">
        <f t="shared" si="3"/>
        <v>7500</v>
      </c>
      <c r="H184" s="143" t="s">
        <v>474</v>
      </c>
      <c r="I184" s="23"/>
      <c r="J184" s="23"/>
    </row>
    <row r="185" hidden="1">
      <c r="A185" s="88" t="s">
        <v>310</v>
      </c>
      <c r="B185" s="92" t="s">
        <v>437</v>
      </c>
      <c r="C185" s="96" t="s">
        <v>438</v>
      </c>
      <c r="D185" s="93" t="s">
        <v>439</v>
      </c>
      <c r="E185" s="143">
        <v>75.0</v>
      </c>
      <c r="F185" s="144"/>
      <c r="G185" s="144">
        <f t="shared" si="3"/>
        <v>7500</v>
      </c>
      <c r="H185" s="143" t="s">
        <v>474</v>
      </c>
      <c r="I185" s="23"/>
      <c r="J185" s="23"/>
    </row>
    <row r="186" hidden="1">
      <c r="A186" s="88" t="s">
        <v>310</v>
      </c>
      <c r="B186" s="92" t="s">
        <v>440</v>
      </c>
      <c r="C186" s="96" t="s">
        <v>441</v>
      </c>
      <c r="D186" s="93" t="s">
        <v>442</v>
      </c>
      <c r="E186" s="143">
        <v>75.0</v>
      </c>
      <c r="F186" s="144"/>
      <c r="G186" s="144">
        <f t="shared" si="3"/>
        <v>7500</v>
      </c>
      <c r="H186" s="143" t="s">
        <v>474</v>
      </c>
      <c r="I186" s="23"/>
      <c r="J186" s="23"/>
    </row>
    <row r="187" hidden="1">
      <c r="A187" s="88" t="s">
        <v>310</v>
      </c>
      <c r="B187" s="95" t="s">
        <v>443</v>
      </c>
      <c r="C187" s="95" t="s">
        <v>444</v>
      </c>
      <c r="D187" s="94" t="s">
        <v>445</v>
      </c>
      <c r="E187" s="143">
        <v>40.0</v>
      </c>
      <c r="F187" s="144"/>
      <c r="G187" s="144">
        <f t="shared" si="3"/>
        <v>0</v>
      </c>
      <c r="H187" s="143" t="s">
        <v>475</v>
      </c>
      <c r="I187" s="14"/>
      <c r="J187" s="14"/>
    </row>
    <row r="188" hidden="1">
      <c r="A188" s="88" t="s">
        <v>310</v>
      </c>
      <c r="B188" s="95" t="s">
        <v>446</v>
      </c>
      <c r="C188" s="95" t="s">
        <v>447</v>
      </c>
      <c r="D188" s="94" t="s">
        <v>448</v>
      </c>
      <c r="E188" s="143">
        <v>59.0</v>
      </c>
      <c r="F188" s="144"/>
      <c r="G188" s="144">
        <f t="shared" si="3"/>
        <v>2950</v>
      </c>
      <c r="H188" s="143" t="s">
        <v>476</v>
      </c>
      <c r="I188" s="14"/>
      <c r="J188" s="14"/>
    </row>
    <row r="189" hidden="1">
      <c r="A189" s="88" t="s">
        <v>310</v>
      </c>
      <c r="B189" s="95" t="s">
        <v>449</v>
      </c>
      <c r="C189" s="95" t="s">
        <v>450</v>
      </c>
      <c r="D189" s="94" t="s">
        <v>451</v>
      </c>
      <c r="E189" s="143">
        <v>51.0</v>
      </c>
      <c r="F189" s="144"/>
      <c r="G189" s="144">
        <f t="shared" si="3"/>
        <v>2550</v>
      </c>
      <c r="H189" s="143" t="s">
        <v>477</v>
      </c>
      <c r="I189" s="14"/>
      <c r="J189" s="14"/>
    </row>
    <row r="190" hidden="1">
      <c r="A190" s="88" t="s">
        <v>310</v>
      </c>
      <c r="B190" s="95" t="s">
        <v>461</v>
      </c>
      <c r="C190" s="95" t="s">
        <v>462</v>
      </c>
      <c r="D190" s="94" t="s">
        <v>463</v>
      </c>
      <c r="E190" s="143">
        <v>41.0</v>
      </c>
      <c r="F190" s="144"/>
      <c r="G190" s="144">
        <f t="shared" si="3"/>
        <v>0</v>
      </c>
      <c r="H190" s="143" t="s">
        <v>478</v>
      </c>
      <c r="I190" s="14"/>
      <c r="J190" s="14"/>
    </row>
    <row r="191" hidden="1">
      <c r="A191" s="88" t="s">
        <v>310</v>
      </c>
      <c r="B191" s="95" t="s">
        <v>464</v>
      </c>
      <c r="C191" s="95" t="s">
        <v>465</v>
      </c>
      <c r="D191" s="95" t="s">
        <v>466</v>
      </c>
      <c r="E191" s="143">
        <v>23.0</v>
      </c>
      <c r="F191" s="144"/>
      <c r="G191" s="144">
        <f t="shared" si="3"/>
        <v>0</v>
      </c>
      <c r="H191" s="143" t="s">
        <v>479</v>
      </c>
      <c r="I191" s="14"/>
      <c r="J191" s="14"/>
    </row>
    <row r="192" hidden="1">
      <c r="A192" s="88" t="s">
        <v>310</v>
      </c>
      <c r="B192" s="94" t="s">
        <v>86</v>
      </c>
      <c r="C192" s="95" t="s">
        <v>87</v>
      </c>
      <c r="D192" s="94" t="s">
        <v>88</v>
      </c>
      <c r="E192" s="143">
        <v>34.0</v>
      </c>
      <c r="F192" s="144"/>
      <c r="G192" s="144">
        <f t="shared" si="3"/>
        <v>0</v>
      </c>
      <c r="H192" s="143" t="s">
        <v>480</v>
      </c>
      <c r="I192" s="14"/>
      <c r="J192" s="14"/>
    </row>
    <row r="193" hidden="1">
      <c r="A193" s="88" t="s">
        <v>310</v>
      </c>
      <c r="B193" s="95" t="s">
        <v>62</v>
      </c>
      <c r="C193" s="95" t="s">
        <v>63</v>
      </c>
      <c r="D193" s="94" t="s">
        <v>64</v>
      </c>
      <c r="E193" s="143">
        <v>50.0</v>
      </c>
      <c r="F193" s="144"/>
      <c r="G193" s="144">
        <f t="shared" si="3"/>
        <v>2500</v>
      </c>
      <c r="H193" s="143" t="s">
        <v>481</v>
      </c>
      <c r="I193" s="14"/>
      <c r="J193" s="14"/>
    </row>
    <row r="194" hidden="1">
      <c r="A194" s="88" t="s">
        <v>310</v>
      </c>
      <c r="B194" s="94" t="s">
        <v>89</v>
      </c>
      <c r="C194" s="95" t="s">
        <v>90</v>
      </c>
      <c r="D194" s="94" t="s">
        <v>91</v>
      </c>
      <c r="E194" s="143">
        <v>27.0</v>
      </c>
      <c r="F194" s="144"/>
      <c r="G194" s="144">
        <f t="shared" si="3"/>
        <v>0</v>
      </c>
      <c r="H194" s="143" t="s">
        <v>482</v>
      </c>
      <c r="I194" s="14"/>
      <c r="J194" s="14"/>
    </row>
    <row r="195" hidden="1">
      <c r="A195" s="88" t="s">
        <v>310</v>
      </c>
      <c r="B195" s="94" t="s">
        <v>251</v>
      </c>
      <c r="C195" s="95" t="s">
        <v>252</v>
      </c>
      <c r="D195" s="94" t="s">
        <v>253</v>
      </c>
      <c r="E195" s="143">
        <v>26.0</v>
      </c>
      <c r="F195" s="144"/>
      <c r="G195" s="144">
        <f t="shared" si="3"/>
        <v>0</v>
      </c>
      <c r="H195" s="143" t="s">
        <v>483</v>
      </c>
      <c r="I195" s="14"/>
      <c r="J195" s="14"/>
    </row>
    <row r="196" hidden="1">
      <c r="A196" s="88" t="s">
        <v>310</v>
      </c>
      <c r="B196" s="94" t="s">
        <v>59</v>
      </c>
      <c r="C196" s="95" t="s">
        <v>60</v>
      </c>
      <c r="D196" s="94" t="s">
        <v>61</v>
      </c>
      <c r="E196" s="143">
        <v>19.0</v>
      </c>
      <c r="F196" s="144"/>
      <c r="G196" s="144">
        <f t="shared" si="3"/>
        <v>0</v>
      </c>
      <c r="H196" s="143" t="s">
        <v>484</v>
      </c>
      <c r="I196" s="14"/>
      <c r="J196" s="14"/>
    </row>
    <row r="197" hidden="1">
      <c r="A197" s="88" t="s">
        <v>310</v>
      </c>
      <c r="B197" s="94" t="s">
        <v>467</v>
      </c>
      <c r="C197" s="95" t="s">
        <v>468</v>
      </c>
      <c r="D197" s="94" t="s">
        <v>469</v>
      </c>
      <c r="E197" s="143">
        <v>25.0</v>
      </c>
      <c r="F197" s="144"/>
      <c r="G197" s="144">
        <f t="shared" si="3"/>
        <v>0</v>
      </c>
      <c r="H197" s="143" t="s">
        <v>485</v>
      </c>
      <c r="I197" s="14"/>
      <c r="J197" s="14"/>
    </row>
    <row r="198" hidden="1">
      <c r="A198" s="88" t="s">
        <v>310</v>
      </c>
      <c r="B198" s="94" t="s">
        <v>452</v>
      </c>
      <c r="C198" s="95" t="s">
        <v>453</v>
      </c>
      <c r="D198" s="94" t="s">
        <v>454</v>
      </c>
      <c r="E198" s="143">
        <v>45.0</v>
      </c>
      <c r="F198" s="144"/>
      <c r="G198" s="144">
        <f t="shared" si="3"/>
        <v>0</v>
      </c>
      <c r="H198" s="143" t="s">
        <v>486</v>
      </c>
      <c r="I198" s="14"/>
      <c r="J198" s="14"/>
    </row>
    <row r="199" hidden="1">
      <c r="A199" s="88" t="s">
        <v>310</v>
      </c>
      <c r="B199" s="94" t="s">
        <v>455</v>
      </c>
      <c r="C199" s="95" t="s">
        <v>456</v>
      </c>
      <c r="D199" s="94" t="s">
        <v>457</v>
      </c>
      <c r="E199" s="143">
        <v>38.0</v>
      </c>
      <c r="F199" s="144"/>
      <c r="G199" s="144">
        <f t="shared" si="3"/>
        <v>0</v>
      </c>
      <c r="H199" s="143" t="s">
        <v>487</v>
      </c>
    </row>
    <row r="200" hidden="1">
      <c r="A200" s="88" t="s">
        <v>310</v>
      </c>
      <c r="B200" s="94" t="s">
        <v>458</v>
      </c>
      <c r="C200" s="95" t="s">
        <v>459</v>
      </c>
      <c r="D200" s="94" t="s">
        <v>460</v>
      </c>
      <c r="E200" s="143">
        <v>33.0</v>
      </c>
      <c r="F200" s="144"/>
      <c r="G200" s="144">
        <f t="shared" si="3"/>
        <v>0</v>
      </c>
      <c r="H200" s="143" t="s">
        <v>488</v>
      </c>
    </row>
    <row r="201" hidden="1">
      <c r="A201" s="88" t="s">
        <v>310</v>
      </c>
      <c r="B201" s="94" t="s">
        <v>65</v>
      </c>
      <c r="C201" s="95" t="s">
        <v>470</v>
      </c>
      <c r="D201" s="94" t="s">
        <v>67</v>
      </c>
      <c r="E201" s="143">
        <v>32.0</v>
      </c>
      <c r="F201" s="144"/>
      <c r="G201" s="144">
        <f t="shared" si="3"/>
        <v>0</v>
      </c>
      <c r="H201" s="143" t="s">
        <v>489</v>
      </c>
    </row>
    <row r="202" hidden="1">
      <c r="A202" s="88" t="s">
        <v>332</v>
      </c>
      <c r="B202" s="92" t="s">
        <v>422</v>
      </c>
      <c r="C202" s="93"/>
      <c r="D202" s="93" t="s">
        <v>424</v>
      </c>
      <c r="E202" s="143">
        <v>108.0</v>
      </c>
      <c r="F202" s="144"/>
      <c r="G202" s="144">
        <f t="shared" si="3"/>
        <v>10800</v>
      </c>
      <c r="H202" s="144"/>
      <c r="I202" s="23"/>
      <c r="J202" s="23"/>
    </row>
    <row r="203" hidden="1">
      <c r="A203" s="88" t="s">
        <v>332</v>
      </c>
      <c r="B203" s="92" t="s">
        <v>425</v>
      </c>
      <c r="C203" s="93"/>
      <c r="D203" s="93" t="s">
        <v>427</v>
      </c>
      <c r="E203" s="143">
        <v>83.0</v>
      </c>
      <c r="F203" s="144"/>
      <c r="G203" s="144">
        <f t="shared" si="3"/>
        <v>8300</v>
      </c>
      <c r="H203" s="144"/>
      <c r="I203" s="23"/>
      <c r="J203" s="23"/>
    </row>
    <row r="204" hidden="1">
      <c r="A204" s="88" t="s">
        <v>332</v>
      </c>
      <c r="B204" s="92" t="s">
        <v>428</v>
      </c>
      <c r="C204" s="93"/>
      <c r="D204" s="93" t="s">
        <v>430</v>
      </c>
      <c r="E204" s="143">
        <v>92.0</v>
      </c>
      <c r="F204" s="144"/>
      <c r="G204" s="144">
        <f t="shared" si="3"/>
        <v>9200</v>
      </c>
      <c r="H204" s="144"/>
      <c r="I204" s="23"/>
      <c r="J204" s="23"/>
    </row>
    <row r="205" hidden="1">
      <c r="A205" s="88" t="s">
        <v>332</v>
      </c>
      <c r="B205" s="92" t="s">
        <v>431</v>
      </c>
      <c r="C205" s="93"/>
      <c r="D205" s="93" t="s">
        <v>433</v>
      </c>
      <c r="E205" s="143">
        <v>102.0</v>
      </c>
      <c r="F205" s="144"/>
      <c r="G205" s="144">
        <f t="shared" si="3"/>
        <v>10200</v>
      </c>
      <c r="H205" s="144"/>
      <c r="I205" s="23"/>
      <c r="J205" s="23"/>
    </row>
    <row r="206" hidden="1">
      <c r="A206" s="88" t="s">
        <v>332</v>
      </c>
      <c r="B206" s="92" t="s">
        <v>434</v>
      </c>
      <c r="C206" s="93"/>
      <c r="D206" s="93" t="s">
        <v>436</v>
      </c>
      <c r="E206" s="143">
        <v>78.0</v>
      </c>
      <c r="F206" s="144"/>
      <c r="G206" s="144">
        <f t="shared" si="3"/>
        <v>7800</v>
      </c>
      <c r="H206" s="144"/>
      <c r="I206" s="23"/>
      <c r="J206" s="23"/>
    </row>
    <row r="207" hidden="1">
      <c r="A207" s="88" t="s">
        <v>332</v>
      </c>
      <c r="B207" s="92" t="s">
        <v>437</v>
      </c>
      <c r="C207" s="93"/>
      <c r="D207" s="93" t="s">
        <v>439</v>
      </c>
      <c r="E207" s="143">
        <v>90.0</v>
      </c>
      <c r="F207" s="144"/>
      <c r="G207" s="144">
        <f t="shared" si="3"/>
        <v>9000</v>
      </c>
      <c r="H207" s="144"/>
      <c r="I207" s="23"/>
      <c r="J207" s="23"/>
    </row>
    <row r="208" hidden="1">
      <c r="A208" s="88" t="s">
        <v>332</v>
      </c>
      <c r="B208" s="92" t="s">
        <v>440</v>
      </c>
      <c r="C208" s="93"/>
      <c r="D208" s="93" t="s">
        <v>442</v>
      </c>
      <c r="E208" s="143">
        <v>86.0</v>
      </c>
      <c r="F208" s="144"/>
      <c r="G208" s="144">
        <f t="shared" si="3"/>
        <v>8600</v>
      </c>
      <c r="H208" s="144"/>
      <c r="I208" s="23"/>
      <c r="J208" s="23"/>
    </row>
    <row r="209" hidden="1">
      <c r="A209" s="88" t="s">
        <v>332</v>
      </c>
      <c r="B209" s="95" t="s">
        <v>443</v>
      </c>
      <c r="C209" s="94"/>
      <c r="D209" s="94" t="s">
        <v>445</v>
      </c>
      <c r="E209" s="143">
        <v>50.0</v>
      </c>
      <c r="F209" s="144"/>
      <c r="G209" s="144">
        <f t="shared" si="3"/>
        <v>2500</v>
      </c>
      <c r="H209" s="144"/>
      <c r="I209" s="14"/>
      <c r="J209" s="14"/>
    </row>
    <row r="210" hidden="1">
      <c r="A210" s="88" t="s">
        <v>332</v>
      </c>
      <c r="B210" s="95" t="s">
        <v>446</v>
      </c>
      <c r="C210" s="94"/>
      <c r="D210" s="94" t="s">
        <v>448</v>
      </c>
      <c r="E210" s="143">
        <v>58.0</v>
      </c>
      <c r="F210" s="144"/>
      <c r="G210" s="144">
        <f t="shared" si="3"/>
        <v>2900</v>
      </c>
      <c r="H210" s="144"/>
      <c r="I210" s="14"/>
      <c r="J210" s="14"/>
    </row>
    <row r="211" hidden="1">
      <c r="A211" s="88" t="s">
        <v>332</v>
      </c>
      <c r="B211" s="95" t="s">
        <v>449</v>
      </c>
      <c r="C211" s="94"/>
      <c r="D211" s="94" t="s">
        <v>451</v>
      </c>
      <c r="E211" s="143">
        <v>75.0</v>
      </c>
      <c r="F211" s="144"/>
      <c r="G211" s="144">
        <f t="shared" si="3"/>
        <v>7500</v>
      </c>
      <c r="H211" s="144"/>
      <c r="I211" s="14"/>
      <c r="J211" s="14"/>
    </row>
    <row r="212" hidden="1">
      <c r="A212" s="88" t="s">
        <v>332</v>
      </c>
      <c r="B212" s="95" t="s">
        <v>461</v>
      </c>
      <c r="C212" s="94"/>
      <c r="D212" s="94" t="s">
        <v>463</v>
      </c>
      <c r="E212" s="143">
        <v>50.0</v>
      </c>
      <c r="F212" s="144"/>
      <c r="G212" s="144">
        <f t="shared" si="3"/>
        <v>2500</v>
      </c>
      <c r="H212" s="144"/>
      <c r="I212" s="14"/>
      <c r="J212" s="14"/>
    </row>
    <row r="213" hidden="1">
      <c r="A213" s="88" t="s">
        <v>336</v>
      </c>
      <c r="B213" s="92" t="s">
        <v>422</v>
      </c>
      <c r="C213" s="93"/>
      <c r="D213" s="93" t="s">
        <v>424</v>
      </c>
      <c r="E213" s="143">
        <v>118.0</v>
      </c>
      <c r="F213" s="144"/>
      <c r="G213" s="144">
        <f t="shared" si="3"/>
        <v>11800</v>
      </c>
      <c r="H213" s="144"/>
      <c r="I213" s="23"/>
      <c r="J213" s="23"/>
    </row>
    <row r="214" hidden="1">
      <c r="A214" s="88" t="s">
        <v>336</v>
      </c>
      <c r="B214" s="92" t="s">
        <v>425</v>
      </c>
      <c r="C214" s="93"/>
      <c r="D214" s="93" t="s">
        <v>427</v>
      </c>
      <c r="E214" s="143">
        <v>98.0</v>
      </c>
      <c r="F214" s="144"/>
      <c r="G214" s="144">
        <f t="shared" si="3"/>
        <v>9800</v>
      </c>
      <c r="H214" s="144"/>
      <c r="I214" s="23"/>
      <c r="J214" s="23"/>
    </row>
    <row r="215" hidden="1">
      <c r="A215" s="88" t="s">
        <v>336</v>
      </c>
      <c r="B215" s="92" t="s">
        <v>428</v>
      </c>
      <c r="C215" s="93"/>
      <c r="D215" s="93" t="s">
        <v>430</v>
      </c>
      <c r="E215" s="143">
        <v>99.0</v>
      </c>
      <c r="F215" s="144"/>
      <c r="G215" s="144">
        <f t="shared" si="3"/>
        <v>9900</v>
      </c>
      <c r="H215" s="144"/>
      <c r="I215" s="23"/>
      <c r="J215" s="23"/>
    </row>
    <row r="216" hidden="1">
      <c r="A216" s="88" t="s">
        <v>336</v>
      </c>
      <c r="B216" s="92" t="s">
        <v>431</v>
      </c>
      <c r="C216" s="93"/>
      <c r="D216" s="93" t="s">
        <v>433</v>
      </c>
      <c r="E216" s="143">
        <v>116.0</v>
      </c>
      <c r="F216" s="144"/>
      <c r="G216" s="144">
        <f t="shared" si="3"/>
        <v>11600</v>
      </c>
      <c r="H216" s="144"/>
      <c r="I216" s="23"/>
      <c r="J216" s="23"/>
    </row>
    <row r="217" hidden="1">
      <c r="A217" s="88" t="s">
        <v>336</v>
      </c>
      <c r="B217" s="92" t="s">
        <v>434</v>
      </c>
      <c r="C217" s="93"/>
      <c r="D217" s="93" t="s">
        <v>436</v>
      </c>
      <c r="E217" s="143">
        <v>101.0</v>
      </c>
      <c r="F217" s="144"/>
      <c r="G217" s="144">
        <f t="shared" si="3"/>
        <v>10100</v>
      </c>
      <c r="H217" s="144"/>
      <c r="I217" s="23"/>
      <c r="J217" s="23"/>
    </row>
    <row r="218" hidden="1">
      <c r="A218" s="88" t="s">
        <v>336</v>
      </c>
      <c r="B218" s="92" t="s">
        <v>437</v>
      </c>
      <c r="C218" s="93"/>
      <c r="D218" s="93" t="s">
        <v>439</v>
      </c>
      <c r="E218" s="143">
        <v>93.0</v>
      </c>
      <c r="F218" s="144"/>
      <c r="G218" s="144">
        <f t="shared" si="3"/>
        <v>9300</v>
      </c>
      <c r="H218" s="144"/>
      <c r="I218" s="23"/>
      <c r="J218" s="23"/>
    </row>
    <row r="219" hidden="1">
      <c r="A219" s="88" t="s">
        <v>336</v>
      </c>
      <c r="B219" s="92" t="s">
        <v>440</v>
      </c>
      <c r="C219" s="93"/>
      <c r="D219" s="93" t="s">
        <v>442</v>
      </c>
      <c r="E219" s="143">
        <v>91.0</v>
      </c>
      <c r="F219" s="144"/>
      <c r="G219" s="144">
        <f t="shared" si="3"/>
        <v>9100</v>
      </c>
      <c r="H219" s="144"/>
      <c r="I219" s="23"/>
      <c r="J219" s="23"/>
    </row>
    <row r="220" hidden="1">
      <c r="A220" s="88" t="s">
        <v>336</v>
      </c>
      <c r="B220" s="95" t="s">
        <v>443</v>
      </c>
      <c r="C220" s="94"/>
      <c r="D220" s="94" t="s">
        <v>445</v>
      </c>
      <c r="E220" s="143">
        <v>23.0</v>
      </c>
      <c r="F220" s="144"/>
      <c r="G220" s="144">
        <f t="shared" si="3"/>
        <v>0</v>
      </c>
      <c r="H220" s="144"/>
      <c r="I220" s="14"/>
      <c r="J220" s="14"/>
    </row>
    <row r="221" hidden="1">
      <c r="A221" s="88" t="s">
        <v>336</v>
      </c>
      <c r="B221" s="95" t="s">
        <v>200</v>
      </c>
      <c r="C221" s="94"/>
      <c r="D221" s="94" t="s">
        <v>490</v>
      </c>
      <c r="E221" s="143">
        <v>12.0</v>
      </c>
      <c r="F221" s="144"/>
      <c r="G221" s="144">
        <f t="shared" si="3"/>
        <v>0</v>
      </c>
      <c r="H221" s="144"/>
      <c r="I221" s="14"/>
      <c r="J221" s="14"/>
    </row>
    <row r="222" hidden="1">
      <c r="A222" s="88" t="s">
        <v>336</v>
      </c>
      <c r="B222" s="95" t="s">
        <v>303</v>
      </c>
      <c r="C222" s="94"/>
      <c r="D222" s="94" t="s">
        <v>305</v>
      </c>
      <c r="E222" s="143">
        <v>25.0</v>
      </c>
      <c r="F222" s="144"/>
      <c r="G222" s="144">
        <f t="shared" si="3"/>
        <v>0</v>
      </c>
      <c r="H222" s="144"/>
      <c r="I222" s="14"/>
      <c r="J222" s="14"/>
    </row>
    <row r="223" hidden="1">
      <c r="A223" s="88" t="s">
        <v>336</v>
      </c>
      <c r="B223" s="95" t="s">
        <v>446</v>
      </c>
      <c r="C223" s="94"/>
      <c r="D223" s="94" t="s">
        <v>448</v>
      </c>
      <c r="E223" s="143">
        <v>50.0</v>
      </c>
      <c r="F223" s="144"/>
      <c r="G223" s="144">
        <f t="shared" si="3"/>
        <v>2500</v>
      </c>
      <c r="H223" s="144"/>
      <c r="I223" s="14"/>
      <c r="J223" s="14"/>
    </row>
    <row r="224" hidden="1">
      <c r="A224" s="88" t="s">
        <v>336</v>
      </c>
      <c r="B224" s="95" t="s">
        <v>449</v>
      </c>
      <c r="C224" s="94"/>
      <c r="D224" s="94" t="s">
        <v>451</v>
      </c>
      <c r="E224" s="143">
        <v>50.0</v>
      </c>
      <c r="F224" s="144"/>
      <c r="G224" s="144">
        <f t="shared" si="3"/>
        <v>2500</v>
      </c>
      <c r="H224" s="144"/>
      <c r="I224" s="14"/>
      <c r="J224" s="14"/>
    </row>
    <row r="225" hidden="1">
      <c r="A225" s="88" t="s">
        <v>336</v>
      </c>
      <c r="B225" s="95" t="s">
        <v>197</v>
      </c>
      <c r="C225" s="94"/>
      <c r="D225" s="94" t="s">
        <v>199</v>
      </c>
      <c r="E225" s="143">
        <v>29.0</v>
      </c>
      <c r="F225" s="144"/>
      <c r="G225" s="144">
        <f t="shared" si="3"/>
        <v>0</v>
      </c>
      <c r="H225" s="144"/>
      <c r="I225" s="14"/>
      <c r="J225" s="14"/>
    </row>
    <row r="226" hidden="1">
      <c r="A226" s="88" t="s">
        <v>336</v>
      </c>
      <c r="B226" s="94" t="s">
        <v>191</v>
      </c>
      <c r="C226" s="94"/>
      <c r="D226" s="94" t="s">
        <v>193</v>
      </c>
      <c r="E226" s="143">
        <v>32.0</v>
      </c>
      <c r="F226" s="144"/>
      <c r="G226" s="144">
        <f t="shared" si="3"/>
        <v>0</v>
      </c>
      <c r="H226" s="144"/>
      <c r="I226" s="14"/>
      <c r="J226" s="14"/>
    </row>
    <row r="227" hidden="1">
      <c r="A227" s="88" t="s">
        <v>336</v>
      </c>
      <c r="B227" s="94" t="s">
        <v>491</v>
      </c>
      <c r="C227" s="94"/>
      <c r="D227" s="94" t="s">
        <v>492</v>
      </c>
      <c r="E227" s="143">
        <v>0.0</v>
      </c>
      <c r="F227" s="144"/>
      <c r="G227" s="144">
        <f t="shared" si="3"/>
        <v>0</v>
      </c>
      <c r="H227" s="144"/>
      <c r="I227" s="14"/>
      <c r="J227" s="14"/>
    </row>
    <row r="228" hidden="1">
      <c r="A228" s="88" t="s">
        <v>336</v>
      </c>
      <c r="B228" s="95" t="s">
        <v>194</v>
      </c>
      <c r="C228" s="94"/>
      <c r="D228" s="94" t="s">
        <v>196</v>
      </c>
      <c r="E228" s="143">
        <v>51.0</v>
      </c>
      <c r="F228" s="144"/>
      <c r="G228" s="144">
        <f t="shared" si="3"/>
        <v>2550</v>
      </c>
      <c r="H228" s="144"/>
      <c r="I228" s="14"/>
      <c r="J228" s="14"/>
    </row>
    <row r="229" hidden="1">
      <c r="A229" s="88" t="s">
        <v>336</v>
      </c>
      <c r="B229" s="95" t="s">
        <v>461</v>
      </c>
      <c r="C229" s="94"/>
      <c r="D229" s="94" t="s">
        <v>463</v>
      </c>
      <c r="E229" s="143">
        <v>27.0</v>
      </c>
      <c r="F229" s="144"/>
      <c r="G229" s="144">
        <f t="shared" si="3"/>
        <v>0</v>
      </c>
      <c r="H229" s="144"/>
      <c r="I229" s="14"/>
      <c r="J229" s="14"/>
    </row>
    <row r="230" hidden="1">
      <c r="A230" s="88" t="s">
        <v>337</v>
      </c>
      <c r="B230" s="92" t="s">
        <v>422</v>
      </c>
      <c r="C230" s="93"/>
      <c r="D230" s="93" t="s">
        <v>424</v>
      </c>
      <c r="E230" s="143">
        <v>84.0</v>
      </c>
      <c r="F230" s="144"/>
      <c r="G230" s="144">
        <f t="shared" si="3"/>
        <v>8400</v>
      </c>
      <c r="H230" s="144"/>
      <c r="I230" s="23"/>
      <c r="J230" s="23"/>
    </row>
    <row r="231" hidden="1">
      <c r="A231" s="88" t="s">
        <v>337</v>
      </c>
      <c r="B231" s="92" t="s">
        <v>425</v>
      </c>
      <c r="C231" s="93"/>
      <c r="D231" s="93" t="s">
        <v>427</v>
      </c>
      <c r="E231" s="143">
        <v>75.0</v>
      </c>
      <c r="F231" s="144"/>
      <c r="G231" s="144">
        <f t="shared" si="3"/>
        <v>7500</v>
      </c>
      <c r="H231" s="144"/>
      <c r="I231" s="23"/>
      <c r="J231" s="23"/>
    </row>
    <row r="232" hidden="1">
      <c r="A232" s="88" t="s">
        <v>337</v>
      </c>
      <c r="B232" s="92" t="s">
        <v>428</v>
      </c>
      <c r="C232" s="93"/>
      <c r="D232" s="93" t="s">
        <v>430</v>
      </c>
      <c r="E232" s="143">
        <v>81.0</v>
      </c>
      <c r="F232" s="144"/>
      <c r="G232" s="144">
        <f t="shared" si="3"/>
        <v>8100</v>
      </c>
      <c r="H232" s="144"/>
      <c r="I232" s="23"/>
      <c r="J232" s="23"/>
    </row>
    <row r="233" hidden="1">
      <c r="A233" s="88" t="s">
        <v>337</v>
      </c>
      <c r="B233" s="92" t="s">
        <v>431</v>
      </c>
      <c r="C233" s="93"/>
      <c r="D233" s="93" t="s">
        <v>433</v>
      </c>
      <c r="E233" s="143">
        <v>77.0</v>
      </c>
      <c r="F233" s="144"/>
      <c r="G233" s="144">
        <f t="shared" si="3"/>
        <v>7700</v>
      </c>
      <c r="H233" s="144"/>
      <c r="I233" s="23"/>
      <c r="J233" s="23"/>
    </row>
    <row r="234" hidden="1">
      <c r="A234" s="88" t="s">
        <v>337</v>
      </c>
      <c r="B234" s="92" t="s">
        <v>434</v>
      </c>
      <c r="C234" s="93"/>
      <c r="D234" s="93" t="s">
        <v>436</v>
      </c>
      <c r="E234" s="143">
        <v>83.0</v>
      </c>
      <c r="F234" s="144"/>
      <c r="G234" s="144">
        <f t="shared" si="3"/>
        <v>8300</v>
      </c>
      <c r="H234" s="144"/>
      <c r="I234" s="23"/>
      <c r="J234" s="23"/>
    </row>
    <row r="235" hidden="1">
      <c r="A235" s="88" t="s">
        <v>337</v>
      </c>
      <c r="B235" s="92" t="s">
        <v>437</v>
      </c>
      <c r="C235" s="93"/>
      <c r="D235" s="93" t="s">
        <v>439</v>
      </c>
      <c r="E235" s="143">
        <v>80.0</v>
      </c>
      <c r="F235" s="144"/>
      <c r="G235" s="144">
        <f t="shared" si="3"/>
        <v>8000</v>
      </c>
      <c r="H235" s="144"/>
      <c r="I235" s="23"/>
      <c r="J235" s="23"/>
    </row>
    <row r="236" hidden="1">
      <c r="A236" s="88" t="s">
        <v>337</v>
      </c>
      <c r="B236" s="92" t="s">
        <v>440</v>
      </c>
      <c r="C236" s="93"/>
      <c r="D236" s="93" t="s">
        <v>442</v>
      </c>
      <c r="E236" s="143">
        <v>80.0</v>
      </c>
      <c r="F236" s="144"/>
      <c r="G236" s="144">
        <f t="shared" si="3"/>
        <v>8000</v>
      </c>
      <c r="H236" s="144"/>
      <c r="I236" s="23"/>
      <c r="J236" s="23"/>
    </row>
    <row r="237" hidden="1">
      <c r="A237" s="88" t="s">
        <v>337</v>
      </c>
      <c r="B237" s="95" t="s">
        <v>443</v>
      </c>
      <c r="C237" s="94"/>
      <c r="D237" s="94" t="s">
        <v>445</v>
      </c>
      <c r="E237" s="143">
        <v>7.0</v>
      </c>
      <c r="F237" s="144"/>
      <c r="G237" s="144">
        <f t="shared" si="3"/>
        <v>0</v>
      </c>
      <c r="H237" s="144"/>
      <c r="I237" s="14"/>
      <c r="J237" s="14"/>
    </row>
    <row r="238" hidden="1">
      <c r="A238" s="88" t="s">
        <v>337</v>
      </c>
      <c r="B238" s="95" t="s">
        <v>200</v>
      </c>
      <c r="C238" s="94"/>
      <c r="D238" s="94" t="s">
        <v>490</v>
      </c>
      <c r="E238" s="143">
        <v>7.0</v>
      </c>
      <c r="F238" s="144"/>
      <c r="G238" s="144">
        <f t="shared" si="3"/>
        <v>0</v>
      </c>
      <c r="H238" s="144"/>
      <c r="I238" s="14"/>
      <c r="J238" s="14"/>
    </row>
    <row r="239" hidden="1">
      <c r="A239" s="88" t="s">
        <v>337</v>
      </c>
      <c r="B239" s="95" t="s">
        <v>303</v>
      </c>
      <c r="C239" s="94"/>
      <c r="D239" s="94" t="s">
        <v>305</v>
      </c>
      <c r="E239" s="143">
        <v>11.0</v>
      </c>
      <c r="F239" s="144"/>
      <c r="G239" s="144">
        <f t="shared" si="3"/>
        <v>0</v>
      </c>
      <c r="H239" s="144"/>
      <c r="I239" s="14"/>
      <c r="J239" s="14"/>
    </row>
    <row r="240" hidden="1">
      <c r="A240" s="88" t="s">
        <v>337</v>
      </c>
      <c r="B240" s="95" t="s">
        <v>446</v>
      </c>
      <c r="C240" s="94"/>
      <c r="D240" s="94" t="s">
        <v>448</v>
      </c>
      <c r="E240" s="143">
        <v>22.0</v>
      </c>
      <c r="F240" s="144"/>
      <c r="G240" s="144">
        <f t="shared" si="3"/>
        <v>0</v>
      </c>
      <c r="H240" s="144"/>
      <c r="I240" s="14"/>
      <c r="J240" s="14"/>
    </row>
    <row r="241" hidden="1">
      <c r="A241" s="88" t="s">
        <v>337</v>
      </c>
      <c r="B241" s="95" t="s">
        <v>449</v>
      </c>
      <c r="C241" s="94"/>
      <c r="D241" s="94" t="s">
        <v>451</v>
      </c>
      <c r="E241" s="143">
        <v>25.0</v>
      </c>
      <c r="F241" s="144"/>
      <c r="G241" s="144">
        <f t="shared" si="3"/>
        <v>0</v>
      </c>
      <c r="H241" s="144"/>
      <c r="I241" s="14"/>
      <c r="J241" s="14"/>
    </row>
    <row r="242" hidden="1">
      <c r="A242" s="88" t="s">
        <v>337</v>
      </c>
      <c r="B242" s="95" t="s">
        <v>197</v>
      </c>
      <c r="C242" s="94"/>
      <c r="D242" s="94" t="s">
        <v>199</v>
      </c>
      <c r="E242" s="143">
        <v>12.0</v>
      </c>
      <c r="F242" s="144"/>
      <c r="G242" s="144">
        <f t="shared" si="3"/>
        <v>0</v>
      </c>
      <c r="H242" s="144"/>
      <c r="I242" s="14"/>
      <c r="J242" s="14"/>
    </row>
    <row r="243" hidden="1">
      <c r="A243" s="88" t="s">
        <v>337</v>
      </c>
      <c r="B243" s="94" t="s">
        <v>191</v>
      </c>
      <c r="C243" s="94"/>
      <c r="D243" s="94" t="s">
        <v>193</v>
      </c>
      <c r="E243" s="143">
        <v>10.0</v>
      </c>
      <c r="F243" s="144"/>
      <c r="G243" s="144">
        <f t="shared" si="3"/>
        <v>0</v>
      </c>
      <c r="H243" s="144"/>
      <c r="I243" s="14"/>
      <c r="J243" s="14"/>
    </row>
    <row r="244" hidden="1">
      <c r="A244" s="88" t="s">
        <v>337</v>
      </c>
      <c r="B244" s="94" t="s">
        <v>491</v>
      </c>
      <c r="C244" s="94"/>
      <c r="D244" s="94" t="s">
        <v>492</v>
      </c>
      <c r="E244" s="143">
        <v>0.0</v>
      </c>
      <c r="F244" s="144"/>
      <c r="G244" s="144">
        <f t="shared" si="3"/>
        <v>0</v>
      </c>
      <c r="H244" s="144"/>
      <c r="I244" s="14"/>
      <c r="J244" s="14"/>
    </row>
    <row r="245" hidden="1">
      <c r="A245" s="88" t="s">
        <v>337</v>
      </c>
      <c r="B245" s="95" t="s">
        <v>194</v>
      </c>
      <c r="C245" s="95"/>
      <c r="D245" s="95" t="s">
        <v>196</v>
      </c>
      <c r="E245" s="143">
        <v>22.0</v>
      </c>
      <c r="F245" s="144"/>
      <c r="G245" s="144">
        <f t="shared" si="3"/>
        <v>0</v>
      </c>
      <c r="H245" s="144"/>
      <c r="I245" s="14"/>
      <c r="J245" s="14"/>
    </row>
    <row r="246" hidden="1">
      <c r="A246" s="88" t="s">
        <v>337</v>
      </c>
      <c r="B246" s="95" t="s">
        <v>461</v>
      </c>
      <c r="C246" s="95"/>
      <c r="D246" s="95" t="s">
        <v>463</v>
      </c>
      <c r="E246" s="143">
        <v>15.0</v>
      </c>
      <c r="F246" s="144"/>
      <c r="G246" s="144">
        <f t="shared" si="3"/>
        <v>0</v>
      </c>
      <c r="H246" s="144"/>
      <c r="I246" s="14"/>
      <c r="J246" s="14"/>
    </row>
    <row r="247" hidden="1">
      <c r="A247" s="88" t="s">
        <v>338</v>
      </c>
      <c r="B247" s="92" t="s">
        <v>422</v>
      </c>
      <c r="C247" s="93"/>
      <c r="D247" s="93" t="s">
        <v>424</v>
      </c>
      <c r="E247" s="143">
        <v>123.0</v>
      </c>
      <c r="F247" s="144"/>
      <c r="G247" s="144">
        <f t="shared" si="3"/>
        <v>12300</v>
      </c>
      <c r="H247" s="144"/>
      <c r="I247" s="23"/>
      <c r="J247" s="23"/>
    </row>
    <row r="248" hidden="1">
      <c r="A248" s="88" t="s">
        <v>338</v>
      </c>
      <c r="B248" s="92" t="s">
        <v>493</v>
      </c>
      <c r="C248" s="93"/>
      <c r="D248" s="93" t="s">
        <v>494</v>
      </c>
      <c r="E248" s="143">
        <v>110.0</v>
      </c>
      <c r="F248" s="144"/>
      <c r="G248" s="144">
        <f t="shared" si="3"/>
        <v>11000</v>
      </c>
      <c r="H248" s="144"/>
      <c r="I248" s="23"/>
      <c r="J248" s="23"/>
    </row>
    <row r="249" hidden="1">
      <c r="A249" s="88" t="s">
        <v>338</v>
      </c>
      <c r="B249" s="92" t="s">
        <v>425</v>
      </c>
      <c r="C249" s="93"/>
      <c r="D249" s="93" t="s">
        <v>427</v>
      </c>
      <c r="E249" s="143">
        <v>100.0</v>
      </c>
      <c r="F249" s="144"/>
      <c r="G249" s="144">
        <f t="shared" si="3"/>
        <v>10000</v>
      </c>
      <c r="H249" s="144"/>
      <c r="I249" s="23"/>
      <c r="J249" s="23"/>
    </row>
    <row r="250" hidden="1">
      <c r="A250" s="88" t="s">
        <v>338</v>
      </c>
      <c r="B250" s="92" t="s">
        <v>428</v>
      </c>
      <c r="C250" s="93"/>
      <c r="D250" s="93" t="s">
        <v>430</v>
      </c>
      <c r="E250" s="143">
        <v>111.0</v>
      </c>
      <c r="F250" s="144"/>
      <c r="G250" s="144">
        <f t="shared" si="3"/>
        <v>11100</v>
      </c>
      <c r="H250" s="144"/>
      <c r="I250" s="23"/>
      <c r="J250" s="23"/>
    </row>
    <row r="251" hidden="1">
      <c r="A251" s="88" t="s">
        <v>338</v>
      </c>
      <c r="B251" s="92" t="s">
        <v>431</v>
      </c>
      <c r="C251" s="93"/>
      <c r="D251" s="93" t="s">
        <v>433</v>
      </c>
      <c r="E251" s="143">
        <v>135.0</v>
      </c>
      <c r="F251" s="144"/>
      <c r="G251" s="144">
        <f t="shared" si="3"/>
        <v>13500</v>
      </c>
      <c r="H251" s="144"/>
      <c r="I251" s="23"/>
      <c r="J251" s="23"/>
    </row>
    <row r="252" hidden="1">
      <c r="A252" s="88" t="s">
        <v>338</v>
      </c>
      <c r="B252" s="92" t="s">
        <v>434</v>
      </c>
      <c r="C252" s="93"/>
      <c r="D252" s="93" t="s">
        <v>436</v>
      </c>
      <c r="E252" s="143">
        <v>100.0</v>
      </c>
      <c r="F252" s="144"/>
      <c r="G252" s="144">
        <f t="shared" si="3"/>
        <v>10000</v>
      </c>
      <c r="H252" s="144"/>
      <c r="I252" s="23"/>
      <c r="J252" s="23"/>
    </row>
    <row r="253" hidden="1">
      <c r="A253" s="88" t="s">
        <v>338</v>
      </c>
      <c r="B253" s="92" t="s">
        <v>437</v>
      </c>
      <c r="C253" s="93"/>
      <c r="D253" s="93" t="s">
        <v>439</v>
      </c>
      <c r="E253" s="143">
        <v>100.0</v>
      </c>
      <c r="F253" s="144"/>
      <c r="G253" s="144">
        <f t="shared" si="3"/>
        <v>10000</v>
      </c>
      <c r="H253" s="144"/>
      <c r="I253" s="23"/>
      <c r="J253" s="23"/>
    </row>
    <row r="254" hidden="1">
      <c r="A254" s="88" t="s">
        <v>338</v>
      </c>
      <c r="B254" s="92" t="s">
        <v>440</v>
      </c>
      <c r="C254" s="93"/>
      <c r="D254" s="93" t="s">
        <v>442</v>
      </c>
      <c r="E254" s="143">
        <v>100.0</v>
      </c>
      <c r="F254" s="144"/>
      <c r="G254" s="144">
        <f t="shared" si="3"/>
        <v>10000</v>
      </c>
      <c r="H254" s="144"/>
      <c r="I254" s="23"/>
      <c r="J254" s="23"/>
    </row>
    <row r="255" hidden="1">
      <c r="A255" s="88" t="s">
        <v>338</v>
      </c>
      <c r="B255" s="95" t="s">
        <v>443</v>
      </c>
      <c r="C255" s="94"/>
      <c r="D255" s="94" t="s">
        <v>445</v>
      </c>
      <c r="E255" s="143">
        <v>0.0</v>
      </c>
      <c r="F255" s="144"/>
      <c r="G255" s="144">
        <f t="shared" si="3"/>
        <v>0</v>
      </c>
      <c r="H255" s="144"/>
      <c r="I255" s="14"/>
      <c r="J255" s="14"/>
    </row>
    <row r="256" hidden="1">
      <c r="A256" s="88" t="s">
        <v>338</v>
      </c>
      <c r="B256" s="95" t="s">
        <v>200</v>
      </c>
      <c r="C256" s="94"/>
      <c r="D256" s="94" t="s">
        <v>490</v>
      </c>
      <c r="E256" s="143">
        <v>0.0</v>
      </c>
      <c r="F256" s="144"/>
      <c r="G256" s="144">
        <f t="shared" si="3"/>
        <v>0</v>
      </c>
      <c r="H256" s="144"/>
      <c r="I256" s="14"/>
      <c r="J256" s="14"/>
    </row>
    <row r="257" hidden="1">
      <c r="A257" s="88" t="s">
        <v>338</v>
      </c>
      <c r="B257" s="95" t="s">
        <v>303</v>
      </c>
      <c r="C257" s="94"/>
      <c r="D257" s="94" t="s">
        <v>305</v>
      </c>
      <c r="E257" s="143">
        <v>0.0</v>
      </c>
      <c r="F257" s="144"/>
      <c r="G257" s="144">
        <f t="shared" si="3"/>
        <v>0</v>
      </c>
      <c r="H257" s="144"/>
      <c r="I257" s="14"/>
      <c r="J257" s="14"/>
    </row>
    <row r="258" hidden="1">
      <c r="A258" s="88" t="s">
        <v>338</v>
      </c>
      <c r="B258" s="95" t="s">
        <v>446</v>
      </c>
      <c r="C258" s="94"/>
      <c r="D258" s="94" t="s">
        <v>448</v>
      </c>
      <c r="E258" s="143">
        <v>0.0</v>
      </c>
      <c r="F258" s="144"/>
      <c r="G258" s="144">
        <f t="shared" si="3"/>
        <v>0</v>
      </c>
      <c r="H258" s="144"/>
      <c r="I258" s="14"/>
      <c r="J258" s="14"/>
    </row>
    <row r="259" hidden="1">
      <c r="A259" s="88" t="s">
        <v>338</v>
      </c>
      <c r="B259" s="95" t="s">
        <v>449</v>
      </c>
      <c r="C259" s="94"/>
      <c r="D259" s="94" t="s">
        <v>451</v>
      </c>
      <c r="E259" s="143">
        <v>0.0</v>
      </c>
      <c r="F259" s="144"/>
      <c r="G259" s="144">
        <f t="shared" si="3"/>
        <v>0</v>
      </c>
      <c r="H259" s="144"/>
      <c r="I259" s="14"/>
      <c r="J259" s="14"/>
    </row>
    <row r="260" hidden="1">
      <c r="A260" s="88" t="s">
        <v>338</v>
      </c>
      <c r="B260" s="95" t="s">
        <v>197</v>
      </c>
      <c r="C260" s="94"/>
      <c r="D260" s="94" t="s">
        <v>199</v>
      </c>
      <c r="E260" s="143">
        <v>0.0</v>
      </c>
      <c r="F260" s="144"/>
      <c r="G260" s="144">
        <f t="shared" si="3"/>
        <v>0</v>
      </c>
      <c r="H260" s="144"/>
      <c r="I260" s="14"/>
      <c r="J260" s="14"/>
    </row>
    <row r="261" hidden="1">
      <c r="A261" s="88" t="s">
        <v>338</v>
      </c>
      <c r="B261" s="94" t="s">
        <v>191</v>
      </c>
      <c r="C261" s="94"/>
      <c r="D261" s="94" t="s">
        <v>193</v>
      </c>
      <c r="E261" s="143">
        <v>0.0</v>
      </c>
      <c r="F261" s="144"/>
      <c r="G261" s="144">
        <f t="shared" si="3"/>
        <v>0</v>
      </c>
      <c r="H261" s="144"/>
      <c r="I261" s="14"/>
      <c r="J261" s="14"/>
    </row>
    <row r="262" hidden="1">
      <c r="A262" s="88" t="s">
        <v>338</v>
      </c>
      <c r="B262" s="94" t="s">
        <v>491</v>
      </c>
      <c r="C262" s="94"/>
      <c r="D262" s="94" t="s">
        <v>492</v>
      </c>
      <c r="E262" s="143">
        <v>0.0</v>
      </c>
      <c r="F262" s="144"/>
      <c r="G262" s="144">
        <f t="shared" si="3"/>
        <v>0</v>
      </c>
      <c r="H262" s="144"/>
      <c r="I262" s="14"/>
      <c r="J262" s="14"/>
    </row>
    <row r="263" hidden="1">
      <c r="A263" s="76" t="s">
        <v>338</v>
      </c>
      <c r="B263" s="92" t="s">
        <v>422</v>
      </c>
      <c r="C263" s="93"/>
      <c r="D263" s="93" t="s">
        <v>424</v>
      </c>
      <c r="E263" s="126">
        <v>123.0</v>
      </c>
      <c r="F263" s="144"/>
      <c r="G263" s="144">
        <f t="shared" si="3"/>
        <v>12300</v>
      </c>
      <c r="H263" s="144"/>
      <c r="I263" s="23"/>
      <c r="J263" s="23"/>
    </row>
    <row r="264" hidden="1">
      <c r="A264" s="76" t="s">
        <v>338</v>
      </c>
      <c r="B264" s="92" t="s">
        <v>493</v>
      </c>
      <c r="C264" s="93"/>
      <c r="D264" s="93" t="s">
        <v>494</v>
      </c>
      <c r="E264" s="126">
        <v>110.0</v>
      </c>
      <c r="F264" s="144"/>
      <c r="G264" s="144">
        <f t="shared" si="3"/>
        <v>11000</v>
      </c>
      <c r="H264" s="144"/>
      <c r="I264" s="23"/>
      <c r="J264" s="23"/>
    </row>
    <row r="265" hidden="1">
      <c r="A265" s="76" t="s">
        <v>338</v>
      </c>
      <c r="B265" s="92" t="s">
        <v>425</v>
      </c>
      <c r="C265" s="93"/>
      <c r="D265" s="93" t="s">
        <v>427</v>
      </c>
      <c r="E265" s="126">
        <v>100.0</v>
      </c>
      <c r="F265" s="144"/>
      <c r="G265" s="144">
        <f t="shared" si="3"/>
        <v>10000</v>
      </c>
      <c r="H265" s="144"/>
      <c r="I265" s="23"/>
      <c r="J265" s="23"/>
    </row>
    <row r="266" hidden="1">
      <c r="A266" s="76" t="s">
        <v>338</v>
      </c>
      <c r="B266" s="92" t="s">
        <v>428</v>
      </c>
      <c r="C266" s="93"/>
      <c r="D266" s="93" t="s">
        <v>430</v>
      </c>
      <c r="E266" s="126">
        <v>111.0</v>
      </c>
      <c r="F266" s="144"/>
      <c r="G266" s="144">
        <f t="shared" si="3"/>
        <v>11100</v>
      </c>
      <c r="H266" s="144"/>
      <c r="I266" s="23"/>
      <c r="J266" s="23"/>
    </row>
    <row r="267" hidden="1">
      <c r="A267" s="76" t="s">
        <v>338</v>
      </c>
      <c r="B267" s="92" t="s">
        <v>431</v>
      </c>
      <c r="C267" s="93"/>
      <c r="D267" s="93" t="s">
        <v>433</v>
      </c>
      <c r="E267" s="126">
        <v>135.0</v>
      </c>
      <c r="F267" s="144"/>
      <c r="G267" s="144">
        <f t="shared" si="3"/>
        <v>13500</v>
      </c>
      <c r="H267" s="144"/>
      <c r="I267" s="23"/>
      <c r="J267" s="23"/>
    </row>
    <row r="268" hidden="1">
      <c r="A268" s="76" t="s">
        <v>338</v>
      </c>
      <c r="B268" s="92" t="s">
        <v>434</v>
      </c>
      <c r="C268" s="93"/>
      <c r="D268" s="93" t="s">
        <v>436</v>
      </c>
      <c r="E268" s="126">
        <v>100.0</v>
      </c>
      <c r="F268" s="144"/>
      <c r="G268" s="144">
        <f t="shared" si="3"/>
        <v>10000</v>
      </c>
      <c r="H268" s="144"/>
      <c r="I268" s="23"/>
      <c r="J268" s="23"/>
    </row>
    <row r="269" hidden="1">
      <c r="A269" s="76" t="s">
        <v>338</v>
      </c>
      <c r="B269" s="92" t="s">
        <v>437</v>
      </c>
      <c r="C269" s="93"/>
      <c r="D269" s="93" t="s">
        <v>439</v>
      </c>
      <c r="E269" s="126">
        <v>100.0</v>
      </c>
      <c r="F269" s="144"/>
      <c r="G269" s="144">
        <f t="shared" si="3"/>
        <v>10000</v>
      </c>
      <c r="H269" s="144"/>
      <c r="I269" s="23"/>
      <c r="J269" s="23"/>
    </row>
    <row r="270" hidden="1">
      <c r="A270" s="76" t="s">
        <v>338</v>
      </c>
      <c r="B270" s="92" t="s">
        <v>440</v>
      </c>
      <c r="C270" s="93"/>
      <c r="D270" s="93" t="s">
        <v>442</v>
      </c>
      <c r="E270" s="126">
        <v>100.0</v>
      </c>
      <c r="F270" s="144"/>
      <c r="G270" s="144">
        <f t="shared" si="3"/>
        <v>10000</v>
      </c>
      <c r="H270" s="144"/>
      <c r="I270" s="23"/>
      <c r="J270" s="23"/>
    </row>
    <row r="271" hidden="1">
      <c r="A271" s="76" t="s">
        <v>338</v>
      </c>
      <c r="B271" s="95" t="s">
        <v>443</v>
      </c>
      <c r="C271" s="94"/>
      <c r="D271" s="94" t="s">
        <v>445</v>
      </c>
      <c r="E271" s="126">
        <v>0.0</v>
      </c>
      <c r="F271" s="144"/>
      <c r="G271" s="144">
        <f t="shared" si="3"/>
        <v>0</v>
      </c>
      <c r="H271" s="144"/>
      <c r="I271" s="14"/>
      <c r="J271" s="14"/>
    </row>
    <row r="272" hidden="1">
      <c r="A272" s="76" t="s">
        <v>338</v>
      </c>
      <c r="B272" s="95" t="s">
        <v>200</v>
      </c>
      <c r="C272" s="94"/>
      <c r="D272" s="94" t="s">
        <v>490</v>
      </c>
      <c r="E272" s="126">
        <v>0.0</v>
      </c>
      <c r="F272" s="144"/>
      <c r="G272" s="144">
        <f t="shared" si="3"/>
        <v>0</v>
      </c>
      <c r="H272" s="144"/>
      <c r="I272" s="14"/>
      <c r="J272" s="14"/>
    </row>
    <row r="273" hidden="1">
      <c r="A273" s="76" t="s">
        <v>338</v>
      </c>
      <c r="B273" s="95" t="s">
        <v>303</v>
      </c>
      <c r="C273" s="94"/>
      <c r="D273" s="94" t="s">
        <v>305</v>
      </c>
      <c r="E273" s="126">
        <v>0.0</v>
      </c>
      <c r="F273" s="144"/>
      <c r="G273" s="144">
        <f t="shared" si="3"/>
        <v>0</v>
      </c>
      <c r="H273" s="144"/>
      <c r="I273" s="14"/>
      <c r="J273" s="14"/>
    </row>
    <row r="274" hidden="1">
      <c r="A274" s="76" t="s">
        <v>338</v>
      </c>
      <c r="B274" s="95" t="s">
        <v>446</v>
      </c>
      <c r="C274" s="94"/>
      <c r="D274" s="94" t="s">
        <v>448</v>
      </c>
      <c r="E274" s="126">
        <v>0.0</v>
      </c>
      <c r="F274" s="144"/>
      <c r="G274" s="144">
        <f t="shared" si="3"/>
        <v>0</v>
      </c>
      <c r="H274" s="144"/>
      <c r="I274" s="14"/>
      <c r="J274" s="14"/>
    </row>
    <row r="275" hidden="1">
      <c r="A275" s="76" t="s">
        <v>338</v>
      </c>
      <c r="B275" s="95" t="s">
        <v>449</v>
      </c>
      <c r="C275" s="94"/>
      <c r="D275" s="94" t="s">
        <v>451</v>
      </c>
      <c r="E275" s="126">
        <v>0.0</v>
      </c>
      <c r="F275" s="144"/>
      <c r="G275" s="144">
        <f t="shared" si="3"/>
        <v>0</v>
      </c>
      <c r="H275" s="144"/>
      <c r="I275" s="14"/>
      <c r="J275" s="14"/>
    </row>
    <row r="276" hidden="1">
      <c r="A276" s="76" t="s">
        <v>338</v>
      </c>
      <c r="B276" s="95" t="s">
        <v>197</v>
      </c>
      <c r="C276" s="94"/>
      <c r="D276" s="94" t="s">
        <v>199</v>
      </c>
      <c r="E276" s="126">
        <v>0.0</v>
      </c>
      <c r="F276" s="144"/>
      <c r="G276" s="144">
        <f t="shared" si="3"/>
        <v>0</v>
      </c>
      <c r="H276" s="144"/>
      <c r="I276" s="14"/>
      <c r="J276" s="14"/>
    </row>
    <row r="277" hidden="1">
      <c r="A277" s="76" t="s">
        <v>338</v>
      </c>
      <c r="B277" s="94" t="s">
        <v>191</v>
      </c>
      <c r="C277" s="94"/>
      <c r="D277" s="94" t="s">
        <v>193</v>
      </c>
      <c r="E277" s="126">
        <v>0.0</v>
      </c>
      <c r="F277" s="144"/>
      <c r="G277" s="144">
        <f t="shared" si="3"/>
        <v>0</v>
      </c>
      <c r="H277" s="144"/>
      <c r="I277" s="14"/>
      <c r="J277" s="14"/>
    </row>
    <row r="278" hidden="1">
      <c r="A278" s="76" t="s">
        <v>338</v>
      </c>
      <c r="B278" s="94" t="s">
        <v>491</v>
      </c>
      <c r="C278" s="94"/>
      <c r="D278" s="94" t="s">
        <v>492</v>
      </c>
      <c r="E278" s="126">
        <v>0.0</v>
      </c>
      <c r="F278" s="144"/>
      <c r="G278" s="144">
        <f t="shared" si="3"/>
        <v>0</v>
      </c>
      <c r="H278" s="144"/>
      <c r="I278" s="14"/>
      <c r="J278" s="14"/>
    </row>
    <row r="279" hidden="1">
      <c r="A279" s="88" t="s">
        <v>338</v>
      </c>
      <c r="B279" s="92" t="s">
        <v>422</v>
      </c>
      <c r="C279" s="93"/>
      <c r="D279" s="93" t="s">
        <v>424</v>
      </c>
      <c r="E279" s="143">
        <v>123.0</v>
      </c>
      <c r="F279" s="144"/>
      <c r="G279" s="144">
        <f t="shared" si="3"/>
        <v>12300</v>
      </c>
      <c r="H279" s="144"/>
      <c r="I279" s="23"/>
      <c r="J279" s="23"/>
    </row>
    <row r="280" hidden="1">
      <c r="A280" s="88" t="s">
        <v>338</v>
      </c>
      <c r="B280" s="92" t="s">
        <v>493</v>
      </c>
      <c r="C280" s="93"/>
      <c r="D280" s="93" t="s">
        <v>494</v>
      </c>
      <c r="E280" s="143">
        <v>110.0</v>
      </c>
      <c r="F280" s="144"/>
      <c r="G280" s="144">
        <f t="shared" si="3"/>
        <v>11000</v>
      </c>
      <c r="H280" s="144"/>
      <c r="I280" s="23"/>
      <c r="J280" s="23"/>
    </row>
    <row r="281" hidden="1">
      <c r="A281" s="88" t="s">
        <v>338</v>
      </c>
      <c r="B281" s="92" t="s">
        <v>425</v>
      </c>
      <c r="C281" s="96"/>
      <c r="D281" s="96" t="s">
        <v>427</v>
      </c>
      <c r="E281" s="143">
        <v>100.0</v>
      </c>
      <c r="F281" s="144"/>
      <c r="G281" s="144">
        <f t="shared" si="3"/>
        <v>10000</v>
      </c>
      <c r="H281" s="144"/>
      <c r="I281" s="23"/>
      <c r="J281" s="23"/>
    </row>
    <row r="282" hidden="1">
      <c r="A282" s="88" t="s">
        <v>338</v>
      </c>
      <c r="B282" s="92" t="s">
        <v>428</v>
      </c>
      <c r="C282" s="93"/>
      <c r="D282" s="93" t="s">
        <v>430</v>
      </c>
      <c r="E282" s="143">
        <v>111.0</v>
      </c>
      <c r="F282" s="144"/>
      <c r="G282" s="144">
        <f t="shared" si="3"/>
        <v>11100</v>
      </c>
      <c r="H282" s="144"/>
      <c r="I282" s="23"/>
      <c r="J282" s="23"/>
    </row>
    <row r="283" hidden="1">
      <c r="A283" s="88" t="s">
        <v>338</v>
      </c>
      <c r="B283" s="92" t="s">
        <v>431</v>
      </c>
      <c r="C283" s="93"/>
      <c r="D283" s="93" t="s">
        <v>433</v>
      </c>
      <c r="E283" s="143">
        <v>135.0</v>
      </c>
      <c r="F283" s="144"/>
      <c r="G283" s="144">
        <f t="shared" si="3"/>
        <v>13500</v>
      </c>
      <c r="H283" s="144"/>
      <c r="I283" s="23"/>
      <c r="J283" s="23"/>
    </row>
    <row r="284" hidden="1">
      <c r="A284" s="88" t="s">
        <v>338</v>
      </c>
      <c r="B284" s="92" t="s">
        <v>434</v>
      </c>
      <c r="C284" s="93"/>
      <c r="D284" s="93" t="s">
        <v>436</v>
      </c>
      <c r="E284" s="143">
        <v>100.0</v>
      </c>
      <c r="F284" s="144"/>
      <c r="G284" s="144">
        <f t="shared" si="3"/>
        <v>10000</v>
      </c>
      <c r="H284" s="144"/>
      <c r="I284" s="23"/>
      <c r="J284" s="23"/>
    </row>
    <row r="285" hidden="1">
      <c r="A285" s="88" t="s">
        <v>338</v>
      </c>
      <c r="B285" s="92" t="s">
        <v>437</v>
      </c>
      <c r="C285" s="93"/>
      <c r="D285" s="93" t="s">
        <v>439</v>
      </c>
      <c r="E285" s="143">
        <v>100.0</v>
      </c>
      <c r="F285" s="144"/>
      <c r="G285" s="144">
        <f t="shared" si="3"/>
        <v>10000</v>
      </c>
      <c r="H285" s="144"/>
      <c r="I285" s="23"/>
      <c r="J285" s="23"/>
    </row>
    <row r="286" hidden="1">
      <c r="A286" s="88" t="s">
        <v>338</v>
      </c>
      <c r="B286" s="92" t="s">
        <v>440</v>
      </c>
      <c r="C286" s="93"/>
      <c r="D286" s="93" t="s">
        <v>442</v>
      </c>
      <c r="E286" s="143">
        <v>100.0</v>
      </c>
      <c r="F286" s="144"/>
      <c r="G286" s="144">
        <f t="shared" si="3"/>
        <v>10000</v>
      </c>
      <c r="H286" s="144"/>
      <c r="I286" s="23"/>
      <c r="J286" s="23"/>
    </row>
    <row r="287" hidden="1">
      <c r="A287" s="88" t="s">
        <v>338</v>
      </c>
      <c r="B287" s="95" t="s">
        <v>443</v>
      </c>
      <c r="C287" s="95"/>
      <c r="D287" s="95" t="s">
        <v>445</v>
      </c>
      <c r="E287" s="143">
        <v>0.0</v>
      </c>
      <c r="F287" s="144"/>
      <c r="G287" s="144">
        <f t="shared" si="3"/>
        <v>0</v>
      </c>
      <c r="H287" s="144"/>
      <c r="I287" s="14"/>
      <c r="J287" s="14"/>
    </row>
    <row r="288" hidden="1">
      <c r="A288" s="88" t="s">
        <v>338</v>
      </c>
      <c r="B288" s="95" t="s">
        <v>200</v>
      </c>
      <c r="C288" s="95"/>
      <c r="D288" s="95" t="s">
        <v>490</v>
      </c>
      <c r="E288" s="143">
        <v>0.0</v>
      </c>
      <c r="F288" s="144"/>
      <c r="G288" s="144">
        <f t="shared" si="3"/>
        <v>0</v>
      </c>
      <c r="H288" s="144"/>
      <c r="I288" s="14"/>
      <c r="J288" s="14"/>
    </row>
    <row r="289" hidden="1">
      <c r="A289" s="88" t="s">
        <v>338</v>
      </c>
      <c r="B289" s="95" t="s">
        <v>303</v>
      </c>
      <c r="C289" s="95"/>
      <c r="D289" s="95" t="s">
        <v>305</v>
      </c>
      <c r="E289" s="143">
        <v>0.0</v>
      </c>
      <c r="F289" s="144"/>
      <c r="G289" s="144">
        <f t="shared" si="3"/>
        <v>0</v>
      </c>
      <c r="H289" s="144"/>
      <c r="I289" s="14"/>
      <c r="J289" s="14"/>
    </row>
    <row r="290" hidden="1">
      <c r="A290" s="88" t="s">
        <v>338</v>
      </c>
      <c r="B290" s="95" t="s">
        <v>446</v>
      </c>
      <c r="C290" s="95"/>
      <c r="D290" s="95" t="s">
        <v>448</v>
      </c>
      <c r="E290" s="143">
        <v>0.0</v>
      </c>
      <c r="F290" s="144"/>
      <c r="G290" s="144">
        <f t="shared" si="3"/>
        <v>0</v>
      </c>
      <c r="H290" s="144"/>
      <c r="I290" s="14"/>
      <c r="J290" s="14"/>
    </row>
    <row r="291" hidden="1">
      <c r="A291" s="88" t="s">
        <v>338</v>
      </c>
      <c r="B291" s="95" t="s">
        <v>449</v>
      </c>
      <c r="C291" s="95"/>
      <c r="D291" s="95" t="s">
        <v>451</v>
      </c>
      <c r="E291" s="143">
        <v>0.0</v>
      </c>
      <c r="F291" s="144"/>
      <c r="G291" s="144">
        <f t="shared" si="3"/>
        <v>0</v>
      </c>
      <c r="H291" s="144"/>
      <c r="I291" s="14"/>
      <c r="J291" s="14"/>
    </row>
    <row r="292" hidden="1">
      <c r="A292" s="88" t="s">
        <v>338</v>
      </c>
      <c r="B292" s="95" t="s">
        <v>197</v>
      </c>
      <c r="C292" s="95"/>
      <c r="D292" s="95" t="s">
        <v>199</v>
      </c>
      <c r="E292" s="143">
        <v>0.0</v>
      </c>
      <c r="F292" s="144"/>
      <c r="G292" s="144">
        <f t="shared" si="3"/>
        <v>0</v>
      </c>
      <c r="H292" s="144"/>
      <c r="I292" s="14"/>
      <c r="J292" s="14"/>
    </row>
    <row r="293" hidden="1">
      <c r="A293" s="88" t="s">
        <v>338</v>
      </c>
      <c r="B293" s="95" t="s">
        <v>191</v>
      </c>
      <c r="C293" s="95"/>
      <c r="D293" s="95" t="s">
        <v>193</v>
      </c>
      <c r="E293" s="143">
        <v>0.0</v>
      </c>
      <c r="F293" s="144"/>
      <c r="G293" s="144">
        <f t="shared" si="3"/>
        <v>0</v>
      </c>
      <c r="H293" s="144"/>
      <c r="I293" s="14"/>
      <c r="J293" s="14"/>
    </row>
    <row r="294" hidden="1">
      <c r="A294" s="88" t="s">
        <v>338</v>
      </c>
      <c r="B294" s="95" t="s">
        <v>491</v>
      </c>
      <c r="C294" s="95"/>
      <c r="D294" s="95" t="s">
        <v>492</v>
      </c>
      <c r="E294" s="143">
        <v>0.0</v>
      </c>
      <c r="F294" s="144"/>
      <c r="G294" s="144">
        <f t="shared" si="3"/>
        <v>0</v>
      </c>
      <c r="H294" s="144"/>
      <c r="I294" s="14"/>
      <c r="J294" s="14"/>
    </row>
    <row r="295" hidden="1">
      <c r="A295" s="88" t="s">
        <v>340</v>
      </c>
      <c r="B295" s="92" t="s">
        <v>422</v>
      </c>
      <c r="C295" s="93"/>
      <c r="D295" s="93" t="s">
        <v>424</v>
      </c>
      <c r="E295" s="143">
        <v>76.0</v>
      </c>
      <c r="F295" s="144"/>
      <c r="G295" s="144">
        <f t="shared" si="3"/>
        <v>7600</v>
      </c>
      <c r="H295" s="144"/>
      <c r="I295" s="23"/>
      <c r="J295" s="23"/>
    </row>
    <row r="296" hidden="1">
      <c r="A296" s="88" t="s">
        <v>340</v>
      </c>
      <c r="B296" s="92" t="s">
        <v>493</v>
      </c>
      <c r="C296" s="93"/>
      <c r="D296" s="93" t="s">
        <v>494</v>
      </c>
      <c r="E296" s="143">
        <v>75.0</v>
      </c>
      <c r="F296" s="144"/>
      <c r="G296" s="144">
        <f t="shared" si="3"/>
        <v>7500</v>
      </c>
      <c r="H296" s="144"/>
      <c r="I296" s="23"/>
      <c r="J296" s="23"/>
    </row>
    <row r="297" hidden="1">
      <c r="A297" s="88" t="s">
        <v>340</v>
      </c>
      <c r="B297" s="92" t="s">
        <v>425</v>
      </c>
      <c r="C297" s="93"/>
      <c r="D297" s="93" t="s">
        <v>495</v>
      </c>
      <c r="E297" s="143">
        <v>75.0</v>
      </c>
      <c r="F297" s="144"/>
      <c r="G297" s="144">
        <f t="shared" si="3"/>
        <v>7500</v>
      </c>
      <c r="H297" s="144"/>
      <c r="I297" s="23"/>
      <c r="J297" s="23"/>
    </row>
    <row r="298" hidden="1">
      <c r="A298" s="88" t="s">
        <v>340</v>
      </c>
      <c r="B298" s="92" t="s">
        <v>428</v>
      </c>
      <c r="C298" s="93"/>
      <c r="D298" s="93" t="s">
        <v>430</v>
      </c>
      <c r="E298" s="143">
        <v>79.0</v>
      </c>
      <c r="F298" s="144"/>
      <c r="G298" s="144">
        <f t="shared" si="3"/>
        <v>7900</v>
      </c>
      <c r="H298" s="144"/>
      <c r="I298" s="23"/>
      <c r="J298" s="23"/>
    </row>
    <row r="299" hidden="1">
      <c r="A299" s="88" t="s">
        <v>340</v>
      </c>
      <c r="B299" s="92" t="s">
        <v>431</v>
      </c>
      <c r="C299" s="93"/>
      <c r="D299" s="93" t="s">
        <v>433</v>
      </c>
      <c r="E299" s="143">
        <v>75.0</v>
      </c>
      <c r="F299" s="144"/>
      <c r="G299" s="144">
        <f t="shared" si="3"/>
        <v>7500</v>
      </c>
      <c r="H299" s="144"/>
      <c r="I299" s="23"/>
      <c r="J299" s="23"/>
    </row>
    <row r="300" hidden="1">
      <c r="A300" s="88" t="s">
        <v>340</v>
      </c>
      <c r="B300" s="92" t="s">
        <v>434</v>
      </c>
      <c r="C300" s="93"/>
      <c r="D300" s="93" t="s">
        <v>436</v>
      </c>
      <c r="E300" s="143">
        <v>75.0</v>
      </c>
      <c r="F300" s="144"/>
      <c r="G300" s="144">
        <f t="shared" si="3"/>
        <v>7500</v>
      </c>
      <c r="H300" s="144"/>
      <c r="I300" s="23"/>
      <c r="J300" s="23"/>
    </row>
    <row r="301" hidden="1">
      <c r="A301" s="88" t="s">
        <v>340</v>
      </c>
      <c r="B301" s="92" t="s">
        <v>437</v>
      </c>
      <c r="C301" s="93"/>
      <c r="D301" s="93" t="s">
        <v>439</v>
      </c>
      <c r="E301" s="143">
        <v>76.0</v>
      </c>
      <c r="F301" s="144"/>
      <c r="G301" s="144">
        <f t="shared" si="3"/>
        <v>7600</v>
      </c>
      <c r="H301" s="144"/>
      <c r="I301" s="23"/>
      <c r="J301" s="23"/>
    </row>
    <row r="302" hidden="1">
      <c r="A302" s="88" t="s">
        <v>340</v>
      </c>
      <c r="B302" s="92" t="s">
        <v>440</v>
      </c>
      <c r="C302" s="93"/>
      <c r="D302" s="93" t="s">
        <v>442</v>
      </c>
      <c r="E302" s="143">
        <v>76.0</v>
      </c>
      <c r="F302" s="144"/>
      <c r="G302" s="144">
        <f t="shared" si="3"/>
        <v>7600</v>
      </c>
      <c r="H302" s="144"/>
      <c r="I302" s="23"/>
      <c r="J302" s="23"/>
    </row>
    <row r="303" hidden="1">
      <c r="A303" s="88" t="s">
        <v>340</v>
      </c>
      <c r="B303" s="92" t="s">
        <v>262</v>
      </c>
      <c r="C303" s="93"/>
      <c r="D303" s="93" t="s">
        <v>264</v>
      </c>
      <c r="E303" s="143">
        <v>44.0</v>
      </c>
      <c r="F303" s="144"/>
      <c r="G303" s="144">
        <f t="shared" si="3"/>
        <v>0</v>
      </c>
      <c r="H303" s="144"/>
      <c r="I303" s="23"/>
      <c r="J303" s="23"/>
    </row>
    <row r="304" hidden="1">
      <c r="A304" s="88" t="s">
        <v>340</v>
      </c>
      <c r="B304" s="95" t="s">
        <v>258</v>
      </c>
      <c r="C304" s="94"/>
      <c r="D304" s="94" t="s">
        <v>496</v>
      </c>
      <c r="E304" s="143">
        <v>22.0</v>
      </c>
      <c r="F304" s="144"/>
      <c r="G304" s="144">
        <f t="shared" si="3"/>
        <v>0</v>
      </c>
      <c r="H304" s="144"/>
      <c r="I304" s="14"/>
      <c r="J304" s="14"/>
    </row>
    <row r="305" hidden="1">
      <c r="A305" s="88" t="s">
        <v>340</v>
      </c>
      <c r="B305" s="94" t="s">
        <v>182</v>
      </c>
      <c r="C305" s="94"/>
      <c r="D305" s="94" t="s">
        <v>497</v>
      </c>
      <c r="E305" s="143">
        <v>37.0</v>
      </c>
      <c r="F305" s="144"/>
      <c r="G305" s="144">
        <f t="shared" si="3"/>
        <v>0</v>
      </c>
      <c r="H305" s="144"/>
      <c r="I305" s="14"/>
      <c r="J305" s="14"/>
    </row>
    <row r="306" hidden="1">
      <c r="A306" s="88" t="s">
        <v>340</v>
      </c>
      <c r="B306" s="94" t="s">
        <v>185</v>
      </c>
      <c r="C306" s="94"/>
      <c r="D306" s="94" t="s">
        <v>187</v>
      </c>
      <c r="E306" s="143">
        <v>29.0</v>
      </c>
      <c r="F306" s="144"/>
      <c r="G306" s="144">
        <f t="shared" si="3"/>
        <v>0</v>
      </c>
      <c r="H306" s="144"/>
      <c r="I306" s="14"/>
      <c r="J306" s="14"/>
    </row>
    <row r="307" hidden="1">
      <c r="A307" s="88" t="s">
        <v>340</v>
      </c>
      <c r="B307" s="94" t="s">
        <v>188</v>
      </c>
      <c r="C307" s="94"/>
      <c r="D307" s="94" t="s">
        <v>190</v>
      </c>
      <c r="E307" s="143">
        <v>26.0</v>
      </c>
      <c r="F307" s="144"/>
      <c r="G307" s="144">
        <f t="shared" si="3"/>
        <v>0</v>
      </c>
      <c r="H307" s="144"/>
      <c r="I307" s="14"/>
      <c r="J307" s="14"/>
    </row>
    <row r="308" hidden="1">
      <c r="A308" s="88" t="s">
        <v>341</v>
      </c>
      <c r="B308" s="92" t="s">
        <v>422</v>
      </c>
      <c r="C308" s="93"/>
      <c r="D308" s="93" t="s">
        <v>424</v>
      </c>
      <c r="E308" s="143">
        <v>77.0</v>
      </c>
      <c r="F308" s="144"/>
      <c r="G308" s="144">
        <f t="shared" si="3"/>
        <v>7700</v>
      </c>
      <c r="H308" s="144"/>
      <c r="I308" s="23"/>
      <c r="J308" s="23"/>
    </row>
    <row r="309" hidden="1">
      <c r="A309" s="88" t="s">
        <v>341</v>
      </c>
      <c r="B309" s="92" t="s">
        <v>493</v>
      </c>
      <c r="C309" s="93"/>
      <c r="D309" s="93" t="s">
        <v>494</v>
      </c>
      <c r="E309" s="143">
        <v>75.0</v>
      </c>
      <c r="F309" s="144"/>
      <c r="G309" s="144">
        <f t="shared" si="3"/>
        <v>7500</v>
      </c>
      <c r="H309" s="144"/>
      <c r="I309" s="23"/>
      <c r="J309" s="23"/>
    </row>
    <row r="310" hidden="1">
      <c r="A310" s="88" t="s">
        <v>341</v>
      </c>
      <c r="B310" s="92" t="s">
        <v>425</v>
      </c>
      <c r="C310" s="93"/>
      <c r="D310" s="93" t="s">
        <v>495</v>
      </c>
      <c r="E310" s="143">
        <v>75.0</v>
      </c>
      <c r="F310" s="144"/>
      <c r="G310" s="144">
        <f t="shared" si="3"/>
        <v>7500</v>
      </c>
      <c r="H310" s="144"/>
      <c r="I310" s="23"/>
      <c r="J310" s="23"/>
    </row>
    <row r="311" hidden="1">
      <c r="A311" s="88" t="s">
        <v>341</v>
      </c>
      <c r="B311" s="92" t="s">
        <v>428</v>
      </c>
      <c r="C311" s="93"/>
      <c r="D311" s="93" t="s">
        <v>430</v>
      </c>
      <c r="E311" s="143">
        <v>80.0</v>
      </c>
      <c r="F311" s="144"/>
      <c r="G311" s="144">
        <f t="shared" si="3"/>
        <v>8000</v>
      </c>
      <c r="H311" s="144"/>
      <c r="I311" s="23"/>
      <c r="J311" s="23"/>
    </row>
    <row r="312" hidden="1">
      <c r="A312" s="88" t="s">
        <v>341</v>
      </c>
      <c r="B312" s="92" t="s">
        <v>431</v>
      </c>
      <c r="C312" s="93"/>
      <c r="D312" s="93" t="s">
        <v>433</v>
      </c>
      <c r="E312" s="143">
        <v>80.0</v>
      </c>
      <c r="F312" s="144"/>
      <c r="G312" s="144">
        <f t="shared" si="3"/>
        <v>8000</v>
      </c>
      <c r="H312" s="144"/>
      <c r="I312" s="23"/>
      <c r="J312" s="23"/>
    </row>
    <row r="313" hidden="1">
      <c r="A313" s="88" t="s">
        <v>341</v>
      </c>
      <c r="B313" s="92" t="s">
        <v>434</v>
      </c>
      <c r="C313" s="93"/>
      <c r="D313" s="93" t="s">
        <v>436</v>
      </c>
      <c r="E313" s="143">
        <v>75.0</v>
      </c>
      <c r="F313" s="144"/>
      <c r="G313" s="144">
        <f t="shared" si="3"/>
        <v>7500</v>
      </c>
      <c r="H313" s="144"/>
      <c r="I313" s="23"/>
      <c r="J313" s="23"/>
    </row>
    <row r="314" hidden="1">
      <c r="A314" s="88" t="s">
        <v>341</v>
      </c>
      <c r="B314" s="92" t="s">
        <v>437</v>
      </c>
      <c r="C314" s="93"/>
      <c r="D314" s="93" t="s">
        <v>439</v>
      </c>
      <c r="E314" s="143">
        <v>65.0</v>
      </c>
      <c r="F314" s="144"/>
      <c r="G314" s="144">
        <f t="shared" si="3"/>
        <v>4875</v>
      </c>
      <c r="H314" s="144"/>
      <c r="I314" s="23"/>
      <c r="J314" s="23"/>
    </row>
    <row r="315" hidden="1">
      <c r="A315" s="88" t="s">
        <v>341</v>
      </c>
      <c r="B315" s="92" t="s">
        <v>440</v>
      </c>
      <c r="C315" s="93"/>
      <c r="D315" s="93" t="s">
        <v>442</v>
      </c>
      <c r="E315" s="143">
        <v>54.0</v>
      </c>
      <c r="F315" s="144"/>
      <c r="G315" s="144">
        <f t="shared" si="3"/>
        <v>2700</v>
      </c>
      <c r="H315" s="144"/>
      <c r="I315" s="23"/>
      <c r="J315" s="23"/>
    </row>
    <row r="316" hidden="1">
      <c r="A316" s="88" t="s">
        <v>341</v>
      </c>
      <c r="B316" s="92" t="s">
        <v>262</v>
      </c>
      <c r="C316" s="93"/>
      <c r="D316" s="93" t="s">
        <v>264</v>
      </c>
      <c r="E316" s="143">
        <v>60.0</v>
      </c>
      <c r="F316" s="144"/>
      <c r="G316" s="144">
        <f t="shared" si="3"/>
        <v>3000</v>
      </c>
      <c r="H316" s="144"/>
      <c r="I316" s="23"/>
      <c r="J316" s="23"/>
    </row>
    <row r="317" hidden="1">
      <c r="A317" s="88" t="s">
        <v>341</v>
      </c>
      <c r="B317" s="95" t="s">
        <v>258</v>
      </c>
      <c r="C317" s="94"/>
      <c r="D317" s="94" t="s">
        <v>496</v>
      </c>
      <c r="E317" s="143">
        <v>10.0</v>
      </c>
      <c r="F317" s="144"/>
      <c r="G317" s="144">
        <f t="shared" si="3"/>
        <v>0</v>
      </c>
      <c r="H317" s="144"/>
      <c r="I317" s="14"/>
      <c r="J317" s="14"/>
    </row>
    <row r="318" hidden="1">
      <c r="A318" s="88" t="s">
        <v>341</v>
      </c>
      <c r="B318" s="94" t="s">
        <v>182</v>
      </c>
      <c r="C318" s="94"/>
      <c r="D318" s="94" t="s">
        <v>497</v>
      </c>
      <c r="E318" s="143">
        <v>26.0</v>
      </c>
      <c r="F318" s="144"/>
      <c r="G318" s="144">
        <f t="shared" si="3"/>
        <v>0</v>
      </c>
      <c r="H318" s="144"/>
      <c r="I318" s="14"/>
      <c r="J318" s="14"/>
    </row>
    <row r="319" hidden="1">
      <c r="A319" s="88" t="s">
        <v>341</v>
      </c>
      <c r="B319" s="94" t="s">
        <v>185</v>
      </c>
      <c r="C319" s="94"/>
      <c r="D319" s="94" t="s">
        <v>187</v>
      </c>
      <c r="E319" s="143">
        <v>31.0</v>
      </c>
      <c r="F319" s="144"/>
      <c r="G319" s="144">
        <f t="shared" si="3"/>
        <v>0</v>
      </c>
      <c r="H319" s="144"/>
      <c r="I319" s="14"/>
      <c r="J319" s="14"/>
    </row>
    <row r="320" hidden="1">
      <c r="A320" s="88" t="s">
        <v>341</v>
      </c>
      <c r="B320" s="94" t="s">
        <v>188</v>
      </c>
      <c r="C320" s="94"/>
      <c r="D320" s="94" t="s">
        <v>190</v>
      </c>
      <c r="E320" s="143">
        <v>21.0</v>
      </c>
      <c r="F320" s="144"/>
      <c r="G320" s="144">
        <f t="shared" si="3"/>
        <v>0</v>
      </c>
      <c r="H320" s="144"/>
      <c r="I320" s="14"/>
      <c r="J320" s="14"/>
    </row>
    <row r="321" hidden="1">
      <c r="A321" s="88" t="s">
        <v>341</v>
      </c>
      <c r="B321" s="94" t="s">
        <v>491</v>
      </c>
      <c r="C321" s="94"/>
      <c r="D321" s="94" t="s">
        <v>498</v>
      </c>
      <c r="E321" s="126"/>
      <c r="F321" s="144"/>
      <c r="G321" s="144">
        <f t="shared" si="3"/>
        <v>0</v>
      </c>
      <c r="H321" s="144"/>
      <c r="I321" s="14"/>
      <c r="J321" s="14"/>
    </row>
    <row r="322" hidden="1">
      <c r="A322" s="88" t="s">
        <v>342</v>
      </c>
      <c r="B322" s="92" t="s">
        <v>422</v>
      </c>
      <c r="C322" s="93"/>
      <c r="D322" s="93" t="s">
        <v>424</v>
      </c>
      <c r="E322" s="143">
        <v>78.0</v>
      </c>
      <c r="F322" s="144"/>
      <c r="G322" s="144">
        <f t="shared" si="3"/>
        <v>7800</v>
      </c>
      <c r="H322" s="144"/>
      <c r="I322" s="23"/>
      <c r="J322" s="23"/>
    </row>
    <row r="323" hidden="1">
      <c r="A323" s="88" t="s">
        <v>342</v>
      </c>
      <c r="B323" s="92" t="s">
        <v>493</v>
      </c>
      <c r="C323" s="93"/>
      <c r="D323" s="93" t="s">
        <v>494</v>
      </c>
      <c r="E323" s="143">
        <v>75.0</v>
      </c>
      <c r="F323" s="144"/>
      <c r="G323" s="144">
        <f t="shared" si="3"/>
        <v>7500</v>
      </c>
      <c r="H323" s="144"/>
      <c r="I323" s="23"/>
      <c r="J323" s="23"/>
    </row>
    <row r="324" hidden="1">
      <c r="A324" s="88" t="s">
        <v>342</v>
      </c>
      <c r="B324" s="92" t="s">
        <v>425</v>
      </c>
      <c r="C324" s="93"/>
      <c r="D324" s="93" t="s">
        <v>495</v>
      </c>
      <c r="E324" s="143">
        <v>75.0</v>
      </c>
      <c r="F324" s="144"/>
      <c r="G324" s="144">
        <f t="shared" si="3"/>
        <v>7500</v>
      </c>
      <c r="H324" s="144"/>
      <c r="I324" s="23"/>
      <c r="J324" s="23"/>
    </row>
    <row r="325" hidden="1">
      <c r="A325" s="88" t="s">
        <v>342</v>
      </c>
      <c r="B325" s="92" t="s">
        <v>428</v>
      </c>
      <c r="C325" s="93"/>
      <c r="D325" s="93" t="s">
        <v>430</v>
      </c>
      <c r="E325" s="143">
        <v>76.0</v>
      </c>
      <c r="F325" s="144"/>
      <c r="G325" s="144">
        <f t="shared" si="3"/>
        <v>7600</v>
      </c>
      <c r="H325" s="144"/>
      <c r="I325" s="23"/>
      <c r="J325" s="23"/>
    </row>
    <row r="326" hidden="1">
      <c r="A326" s="88" t="s">
        <v>342</v>
      </c>
      <c r="B326" s="92" t="s">
        <v>431</v>
      </c>
      <c r="C326" s="93"/>
      <c r="D326" s="93" t="s">
        <v>433</v>
      </c>
      <c r="E326" s="143">
        <v>66.0</v>
      </c>
      <c r="F326" s="144"/>
      <c r="G326" s="144">
        <f t="shared" si="3"/>
        <v>4950</v>
      </c>
      <c r="H326" s="144"/>
      <c r="I326" s="23"/>
      <c r="J326" s="23"/>
    </row>
    <row r="327" hidden="1">
      <c r="A327" s="88" t="s">
        <v>342</v>
      </c>
      <c r="B327" s="92" t="s">
        <v>434</v>
      </c>
      <c r="C327" s="93"/>
      <c r="D327" s="93" t="s">
        <v>436</v>
      </c>
      <c r="E327" s="143">
        <v>75.0</v>
      </c>
      <c r="F327" s="144"/>
      <c r="G327" s="144">
        <f t="shared" si="3"/>
        <v>7500</v>
      </c>
      <c r="H327" s="144"/>
      <c r="I327" s="23"/>
      <c r="J327" s="23"/>
    </row>
    <row r="328" hidden="1">
      <c r="A328" s="88" t="s">
        <v>342</v>
      </c>
      <c r="B328" s="92" t="s">
        <v>437</v>
      </c>
      <c r="C328" s="93"/>
      <c r="D328" s="93" t="s">
        <v>439</v>
      </c>
      <c r="E328" s="143">
        <v>65.0</v>
      </c>
      <c r="F328" s="144"/>
      <c r="G328" s="144">
        <f t="shared" si="3"/>
        <v>4875</v>
      </c>
      <c r="H328" s="144"/>
      <c r="I328" s="23"/>
      <c r="J328" s="23"/>
    </row>
    <row r="329" hidden="1">
      <c r="A329" s="88" t="s">
        <v>342</v>
      </c>
      <c r="B329" s="92" t="s">
        <v>440</v>
      </c>
      <c r="C329" s="93"/>
      <c r="D329" s="93" t="s">
        <v>442</v>
      </c>
      <c r="E329" s="143">
        <v>58.0</v>
      </c>
      <c r="F329" s="144"/>
      <c r="G329" s="144">
        <f t="shared" si="3"/>
        <v>2900</v>
      </c>
      <c r="H329" s="144"/>
      <c r="I329" s="23"/>
      <c r="J329" s="23"/>
    </row>
    <row r="330" hidden="1">
      <c r="A330" s="88" t="s">
        <v>342</v>
      </c>
      <c r="B330" s="92" t="s">
        <v>262</v>
      </c>
      <c r="C330" s="93"/>
      <c r="D330" s="93" t="s">
        <v>264</v>
      </c>
      <c r="E330" s="143">
        <v>51.0</v>
      </c>
      <c r="F330" s="144"/>
      <c r="G330" s="144">
        <f t="shared" si="3"/>
        <v>2550</v>
      </c>
      <c r="H330" s="144"/>
      <c r="I330" s="23"/>
      <c r="J330" s="23"/>
    </row>
    <row r="331" hidden="1">
      <c r="A331" s="88" t="s">
        <v>342</v>
      </c>
      <c r="B331" s="95" t="s">
        <v>258</v>
      </c>
      <c r="C331" s="95"/>
      <c r="D331" s="95" t="s">
        <v>496</v>
      </c>
      <c r="E331" s="143">
        <v>0.0</v>
      </c>
      <c r="F331" s="144"/>
      <c r="G331" s="144">
        <f t="shared" si="3"/>
        <v>0</v>
      </c>
      <c r="H331" s="144"/>
      <c r="I331" s="14"/>
      <c r="J331" s="14"/>
    </row>
    <row r="332" hidden="1">
      <c r="A332" s="88" t="s">
        <v>342</v>
      </c>
      <c r="B332" s="94" t="s">
        <v>182</v>
      </c>
      <c r="C332" s="95"/>
      <c r="D332" s="95" t="s">
        <v>497</v>
      </c>
      <c r="E332" s="143">
        <v>0.0</v>
      </c>
      <c r="F332" s="144"/>
      <c r="G332" s="144">
        <f t="shared" si="3"/>
        <v>0</v>
      </c>
      <c r="H332" s="144"/>
      <c r="I332" s="14"/>
      <c r="J332" s="14"/>
    </row>
    <row r="333" hidden="1">
      <c r="A333" s="88" t="s">
        <v>342</v>
      </c>
      <c r="B333" s="94" t="s">
        <v>185</v>
      </c>
      <c r="C333" s="95"/>
      <c r="D333" s="95" t="s">
        <v>187</v>
      </c>
      <c r="E333" s="143">
        <v>0.0</v>
      </c>
      <c r="F333" s="144"/>
      <c r="G333" s="144">
        <f t="shared" si="3"/>
        <v>0</v>
      </c>
      <c r="H333" s="144"/>
      <c r="I333" s="14"/>
      <c r="J333" s="14"/>
    </row>
    <row r="334" hidden="1">
      <c r="A334" s="88" t="s">
        <v>342</v>
      </c>
      <c r="B334" s="94" t="s">
        <v>188</v>
      </c>
      <c r="C334" s="95"/>
      <c r="D334" s="95" t="s">
        <v>190</v>
      </c>
      <c r="E334" s="143">
        <v>0.0</v>
      </c>
      <c r="F334" s="144"/>
      <c r="G334" s="144">
        <f t="shared" si="3"/>
        <v>0</v>
      </c>
      <c r="H334" s="144"/>
      <c r="I334" s="14"/>
      <c r="J334" s="14"/>
    </row>
    <row r="335" hidden="1">
      <c r="A335" s="88" t="s">
        <v>342</v>
      </c>
      <c r="B335" s="94" t="s">
        <v>113</v>
      </c>
      <c r="C335" s="78"/>
      <c r="D335" s="78"/>
      <c r="E335" s="126"/>
      <c r="F335" s="144"/>
      <c r="G335" s="144">
        <f t="shared" si="3"/>
        <v>0</v>
      </c>
      <c r="H335" s="144"/>
      <c r="I335" s="14"/>
      <c r="J335" s="14"/>
    </row>
    <row r="336" hidden="1">
      <c r="A336" s="88" t="s">
        <v>342</v>
      </c>
      <c r="B336" s="94" t="s">
        <v>499</v>
      </c>
      <c r="C336" s="78"/>
      <c r="D336" s="78"/>
      <c r="E336" s="126"/>
      <c r="F336" s="144"/>
      <c r="G336" s="144">
        <f t="shared" si="3"/>
        <v>0</v>
      </c>
      <c r="H336" s="144"/>
      <c r="I336" s="14"/>
      <c r="J336" s="14"/>
    </row>
    <row r="337" hidden="1">
      <c r="A337" s="88" t="s">
        <v>342</v>
      </c>
      <c r="B337" s="94" t="s">
        <v>107</v>
      </c>
      <c r="C337" s="78"/>
      <c r="D337" s="78"/>
      <c r="E337" s="126"/>
      <c r="F337" s="144"/>
      <c r="G337" s="144">
        <f t="shared" si="3"/>
        <v>0</v>
      </c>
      <c r="H337" s="144"/>
      <c r="I337" s="14"/>
      <c r="J337" s="14"/>
    </row>
    <row r="338" hidden="1">
      <c r="A338" s="88" t="s">
        <v>342</v>
      </c>
      <c r="B338" s="95" t="s">
        <v>95</v>
      </c>
      <c r="C338" s="78"/>
      <c r="D338" s="78"/>
      <c r="E338" s="126"/>
      <c r="F338" s="144"/>
      <c r="G338" s="144">
        <f t="shared" si="3"/>
        <v>0</v>
      </c>
      <c r="H338" s="144"/>
      <c r="I338" s="14"/>
      <c r="J338" s="14"/>
    </row>
    <row r="339" hidden="1">
      <c r="A339" s="88" t="s">
        <v>342</v>
      </c>
      <c r="B339" s="94" t="s">
        <v>104</v>
      </c>
      <c r="C339" s="78"/>
      <c r="D339" s="78"/>
      <c r="E339" s="126"/>
      <c r="F339" s="144"/>
      <c r="G339" s="144">
        <f t="shared" si="3"/>
        <v>0</v>
      </c>
      <c r="H339" s="144"/>
      <c r="I339" s="14"/>
      <c r="J339" s="14"/>
    </row>
    <row r="340" hidden="1">
      <c r="A340" s="88" t="s">
        <v>342</v>
      </c>
      <c r="B340" s="95" t="s">
        <v>116</v>
      </c>
      <c r="C340" s="78"/>
      <c r="D340" s="78"/>
      <c r="E340" s="126"/>
      <c r="F340" s="144"/>
      <c r="G340" s="144">
        <f t="shared" si="3"/>
        <v>0</v>
      </c>
      <c r="H340" s="144"/>
      <c r="I340" s="14"/>
      <c r="J340" s="14"/>
    </row>
    <row r="341" hidden="1">
      <c r="A341" s="88" t="s">
        <v>342</v>
      </c>
      <c r="B341" s="95" t="s">
        <v>491</v>
      </c>
      <c r="C341" s="95"/>
      <c r="D341" s="95" t="s">
        <v>498</v>
      </c>
      <c r="E341" s="143">
        <v>1.0</v>
      </c>
      <c r="F341" s="144"/>
      <c r="G341" s="144">
        <f t="shared" si="3"/>
        <v>0</v>
      </c>
      <c r="H341" s="144"/>
      <c r="I341" s="14"/>
      <c r="J341" s="14"/>
    </row>
    <row r="342" hidden="1">
      <c r="A342" s="88" t="s">
        <v>347</v>
      </c>
      <c r="B342" s="92" t="s">
        <v>422</v>
      </c>
      <c r="C342" s="93"/>
      <c r="D342" s="93" t="s">
        <v>424</v>
      </c>
      <c r="E342" s="143">
        <v>65.0</v>
      </c>
      <c r="F342" s="144"/>
      <c r="G342" s="144">
        <f t="shared" si="3"/>
        <v>4875</v>
      </c>
      <c r="H342" s="144"/>
      <c r="I342" s="144"/>
      <c r="J342" s="144"/>
    </row>
    <row r="343" hidden="1">
      <c r="A343" s="88" t="s">
        <v>347</v>
      </c>
      <c r="B343" s="92" t="s">
        <v>493</v>
      </c>
      <c r="C343" s="93"/>
      <c r="D343" s="93" t="s">
        <v>494</v>
      </c>
      <c r="E343" s="143">
        <v>65.0</v>
      </c>
      <c r="F343" s="144"/>
      <c r="G343" s="144">
        <f t="shared" si="3"/>
        <v>4875</v>
      </c>
      <c r="H343" s="144"/>
      <c r="I343" s="144"/>
      <c r="J343" s="144"/>
    </row>
    <row r="344" hidden="1">
      <c r="A344" s="88" t="s">
        <v>347</v>
      </c>
      <c r="B344" s="92" t="s">
        <v>425</v>
      </c>
      <c r="C344" s="93"/>
      <c r="D344" s="93" t="s">
        <v>495</v>
      </c>
      <c r="E344" s="143">
        <v>65.0</v>
      </c>
      <c r="F344" s="144"/>
      <c r="G344" s="144">
        <f t="shared" si="3"/>
        <v>4875</v>
      </c>
      <c r="H344" s="144"/>
      <c r="I344" s="144"/>
      <c r="J344" s="144"/>
    </row>
    <row r="345" hidden="1">
      <c r="A345" s="88" t="s">
        <v>347</v>
      </c>
      <c r="B345" s="92" t="s">
        <v>428</v>
      </c>
      <c r="C345" s="93"/>
      <c r="D345" s="93" t="s">
        <v>430</v>
      </c>
      <c r="E345" s="143">
        <v>50.0</v>
      </c>
      <c r="F345" s="144"/>
      <c r="G345" s="144">
        <f t="shared" si="3"/>
        <v>2500</v>
      </c>
      <c r="H345" s="144"/>
      <c r="I345" s="144"/>
      <c r="J345" s="144"/>
    </row>
    <row r="346" hidden="1">
      <c r="A346" s="88" t="s">
        <v>347</v>
      </c>
      <c r="B346" s="92" t="s">
        <v>431</v>
      </c>
      <c r="C346" s="93"/>
      <c r="D346" s="93" t="s">
        <v>433</v>
      </c>
      <c r="E346" s="143">
        <v>36.0</v>
      </c>
      <c r="F346" s="144"/>
      <c r="G346" s="144">
        <f t="shared" si="3"/>
        <v>0</v>
      </c>
      <c r="H346" s="144"/>
      <c r="I346" s="144"/>
      <c r="J346" s="144"/>
    </row>
    <row r="347" hidden="1">
      <c r="A347" s="88" t="s">
        <v>347</v>
      </c>
      <c r="B347" s="92" t="s">
        <v>434</v>
      </c>
      <c r="C347" s="93"/>
      <c r="D347" s="93" t="s">
        <v>436</v>
      </c>
      <c r="E347" s="143">
        <v>59.0</v>
      </c>
      <c r="F347" s="144"/>
      <c r="G347" s="144">
        <f t="shared" si="3"/>
        <v>2950</v>
      </c>
      <c r="H347" s="144"/>
      <c r="I347" s="144"/>
      <c r="J347" s="144"/>
    </row>
    <row r="348" hidden="1">
      <c r="A348" s="88" t="s">
        <v>347</v>
      </c>
      <c r="B348" s="92" t="s">
        <v>437</v>
      </c>
      <c r="C348" s="93"/>
      <c r="D348" s="93" t="s">
        <v>439</v>
      </c>
      <c r="E348" s="143">
        <v>50.0</v>
      </c>
      <c r="F348" s="144"/>
      <c r="G348" s="144">
        <f t="shared" si="3"/>
        <v>2500</v>
      </c>
      <c r="H348" s="144"/>
      <c r="I348" s="144"/>
      <c r="J348" s="144"/>
    </row>
    <row r="349" hidden="1">
      <c r="A349" s="88" t="s">
        <v>347</v>
      </c>
      <c r="B349" s="92" t="s">
        <v>440</v>
      </c>
      <c r="C349" s="93"/>
      <c r="D349" s="93" t="s">
        <v>442</v>
      </c>
      <c r="E349" s="143">
        <v>44.0</v>
      </c>
      <c r="F349" s="144"/>
      <c r="G349" s="144">
        <f t="shared" si="3"/>
        <v>0</v>
      </c>
      <c r="H349" s="144"/>
      <c r="I349" s="144"/>
      <c r="J349" s="144"/>
    </row>
    <row r="350" hidden="1">
      <c r="A350" s="88" t="s">
        <v>347</v>
      </c>
      <c r="B350" s="92" t="s">
        <v>262</v>
      </c>
      <c r="C350" s="93"/>
      <c r="D350" s="93" t="s">
        <v>264</v>
      </c>
      <c r="E350" s="143">
        <v>39.0</v>
      </c>
      <c r="F350" s="144"/>
      <c r="G350" s="144">
        <f t="shared" si="3"/>
        <v>0</v>
      </c>
      <c r="H350" s="144"/>
      <c r="I350" s="144"/>
      <c r="J350" s="144"/>
    </row>
    <row r="351" hidden="1">
      <c r="A351" s="88" t="s">
        <v>347</v>
      </c>
      <c r="B351" s="94" t="s">
        <v>291</v>
      </c>
      <c r="C351" s="93"/>
      <c r="D351" s="93" t="s">
        <v>293</v>
      </c>
      <c r="E351" s="143">
        <v>0.0</v>
      </c>
      <c r="F351" s="144"/>
      <c r="G351" s="144">
        <f t="shared" si="3"/>
        <v>0</v>
      </c>
      <c r="H351" s="144"/>
      <c r="I351" s="144"/>
      <c r="J351" s="144"/>
    </row>
    <row r="352" hidden="1">
      <c r="A352" s="88" t="s">
        <v>347</v>
      </c>
      <c r="B352" s="99" t="s">
        <v>258</v>
      </c>
      <c r="C352" s="101"/>
      <c r="D352" s="101" t="s">
        <v>500</v>
      </c>
      <c r="E352" s="143">
        <v>0.0</v>
      </c>
      <c r="F352" s="144"/>
      <c r="G352" s="144">
        <f t="shared" si="3"/>
        <v>0</v>
      </c>
      <c r="H352" s="144"/>
    </row>
    <row r="353" hidden="1">
      <c r="A353" s="88" t="s">
        <v>347</v>
      </c>
      <c r="B353" s="101" t="s">
        <v>182</v>
      </c>
      <c r="C353" s="101"/>
      <c r="D353" s="101" t="s">
        <v>501</v>
      </c>
      <c r="E353" s="143">
        <v>0.0</v>
      </c>
      <c r="F353" s="144"/>
      <c r="G353" s="144">
        <f t="shared" si="3"/>
        <v>0</v>
      </c>
      <c r="H353" s="144"/>
    </row>
    <row r="354" hidden="1">
      <c r="A354" s="88" t="s">
        <v>347</v>
      </c>
      <c r="B354" s="101" t="s">
        <v>185</v>
      </c>
      <c r="C354" s="101"/>
      <c r="D354" s="101" t="s">
        <v>502</v>
      </c>
      <c r="E354" s="143">
        <v>0.0</v>
      </c>
      <c r="F354" s="144"/>
      <c r="G354" s="144">
        <f t="shared" si="3"/>
        <v>0</v>
      </c>
      <c r="H354" s="144"/>
    </row>
    <row r="355" hidden="1">
      <c r="A355" s="88" t="s">
        <v>347</v>
      </c>
      <c r="B355" s="101" t="s">
        <v>188</v>
      </c>
      <c r="C355" s="101"/>
      <c r="D355" s="101" t="s">
        <v>503</v>
      </c>
      <c r="E355" s="143">
        <v>0.0</v>
      </c>
      <c r="F355" s="144"/>
      <c r="G355" s="144">
        <f t="shared" si="3"/>
        <v>0</v>
      </c>
      <c r="H355" s="144"/>
    </row>
    <row r="356" hidden="1">
      <c r="A356" s="88" t="s">
        <v>347</v>
      </c>
      <c r="B356" s="101" t="s">
        <v>113</v>
      </c>
      <c r="E356" s="143">
        <v>0.0</v>
      </c>
      <c r="F356" s="144"/>
      <c r="G356" s="144">
        <f t="shared" si="3"/>
        <v>0</v>
      </c>
      <c r="H356" s="144"/>
    </row>
    <row r="357" hidden="1">
      <c r="A357" s="88" t="s">
        <v>347</v>
      </c>
      <c r="B357" s="101" t="s">
        <v>499</v>
      </c>
      <c r="E357" s="143">
        <v>0.0</v>
      </c>
      <c r="F357" s="144"/>
      <c r="G357" s="144">
        <f t="shared" si="3"/>
        <v>0</v>
      </c>
      <c r="H357" s="144"/>
    </row>
    <row r="358" hidden="1">
      <c r="A358" s="88" t="s">
        <v>347</v>
      </c>
      <c r="B358" s="101" t="s">
        <v>107</v>
      </c>
      <c r="E358" s="143">
        <v>0.0</v>
      </c>
      <c r="F358" s="144"/>
      <c r="G358" s="144">
        <f t="shared" si="3"/>
        <v>0</v>
      </c>
      <c r="H358" s="144"/>
    </row>
    <row r="359" hidden="1">
      <c r="A359" s="88" t="s">
        <v>347</v>
      </c>
      <c r="B359" s="99" t="s">
        <v>95</v>
      </c>
      <c r="E359" s="143">
        <v>0.0</v>
      </c>
      <c r="F359" s="144"/>
      <c r="G359" s="144">
        <f t="shared" si="3"/>
        <v>0</v>
      </c>
      <c r="H359" s="144"/>
    </row>
    <row r="360" hidden="1">
      <c r="A360" s="88" t="s">
        <v>347</v>
      </c>
      <c r="B360" s="101" t="s">
        <v>104</v>
      </c>
      <c r="E360" s="143">
        <v>0.0</v>
      </c>
      <c r="F360" s="144"/>
      <c r="G360" s="144">
        <f t="shared" si="3"/>
        <v>0</v>
      </c>
      <c r="H360" s="144"/>
    </row>
    <row r="361" hidden="1">
      <c r="A361" s="88" t="s">
        <v>347</v>
      </c>
      <c r="B361" s="99" t="s">
        <v>116</v>
      </c>
      <c r="E361" s="143">
        <v>0.0</v>
      </c>
      <c r="F361" s="144"/>
      <c r="G361" s="144">
        <f t="shared" si="3"/>
        <v>0</v>
      </c>
      <c r="H361" s="144"/>
    </row>
    <row r="362" hidden="1">
      <c r="A362" s="88" t="s">
        <v>348</v>
      </c>
      <c r="B362" s="92" t="s">
        <v>422</v>
      </c>
      <c r="C362" s="93"/>
      <c r="D362" s="93" t="s">
        <v>424</v>
      </c>
      <c r="E362" s="143">
        <v>65.0</v>
      </c>
      <c r="F362" s="144"/>
      <c r="G362" s="144">
        <f t="shared" si="3"/>
        <v>4875</v>
      </c>
      <c r="H362" s="144"/>
      <c r="I362" s="144">
        <v>8000.0</v>
      </c>
      <c r="J362" s="144">
        <f t="shared" ref="J362:J376" si="5">MINUS(G362,I362)</f>
        <v>-3125</v>
      </c>
    </row>
    <row r="363" hidden="1">
      <c r="A363" s="88" t="s">
        <v>348</v>
      </c>
      <c r="B363" s="92" t="s">
        <v>493</v>
      </c>
      <c r="C363" s="93"/>
      <c r="D363" s="93" t="s">
        <v>494</v>
      </c>
      <c r="E363" s="143">
        <v>55.0</v>
      </c>
      <c r="F363" s="144"/>
      <c r="G363" s="144">
        <f t="shared" si="3"/>
        <v>2750</v>
      </c>
      <c r="H363" s="144"/>
      <c r="I363" s="144">
        <v>7500.0</v>
      </c>
      <c r="J363" s="144">
        <f t="shared" si="5"/>
        <v>-4750</v>
      </c>
    </row>
    <row r="364" hidden="1">
      <c r="A364" s="88" t="s">
        <v>348</v>
      </c>
      <c r="B364" s="92" t="s">
        <v>425</v>
      </c>
      <c r="C364" s="93"/>
      <c r="D364" s="93" t="s">
        <v>495</v>
      </c>
      <c r="E364" s="143">
        <v>54.0</v>
      </c>
      <c r="F364" s="144"/>
      <c r="G364" s="144">
        <f t="shared" si="3"/>
        <v>2700</v>
      </c>
      <c r="H364" s="144"/>
      <c r="I364" s="144">
        <v>7700.0</v>
      </c>
      <c r="J364" s="144">
        <f t="shared" si="5"/>
        <v>-5000</v>
      </c>
    </row>
    <row r="365" hidden="1">
      <c r="A365" s="88" t="s">
        <v>348</v>
      </c>
      <c r="B365" s="92" t="s">
        <v>428</v>
      </c>
      <c r="C365" s="93"/>
      <c r="D365" s="93" t="s">
        <v>430</v>
      </c>
      <c r="E365" s="143">
        <v>53.0</v>
      </c>
      <c r="F365" s="144"/>
      <c r="G365" s="144">
        <f t="shared" si="3"/>
        <v>2650</v>
      </c>
      <c r="H365" s="144"/>
      <c r="I365" s="144">
        <v>7500.0</v>
      </c>
      <c r="J365" s="144">
        <f t="shared" si="5"/>
        <v>-4850</v>
      </c>
    </row>
    <row r="366" hidden="1">
      <c r="A366" s="88" t="s">
        <v>348</v>
      </c>
      <c r="B366" s="92" t="s">
        <v>431</v>
      </c>
      <c r="C366" s="93"/>
      <c r="D366" s="93" t="s">
        <v>433</v>
      </c>
      <c r="E366" s="143">
        <v>51.0</v>
      </c>
      <c r="F366" s="144"/>
      <c r="G366" s="144">
        <f t="shared" si="3"/>
        <v>2550</v>
      </c>
      <c r="H366" s="144"/>
      <c r="I366" s="144">
        <v>7500.0</v>
      </c>
      <c r="J366" s="144">
        <f t="shared" si="5"/>
        <v>-4950</v>
      </c>
    </row>
    <row r="367" hidden="1">
      <c r="A367" s="88" t="s">
        <v>348</v>
      </c>
      <c r="B367" s="92" t="s">
        <v>434</v>
      </c>
      <c r="C367" s="93"/>
      <c r="D367" s="93" t="s">
        <v>436</v>
      </c>
      <c r="E367" s="143">
        <v>51.0</v>
      </c>
      <c r="F367" s="144"/>
      <c r="G367" s="144">
        <f t="shared" si="3"/>
        <v>2550</v>
      </c>
      <c r="H367" s="144"/>
      <c r="I367" s="144">
        <v>7500.0</v>
      </c>
      <c r="J367" s="144">
        <f t="shared" si="5"/>
        <v>-4950</v>
      </c>
    </row>
    <row r="368" hidden="1">
      <c r="A368" s="88" t="s">
        <v>348</v>
      </c>
      <c r="B368" s="92" t="s">
        <v>437</v>
      </c>
      <c r="C368" s="93"/>
      <c r="D368" s="93" t="s">
        <v>439</v>
      </c>
      <c r="E368" s="143">
        <v>49.0</v>
      </c>
      <c r="F368" s="144"/>
      <c r="G368" s="144">
        <f t="shared" si="3"/>
        <v>0</v>
      </c>
      <c r="H368" s="144"/>
      <c r="I368" s="144">
        <v>4875.0</v>
      </c>
      <c r="J368" s="144">
        <f t="shared" si="5"/>
        <v>-4875</v>
      </c>
    </row>
    <row r="369" hidden="1">
      <c r="A369" s="88" t="s">
        <v>348</v>
      </c>
      <c r="B369" s="92" t="s">
        <v>440</v>
      </c>
      <c r="C369" s="93"/>
      <c r="D369" s="93" t="s">
        <v>442</v>
      </c>
      <c r="E369" s="143">
        <v>42.0</v>
      </c>
      <c r="F369" s="144"/>
      <c r="G369" s="144">
        <f t="shared" si="3"/>
        <v>0</v>
      </c>
      <c r="H369" s="144"/>
      <c r="I369" s="144">
        <v>2700.0</v>
      </c>
      <c r="J369" s="144">
        <f t="shared" si="5"/>
        <v>-2700</v>
      </c>
    </row>
    <row r="370" hidden="1">
      <c r="A370" s="88" t="s">
        <v>348</v>
      </c>
      <c r="B370" s="92" t="s">
        <v>262</v>
      </c>
      <c r="C370" s="93"/>
      <c r="D370" s="93" t="s">
        <v>264</v>
      </c>
      <c r="E370" s="143">
        <v>36.0</v>
      </c>
      <c r="F370" s="144"/>
      <c r="G370" s="144">
        <f t="shared" si="3"/>
        <v>0</v>
      </c>
      <c r="H370" s="144"/>
      <c r="I370" s="144">
        <v>2900.0</v>
      </c>
      <c r="J370" s="144">
        <f t="shared" si="5"/>
        <v>-2900</v>
      </c>
    </row>
    <row r="371" hidden="1">
      <c r="A371" s="88" t="s">
        <v>348</v>
      </c>
      <c r="B371" s="92" t="s">
        <v>234</v>
      </c>
      <c r="C371" s="93"/>
      <c r="D371" s="93" t="s">
        <v>504</v>
      </c>
      <c r="E371" s="143">
        <v>1.0</v>
      </c>
      <c r="F371" s="144"/>
      <c r="G371" s="144">
        <f t="shared" si="3"/>
        <v>0</v>
      </c>
      <c r="H371" s="144"/>
      <c r="I371" s="144">
        <v>0.0</v>
      </c>
      <c r="J371" s="144">
        <f t="shared" si="5"/>
        <v>0</v>
      </c>
    </row>
    <row r="372" hidden="1">
      <c r="A372" s="88" t="s">
        <v>348</v>
      </c>
      <c r="B372" s="145" t="s">
        <v>333</v>
      </c>
      <c r="C372" s="93"/>
      <c r="D372" s="93" t="s">
        <v>334</v>
      </c>
      <c r="E372" s="143">
        <v>4.0</v>
      </c>
      <c r="F372" s="144"/>
      <c r="G372" s="144">
        <f t="shared" si="3"/>
        <v>0</v>
      </c>
      <c r="H372" s="144"/>
      <c r="I372" s="144">
        <v>0.0</v>
      </c>
      <c r="J372" s="144">
        <f t="shared" si="5"/>
        <v>0</v>
      </c>
    </row>
    <row r="373" hidden="1">
      <c r="A373" s="88" t="s">
        <v>348</v>
      </c>
      <c r="B373" s="94" t="s">
        <v>294</v>
      </c>
      <c r="C373" s="96"/>
      <c r="D373" s="96" t="s">
        <v>296</v>
      </c>
      <c r="E373" s="143">
        <v>9.0</v>
      </c>
      <c r="F373" s="144"/>
      <c r="G373" s="144">
        <f t="shared" si="3"/>
        <v>0</v>
      </c>
      <c r="H373" s="144"/>
      <c r="I373" s="144">
        <v>0.0</v>
      </c>
      <c r="J373" s="144">
        <f t="shared" si="5"/>
        <v>0</v>
      </c>
    </row>
    <row r="374" hidden="1">
      <c r="A374" s="88" t="s">
        <v>348</v>
      </c>
      <c r="B374" s="94" t="s">
        <v>291</v>
      </c>
      <c r="C374" s="93"/>
      <c r="D374" s="93" t="s">
        <v>293</v>
      </c>
      <c r="E374" s="143">
        <v>7.0</v>
      </c>
      <c r="F374" s="144"/>
      <c r="G374" s="144">
        <f t="shared" si="3"/>
        <v>0</v>
      </c>
      <c r="H374" s="144"/>
      <c r="I374" s="144">
        <v>0.0</v>
      </c>
      <c r="J374" s="144">
        <f t="shared" si="5"/>
        <v>0</v>
      </c>
    </row>
    <row r="375" hidden="1">
      <c r="A375" s="88" t="s">
        <v>348</v>
      </c>
      <c r="B375" s="78"/>
      <c r="C375" s="93"/>
      <c r="D375" s="93" t="s">
        <v>178</v>
      </c>
      <c r="E375" s="126"/>
      <c r="F375" s="144"/>
      <c r="G375" s="144">
        <f t="shared" si="3"/>
        <v>0</v>
      </c>
      <c r="H375" s="144"/>
      <c r="I375" s="144">
        <v>0.0</v>
      </c>
      <c r="J375" s="144">
        <f t="shared" si="5"/>
        <v>0</v>
      </c>
    </row>
    <row r="376" hidden="1">
      <c r="A376" s="88" t="s">
        <v>348</v>
      </c>
      <c r="B376" s="78"/>
      <c r="C376" s="93"/>
      <c r="D376" s="93" t="s">
        <v>175</v>
      </c>
      <c r="E376" s="126"/>
      <c r="F376" s="144"/>
      <c r="G376" s="144">
        <f t="shared" si="3"/>
        <v>0</v>
      </c>
      <c r="H376" s="144"/>
      <c r="I376" s="144">
        <v>0.0</v>
      </c>
      <c r="J376" s="144">
        <f t="shared" si="5"/>
        <v>0</v>
      </c>
    </row>
    <row r="377" hidden="1">
      <c r="A377" s="88" t="s">
        <v>350</v>
      </c>
      <c r="B377" s="92" t="s">
        <v>422</v>
      </c>
      <c r="C377" s="93"/>
      <c r="D377" s="93" t="s">
        <v>424</v>
      </c>
      <c r="E377" s="143">
        <v>80.0</v>
      </c>
      <c r="F377" s="144"/>
      <c r="G377" s="144">
        <f t="shared" si="3"/>
        <v>8000</v>
      </c>
      <c r="H377" s="144"/>
      <c r="I377" s="144"/>
      <c r="J377" s="144"/>
    </row>
    <row r="378" hidden="1">
      <c r="A378" s="88" t="s">
        <v>350</v>
      </c>
      <c r="B378" s="92" t="s">
        <v>493</v>
      </c>
      <c r="C378" s="93"/>
      <c r="D378" s="93" t="s">
        <v>494</v>
      </c>
      <c r="E378" s="143">
        <v>75.0</v>
      </c>
      <c r="F378" s="144"/>
      <c r="G378" s="144">
        <f t="shared" si="3"/>
        <v>7500</v>
      </c>
      <c r="H378" s="144"/>
      <c r="I378" s="144"/>
      <c r="J378" s="144"/>
    </row>
    <row r="379" hidden="1">
      <c r="A379" s="88" t="s">
        <v>350</v>
      </c>
      <c r="B379" s="92" t="s">
        <v>425</v>
      </c>
      <c r="C379" s="93"/>
      <c r="D379" s="93" t="s">
        <v>495</v>
      </c>
      <c r="E379" s="143">
        <v>77.0</v>
      </c>
      <c r="F379" s="144"/>
      <c r="G379" s="144">
        <f t="shared" si="3"/>
        <v>7700</v>
      </c>
      <c r="H379" s="144"/>
      <c r="I379" s="144"/>
      <c r="J379" s="144"/>
    </row>
    <row r="380" hidden="1">
      <c r="A380" s="88" t="s">
        <v>350</v>
      </c>
      <c r="B380" s="92" t="s">
        <v>428</v>
      </c>
      <c r="C380" s="93"/>
      <c r="D380" s="93" t="s">
        <v>430</v>
      </c>
      <c r="E380" s="143">
        <v>75.0</v>
      </c>
      <c r="F380" s="144"/>
      <c r="G380" s="144">
        <f t="shared" si="3"/>
        <v>7500</v>
      </c>
      <c r="H380" s="144"/>
      <c r="I380" s="144"/>
      <c r="J380" s="144"/>
    </row>
    <row r="381" hidden="1">
      <c r="A381" s="88" t="s">
        <v>350</v>
      </c>
      <c r="B381" s="92" t="s">
        <v>431</v>
      </c>
      <c r="C381" s="93"/>
      <c r="D381" s="93" t="s">
        <v>433</v>
      </c>
      <c r="E381" s="143">
        <v>75.0</v>
      </c>
      <c r="F381" s="144"/>
      <c r="G381" s="144">
        <f t="shared" si="3"/>
        <v>7500</v>
      </c>
      <c r="H381" s="144"/>
      <c r="I381" s="144"/>
      <c r="J381" s="144"/>
    </row>
    <row r="382" hidden="1">
      <c r="A382" s="88" t="s">
        <v>350</v>
      </c>
      <c r="B382" s="92" t="s">
        <v>434</v>
      </c>
      <c r="C382" s="93"/>
      <c r="D382" s="93" t="s">
        <v>436</v>
      </c>
      <c r="E382" s="143">
        <v>75.0</v>
      </c>
      <c r="F382" s="144"/>
      <c r="G382" s="144">
        <f t="shared" si="3"/>
        <v>7500</v>
      </c>
      <c r="H382" s="144"/>
      <c r="I382" s="144"/>
      <c r="J382" s="144"/>
    </row>
    <row r="383" hidden="1">
      <c r="A383" s="88" t="s">
        <v>350</v>
      </c>
      <c r="B383" s="92" t="s">
        <v>437</v>
      </c>
      <c r="C383" s="93"/>
      <c r="D383" s="93" t="s">
        <v>439</v>
      </c>
      <c r="E383" s="143">
        <v>65.0</v>
      </c>
      <c r="F383" s="144"/>
      <c r="G383" s="144">
        <f t="shared" si="3"/>
        <v>4875</v>
      </c>
      <c r="H383" s="144"/>
      <c r="I383" s="144"/>
      <c r="J383" s="144"/>
    </row>
    <row r="384" hidden="1">
      <c r="A384" s="88" t="s">
        <v>350</v>
      </c>
      <c r="B384" s="92" t="s">
        <v>440</v>
      </c>
      <c r="C384" s="93"/>
      <c r="D384" s="93" t="s">
        <v>442</v>
      </c>
      <c r="E384" s="143">
        <v>54.0</v>
      </c>
      <c r="F384" s="144"/>
      <c r="G384" s="144">
        <f t="shared" si="3"/>
        <v>2700</v>
      </c>
      <c r="H384" s="144"/>
      <c r="I384" s="144"/>
      <c r="J384" s="144"/>
    </row>
    <row r="385" hidden="1">
      <c r="A385" s="88" t="s">
        <v>350</v>
      </c>
      <c r="B385" s="92" t="s">
        <v>262</v>
      </c>
      <c r="C385" s="93"/>
      <c r="D385" s="93" t="s">
        <v>264</v>
      </c>
      <c r="E385" s="143">
        <v>58.0</v>
      </c>
      <c r="F385" s="144"/>
      <c r="G385" s="144">
        <f t="shared" si="3"/>
        <v>2900</v>
      </c>
      <c r="H385" s="144"/>
      <c r="I385" s="144"/>
      <c r="J385" s="144"/>
    </row>
    <row r="386" hidden="1">
      <c r="A386" s="88" t="s">
        <v>350</v>
      </c>
      <c r="B386" s="92" t="s">
        <v>234</v>
      </c>
      <c r="C386" s="93"/>
      <c r="D386" s="93" t="s">
        <v>504</v>
      </c>
      <c r="E386" s="143">
        <v>1.0</v>
      </c>
      <c r="F386" s="144"/>
      <c r="G386" s="144">
        <f t="shared" si="3"/>
        <v>0</v>
      </c>
      <c r="H386" s="144"/>
      <c r="I386" s="144"/>
      <c r="J386" s="144"/>
    </row>
    <row r="387" hidden="1">
      <c r="A387" s="88" t="s">
        <v>350</v>
      </c>
      <c r="B387" s="146" t="s">
        <v>333</v>
      </c>
      <c r="C387" s="96"/>
      <c r="D387" s="96" t="s">
        <v>334</v>
      </c>
      <c r="E387" s="147">
        <v>10.0</v>
      </c>
      <c r="F387" s="144"/>
      <c r="G387" s="144">
        <f t="shared" si="3"/>
        <v>0</v>
      </c>
      <c r="H387" s="144"/>
      <c r="I387" s="144"/>
      <c r="J387" s="144"/>
    </row>
    <row r="388" hidden="1">
      <c r="A388" s="88" t="s">
        <v>350</v>
      </c>
      <c r="B388" s="99" t="s">
        <v>294</v>
      </c>
      <c r="C388" s="96"/>
      <c r="D388" s="96" t="s">
        <v>505</v>
      </c>
      <c r="E388" s="147">
        <v>10.0</v>
      </c>
      <c r="F388" s="144"/>
      <c r="G388" s="144">
        <f t="shared" si="3"/>
        <v>0</v>
      </c>
      <c r="H388" s="144"/>
      <c r="I388" s="144"/>
      <c r="J388" s="144"/>
    </row>
    <row r="389" hidden="1">
      <c r="A389" s="88" t="s">
        <v>350</v>
      </c>
      <c r="B389" s="99" t="s">
        <v>291</v>
      </c>
      <c r="C389" s="96"/>
      <c r="D389" s="96" t="s">
        <v>293</v>
      </c>
      <c r="E389" s="147">
        <v>4.0</v>
      </c>
      <c r="F389" s="144"/>
      <c r="G389" s="144">
        <f t="shared" si="3"/>
        <v>0</v>
      </c>
      <c r="H389" s="144"/>
      <c r="I389" s="144"/>
      <c r="J389" s="144"/>
    </row>
    <row r="390" hidden="1">
      <c r="A390" s="88" t="s">
        <v>350</v>
      </c>
      <c r="B390" s="99"/>
      <c r="C390" s="96"/>
      <c r="D390" s="96" t="s">
        <v>178</v>
      </c>
      <c r="E390" s="147">
        <v>55.0</v>
      </c>
      <c r="F390" s="144"/>
      <c r="G390" s="144">
        <f t="shared" si="3"/>
        <v>2750</v>
      </c>
      <c r="H390" s="144"/>
      <c r="I390" s="144"/>
      <c r="J390" s="144"/>
    </row>
    <row r="391" hidden="1">
      <c r="A391" s="88" t="s">
        <v>350</v>
      </c>
      <c r="B391" s="99"/>
      <c r="C391" s="96"/>
      <c r="D391" s="96" t="s">
        <v>175</v>
      </c>
      <c r="E391" s="147">
        <v>60.0</v>
      </c>
      <c r="F391" s="144"/>
      <c r="G391" s="144">
        <f t="shared" si="3"/>
        <v>3000</v>
      </c>
      <c r="H391" s="144"/>
      <c r="I391" s="144"/>
      <c r="J391" s="144"/>
    </row>
    <row r="392" hidden="1">
      <c r="A392" s="88" t="s">
        <v>351</v>
      </c>
      <c r="B392" s="92" t="s">
        <v>422</v>
      </c>
      <c r="C392" s="93"/>
      <c r="D392" s="93" t="s">
        <v>424</v>
      </c>
      <c r="E392" s="143">
        <v>86.0</v>
      </c>
      <c r="F392" s="144"/>
      <c r="G392" s="144">
        <f t="shared" si="3"/>
        <v>8600</v>
      </c>
      <c r="H392" s="144"/>
      <c r="I392" s="144"/>
      <c r="J392" s="144"/>
    </row>
    <row r="393" hidden="1">
      <c r="A393" s="88" t="s">
        <v>351</v>
      </c>
      <c r="B393" s="92" t="s">
        <v>493</v>
      </c>
      <c r="C393" s="93"/>
      <c r="D393" s="93" t="s">
        <v>494</v>
      </c>
      <c r="E393" s="143">
        <v>85.0</v>
      </c>
      <c r="F393" s="144"/>
      <c r="G393" s="144">
        <f t="shared" si="3"/>
        <v>8500</v>
      </c>
      <c r="H393" s="144"/>
      <c r="I393" s="144"/>
      <c r="J393" s="144"/>
    </row>
    <row r="394" hidden="1">
      <c r="A394" s="88" t="s">
        <v>351</v>
      </c>
      <c r="B394" s="92" t="s">
        <v>425</v>
      </c>
      <c r="C394" s="93"/>
      <c r="D394" s="93" t="s">
        <v>495</v>
      </c>
      <c r="E394" s="143">
        <v>81.0</v>
      </c>
      <c r="F394" s="144"/>
      <c r="G394" s="144">
        <f t="shared" si="3"/>
        <v>8100</v>
      </c>
      <c r="H394" s="144"/>
      <c r="I394" s="144"/>
      <c r="J394" s="144"/>
    </row>
    <row r="395" hidden="1">
      <c r="A395" s="88" t="s">
        <v>351</v>
      </c>
      <c r="B395" s="92" t="s">
        <v>428</v>
      </c>
      <c r="C395" s="93"/>
      <c r="D395" s="93" t="s">
        <v>430</v>
      </c>
      <c r="E395" s="143">
        <v>81.0</v>
      </c>
      <c r="F395" s="144"/>
      <c r="G395" s="144">
        <f t="shared" si="3"/>
        <v>8100</v>
      </c>
      <c r="H395" s="144"/>
      <c r="I395" s="144"/>
      <c r="J395" s="144"/>
    </row>
    <row r="396" hidden="1">
      <c r="A396" s="88" t="s">
        <v>351</v>
      </c>
      <c r="B396" s="92" t="s">
        <v>431</v>
      </c>
      <c r="C396" s="93"/>
      <c r="D396" s="93" t="s">
        <v>433</v>
      </c>
      <c r="E396" s="143">
        <v>80.0</v>
      </c>
      <c r="F396" s="144"/>
      <c r="G396" s="144">
        <f t="shared" si="3"/>
        <v>8000</v>
      </c>
      <c r="H396" s="144"/>
      <c r="I396" s="144"/>
      <c r="J396" s="144"/>
    </row>
    <row r="397" hidden="1">
      <c r="A397" s="88" t="s">
        <v>351</v>
      </c>
      <c r="B397" s="92" t="s">
        <v>434</v>
      </c>
      <c r="C397" s="93"/>
      <c r="D397" s="93" t="s">
        <v>436</v>
      </c>
      <c r="E397" s="143">
        <v>77.0</v>
      </c>
      <c r="F397" s="144"/>
      <c r="G397" s="144">
        <f t="shared" si="3"/>
        <v>7700</v>
      </c>
      <c r="H397" s="144"/>
      <c r="I397" s="144"/>
      <c r="J397" s="144"/>
    </row>
    <row r="398" hidden="1">
      <c r="A398" s="88" t="s">
        <v>351</v>
      </c>
      <c r="B398" s="92" t="s">
        <v>437</v>
      </c>
      <c r="C398" s="93"/>
      <c r="D398" s="93" t="s">
        <v>439</v>
      </c>
      <c r="E398" s="143">
        <v>75.0</v>
      </c>
      <c r="F398" s="144"/>
      <c r="G398" s="144">
        <f t="shared" si="3"/>
        <v>7500</v>
      </c>
      <c r="H398" s="144"/>
      <c r="I398" s="144"/>
      <c r="J398" s="144"/>
    </row>
    <row r="399" hidden="1">
      <c r="A399" s="88" t="s">
        <v>351</v>
      </c>
      <c r="B399" s="92" t="s">
        <v>506</v>
      </c>
      <c r="C399" s="93"/>
      <c r="D399" s="93" t="s">
        <v>507</v>
      </c>
      <c r="E399" s="143">
        <v>65.0</v>
      </c>
      <c r="F399" s="144"/>
      <c r="G399" s="144">
        <f t="shared" si="3"/>
        <v>4875</v>
      </c>
      <c r="H399" s="144"/>
      <c r="I399" s="144"/>
      <c r="J399" s="144"/>
    </row>
    <row r="400" hidden="1">
      <c r="A400" s="88" t="s">
        <v>351</v>
      </c>
      <c r="B400" s="91" t="s">
        <v>440</v>
      </c>
      <c r="C400" s="96"/>
      <c r="D400" s="96" t="s">
        <v>442</v>
      </c>
      <c r="E400" s="143">
        <v>39.0</v>
      </c>
      <c r="F400" s="144"/>
      <c r="G400" s="144">
        <f t="shared" si="3"/>
        <v>0</v>
      </c>
      <c r="H400" s="144"/>
      <c r="I400" s="144"/>
      <c r="J400" s="144"/>
    </row>
    <row r="401" hidden="1">
      <c r="A401" s="88" t="s">
        <v>351</v>
      </c>
      <c r="B401" s="91" t="s">
        <v>262</v>
      </c>
      <c r="C401" s="96"/>
      <c r="D401" s="96" t="s">
        <v>264</v>
      </c>
      <c r="E401" s="143">
        <v>31.0</v>
      </c>
      <c r="F401" s="144"/>
      <c r="G401" s="144">
        <f t="shared" si="3"/>
        <v>0</v>
      </c>
      <c r="H401" s="144"/>
      <c r="I401" s="144"/>
      <c r="J401" s="144"/>
    </row>
    <row r="402" hidden="1">
      <c r="A402" s="88" t="s">
        <v>351</v>
      </c>
      <c r="B402" s="91" t="s">
        <v>234</v>
      </c>
      <c r="C402" s="96"/>
      <c r="D402" s="96" t="s">
        <v>504</v>
      </c>
      <c r="E402" s="143">
        <v>7.0</v>
      </c>
      <c r="F402" s="144"/>
      <c r="G402" s="144">
        <f t="shared" si="3"/>
        <v>0</v>
      </c>
      <c r="H402" s="144"/>
      <c r="I402" s="144"/>
      <c r="J402" s="144"/>
    </row>
    <row r="403" hidden="1">
      <c r="A403" s="88" t="s">
        <v>351</v>
      </c>
      <c r="B403" s="92" t="s">
        <v>508</v>
      </c>
      <c r="C403" s="93"/>
      <c r="D403" s="93" t="s">
        <v>509</v>
      </c>
      <c r="E403" s="126"/>
      <c r="F403" s="144"/>
      <c r="G403" s="144">
        <f t="shared" si="3"/>
        <v>0</v>
      </c>
      <c r="H403" s="144"/>
      <c r="I403" s="144"/>
      <c r="J403" s="144"/>
    </row>
    <row r="404" hidden="1">
      <c r="A404" s="76" t="s">
        <v>352</v>
      </c>
      <c r="B404" s="92" t="s">
        <v>428</v>
      </c>
      <c r="C404" s="93"/>
      <c r="D404" s="93" t="s">
        <v>430</v>
      </c>
      <c r="E404" s="126">
        <v>65.0</v>
      </c>
      <c r="F404" s="144"/>
      <c r="G404" s="144">
        <f t="shared" si="3"/>
        <v>4875</v>
      </c>
      <c r="H404" s="144"/>
      <c r="I404" s="144"/>
      <c r="J404" s="144"/>
    </row>
    <row r="405" hidden="1">
      <c r="A405" s="76" t="s">
        <v>352</v>
      </c>
      <c r="B405" s="92" t="s">
        <v>425</v>
      </c>
      <c r="C405" s="93"/>
      <c r="D405" s="93" t="s">
        <v>495</v>
      </c>
      <c r="E405" s="126">
        <v>66.0</v>
      </c>
      <c r="F405" s="144"/>
      <c r="G405" s="144">
        <f t="shared" si="3"/>
        <v>4950</v>
      </c>
      <c r="H405" s="144"/>
      <c r="I405" s="144"/>
      <c r="J405" s="144"/>
    </row>
    <row r="406" hidden="1">
      <c r="A406" s="76" t="s">
        <v>352</v>
      </c>
      <c r="B406" s="92" t="s">
        <v>506</v>
      </c>
      <c r="C406" s="93"/>
      <c r="D406" s="93" t="s">
        <v>507</v>
      </c>
      <c r="E406" s="126">
        <v>65.0</v>
      </c>
      <c r="F406" s="144"/>
      <c r="G406" s="144">
        <f t="shared" si="3"/>
        <v>4875</v>
      </c>
      <c r="H406" s="144"/>
      <c r="I406" s="144"/>
      <c r="J406" s="144"/>
    </row>
    <row r="407" hidden="1">
      <c r="A407" s="76" t="s">
        <v>352</v>
      </c>
      <c r="B407" s="92" t="s">
        <v>434</v>
      </c>
      <c r="C407" s="93"/>
      <c r="D407" s="93" t="s">
        <v>436</v>
      </c>
      <c r="E407" s="126">
        <v>53.0</v>
      </c>
      <c r="F407" s="144"/>
      <c r="G407" s="144">
        <f t="shared" si="3"/>
        <v>2650</v>
      </c>
      <c r="H407" s="144"/>
      <c r="I407" s="144"/>
      <c r="J407" s="144"/>
    </row>
    <row r="408" hidden="1">
      <c r="A408" s="76" t="s">
        <v>352</v>
      </c>
      <c r="B408" s="92" t="s">
        <v>422</v>
      </c>
      <c r="C408" s="93"/>
      <c r="D408" s="93" t="s">
        <v>424</v>
      </c>
      <c r="E408" s="126">
        <v>75.0</v>
      </c>
      <c r="F408" s="144"/>
      <c r="G408" s="144">
        <f t="shared" si="3"/>
        <v>7500</v>
      </c>
      <c r="H408" s="144"/>
      <c r="I408" s="144"/>
      <c r="J408" s="144"/>
    </row>
    <row r="409" hidden="1">
      <c r="A409" s="76" t="s">
        <v>352</v>
      </c>
      <c r="B409" s="92" t="s">
        <v>431</v>
      </c>
      <c r="C409" s="93"/>
      <c r="D409" s="93" t="s">
        <v>433</v>
      </c>
      <c r="E409" s="126">
        <v>65.0</v>
      </c>
      <c r="F409" s="144"/>
      <c r="G409" s="144">
        <f t="shared" si="3"/>
        <v>4875</v>
      </c>
      <c r="H409" s="144"/>
      <c r="I409" s="144"/>
      <c r="J409" s="144"/>
    </row>
    <row r="410" hidden="1">
      <c r="A410" s="76" t="s">
        <v>352</v>
      </c>
      <c r="B410" s="92" t="s">
        <v>437</v>
      </c>
      <c r="C410" s="93"/>
      <c r="D410" s="93" t="s">
        <v>439</v>
      </c>
      <c r="E410" s="126">
        <v>51.0</v>
      </c>
      <c r="F410" s="144"/>
      <c r="G410" s="144">
        <f t="shared" si="3"/>
        <v>2550</v>
      </c>
      <c r="H410" s="144"/>
      <c r="I410" s="144"/>
      <c r="J410" s="144"/>
    </row>
    <row r="411" hidden="1">
      <c r="A411" s="76" t="s">
        <v>352</v>
      </c>
      <c r="B411" s="92" t="s">
        <v>508</v>
      </c>
      <c r="C411" s="93"/>
      <c r="D411" s="93" t="s">
        <v>509</v>
      </c>
      <c r="E411" s="126">
        <v>45.0</v>
      </c>
      <c r="F411" s="144"/>
      <c r="G411" s="144">
        <f t="shared" si="3"/>
        <v>0</v>
      </c>
      <c r="H411" s="144"/>
      <c r="I411" s="144"/>
      <c r="J411" s="144"/>
    </row>
    <row r="412" hidden="1">
      <c r="A412" s="76" t="s">
        <v>352</v>
      </c>
      <c r="B412" s="92" t="s">
        <v>493</v>
      </c>
      <c r="C412" s="93"/>
      <c r="D412" s="93" t="s">
        <v>494</v>
      </c>
      <c r="E412" s="126">
        <v>65.0</v>
      </c>
      <c r="F412" s="144"/>
      <c r="G412" s="144">
        <f t="shared" si="3"/>
        <v>4875</v>
      </c>
      <c r="H412" s="144"/>
      <c r="I412" s="144"/>
      <c r="J412" s="144"/>
    </row>
    <row r="413" hidden="1">
      <c r="A413" s="88" t="s">
        <v>352</v>
      </c>
      <c r="B413" s="148" t="s">
        <v>428</v>
      </c>
      <c r="C413" s="93"/>
      <c r="D413" s="93" t="s">
        <v>430</v>
      </c>
      <c r="E413" s="143">
        <v>65.0</v>
      </c>
      <c r="F413" s="144"/>
      <c r="G413" s="144">
        <f t="shared" si="3"/>
        <v>4875</v>
      </c>
      <c r="H413" s="144"/>
      <c r="I413" s="144"/>
      <c r="J413" s="144"/>
    </row>
    <row r="414" hidden="1">
      <c r="A414" s="88" t="s">
        <v>352</v>
      </c>
      <c r="B414" s="92" t="s">
        <v>425</v>
      </c>
      <c r="C414" s="93"/>
      <c r="D414" s="93" t="s">
        <v>495</v>
      </c>
      <c r="E414" s="143">
        <v>66.0</v>
      </c>
      <c r="F414" s="144"/>
      <c r="G414" s="144">
        <f t="shared" si="3"/>
        <v>4950</v>
      </c>
      <c r="H414" s="144"/>
      <c r="I414" s="144"/>
      <c r="J414" s="144"/>
    </row>
    <row r="415" hidden="1">
      <c r="A415" s="88" t="s">
        <v>352</v>
      </c>
      <c r="B415" s="92" t="s">
        <v>506</v>
      </c>
      <c r="C415" s="93"/>
      <c r="D415" s="93" t="s">
        <v>507</v>
      </c>
      <c r="E415" s="143">
        <v>65.0</v>
      </c>
      <c r="F415" s="144"/>
      <c r="G415" s="144">
        <f t="shared" si="3"/>
        <v>4875</v>
      </c>
      <c r="H415" s="144"/>
      <c r="I415" s="144"/>
      <c r="J415" s="144"/>
    </row>
    <row r="416" hidden="1">
      <c r="A416" s="88" t="s">
        <v>352</v>
      </c>
      <c r="B416" s="92" t="s">
        <v>434</v>
      </c>
      <c r="C416" s="93"/>
      <c r="D416" s="93" t="s">
        <v>436</v>
      </c>
      <c r="E416" s="143">
        <v>53.0</v>
      </c>
      <c r="F416" s="144"/>
      <c r="G416" s="144">
        <f t="shared" si="3"/>
        <v>2650</v>
      </c>
      <c r="H416" s="144"/>
      <c r="I416" s="144"/>
      <c r="J416" s="144"/>
    </row>
    <row r="417" hidden="1">
      <c r="A417" s="88" t="s">
        <v>352</v>
      </c>
      <c r="B417" s="92" t="s">
        <v>422</v>
      </c>
      <c r="C417" s="93"/>
      <c r="D417" s="93" t="s">
        <v>424</v>
      </c>
      <c r="E417" s="143">
        <v>75.0</v>
      </c>
      <c r="F417" s="144"/>
      <c r="G417" s="144">
        <f t="shared" si="3"/>
        <v>7500</v>
      </c>
      <c r="H417" s="144"/>
      <c r="I417" s="144"/>
      <c r="J417" s="144"/>
    </row>
    <row r="418" hidden="1">
      <c r="A418" s="88" t="s">
        <v>352</v>
      </c>
      <c r="B418" s="92" t="s">
        <v>431</v>
      </c>
      <c r="C418" s="93"/>
      <c r="D418" s="93" t="s">
        <v>433</v>
      </c>
      <c r="E418" s="143">
        <v>65.0</v>
      </c>
      <c r="F418" s="144"/>
      <c r="G418" s="144">
        <f t="shared" si="3"/>
        <v>4875</v>
      </c>
      <c r="H418" s="144"/>
      <c r="I418" s="144"/>
      <c r="J418" s="144"/>
    </row>
    <row r="419" hidden="1">
      <c r="A419" s="88" t="s">
        <v>352</v>
      </c>
      <c r="B419" s="92" t="s">
        <v>437</v>
      </c>
      <c r="C419" s="93"/>
      <c r="D419" s="93" t="s">
        <v>439</v>
      </c>
      <c r="E419" s="143">
        <v>51.0</v>
      </c>
      <c r="F419" s="144"/>
      <c r="G419" s="144">
        <f t="shared" si="3"/>
        <v>2550</v>
      </c>
      <c r="H419" s="144"/>
      <c r="I419" s="144"/>
      <c r="J419" s="144"/>
    </row>
    <row r="420" hidden="1">
      <c r="A420" s="88" t="s">
        <v>352</v>
      </c>
      <c r="B420" s="92" t="s">
        <v>508</v>
      </c>
      <c r="C420" s="93"/>
      <c r="D420" s="93" t="s">
        <v>509</v>
      </c>
      <c r="E420" s="143">
        <v>45.0</v>
      </c>
      <c r="F420" s="144"/>
      <c r="G420" s="144">
        <f t="shared" si="3"/>
        <v>0</v>
      </c>
      <c r="H420" s="144"/>
      <c r="I420" s="144"/>
      <c r="J420" s="144"/>
    </row>
    <row r="421" hidden="1">
      <c r="A421" s="88" t="s">
        <v>352</v>
      </c>
      <c r="B421" s="92" t="s">
        <v>493</v>
      </c>
      <c r="C421" s="93"/>
      <c r="D421" s="93" t="s">
        <v>494</v>
      </c>
      <c r="E421" s="143">
        <v>65.0</v>
      </c>
      <c r="F421" s="144"/>
      <c r="G421" s="144">
        <f t="shared" si="3"/>
        <v>4875</v>
      </c>
      <c r="H421" s="144"/>
      <c r="I421" s="144"/>
      <c r="J421" s="144"/>
    </row>
    <row r="422" hidden="1">
      <c r="A422" s="34" t="s">
        <v>353</v>
      </c>
      <c r="B422" s="99" t="s">
        <v>428</v>
      </c>
      <c r="C422" s="149"/>
      <c r="D422" s="149" t="s">
        <v>430</v>
      </c>
      <c r="E422" s="143">
        <v>75.0</v>
      </c>
      <c r="F422" s="144"/>
      <c r="G422" s="144">
        <f t="shared" si="3"/>
        <v>7500</v>
      </c>
      <c r="H422" s="144"/>
      <c r="I422" s="144"/>
      <c r="J422" s="144"/>
    </row>
    <row r="423" hidden="1">
      <c r="A423" s="34" t="s">
        <v>353</v>
      </c>
      <c r="B423" s="91" t="s">
        <v>425</v>
      </c>
      <c r="C423" s="149"/>
      <c r="D423" s="149" t="s">
        <v>495</v>
      </c>
      <c r="E423" s="143">
        <v>75.0</v>
      </c>
      <c r="F423" s="144"/>
      <c r="G423" s="144">
        <f t="shared" si="3"/>
        <v>7500</v>
      </c>
      <c r="H423" s="144"/>
      <c r="I423" s="144"/>
      <c r="J423" s="144"/>
    </row>
    <row r="424" hidden="1">
      <c r="A424" s="34" t="s">
        <v>353</v>
      </c>
      <c r="B424" s="91" t="s">
        <v>506</v>
      </c>
      <c r="C424" s="149"/>
      <c r="D424" s="149" t="s">
        <v>507</v>
      </c>
      <c r="E424" s="143">
        <v>77.0</v>
      </c>
      <c r="F424" s="144"/>
      <c r="G424" s="144">
        <f t="shared" si="3"/>
        <v>7700</v>
      </c>
      <c r="H424" s="144"/>
      <c r="I424" s="144"/>
      <c r="J424" s="144"/>
    </row>
    <row r="425" hidden="1">
      <c r="A425" s="34" t="s">
        <v>353</v>
      </c>
      <c r="B425" s="91" t="s">
        <v>434</v>
      </c>
      <c r="C425" s="149"/>
      <c r="D425" s="149" t="s">
        <v>436</v>
      </c>
      <c r="E425" s="143">
        <v>75.0</v>
      </c>
      <c r="F425" s="144"/>
      <c r="G425" s="144">
        <f t="shared" si="3"/>
        <v>7500</v>
      </c>
      <c r="H425" s="144"/>
      <c r="I425" s="144"/>
      <c r="J425" s="144"/>
    </row>
    <row r="426" hidden="1">
      <c r="A426" s="34" t="s">
        <v>353</v>
      </c>
      <c r="B426" s="91" t="s">
        <v>422</v>
      </c>
      <c r="C426" s="149"/>
      <c r="D426" s="149" t="s">
        <v>424</v>
      </c>
      <c r="E426" s="143">
        <v>77.0</v>
      </c>
      <c r="F426" s="144"/>
      <c r="G426" s="144">
        <f t="shared" si="3"/>
        <v>7700</v>
      </c>
      <c r="H426" s="144"/>
      <c r="I426" s="144"/>
      <c r="J426" s="144"/>
    </row>
    <row r="427" hidden="1">
      <c r="A427" s="34" t="s">
        <v>353</v>
      </c>
      <c r="B427" s="91" t="s">
        <v>431</v>
      </c>
      <c r="C427" s="149"/>
      <c r="D427" s="149" t="s">
        <v>433</v>
      </c>
      <c r="E427" s="143">
        <v>75.0</v>
      </c>
      <c r="F427" s="144"/>
      <c r="G427" s="144">
        <f t="shared" si="3"/>
        <v>7500</v>
      </c>
      <c r="H427" s="144"/>
      <c r="I427" s="144"/>
      <c r="J427" s="144"/>
    </row>
    <row r="428" hidden="1">
      <c r="A428" s="34" t="s">
        <v>353</v>
      </c>
      <c r="B428" s="91" t="s">
        <v>437</v>
      </c>
      <c r="C428" s="149"/>
      <c r="D428" s="149" t="s">
        <v>439</v>
      </c>
      <c r="E428" s="143">
        <v>55.0</v>
      </c>
      <c r="F428" s="144"/>
      <c r="G428" s="144">
        <f t="shared" si="3"/>
        <v>2750</v>
      </c>
      <c r="H428" s="144"/>
      <c r="I428" s="144"/>
      <c r="J428" s="144"/>
    </row>
    <row r="429" hidden="1">
      <c r="A429" s="34" t="s">
        <v>353</v>
      </c>
      <c r="B429" s="91" t="s">
        <v>508</v>
      </c>
      <c r="C429" s="149"/>
      <c r="D429" s="149" t="s">
        <v>509</v>
      </c>
      <c r="E429" s="143">
        <v>35.0</v>
      </c>
      <c r="F429" s="144"/>
      <c r="G429" s="144">
        <f t="shared" si="3"/>
        <v>0</v>
      </c>
      <c r="H429" s="144"/>
      <c r="I429" s="144"/>
      <c r="J429" s="144"/>
    </row>
    <row r="430" hidden="1">
      <c r="A430" s="34" t="s">
        <v>353</v>
      </c>
      <c r="B430" s="91" t="s">
        <v>493</v>
      </c>
      <c r="C430" s="149"/>
      <c r="D430" s="149" t="s">
        <v>494</v>
      </c>
      <c r="E430" s="143">
        <v>61.0</v>
      </c>
      <c r="F430" s="144"/>
      <c r="G430" s="144">
        <f t="shared" si="3"/>
        <v>3050</v>
      </c>
      <c r="H430" s="144"/>
      <c r="I430" s="144"/>
      <c r="J430" s="144"/>
    </row>
    <row r="431" hidden="1">
      <c r="A431" s="34" t="s">
        <v>354</v>
      </c>
      <c r="B431" s="150"/>
      <c r="C431" s="150"/>
      <c r="D431" s="150" t="s">
        <v>430</v>
      </c>
      <c r="E431" s="143">
        <v>78.0</v>
      </c>
      <c r="F431" s="144"/>
      <c r="G431" s="144">
        <f t="shared" si="3"/>
        <v>7800</v>
      </c>
      <c r="H431" s="144"/>
      <c r="I431" s="144"/>
      <c r="J431" s="144"/>
    </row>
    <row r="432" hidden="1">
      <c r="A432" s="34" t="s">
        <v>354</v>
      </c>
      <c r="B432" s="150"/>
      <c r="C432" s="150"/>
      <c r="D432" s="150" t="s">
        <v>495</v>
      </c>
      <c r="E432" s="143">
        <v>77.0</v>
      </c>
      <c r="F432" s="144"/>
      <c r="G432" s="144">
        <f t="shared" si="3"/>
        <v>7700</v>
      </c>
      <c r="H432" s="144"/>
      <c r="I432" s="144"/>
      <c r="J432" s="144"/>
    </row>
    <row r="433" hidden="1">
      <c r="A433" s="34" t="s">
        <v>354</v>
      </c>
      <c r="B433" s="150"/>
      <c r="C433" s="150"/>
      <c r="D433" s="150" t="s">
        <v>507</v>
      </c>
      <c r="E433" s="143">
        <v>77.0</v>
      </c>
      <c r="F433" s="144"/>
      <c r="G433" s="144">
        <f t="shared" si="3"/>
        <v>7700</v>
      </c>
      <c r="H433" s="144"/>
      <c r="I433" s="144"/>
      <c r="J433" s="144"/>
    </row>
    <row r="434" hidden="1">
      <c r="A434" s="34" t="s">
        <v>354</v>
      </c>
      <c r="B434" s="150"/>
      <c r="C434" s="150"/>
      <c r="D434" s="150" t="s">
        <v>436</v>
      </c>
      <c r="E434" s="143">
        <v>76.0</v>
      </c>
      <c r="F434" s="144"/>
      <c r="G434" s="144">
        <f t="shared" si="3"/>
        <v>7600</v>
      </c>
      <c r="H434" s="144"/>
      <c r="I434" s="144"/>
      <c r="J434" s="144"/>
    </row>
    <row r="435" hidden="1">
      <c r="A435" s="34" t="s">
        <v>354</v>
      </c>
      <c r="B435" s="150"/>
      <c r="C435" s="150"/>
      <c r="D435" s="150" t="s">
        <v>424</v>
      </c>
      <c r="E435" s="143">
        <v>80.0</v>
      </c>
      <c r="F435" s="144"/>
      <c r="G435" s="144">
        <f t="shared" si="3"/>
        <v>8000</v>
      </c>
      <c r="H435" s="144"/>
      <c r="I435" s="144"/>
      <c r="J435" s="144"/>
    </row>
    <row r="436" hidden="1">
      <c r="A436" s="34" t="s">
        <v>354</v>
      </c>
      <c r="B436" s="150"/>
      <c r="C436" s="150"/>
      <c r="D436" s="150" t="s">
        <v>433</v>
      </c>
      <c r="E436" s="143">
        <v>76.0</v>
      </c>
      <c r="F436" s="144"/>
      <c r="G436" s="144">
        <f t="shared" si="3"/>
        <v>7600</v>
      </c>
      <c r="H436" s="144"/>
      <c r="I436" s="144"/>
      <c r="J436" s="144"/>
    </row>
    <row r="437" hidden="1">
      <c r="A437" s="34" t="s">
        <v>354</v>
      </c>
      <c r="B437" s="150"/>
      <c r="C437" s="150"/>
      <c r="D437" s="150" t="s">
        <v>439</v>
      </c>
      <c r="E437" s="143">
        <v>66.0</v>
      </c>
      <c r="F437" s="144"/>
      <c r="G437" s="144">
        <f t="shared" si="3"/>
        <v>4950</v>
      </c>
      <c r="H437" s="144"/>
      <c r="I437" s="144"/>
      <c r="J437" s="144"/>
    </row>
    <row r="438" hidden="1">
      <c r="A438" s="34" t="s">
        <v>354</v>
      </c>
      <c r="B438" s="150"/>
      <c r="C438" s="150"/>
      <c r="D438" s="150" t="s">
        <v>509</v>
      </c>
      <c r="E438" s="143">
        <v>10.0</v>
      </c>
      <c r="F438" s="144"/>
      <c r="G438" s="144">
        <f t="shared" si="3"/>
        <v>0</v>
      </c>
      <c r="H438" s="144"/>
      <c r="I438" s="144"/>
      <c r="J438" s="144"/>
    </row>
    <row r="439" hidden="1">
      <c r="A439" s="34" t="s">
        <v>354</v>
      </c>
      <c r="B439" s="150"/>
      <c r="C439" s="150"/>
      <c r="D439" s="150" t="s">
        <v>169</v>
      </c>
      <c r="E439" s="143">
        <v>6.0</v>
      </c>
      <c r="F439" s="144"/>
      <c r="G439" s="144">
        <f t="shared" si="3"/>
        <v>0</v>
      </c>
      <c r="H439" s="144"/>
      <c r="I439" s="144"/>
      <c r="J439" s="144"/>
    </row>
    <row r="440" hidden="1">
      <c r="A440" s="34" t="s">
        <v>354</v>
      </c>
      <c r="B440" s="150"/>
      <c r="C440" s="150"/>
      <c r="D440" s="150" t="s">
        <v>166</v>
      </c>
      <c r="E440" s="143">
        <v>2.0</v>
      </c>
      <c r="F440" s="144"/>
      <c r="G440" s="144">
        <f t="shared" si="3"/>
        <v>0</v>
      </c>
      <c r="H440" s="144"/>
      <c r="I440" s="144"/>
      <c r="J440" s="144"/>
    </row>
    <row r="441" hidden="1">
      <c r="A441" s="34" t="s">
        <v>354</v>
      </c>
      <c r="B441" s="150"/>
      <c r="C441" s="150"/>
      <c r="D441" s="150" t="s">
        <v>163</v>
      </c>
      <c r="E441" s="143">
        <v>4.0</v>
      </c>
      <c r="F441" s="144"/>
      <c r="G441" s="144">
        <f t="shared" si="3"/>
        <v>0</v>
      </c>
      <c r="H441" s="144"/>
      <c r="I441" s="144"/>
      <c r="J441" s="144"/>
    </row>
    <row r="442" hidden="1">
      <c r="A442" s="34" t="s">
        <v>354</v>
      </c>
      <c r="B442" s="150"/>
      <c r="C442" s="150"/>
      <c r="D442" s="150" t="s">
        <v>494</v>
      </c>
      <c r="E442" s="143">
        <v>6.0</v>
      </c>
      <c r="F442" s="144"/>
      <c r="G442" s="144">
        <f t="shared" si="3"/>
        <v>0</v>
      </c>
      <c r="H442" s="144"/>
      <c r="I442" s="144"/>
      <c r="J442" s="144"/>
    </row>
    <row r="443" hidden="1">
      <c r="A443" s="34" t="s">
        <v>354</v>
      </c>
      <c r="B443" s="150"/>
      <c r="C443" s="150"/>
      <c r="D443" s="150" t="s">
        <v>172</v>
      </c>
      <c r="E443" s="143">
        <v>6.0</v>
      </c>
      <c r="F443" s="144"/>
      <c r="G443" s="144">
        <f t="shared" si="3"/>
        <v>0</v>
      </c>
      <c r="H443" s="144"/>
      <c r="I443" s="144"/>
      <c r="J443" s="144"/>
    </row>
    <row r="444" hidden="1">
      <c r="A444" s="34" t="s">
        <v>354</v>
      </c>
      <c r="B444" s="150"/>
      <c r="C444" s="150"/>
      <c r="D444" s="150" t="s">
        <v>492</v>
      </c>
      <c r="E444" s="143">
        <v>0.0</v>
      </c>
      <c r="F444" s="144"/>
      <c r="G444" s="144">
        <f t="shared" si="3"/>
        <v>0</v>
      </c>
      <c r="H444" s="144"/>
      <c r="I444" s="144"/>
      <c r="J444" s="144"/>
    </row>
    <row r="445" hidden="1">
      <c r="A445" s="104" t="s">
        <v>355</v>
      </c>
      <c r="B445" s="151"/>
      <c r="C445" s="151"/>
      <c r="D445" s="151" t="s">
        <v>510</v>
      </c>
      <c r="E445" s="147">
        <v>76.0</v>
      </c>
      <c r="F445" s="144"/>
      <c r="G445" s="144">
        <f t="shared" si="3"/>
        <v>7600</v>
      </c>
      <c r="H445" s="144"/>
      <c r="I445" s="144"/>
      <c r="J445" s="144"/>
    </row>
    <row r="446" hidden="1">
      <c r="A446" s="104" t="s">
        <v>355</v>
      </c>
      <c r="B446" s="151"/>
      <c r="C446" s="151"/>
      <c r="D446" s="151" t="s">
        <v>511</v>
      </c>
      <c r="E446" s="147">
        <v>75.0</v>
      </c>
      <c r="F446" s="144"/>
      <c r="G446" s="144">
        <f t="shared" si="3"/>
        <v>7500</v>
      </c>
      <c r="H446" s="144"/>
      <c r="I446" s="144"/>
      <c r="J446" s="144"/>
    </row>
    <row r="447" hidden="1">
      <c r="A447" s="104" t="s">
        <v>355</v>
      </c>
      <c r="B447" s="151"/>
      <c r="C447" s="151"/>
      <c r="D447" s="151" t="s">
        <v>512</v>
      </c>
      <c r="E447" s="147">
        <v>75.0</v>
      </c>
      <c r="F447" s="144"/>
      <c r="G447" s="144">
        <f t="shared" si="3"/>
        <v>7500</v>
      </c>
      <c r="H447" s="144"/>
      <c r="I447" s="144"/>
      <c r="J447" s="144"/>
    </row>
    <row r="448" hidden="1">
      <c r="A448" s="104" t="s">
        <v>355</v>
      </c>
      <c r="B448" s="151"/>
      <c r="C448" s="151"/>
      <c r="D448" s="151" t="s">
        <v>513</v>
      </c>
      <c r="E448" s="147">
        <v>75.0</v>
      </c>
      <c r="F448" s="144"/>
      <c r="G448" s="144">
        <f t="shared" si="3"/>
        <v>7500</v>
      </c>
      <c r="H448" s="144"/>
      <c r="I448" s="144"/>
      <c r="J448" s="144"/>
    </row>
    <row r="449" hidden="1">
      <c r="A449" s="104" t="s">
        <v>355</v>
      </c>
      <c r="B449" s="151"/>
      <c r="C449" s="151"/>
      <c r="D449" s="151" t="s">
        <v>514</v>
      </c>
      <c r="E449" s="147">
        <v>75.0</v>
      </c>
      <c r="F449" s="144"/>
      <c r="G449" s="144">
        <f t="shared" si="3"/>
        <v>7500</v>
      </c>
      <c r="H449" s="144"/>
      <c r="I449" s="144"/>
      <c r="J449" s="144"/>
    </row>
    <row r="450" hidden="1">
      <c r="A450" s="104" t="s">
        <v>355</v>
      </c>
      <c r="B450" s="151"/>
      <c r="C450" s="151"/>
      <c r="D450" s="151" t="s">
        <v>515</v>
      </c>
      <c r="E450" s="147">
        <v>66.0</v>
      </c>
      <c r="F450" s="144"/>
      <c r="G450" s="144">
        <f t="shared" si="3"/>
        <v>4950</v>
      </c>
      <c r="H450" s="144"/>
      <c r="I450" s="144"/>
      <c r="J450" s="144"/>
    </row>
    <row r="451" hidden="1">
      <c r="A451" s="104" t="s">
        <v>355</v>
      </c>
      <c r="B451" s="151"/>
      <c r="C451" s="151"/>
      <c r="D451" s="151" t="s">
        <v>516</v>
      </c>
      <c r="E451" s="147">
        <v>65.0</v>
      </c>
      <c r="F451" s="144"/>
      <c r="G451" s="144">
        <f t="shared" si="3"/>
        <v>4875</v>
      </c>
      <c r="H451" s="144"/>
      <c r="I451" s="144"/>
      <c r="J451" s="144"/>
    </row>
    <row r="452" hidden="1">
      <c r="A452" s="104" t="s">
        <v>355</v>
      </c>
      <c r="B452" s="151"/>
      <c r="C452" s="151"/>
      <c r="D452" s="151" t="s">
        <v>517</v>
      </c>
      <c r="E452" s="147">
        <v>54.0</v>
      </c>
      <c r="F452" s="144"/>
      <c r="G452" s="144">
        <f t="shared" si="3"/>
        <v>2700</v>
      </c>
      <c r="H452" s="144"/>
      <c r="I452" s="144"/>
      <c r="J452" s="144"/>
    </row>
    <row r="453" hidden="1">
      <c r="A453" s="104" t="s">
        <v>355</v>
      </c>
      <c r="B453" s="151"/>
      <c r="C453" s="151"/>
      <c r="D453" s="151" t="s">
        <v>518</v>
      </c>
      <c r="E453" s="147">
        <v>33.0</v>
      </c>
      <c r="F453" s="144"/>
      <c r="G453" s="144">
        <f t="shared" si="3"/>
        <v>0</v>
      </c>
      <c r="H453" s="144"/>
      <c r="I453" s="144"/>
      <c r="J453" s="144"/>
    </row>
    <row r="454" hidden="1">
      <c r="A454" s="104" t="s">
        <v>355</v>
      </c>
      <c r="B454" s="151"/>
      <c r="C454" s="151"/>
      <c r="D454" s="151" t="s">
        <v>519</v>
      </c>
      <c r="E454" s="147">
        <v>30.0</v>
      </c>
      <c r="F454" s="144"/>
      <c r="G454" s="144">
        <f t="shared" si="3"/>
        <v>0</v>
      </c>
      <c r="H454" s="144"/>
      <c r="I454" s="144"/>
      <c r="J454" s="144"/>
    </row>
    <row r="455" hidden="1">
      <c r="A455" s="104" t="s">
        <v>355</v>
      </c>
      <c r="B455" s="151"/>
      <c r="C455" s="151"/>
      <c r="D455" s="151" t="s">
        <v>520</v>
      </c>
      <c r="E455" s="147">
        <v>26.0</v>
      </c>
      <c r="F455" s="144"/>
      <c r="G455" s="144">
        <f t="shared" si="3"/>
        <v>0</v>
      </c>
      <c r="H455" s="144"/>
      <c r="I455" s="144"/>
      <c r="J455" s="144"/>
    </row>
    <row r="456" hidden="1">
      <c r="A456" s="104" t="s">
        <v>355</v>
      </c>
      <c r="B456" s="151"/>
      <c r="C456" s="151"/>
      <c r="D456" s="151" t="s">
        <v>521</v>
      </c>
      <c r="E456" s="147">
        <v>25.0</v>
      </c>
      <c r="F456" s="144"/>
      <c r="G456" s="144">
        <f t="shared" si="3"/>
        <v>0</v>
      </c>
      <c r="H456" s="144"/>
      <c r="I456" s="144"/>
      <c r="J456" s="144"/>
    </row>
    <row r="457" hidden="1">
      <c r="A457" s="104" t="s">
        <v>355</v>
      </c>
      <c r="B457" s="151"/>
      <c r="C457" s="151"/>
      <c r="D457" s="151" t="s">
        <v>522</v>
      </c>
      <c r="E457" s="147">
        <v>31.0</v>
      </c>
      <c r="F457" s="144"/>
      <c r="G457" s="144">
        <f t="shared" si="3"/>
        <v>0</v>
      </c>
      <c r="H457" s="144"/>
      <c r="I457" s="144"/>
      <c r="J457" s="144"/>
    </row>
    <row r="458" hidden="1">
      <c r="A458" s="104" t="s">
        <v>355</v>
      </c>
      <c r="B458" s="151"/>
      <c r="C458" s="151"/>
      <c r="D458" s="151" t="s">
        <v>523</v>
      </c>
      <c r="E458" s="147">
        <v>0.0</v>
      </c>
      <c r="F458" s="144"/>
      <c r="G458" s="144">
        <f t="shared" si="3"/>
        <v>0</v>
      </c>
      <c r="H458" s="144"/>
      <c r="I458" s="144"/>
      <c r="J458" s="144"/>
    </row>
    <row r="459" hidden="1">
      <c r="A459" s="104" t="s">
        <v>382</v>
      </c>
      <c r="B459" s="152"/>
      <c r="C459" s="152"/>
      <c r="D459" s="152" t="s">
        <v>511</v>
      </c>
      <c r="E459" s="147">
        <v>77.0</v>
      </c>
      <c r="F459" s="144"/>
      <c r="G459" s="144">
        <f t="shared" ref="G459:G461" si="6">IF(E459&gt;75,100*E459,IF(E459&gt;=65,75*E459,IF(E459&gt;=50,50*E459,0)))</f>
        <v>7700</v>
      </c>
      <c r="H459" s="144"/>
      <c r="I459" s="144"/>
      <c r="J459" s="144"/>
    </row>
    <row r="460" hidden="1">
      <c r="A460" s="104" t="s">
        <v>382</v>
      </c>
      <c r="B460" s="152"/>
      <c r="C460" s="152"/>
      <c r="D460" s="152" t="s">
        <v>512</v>
      </c>
      <c r="E460" s="147">
        <v>76.0</v>
      </c>
      <c r="F460" s="144"/>
      <c r="G460" s="144">
        <f t="shared" si="6"/>
        <v>7600</v>
      </c>
      <c r="H460" s="144"/>
      <c r="I460" s="144"/>
      <c r="J460" s="144"/>
    </row>
    <row r="461" hidden="1">
      <c r="A461" s="104" t="s">
        <v>382</v>
      </c>
      <c r="B461" s="152"/>
      <c r="C461" s="152"/>
      <c r="D461" s="152" t="s">
        <v>510</v>
      </c>
      <c r="E461" s="147">
        <v>76.0</v>
      </c>
      <c r="F461" s="144"/>
      <c r="G461" s="144">
        <f t="shared" si="6"/>
        <v>7600</v>
      </c>
      <c r="H461" s="144"/>
      <c r="I461" s="144"/>
      <c r="J461" s="144"/>
    </row>
    <row r="462" hidden="1">
      <c r="A462" s="104" t="s">
        <v>382</v>
      </c>
      <c r="B462" s="152"/>
      <c r="C462" s="152"/>
      <c r="D462" s="152" t="s">
        <v>521</v>
      </c>
      <c r="E462" s="147">
        <v>75.0</v>
      </c>
      <c r="F462" s="144"/>
      <c r="G462" s="144">
        <f t="shared" ref="G462:G472" si="7">IF(E462&gt;=75,100*E462,IF(E462&gt;=65,75*E462,IF(E462&gt;=50,50*E462,0)))</f>
        <v>7500</v>
      </c>
      <c r="H462" s="144"/>
      <c r="I462" s="144"/>
      <c r="J462" s="144"/>
    </row>
    <row r="463" hidden="1">
      <c r="A463" s="104" t="s">
        <v>382</v>
      </c>
      <c r="B463" s="152"/>
      <c r="C463" s="152"/>
      <c r="D463" s="152" t="s">
        <v>513</v>
      </c>
      <c r="E463" s="147">
        <v>75.0</v>
      </c>
      <c r="F463" s="144"/>
      <c r="G463" s="144">
        <f t="shared" si="7"/>
        <v>7500</v>
      </c>
      <c r="H463" s="144"/>
      <c r="I463" s="144"/>
      <c r="J463" s="144"/>
    </row>
    <row r="464" hidden="1">
      <c r="A464" s="104" t="s">
        <v>382</v>
      </c>
      <c r="B464" s="152"/>
      <c r="C464" s="152"/>
      <c r="D464" s="152" t="s">
        <v>514</v>
      </c>
      <c r="E464" s="147">
        <v>75.0</v>
      </c>
      <c r="F464" s="144"/>
      <c r="G464" s="144">
        <f t="shared" si="7"/>
        <v>7500</v>
      </c>
      <c r="H464" s="144"/>
      <c r="I464" s="144"/>
      <c r="J464" s="144"/>
    </row>
    <row r="465" hidden="1">
      <c r="A465" s="104" t="s">
        <v>382</v>
      </c>
      <c r="B465" s="152"/>
      <c r="C465" s="152"/>
      <c r="D465" s="152" t="s">
        <v>515</v>
      </c>
      <c r="E465" s="147">
        <v>71.0</v>
      </c>
      <c r="F465" s="144"/>
      <c r="G465" s="144">
        <f t="shared" si="7"/>
        <v>5325</v>
      </c>
      <c r="H465" s="144"/>
      <c r="I465" s="144"/>
      <c r="J465" s="144"/>
    </row>
    <row r="466" hidden="1">
      <c r="A466" s="104" t="s">
        <v>382</v>
      </c>
      <c r="B466" s="152"/>
      <c r="C466" s="152"/>
      <c r="D466" s="152" t="s">
        <v>516</v>
      </c>
      <c r="E466" s="147">
        <v>65.0</v>
      </c>
      <c r="F466" s="144"/>
      <c r="G466" s="144">
        <f t="shared" si="7"/>
        <v>4875</v>
      </c>
      <c r="H466" s="144"/>
      <c r="I466" s="144"/>
      <c r="J466" s="144"/>
    </row>
    <row r="467" hidden="1">
      <c r="A467" s="104" t="s">
        <v>382</v>
      </c>
      <c r="B467" s="152"/>
      <c r="C467" s="152"/>
      <c r="D467" s="152" t="s">
        <v>517</v>
      </c>
      <c r="E467" s="147">
        <v>58.0</v>
      </c>
      <c r="F467" s="144"/>
      <c r="G467" s="144">
        <f t="shared" si="7"/>
        <v>2900</v>
      </c>
      <c r="H467" s="144"/>
      <c r="I467" s="144"/>
      <c r="J467" s="144"/>
    </row>
    <row r="468" hidden="1">
      <c r="A468" s="104" t="s">
        <v>382</v>
      </c>
      <c r="B468" s="153"/>
      <c r="C468" s="153"/>
      <c r="D468" s="153" t="s">
        <v>518</v>
      </c>
      <c r="E468" s="147">
        <v>3.0</v>
      </c>
      <c r="F468" s="144"/>
      <c r="G468" s="144">
        <f t="shared" si="7"/>
        <v>0</v>
      </c>
      <c r="H468" s="144"/>
      <c r="I468" s="144"/>
      <c r="J468" s="144"/>
    </row>
    <row r="469" hidden="1">
      <c r="A469" s="104" t="s">
        <v>382</v>
      </c>
      <c r="B469" s="153"/>
      <c r="C469" s="153"/>
      <c r="D469" s="153" t="s">
        <v>519</v>
      </c>
      <c r="E469" s="147">
        <v>3.0</v>
      </c>
      <c r="F469" s="144"/>
      <c r="G469" s="144">
        <f t="shared" si="7"/>
        <v>0</v>
      </c>
      <c r="H469" s="144"/>
      <c r="I469" s="144"/>
      <c r="J469" s="144"/>
    </row>
    <row r="470" hidden="1">
      <c r="A470" s="104" t="s">
        <v>382</v>
      </c>
      <c r="B470" s="153"/>
      <c r="C470" s="153"/>
      <c r="D470" s="153" t="s">
        <v>520</v>
      </c>
      <c r="E470" s="147">
        <v>3.0</v>
      </c>
      <c r="F470" s="144"/>
      <c r="G470" s="144">
        <f t="shared" si="7"/>
        <v>0</v>
      </c>
      <c r="H470" s="144"/>
      <c r="I470" s="144"/>
      <c r="J470" s="144"/>
    </row>
    <row r="471" hidden="1">
      <c r="A471" s="104" t="s">
        <v>382</v>
      </c>
      <c r="B471" s="153"/>
      <c r="C471" s="153"/>
      <c r="D471" s="153" t="s">
        <v>522</v>
      </c>
      <c r="E471" s="147">
        <v>2.0</v>
      </c>
      <c r="F471" s="144"/>
      <c r="G471" s="144">
        <f t="shared" si="7"/>
        <v>0</v>
      </c>
      <c r="H471" s="144"/>
      <c r="I471" s="144"/>
      <c r="J471" s="144"/>
    </row>
    <row r="472" hidden="1">
      <c r="A472" s="104" t="s">
        <v>382</v>
      </c>
      <c r="B472" s="152"/>
      <c r="C472" s="152"/>
      <c r="D472" s="152" t="s">
        <v>523</v>
      </c>
      <c r="E472" s="147">
        <v>0.0</v>
      </c>
      <c r="F472" s="144"/>
      <c r="G472" s="144">
        <f t="shared" si="7"/>
        <v>0</v>
      </c>
      <c r="H472" s="144"/>
      <c r="I472" s="144"/>
      <c r="J472" s="144"/>
    </row>
    <row r="473" hidden="1">
      <c r="A473" s="100"/>
      <c r="B473" s="152"/>
      <c r="C473" s="152"/>
      <c r="D473" s="152"/>
      <c r="E473" s="154"/>
      <c r="F473" s="144"/>
      <c r="G473" s="144"/>
      <c r="H473" s="144"/>
      <c r="I473" s="144"/>
      <c r="J473" s="144"/>
    </row>
    <row r="474" hidden="1">
      <c r="A474" s="100"/>
      <c r="B474" s="152"/>
      <c r="C474" s="152"/>
      <c r="D474" s="152"/>
      <c r="E474" s="154"/>
      <c r="F474" s="144"/>
      <c r="G474" s="144"/>
      <c r="H474" s="144"/>
      <c r="I474" s="144"/>
      <c r="J474" s="144"/>
    </row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</sheetData>
  <autoFilter ref="$A$3:$G$491">
    <filterColumn colId="0">
      <filters>
        <filter val="Week 9/15/25 - 9/21/25"/>
      </filters>
    </filterColumn>
  </autoFilter>
  <mergeCells count="1">
    <mergeCell ref="A1:G2"/>
  </mergeCells>
  <dataValidations>
    <dataValidation type="list" allowBlank="1" showErrorMessage="1" sqref="A77:A100">
      <formula1>"Week 8/25/25 - 8/31/25"</formula1>
    </dataValidation>
    <dataValidation type="list" allowBlank="1" showErrorMessage="1" sqref="A53:A76">
      <formula1>"Week 9/1/25 - 9/7/25"</formula1>
    </dataValidation>
    <dataValidation type="list" allowBlank="1" showErrorMessage="1" sqref="A180:A458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135:A157">
      <formula1>"Week 8/4/25 - 8/10/25"</formula1>
    </dataValidation>
    <dataValidation type="list" allowBlank="1" showErrorMessage="1" sqref="A118:A134">
      <formula1>"Week 8/11/25 - 8/17/25 "</formula1>
    </dataValidation>
    <dataValidation type="list" allowBlank="1" showErrorMessage="1" sqref="A158:A179">
      <formula1>"Week 7/28/25 - 8/3/25"</formula1>
    </dataValidation>
    <dataValidation type="list" allowBlank="1" showErrorMessage="1" sqref="A4:A28">
      <formula1>"Week 9/15/25 - 9/21/25"</formula1>
    </dataValidation>
    <dataValidation type="list" allowBlank="1" showErrorMessage="1" sqref="A101:A117">
      <formula1>"Week 8/18/25 - 8/24/25 "</formula1>
    </dataValidation>
    <dataValidation type="list" allowBlank="1" showErrorMessage="1" sqref="A459:A472">
      <formula1>"Week 3/31/25 - 4/6/25"</formula1>
    </dataValidation>
    <dataValidation type="list" allowBlank="1" showErrorMessage="1" sqref="A29:A52">
      <formula1>"Week 9/08/25 - 9/14/25"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3.75"/>
    <col customWidth="1" min="3" max="4" width="29.13"/>
    <col customWidth="1" min="7" max="7" width="21.13"/>
    <col customWidth="1" min="9" max="9" width="30.0"/>
    <col customWidth="1" min="10" max="10" width="33.38"/>
  </cols>
  <sheetData>
    <row r="1" ht="19.5" customHeight="1">
      <c r="A1" s="117" t="s">
        <v>524</v>
      </c>
      <c r="M1" s="117"/>
    </row>
    <row r="2">
      <c r="A2" s="155" t="s">
        <v>525</v>
      </c>
      <c r="M2" s="118"/>
    </row>
    <row r="3">
      <c r="A3" s="118" t="s">
        <v>2</v>
      </c>
      <c r="B3" s="119" t="s">
        <v>3</v>
      </c>
      <c r="C3" s="120" t="s">
        <v>392</v>
      </c>
      <c r="D3" s="120" t="s">
        <v>5</v>
      </c>
      <c r="E3" s="156" t="s">
        <v>394</v>
      </c>
      <c r="F3" s="157" t="s">
        <v>526</v>
      </c>
      <c r="G3" s="157" t="s">
        <v>11</v>
      </c>
      <c r="H3" s="157" t="s">
        <v>12</v>
      </c>
      <c r="I3" s="158" t="s">
        <v>527</v>
      </c>
      <c r="J3" s="123"/>
      <c r="K3" s="159"/>
      <c r="L3" s="160" t="s">
        <v>528</v>
      </c>
      <c r="M3" s="123"/>
    </row>
    <row r="4" hidden="1">
      <c r="A4" s="6" t="s">
        <v>270</v>
      </c>
      <c r="B4" s="92" t="s">
        <v>529</v>
      </c>
      <c r="C4" s="93" t="s">
        <v>530</v>
      </c>
      <c r="D4" s="93" t="s">
        <v>531</v>
      </c>
      <c r="E4" s="127">
        <v>0.0</v>
      </c>
      <c r="F4" s="161"/>
      <c r="G4" s="161"/>
      <c r="H4" s="161">
        <f t="shared" ref="H4:H5" si="1">E4*250</f>
        <v>0</v>
      </c>
      <c r="I4" s="126"/>
      <c r="J4" s="126" t="str">
        <f t="shared" ref="J4:J5" si="2">E4 &amp; " Patient Portal Logins"</f>
        <v>0 Patient Portal Logins</v>
      </c>
      <c r="K4" s="23"/>
      <c r="L4" s="23"/>
      <c r="M4" s="23"/>
    </row>
    <row r="5" hidden="1">
      <c r="A5" s="6" t="s">
        <v>270</v>
      </c>
      <c r="B5" s="92" t="s">
        <v>532</v>
      </c>
      <c r="C5" s="93" t="s">
        <v>533</v>
      </c>
      <c r="D5" s="93" t="s">
        <v>534</v>
      </c>
      <c r="E5" s="127">
        <v>0.0</v>
      </c>
      <c r="F5" s="161"/>
      <c r="G5" s="161"/>
      <c r="H5" s="161">
        <f t="shared" si="1"/>
        <v>0</v>
      </c>
      <c r="I5" s="126"/>
      <c r="J5" s="126" t="str">
        <f t="shared" si="2"/>
        <v>0 Patient Portal Logins</v>
      </c>
      <c r="K5" s="23"/>
      <c r="L5" s="23"/>
      <c r="M5" s="23"/>
    </row>
    <row r="6" hidden="1">
      <c r="A6" s="6" t="s">
        <v>226</v>
      </c>
      <c r="B6" s="92" t="s">
        <v>535</v>
      </c>
      <c r="C6" s="93" t="s">
        <v>536</v>
      </c>
      <c r="D6" s="93" t="s">
        <v>537</v>
      </c>
      <c r="E6" s="162">
        <v>0.0</v>
      </c>
      <c r="F6" s="163">
        <v>0.0</v>
      </c>
      <c r="G6" s="163">
        <v>0.0</v>
      </c>
      <c r="H6" s="161">
        <f t="shared" ref="H6:H99" si="3">E6*250+F6*250+G6*250</f>
        <v>0</v>
      </c>
      <c r="I6" s="164">
        <v>0.0</v>
      </c>
      <c r="J6" s="126" t="str">
        <f t="shared" ref="J6:J334" si="4">E6 &amp; " Patient Portal Logins, " &amp; F6 &amp; " BBB 5-star Reviews"</f>
        <v>0 Patient Portal Logins, 0 BBB 5-star Reviews</v>
      </c>
      <c r="K6" s="165">
        <f t="shared" ref="K6:K163" si="5">IF(I6&lt;30,0,
 IF(I6&lt;40,I6*50,
 IF(I6&lt;50,I6*75,
 I6*100)))</f>
        <v>0</v>
      </c>
      <c r="L6" s="166">
        <f t="shared" ref="L6:L187" si="6">H6+K6</f>
        <v>0</v>
      </c>
      <c r="M6" s="14"/>
    </row>
    <row r="7">
      <c r="A7" s="6" t="s">
        <v>206</v>
      </c>
      <c r="B7" s="95" t="s">
        <v>535</v>
      </c>
      <c r="C7" s="95" t="s">
        <v>536</v>
      </c>
      <c r="D7" s="91" t="s">
        <v>537</v>
      </c>
      <c r="E7" s="167">
        <v>0.0</v>
      </c>
      <c r="F7" s="168">
        <v>0.0</v>
      </c>
      <c r="G7" s="169">
        <v>0.0</v>
      </c>
      <c r="H7" s="161">
        <f t="shared" si="3"/>
        <v>0</v>
      </c>
      <c r="I7" s="170">
        <v>37.0</v>
      </c>
      <c r="J7" s="126" t="str">
        <f t="shared" si="4"/>
        <v>0 Patient Portal Logins, 0 BBB 5-star Reviews</v>
      </c>
      <c r="K7" s="165">
        <f t="shared" si="5"/>
        <v>1850</v>
      </c>
      <c r="L7" s="166">
        <f t="shared" si="6"/>
        <v>1850</v>
      </c>
      <c r="M7" s="14"/>
    </row>
    <row r="8">
      <c r="A8" s="6" t="s">
        <v>206</v>
      </c>
      <c r="B8" s="94" t="s">
        <v>458</v>
      </c>
      <c r="C8" s="94" t="s">
        <v>459</v>
      </c>
      <c r="D8" s="92" t="s">
        <v>460</v>
      </c>
      <c r="E8" s="167">
        <v>14.0</v>
      </c>
      <c r="F8" s="168">
        <v>4.0</v>
      </c>
      <c r="G8" s="169">
        <v>0.0</v>
      </c>
      <c r="H8" s="161">
        <f t="shared" si="3"/>
        <v>4500</v>
      </c>
      <c r="I8" s="170">
        <v>41.0</v>
      </c>
      <c r="J8" s="126" t="str">
        <f t="shared" si="4"/>
        <v>14 Patient Portal Logins, 4 BBB 5-star Reviews</v>
      </c>
      <c r="K8" s="165">
        <f t="shared" si="5"/>
        <v>3075</v>
      </c>
      <c r="L8" s="166">
        <f t="shared" si="6"/>
        <v>7575</v>
      </c>
      <c r="M8" s="14"/>
    </row>
    <row r="9">
      <c r="A9" s="6" t="s">
        <v>206</v>
      </c>
      <c r="B9" s="92" t="s">
        <v>422</v>
      </c>
      <c r="C9" s="93" t="s">
        <v>423</v>
      </c>
      <c r="D9" s="93" t="s">
        <v>424</v>
      </c>
      <c r="E9" s="162">
        <v>1.0</v>
      </c>
      <c r="F9" s="171">
        <v>1.0</v>
      </c>
      <c r="G9" s="172">
        <v>0.0</v>
      </c>
      <c r="H9" s="161">
        <f t="shared" si="3"/>
        <v>500</v>
      </c>
      <c r="I9" s="170">
        <v>65.0</v>
      </c>
      <c r="J9" s="126" t="str">
        <f t="shared" si="4"/>
        <v>1 Patient Portal Logins, 1 BBB 5-star Reviews</v>
      </c>
      <c r="K9" s="165">
        <f t="shared" si="5"/>
        <v>6500</v>
      </c>
      <c r="L9" s="166">
        <f t="shared" si="6"/>
        <v>7000</v>
      </c>
      <c r="M9" s="14"/>
    </row>
    <row r="10">
      <c r="A10" s="6" t="s">
        <v>206</v>
      </c>
      <c r="B10" s="92" t="s">
        <v>493</v>
      </c>
      <c r="C10" s="93" t="s">
        <v>538</v>
      </c>
      <c r="D10" s="93" t="s">
        <v>494</v>
      </c>
      <c r="E10" s="173">
        <v>0.0</v>
      </c>
      <c r="F10" s="174">
        <v>0.0</v>
      </c>
      <c r="G10" s="172">
        <v>0.0</v>
      </c>
      <c r="H10" s="161">
        <f t="shared" si="3"/>
        <v>0</v>
      </c>
      <c r="I10" s="170">
        <v>42.0</v>
      </c>
      <c r="J10" s="126" t="str">
        <f t="shared" si="4"/>
        <v>0 Patient Portal Logins, 0 BBB 5-star Reviews</v>
      </c>
      <c r="K10" s="165">
        <f t="shared" si="5"/>
        <v>3150</v>
      </c>
      <c r="L10" s="166">
        <f t="shared" si="6"/>
        <v>3150</v>
      </c>
      <c r="M10" s="14"/>
    </row>
    <row r="11">
      <c r="A11" s="6" t="s">
        <v>206</v>
      </c>
      <c r="B11" s="94" t="s">
        <v>452</v>
      </c>
      <c r="C11" s="94" t="s">
        <v>453</v>
      </c>
      <c r="D11" s="92" t="s">
        <v>454</v>
      </c>
      <c r="E11" s="162">
        <v>10.0</v>
      </c>
      <c r="F11" s="171">
        <v>2.0</v>
      </c>
      <c r="G11" s="172">
        <v>0.0</v>
      </c>
      <c r="H11" s="161">
        <f t="shared" si="3"/>
        <v>3000</v>
      </c>
      <c r="I11" s="170">
        <v>53.0</v>
      </c>
      <c r="J11" s="126" t="str">
        <f t="shared" si="4"/>
        <v>10 Patient Portal Logins, 2 BBB 5-star Reviews</v>
      </c>
      <c r="K11" s="165">
        <f t="shared" si="5"/>
        <v>5300</v>
      </c>
      <c r="L11" s="166">
        <f t="shared" si="6"/>
        <v>8300</v>
      </c>
      <c r="M11" s="14"/>
    </row>
    <row r="12">
      <c r="A12" s="6" t="s">
        <v>206</v>
      </c>
      <c r="B12" s="92" t="s">
        <v>434</v>
      </c>
      <c r="C12" s="93" t="s">
        <v>435</v>
      </c>
      <c r="D12" s="93" t="s">
        <v>436</v>
      </c>
      <c r="E12" s="162">
        <v>7.0</v>
      </c>
      <c r="F12" s="171">
        <v>4.0</v>
      </c>
      <c r="G12" s="172">
        <v>0.0</v>
      </c>
      <c r="H12" s="161">
        <f t="shared" si="3"/>
        <v>2750</v>
      </c>
      <c r="I12" s="170">
        <v>40.0</v>
      </c>
      <c r="J12" s="126" t="str">
        <f t="shared" si="4"/>
        <v>7 Patient Portal Logins, 4 BBB 5-star Reviews</v>
      </c>
      <c r="K12" s="165">
        <f t="shared" si="5"/>
        <v>3000</v>
      </c>
      <c r="L12" s="166">
        <f t="shared" si="6"/>
        <v>5750</v>
      </c>
      <c r="M12" s="14"/>
    </row>
    <row r="13">
      <c r="A13" s="6" t="s">
        <v>206</v>
      </c>
      <c r="B13" s="92" t="s">
        <v>413</v>
      </c>
      <c r="C13" s="93" t="s">
        <v>414</v>
      </c>
      <c r="D13" s="93" t="s">
        <v>415</v>
      </c>
      <c r="E13" s="167">
        <v>26.0</v>
      </c>
      <c r="F13" s="168">
        <v>2.0</v>
      </c>
      <c r="G13" s="172">
        <v>0.0</v>
      </c>
      <c r="H13" s="161">
        <f t="shared" si="3"/>
        <v>7000</v>
      </c>
      <c r="I13" s="170">
        <v>62.0</v>
      </c>
      <c r="J13" s="126" t="str">
        <f t="shared" si="4"/>
        <v>26 Patient Portal Logins, 2 BBB 5-star Reviews</v>
      </c>
      <c r="K13" s="165">
        <f t="shared" si="5"/>
        <v>6200</v>
      </c>
      <c r="L13" s="166">
        <f t="shared" si="6"/>
        <v>13200</v>
      </c>
      <c r="M13" s="14"/>
    </row>
    <row r="14">
      <c r="A14" s="6" t="s">
        <v>206</v>
      </c>
      <c r="B14" s="92" t="s">
        <v>431</v>
      </c>
      <c r="C14" s="93" t="s">
        <v>432</v>
      </c>
      <c r="D14" s="93" t="s">
        <v>433</v>
      </c>
      <c r="E14" s="162">
        <v>11.0</v>
      </c>
      <c r="F14" s="175">
        <v>0.0</v>
      </c>
      <c r="G14" s="169">
        <v>0.0</v>
      </c>
      <c r="H14" s="161">
        <f t="shared" si="3"/>
        <v>2750</v>
      </c>
      <c r="I14" s="170">
        <v>38.0</v>
      </c>
      <c r="J14" s="126" t="str">
        <f t="shared" si="4"/>
        <v>11 Patient Portal Logins, 0 BBB 5-star Reviews</v>
      </c>
      <c r="K14" s="165">
        <f t="shared" si="5"/>
        <v>1900</v>
      </c>
      <c r="L14" s="166">
        <f t="shared" si="6"/>
        <v>4650</v>
      </c>
      <c r="M14" s="14"/>
    </row>
    <row r="15">
      <c r="A15" s="6" t="s">
        <v>206</v>
      </c>
      <c r="B15" s="92" t="s">
        <v>425</v>
      </c>
      <c r="C15" s="93" t="s">
        <v>426</v>
      </c>
      <c r="D15" s="93" t="s">
        <v>427</v>
      </c>
      <c r="E15" s="162">
        <v>9.0</v>
      </c>
      <c r="F15" s="171">
        <v>4.0</v>
      </c>
      <c r="G15" s="172">
        <v>0.0</v>
      </c>
      <c r="H15" s="161">
        <f t="shared" si="3"/>
        <v>3250</v>
      </c>
      <c r="I15" s="170">
        <v>43.0</v>
      </c>
      <c r="J15" s="126" t="str">
        <f t="shared" si="4"/>
        <v>9 Patient Portal Logins, 4 BBB 5-star Reviews</v>
      </c>
      <c r="K15" s="165">
        <f t="shared" si="5"/>
        <v>3225</v>
      </c>
      <c r="L15" s="166">
        <f t="shared" si="6"/>
        <v>6475</v>
      </c>
      <c r="M15" s="14"/>
    </row>
    <row r="16">
      <c r="A16" s="6" t="s">
        <v>206</v>
      </c>
      <c r="B16" s="92" t="s">
        <v>407</v>
      </c>
      <c r="C16" s="93" t="s">
        <v>408</v>
      </c>
      <c r="D16" s="93" t="s">
        <v>409</v>
      </c>
      <c r="E16" s="176">
        <v>2.0</v>
      </c>
      <c r="F16" s="175">
        <v>0.0</v>
      </c>
      <c r="G16" s="169">
        <v>0.0</v>
      </c>
      <c r="H16" s="161">
        <f t="shared" si="3"/>
        <v>500</v>
      </c>
      <c r="I16" s="170">
        <v>43.0</v>
      </c>
      <c r="J16" s="126" t="str">
        <f t="shared" si="4"/>
        <v>2 Patient Portal Logins, 0 BBB 5-star Reviews</v>
      </c>
      <c r="K16" s="165">
        <f t="shared" si="5"/>
        <v>3225</v>
      </c>
      <c r="L16" s="166">
        <f t="shared" si="6"/>
        <v>3725</v>
      </c>
      <c r="M16" s="14"/>
    </row>
    <row r="17">
      <c r="A17" s="6" t="s">
        <v>206</v>
      </c>
      <c r="B17" s="92" t="s">
        <v>437</v>
      </c>
      <c r="C17" s="93" t="s">
        <v>438</v>
      </c>
      <c r="D17" s="93" t="s">
        <v>439</v>
      </c>
      <c r="E17" s="162">
        <v>1.0</v>
      </c>
      <c r="F17" s="171">
        <v>1.0</v>
      </c>
      <c r="G17" s="172">
        <v>2.0</v>
      </c>
      <c r="H17" s="161">
        <f t="shared" si="3"/>
        <v>1000</v>
      </c>
      <c r="I17" s="170">
        <v>51.0</v>
      </c>
      <c r="J17" s="126" t="str">
        <f t="shared" si="4"/>
        <v>1 Patient Portal Logins, 1 BBB 5-star Reviews</v>
      </c>
      <c r="K17" s="165">
        <f t="shared" si="5"/>
        <v>5100</v>
      </c>
      <c r="L17" s="166">
        <f t="shared" si="6"/>
        <v>6100</v>
      </c>
      <c r="M17" s="14"/>
    </row>
    <row r="18">
      <c r="A18" s="6" t="s">
        <v>206</v>
      </c>
      <c r="B18" s="92" t="s">
        <v>440</v>
      </c>
      <c r="C18" s="93" t="s">
        <v>441</v>
      </c>
      <c r="D18" s="93" t="s">
        <v>539</v>
      </c>
      <c r="E18" s="162">
        <v>17.0</v>
      </c>
      <c r="F18" s="171">
        <v>4.0</v>
      </c>
      <c r="G18" s="172">
        <v>0.0</v>
      </c>
      <c r="H18" s="161">
        <f t="shared" si="3"/>
        <v>5250</v>
      </c>
      <c r="I18" s="170">
        <v>46.0</v>
      </c>
      <c r="J18" s="126" t="str">
        <f t="shared" si="4"/>
        <v>17 Patient Portal Logins, 4 BBB 5-star Reviews</v>
      </c>
      <c r="K18" s="165">
        <f t="shared" si="5"/>
        <v>3450</v>
      </c>
      <c r="L18" s="166">
        <f t="shared" si="6"/>
        <v>8700</v>
      </c>
      <c r="M18" s="14"/>
    </row>
    <row r="19">
      <c r="A19" s="6" t="s">
        <v>206</v>
      </c>
      <c r="B19" s="92" t="s">
        <v>540</v>
      </c>
      <c r="C19" s="93" t="s">
        <v>541</v>
      </c>
      <c r="D19" s="93" t="s">
        <v>542</v>
      </c>
      <c r="E19" s="162">
        <v>0.0</v>
      </c>
      <c r="F19" s="171">
        <v>0.0</v>
      </c>
      <c r="G19" s="172">
        <v>0.0</v>
      </c>
      <c r="H19" s="161">
        <f t="shared" si="3"/>
        <v>0</v>
      </c>
      <c r="I19" s="170">
        <v>50.0</v>
      </c>
      <c r="J19" s="126" t="str">
        <f t="shared" si="4"/>
        <v>0 Patient Portal Logins, 0 BBB 5-star Reviews</v>
      </c>
      <c r="K19" s="165">
        <f t="shared" si="5"/>
        <v>5000</v>
      </c>
      <c r="L19" s="166">
        <f t="shared" si="6"/>
        <v>5000</v>
      </c>
      <c r="M19" s="14"/>
    </row>
    <row r="20">
      <c r="A20" s="6" t="s">
        <v>206</v>
      </c>
      <c r="B20" s="92" t="s">
        <v>398</v>
      </c>
      <c r="C20" s="93" t="s">
        <v>399</v>
      </c>
      <c r="D20" s="93" t="s">
        <v>400</v>
      </c>
      <c r="E20" s="162">
        <v>1.0</v>
      </c>
      <c r="F20" s="171">
        <v>0.0</v>
      </c>
      <c r="G20" s="172">
        <v>0.0</v>
      </c>
      <c r="H20" s="161">
        <f t="shared" si="3"/>
        <v>250</v>
      </c>
      <c r="I20" s="170">
        <v>51.0</v>
      </c>
      <c r="J20" s="126" t="str">
        <f t="shared" si="4"/>
        <v>1 Patient Portal Logins, 0 BBB 5-star Reviews</v>
      </c>
      <c r="K20" s="165">
        <f t="shared" si="5"/>
        <v>5100</v>
      </c>
      <c r="L20" s="166">
        <f t="shared" si="6"/>
        <v>5350</v>
      </c>
      <c r="M20" s="14"/>
    </row>
    <row r="21">
      <c r="A21" s="6" t="s">
        <v>206</v>
      </c>
      <c r="B21" s="92" t="s">
        <v>428</v>
      </c>
      <c r="C21" s="93" t="s">
        <v>429</v>
      </c>
      <c r="D21" s="93" t="s">
        <v>430</v>
      </c>
      <c r="E21" s="162">
        <v>41.0</v>
      </c>
      <c r="F21" s="171">
        <v>4.0</v>
      </c>
      <c r="G21" s="172">
        <v>0.0</v>
      </c>
      <c r="H21" s="161">
        <f t="shared" si="3"/>
        <v>11250</v>
      </c>
      <c r="I21" s="170">
        <v>78.0</v>
      </c>
      <c r="J21" s="126" t="str">
        <f t="shared" si="4"/>
        <v>41 Patient Portal Logins, 4 BBB 5-star Reviews</v>
      </c>
      <c r="K21" s="165">
        <f t="shared" si="5"/>
        <v>7800</v>
      </c>
      <c r="L21" s="166">
        <f t="shared" si="6"/>
        <v>19050</v>
      </c>
      <c r="M21" s="14"/>
    </row>
    <row r="22" hidden="1">
      <c r="A22" s="6" t="s">
        <v>223</v>
      </c>
      <c r="B22" s="94" t="s">
        <v>458</v>
      </c>
      <c r="C22" s="94" t="s">
        <v>459</v>
      </c>
      <c r="D22" s="92" t="s">
        <v>460</v>
      </c>
      <c r="E22" s="177">
        <v>24.0</v>
      </c>
      <c r="F22" s="178">
        <v>5.0</v>
      </c>
      <c r="G22" s="179">
        <v>0.0</v>
      </c>
      <c r="H22" s="161">
        <f t="shared" si="3"/>
        <v>7250</v>
      </c>
      <c r="I22" s="170">
        <v>30.0</v>
      </c>
      <c r="J22" s="126" t="str">
        <f t="shared" si="4"/>
        <v>24 Patient Portal Logins, 5 BBB 5-star Reviews</v>
      </c>
      <c r="K22" s="165">
        <f t="shared" si="5"/>
        <v>1500</v>
      </c>
      <c r="L22" s="166">
        <f t="shared" si="6"/>
        <v>8750</v>
      </c>
      <c r="M22" s="14"/>
    </row>
    <row r="23" hidden="1">
      <c r="A23" s="6" t="s">
        <v>223</v>
      </c>
      <c r="B23" s="92" t="s">
        <v>422</v>
      </c>
      <c r="C23" s="93" t="s">
        <v>423</v>
      </c>
      <c r="D23" s="93" t="s">
        <v>424</v>
      </c>
      <c r="E23" s="162">
        <v>0.0</v>
      </c>
      <c r="F23" s="171">
        <v>0.0</v>
      </c>
      <c r="G23" s="172">
        <v>0.0</v>
      </c>
      <c r="H23" s="161">
        <f t="shared" si="3"/>
        <v>0</v>
      </c>
      <c r="I23" s="170">
        <v>53.0</v>
      </c>
      <c r="J23" s="126" t="str">
        <f t="shared" si="4"/>
        <v>0 Patient Portal Logins, 0 BBB 5-star Reviews</v>
      </c>
      <c r="K23" s="165">
        <f t="shared" si="5"/>
        <v>5300</v>
      </c>
      <c r="L23" s="166">
        <f t="shared" si="6"/>
        <v>5300</v>
      </c>
      <c r="M23" s="14"/>
    </row>
    <row r="24" hidden="1">
      <c r="A24" s="6" t="s">
        <v>223</v>
      </c>
      <c r="B24" s="92" t="s">
        <v>493</v>
      </c>
      <c r="C24" s="93" t="s">
        <v>538</v>
      </c>
      <c r="D24" s="93" t="s">
        <v>494</v>
      </c>
      <c r="E24" s="162">
        <v>0.0</v>
      </c>
      <c r="F24" s="171">
        <v>0.0</v>
      </c>
      <c r="G24" s="172">
        <v>0.0</v>
      </c>
      <c r="H24" s="161">
        <f t="shared" si="3"/>
        <v>0</v>
      </c>
      <c r="I24" s="170">
        <v>31.0</v>
      </c>
      <c r="J24" s="126" t="str">
        <f t="shared" si="4"/>
        <v>0 Patient Portal Logins, 0 BBB 5-star Reviews</v>
      </c>
      <c r="K24" s="165">
        <f t="shared" si="5"/>
        <v>1550</v>
      </c>
      <c r="L24" s="166">
        <f t="shared" si="6"/>
        <v>1550</v>
      </c>
      <c r="M24" s="14"/>
    </row>
    <row r="25" hidden="1">
      <c r="A25" s="6" t="s">
        <v>223</v>
      </c>
      <c r="B25" s="94" t="s">
        <v>452</v>
      </c>
      <c r="C25" s="94" t="s">
        <v>453</v>
      </c>
      <c r="D25" s="92" t="s">
        <v>454</v>
      </c>
      <c r="E25" s="162">
        <v>3.0</v>
      </c>
      <c r="F25" s="171">
        <v>2.0</v>
      </c>
      <c r="G25" s="172">
        <v>0.0</v>
      </c>
      <c r="H25" s="161">
        <f t="shared" si="3"/>
        <v>1250</v>
      </c>
      <c r="I25" s="170">
        <v>42.0</v>
      </c>
      <c r="J25" s="126" t="str">
        <f t="shared" si="4"/>
        <v>3 Patient Portal Logins, 2 BBB 5-star Reviews</v>
      </c>
      <c r="K25" s="165">
        <f t="shared" si="5"/>
        <v>3150</v>
      </c>
      <c r="L25" s="166">
        <f t="shared" si="6"/>
        <v>4400</v>
      </c>
      <c r="M25" s="14"/>
    </row>
    <row r="26" hidden="1">
      <c r="A26" s="6" t="s">
        <v>223</v>
      </c>
      <c r="B26" s="92" t="s">
        <v>434</v>
      </c>
      <c r="C26" s="93" t="s">
        <v>435</v>
      </c>
      <c r="D26" s="93" t="s">
        <v>436</v>
      </c>
      <c r="E26" s="162">
        <v>11.0</v>
      </c>
      <c r="F26" s="171">
        <v>5.0</v>
      </c>
      <c r="G26" s="172">
        <v>0.0</v>
      </c>
      <c r="H26" s="161">
        <f t="shared" si="3"/>
        <v>4000</v>
      </c>
      <c r="I26" s="170">
        <v>34.0</v>
      </c>
      <c r="J26" s="126" t="str">
        <f t="shared" si="4"/>
        <v>11 Patient Portal Logins, 5 BBB 5-star Reviews</v>
      </c>
      <c r="K26" s="165">
        <f t="shared" si="5"/>
        <v>1700</v>
      </c>
      <c r="L26" s="166">
        <f t="shared" si="6"/>
        <v>5700</v>
      </c>
      <c r="M26" s="14"/>
    </row>
    <row r="27" hidden="1">
      <c r="A27" s="6" t="s">
        <v>223</v>
      </c>
      <c r="B27" s="92" t="s">
        <v>413</v>
      </c>
      <c r="C27" s="93" t="s">
        <v>414</v>
      </c>
      <c r="D27" s="93" t="s">
        <v>415</v>
      </c>
      <c r="E27" s="162">
        <v>24.0</v>
      </c>
      <c r="F27" s="171">
        <v>2.0</v>
      </c>
      <c r="G27" s="172">
        <v>0.0</v>
      </c>
      <c r="H27" s="161">
        <f t="shared" si="3"/>
        <v>6500</v>
      </c>
      <c r="I27" s="170">
        <v>45.0</v>
      </c>
      <c r="J27" s="126" t="str">
        <f t="shared" si="4"/>
        <v>24 Patient Portal Logins, 2 BBB 5-star Reviews</v>
      </c>
      <c r="K27" s="165">
        <f t="shared" si="5"/>
        <v>3375</v>
      </c>
      <c r="L27" s="166">
        <f t="shared" si="6"/>
        <v>9875</v>
      </c>
      <c r="M27" s="14"/>
    </row>
    <row r="28" hidden="1">
      <c r="A28" s="6" t="s">
        <v>223</v>
      </c>
      <c r="B28" s="92" t="s">
        <v>431</v>
      </c>
      <c r="C28" s="93" t="s">
        <v>432</v>
      </c>
      <c r="D28" s="93" t="s">
        <v>433</v>
      </c>
      <c r="E28" s="177">
        <v>9.0</v>
      </c>
      <c r="F28" s="178">
        <v>0.0</v>
      </c>
      <c r="G28" s="179">
        <v>0.0</v>
      </c>
      <c r="H28" s="161">
        <f t="shared" si="3"/>
        <v>2250</v>
      </c>
      <c r="I28" s="170">
        <v>42.0</v>
      </c>
      <c r="J28" s="126" t="str">
        <f t="shared" si="4"/>
        <v>9 Patient Portal Logins, 0 BBB 5-star Reviews</v>
      </c>
      <c r="K28" s="165">
        <f t="shared" si="5"/>
        <v>3150</v>
      </c>
      <c r="L28" s="166">
        <f t="shared" si="6"/>
        <v>5400</v>
      </c>
      <c r="M28" s="14"/>
    </row>
    <row r="29" hidden="1">
      <c r="A29" s="6" t="s">
        <v>223</v>
      </c>
      <c r="B29" s="92" t="s">
        <v>425</v>
      </c>
      <c r="C29" s="93" t="s">
        <v>426</v>
      </c>
      <c r="D29" s="93" t="s">
        <v>427</v>
      </c>
      <c r="E29" s="162">
        <v>10.0</v>
      </c>
      <c r="F29" s="171">
        <v>2.0</v>
      </c>
      <c r="G29" s="172">
        <v>0.0</v>
      </c>
      <c r="H29" s="161">
        <f t="shared" si="3"/>
        <v>3000</v>
      </c>
      <c r="I29" s="170">
        <v>32.0</v>
      </c>
      <c r="J29" s="126" t="str">
        <f t="shared" si="4"/>
        <v>10 Patient Portal Logins, 2 BBB 5-star Reviews</v>
      </c>
      <c r="K29" s="165">
        <f t="shared" si="5"/>
        <v>1600</v>
      </c>
      <c r="L29" s="166">
        <f t="shared" si="6"/>
        <v>4600</v>
      </c>
      <c r="M29" s="14"/>
    </row>
    <row r="30" hidden="1">
      <c r="A30" s="6" t="s">
        <v>223</v>
      </c>
      <c r="B30" s="92" t="s">
        <v>407</v>
      </c>
      <c r="C30" s="93" t="s">
        <v>408</v>
      </c>
      <c r="D30" s="93" t="s">
        <v>409</v>
      </c>
      <c r="E30" s="177">
        <v>9.0</v>
      </c>
      <c r="F30" s="178">
        <v>0.0</v>
      </c>
      <c r="G30" s="179">
        <v>0.0</v>
      </c>
      <c r="H30" s="161">
        <f t="shared" si="3"/>
        <v>2250</v>
      </c>
      <c r="I30" s="170">
        <v>28.0</v>
      </c>
      <c r="J30" s="126" t="str">
        <f t="shared" si="4"/>
        <v>9 Patient Portal Logins, 0 BBB 5-star Reviews</v>
      </c>
      <c r="K30" s="165">
        <f t="shared" si="5"/>
        <v>0</v>
      </c>
      <c r="L30" s="166">
        <f t="shared" si="6"/>
        <v>2250</v>
      </c>
      <c r="M30" s="14"/>
    </row>
    <row r="31" hidden="1">
      <c r="A31" s="6" t="s">
        <v>223</v>
      </c>
      <c r="B31" s="92" t="s">
        <v>437</v>
      </c>
      <c r="C31" s="93" t="s">
        <v>438</v>
      </c>
      <c r="D31" s="93" t="s">
        <v>439</v>
      </c>
      <c r="E31" s="162">
        <v>4.0</v>
      </c>
      <c r="F31" s="171">
        <v>2.0</v>
      </c>
      <c r="G31" s="172">
        <v>0.0</v>
      </c>
      <c r="H31" s="161">
        <f t="shared" si="3"/>
        <v>1500</v>
      </c>
      <c r="I31" s="170">
        <v>35.0</v>
      </c>
      <c r="J31" s="126" t="str">
        <f t="shared" si="4"/>
        <v>4 Patient Portal Logins, 2 BBB 5-star Reviews</v>
      </c>
      <c r="K31" s="165">
        <f t="shared" si="5"/>
        <v>1750</v>
      </c>
      <c r="L31" s="166">
        <f t="shared" si="6"/>
        <v>3250</v>
      </c>
      <c r="M31" s="14"/>
    </row>
    <row r="32" hidden="1">
      <c r="A32" s="6" t="s">
        <v>223</v>
      </c>
      <c r="B32" s="92" t="s">
        <v>440</v>
      </c>
      <c r="C32" s="93" t="s">
        <v>441</v>
      </c>
      <c r="D32" s="93" t="s">
        <v>539</v>
      </c>
      <c r="E32" s="162">
        <v>31.0</v>
      </c>
      <c r="F32" s="171">
        <v>6.0</v>
      </c>
      <c r="G32" s="172">
        <v>0.0</v>
      </c>
      <c r="H32" s="161">
        <f t="shared" si="3"/>
        <v>9250</v>
      </c>
      <c r="I32" s="170">
        <v>41.0</v>
      </c>
      <c r="J32" s="126" t="str">
        <f t="shared" si="4"/>
        <v>31 Patient Portal Logins, 6 BBB 5-star Reviews</v>
      </c>
      <c r="K32" s="165">
        <f t="shared" si="5"/>
        <v>3075</v>
      </c>
      <c r="L32" s="166">
        <f t="shared" si="6"/>
        <v>12325</v>
      </c>
      <c r="M32" s="14"/>
    </row>
    <row r="33" hidden="1">
      <c r="A33" s="6" t="s">
        <v>223</v>
      </c>
      <c r="B33" s="92" t="s">
        <v>540</v>
      </c>
      <c r="C33" s="93" t="s">
        <v>541</v>
      </c>
      <c r="D33" s="93" t="s">
        <v>542</v>
      </c>
      <c r="E33" s="162">
        <v>0.0</v>
      </c>
      <c r="F33" s="171">
        <v>0.0</v>
      </c>
      <c r="G33" s="172">
        <v>0.0</v>
      </c>
      <c r="H33" s="161">
        <f t="shared" si="3"/>
        <v>0</v>
      </c>
      <c r="I33" s="170">
        <v>38.0</v>
      </c>
      <c r="J33" s="126" t="str">
        <f t="shared" si="4"/>
        <v>0 Patient Portal Logins, 0 BBB 5-star Reviews</v>
      </c>
      <c r="K33" s="165">
        <f t="shared" si="5"/>
        <v>1900</v>
      </c>
      <c r="L33" s="166">
        <f t="shared" si="6"/>
        <v>1900</v>
      </c>
      <c r="M33" s="14"/>
    </row>
    <row r="34" hidden="1">
      <c r="A34" s="6" t="s">
        <v>223</v>
      </c>
      <c r="B34" s="92" t="s">
        <v>398</v>
      </c>
      <c r="C34" s="93" t="s">
        <v>399</v>
      </c>
      <c r="D34" s="93" t="s">
        <v>400</v>
      </c>
      <c r="E34" s="162">
        <v>1.0</v>
      </c>
      <c r="F34" s="171">
        <v>0.0</v>
      </c>
      <c r="G34" s="172">
        <v>0.0</v>
      </c>
      <c r="H34" s="161">
        <f t="shared" si="3"/>
        <v>250</v>
      </c>
      <c r="I34" s="170">
        <v>43.0</v>
      </c>
      <c r="J34" s="126" t="str">
        <f t="shared" si="4"/>
        <v>1 Patient Portal Logins, 0 BBB 5-star Reviews</v>
      </c>
      <c r="K34" s="165">
        <f t="shared" si="5"/>
        <v>3225</v>
      </c>
      <c r="L34" s="166">
        <f t="shared" si="6"/>
        <v>3475</v>
      </c>
      <c r="M34" s="14"/>
    </row>
    <row r="35" hidden="1">
      <c r="A35" s="6" t="s">
        <v>223</v>
      </c>
      <c r="B35" s="92" t="s">
        <v>428</v>
      </c>
      <c r="C35" s="93" t="s">
        <v>429</v>
      </c>
      <c r="D35" s="93" t="s">
        <v>430</v>
      </c>
      <c r="E35" s="162">
        <v>47.0</v>
      </c>
      <c r="F35" s="171">
        <v>6.0</v>
      </c>
      <c r="G35" s="172">
        <v>0.0</v>
      </c>
      <c r="H35" s="161">
        <f t="shared" si="3"/>
        <v>13250</v>
      </c>
      <c r="I35" s="170">
        <v>45.0</v>
      </c>
      <c r="J35" s="126" t="str">
        <f t="shared" si="4"/>
        <v>47 Patient Portal Logins, 6 BBB 5-star Reviews</v>
      </c>
      <c r="K35" s="165">
        <f t="shared" si="5"/>
        <v>3375</v>
      </c>
      <c r="L35" s="166">
        <f t="shared" si="6"/>
        <v>16625</v>
      </c>
      <c r="M35" s="14"/>
    </row>
    <row r="36" hidden="1">
      <c r="A36" s="6" t="s">
        <v>224</v>
      </c>
      <c r="B36" s="94" t="s">
        <v>458</v>
      </c>
      <c r="C36" s="94" t="s">
        <v>459</v>
      </c>
      <c r="D36" s="92" t="s">
        <v>460</v>
      </c>
      <c r="E36" s="162">
        <v>16.0</v>
      </c>
      <c r="F36" s="171">
        <v>6.0</v>
      </c>
      <c r="G36" s="172">
        <v>0.0</v>
      </c>
      <c r="H36" s="161">
        <f t="shared" si="3"/>
        <v>5500</v>
      </c>
      <c r="I36" s="170">
        <v>31.0</v>
      </c>
      <c r="J36" s="126" t="str">
        <f t="shared" si="4"/>
        <v>16 Patient Portal Logins, 6 BBB 5-star Reviews</v>
      </c>
      <c r="K36" s="165">
        <f t="shared" si="5"/>
        <v>1550</v>
      </c>
      <c r="L36" s="166">
        <f t="shared" si="6"/>
        <v>7050</v>
      </c>
      <c r="M36" s="14"/>
    </row>
    <row r="37" hidden="1">
      <c r="A37" s="6" t="s">
        <v>224</v>
      </c>
      <c r="B37" s="92" t="s">
        <v>422</v>
      </c>
      <c r="C37" s="93" t="s">
        <v>423</v>
      </c>
      <c r="D37" s="93" t="s">
        <v>424</v>
      </c>
      <c r="E37" s="162">
        <v>0.0</v>
      </c>
      <c r="F37" s="171">
        <v>0.0</v>
      </c>
      <c r="G37" s="172">
        <v>0.0</v>
      </c>
      <c r="H37" s="161">
        <f t="shared" si="3"/>
        <v>0</v>
      </c>
      <c r="I37" s="170">
        <v>63.0</v>
      </c>
      <c r="J37" s="126" t="str">
        <f t="shared" si="4"/>
        <v>0 Patient Portal Logins, 0 BBB 5-star Reviews</v>
      </c>
      <c r="K37" s="165">
        <f t="shared" si="5"/>
        <v>6300</v>
      </c>
      <c r="L37" s="166">
        <f t="shared" si="6"/>
        <v>6300</v>
      </c>
      <c r="M37" s="14"/>
    </row>
    <row r="38" hidden="1">
      <c r="A38" s="6" t="s">
        <v>224</v>
      </c>
      <c r="B38" s="92" t="s">
        <v>493</v>
      </c>
      <c r="C38" s="93" t="s">
        <v>538</v>
      </c>
      <c r="D38" s="93" t="s">
        <v>494</v>
      </c>
      <c r="E38" s="162">
        <v>1.0</v>
      </c>
      <c r="F38" s="171">
        <v>0.0</v>
      </c>
      <c r="G38" s="172">
        <v>0.0</v>
      </c>
      <c r="H38" s="161">
        <f t="shared" si="3"/>
        <v>250</v>
      </c>
      <c r="I38" s="170">
        <v>44.0</v>
      </c>
      <c r="J38" s="126" t="str">
        <f t="shared" si="4"/>
        <v>1 Patient Portal Logins, 0 BBB 5-star Reviews</v>
      </c>
      <c r="K38" s="165">
        <f t="shared" si="5"/>
        <v>3300</v>
      </c>
      <c r="L38" s="166">
        <f t="shared" si="6"/>
        <v>3550</v>
      </c>
      <c r="M38" s="14"/>
    </row>
    <row r="39" hidden="1">
      <c r="A39" s="6" t="s">
        <v>224</v>
      </c>
      <c r="B39" s="94" t="s">
        <v>452</v>
      </c>
      <c r="C39" s="94" t="s">
        <v>453</v>
      </c>
      <c r="D39" s="92" t="s">
        <v>454</v>
      </c>
      <c r="E39" s="162">
        <v>1.0</v>
      </c>
      <c r="F39" s="171">
        <v>1.0</v>
      </c>
      <c r="G39" s="172">
        <v>0.0</v>
      </c>
      <c r="H39" s="161">
        <f t="shared" si="3"/>
        <v>500</v>
      </c>
      <c r="I39" s="170">
        <v>44.0</v>
      </c>
      <c r="J39" s="126" t="str">
        <f t="shared" si="4"/>
        <v>1 Patient Portal Logins, 1 BBB 5-star Reviews</v>
      </c>
      <c r="K39" s="165">
        <f t="shared" si="5"/>
        <v>3300</v>
      </c>
      <c r="L39" s="166">
        <f t="shared" si="6"/>
        <v>3800</v>
      </c>
      <c r="M39" s="14"/>
    </row>
    <row r="40" hidden="1">
      <c r="A40" s="6" t="s">
        <v>224</v>
      </c>
      <c r="B40" s="92" t="s">
        <v>434</v>
      </c>
      <c r="C40" s="93" t="s">
        <v>435</v>
      </c>
      <c r="D40" s="93" t="s">
        <v>436</v>
      </c>
      <c r="E40" s="162">
        <v>26.0</v>
      </c>
      <c r="F40" s="171">
        <v>7.0</v>
      </c>
      <c r="G40" s="172">
        <v>0.0</v>
      </c>
      <c r="H40" s="161">
        <f t="shared" si="3"/>
        <v>8250</v>
      </c>
      <c r="I40" s="170">
        <v>31.0</v>
      </c>
      <c r="J40" s="126" t="str">
        <f t="shared" si="4"/>
        <v>26 Patient Portal Logins, 7 BBB 5-star Reviews</v>
      </c>
      <c r="K40" s="165">
        <f t="shared" si="5"/>
        <v>1550</v>
      </c>
      <c r="L40" s="166">
        <f t="shared" si="6"/>
        <v>9800</v>
      </c>
      <c r="M40" s="14"/>
    </row>
    <row r="41" hidden="1">
      <c r="A41" s="6" t="s">
        <v>224</v>
      </c>
      <c r="B41" s="92" t="s">
        <v>413</v>
      </c>
      <c r="C41" s="93" t="s">
        <v>414</v>
      </c>
      <c r="D41" s="93" t="s">
        <v>415</v>
      </c>
      <c r="E41" s="162">
        <v>20.0</v>
      </c>
      <c r="F41" s="171">
        <v>0.0</v>
      </c>
      <c r="G41" s="172">
        <v>0.0</v>
      </c>
      <c r="H41" s="161">
        <f t="shared" si="3"/>
        <v>5000</v>
      </c>
      <c r="I41" s="170">
        <v>43.0</v>
      </c>
      <c r="J41" s="126" t="str">
        <f t="shared" si="4"/>
        <v>20 Patient Portal Logins, 0 BBB 5-star Reviews</v>
      </c>
      <c r="K41" s="165">
        <f t="shared" si="5"/>
        <v>3225</v>
      </c>
      <c r="L41" s="166">
        <f t="shared" si="6"/>
        <v>8225</v>
      </c>
      <c r="M41" s="14"/>
    </row>
    <row r="42" hidden="1">
      <c r="A42" s="6" t="s">
        <v>224</v>
      </c>
      <c r="B42" s="92" t="s">
        <v>431</v>
      </c>
      <c r="C42" s="93" t="s">
        <v>432</v>
      </c>
      <c r="D42" s="93" t="s">
        <v>433</v>
      </c>
      <c r="E42" s="162">
        <v>10.0</v>
      </c>
      <c r="F42" s="171">
        <v>0.0</v>
      </c>
      <c r="G42" s="172">
        <v>0.0</v>
      </c>
      <c r="H42" s="161">
        <f t="shared" si="3"/>
        <v>2500</v>
      </c>
      <c r="I42" s="170">
        <v>45.0</v>
      </c>
      <c r="J42" s="126" t="str">
        <f t="shared" si="4"/>
        <v>10 Patient Portal Logins, 0 BBB 5-star Reviews</v>
      </c>
      <c r="K42" s="165">
        <f t="shared" si="5"/>
        <v>3375</v>
      </c>
      <c r="L42" s="166">
        <f t="shared" si="6"/>
        <v>5875</v>
      </c>
      <c r="M42" s="14"/>
    </row>
    <row r="43" hidden="1">
      <c r="A43" s="6" t="s">
        <v>224</v>
      </c>
      <c r="B43" s="92" t="s">
        <v>425</v>
      </c>
      <c r="C43" s="93" t="s">
        <v>426</v>
      </c>
      <c r="D43" s="93" t="s">
        <v>427</v>
      </c>
      <c r="E43" s="162">
        <v>2.0</v>
      </c>
      <c r="F43" s="171">
        <v>0.0</v>
      </c>
      <c r="G43" s="172">
        <v>0.0</v>
      </c>
      <c r="H43" s="161">
        <f t="shared" si="3"/>
        <v>500</v>
      </c>
      <c r="I43" s="170">
        <v>32.0</v>
      </c>
      <c r="J43" s="126" t="str">
        <f t="shared" si="4"/>
        <v>2 Patient Portal Logins, 0 BBB 5-star Reviews</v>
      </c>
      <c r="K43" s="165">
        <f t="shared" si="5"/>
        <v>1600</v>
      </c>
      <c r="L43" s="166">
        <f t="shared" si="6"/>
        <v>2100</v>
      </c>
      <c r="M43" s="14"/>
    </row>
    <row r="44" hidden="1">
      <c r="A44" s="6" t="s">
        <v>224</v>
      </c>
      <c r="B44" s="92" t="s">
        <v>407</v>
      </c>
      <c r="C44" s="93" t="s">
        <v>408</v>
      </c>
      <c r="D44" s="93" t="s">
        <v>409</v>
      </c>
      <c r="E44" s="162">
        <v>5.0</v>
      </c>
      <c r="F44" s="171">
        <v>0.0</v>
      </c>
      <c r="G44" s="172">
        <v>0.0</v>
      </c>
      <c r="H44" s="161">
        <f t="shared" si="3"/>
        <v>1250</v>
      </c>
      <c r="I44" s="170">
        <v>41.0</v>
      </c>
      <c r="J44" s="126" t="str">
        <f t="shared" si="4"/>
        <v>5 Patient Portal Logins, 0 BBB 5-star Reviews</v>
      </c>
      <c r="K44" s="165">
        <f t="shared" si="5"/>
        <v>3075</v>
      </c>
      <c r="L44" s="166">
        <f t="shared" si="6"/>
        <v>4325</v>
      </c>
      <c r="M44" s="14"/>
    </row>
    <row r="45" hidden="1">
      <c r="A45" s="6" t="s">
        <v>224</v>
      </c>
      <c r="B45" s="92" t="s">
        <v>437</v>
      </c>
      <c r="C45" s="93" t="s">
        <v>438</v>
      </c>
      <c r="D45" s="93" t="s">
        <v>439</v>
      </c>
      <c r="E45" s="162">
        <v>0.0</v>
      </c>
      <c r="F45" s="171">
        <v>3.0</v>
      </c>
      <c r="G45" s="172">
        <v>0.0</v>
      </c>
      <c r="H45" s="161">
        <f t="shared" si="3"/>
        <v>750</v>
      </c>
      <c r="I45" s="170">
        <v>51.0</v>
      </c>
      <c r="J45" s="126" t="str">
        <f t="shared" si="4"/>
        <v>0 Patient Portal Logins, 3 BBB 5-star Reviews</v>
      </c>
      <c r="K45" s="165">
        <f t="shared" si="5"/>
        <v>5100</v>
      </c>
      <c r="L45" s="166">
        <f t="shared" si="6"/>
        <v>5850</v>
      </c>
      <c r="M45" s="14"/>
    </row>
    <row r="46" hidden="1">
      <c r="A46" s="6" t="s">
        <v>224</v>
      </c>
      <c r="B46" s="92" t="s">
        <v>440</v>
      </c>
      <c r="C46" s="93" t="s">
        <v>441</v>
      </c>
      <c r="D46" s="93" t="s">
        <v>539</v>
      </c>
      <c r="E46" s="162">
        <v>25.0</v>
      </c>
      <c r="F46" s="171">
        <v>5.0</v>
      </c>
      <c r="G46" s="172">
        <v>0.0</v>
      </c>
      <c r="H46" s="161">
        <f t="shared" si="3"/>
        <v>7500</v>
      </c>
      <c r="I46" s="170">
        <v>53.0</v>
      </c>
      <c r="J46" s="126" t="str">
        <f t="shared" si="4"/>
        <v>25 Patient Portal Logins, 5 BBB 5-star Reviews</v>
      </c>
      <c r="K46" s="165">
        <f t="shared" si="5"/>
        <v>5300</v>
      </c>
      <c r="L46" s="166">
        <f t="shared" si="6"/>
        <v>12800</v>
      </c>
      <c r="M46" s="14"/>
    </row>
    <row r="47" hidden="1">
      <c r="A47" s="6" t="s">
        <v>224</v>
      </c>
      <c r="B47" s="92" t="s">
        <v>540</v>
      </c>
      <c r="C47" s="93" t="s">
        <v>541</v>
      </c>
      <c r="D47" s="93" t="s">
        <v>542</v>
      </c>
      <c r="E47" s="162">
        <v>0.0</v>
      </c>
      <c r="F47" s="171">
        <v>0.0</v>
      </c>
      <c r="G47" s="172">
        <v>0.0</v>
      </c>
      <c r="H47" s="161">
        <f t="shared" si="3"/>
        <v>0</v>
      </c>
      <c r="I47" s="170">
        <v>36.0</v>
      </c>
      <c r="J47" s="126" t="str">
        <f t="shared" si="4"/>
        <v>0 Patient Portal Logins, 0 BBB 5-star Reviews</v>
      </c>
      <c r="K47" s="165">
        <f t="shared" si="5"/>
        <v>1800</v>
      </c>
      <c r="L47" s="166">
        <f t="shared" si="6"/>
        <v>1800</v>
      </c>
      <c r="M47" s="14"/>
    </row>
    <row r="48" hidden="1">
      <c r="A48" s="6" t="s">
        <v>224</v>
      </c>
      <c r="B48" s="92" t="s">
        <v>398</v>
      </c>
      <c r="C48" s="93" t="s">
        <v>399</v>
      </c>
      <c r="D48" s="93" t="s">
        <v>400</v>
      </c>
      <c r="E48" s="162">
        <v>0.0</v>
      </c>
      <c r="F48" s="171">
        <v>0.0</v>
      </c>
      <c r="G48" s="172">
        <v>0.0</v>
      </c>
      <c r="H48" s="161">
        <f t="shared" si="3"/>
        <v>0</v>
      </c>
      <c r="I48" s="170">
        <v>41.0</v>
      </c>
      <c r="J48" s="126" t="str">
        <f t="shared" si="4"/>
        <v>0 Patient Portal Logins, 0 BBB 5-star Reviews</v>
      </c>
      <c r="K48" s="165">
        <f t="shared" si="5"/>
        <v>3075</v>
      </c>
      <c r="L48" s="166">
        <f t="shared" si="6"/>
        <v>3075</v>
      </c>
      <c r="M48" s="14"/>
    </row>
    <row r="49" hidden="1">
      <c r="A49" s="6" t="s">
        <v>224</v>
      </c>
      <c r="B49" s="92" t="s">
        <v>428</v>
      </c>
      <c r="C49" s="93" t="s">
        <v>429</v>
      </c>
      <c r="D49" s="93" t="s">
        <v>430</v>
      </c>
      <c r="E49" s="162">
        <v>45.0</v>
      </c>
      <c r="F49" s="171">
        <v>1.0</v>
      </c>
      <c r="G49" s="172">
        <v>0.0</v>
      </c>
      <c r="H49" s="161">
        <f t="shared" si="3"/>
        <v>11500</v>
      </c>
      <c r="I49" s="170">
        <v>45.0</v>
      </c>
      <c r="J49" s="126" t="str">
        <f t="shared" si="4"/>
        <v>45 Patient Portal Logins, 1 BBB 5-star Reviews</v>
      </c>
      <c r="K49" s="165">
        <f t="shared" si="5"/>
        <v>3375</v>
      </c>
      <c r="L49" s="166">
        <f t="shared" si="6"/>
        <v>14875</v>
      </c>
      <c r="M49" s="14"/>
    </row>
    <row r="50" hidden="1">
      <c r="A50" s="6" t="s">
        <v>225</v>
      </c>
      <c r="B50" s="94" t="s">
        <v>458</v>
      </c>
      <c r="C50" s="94" t="s">
        <v>459</v>
      </c>
      <c r="D50" s="92" t="s">
        <v>460</v>
      </c>
      <c r="E50" s="162">
        <v>17.0</v>
      </c>
      <c r="F50" s="171">
        <v>6.0</v>
      </c>
      <c r="G50" s="163">
        <v>0.0</v>
      </c>
      <c r="H50" s="161">
        <f t="shared" si="3"/>
        <v>5750</v>
      </c>
      <c r="I50" s="180">
        <v>31.0</v>
      </c>
      <c r="J50" s="126" t="str">
        <f t="shared" si="4"/>
        <v>17 Patient Portal Logins, 6 BBB 5-star Reviews</v>
      </c>
      <c r="K50" s="165">
        <f t="shared" si="5"/>
        <v>1550</v>
      </c>
      <c r="L50" s="166">
        <f t="shared" si="6"/>
        <v>7300</v>
      </c>
      <c r="M50" s="14"/>
    </row>
    <row r="51" hidden="1">
      <c r="A51" s="6" t="s">
        <v>225</v>
      </c>
      <c r="B51" s="92" t="s">
        <v>422</v>
      </c>
      <c r="C51" s="93" t="s">
        <v>423</v>
      </c>
      <c r="D51" s="93" t="s">
        <v>424</v>
      </c>
      <c r="E51" s="162">
        <v>7.0</v>
      </c>
      <c r="F51" s="171">
        <v>3.0</v>
      </c>
      <c r="G51" s="163">
        <v>0.0</v>
      </c>
      <c r="H51" s="161">
        <f t="shared" si="3"/>
        <v>2500</v>
      </c>
      <c r="I51" s="181">
        <v>55.0</v>
      </c>
      <c r="J51" s="126" t="str">
        <f t="shared" si="4"/>
        <v>7 Patient Portal Logins, 3 BBB 5-star Reviews</v>
      </c>
      <c r="K51" s="165">
        <f t="shared" si="5"/>
        <v>5500</v>
      </c>
      <c r="L51" s="166">
        <f t="shared" si="6"/>
        <v>8000</v>
      </c>
      <c r="M51" s="14"/>
    </row>
    <row r="52" hidden="1">
      <c r="A52" s="6" t="s">
        <v>225</v>
      </c>
      <c r="B52" s="92" t="s">
        <v>493</v>
      </c>
      <c r="C52" s="93" t="s">
        <v>538</v>
      </c>
      <c r="D52" s="93" t="s">
        <v>494</v>
      </c>
      <c r="E52" s="162">
        <v>0.0</v>
      </c>
      <c r="F52" s="171">
        <v>0.0</v>
      </c>
      <c r="G52" s="163">
        <v>0.0</v>
      </c>
      <c r="H52" s="161">
        <f t="shared" si="3"/>
        <v>0</v>
      </c>
      <c r="I52" s="181">
        <v>32.0</v>
      </c>
      <c r="J52" s="126" t="str">
        <f t="shared" si="4"/>
        <v>0 Patient Portal Logins, 0 BBB 5-star Reviews</v>
      </c>
      <c r="K52" s="165">
        <f t="shared" si="5"/>
        <v>1600</v>
      </c>
      <c r="L52" s="166">
        <f t="shared" si="6"/>
        <v>1600</v>
      </c>
      <c r="M52" s="14"/>
    </row>
    <row r="53" hidden="1">
      <c r="A53" s="6" t="s">
        <v>225</v>
      </c>
      <c r="B53" s="94" t="s">
        <v>452</v>
      </c>
      <c r="C53" s="94" t="s">
        <v>453</v>
      </c>
      <c r="D53" s="92" t="s">
        <v>454</v>
      </c>
      <c r="E53" s="162">
        <v>4.0</v>
      </c>
      <c r="F53" s="171">
        <v>1.0</v>
      </c>
      <c r="G53" s="163">
        <v>0.0</v>
      </c>
      <c r="H53" s="161">
        <f t="shared" si="3"/>
        <v>1250</v>
      </c>
      <c r="I53" s="181">
        <v>46.0</v>
      </c>
      <c r="J53" s="126" t="str">
        <f t="shared" si="4"/>
        <v>4 Patient Portal Logins, 1 BBB 5-star Reviews</v>
      </c>
      <c r="K53" s="165">
        <f t="shared" si="5"/>
        <v>3450</v>
      </c>
      <c r="L53" s="166">
        <f t="shared" si="6"/>
        <v>4700</v>
      </c>
      <c r="M53" s="14"/>
    </row>
    <row r="54" hidden="1">
      <c r="A54" s="6" t="s">
        <v>225</v>
      </c>
      <c r="B54" s="92" t="s">
        <v>434</v>
      </c>
      <c r="C54" s="93" t="s">
        <v>435</v>
      </c>
      <c r="D54" s="93" t="s">
        <v>436</v>
      </c>
      <c r="E54" s="162">
        <v>2.0</v>
      </c>
      <c r="F54" s="171">
        <v>2.0</v>
      </c>
      <c r="G54" s="163">
        <v>0.0</v>
      </c>
      <c r="H54" s="161">
        <f t="shared" si="3"/>
        <v>1000</v>
      </c>
      <c r="I54" s="181">
        <v>31.0</v>
      </c>
      <c r="J54" s="126" t="str">
        <f t="shared" si="4"/>
        <v>2 Patient Portal Logins, 2 BBB 5-star Reviews</v>
      </c>
      <c r="K54" s="165">
        <f t="shared" si="5"/>
        <v>1550</v>
      </c>
      <c r="L54" s="166">
        <f t="shared" si="6"/>
        <v>2550</v>
      </c>
      <c r="M54" s="14"/>
    </row>
    <row r="55" hidden="1">
      <c r="A55" s="6" t="s">
        <v>225</v>
      </c>
      <c r="B55" s="92" t="s">
        <v>413</v>
      </c>
      <c r="C55" s="93" t="s">
        <v>414</v>
      </c>
      <c r="D55" s="93" t="s">
        <v>415</v>
      </c>
      <c r="E55" s="162">
        <v>18.0</v>
      </c>
      <c r="F55" s="171">
        <v>5.0</v>
      </c>
      <c r="G55" s="163">
        <v>0.0</v>
      </c>
      <c r="H55" s="161">
        <f t="shared" si="3"/>
        <v>5750</v>
      </c>
      <c r="I55" s="181">
        <v>47.0</v>
      </c>
      <c r="J55" s="126" t="str">
        <f t="shared" si="4"/>
        <v>18 Patient Portal Logins, 5 BBB 5-star Reviews</v>
      </c>
      <c r="K55" s="165">
        <f t="shared" si="5"/>
        <v>3525</v>
      </c>
      <c r="L55" s="166">
        <f t="shared" si="6"/>
        <v>9275</v>
      </c>
      <c r="M55" s="14"/>
    </row>
    <row r="56" hidden="1">
      <c r="A56" s="6" t="s">
        <v>225</v>
      </c>
      <c r="B56" s="92" t="s">
        <v>431</v>
      </c>
      <c r="C56" s="93" t="s">
        <v>432</v>
      </c>
      <c r="D56" s="93" t="s">
        <v>433</v>
      </c>
      <c r="E56" s="162">
        <v>7.0</v>
      </c>
      <c r="F56" s="171">
        <v>2.0</v>
      </c>
      <c r="G56" s="163">
        <v>0.0</v>
      </c>
      <c r="H56" s="161">
        <f t="shared" si="3"/>
        <v>2250</v>
      </c>
      <c r="I56" s="181">
        <v>40.0</v>
      </c>
      <c r="J56" s="126" t="str">
        <f t="shared" si="4"/>
        <v>7 Patient Portal Logins, 2 BBB 5-star Reviews</v>
      </c>
      <c r="K56" s="165">
        <f t="shared" si="5"/>
        <v>3000</v>
      </c>
      <c r="L56" s="166">
        <f t="shared" si="6"/>
        <v>5250</v>
      </c>
      <c r="M56" s="14"/>
    </row>
    <row r="57" hidden="1">
      <c r="A57" s="6" t="s">
        <v>225</v>
      </c>
      <c r="B57" s="92" t="s">
        <v>425</v>
      </c>
      <c r="C57" s="93" t="s">
        <v>426</v>
      </c>
      <c r="D57" s="93" t="s">
        <v>427</v>
      </c>
      <c r="E57" s="162">
        <v>13.0</v>
      </c>
      <c r="F57" s="171">
        <v>1.0</v>
      </c>
      <c r="G57" s="163">
        <v>0.0</v>
      </c>
      <c r="H57" s="161">
        <f t="shared" si="3"/>
        <v>3500</v>
      </c>
      <c r="I57" s="181">
        <v>40.0</v>
      </c>
      <c r="J57" s="126" t="str">
        <f t="shared" si="4"/>
        <v>13 Patient Portal Logins, 1 BBB 5-star Reviews</v>
      </c>
      <c r="K57" s="165">
        <f t="shared" si="5"/>
        <v>3000</v>
      </c>
      <c r="L57" s="166">
        <f t="shared" si="6"/>
        <v>6500</v>
      </c>
      <c r="M57" s="14"/>
    </row>
    <row r="58" hidden="1">
      <c r="A58" s="6" t="s">
        <v>225</v>
      </c>
      <c r="B58" s="92" t="s">
        <v>407</v>
      </c>
      <c r="C58" s="93" t="s">
        <v>408</v>
      </c>
      <c r="D58" s="93" t="s">
        <v>409</v>
      </c>
      <c r="E58" s="162">
        <v>8.0</v>
      </c>
      <c r="F58" s="171">
        <v>0.0</v>
      </c>
      <c r="G58" s="163">
        <v>0.0</v>
      </c>
      <c r="H58" s="161">
        <f t="shared" si="3"/>
        <v>2000</v>
      </c>
      <c r="I58" s="180">
        <v>50.0</v>
      </c>
      <c r="J58" s="126" t="str">
        <f t="shared" si="4"/>
        <v>8 Patient Portal Logins, 0 BBB 5-star Reviews</v>
      </c>
      <c r="K58" s="165">
        <f t="shared" si="5"/>
        <v>5000</v>
      </c>
      <c r="L58" s="166">
        <f t="shared" si="6"/>
        <v>7000</v>
      </c>
      <c r="M58" s="14"/>
    </row>
    <row r="59" hidden="1">
      <c r="A59" s="6" t="s">
        <v>225</v>
      </c>
      <c r="B59" s="92" t="s">
        <v>437</v>
      </c>
      <c r="C59" s="93" t="s">
        <v>438</v>
      </c>
      <c r="D59" s="93" t="s">
        <v>439</v>
      </c>
      <c r="E59" s="162">
        <v>3.0</v>
      </c>
      <c r="F59" s="171">
        <v>1.0</v>
      </c>
      <c r="G59" s="163">
        <v>0.0</v>
      </c>
      <c r="H59" s="161">
        <f t="shared" si="3"/>
        <v>1000</v>
      </c>
      <c r="I59" s="181">
        <v>45.0</v>
      </c>
      <c r="J59" s="126" t="str">
        <f t="shared" si="4"/>
        <v>3 Patient Portal Logins, 1 BBB 5-star Reviews</v>
      </c>
      <c r="K59" s="165">
        <f t="shared" si="5"/>
        <v>3375</v>
      </c>
      <c r="L59" s="166">
        <f t="shared" si="6"/>
        <v>4375</v>
      </c>
      <c r="M59" s="14"/>
    </row>
    <row r="60" hidden="1">
      <c r="A60" s="6" t="s">
        <v>225</v>
      </c>
      <c r="B60" s="92" t="s">
        <v>440</v>
      </c>
      <c r="C60" s="93" t="s">
        <v>441</v>
      </c>
      <c r="D60" s="93" t="s">
        <v>539</v>
      </c>
      <c r="E60" s="162">
        <v>20.0</v>
      </c>
      <c r="F60" s="171">
        <v>8.0</v>
      </c>
      <c r="G60" s="163">
        <v>0.0</v>
      </c>
      <c r="H60" s="161">
        <f t="shared" si="3"/>
        <v>7000</v>
      </c>
      <c r="I60" s="181">
        <v>52.0</v>
      </c>
      <c r="J60" s="126" t="str">
        <f t="shared" si="4"/>
        <v>20 Patient Portal Logins, 8 BBB 5-star Reviews</v>
      </c>
      <c r="K60" s="165">
        <f t="shared" si="5"/>
        <v>5200</v>
      </c>
      <c r="L60" s="166">
        <f t="shared" si="6"/>
        <v>12200</v>
      </c>
      <c r="M60" s="14"/>
    </row>
    <row r="61" hidden="1">
      <c r="A61" s="6" t="s">
        <v>225</v>
      </c>
      <c r="B61" s="92" t="s">
        <v>540</v>
      </c>
      <c r="C61" s="93" t="s">
        <v>541</v>
      </c>
      <c r="D61" s="93" t="s">
        <v>542</v>
      </c>
      <c r="E61" s="162">
        <v>0.0</v>
      </c>
      <c r="F61" s="171">
        <v>0.0</v>
      </c>
      <c r="G61" s="163">
        <v>0.0</v>
      </c>
      <c r="H61" s="161">
        <f t="shared" si="3"/>
        <v>0</v>
      </c>
      <c r="I61" s="181">
        <v>31.0</v>
      </c>
      <c r="J61" s="126" t="str">
        <f t="shared" si="4"/>
        <v>0 Patient Portal Logins, 0 BBB 5-star Reviews</v>
      </c>
      <c r="K61" s="165">
        <f t="shared" si="5"/>
        <v>1550</v>
      </c>
      <c r="L61" s="166">
        <f t="shared" si="6"/>
        <v>1550</v>
      </c>
      <c r="M61" s="14"/>
    </row>
    <row r="62" hidden="1">
      <c r="A62" s="6" t="s">
        <v>225</v>
      </c>
      <c r="B62" s="92" t="s">
        <v>398</v>
      </c>
      <c r="C62" s="93" t="s">
        <v>399</v>
      </c>
      <c r="D62" s="93" t="s">
        <v>400</v>
      </c>
      <c r="E62" s="162">
        <v>0.0</v>
      </c>
      <c r="F62" s="171">
        <v>0.0</v>
      </c>
      <c r="G62" s="163">
        <v>0.0</v>
      </c>
      <c r="H62" s="161">
        <f t="shared" si="3"/>
        <v>0</v>
      </c>
      <c r="I62" s="181">
        <v>56.0</v>
      </c>
      <c r="J62" s="126" t="str">
        <f t="shared" si="4"/>
        <v>0 Patient Portal Logins, 0 BBB 5-star Reviews</v>
      </c>
      <c r="K62" s="165">
        <f t="shared" si="5"/>
        <v>5600</v>
      </c>
      <c r="L62" s="166">
        <f t="shared" si="6"/>
        <v>5600</v>
      </c>
      <c r="M62" s="14"/>
    </row>
    <row r="63" hidden="1">
      <c r="A63" s="6" t="s">
        <v>225</v>
      </c>
      <c r="B63" s="92" t="s">
        <v>428</v>
      </c>
      <c r="C63" s="93" t="s">
        <v>429</v>
      </c>
      <c r="D63" s="93" t="s">
        <v>430</v>
      </c>
      <c r="E63" s="162">
        <v>45.0</v>
      </c>
      <c r="F63" s="171">
        <v>3.0</v>
      </c>
      <c r="G63" s="163">
        <v>0.0</v>
      </c>
      <c r="H63" s="161">
        <f t="shared" si="3"/>
        <v>12000</v>
      </c>
      <c r="I63" s="181">
        <v>40.0</v>
      </c>
      <c r="J63" s="126" t="str">
        <f t="shared" si="4"/>
        <v>45 Patient Portal Logins, 3 BBB 5-star Reviews</v>
      </c>
      <c r="K63" s="165">
        <f t="shared" si="5"/>
        <v>3000</v>
      </c>
      <c r="L63" s="166">
        <f t="shared" si="6"/>
        <v>15000</v>
      </c>
      <c r="M63" s="14"/>
    </row>
    <row r="64" hidden="1">
      <c r="A64" s="6" t="s">
        <v>226</v>
      </c>
      <c r="B64" s="92" t="s">
        <v>440</v>
      </c>
      <c r="C64" s="93" t="s">
        <v>441</v>
      </c>
      <c r="D64" s="93" t="s">
        <v>539</v>
      </c>
      <c r="E64" s="162">
        <v>25.0</v>
      </c>
      <c r="F64" s="171">
        <v>10.0</v>
      </c>
      <c r="G64" s="163">
        <v>0.0</v>
      </c>
      <c r="H64" s="161">
        <f t="shared" si="3"/>
        <v>8750</v>
      </c>
      <c r="I64" s="170">
        <v>44.0</v>
      </c>
      <c r="J64" s="126" t="str">
        <f t="shared" si="4"/>
        <v>25 Patient Portal Logins, 10 BBB 5-star Reviews</v>
      </c>
      <c r="K64" s="165">
        <f t="shared" si="5"/>
        <v>3300</v>
      </c>
      <c r="L64" s="166">
        <f t="shared" si="6"/>
        <v>12050</v>
      </c>
      <c r="M64" s="14"/>
    </row>
    <row r="65" hidden="1">
      <c r="A65" s="6" t="s">
        <v>226</v>
      </c>
      <c r="B65" s="92" t="s">
        <v>434</v>
      </c>
      <c r="C65" s="93" t="s">
        <v>435</v>
      </c>
      <c r="D65" s="93" t="s">
        <v>436</v>
      </c>
      <c r="E65" s="162">
        <v>0.0</v>
      </c>
      <c r="F65" s="171">
        <v>1.0</v>
      </c>
      <c r="G65" s="163">
        <v>0.0</v>
      </c>
      <c r="H65" s="161">
        <f t="shared" si="3"/>
        <v>250</v>
      </c>
      <c r="I65" s="170">
        <v>32.0</v>
      </c>
      <c r="J65" s="126" t="str">
        <f t="shared" si="4"/>
        <v>0 Patient Portal Logins, 1 BBB 5-star Reviews</v>
      </c>
      <c r="K65" s="165">
        <f t="shared" si="5"/>
        <v>1600</v>
      </c>
      <c r="L65" s="166">
        <f t="shared" si="6"/>
        <v>1850</v>
      </c>
      <c r="M65" s="14"/>
    </row>
    <row r="66" hidden="1">
      <c r="A66" s="6" t="s">
        <v>226</v>
      </c>
      <c r="B66" s="92" t="s">
        <v>493</v>
      </c>
      <c r="C66" s="93" t="s">
        <v>538</v>
      </c>
      <c r="D66" s="93" t="s">
        <v>494</v>
      </c>
      <c r="E66" s="162">
        <v>7.0</v>
      </c>
      <c r="F66" s="171">
        <v>0.0</v>
      </c>
      <c r="G66" s="163">
        <v>0.0</v>
      </c>
      <c r="H66" s="161">
        <f t="shared" si="3"/>
        <v>1750</v>
      </c>
      <c r="I66" s="170">
        <v>52.0</v>
      </c>
      <c r="J66" s="126" t="str">
        <f t="shared" si="4"/>
        <v>7 Patient Portal Logins, 0 BBB 5-star Reviews</v>
      </c>
      <c r="K66" s="165">
        <f t="shared" si="5"/>
        <v>5200</v>
      </c>
      <c r="L66" s="166">
        <f t="shared" si="6"/>
        <v>6950</v>
      </c>
      <c r="M66" s="14"/>
    </row>
    <row r="67" hidden="1">
      <c r="A67" s="6" t="s">
        <v>226</v>
      </c>
      <c r="B67" s="92" t="s">
        <v>540</v>
      </c>
      <c r="C67" s="93" t="s">
        <v>541</v>
      </c>
      <c r="D67" s="93" t="s">
        <v>542</v>
      </c>
      <c r="E67" s="162">
        <v>0.0</v>
      </c>
      <c r="F67" s="171">
        <v>0.0</v>
      </c>
      <c r="G67" s="163">
        <v>0.0</v>
      </c>
      <c r="H67" s="161">
        <f t="shared" si="3"/>
        <v>0</v>
      </c>
      <c r="I67" s="170">
        <v>73.0</v>
      </c>
      <c r="J67" s="126" t="str">
        <f t="shared" si="4"/>
        <v>0 Patient Portal Logins, 0 BBB 5-star Reviews</v>
      </c>
      <c r="K67" s="165">
        <f t="shared" si="5"/>
        <v>7300</v>
      </c>
      <c r="L67" s="166">
        <f t="shared" si="6"/>
        <v>7300</v>
      </c>
      <c r="M67" s="14"/>
    </row>
    <row r="68" hidden="1">
      <c r="A68" s="6" t="s">
        <v>226</v>
      </c>
      <c r="B68" s="92" t="s">
        <v>398</v>
      </c>
      <c r="C68" s="93" t="s">
        <v>399</v>
      </c>
      <c r="D68" s="93" t="s">
        <v>400</v>
      </c>
      <c r="E68" s="162">
        <v>0.0</v>
      </c>
      <c r="F68" s="171">
        <v>0.0</v>
      </c>
      <c r="G68" s="163">
        <v>0.0</v>
      </c>
      <c r="H68" s="161">
        <f t="shared" si="3"/>
        <v>0</v>
      </c>
      <c r="I68" s="170">
        <v>58.0</v>
      </c>
      <c r="J68" s="126" t="str">
        <f t="shared" si="4"/>
        <v>0 Patient Portal Logins, 0 BBB 5-star Reviews</v>
      </c>
      <c r="K68" s="165">
        <f t="shared" si="5"/>
        <v>5800</v>
      </c>
      <c r="L68" s="166">
        <f t="shared" si="6"/>
        <v>5800</v>
      </c>
      <c r="M68" s="14"/>
    </row>
    <row r="69" hidden="1">
      <c r="A69" s="6" t="s">
        <v>226</v>
      </c>
      <c r="B69" s="92" t="s">
        <v>407</v>
      </c>
      <c r="C69" s="93" t="s">
        <v>408</v>
      </c>
      <c r="D69" s="93" t="s">
        <v>409</v>
      </c>
      <c r="E69" s="162">
        <v>9.0</v>
      </c>
      <c r="F69" s="171">
        <v>0.0</v>
      </c>
      <c r="G69" s="163">
        <v>0.0</v>
      </c>
      <c r="H69" s="161">
        <f t="shared" si="3"/>
        <v>2250</v>
      </c>
      <c r="I69" s="164">
        <v>28.0</v>
      </c>
      <c r="J69" s="126" t="str">
        <f t="shared" si="4"/>
        <v>9 Patient Portal Logins, 0 BBB 5-star Reviews</v>
      </c>
      <c r="K69" s="165">
        <f t="shared" si="5"/>
        <v>0</v>
      </c>
      <c r="L69" s="166">
        <f t="shared" si="6"/>
        <v>2250</v>
      </c>
      <c r="M69" s="14"/>
    </row>
    <row r="70" hidden="1">
      <c r="A70" s="6" t="s">
        <v>226</v>
      </c>
      <c r="B70" s="92" t="s">
        <v>413</v>
      </c>
      <c r="C70" s="93" t="s">
        <v>414</v>
      </c>
      <c r="D70" s="93" t="s">
        <v>415</v>
      </c>
      <c r="E70" s="162">
        <v>35.0</v>
      </c>
      <c r="F70" s="171">
        <v>4.0</v>
      </c>
      <c r="G70" s="163">
        <v>0.0</v>
      </c>
      <c r="H70" s="161">
        <f t="shared" si="3"/>
        <v>9750</v>
      </c>
      <c r="I70" s="170">
        <v>61.0</v>
      </c>
      <c r="J70" s="126" t="str">
        <f t="shared" si="4"/>
        <v>35 Patient Portal Logins, 4 BBB 5-star Reviews</v>
      </c>
      <c r="K70" s="165">
        <f t="shared" si="5"/>
        <v>6100</v>
      </c>
      <c r="L70" s="166">
        <f t="shared" si="6"/>
        <v>15850</v>
      </c>
      <c r="M70" s="14"/>
    </row>
    <row r="71" hidden="1">
      <c r="A71" s="6" t="s">
        <v>226</v>
      </c>
      <c r="B71" s="92" t="s">
        <v>422</v>
      </c>
      <c r="C71" s="93" t="s">
        <v>423</v>
      </c>
      <c r="D71" s="93" t="s">
        <v>424</v>
      </c>
      <c r="E71" s="162">
        <v>4.0</v>
      </c>
      <c r="F71" s="171">
        <v>1.0</v>
      </c>
      <c r="G71" s="163">
        <v>0.0</v>
      </c>
      <c r="H71" s="161">
        <f t="shared" si="3"/>
        <v>1250</v>
      </c>
      <c r="I71" s="170">
        <v>72.0</v>
      </c>
      <c r="J71" s="126" t="str">
        <f t="shared" si="4"/>
        <v>4 Patient Portal Logins, 1 BBB 5-star Reviews</v>
      </c>
      <c r="K71" s="165">
        <f t="shared" si="5"/>
        <v>7200</v>
      </c>
      <c r="L71" s="166">
        <f t="shared" si="6"/>
        <v>8450</v>
      </c>
      <c r="M71" s="14"/>
    </row>
    <row r="72" hidden="1">
      <c r="A72" s="6" t="s">
        <v>226</v>
      </c>
      <c r="B72" s="92" t="s">
        <v>425</v>
      </c>
      <c r="C72" s="93" t="s">
        <v>426</v>
      </c>
      <c r="D72" s="93" t="s">
        <v>427</v>
      </c>
      <c r="E72" s="162">
        <v>37.0</v>
      </c>
      <c r="F72" s="171">
        <v>5.0</v>
      </c>
      <c r="G72" s="163">
        <v>0.0</v>
      </c>
      <c r="H72" s="161">
        <f t="shared" si="3"/>
        <v>10500</v>
      </c>
      <c r="I72" s="170">
        <v>63.0</v>
      </c>
      <c r="J72" s="126" t="str">
        <f t="shared" si="4"/>
        <v>37 Patient Portal Logins, 5 BBB 5-star Reviews</v>
      </c>
      <c r="K72" s="165">
        <f t="shared" si="5"/>
        <v>6300</v>
      </c>
      <c r="L72" s="166">
        <f t="shared" si="6"/>
        <v>16800</v>
      </c>
      <c r="M72" s="14"/>
    </row>
    <row r="73" hidden="1">
      <c r="A73" s="6" t="s">
        <v>226</v>
      </c>
      <c r="B73" s="92" t="s">
        <v>428</v>
      </c>
      <c r="C73" s="93" t="s">
        <v>429</v>
      </c>
      <c r="D73" s="93" t="s">
        <v>430</v>
      </c>
      <c r="E73" s="162">
        <v>60.0</v>
      </c>
      <c r="F73" s="171">
        <v>6.0</v>
      </c>
      <c r="G73" s="163">
        <v>0.0</v>
      </c>
      <c r="H73" s="161">
        <f t="shared" si="3"/>
        <v>16500</v>
      </c>
      <c r="I73" s="170">
        <v>76.0</v>
      </c>
      <c r="J73" s="126" t="str">
        <f t="shared" si="4"/>
        <v>60 Patient Portal Logins, 6 BBB 5-star Reviews</v>
      </c>
      <c r="K73" s="165">
        <f t="shared" si="5"/>
        <v>7600</v>
      </c>
      <c r="L73" s="166">
        <f t="shared" si="6"/>
        <v>24100</v>
      </c>
      <c r="M73" s="14"/>
    </row>
    <row r="74" hidden="1">
      <c r="A74" s="6" t="s">
        <v>226</v>
      </c>
      <c r="B74" s="92" t="s">
        <v>431</v>
      </c>
      <c r="C74" s="93" t="s">
        <v>432</v>
      </c>
      <c r="D74" s="93" t="s">
        <v>433</v>
      </c>
      <c r="E74" s="162">
        <v>10.0</v>
      </c>
      <c r="F74" s="171">
        <v>2.0</v>
      </c>
      <c r="G74" s="163">
        <v>0.0</v>
      </c>
      <c r="H74" s="161">
        <f t="shared" si="3"/>
        <v>3000</v>
      </c>
      <c r="I74" s="170">
        <v>43.0</v>
      </c>
      <c r="J74" s="126" t="str">
        <f t="shared" si="4"/>
        <v>10 Patient Portal Logins, 2 BBB 5-star Reviews</v>
      </c>
      <c r="K74" s="165">
        <f t="shared" si="5"/>
        <v>3225</v>
      </c>
      <c r="L74" s="166">
        <f t="shared" si="6"/>
        <v>6225</v>
      </c>
      <c r="M74" s="14"/>
    </row>
    <row r="75" hidden="1">
      <c r="A75" s="6" t="s">
        <v>226</v>
      </c>
      <c r="B75" s="92" t="s">
        <v>437</v>
      </c>
      <c r="C75" s="93" t="s">
        <v>438</v>
      </c>
      <c r="D75" s="93" t="s">
        <v>439</v>
      </c>
      <c r="E75" s="162">
        <v>2.0</v>
      </c>
      <c r="F75" s="171">
        <v>1.0</v>
      </c>
      <c r="G75" s="163">
        <v>0.0</v>
      </c>
      <c r="H75" s="161">
        <f t="shared" si="3"/>
        <v>750</v>
      </c>
      <c r="I75" s="170">
        <v>69.0</v>
      </c>
      <c r="J75" s="126" t="str">
        <f t="shared" si="4"/>
        <v>2 Patient Portal Logins, 1 BBB 5-star Reviews</v>
      </c>
      <c r="K75" s="165">
        <f t="shared" si="5"/>
        <v>6900</v>
      </c>
      <c r="L75" s="166">
        <f t="shared" si="6"/>
        <v>7650</v>
      </c>
      <c r="M75" s="14"/>
    </row>
    <row r="76" hidden="1">
      <c r="A76" s="6" t="s">
        <v>226</v>
      </c>
      <c r="B76" s="94" t="s">
        <v>458</v>
      </c>
      <c r="C76" s="94" t="s">
        <v>459</v>
      </c>
      <c r="D76" s="92" t="s">
        <v>460</v>
      </c>
      <c r="E76" s="162">
        <v>14.0</v>
      </c>
      <c r="F76" s="171">
        <v>6.0</v>
      </c>
      <c r="G76" s="163">
        <v>0.0</v>
      </c>
      <c r="H76" s="161">
        <f t="shared" si="3"/>
        <v>5000</v>
      </c>
      <c r="I76" s="164">
        <v>13.0</v>
      </c>
      <c r="J76" s="126" t="str">
        <f t="shared" si="4"/>
        <v>14 Patient Portal Logins, 6 BBB 5-star Reviews</v>
      </c>
      <c r="K76" s="165">
        <f t="shared" si="5"/>
        <v>0</v>
      </c>
      <c r="L76" s="166">
        <f t="shared" si="6"/>
        <v>5000</v>
      </c>
      <c r="M76" s="14"/>
    </row>
    <row r="77" hidden="1">
      <c r="A77" s="6" t="s">
        <v>226</v>
      </c>
      <c r="B77" s="94" t="s">
        <v>452</v>
      </c>
      <c r="C77" s="94" t="s">
        <v>453</v>
      </c>
      <c r="D77" s="92" t="s">
        <v>454</v>
      </c>
      <c r="E77" s="162">
        <v>11.0</v>
      </c>
      <c r="F77" s="171">
        <v>0.0</v>
      </c>
      <c r="G77" s="163">
        <v>1.0</v>
      </c>
      <c r="H77" s="161">
        <f t="shared" si="3"/>
        <v>3000</v>
      </c>
      <c r="I77" s="170">
        <v>63.0</v>
      </c>
      <c r="J77" s="126" t="str">
        <f t="shared" si="4"/>
        <v>11 Patient Portal Logins, 0 BBB 5-star Reviews</v>
      </c>
      <c r="K77" s="165">
        <f t="shared" si="5"/>
        <v>6300</v>
      </c>
      <c r="L77" s="166">
        <f t="shared" si="6"/>
        <v>9300</v>
      </c>
      <c r="M77" s="14"/>
    </row>
    <row r="78" hidden="1">
      <c r="A78" s="6" t="s">
        <v>237</v>
      </c>
      <c r="B78" s="92" t="s">
        <v>535</v>
      </c>
      <c r="C78" s="93" t="s">
        <v>536</v>
      </c>
      <c r="D78" s="93" t="s">
        <v>537</v>
      </c>
      <c r="E78" s="162">
        <v>0.0</v>
      </c>
      <c r="F78" s="171">
        <v>0.0</v>
      </c>
      <c r="G78" s="163">
        <v>0.0</v>
      </c>
      <c r="H78" s="161">
        <f t="shared" si="3"/>
        <v>0</v>
      </c>
      <c r="I78" s="182"/>
      <c r="J78" s="126" t="str">
        <f t="shared" si="4"/>
        <v>0 Patient Portal Logins, 0 BBB 5-star Reviews</v>
      </c>
      <c r="K78" s="165">
        <f t="shared" si="5"/>
        <v>0</v>
      </c>
      <c r="L78" s="166">
        <f t="shared" si="6"/>
        <v>0</v>
      </c>
      <c r="M78" s="14"/>
    </row>
    <row r="79" hidden="1">
      <c r="A79" s="6" t="s">
        <v>237</v>
      </c>
      <c r="B79" s="92" t="s">
        <v>440</v>
      </c>
      <c r="C79" s="93" t="s">
        <v>441</v>
      </c>
      <c r="D79" s="93" t="s">
        <v>539</v>
      </c>
      <c r="E79" s="162">
        <v>15.0</v>
      </c>
      <c r="F79" s="171">
        <v>9.0</v>
      </c>
      <c r="G79" s="163">
        <v>0.0</v>
      </c>
      <c r="H79" s="161">
        <f t="shared" si="3"/>
        <v>6000</v>
      </c>
      <c r="I79" s="182"/>
      <c r="J79" s="126" t="str">
        <f t="shared" si="4"/>
        <v>15 Patient Portal Logins, 9 BBB 5-star Reviews</v>
      </c>
      <c r="K79" s="165">
        <f t="shared" si="5"/>
        <v>0</v>
      </c>
      <c r="L79" s="166">
        <f t="shared" si="6"/>
        <v>6000</v>
      </c>
      <c r="M79" s="14"/>
    </row>
    <row r="80" hidden="1">
      <c r="A80" s="6" t="s">
        <v>237</v>
      </c>
      <c r="B80" s="92" t="s">
        <v>434</v>
      </c>
      <c r="C80" s="93" t="s">
        <v>435</v>
      </c>
      <c r="D80" s="93" t="s">
        <v>436</v>
      </c>
      <c r="E80" s="162">
        <v>0.0</v>
      </c>
      <c r="F80" s="171">
        <v>0.0</v>
      </c>
      <c r="G80" s="163">
        <v>0.0</v>
      </c>
      <c r="H80" s="161">
        <f t="shared" si="3"/>
        <v>0</v>
      </c>
      <c r="I80" s="182"/>
      <c r="J80" s="126" t="str">
        <f t="shared" si="4"/>
        <v>0 Patient Portal Logins, 0 BBB 5-star Reviews</v>
      </c>
      <c r="K80" s="165">
        <f t="shared" si="5"/>
        <v>0</v>
      </c>
      <c r="L80" s="166">
        <f t="shared" si="6"/>
        <v>0</v>
      </c>
      <c r="M80" s="14"/>
    </row>
    <row r="81" hidden="1">
      <c r="A81" s="6" t="s">
        <v>237</v>
      </c>
      <c r="B81" s="92" t="s">
        <v>493</v>
      </c>
      <c r="C81" s="93" t="s">
        <v>538</v>
      </c>
      <c r="D81" s="93" t="s">
        <v>494</v>
      </c>
      <c r="E81" s="162">
        <v>11.0</v>
      </c>
      <c r="F81" s="171">
        <v>0.0</v>
      </c>
      <c r="G81" s="163">
        <v>0.0</v>
      </c>
      <c r="H81" s="161">
        <f t="shared" si="3"/>
        <v>2750</v>
      </c>
      <c r="I81" s="170">
        <v>25.0</v>
      </c>
      <c r="J81" s="126" t="str">
        <f t="shared" si="4"/>
        <v>11 Patient Portal Logins, 0 BBB 5-star Reviews</v>
      </c>
      <c r="K81" s="165">
        <f t="shared" si="5"/>
        <v>0</v>
      </c>
      <c r="L81" s="166">
        <f t="shared" si="6"/>
        <v>2750</v>
      </c>
      <c r="M81" s="14"/>
    </row>
    <row r="82" hidden="1">
      <c r="A82" s="6" t="s">
        <v>237</v>
      </c>
      <c r="B82" s="92" t="s">
        <v>540</v>
      </c>
      <c r="C82" s="93" t="s">
        <v>541</v>
      </c>
      <c r="D82" s="93" t="s">
        <v>542</v>
      </c>
      <c r="E82" s="162">
        <v>0.0</v>
      </c>
      <c r="F82" s="171">
        <v>0.0</v>
      </c>
      <c r="G82" s="163">
        <v>0.0</v>
      </c>
      <c r="H82" s="161">
        <f t="shared" si="3"/>
        <v>0</v>
      </c>
      <c r="I82" s="170">
        <v>50.0</v>
      </c>
      <c r="J82" s="126" t="str">
        <f t="shared" si="4"/>
        <v>0 Patient Portal Logins, 0 BBB 5-star Reviews</v>
      </c>
      <c r="K82" s="165">
        <f t="shared" si="5"/>
        <v>5000</v>
      </c>
      <c r="L82" s="166">
        <f t="shared" si="6"/>
        <v>5000</v>
      </c>
      <c r="M82" s="14"/>
    </row>
    <row r="83" hidden="1">
      <c r="A83" s="6" t="s">
        <v>237</v>
      </c>
      <c r="B83" s="92" t="s">
        <v>543</v>
      </c>
      <c r="C83" s="93" t="s">
        <v>544</v>
      </c>
      <c r="D83" s="93" t="s">
        <v>545</v>
      </c>
      <c r="E83" s="38"/>
      <c r="F83" s="183"/>
      <c r="G83" s="183"/>
      <c r="H83" s="161">
        <f t="shared" si="3"/>
        <v>0</v>
      </c>
      <c r="I83" s="182"/>
      <c r="J83" s="126" t="str">
        <f t="shared" si="4"/>
        <v> Patient Portal Logins,  BBB 5-star Reviews</v>
      </c>
      <c r="K83" s="165">
        <f t="shared" si="5"/>
        <v>0</v>
      </c>
      <c r="L83" s="166">
        <f t="shared" si="6"/>
        <v>0</v>
      </c>
      <c r="M83" s="14"/>
    </row>
    <row r="84" hidden="1">
      <c r="A84" s="6" t="s">
        <v>237</v>
      </c>
      <c r="B84" s="92" t="s">
        <v>398</v>
      </c>
      <c r="C84" s="93" t="s">
        <v>399</v>
      </c>
      <c r="D84" s="93" t="s">
        <v>400</v>
      </c>
      <c r="E84" s="162">
        <v>2.0</v>
      </c>
      <c r="F84" s="171">
        <v>0.0</v>
      </c>
      <c r="G84" s="163">
        <v>0.0</v>
      </c>
      <c r="H84" s="161">
        <f t="shared" si="3"/>
        <v>500</v>
      </c>
      <c r="I84" s="170">
        <v>69.0</v>
      </c>
      <c r="J84" s="126" t="str">
        <f t="shared" si="4"/>
        <v>2 Patient Portal Logins, 0 BBB 5-star Reviews</v>
      </c>
      <c r="K84" s="165">
        <f t="shared" si="5"/>
        <v>6900</v>
      </c>
      <c r="L84" s="166">
        <f t="shared" si="6"/>
        <v>7400</v>
      </c>
      <c r="M84" s="14"/>
    </row>
    <row r="85" hidden="1">
      <c r="A85" s="6" t="s">
        <v>237</v>
      </c>
      <c r="B85" s="92" t="s">
        <v>404</v>
      </c>
      <c r="C85" s="93" t="s">
        <v>405</v>
      </c>
      <c r="D85" s="93" t="s">
        <v>406</v>
      </c>
      <c r="E85" s="38"/>
      <c r="F85" s="183"/>
      <c r="G85" s="183"/>
      <c r="H85" s="161">
        <f t="shared" si="3"/>
        <v>0</v>
      </c>
      <c r="I85" s="182"/>
      <c r="J85" s="126" t="str">
        <f t="shared" si="4"/>
        <v> Patient Portal Logins,  BBB 5-star Reviews</v>
      </c>
      <c r="K85" s="165">
        <f t="shared" si="5"/>
        <v>0</v>
      </c>
      <c r="L85" s="166">
        <f t="shared" si="6"/>
        <v>0</v>
      </c>
      <c r="M85" s="14"/>
    </row>
    <row r="86" hidden="1">
      <c r="A86" s="6" t="s">
        <v>237</v>
      </c>
      <c r="B86" s="92" t="s">
        <v>407</v>
      </c>
      <c r="C86" s="93" t="s">
        <v>408</v>
      </c>
      <c r="D86" s="93" t="s">
        <v>409</v>
      </c>
      <c r="E86" s="162">
        <v>7.0</v>
      </c>
      <c r="F86" s="171">
        <v>0.0</v>
      </c>
      <c r="G86" s="163">
        <v>0.0</v>
      </c>
      <c r="H86" s="161">
        <f t="shared" si="3"/>
        <v>1750</v>
      </c>
      <c r="I86" s="164"/>
      <c r="J86" s="126" t="str">
        <f t="shared" si="4"/>
        <v>7 Patient Portal Logins, 0 BBB 5-star Reviews</v>
      </c>
      <c r="K86" s="165">
        <f t="shared" si="5"/>
        <v>0</v>
      </c>
      <c r="L86" s="166">
        <f t="shared" si="6"/>
        <v>1750</v>
      </c>
      <c r="M86" s="14"/>
    </row>
    <row r="87" hidden="1">
      <c r="A87" s="6" t="s">
        <v>237</v>
      </c>
      <c r="B87" s="92" t="s">
        <v>410</v>
      </c>
      <c r="C87" s="93" t="s">
        <v>411</v>
      </c>
      <c r="D87" s="93" t="s">
        <v>412</v>
      </c>
      <c r="E87" s="38"/>
      <c r="F87" s="183"/>
      <c r="G87" s="183"/>
      <c r="H87" s="161">
        <f t="shared" si="3"/>
        <v>0</v>
      </c>
      <c r="I87" s="182"/>
      <c r="J87" s="126" t="str">
        <f t="shared" si="4"/>
        <v> Patient Portal Logins,  BBB 5-star Reviews</v>
      </c>
      <c r="K87" s="165">
        <f t="shared" si="5"/>
        <v>0</v>
      </c>
      <c r="L87" s="166">
        <f t="shared" si="6"/>
        <v>0</v>
      </c>
      <c r="M87" s="14"/>
    </row>
    <row r="88" hidden="1">
      <c r="A88" s="6" t="s">
        <v>237</v>
      </c>
      <c r="B88" s="92" t="s">
        <v>413</v>
      </c>
      <c r="C88" s="93" t="s">
        <v>414</v>
      </c>
      <c r="D88" s="93" t="s">
        <v>415</v>
      </c>
      <c r="E88" s="162">
        <v>10.0</v>
      </c>
      <c r="F88" s="171">
        <v>3.0</v>
      </c>
      <c r="G88" s="163">
        <v>0.0</v>
      </c>
      <c r="H88" s="161">
        <f t="shared" si="3"/>
        <v>3250</v>
      </c>
      <c r="I88" s="170">
        <v>48.0</v>
      </c>
      <c r="J88" s="126" t="str">
        <f t="shared" si="4"/>
        <v>10 Patient Portal Logins, 3 BBB 5-star Reviews</v>
      </c>
      <c r="K88" s="165">
        <f t="shared" si="5"/>
        <v>3600</v>
      </c>
      <c r="L88" s="166">
        <f t="shared" si="6"/>
        <v>6850</v>
      </c>
      <c r="M88" s="14"/>
    </row>
    <row r="89" hidden="1">
      <c r="A89" s="6" t="s">
        <v>237</v>
      </c>
      <c r="B89" s="92" t="s">
        <v>416</v>
      </c>
      <c r="C89" s="93" t="s">
        <v>417</v>
      </c>
      <c r="D89" s="93" t="s">
        <v>418</v>
      </c>
      <c r="E89" s="38"/>
      <c r="F89" s="183"/>
      <c r="G89" s="183"/>
      <c r="H89" s="161">
        <f t="shared" si="3"/>
        <v>0</v>
      </c>
      <c r="I89" s="182"/>
      <c r="J89" s="126" t="str">
        <f t="shared" si="4"/>
        <v> Patient Portal Logins,  BBB 5-star Reviews</v>
      </c>
      <c r="K89" s="165">
        <f t="shared" si="5"/>
        <v>0</v>
      </c>
      <c r="L89" s="166">
        <f t="shared" si="6"/>
        <v>0</v>
      </c>
      <c r="M89" s="14"/>
    </row>
    <row r="90" hidden="1">
      <c r="A90" s="6" t="s">
        <v>237</v>
      </c>
      <c r="B90" s="92" t="s">
        <v>422</v>
      </c>
      <c r="C90" s="93" t="s">
        <v>423</v>
      </c>
      <c r="D90" s="93" t="s">
        <v>424</v>
      </c>
      <c r="E90" s="162">
        <v>0.0</v>
      </c>
      <c r="F90" s="171">
        <v>1.0</v>
      </c>
      <c r="G90" s="163">
        <v>0.0</v>
      </c>
      <c r="H90" s="161">
        <f t="shared" si="3"/>
        <v>250</v>
      </c>
      <c r="I90" s="170">
        <v>81.0</v>
      </c>
      <c r="J90" s="126" t="str">
        <f t="shared" si="4"/>
        <v>0 Patient Portal Logins, 1 BBB 5-star Reviews</v>
      </c>
      <c r="K90" s="165">
        <f t="shared" si="5"/>
        <v>8100</v>
      </c>
      <c r="L90" s="166">
        <f t="shared" si="6"/>
        <v>8350</v>
      </c>
      <c r="M90" s="14"/>
    </row>
    <row r="91" hidden="1">
      <c r="A91" s="6" t="s">
        <v>237</v>
      </c>
      <c r="B91" s="92" t="s">
        <v>425</v>
      </c>
      <c r="C91" s="93" t="s">
        <v>426</v>
      </c>
      <c r="D91" s="93" t="s">
        <v>427</v>
      </c>
      <c r="E91" s="162">
        <v>20.0</v>
      </c>
      <c r="F91" s="171">
        <v>2.0</v>
      </c>
      <c r="G91" s="163">
        <v>0.0</v>
      </c>
      <c r="H91" s="161">
        <f t="shared" si="3"/>
        <v>5500</v>
      </c>
      <c r="I91" s="170">
        <v>19.0</v>
      </c>
      <c r="J91" s="126" t="str">
        <f t="shared" si="4"/>
        <v>20 Patient Portal Logins, 2 BBB 5-star Reviews</v>
      </c>
      <c r="K91" s="165">
        <f t="shared" si="5"/>
        <v>0</v>
      </c>
      <c r="L91" s="166">
        <f t="shared" si="6"/>
        <v>5500</v>
      </c>
      <c r="M91" s="14"/>
    </row>
    <row r="92" hidden="1">
      <c r="A92" s="6" t="s">
        <v>237</v>
      </c>
      <c r="B92" s="92" t="s">
        <v>428</v>
      </c>
      <c r="C92" s="93" t="s">
        <v>429</v>
      </c>
      <c r="D92" s="93" t="s">
        <v>430</v>
      </c>
      <c r="E92" s="162">
        <v>48.0</v>
      </c>
      <c r="F92" s="171">
        <v>6.0</v>
      </c>
      <c r="G92" s="163">
        <v>0.0</v>
      </c>
      <c r="H92" s="161">
        <f t="shared" si="3"/>
        <v>13500</v>
      </c>
      <c r="I92" s="170">
        <v>59.0</v>
      </c>
      <c r="J92" s="126" t="str">
        <f t="shared" si="4"/>
        <v>48 Patient Portal Logins, 6 BBB 5-star Reviews</v>
      </c>
      <c r="K92" s="165">
        <f t="shared" si="5"/>
        <v>5900</v>
      </c>
      <c r="L92" s="166">
        <f t="shared" si="6"/>
        <v>19400</v>
      </c>
      <c r="M92" s="14"/>
    </row>
    <row r="93" hidden="1">
      <c r="A93" s="6" t="s">
        <v>237</v>
      </c>
      <c r="B93" s="92" t="s">
        <v>431</v>
      </c>
      <c r="C93" s="93" t="s">
        <v>432</v>
      </c>
      <c r="D93" s="93" t="s">
        <v>433</v>
      </c>
      <c r="E93" s="162">
        <v>17.0</v>
      </c>
      <c r="F93" s="171">
        <v>4.0</v>
      </c>
      <c r="G93" s="163">
        <v>0.0</v>
      </c>
      <c r="H93" s="161">
        <f t="shared" si="3"/>
        <v>5250</v>
      </c>
      <c r="I93" s="181">
        <v>46.0</v>
      </c>
      <c r="J93" s="126" t="str">
        <f t="shared" si="4"/>
        <v>17 Patient Portal Logins, 4 BBB 5-star Reviews</v>
      </c>
      <c r="K93" s="165">
        <f t="shared" si="5"/>
        <v>3450</v>
      </c>
      <c r="L93" s="166">
        <f t="shared" si="6"/>
        <v>8700</v>
      </c>
      <c r="M93" s="14"/>
    </row>
    <row r="94" hidden="1">
      <c r="A94" s="6" t="s">
        <v>237</v>
      </c>
      <c r="B94" s="92" t="s">
        <v>437</v>
      </c>
      <c r="C94" s="93" t="s">
        <v>438</v>
      </c>
      <c r="D94" s="93" t="s">
        <v>439</v>
      </c>
      <c r="E94" s="162">
        <v>1.0</v>
      </c>
      <c r="F94" s="171">
        <v>2.0</v>
      </c>
      <c r="G94" s="163">
        <v>1.0</v>
      </c>
      <c r="H94" s="161">
        <f t="shared" si="3"/>
        <v>1000</v>
      </c>
      <c r="I94" s="170">
        <v>65.0</v>
      </c>
      <c r="J94" s="126" t="str">
        <f t="shared" si="4"/>
        <v>1 Patient Portal Logins, 2 BBB 5-star Reviews</v>
      </c>
      <c r="K94" s="165">
        <f t="shared" si="5"/>
        <v>6500</v>
      </c>
      <c r="L94" s="166">
        <f t="shared" si="6"/>
        <v>7500</v>
      </c>
      <c r="M94" s="14"/>
    </row>
    <row r="95" hidden="1">
      <c r="A95" s="6" t="s">
        <v>237</v>
      </c>
      <c r="B95" s="94" t="s">
        <v>458</v>
      </c>
      <c r="C95" s="94" t="s">
        <v>459</v>
      </c>
      <c r="D95" s="92" t="s">
        <v>460</v>
      </c>
      <c r="E95" s="162">
        <v>28.0</v>
      </c>
      <c r="F95" s="171">
        <v>5.0</v>
      </c>
      <c r="G95" s="163">
        <v>0.0</v>
      </c>
      <c r="H95" s="161">
        <f t="shared" si="3"/>
        <v>8250</v>
      </c>
      <c r="I95" s="164"/>
      <c r="J95" s="126" t="str">
        <f t="shared" si="4"/>
        <v>28 Patient Portal Logins, 5 BBB 5-star Reviews</v>
      </c>
      <c r="K95" s="165">
        <f t="shared" si="5"/>
        <v>0</v>
      </c>
      <c r="L95" s="166">
        <f t="shared" si="6"/>
        <v>8250</v>
      </c>
      <c r="M95" s="14"/>
    </row>
    <row r="96" hidden="1">
      <c r="A96" s="6" t="s">
        <v>237</v>
      </c>
      <c r="B96" s="94" t="s">
        <v>446</v>
      </c>
      <c r="C96" s="94" t="s">
        <v>447</v>
      </c>
      <c r="D96" s="92" t="s">
        <v>448</v>
      </c>
      <c r="E96" s="38"/>
      <c r="F96" s="183"/>
      <c r="G96" s="183"/>
      <c r="H96" s="161">
        <f t="shared" si="3"/>
        <v>0</v>
      </c>
      <c r="I96" s="182"/>
      <c r="J96" s="126" t="str">
        <f t="shared" si="4"/>
        <v> Patient Portal Logins,  BBB 5-star Reviews</v>
      </c>
      <c r="K96" s="165">
        <f t="shared" si="5"/>
        <v>0</v>
      </c>
      <c r="L96" s="166">
        <f t="shared" si="6"/>
        <v>0</v>
      </c>
      <c r="M96" s="14"/>
    </row>
    <row r="97" hidden="1">
      <c r="A97" s="6" t="s">
        <v>237</v>
      </c>
      <c r="B97" s="94" t="s">
        <v>449</v>
      </c>
      <c r="C97" s="94" t="s">
        <v>450</v>
      </c>
      <c r="D97" s="92" t="s">
        <v>451</v>
      </c>
      <c r="E97" s="38"/>
      <c r="F97" s="183"/>
      <c r="G97" s="183"/>
      <c r="H97" s="161">
        <f t="shared" si="3"/>
        <v>0</v>
      </c>
      <c r="I97" s="182"/>
      <c r="J97" s="126" t="str">
        <f t="shared" si="4"/>
        <v> Patient Portal Logins,  BBB 5-star Reviews</v>
      </c>
      <c r="K97" s="165">
        <f t="shared" si="5"/>
        <v>0</v>
      </c>
      <c r="L97" s="166">
        <f t="shared" si="6"/>
        <v>0</v>
      </c>
      <c r="M97" s="14"/>
    </row>
    <row r="98" hidden="1">
      <c r="A98" s="6" t="s">
        <v>237</v>
      </c>
      <c r="B98" s="94" t="s">
        <v>452</v>
      </c>
      <c r="C98" s="94" t="s">
        <v>453</v>
      </c>
      <c r="D98" s="92" t="s">
        <v>454</v>
      </c>
      <c r="E98" s="162">
        <v>3.0</v>
      </c>
      <c r="F98" s="171">
        <v>1.0</v>
      </c>
      <c r="G98" s="163">
        <v>0.0</v>
      </c>
      <c r="H98" s="161">
        <f t="shared" si="3"/>
        <v>1000</v>
      </c>
      <c r="I98" s="170">
        <v>50.0</v>
      </c>
      <c r="J98" s="126" t="str">
        <f t="shared" si="4"/>
        <v>3 Patient Portal Logins, 1 BBB 5-star Reviews</v>
      </c>
      <c r="K98" s="165">
        <f t="shared" si="5"/>
        <v>5000</v>
      </c>
      <c r="L98" s="166">
        <f t="shared" si="6"/>
        <v>6000</v>
      </c>
      <c r="M98" s="14"/>
    </row>
    <row r="99" hidden="1">
      <c r="A99" s="6" t="s">
        <v>237</v>
      </c>
      <c r="B99" s="94" t="s">
        <v>455</v>
      </c>
      <c r="C99" s="94" t="s">
        <v>456</v>
      </c>
      <c r="D99" s="92" t="s">
        <v>457</v>
      </c>
      <c r="E99" s="38"/>
      <c r="F99" s="183"/>
      <c r="G99" s="183"/>
      <c r="H99" s="161">
        <f t="shared" si="3"/>
        <v>0</v>
      </c>
      <c r="I99" s="182"/>
      <c r="J99" s="126" t="str">
        <f t="shared" si="4"/>
        <v> Patient Portal Logins,  BBB 5-star Reviews</v>
      </c>
      <c r="K99" s="165">
        <f t="shared" si="5"/>
        <v>0</v>
      </c>
      <c r="L99" s="166">
        <f t="shared" si="6"/>
        <v>0</v>
      </c>
      <c r="M99" s="14"/>
    </row>
    <row r="100" hidden="1">
      <c r="A100" s="6" t="s">
        <v>238</v>
      </c>
      <c r="B100" s="91" t="s">
        <v>535</v>
      </c>
      <c r="C100" s="96" t="s">
        <v>536</v>
      </c>
      <c r="D100" s="96" t="s">
        <v>537</v>
      </c>
      <c r="E100" s="167">
        <v>0.0</v>
      </c>
      <c r="F100" s="168">
        <v>0.0</v>
      </c>
      <c r="G100" s="168"/>
      <c r="H100" s="161">
        <f t="shared" ref="H100:H355" si="7">E100*250+F100*250</f>
        <v>0</v>
      </c>
      <c r="I100" s="182"/>
      <c r="J100" s="126" t="str">
        <f t="shared" si="4"/>
        <v>0 Patient Portal Logins, 0 BBB 5-star Reviews</v>
      </c>
      <c r="K100" s="165">
        <f t="shared" si="5"/>
        <v>0</v>
      </c>
      <c r="L100" s="166">
        <f t="shared" si="6"/>
        <v>0</v>
      </c>
      <c r="M100" s="14"/>
    </row>
    <row r="101" hidden="1">
      <c r="A101" s="6" t="s">
        <v>238</v>
      </c>
      <c r="B101" s="92" t="s">
        <v>440</v>
      </c>
      <c r="C101" s="93" t="s">
        <v>441</v>
      </c>
      <c r="D101" s="93" t="s">
        <v>539</v>
      </c>
      <c r="E101" s="162">
        <v>12.0</v>
      </c>
      <c r="F101" s="171">
        <v>1.0</v>
      </c>
      <c r="G101" s="171"/>
      <c r="H101" s="161">
        <f t="shared" si="7"/>
        <v>3250</v>
      </c>
      <c r="I101" s="182"/>
      <c r="J101" s="126" t="str">
        <f t="shared" si="4"/>
        <v>12 Patient Portal Logins, 1 BBB 5-star Reviews</v>
      </c>
      <c r="K101" s="165">
        <f t="shared" si="5"/>
        <v>0</v>
      </c>
      <c r="L101" s="166">
        <f t="shared" si="6"/>
        <v>3250</v>
      </c>
      <c r="M101" s="14"/>
    </row>
    <row r="102" hidden="1">
      <c r="A102" s="6" t="s">
        <v>238</v>
      </c>
      <c r="B102" s="92" t="s">
        <v>434</v>
      </c>
      <c r="C102" s="93" t="s">
        <v>435</v>
      </c>
      <c r="D102" s="93" t="s">
        <v>436</v>
      </c>
      <c r="E102" s="162">
        <v>1.0</v>
      </c>
      <c r="F102" s="171">
        <v>0.0</v>
      </c>
      <c r="G102" s="171"/>
      <c r="H102" s="161">
        <f t="shared" si="7"/>
        <v>250</v>
      </c>
      <c r="I102" s="182"/>
      <c r="J102" s="126" t="str">
        <f t="shared" si="4"/>
        <v>1 Patient Portal Logins, 0 BBB 5-star Reviews</v>
      </c>
      <c r="K102" s="165">
        <f t="shared" si="5"/>
        <v>0</v>
      </c>
      <c r="L102" s="166">
        <f t="shared" si="6"/>
        <v>250</v>
      </c>
      <c r="M102" s="14"/>
    </row>
    <row r="103" hidden="1">
      <c r="A103" s="6" t="s">
        <v>238</v>
      </c>
      <c r="B103" s="92" t="s">
        <v>493</v>
      </c>
      <c r="C103" s="93" t="s">
        <v>538</v>
      </c>
      <c r="D103" s="93" t="s">
        <v>494</v>
      </c>
      <c r="E103" s="162">
        <v>2.0</v>
      </c>
      <c r="F103" s="171">
        <v>0.0</v>
      </c>
      <c r="G103" s="171"/>
      <c r="H103" s="161">
        <f t="shared" si="7"/>
        <v>500</v>
      </c>
      <c r="I103" s="182"/>
      <c r="J103" s="126" t="str">
        <f t="shared" si="4"/>
        <v>2 Patient Portal Logins, 0 BBB 5-star Reviews</v>
      </c>
      <c r="K103" s="165">
        <f t="shared" si="5"/>
        <v>0</v>
      </c>
      <c r="L103" s="166">
        <f t="shared" si="6"/>
        <v>500</v>
      </c>
      <c r="M103" s="14"/>
    </row>
    <row r="104" hidden="1">
      <c r="A104" s="6" t="s">
        <v>238</v>
      </c>
      <c r="B104" s="92" t="s">
        <v>540</v>
      </c>
      <c r="C104" s="93" t="s">
        <v>541</v>
      </c>
      <c r="D104" s="93" t="s">
        <v>542</v>
      </c>
      <c r="E104" s="162">
        <v>0.0</v>
      </c>
      <c r="F104" s="171">
        <v>0.0</v>
      </c>
      <c r="G104" s="171"/>
      <c r="H104" s="161">
        <f t="shared" si="7"/>
        <v>0</v>
      </c>
      <c r="I104" s="170">
        <v>31.0</v>
      </c>
      <c r="J104" s="126" t="str">
        <f t="shared" si="4"/>
        <v>0 Patient Portal Logins, 0 BBB 5-star Reviews</v>
      </c>
      <c r="K104" s="165">
        <f t="shared" si="5"/>
        <v>1550</v>
      </c>
      <c r="L104" s="166">
        <f t="shared" si="6"/>
        <v>1550</v>
      </c>
      <c r="M104" s="14"/>
    </row>
    <row r="105" hidden="1">
      <c r="A105" s="6" t="s">
        <v>238</v>
      </c>
      <c r="B105" s="92" t="s">
        <v>543</v>
      </c>
      <c r="C105" s="93" t="s">
        <v>544</v>
      </c>
      <c r="D105" s="93" t="s">
        <v>545</v>
      </c>
      <c r="E105" s="38"/>
      <c r="F105" s="183"/>
      <c r="G105" s="183"/>
      <c r="H105" s="161">
        <f t="shared" si="7"/>
        <v>0</v>
      </c>
      <c r="I105" s="182"/>
      <c r="J105" s="126" t="str">
        <f t="shared" si="4"/>
        <v> Patient Portal Logins,  BBB 5-star Reviews</v>
      </c>
      <c r="K105" s="165">
        <f t="shared" si="5"/>
        <v>0</v>
      </c>
      <c r="L105" s="166">
        <f t="shared" si="6"/>
        <v>0</v>
      </c>
      <c r="M105" s="14"/>
    </row>
    <row r="106" hidden="1">
      <c r="A106" s="6" t="s">
        <v>238</v>
      </c>
      <c r="B106" s="92" t="s">
        <v>398</v>
      </c>
      <c r="C106" s="93" t="s">
        <v>399</v>
      </c>
      <c r="D106" s="93" t="s">
        <v>400</v>
      </c>
      <c r="E106" s="162">
        <v>2.0</v>
      </c>
      <c r="F106" s="171">
        <v>0.0</v>
      </c>
      <c r="G106" s="171"/>
      <c r="H106" s="161">
        <f t="shared" si="7"/>
        <v>500</v>
      </c>
      <c r="I106" s="170">
        <v>50.0</v>
      </c>
      <c r="J106" s="126" t="str">
        <f t="shared" si="4"/>
        <v>2 Patient Portal Logins, 0 BBB 5-star Reviews</v>
      </c>
      <c r="K106" s="165">
        <f t="shared" si="5"/>
        <v>5000</v>
      </c>
      <c r="L106" s="166">
        <f t="shared" si="6"/>
        <v>5500</v>
      </c>
      <c r="M106" s="14"/>
    </row>
    <row r="107" hidden="1">
      <c r="A107" s="6" t="s">
        <v>238</v>
      </c>
      <c r="B107" s="92" t="s">
        <v>404</v>
      </c>
      <c r="C107" s="93" t="s">
        <v>405</v>
      </c>
      <c r="D107" s="93" t="s">
        <v>406</v>
      </c>
      <c r="E107" s="38"/>
      <c r="F107" s="183"/>
      <c r="G107" s="183"/>
      <c r="H107" s="161">
        <f t="shared" si="7"/>
        <v>0</v>
      </c>
      <c r="I107" s="182"/>
      <c r="J107" s="126" t="str">
        <f t="shared" si="4"/>
        <v> Patient Portal Logins,  BBB 5-star Reviews</v>
      </c>
      <c r="K107" s="165">
        <f t="shared" si="5"/>
        <v>0</v>
      </c>
      <c r="L107" s="166">
        <f t="shared" si="6"/>
        <v>0</v>
      </c>
      <c r="M107" s="14"/>
    </row>
    <row r="108" hidden="1">
      <c r="A108" s="6" t="s">
        <v>238</v>
      </c>
      <c r="B108" s="92" t="s">
        <v>407</v>
      </c>
      <c r="C108" s="93" t="s">
        <v>408</v>
      </c>
      <c r="D108" s="93" t="s">
        <v>409</v>
      </c>
      <c r="E108" s="162">
        <v>9.0</v>
      </c>
      <c r="F108" s="171">
        <v>0.0</v>
      </c>
      <c r="G108" s="171"/>
      <c r="H108" s="161">
        <f t="shared" si="7"/>
        <v>2250</v>
      </c>
      <c r="I108" s="164">
        <v>33.0</v>
      </c>
      <c r="J108" s="126" t="str">
        <f t="shared" si="4"/>
        <v>9 Patient Portal Logins, 0 BBB 5-star Reviews</v>
      </c>
      <c r="K108" s="165">
        <f t="shared" si="5"/>
        <v>1650</v>
      </c>
      <c r="L108" s="166">
        <f t="shared" si="6"/>
        <v>3900</v>
      </c>
      <c r="M108" s="14"/>
    </row>
    <row r="109" hidden="1">
      <c r="A109" s="6" t="s">
        <v>238</v>
      </c>
      <c r="B109" s="92" t="s">
        <v>410</v>
      </c>
      <c r="C109" s="93" t="s">
        <v>411</v>
      </c>
      <c r="D109" s="93" t="s">
        <v>412</v>
      </c>
      <c r="E109" s="38"/>
      <c r="F109" s="183"/>
      <c r="G109" s="183"/>
      <c r="H109" s="161">
        <f t="shared" si="7"/>
        <v>0</v>
      </c>
      <c r="I109" s="182"/>
      <c r="J109" s="126" t="str">
        <f t="shared" si="4"/>
        <v> Patient Portal Logins,  BBB 5-star Reviews</v>
      </c>
      <c r="K109" s="165">
        <f t="shared" si="5"/>
        <v>0</v>
      </c>
      <c r="L109" s="166">
        <f t="shared" si="6"/>
        <v>0</v>
      </c>
      <c r="M109" s="14"/>
    </row>
    <row r="110" hidden="1">
      <c r="A110" s="6" t="s">
        <v>238</v>
      </c>
      <c r="B110" s="92" t="s">
        <v>413</v>
      </c>
      <c r="C110" s="93" t="s">
        <v>414</v>
      </c>
      <c r="D110" s="93" t="s">
        <v>415</v>
      </c>
      <c r="E110" s="184">
        <v>16.0</v>
      </c>
      <c r="F110" s="171">
        <v>5.0</v>
      </c>
      <c r="G110" s="171"/>
      <c r="H110" s="161">
        <f t="shared" si="7"/>
        <v>5250</v>
      </c>
      <c r="I110" s="170">
        <v>30.0</v>
      </c>
      <c r="J110" s="126" t="str">
        <f t="shared" si="4"/>
        <v>16 Patient Portal Logins, 5 BBB 5-star Reviews</v>
      </c>
      <c r="K110" s="165">
        <f t="shared" si="5"/>
        <v>1500</v>
      </c>
      <c r="L110" s="166">
        <f t="shared" si="6"/>
        <v>6750</v>
      </c>
      <c r="M110" s="14"/>
    </row>
    <row r="111" hidden="1">
      <c r="A111" s="6" t="s">
        <v>238</v>
      </c>
      <c r="B111" s="92" t="s">
        <v>416</v>
      </c>
      <c r="C111" s="93" t="s">
        <v>417</v>
      </c>
      <c r="D111" s="93" t="s">
        <v>418</v>
      </c>
      <c r="E111" s="38"/>
      <c r="F111" s="183"/>
      <c r="G111" s="183"/>
      <c r="H111" s="161">
        <f t="shared" si="7"/>
        <v>0</v>
      </c>
      <c r="I111" s="182"/>
      <c r="J111" s="126" t="str">
        <f t="shared" si="4"/>
        <v> Patient Portal Logins,  BBB 5-star Reviews</v>
      </c>
      <c r="K111" s="165">
        <f t="shared" si="5"/>
        <v>0</v>
      </c>
      <c r="L111" s="166">
        <f t="shared" si="6"/>
        <v>0</v>
      </c>
      <c r="M111" s="14"/>
    </row>
    <row r="112" hidden="1">
      <c r="A112" s="6" t="s">
        <v>238</v>
      </c>
      <c r="B112" s="92" t="s">
        <v>422</v>
      </c>
      <c r="C112" s="93" t="s">
        <v>423</v>
      </c>
      <c r="D112" s="93" t="s">
        <v>424</v>
      </c>
      <c r="E112" s="162">
        <v>0.0</v>
      </c>
      <c r="F112" s="171">
        <v>1.0</v>
      </c>
      <c r="G112" s="171"/>
      <c r="H112" s="161">
        <f t="shared" si="7"/>
        <v>250</v>
      </c>
      <c r="I112" s="170">
        <v>53.0</v>
      </c>
      <c r="J112" s="126" t="str">
        <f t="shared" si="4"/>
        <v>0 Patient Portal Logins, 1 BBB 5-star Reviews</v>
      </c>
      <c r="K112" s="165">
        <f t="shared" si="5"/>
        <v>5300</v>
      </c>
      <c r="L112" s="166">
        <f t="shared" si="6"/>
        <v>5550</v>
      </c>
      <c r="M112" s="14"/>
    </row>
    <row r="113" hidden="1">
      <c r="A113" s="6" t="s">
        <v>238</v>
      </c>
      <c r="B113" s="92" t="s">
        <v>425</v>
      </c>
      <c r="C113" s="93" t="s">
        <v>426</v>
      </c>
      <c r="D113" s="93" t="s">
        <v>427</v>
      </c>
      <c r="E113" s="162">
        <v>22.0</v>
      </c>
      <c r="F113" s="171">
        <v>2.0</v>
      </c>
      <c r="G113" s="171"/>
      <c r="H113" s="161">
        <f t="shared" si="7"/>
        <v>6000</v>
      </c>
      <c r="I113" s="170">
        <v>26.0</v>
      </c>
      <c r="J113" s="126" t="str">
        <f t="shared" si="4"/>
        <v>22 Patient Portal Logins, 2 BBB 5-star Reviews</v>
      </c>
      <c r="K113" s="165">
        <f t="shared" si="5"/>
        <v>0</v>
      </c>
      <c r="L113" s="166">
        <f t="shared" si="6"/>
        <v>6000</v>
      </c>
      <c r="M113" s="14"/>
    </row>
    <row r="114" hidden="1">
      <c r="A114" s="6" t="s">
        <v>238</v>
      </c>
      <c r="B114" s="92" t="s">
        <v>428</v>
      </c>
      <c r="C114" s="93" t="s">
        <v>429</v>
      </c>
      <c r="D114" s="93" t="s">
        <v>430</v>
      </c>
      <c r="E114" s="162">
        <v>51.0</v>
      </c>
      <c r="F114" s="171">
        <v>8.0</v>
      </c>
      <c r="G114" s="171"/>
      <c r="H114" s="161">
        <f t="shared" si="7"/>
        <v>14750</v>
      </c>
      <c r="I114" s="170">
        <v>52.0</v>
      </c>
      <c r="J114" s="126" t="str">
        <f t="shared" si="4"/>
        <v>51 Patient Portal Logins, 8 BBB 5-star Reviews</v>
      </c>
      <c r="K114" s="165">
        <f t="shared" si="5"/>
        <v>5200</v>
      </c>
      <c r="L114" s="166">
        <f t="shared" si="6"/>
        <v>19950</v>
      </c>
      <c r="M114" s="14"/>
    </row>
    <row r="115" hidden="1">
      <c r="A115" s="6" t="s">
        <v>238</v>
      </c>
      <c r="B115" s="92" t="s">
        <v>431</v>
      </c>
      <c r="C115" s="93" t="s">
        <v>432</v>
      </c>
      <c r="D115" s="93" t="s">
        <v>433</v>
      </c>
      <c r="E115" s="162">
        <v>10.0</v>
      </c>
      <c r="F115" s="171">
        <v>1.0</v>
      </c>
      <c r="G115" s="171"/>
      <c r="H115" s="161">
        <f t="shared" si="7"/>
        <v>2750</v>
      </c>
      <c r="I115" s="170">
        <v>44.0</v>
      </c>
      <c r="J115" s="126" t="str">
        <f t="shared" si="4"/>
        <v>10 Patient Portal Logins, 1 BBB 5-star Reviews</v>
      </c>
      <c r="K115" s="165">
        <f t="shared" si="5"/>
        <v>3300</v>
      </c>
      <c r="L115" s="166">
        <f t="shared" si="6"/>
        <v>6050</v>
      </c>
      <c r="M115" s="14"/>
    </row>
    <row r="116" hidden="1">
      <c r="A116" s="6" t="s">
        <v>238</v>
      </c>
      <c r="B116" s="92" t="s">
        <v>437</v>
      </c>
      <c r="C116" s="93" t="s">
        <v>438</v>
      </c>
      <c r="D116" s="93" t="s">
        <v>439</v>
      </c>
      <c r="E116" s="162">
        <v>3.0</v>
      </c>
      <c r="F116" s="171">
        <v>2.0</v>
      </c>
      <c r="G116" s="171"/>
      <c r="H116" s="161">
        <f t="shared" si="7"/>
        <v>1250</v>
      </c>
      <c r="I116" s="170">
        <v>65.0</v>
      </c>
      <c r="J116" s="126" t="str">
        <f t="shared" si="4"/>
        <v>3 Patient Portal Logins, 2 BBB 5-star Reviews</v>
      </c>
      <c r="K116" s="165">
        <f t="shared" si="5"/>
        <v>6500</v>
      </c>
      <c r="L116" s="166">
        <f t="shared" si="6"/>
        <v>7750</v>
      </c>
      <c r="M116" s="14"/>
    </row>
    <row r="117" hidden="1">
      <c r="A117" s="6" t="s">
        <v>238</v>
      </c>
      <c r="B117" s="94" t="s">
        <v>458</v>
      </c>
      <c r="C117" s="94" t="s">
        <v>459</v>
      </c>
      <c r="D117" s="92" t="s">
        <v>460</v>
      </c>
      <c r="E117" s="162">
        <v>14.0</v>
      </c>
      <c r="F117" s="171">
        <v>4.0</v>
      </c>
      <c r="G117" s="171"/>
      <c r="H117" s="161">
        <f t="shared" si="7"/>
        <v>4500</v>
      </c>
      <c r="I117" s="164">
        <v>30.0</v>
      </c>
      <c r="J117" s="126" t="str">
        <f t="shared" si="4"/>
        <v>14 Patient Portal Logins, 4 BBB 5-star Reviews</v>
      </c>
      <c r="K117" s="165">
        <f t="shared" si="5"/>
        <v>1500</v>
      </c>
      <c r="L117" s="166">
        <f t="shared" si="6"/>
        <v>6000</v>
      </c>
      <c r="M117" s="14"/>
    </row>
    <row r="118" hidden="1">
      <c r="A118" s="6" t="s">
        <v>238</v>
      </c>
      <c r="B118" s="94" t="s">
        <v>446</v>
      </c>
      <c r="C118" s="94" t="s">
        <v>447</v>
      </c>
      <c r="D118" s="92" t="s">
        <v>448</v>
      </c>
      <c r="E118" s="38"/>
      <c r="F118" s="183"/>
      <c r="G118" s="183"/>
      <c r="H118" s="161">
        <f t="shared" si="7"/>
        <v>0</v>
      </c>
      <c r="I118" s="182"/>
      <c r="J118" s="126" t="str">
        <f t="shared" si="4"/>
        <v> Patient Portal Logins,  BBB 5-star Reviews</v>
      </c>
      <c r="K118" s="165">
        <f t="shared" si="5"/>
        <v>0</v>
      </c>
      <c r="L118" s="166">
        <f t="shared" si="6"/>
        <v>0</v>
      </c>
      <c r="M118" s="14"/>
    </row>
    <row r="119" hidden="1">
      <c r="A119" s="6" t="s">
        <v>238</v>
      </c>
      <c r="B119" s="94" t="s">
        <v>449</v>
      </c>
      <c r="C119" s="94" t="s">
        <v>450</v>
      </c>
      <c r="D119" s="92" t="s">
        <v>451</v>
      </c>
      <c r="E119" s="38"/>
      <c r="F119" s="183"/>
      <c r="G119" s="183"/>
      <c r="H119" s="161">
        <f t="shared" si="7"/>
        <v>0</v>
      </c>
      <c r="I119" s="185"/>
      <c r="J119" s="126" t="str">
        <f t="shared" si="4"/>
        <v> Patient Portal Logins,  BBB 5-star Reviews</v>
      </c>
      <c r="K119" s="165">
        <f t="shared" si="5"/>
        <v>0</v>
      </c>
      <c r="L119" s="166">
        <f t="shared" si="6"/>
        <v>0</v>
      </c>
      <c r="M119" s="14"/>
    </row>
    <row r="120" hidden="1">
      <c r="A120" s="6" t="s">
        <v>238</v>
      </c>
      <c r="B120" s="94" t="s">
        <v>452</v>
      </c>
      <c r="C120" s="94" t="s">
        <v>453</v>
      </c>
      <c r="D120" s="92" t="s">
        <v>454</v>
      </c>
      <c r="E120" s="162">
        <v>3.0</v>
      </c>
      <c r="F120" s="171">
        <v>1.0</v>
      </c>
      <c r="G120" s="171"/>
      <c r="H120" s="161">
        <f t="shared" si="7"/>
        <v>1000</v>
      </c>
      <c r="I120" s="170">
        <v>51.0</v>
      </c>
      <c r="J120" s="126" t="str">
        <f t="shared" si="4"/>
        <v>3 Patient Portal Logins, 1 BBB 5-star Reviews</v>
      </c>
      <c r="K120" s="165">
        <f t="shared" si="5"/>
        <v>5100</v>
      </c>
      <c r="L120" s="166">
        <f t="shared" si="6"/>
        <v>6100</v>
      </c>
      <c r="M120" s="14"/>
    </row>
    <row r="121" hidden="1">
      <c r="A121" s="6" t="s">
        <v>238</v>
      </c>
      <c r="B121" s="94" t="s">
        <v>455</v>
      </c>
      <c r="C121" s="94" t="s">
        <v>456</v>
      </c>
      <c r="D121" s="92" t="s">
        <v>457</v>
      </c>
      <c r="E121" s="38"/>
      <c r="F121" s="183"/>
      <c r="G121" s="183"/>
      <c r="H121" s="161">
        <f t="shared" si="7"/>
        <v>0</v>
      </c>
      <c r="I121" s="182"/>
      <c r="J121" s="126" t="str">
        <f t="shared" si="4"/>
        <v> Patient Portal Logins,  BBB 5-star Reviews</v>
      </c>
      <c r="K121" s="165">
        <f t="shared" si="5"/>
        <v>0</v>
      </c>
      <c r="L121" s="166">
        <f t="shared" si="6"/>
        <v>0</v>
      </c>
      <c r="M121" s="14"/>
    </row>
    <row r="122" hidden="1">
      <c r="A122" s="6" t="s">
        <v>239</v>
      </c>
      <c r="B122" s="92" t="s">
        <v>440</v>
      </c>
      <c r="C122" s="93" t="s">
        <v>441</v>
      </c>
      <c r="D122" s="93" t="s">
        <v>539</v>
      </c>
      <c r="E122" s="184">
        <v>0.0</v>
      </c>
      <c r="F122" s="186">
        <v>1.0</v>
      </c>
      <c r="G122" s="186"/>
      <c r="H122" s="161">
        <f t="shared" si="7"/>
        <v>250</v>
      </c>
      <c r="I122" s="185"/>
      <c r="J122" s="126" t="str">
        <f t="shared" si="4"/>
        <v>0 Patient Portal Logins, 1 BBB 5-star Reviews</v>
      </c>
      <c r="K122" s="165">
        <f t="shared" si="5"/>
        <v>0</v>
      </c>
      <c r="L122" s="166">
        <f t="shared" si="6"/>
        <v>250</v>
      </c>
      <c r="M122" s="14"/>
    </row>
    <row r="123" hidden="1">
      <c r="A123" s="6" t="s">
        <v>239</v>
      </c>
      <c r="B123" s="92" t="s">
        <v>434</v>
      </c>
      <c r="C123" s="93" t="s">
        <v>435</v>
      </c>
      <c r="D123" s="93" t="s">
        <v>436</v>
      </c>
      <c r="E123" s="127">
        <v>0.0</v>
      </c>
      <c r="F123" s="186">
        <v>1.0</v>
      </c>
      <c r="G123" s="186"/>
      <c r="H123" s="161">
        <f t="shared" si="7"/>
        <v>250</v>
      </c>
      <c r="I123" s="185"/>
      <c r="J123" s="126" t="str">
        <f t="shared" si="4"/>
        <v>0 Patient Portal Logins, 1 BBB 5-star Reviews</v>
      </c>
      <c r="K123" s="165">
        <f t="shared" si="5"/>
        <v>0</v>
      </c>
      <c r="L123" s="166">
        <f t="shared" si="6"/>
        <v>250</v>
      </c>
      <c r="M123" s="14"/>
    </row>
    <row r="124" hidden="1">
      <c r="A124" s="6" t="s">
        <v>239</v>
      </c>
      <c r="B124" s="92" t="s">
        <v>493</v>
      </c>
      <c r="C124" s="93" t="s">
        <v>538</v>
      </c>
      <c r="D124" s="93" t="s">
        <v>494</v>
      </c>
      <c r="E124" s="127">
        <v>1.0</v>
      </c>
      <c r="F124" s="186">
        <v>0.0</v>
      </c>
      <c r="G124" s="186"/>
      <c r="H124" s="161">
        <f t="shared" si="7"/>
        <v>250</v>
      </c>
      <c r="I124" s="185"/>
      <c r="J124" s="126" t="str">
        <f t="shared" si="4"/>
        <v>1 Patient Portal Logins, 0 BBB 5-star Reviews</v>
      </c>
      <c r="K124" s="165">
        <f t="shared" si="5"/>
        <v>0</v>
      </c>
      <c r="L124" s="166">
        <f t="shared" si="6"/>
        <v>250</v>
      </c>
      <c r="M124" s="14"/>
    </row>
    <row r="125" hidden="1">
      <c r="A125" s="6" t="s">
        <v>239</v>
      </c>
      <c r="B125" s="92" t="s">
        <v>540</v>
      </c>
      <c r="C125" s="93" t="s">
        <v>541</v>
      </c>
      <c r="D125" s="93" t="s">
        <v>542</v>
      </c>
      <c r="E125" s="127">
        <v>0.0</v>
      </c>
      <c r="F125" s="187">
        <v>0.0</v>
      </c>
      <c r="G125" s="187"/>
      <c r="H125" s="161">
        <f t="shared" si="7"/>
        <v>0</v>
      </c>
      <c r="I125" s="170"/>
      <c r="J125" s="126" t="str">
        <f t="shared" si="4"/>
        <v>0 Patient Portal Logins, 0 BBB 5-star Reviews</v>
      </c>
      <c r="K125" s="165">
        <f t="shared" si="5"/>
        <v>0</v>
      </c>
      <c r="L125" s="166">
        <f t="shared" si="6"/>
        <v>0</v>
      </c>
      <c r="M125" s="14"/>
    </row>
    <row r="126" hidden="1">
      <c r="A126" s="6" t="s">
        <v>239</v>
      </c>
      <c r="B126" s="92" t="s">
        <v>543</v>
      </c>
      <c r="C126" s="93" t="s">
        <v>544</v>
      </c>
      <c r="D126" s="93" t="s">
        <v>545</v>
      </c>
      <c r="E126" s="38"/>
      <c r="F126" s="183"/>
      <c r="G126" s="183"/>
      <c r="H126" s="161">
        <f t="shared" si="7"/>
        <v>0</v>
      </c>
      <c r="I126" s="185"/>
      <c r="J126" s="126" t="str">
        <f t="shared" si="4"/>
        <v> Patient Portal Logins,  BBB 5-star Reviews</v>
      </c>
      <c r="K126" s="165">
        <f t="shared" si="5"/>
        <v>0</v>
      </c>
      <c r="L126" s="166">
        <f t="shared" si="6"/>
        <v>0</v>
      </c>
      <c r="M126" s="14"/>
    </row>
    <row r="127" hidden="1">
      <c r="A127" s="6" t="s">
        <v>239</v>
      </c>
      <c r="B127" s="92" t="s">
        <v>398</v>
      </c>
      <c r="C127" s="93" t="s">
        <v>399</v>
      </c>
      <c r="D127" s="93" t="s">
        <v>400</v>
      </c>
      <c r="E127" s="127">
        <v>1.0</v>
      </c>
      <c r="F127" s="187">
        <v>0.0</v>
      </c>
      <c r="G127" s="187"/>
      <c r="H127" s="161">
        <f t="shared" si="7"/>
        <v>250</v>
      </c>
      <c r="I127" s="181">
        <v>43.0</v>
      </c>
      <c r="J127" s="126" t="str">
        <f t="shared" si="4"/>
        <v>1 Patient Portal Logins, 0 BBB 5-star Reviews</v>
      </c>
      <c r="K127" s="165">
        <f t="shared" si="5"/>
        <v>3225</v>
      </c>
      <c r="L127" s="166">
        <f t="shared" si="6"/>
        <v>3475</v>
      </c>
      <c r="M127" s="14"/>
    </row>
    <row r="128" hidden="1">
      <c r="A128" s="6" t="s">
        <v>239</v>
      </c>
      <c r="B128" s="92" t="s">
        <v>404</v>
      </c>
      <c r="C128" s="93" t="s">
        <v>405</v>
      </c>
      <c r="D128" s="93" t="s">
        <v>406</v>
      </c>
      <c r="E128" s="38"/>
      <c r="F128" s="183"/>
      <c r="G128" s="183"/>
      <c r="H128" s="161">
        <f t="shared" si="7"/>
        <v>0</v>
      </c>
      <c r="I128" s="185"/>
      <c r="J128" s="126" t="str">
        <f t="shared" si="4"/>
        <v> Patient Portal Logins,  BBB 5-star Reviews</v>
      </c>
      <c r="K128" s="165">
        <f t="shared" si="5"/>
        <v>0</v>
      </c>
      <c r="L128" s="166">
        <f t="shared" si="6"/>
        <v>0</v>
      </c>
      <c r="M128" s="14"/>
    </row>
    <row r="129" hidden="1">
      <c r="A129" s="6" t="s">
        <v>239</v>
      </c>
      <c r="B129" s="92" t="s">
        <v>407</v>
      </c>
      <c r="C129" s="93" t="s">
        <v>408</v>
      </c>
      <c r="D129" s="93" t="s">
        <v>409</v>
      </c>
      <c r="E129" s="184">
        <v>16.0</v>
      </c>
      <c r="F129" s="188">
        <v>0.0</v>
      </c>
      <c r="G129" s="188"/>
      <c r="H129" s="161">
        <f t="shared" si="7"/>
        <v>4000</v>
      </c>
      <c r="I129" s="189">
        <v>38.0</v>
      </c>
      <c r="J129" s="126" t="str">
        <f t="shared" si="4"/>
        <v>16 Patient Portal Logins, 0 BBB 5-star Reviews</v>
      </c>
      <c r="K129" s="165">
        <f t="shared" si="5"/>
        <v>1900</v>
      </c>
      <c r="L129" s="166">
        <f t="shared" si="6"/>
        <v>5900</v>
      </c>
      <c r="M129" s="14"/>
    </row>
    <row r="130" hidden="1">
      <c r="A130" s="6" t="s">
        <v>239</v>
      </c>
      <c r="B130" s="92" t="s">
        <v>410</v>
      </c>
      <c r="C130" s="93" t="s">
        <v>411</v>
      </c>
      <c r="D130" s="93" t="s">
        <v>412</v>
      </c>
      <c r="E130" s="38"/>
      <c r="F130" s="183"/>
      <c r="G130" s="183"/>
      <c r="H130" s="161">
        <f t="shared" si="7"/>
        <v>0</v>
      </c>
      <c r="I130" s="185"/>
      <c r="J130" s="126" t="str">
        <f t="shared" si="4"/>
        <v> Patient Portal Logins,  BBB 5-star Reviews</v>
      </c>
      <c r="K130" s="165">
        <f t="shared" si="5"/>
        <v>0</v>
      </c>
      <c r="L130" s="166">
        <f t="shared" si="6"/>
        <v>0</v>
      </c>
      <c r="M130" s="14"/>
    </row>
    <row r="131" hidden="1">
      <c r="A131" s="6" t="s">
        <v>239</v>
      </c>
      <c r="B131" s="92" t="s">
        <v>413</v>
      </c>
      <c r="C131" s="93" t="s">
        <v>414</v>
      </c>
      <c r="D131" s="93" t="s">
        <v>415</v>
      </c>
      <c r="E131" s="190">
        <v>5.0</v>
      </c>
      <c r="F131" s="187">
        <v>6.0</v>
      </c>
      <c r="G131" s="187"/>
      <c r="H131" s="161">
        <f t="shared" si="7"/>
        <v>2750</v>
      </c>
      <c r="I131" s="181">
        <v>30.0</v>
      </c>
      <c r="J131" s="126" t="str">
        <f t="shared" si="4"/>
        <v>5 Patient Portal Logins, 6 BBB 5-star Reviews</v>
      </c>
      <c r="K131" s="165">
        <f t="shared" si="5"/>
        <v>1500</v>
      </c>
      <c r="L131" s="166">
        <f t="shared" si="6"/>
        <v>4250</v>
      </c>
      <c r="M131" s="14"/>
    </row>
    <row r="132" hidden="1">
      <c r="A132" s="6" t="s">
        <v>239</v>
      </c>
      <c r="B132" s="92" t="s">
        <v>416</v>
      </c>
      <c r="C132" s="93" t="s">
        <v>417</v>
      </c>
      <c r="D132" s="93" t="s">
        <v>418</v>
      </c>
      <c r="E132" s="191"/>
      <c r="F132" s="192"/>
      <c r="G132" s="192"/>
      <c r="H132" s="161">
        <f t="shared" si="7"/>
        <v>0</v>
      </c>
      <c r="I132" s="185"/>
      <c r="J132" s="126" t="str">
        <f t="shared" si="4"/>
        <v> Patient Portal Logins,  BBB 5-star Reviews</v>
      </c>
      <c r="K132" s="165">
        <f t="shared" si="5"/>
        <v>0</v>
      </c>
      <c r="L132" s="166">
        <f t="shared" si="6"/>
        <v>0</v>
      </c>
      <c r="M132" s="14"/>
    </row>
    <row r="133" hidden="1">
      <c r="A133" s="6" t="s">
        <v>239</v>
      </c>
      <c r="B133" s="92" t="s">
        <v>422</v>
      </c>
      <c r="C133" s="93" t="s">
        <v>423</v>
      </c>
      <c r="D133" s="93" t="s">
        <v>424</v>
      </c>
      <c r="E133" s="127">
        <v>2.0</v>
      </c>
      <c r="F133" s="187">
        <v>1.0</v>
      </c>
      <c r="G133" s="187"/>
      <c r="H133" s="161">
        <f t="shared" si="7"/>
        <v>750</v>
      </c>
      <c r="I133" s="181">
        <v>53.0</v>
      </c>
      <c r="J133" s="126" t="str">
        <f t="shared" si="4"/>
        <v>2 Patient Portal Logins, 1 BBB 5-star Reviews</v>
      </c>
      <c r="K133" s="165">
        <f t="shared" si="5"/>
        <v>5300</v>
      </c>
      <c r="L133" s="166">
        <f t="shared" si="6"/>
        <v>6050</v>
      </c>
      <c r="M133" s="14"/>
    </row>
    <row r="134" hidden="1">
      <c r="A134" s="6" t="s">
        <v>239</v>
      </c>
      <c r="B134" s="92" t="s">
        <v>425</v>
      </c>
      <c r="C134" s="93" t="s">
        <v>426</v>
      </c>
      <c r="D134" s="93" t="s">
        <v>427</v>
      </c>
      <c r="E134" s="127">
        <v>26.0</v>
      </c>
      <c r="F134" s="187">
        <v>3.0</v>
      </c>
      <c r="G134" s="187"/>
      <c r="H134" s="161">
        <f t="shared" si="7"/>
        <v>7250</v>
      </c>
      <c r="I134" s="170"/>
      <c r="J134" s="126" t="str">
        <f t="shared" si="4"/>
        <v>26 Patient Portal Logins, 3 BBB 5-star Reviews</v>
      </c>
      <c r="K134" s="165">
        <f t="shared" si="5"/>
        <v>0</v>
      </c>
      <c r="L134" s="166">
        <f t="shared" si="6"/>
        <v>7250</v>
      </c>
      <c r="M134" s="14"/>
    </row>
    <row r="135" hidden="1">
      <c r="A135" s="6" t="s">
        <v>239</v>
      </c>
      <c r="B135" s="92" t="s">
        <v>428</v>
      </c>
      <c r="C135" s="93" t="s">
        <v>429</v>
      </c>
      <c r="D135" s="93" t="s">
        <v>430</v>
      </c>
      <c r="E135" s="127">
        <v>53.0</v>
      </c>
      <c r="F135" s="187">
        <v>3.0</v>
      </c>
      <c r="G135" s="187"/>
      <c r="H135" s="161">
        <f t="shared" si="7"/>
        <v>14000</v>
      </c>
      <c r="I135" s="181">
        <v>45.0</v>
      </c>
      <c r="J135" s="126" t="str">
        <f t="shared" si="4"/>
        <v>53 Patient Portal Logins, 3 BBB 5-star Reviews</v>
      </c>
      <c r="K135" s="165">
        <f t="shared" si="5"/>
        <v>3375</v>
      </c>
      <c r="L135" s="166">
        <f t="shared" si="6"/>
        <v>17375</v>
      </c>
      <c r="M135" s="14"/>
    </row>
    <row r="136" hidden="1">
      <c r="A136" s="6" t="s">
        <v>239</v>
      </c>
      <c r="B136" s="92" t="s">
        <v>431</v>
      </c>
      <c r="C136" s="93" t="s">
        <v>432</v>
      </c>
      <c r="D136" s="93" t="s">
        <v>433</v>
      </c>
      <c r="E136" s="127">
        <v>16.0</v>
      </c>
      <c r="F136" s="187">
        <v>5.0</v>
      </c>
      <c r="G136" s="187"/>
      <c r="H136" s="161">
        <f t="shared" si="7"/>
        <v>5250</v>
      </c>
      <c r="I136" s="170">
        <v>38.0</v>
      </c>
      <c r="J136" s="126" t="str">
        <f t="shared" si="4"/>
        <v>16 Patient Portal Logins, 5 BBB 5-star Reviews</v>
      </c>
      <c r="K136" s="165">
        <f t="shared" si="5"/>
        <v>1900</v>
      </c>
      <c r="L136" s="166">
        <f t="shared" si="6"/>
        <v>7150</v>
      </c>
      <c r="M136" s="14"/>
    </row>
    <row r="137" hidden="1">
      <c r="A137" s="6" t="s">
        <v>239</v>
      </c>
      <c r="B137" s="92" t="s">
        <v>437</v>
      </c>
      <c r="C137" s="93" t="s">
        <v>438</v>
      </c>
      <c r="D137" s="93" t="s">
        <v>439</v>
      </c>
      <c r="E137" s="127">
        <v>2.0</v>
      </c>
      <c r="F137" s="187">
        <v>2.0</v>
      </c>
      <c r="G137" s="187"/>
      <c r="H137" s="161">
        <f t="shared" si="7"/>
        <v>1000</v>
      </c>
      <c r="I137" s="181">
        <v>53.0</v>
      </c>
      <c r="J137" s="126" t="str">
        <f t="shared" si="4"/>
        <v>2 Patient Portal Logins, 2 BBB 5-star Reviews</v>
      </c>
      <c r="K137" s="165">
        <f t="shared" si="5"/>
        <v>5300</v>
      </c>
      <c r="L137" s="166">
        <f t="shared" si="6"/>
        <v>6300</v>
      </c>
      <c r="M137" s="14"/>
    </row>
    <row r="138" hidden="1">
      <c r="A138" s="6" t="s">
        <v>239</v>
      </c>
      <c r="B138" s="94" t="s">
        <v>458</v>
      </c>
      <c r="C138" s="94" t="s">
        <v>459</v>
      </c>
      <c r="D138" s="92" t="s">
        <v>460</v>
      </c>
      <c r="E138" s="184">
        <v>21.0</v>
      </c>
      <c r="F138" s="188">
        <v>10.0</v>
      </c>
      <c r="G138" s="188"/>
      <c r="H138" s="161">
        <f t="shared" si="7"/>
        <v>7750</v>
      </c>
      <c r="I138" s="185"/>
      <c r="J138" s="126" t="str">
        <f t="shared" si="4"/>
        <v>21 Patient Portal Logins, 10 BBB 5-star Reviews</v>
      </c>
      <c r="K138" s="165">
        <f t="shared" si="5"/>
        <v>0</v>
      </c>
      <c r="L138" s="166">
        <f t="shared" si="6"/>
        <v>7750</v>
      </c>
      <c r="M138" s="14"/>
    </row>
    <row r="139" hidden="1">
      <c r="A139" s="6" t="s">
        <v>239</v>
      </c>
      <c r="B139" s="95" t="s">
        <v>446</v>
      </c>
      <c r="C139" s="94" t="s">
        <v>447</v>
      </c>
      <c r="D139" s="92" t="s">
        <v>448</v>
      </c>
      <c r="E139" s="38"/>
      <c r="F139" s="183"/>
      <c r="G139" s="183"/>
      <c r="H139" s="161">
        <f t="shared" si="7"/>
        <v>0</v>
      </c>
      <c r="I139" s="185"/>
      <c r="J139" s="126" t="str">
        <f t="shared" si="4"/>
        <v> Patient Portal Logins,  BBB 5-star Reviews</v>
      </c>
      <c r="K139" s="165">
        <f t="shared" si="5"/>
        <v>0</v>
      </c>
      <c r="L139" s="166">
        <f t="shared" si="6"/>
        <v>0</v>
      </c>
      <c r="M139" s="14"/>
    </row>
    <row r="140" hidden="1">
      <c r="A140" s="6" t="s">
        <v>239</v>
      </c>
      <c r="B140" s="95" t="s">
        <v>449</v>
      </c>
      <c r="C140" s="94" t="s">
        <v>450</v>
      </c>
      <c r="D140" s="92" t="s">
        <v>451</v>
      </c>
      <c r="E140" s="38"/>
      <c r="F140" s="183"/>
      <c r="G140" s="183"/>
      <c r="H140" s="161">
        <f t="shared" si="7"/>
        <v>0</v>
      </c>
      <c r="I140" s="189">
        <v>31.0</v>
      </c>
      <c r="J140" s="126" t="str">
        <f t="shared" si="4"/>
        <v> Patient Portal Logins,  BBB 5-star Reviews</v>
      </c>
      <c r="K140" s="165">
        <f t="shared" si="5"/>
        <v>1550</v>
      </c>
      <c r="L140" s="166">
        <f t="shared" si="6"/>
        <v>1550</v>
      </c>
      <c r="M140" s="14"/>
    </row>
    <row r="141" hidden="1">
      <c r="A141" s="6" t="s">
        <v>239</v>
      </c>
      <c r="B141" s="94" t="s">
        <v>452</v>
      </c>
      <c r="C141" s="94" t="s">
        <v>453</v>
      </c>
      <c r="D141" s="92" t="s">
        <v>454</v>
      </c>
      <c r="E141" s="127">
        <v>1.0</v>
      </c>
      <c r="F141" s="187">
        <v>8.0</v>
      </c>
      <c r="G141" s="187"/>
      <c r="H141" s="161">
        <f t="shared" si="7"/>
        <v>2250</v>
      </c>
      <c r="I141" s="181">
        <v>31.0</v>
      </c>
      <c r="J141" s="126" t="str">
        <f t="shared" si="4"/>
        <v>1 Patient Portal Logins, 8 BBB 5-star Reviews</v>
      </c>
      <c r="K141" s="165">
        <f t="shared" si="5"/>
        <v>1550</v>
      </c>
      <c r="L141" s="166">
        <f t="shared" si="6"/>
        <v>3800</v>
      </c>
      <c r="M141" s="14"/>
    </row>
    <row r="142" hidden="1">
      <c r="A142" s="6" t="s">
        <v>239</v>
      </c>
      <c r="B142" s="94" t="s">
        <v>455</v>
      </c>
      <c r="C142" s="94" t="s">
        <v>456</v>
      </c>
      <c r="D142" s="92" t="s">
        <v>457</v>
      </c>
      <c r="E142" s="38"/>
      <c r="F142" s="183"/>
      <c r="G142" s="183"/>
      <c r="H142" s="161">
        <f t="shared" si="7"/>
        <v>0</v>
      </c>
      <c r="I142" s="185"/>
      <c r="J142" s="126" t="str">
        <f t="shared" si="4"/>
        <v> Patient Portal Logins,  BBB 5-star Reviews</v>
      </c>
      <c r="K142" s="165">
        <f t="shared" si="5"/>
        <v>0</v>
      </c>
      <c r="L142" s="166">
        <f t="shared" si="6"/>
        <v>0</v>
      </c>
      <c r="M142" s="14"/>
    </row>
    <row r="143" hidden="1">
      <c r="A143" s="6" t="s">
        <v>240</v>
      </c>
      <c r="B143" s="92" t="s">
        <v>440</v>
      </c>
      <c r="C143" s="93" t="s">
        <v>441</v>
      </c>
      <c r="D143" s="93" t="s">
        <v>539</v>
      </c>
      <c r="E143" s="127">
        <v>1.0</v>
      </c>
      <c r="F143" s="188">
        <v>3.0</v>
      </c>
      <c r="G143" s="188"/>
      <c r="H143" s="161">
        <f t="shared" si="7"/>
        <v>1000</v>
      </c>
      <c r="I143" s="182"/>
      <c r="J143" s="126" t="str">
        <f t="shared" si="4"/>
        <v>1 Patient Portal Logins, 3 BBB 5-star Reviews</v>
      </c>
      <c r="K143" s="193">
        <f t="shared" si="5"/>
        <v>0</v>
      </c>
      <c r="L143" s="166">
        <f t="shared" si="6"/>
        <v>1000</v>
      </c>
      <c r="M143" s="14"/>
    </row>
    <row r="144" hidden="1">
      <c r="A144" s="6" t="s">
        <v>240</v>
      </c>
      <c r="B144" s="92" t="s">
        <v>434</v>
      </c>
      <c r="C144" s="93" t="s">
        <v>435</v>
      </c>
      <c r="D144" s="93" t="s">
        <v>436</v>
      </c>
      <c r="E144" s="127">
        <v>7.0</v>
      </c>
      <c r="F144" s="188">
        <v>3.0</v>
      </c>
      <c r="G144" s="188"/>
      <c r="H144" s="161">
        <f t="shared" si="7"/>
        <v>2500</v>
      </c>
      <c r="I144" s="182"/>
      <c r="J144" s="126" t="str">
        <f t="shared" si="4"/>
        <v>7 Patient Portal Logins, 3 BBB 5-star Reviews</v>
      </c>
      <c r="K144" s="193">
        <f t="shared" si="5"/>
        <v>0</v>
      </c>
      <c r="L144" s="166">
        <f t="shared" si="6"/>
        <v>2500</v>
      </c>
      <c r="M144" s="14"/>
    </row>
    <row r="145" hidden="1">
      <c r="A145" s="6" t="s">
        <v>240</v>
      </c>
      <c r="B145" s="92" t="s">
        <v>493</v>
      </c>
      <c r="C145" s="93" t="s">
        <v>538</v>
      </c>
      <c r="D145" s="93" t="s">
        <v>494</v>
      </c>
      <c r="E145" s="127">
        <v>1.0</v>
      </c>
      <c r="F145" s="188">
        <v>0.0</v>
      </c>
      <c r="G145" s="188"/>
      <c r="H145" s="161">
        <f t="shared" si="7"/>
        <v>250</v>
      </c>
      <c r="I145" s="182"/>
      <c r="J145" s="126" t="str">
        <f t="shared" si="4"/>
        <v>1 Patient Portal Logins, 0 BBB 5-star Reviews</v>
      </c>
      <c r="K145" s="193">
        <f t="shared" si="5"/>
        <v>0</v>
      </c>
      <c r="L145" s="166">
        <f t="shared" si="6"/>
        <v>250</v>
      </c>
      <c r="M145" s="14"/>
    </row>
    <row r="146" hidden="1">
      <c r="A146" s="6" t="s">
        <v>240</v>
      </c>
      <c r="B146" s="92" t="s">
        <v>540</v>
      </c>
      <c r="C146" s="93" t="s">
        <v>541</v>
      </c>
      <c r="D146" s="93" t="s">
        <v>542</v>
      </c>
      <c r="E146" s="127">
        <v>0.0</v>
      </c>
      <c r="F146" s="187">
        <v>0.0</v>
      </c>
      <c r="G146" s="187"/>
      <c r="H146" s="161">
        <f t="shared" si="7"/>
        <v>0</v>
      </c>
      <c r="I146" s="181">
        <v>14.0</v>
      </c>
      <c r="J146" s="126" t="str">
        <f t="shared" si="4"/>
        <v>0 Patient Portal Logins, 0 BBB 5-star Reviews</v>
      </c>
      <c r="K146" s="193">
        <f t="shared" si="5"/>
        <v>0</v>
      </c>
      <c r="L146" s="166">
        <f t="shared" si="6"/>
        <v>0</v>
      </c>
      <c r="M146" s="14"/>
    </row>
    <row r="147" hidden="1">
      <c r="A147" s="6" t="s">
        <v>240</v>
      </c>
      <c r="B147" s="92" t="s">
        <v>543</v>
      </c>
      <c r="C147" s="93" t="s">
        <v>544</v>
      </c>
      <c r="D147" s="93" t="s">
        <v>545</v>
      </c>
      <c r="E147" s="38"/>
      <c r="F147" s="183"/>
      <c r="G147" s="183"/>
      <c r="H147" s="161">
        <f t="shared" si="7"/>
        <v>0</v>
      </c>
      <c r="I147" s="182"/>
      <c r="J147" s="126" t="str">
        <f t="shared" si="4"/>
        <v> Patient Portal Logins,  BBB 5-star Reviews</v>
      </c>
      <c r="K147" s="193">
        <f t="shared" si="5"/>
        <v>0</v>
      </c>
      <c r="L147" s="166">
        <f t="shared" si="6"/>
        <v>0</v>
      </c>
      <c r="M147" s="14"/>
    </row>
    <row r="148" hidden="1">
      <c r="A148" s="6" t="s">
        <v>240</v>
      </c>
      <c r="B148" s="92" t="s">
        <v>398</v>
      </c>
      <c r="C148" s="93" t="s">
        <v>399</v>
      </c>
      <c r="D148" s="93" t="s">
        <v>400</v>
      </c>
      <c r="E148" s="127">
        <v>4.0</v>
      </c>
      <c r="F148" s="187">
        <v>0.0</v>
      </c>
      <c r="G148" s="187"/>
      <c r="H148" s="161">
        <f t="shared" si="7"/>
        <v>1000</v>
      </c>
      <c r="I148" s="181">
        <v>37.0</v>
      </c>
      <c r="J148" s="126" t="str">
        <f t="shared" si="4"/>
        <v>4 Patient Portal Logins, 0 BBB 5-star Reviews</v>
      </c>
      <c r="K148" s="193">
        <f t="shared" si="5"/>
        <v>1850</v>
      </c>
      <c r="L148" s="166">
        <f t="shared" si="6"/>
        <v>2850</v>
      </c>
      <c r="M148" s="14"/>
    </row>
    <row r="149" hidden="1">
      <c r="A149" s="6" t="s">
        <v>240</v>
      </c>
      <c r="B149" s="92" t="s">
        <v>404</v>
      </c>
      <c r="C149" s="93" t="s">
        <v>405</v>
      </c>
      <c r="D149" s="93" t="s">
        <v>406</v>
      </c>
      <c r="E149" s="38"/>
      <c r="F149" s="194"/>
      <c r="G149" s="194"/>
      <c r="H149" s="161">
        <f t="shared" si="7"/>
        <v>0</v>
      </c>
      <c r="I149" s="182"/>
      <c r="J149" s="126" t="str">
        <f t="shared" si="4"/>
        <v> Patient Portal Logins,  BBB 5-star Reviews</v>
      </c>
      <c r="K149" s="193">
        <f t="shared" si="5"/>
        <v>0</v>
      </c>
      <c r="L149" s="166">
        <f t="shared" si="6"/>
        <v>0</v>
      </c>
      <c r="M149" s="14"/>
    </row>
    <row r="150" hidden="1">
      <c r="A150" s="6" t="s">
        <v>240</v>
      </c>
      <c r="B150" s="92" t="s">
        <v>407</v>
      </c>
      <c r="C150" s="93" t="s">
        <v>408</v>
      </c>
      <c r="D150" s="93" t="s">
        <v>409</v>
      </c>
      <c r="E150" s="127">
        <v>0.0</v>
      </c>
      <c r="F150" s="187">
        <v>0.0</v>
      </c>
      <c r="G150" s="187"/>
      <c r="H150" s="161">
        <f t="shared" si="7"/>
        <v>0</v>
      </c>
      <c r="I150" s="195"/>
      <c r="J150" s="126" t="str">
        <f t="shared" si="4"/>
        <v>0 Patient Portal Logins, 0 BBB 5-star Reviews</v>
      </c>
      <c r="K150" s="193">
        <f t="shared" si="5"/>
        <v>0</v>
      </c>
      <c r="L150" s="166">
        <f t="shared" si="6"/>
        <v>0</v>
      </c>
      <c r="M150" s="14"/>
    </row>
    <row r="151" hidden="1">
      <c r="A151" s="6" t="s">
        <v>240</v>
      </c>
      <c r="B151" s="92" t="s">
        <v>410</v>
      </c>
      <c r="C151" s="93" t="s">
        <v>411</v>
      </c>
      <c r="D151" s="93" t="s">
        <v>412</v>
      </c>
      <c r="E151" s="38"/>
      <c r="F151" s="183"/>
      <c r="G151" s="183"/>
      <c r="H151" s="161">
        <f t="shared" si="7"/>
        <v>0</v>
      </c>
      <c r="I151" s="182"/>
      <c r="J151" s="126" t="str">
        <f t="shared" si="4"/>
        <v> Patient Portal Logins,  BBB 5-star Reviews</v>
      </c>
      <c r="K151" s="193">
        <f t="shared" si="5"/>
        <v>0</v>
      </c>
      <c r="L151" s="166">
        <f t="shared" si="6"/>
        <v>0</v>
      </c>
      <c r="M151" s="14"/>
    </row>
    <row r="152" hidden="1">
      <c r="A152" s="6" t="s">
        <v>240</v>
      </c>
      <c r="B152" s="92" t="s">
        <v>413</v>
      </c>
      <c r="C152" s="93" t="s">
        <v>414</v>
      </c>
      <c r="D152" s="93" t="s">
        <v>415</v>
      </c>
      <c r="E152" s="127">
        <v>18.0</v>
      </c>
      <c r="F152" s="187">
        <v>5.0</v>
      </c>
      <c r="G152" s="187"/>
      <c r="H152" s="161">
        <f t="shared" si="7"/>
        <v>5750</v>
      </c>
      <c r="I152" s="181">
        <v>27.0</v>
      </c>
      <c r="J152" s="126" t="str">
        <f t="shared" si="4"/>
        <v>18 Patient Portal Logins, 5 BBB 5-star Reviews</v>
      </c>
      <c r="K152" s="193">
        <f t="shared" si="5"/>
        <v>0</v>
      </c>
      <c r="L152" s="166">
        <f t="shared" si="6"/>
        <v>5750</v>
      </c>
      <c r="M152" s="14"/>
    </row>
    <row r="153" hidden="1">
      <c r="A153" s="6" t="s">
        <v>240</v>
      </c>
      <c r="B153" s="92" t="s">
        <v>416</v>
      </c>
      <c r="C153" s="93" t="s">
        <v>417</v>
      </c>
      <c r="D153" s="93" t="s">
        <v>418</v>
      </c>
      <c r="E153" s="127">
        <v>0.0</v>
      </c>
      <c r="F153" s="187">
        <v>0.0</v>
      </c>
      <c r="G153" s="187"/>
      <c r="H153" s="161">
        <f t="shared" si="7"/>
        <v>0</v>
      </c>
      <c r="I153" s="182"/>
      <c r="J153" s="126" t="str">
        <f t="shared" si="4"/>
        <v>0 Patient Portal Logins, 0 BBB 5-star Reviews</v>
      </c>
      <c r="K153" s="193">
        <f t="shared" si="5"/>
        <v>0</v>
      </c>
      <c r="L153" s="166">
        <f t="shared" si="6"/>
        <v>0</v>
      </c>
      <c r="M153" s="14"/>
    </row>
    <row r="154" hidden="1">
      <c r="A154" s="6" t="s">
        <v>240</v>
      </c>
      <c r="B154" s="92" t="s">
        <v>422</v>
      </c>
      <c r="C154" s="93" t="s">
        <v>423</v>
      </c>
      <c r="D154" s="93" t="s">
        <v>424</v>
      </c>
      <c r="E154" s="127">
        <v>6.0</v>
      </c>
      <c r="F154" s="187">
        <v>6.0</v>
      </c>
      <c r="G154" s="187"/>
      <c r="H154" s="161">
        <f t="shared" si="7"/>
        <v>3000</v>
      </c>
      <c r="I154" s="181">
        <v>37.0</v>
      </c>
      <c r="J154" s="126" t="str">
        <f t="shared" si="4"/>
        <v>6 Patient Portal Logins, 6 BBB 5-star Reviews</v>
      </c>
      <c r="K154" s="193">
        <f t="shared" si="5"/>
        <v>1850</v>
      </c>
      <c r="L154" s="166">
        <f t="shared" si="6"/>
        <v>4850</v>
      </c>
      <c r="M154" s="14"/>
    </row>
    <row r="155" hidden="1">
      <c r="A155" s="6" t="s">
        <v>240</v>
      </c>
      <c r="B155" s="92" t="s">
        <v>425</v>
      </c>
      <c r="C155" s="93" t="s">
        <v>426</v>
      </c>
      <c r="D155" s="93" t="s">
        <v>427</v>
      </c>
      <c r="E155" s="127">
        <v>25.0</v>
      </c>
      <c r="F155" s="187">
        <v>7.0</v>
      </c>
      <c r="G155" s="187"/>
      <c r="H155" s="161">
        <f t="shared" si="7"/>
        <v>8000</v>
      </c>
      <c r="I155" s="181">
        <v>15.0</v>
      </c>
      <c r="J155" s="126" t="str">
        <f t="shared" si="4"/>
        <v>25 Patient Portal Logins, 7 BBB 5-star Reviews</v>
      </c>
      <c r="K155" s="193">
        <f t="shared" si="5"/>
        <v>0</v>
      </c>
      <c r="L155" s="166">
        <f t="shared" si="6"/>
        <v>8000</v>
      </c>
      <c r="M155" s="14"/>
    </row>
    <row r="156" hidden="1">
      <c r="A156" s="6" t="s">
        <v>240</v>
      </c>
      <c r="B156" s="92" t="s">
        <v>428</v>
      </c>
      <c r="C156" s="93" t="s">
        <v>429</v>
      </c>
      <c r="D156" s="93" t="s">
        <v>430</v>
      </c>
      <c r="E156" s="127">
        <v>54.0</v>
      </c>
      <c r="F156" s="187">
        <v>11.0</v>
      </c>
      <c r="G156" s="187"/>
      <c r="H156" s="161">
        <f t="shared" si="7"/>
        <v>16250</v>
      </c>
      <c r="I156" s="181">
        <v>39.0</v>
      </c>
      <c r="J156" s="126" t="str">
        <f t="shared" si="4"/>
        <v>54 Patient Portal Logins, 11 BBB 5-star Reviews</v>
      </c>
      <c r="K156" s="193">
        <f t="shared" si="5"/>
        <v>1950</v>
      </c>
      <c r="L156" s="166">
        <f t="shared" si="6"/>
        <v>18200</v>
      </c>
      <c r="M156" s="14"/>
    </row>
    <row r="157" hidden="1">
      <c r="A157" s="6" t="s">
        <v>240</v>
      </c>
      <c r="B157" s="92" t="s">
        <v>431</v>
      </c>
      <c r="C157" s="93" t="s">
        <v>432</v>
      </c>
      <c r="D157" s="93" t="s">
        <v>433</v>
      </c>
      <c r="E157" s="127">
        <v>29.0</v>
      </c>
      <c r="F157" s="187">
        <v>4.0</v>
      </c>
      <c r="G157" s="187"/>
      <c r="H157" s="161">
        <f t="shared" si="7"/>
        <v>8250</v>
      </c>
      <c r="I157" s="181">
        <v>24.0</v>
      </c>
      <c r="J157" s="126" t="str">
        <f t="shared" si="4"/>
        <v>29 Patient Portal Logins, 4 BBB 5-star Reviews</v>
      </c>
      <c r="K157" s="193">
        <f t="shared" si="5"/>
        <v>0</v>
      </c>
      <c r="L157" s="166">
        <f t="shared" si="6"/>
        <v>8250</v>
      </c>
      <c r="M157" s="14"/>
    </row>
    <row r="158" hidden="1">
      <c r="A158" s="6" t="s">
        <v>240</v>
      </c>
      <c r="B158" s="92" t="s">
        <v>437</v>
      </c>
      <c r="C158" s="93" t="s">
        <v>438</v>
      </c>
      <c r="D158" s="93" t="s">
        <v>439</v>
      </c>
      <c r="E158" s="127">
        <v>2.0</v>
      </c>
      <c r="F158" s="187">
        <v>3.0</v>
      </c>
      <c r="G158" s="187"/>
      <c r="H158" s="161">
        <f t="shared" si="7"/>
        <v>1250</v>
      </c>
      <c r="I158" s="181">
        <v>42.0</v>
      </c>
      <c r="J158" s="126" t="str">
        <f t="shared" si="4"/>
        <v>2 Patient Portal Logins, 3 BBB 5-star Reviews</v>
      </c>
      <c r="K158" s="193">
        <f t="shared" si="5"/>
        <v>3150</v>
      </c>
      <c r="L158" s="166">
        <f t="shared" si="6"/>
        <v>4400</v>
      </c>
      <c r="M158" s="14"/>
    </row>
    <row r="159" hidden="1">
      <c r="A159" s="6" t="s">
        <v>240</v>
      </c>
      <c r="B159" s="94" t="s">
        <v>458</v>
      </c>
      <c r="C159" s="94" t="s">
        <v>459</v>
      </c>
      <c r="D159" s="92" t="s">
        <v>460</v>
      </c>
      <c r="E159" s="127">
        <v>1.0</v>
      </c>
      <c r="F159" s="187">
        <v>0.0</v>
      </c>
      <c r="G159" s="187"/>
      <c r="H159" s="161">
        <f t="shared" si="7"/>
        <v>250</v>
      </c>
      <c r="I159" s="182"/>
      <c r="J159" s="126" t="str">
        <f t="shared" si="4"/>
        <v>1 Patient Portal Logins, 0 BBB 5-star Reviews</v>
      </c>
      <c r="K159" s="193">
        <f t="shared" si="5"/>
        <v>0</v>
      </c>
      <c r="L159" s="166">
        <f t="shared" si="6"/>
        <v>250</v>
      </c>
      <c r="M159" s="14"/>
    </row>
    <row r="160" hidden="1">
      <c r="A160" s="6" t="s">
        <v>240</v>
      </c>
      <c r="B160" s="95" t="s">
        <v>446</v>
      </c>
      <c r="C160" s="94" t="s">
        <v>447</v>
      </c>
      <c r="D160" s="92" t="s">
        <v>448</v>
      </c>
      <c r="E160" s="38"/>
      <c r="F160" s="183"/>
      <c r="G160" s="183"/>
      <c r="H160" s="161">
        <f t="shared" si="7"/>
        <v>0</v>
      </c>
      <c r="I160" s="182"/>
      <c r="J160" s="126" t="str">
        <f t="shared" si="4"/>
        <v> Patient Portal Logins,  BBB 5-star Reviews</v>
      </c>
      <c r="K160" s="193">
        <f t="shared" si="5"/>
        <v>0</v>
      </c>
      <c r="L160" s="166">
        <f t="shared" si="6"/>
        <v>0</v>
      </c>
      <c r="M160" s="14"/>
    </row>
    <row r="161" hidden="1">
      <c r="A161" s="6" t="s">
        <v>240</v>
      </c>
      <c r="B161" s="95" t="s">
        <v>449</v>
      </c>
      <c r="C161" s="94" t="s">
        <v>450</v>
      </c>
      <c r="D161" s="92" t="s">
        <v>451</v>
      </c>
      <c r="E161" s="38"/>
      <c r="F161" s="183"/>
      <c r="G161" s="183"/>
      <c r="H161" s="161">
        <f t="shared" si="7"/>
        <v>0</v>
      </c>
      <c r="I161" s="182"/>
      <c r="J161" s="126" t="str">
        <f t="shared" si="4"/>
        <v> Patient Portal Logins,  BBB 5-star Reviews</v>
      </c>
      <c r="K161" s="193">
        <f t="shared" si="5"/>
        <v>0</v>
      </c>
      <c r="L161" s="166">
        <f t="shared" si="6"/>
        <v>0</v>
      </c>
      <c r="M161" s="14"/>
    </row>
    <row r="162" hidden="1">
      <c r="A162" s="6" t="s">
        <v>240</v>
      </c>
      <c r="B162" s="94" t="s">
        <v>452</v>
      </c>
      <c r="C162" s="94" t="s">
        <v>453</v>
      </c>
      <c r="D162" s="92" t="s">
        <v>454</v>
      </c>
      <c r="E162" s="127">
        <v>6.0</v>
      </c>
      <c r="F162" s="187">
        <v>2.0</v>
      </c>
      <c r="G162" s="187"/>
      <c r="H162" s="161">
        <f t="shared" si="7"/>
        <v>2000</v>
      </c>
      <c r="I162" s="181">
        <v>39.0</v>
      </c>
      <c r="J162" s="126" t="str">
        <f t="shared" si="4"/>
        <v>6 Patient Portal Logins, 2 BBB 5-star Reviews</v>
      </c>
      <c r="K162" s="193">
        <f t="shared" si="5"/>
        <v>1950</v>
      </c>
      <c r="L162" s="166">
        <f t="shared" si="6"/>
        <v>3950</v>
      </c>
      <c r="M162" s="14"/>
    </row>
    <row r="163" hidden="1">
      <c r="A163" s="6" t="s">
        <v>240</v>
      </c>
      <c r="B163" s="94" t="s">
        <v>455</v>
      </c>
      <c r="C163" s="94" t="s">
        <v>456</v>
      </c>
      <c r="D163" s="92" t="s">
        <v>457</v>
      </c>
      <c r="E163" s="38"/>
      <c r="F163" s="194"/>
      <c r="G163" s="194"/>
      <c r="H163" s="161">
        <f t="shared" si="7"/>
        <v>0</v>
      </c>
      <c r="I163" s="182"/>
      <c r="J163" s="126" t="str">
        <f t="shared" si="4"/>
        <v> Patient Portal Logins,  BBB 5-star Reviews</v>
      </c>
      <c r="K163" s="193">
        <f t="shared" si="5"/>
        <v>0</v>
      </c>
      <c r="L163" s="166">
        <f t="shared" si="6"/>
        <v>0</v>
      </c>
      <c r="M163" s="14"/>
    </row>
    <row r="164" hidden="1">
      <c r="A164" s="54" t="s">
        <v>241</v>
      </c>
      <c r="B164" s="91" t="s">
        <v>440</v>
      </c>
      <c r="C164" s="96" t="s">
        <v>441</v>
      </c>
      <c r="D164" s="96" t="s">
        <v>539</v>
      </c>
      <c r="E164" s="127">
        <v>2.0</v>
      </c>
      <c r="F164" s="196">
        <v>3.0</v>
      </c>
      <c r="G164" s="196"/>
      <c r="H164" s="161">
        <f t="shared" si="7"/>
        <v>1250</v>
      </c>
      <c r="I164" s="182"/>
      <c r="J164" s="126" t="str">
        <f t="shared" si="4"/>
        <v>2 Patient Portal Logins, 3 BBB 5-star Reviews</v>
      </c>
      <c r="K164" s="193"/>
      <c r="L164" s="166">
        <f t="shared" si="6"/>
        <v>1250</v>
      </c>
      <c r="M164" s="14"/>
    </row>
    <row r="165" hidden="1">
      <c r="A165" s="54" t="s">
        <v>241</v>
      </c>
      <c r="B165" s="91" t="s">
        <v>434</v>
      </c>
      <c r="C165" s="96" t="s">
        <v>435</v>
      </c>
      <c r="D165" s="96" t="s">
        <v>436</v>
      </c>
      <c r="E165" s="128">
        <v>1.0</v>
      </c>
      <c r="F165" s="196">
        <v>0.0</v>
      </c>
      <c r="G165" s="196"/>
      <c r="H165" s="161">
        <f t="shared" si="7"/>
        <v>250</v>
      </c>
      <c r="I165" s="182"/>
      <c r="J165" s="126" t="str">
        <f t="shared" si="4"/>
        <v>1 Patient Portal Logins, 0 BBB 5-star Reviews</v>
      </c>
      <c r="K165" s="193"/>
      <c r="L165" s="166">
        <f t="shared" si="6"/>
        <v>250</v>
      </c>
      <c r="M165" s="14"/>
    </row>
    <row r="166" hidden="1">
      <c r="A166" s="54" t="s">
        <v>241</v>
      </c>
      <c r="B166" s="91" t="s">
        <v>493</v>
      </c>
      <c r="C166" s="96" t="s">
        <v>538</v>
      </c>
      <c r="D166" s="96" t="s">
        <v>494</v>
      </c>
      <c r="E166" s="127">
        <v>5.0</v>
      </c>
      <c r="F166" s="196">
        <v>1.0</v>
      </c>
      <c r="G166" s="196"/>
      <c r="H166" s="161">
        <f t="shared" si="7"/>
        <v>1500</v>
      </c>
      <c r="I166" s="182"/>
      <c r="J166" s="126" t="str">
        <f t="shared" si="4"/>
        <v>5 Patient Portal Logins, 1 BBB 5-star Reviews</v>
      </c>
      <c r="K166" s="193"/>
      <c r="L166" s="166">
        <f t="shared" si="6"/>
        <v>1500</v>
      </c>
      <c r="M166" s="14"/>
    </row>
    <row r="167" hidden="1">
      <c r="A167" s="6" t="s">
        <v>241</v>
      </c>
      <c r="B167" s="92" t="s">
        <v>540</v>
      </c>
      <c r="C167" s="93" t="s">
        <v>541</v>
      </c>
      <c r="D167" s="93" t="s">
        <v>542</v>
      </c>
      <c r="E167" s="127">
        <v>2.0</v>
      </c>
      <c r="F167" s="187">
        <v>0.0</v>
      </c>
      <c r="G167" s="187"/>
      <c r="H167" s="161">
        <f t="shared" si="7"/>
        <v>500</v>
      </c>
      <c r="I167" s="182"/>
      <c r="J167" s="126" t="str">
        <f t="shared" si="4"/>
        <v>2 Patient Portal Logins, 0 BBB 5-star Reviews</v>
      </c>
      <c r="K167" s="193"/>
      <c r="L167" s="166">
        <f t="shared" si="6"/>
        <v>500</v>
      </c>
      <c r="M167" s="14"/>
    </row>
    <row r="168" hidden="1">
      <c r="A168" s="6" t="s">
        <v>241</v>
      </c>
      <c r="B168" s="92" t="s">
        <v>532</v>
      </c>
      <c r="C168" s="93" t="s">
        <v>533</v>
      </c>
      <c r="D168" s="93" t="s">
        <v>534</v>
      </c>
      <c r="E168" s="191"/>
      <c r="F168" s="192"/>
      <c r="G168" s="192"/>
      <c r="H168" s="161">
        <f t="shared" si="7"/>
        <v>0</v>
      </c>
      <c r="I168" s="182"/>
      <c r="J168" s="126" t="str">
        <f t="shared" si="4"/>
        <v> Patient Portal Logins,  BBB 5-star Reviews</v>
      </c>
      <c r="K168" s="193"/>
      <c r="L168" s="166">
        <f t="shared" si="6"/>
        <v>0</v>
      </c>
      <c r="M168" s="14"/>
    </row>
    <row r="169" hidden="1">
      <c r="A169" s="6" t="s">
        <v>241</v>
      </c>
      <c r="B169" s="92" t="s">
        <v>529</v>
      </c>
      <c r="C169" s="93" t="s">
        <v>530</v>
      </c>
      <c r="D169" s="93" t="s">
        <v>531</v>
      </c>
      <c r="E169" s="191"/>
      <c r="F169" s="188">
        <v>1.0</v>
      </c>
      <c r="G169" s="188"/>
      <c r="H169" s="161">
        <f t="shared" si="7"/>
        <v>250</v>
      </c>
      <c r="I169" s="182"/>
      <c r="J169" s="126" t="str">
        <f t="shared" si="4"/>
        <v> Patient Portal Logins, 1 BBB 5-star Reviews</v>
      </c>
      <c r="K169" s="193"/>
      <c r="L169" s="166">
        <f t="shared" si="6"/>
        <v>250</v>
      </c>
      <c r="M169" s="14"/>
    </row>
    <row r="170" hidden="1">
      <c r="A170" s="6" t="s">
        <v>241</v>
      </c>
      <c r="B170" s="92" t="s">
        <v>443</v>
      </c>
      <c r="C170" s="93" t="s">
        <v>444</v>
      </c>
      <c r="D170" s="93" t="s">
        <v>445</v>
      </c>
      <c r="E170" s="191"/>
      <c r="F170" s="192"/>
      <c r="G170" s="192"/>
      <c r="H170" s="161">
        <f t="shared" si="7"/>
        <v>0</v>
      </c>
      <c r="I170" s="182"/>
      <c r="J170" s="126" t="str">
        <f t="shared" si="4"/>
        <v> Patient Portal Logins,  BBB 5-star Reviews</v>
      </c>
      <c r="K170" s="193"/>
      <c r="L170" s="166">
        <f t="shared" si="6"/>
        <v>0</v>
      </c>
      <c r="M170" s="14"/>
    </row>
    <row r="171" hidden="1">
      <c r="A171" s="6" t="s">
        <v>241</v>
      </c>
      <c r="B171" s="92" t="s">
        <v>543</v>
      </c>
      <c r="C171" s="93" t="s">
        <v>544</v>
      </c>
      <c r="D171" s="93" t="s">
        <v>545</v>
      </c>
      <c r="E171" s="191"/>
      <c r="F171" s="192"/>
      <c r="G171" s="192"/>
      <c r="H171" s="161">
        <f t="shared" si="7"/>
        <v>0</v>
      </c>
      <c r="I171" s="182"/>
      <c r="J171" s="126" t="str">
        <f t="shared" si="4"/>
        <v> Patient Portal Logins,  BBB 5-star Reviews</v>
      </c>
      <c r="K171" s="193"/>
      <c r="L171" s="166">
        <f t="shared" si="6"/>
        <v>0</v>
      </c>
      <c r="M171" s="14"/>
    </row>
    <row r="172" hidden="1">
      <c r="A172" s="6" t="s">
        <v>241</v>
      </c>
      <c r="B172" s="92" t="s">
        <v>398</v>
      </c>
      <c r="C172" s="93" t="s">
        <v>399</v>
      </c>
      <c r="D172" s="93" t="s">
        <v>400</v>
      </c>
      <c r="E172" s="127">
        <v>3.0</v>
      </c>
      <c r="F172" s="187">
        <v>0.0</v>
      </c>
      <c r="G172" s="187"/>
      <c r="H172" s="161">
        <f t="shared" si="7"/>
        <v>750</v>
      </c>
      <c r="I172" s="189">
        <v>30.0</v>
      </c>
      <c r="J172" s="126" t="str">
        <f t="shared" si="4"/>
        <v>3 Patient Portal Logins, 0 BBB 5-star Reviews</v>
      </c>
      <c r="K172" s="165">
        <v>1500.0</v>
      </c>
      <c r="L172" s="166">
        <f t="shared" si="6"/>
        <v>2250</v>
      </c>
      <c r="M172" s="14"/>
    </row>
    <row r="173" hidden="1">
      <c r="A173" s="6" t="s">
        <v>241</v>
      </c>
      <c r="B173" s="92" t="s">
        <v>404</v>
      </c>
      <c r="C173" s="93" t="s">
        <v>405</v>
      </c>
      <c r="D173" s="93" t="s">
        <v>406</v>
      </c>
      <c r="E173" s="191"/>
      <c r="F173" s="188">
        <v>2.0</v>
      </c>
      <c r="G173" s="188"/>
      <c r="H173" s="161">
        <f t="shared" si="7"/>
        <v>500</v>
      </c>
      <c r="I173" s="182"/>
      <c r="J173" s="126" t="str">
        <f t="shared" si="4"/>
        <v> Patient Portal Logins, 2 BBB 5-star Reviews</v>
      </c>
      <c r="K173" s="193"/>
      <c r="L173" s="166">
        <f t="shared" si="6"/>
        <v>500</v>
      </c>
      <c r="M173" s="14"/>
    </row>
    <row r="174" hidden="1">
      <c r="A174" s="6" t="s">
        <v>241</v>
      </c>
      <c r="B174" s="92" t="s">
        <v>407</v>
      </c>
      <c r="C174" s="93" t="s">
        <v>408</v>
      </c>
      <c r="D174" s="93" t="s">
        <v>409</v>
      </c>
      <c r="E174" s="191"/>
      <c r="F174" s="192"/>
      <c r="G174" s="192"/>
      <c r="H174" s="161">
        <f t="shared" si="7"/>
        <v>0</v>
      </c>
      <c r="I174" s="185"/>
      <c r="J174" s="126" t="str">
        <f t="shared" si="4"/>
        <v> Patient Portal Logins,  BBB 5-star Reviews</v>
      </c>
      <c r="K174" s="165"/>
      <c r="L174" s="166">
        <f t="shared" si="6"/>
        <v>0</v>
      </c>
      <c r="M174" s="14"/>
    </row>
    <row r="175" hidden="1">
      <c r="A175" s="6" t="s">
        <v>241</v>
      </c>
      <c r="B175" s="92" t="s">
        <v>410</v>
      </c>
      <c r="C175" s="93" t="s">
        <v>411</v>
      </c>
      <c r="D175" s="93" t="s">
        <v>412</v>
      </c>
      <c r="E175" s="191"/>
      <c r="F175" s="192"/>
      <c r="G175" s="192"/>
      <c r="H175" s="161">
        <f t="shared" si="7"/>
        <v>0</v>
      </c>
      <c r="I175" s="185"/>
      <c r="J175" s="126" t="str">
        <f t="shared" si="4"/>
        <v> Patient Portal Logins,  BBB 5-star Reviews</v>
      </c>
      <c r="K175" s="165"/>
      <c r="L175" s="166">
        <f t="shared" si="6"/>
        <v>0</v>
      </c>
      <c r="M175" s="14"/>
    </row>
    <row r="176" hidden="1">
      <c r="A176" s="6" t="s">
        <v>241</v>
      </c>
      <c r="B176" s="92" t="s">
        <v>413</v>
      </c>
      <c r="C176" s="93" t="s">
        <v>414</v>
      </c>
      <c r="D176" s="93" t="s">
        <v>415</v>
      </c>
      <c r="E176" s="127">
        <v>31.0</v>
      </c>
      <c r="F176" s="187">
        <v>19.0</v>
      </c>
      <c r="G176" s="187"/>
      <c r="H176" s="161">
        <f t="shared" si="7"/>
        <v>12500</v>
      </c>
      <c r="I176" s="185"/>
      <c r="J176" s="126" t="str">
        <f t="shared" si="4"/>
        <v>31 Patient Portal Logins, 19 BBB 5-star Reviews</v>
      </c>
      <c r="K176" s="165"/>
      <c r="L176" s="166">
        <f t="shared" si="6"/>
        <v>12500</v>
      </c>
      <c r="M176" s="14"/>
    </row>
    <row r="177" hidden="1">
      <c r="A177" s="6" t="s">
        <v>241</v>
      </c>
      <c r="B177" s="92" t="s">
        <v>416</v>
      </c>
      <c r="C177" s="93" t="s">
        <v>417</v>
      </c>
      <c r="D177" s="93" t="s">
        <v>418</v>
      </c>
      <c r="E177" s="191"/>
      <c r="F177" s="192"/>
      <c r="G177" s="192"/>
      <c r="H177" s="161">
        <f t="shared" si="7"/>
        <v>0</v>
      </c>
      <c r="I177" s="185"/>
      <c r="J177" s="126" t="str">
        <f t="shared" si="4"/>
        <v> Patient Portal Logins,  BBB 5-star Reviews</v>
      </c>
      <c r="K177" s="165"/>
      <c r="L177" s="166">
        <f t="shared" si="6"/>
        <v>0</v>
      </c>
      <c r="M177" s="14"/>
    </row>
    <row r="178" hidden="1">
      <c r="A178" s="6" t="s">
        <v>241</v>
      </c>
      <c r="B178" s="92" t="s">
        <v>422</v>
      </c>
      <c r="C178" s="93" t="s">
        <v>423</v>
      </c>
      <c r="D178" s="93" t="s">
        <v>424</v>
      </c>
      <c r="E178" s="127">
        <v>3.0</v>
      </c>
      <c r="F178" s="187">
        <v>2.0</v>
      </c>
      <c r="G178" s="187"/>
      <c r="H178" s="161">
        <f t="shared" si="7"/>
        <v>1250</v>
      </c>
      <c r="I178" s="189">
        <v>33.0</v>
      </c>
      <c r="J178" s="126" t="str">
        <f t="shared" si="4"/>
        <v>3 Patient Portal Logins, 2 BBB 5-star Reviews</v>
      </c>
      <c r="K178" s="165">
        <v>1650.0</v>
      </c>
      <c r="L178" s="166">
        <f t="shared" si="6"/>
        <v>2900</v>
      </c>
      <c r="M178" s="14"/>
    </row>
    <row r="179" hidden="1">
      <c r="A179" s="6" t="s">
        <v>241</v>
      </c>
      <c r="B179" s="92" t="s">
        <v>425</v>
      </c>
      <c r="C179" s="93" t="s">
        <v>426</v>
      </c>
      <c r="D179" s="93" t="s">
        <v>427</v>
      </c>
      <c r="E179" s="127">
        <v>25.0</v>
      </c>
      <c r="F179" s="187">
        <v>6.0</v>
      </c>
      <c r="G179" s="187"/>
      <c r="H179" s="161">
        <f t="shared" si="7"/>
        <v>7750</v>
      </c>
      <c r="I179" s="185"/>
      <c r="J179" s="126" t="str">
        <f t="shared" si="4"/>
        <v>25 Patient Portal Logins, 6 BBB 5-star Reviews</v>
      </c>
      <c r="K179" s="165"/>
      <c r="L179" s="166">
        <f t="shared" si="6"/>
        <v>7750</v>
      </c>
      <c r="M179" s="14"/>
    </row>
    <row r="180" hidden="1">
      <c r="A180" s="6" t="s">
        <v>241</v>
      </c>
      <c r="B180" s="92" t="s">
        <v>428</v>
      </c>
      <c r="C180" s="93" t="s">
        <v>429</v>
      </c>
      <c r="D180" s="93" t="s">
        <v>430</v>
      </c>
      <c r="E180" s="127">
        <v>57.0</v>
      </c>
      <c r="F180" s="187">
        <v>12.0</v>
      </c>
      <c r="G180" s="187"/>
      <c r="H180" s="161">
        <f t="shared" si="7"/>
        <v>17250</v>
      </c>
      <c r="I180" s="189">
        <v>31.0</v>
      </c>
      <c r="J180" s="126" t="str">
        <f t="shared" si="4"/>
        <v>57 Patient Portal Logins, 12 BBB 5-star Reviews</v>
      </c>
      <c r="K180" s="165">
        <v>1550.0</v>
      </c>
      <c r="L180" s="166">
        <f t="shared" si="6"/>
        <v>18800</v>
      </c>
      <c r="M180" s="14"/>
    </row>
    <row r="181" hidden="1">
      <c r="A181" s="6" t="s">
        <v>241</v>
      </c>
      <c r="B181" s="92" t="s">
        <v>431</v>
      </c>
      <c r="C181" s="93" t="s">
        <v>432</v>
      </c>
      <c r="D181" s="93" t="s">
        <v>433</v>
      </c>
      <c r="E181" s="127">
        <v>18.0</v>
      </c>
      <c r="F181" s="187">
        <v>6.0</v>
      </c>
      <c r="G181" s="187"/>
      <c r="H181" s="161">
        <f t="shared" si="7"/>
        <v>6000</v>
      </c>
      <c r="I181" s="185"/>
      <c r="J181" s="126" t="str">
        <f t="shared" si="4"/>
        <v>18 Patient Portal Logins, 6 BBB 5-star Reviews</v>
      </c>
      <c r="K181" s="165"/>
      <c r="L181" s="166">
        <f t="shared" si="6"/>
        <v>6000</v>
      </c>
      <c r="M181" s="14"/>
    </row>
    <row r="182" hidden="1">
      <c r="A182" s="6" t="s">
        <v>241</v>
      </c>
      <c r="B182" s="92" t="s">
        <v>437</v>
      </c>
      <c r="C182" s="93" t="s">
        <v>438</v>
      </c>
      <c r="D182" s="93" t="s">
        <v>439</v>
      </c>
      <c r="E182" s="127">
        <v>2.0</v>
      </c>
      <c r="F182" s="187">
        <v>0.0</v>
      </c>
      <c r="G182" s="187"/>
      <c r="H182" s="161">
        <f t="shared" si="7"/>
        <v>500</v>
      </c>
      <c r="I182" s="189">
        <v>41.0</v>
      </c>
      <c r="J182" s="126" t="str">
        <f t="shared" si="4"/>
        <v>2 Patient Portal Logins, 0 BBB 5-star Reviews</v>
      </c>
      <c r="K182" s="165">
        <v>3075.0</v>
      </c>
      <c r="L182" s="166">
        <f t="shared" si="6"/>
        <v>3575</v>
      </c>
      <c r="M182" s="14"/>
    </row>
    <row r="183" hidden="1">
      <c r="A183" s="6" t="s">
        <v>241</v>
      </c>
      <c r="B183" s="94" t="s">
        <v>458</v>
      </c>
      <c r="C183" s="94" t="s">
        <v>459</v>
      </c>
      <c r="D183" s="92" t="s">
        <v>460</v>
      </c>
      <c r="E183" s="191"/>
      <c r="F183" s="188">
        <v>4.0</v>
      </c>
      <c r="G183" s="188"/>
      <c r="H183" s="161">
        <f t="shared" si="7"/>
        <v>1000</v>
      </c>
      <c r="I183" s="185"/>
      <c r="J183" s="126" t="str">
        <f t="shared" si="4"/>
        <v> Patient Portal Logins, 4 BBB 5-star Reviews</v>
      </c>
      <c r="K183" s="165"/>
      <c r="L183" s="166">
        <f t="shared" si="6"/>
        <v>1000</v>
      </c>
      <c r="M183" s="14"/>
    </row>
    <row r="184" hidden="1">
      <c r="A184" s="6" t="s">
        <v>241</v>
      </c>
      <c r="B184" s="95" t="s">
        <v>446</v>
      </c>
      <c r="C184" s="94" t="s">
        <v>447</v>
      </c>
      <c r="D184" s="92" t="s">
        <v>448</v>
      </c>
      <c r="E184" s="191"/>
      <c r="F184" s="192"/>
      <c r="G184" s="192"/>
      <c r="H184" s="161">
        <f t="shared" si="7"/>
        <v>0</v>
      </c>
      <c r="I184" s="185"/>
      <c r="J184" s="126" t="str">
        <f t="shared" si="4"/>
        <v> Patient Portal Logins,  BBB 5-star Reviews</v>
      </c>
      <c r="K184" s="165"/>
      <c r="L184" s="166">
        <f t="shared" si="6"/>
        <v>0</v>
      </c>
      <c r="M184" s="14"/>
    </row>
    <row r="185" hidden="1">
      <c r="A185" s="6" t="s">
        <v>241</v>
      </c>
      <c r="B185" s="95" t="s">
        <v>449</v>
      </c>
      <c r="C185" s="94" t="s">
        <v>450</v>
      </c>
      <c r="D185" s="92" t="s">
        <v>451</v>
      </c>
      <c r="E185" s="191"/>
      <c r="F185" s="192"/>
      <c r="G185" s="192"/>
      <c r="H185" s="161">
        <f t="shared" si="7"/>
        <v>0</v>
      </c>
      <c r="I185" s="185"/>
      <c r="J185" s="126" t="str">
        <f t="shared" si="4"/>
        <v> Patient Portal Logins,  BBB 5-star Reviews</v>
      </c>
      <c r="K185" s="165"/>
      <c r="L185" s="166">
        <f t="shared" si="6"/>
        <v>0</v>
      </c>
      <c r="M185" s="14"/>
    </row>
    <row r="186" hidden="1">
      <c r="A186" s="6" t="s">
        <v>241</v>
      </c>
      <c r="B186" s="94" t="s">
        <v>452</v>
      </c>
      <c r="C186" s="94" t="s">
        <v>453</v>
      </c>
      <c r="D186" s="92" t="s">
        <v>454</v>
      </c>
      <c r="E186" s="127">
        <v>16.0</v>
      </c>
      <c r="F186" s="187">
        <v>6.0</v>
      </c>
      <c r="G186" s="187"/>
      <c r="H186" s="161">
        <f t="shared" si="7"/>
        <v>5500</v>
      </c>
      <c r="I186" s="189">
        <v>30.0</v>
      </c>
      <c r="J186" s="126" t="str">
        <f t="shared" si="4"/>
        <v>16 Patient Portal Logins, 6 BBB 5-star Reviews</v>
      </c>
      <c r="K186" s="165">
        <v>1500.0</v>
      </c>
      <c r="L186" s="166">
        <f t="shared" si="6"/>
        <v>7000</v>
      </c>
      <c r="M186" s="14"/>
    </row>
    <row r="187" hidden="1">
      <c r="A187" s="6" t="s">
        <v>241</v>
      </c>
      <c r="B187" s="94" t="s">
        <v>455</v>
      </c>
      <c r="C187" s="94" t="s">
        <v>456</v>
      </c>
      <c r="D187" s="92" t="s">
        <v>457</v>
      </c>
      <c r="E187" s="191"/>
      <c r="F187" s="188">
        <v>1.0</v>
      </c>
      <c r="G187" s="188"/>
      <c r="H187" s="161">
        <f t="shared" si="7"/>
        <v>250</v>
      </c>
      <c r="I187" s="182"/>
      <c r="J187" s="126" t="str">
        <f t="shared" si="4"/>
        <v> Patient Portal Logins, 1 BBB 5-star Reviews</v>
      </c>
      <c r="K187" s="193"/>
      <c r="L187" s="166">
        <f t="shared" si="6"/>
        <v>250</v>
      </c>
      <c r="M187" s="14"/>
    </row>
    <row r="188" hidden="1">
      <c r="A188" s="6" t="s">
        <v>242</v>
      </c>
      <c r="B188" s="92" t="s">
        <v>540</v>
      </c>
      <c r="C188" s="93" t="s">
        <v>541</v>
      </c>
      <c r="D188" s="93" t="s">
        <v>542</v>
      </c>
      <c r="E188" s="127">
        <v>0.0</v>
      </c>
      <c r="F188" s="187">
        <v>0.0</v>
      </c>
      <c r="G188" s="187"/>
      <c r="H188" s="161">
        <f t="shared" si="7"/>
        <v>0</v>
      </c>
      <c r="I188" s="185"/>
      <c r="J188" s="126" t="str">
        <f t="shared" si="4"/>
        <v>0 Patient Portal Logins, 0 BBB 5-star Reviews</v>
      </c>
      <c r="K188" s="165"/>
      <c r="L188" s="166">
        <v>0.0</v>
      </c>
      <c r="M188" s="14"/>
    </row>
    <row r="189" hidden="1">
      <c r="A189" s="6" t="s">
        <v>242</v>
      </c>
      <c r="B189" s="92" t="s">
        <v>532</v>
      </c>
      <c r="C189" s="93" t="s">
        <v>533</v>
      </c>
      <c r="D189" s="93" t="s">
        <v>534</v>
      </c>
      <c r="E189" s="127">
        <v>2.0</v>
      </c>
      <c r="F189" s="187">
        <v>0.0</v>
      </c>
      <c r="G189" s="187"/>
      <c r="H189" s="161">
        <f t="shared" si="7"/>
        <v>500</v>
      </c>
      <c r="I189" s="185"/>
      <c r="J189" s="126" t="str">
        <f t="shared" si="4"/>
        <v>2 Patient Portal Logins, 0 BBB 5-star Reviews</v>
      </c>
      <c r="K189" s="165"/>
      <c r="L189" s="166">
        <v>500.0</v>
      </c>
      <c r="M189" s="14"/>
    </row>
    <row r="190" hidden="1">
      <c r="A190" s="6" t="s">
        <v>242</v>
      </c>
      <c r="B190" s="92" t="s">
        <v>529</v>
      </c>
      <c r="C190" s="93" t="s">
        <v>530</v>
      </c>
      <c r="D190" s="93" t="s">
        <v>531</v>
      </c>
      <c r="E190" s="127">
        <v>4.0</v>
      </c>
      <c r="F190" s="187">
        <v>1.0</v>
      </c>
      <c r="G190" s="187"/>
      <c r="H190" s="161">
        <f t="shared" si="7"/>
        <v>1250</v>
      </c>
      <c r="I190" s="185"/>
      <c r="J190" s="126" t="str">
        <f t="shared" si="4"/>
        <v>4 Patient Portal Logins, 1 BBB 5-star Reviews</v>
      </c>
      <c r="K190" s="165"/>
      <c r="L190" s="166">
        <v>1250.0</v>
      </c>
      <c r="M190" s="14"/>
    </row>
    <row r="191" hidden="1">
      <c r="A191" s="6" t="s">
        <v>242</v>
      </c>
      <c r="B191" s="92" t="s">
        <v>443</v>
      </c>
      <c r="C191" s="93" t="s">
        <v>444</v>
      </c>
      <c r="D191" s="93" t="s">
        <v>445</v>
      </c>
      <c r="E191" s="127">
        <v>10.0</v>
      </c>
      <c r="F191" s="187">
        <v>0.0</v>
      </c>
      <c r="G191" s="187"/>
      <c r="H191" s="161">
        <f t="shared" si="7"/>
        <v>2500</v>
      </c>
      <c r="I191" s="185"/>
      <c r="J191" s="126" t="str">
        <f t="shared" si="4"/>
        <v>10 Patient Portal Logins, 0 BBB 5-star Reviews</v>
      </c>
      <c r="K191" s="165"/>
      <c r="L191" s="166">
        <v>2500.0</v>
      </c>
      <c r="M191" s="14"/>
    </row>
    <row r="192" hidden="1">
      <c r="A192" s="6" t="s">
        <v>242</v>
      </c>
      <c r="B192" s="92" t="s">
        <v>543</v>
      </c>
      <c r="C192" s="93" t="s">
        <v>544</v>
      </c>
      <c r="D192" s="93" t="s">
        <v>545</v>
      </c>
      <c r="E192" s="127">
        <v>19.0</v>
      </c>
      <c r="F192" s="187">
        <v>1.0</v>
      </c>
      <c r="G192" s="187"/>
      <c r="H192" s="161">
        <f t="shared" si="7"/>
        <v>5000</v>
      </c>
      <c r="I192" s="185"/>
      <c r="J192" s="126" t="str">
        <f t="shared" si="4"/>
        <v>19 Patient Portal Logins, 1 BBB 5-star Reviews</v>
      </c>
      <c r="K192" s="165"/>
      <c r="L192" s="166">
        <v>5000.0</v>
      </c>
      <c r="M192" s="14"/>
    </row>
    <row r="193" hidden="1">
      <c r="A193" s="6" t="s">
        <v>242</v>
      </c>
      <c r="B193" s="92" t="s">
        <v>398</v>
      </c>
      <c r="C193" s="93" t="s">
        <v>399</v>
      </c>
      <c r="D193" s="93" t="s">
        <v>400</v>
      </c>
      <c r="E193" s="127">
        <v>3.0</v>
      </c>
      <c r="F193" s="187">
        <v>0.0</v>
      </c>
      <c r="G193" s="187"/>
      <c r="H193" s="161">
        <f t="shared" si="7"/>
        <v>750</v>
      </c>
      <c r="I193" s="189">
        <v>35.0</v>
      </c>
      <c r="J193" s="126" t="str">
        <f t="shared" si="4"/>
        <v>3 Patient Portal Logins, 0 BBB 5-star Reviews</v>
      </c>
      <c r="K193" s="165">
        <v>1750.0</v>
      </c>
      <c r="L193" s="166">
        <v>2500.0</v>
      </c>
      <c r="M193" s="14"/>
    </row>
    <row r="194" hidden="1">
      <c r="A194" s="6" t="s">
        <v>242</v>
      </c>
      <c r="B194" s="92" t="s">
        <v>404</v>
      </c>
      <c r="C194" s="93" t="s">
        <v>405</v>
      </c>
      <c r="D194" s="93" t="s">
        <v>406</v>
      </c>
      <c r="E194" s="127">
        <v>3.0</v>
      </c>
      <c r="F194" s="187">
        <v>6.0</v>
      </c>
      <c r="G194" s="187"/>
      <c r="H194" s="161">
        <f t="shared" si="7"/>
        <v>2250</v>
      </c>
      <c r="I194" s="185"/>
      <c r="J194" s="126" t="str">
        <f t="shared" si="4"/>
        <v>3 Patient Portal Logins, 6 BBB 5-star Reviews</v>
      </c>
      <c r="K194" s="165"/>
      <c r="L194" s="166">
        <v>2250.0</v>
      </c>
      <c r="M194" s="14"/>
    </row>
    <row r="195" hidden="1">
      <c r="A195" s="6" t="s">
        <v>242</v>
      </c>
      <c r="B195" s="92" t="s">
        <v>407</v>
      </c>
      <c r="C195" s="93" t="s">
        <v>408</v>
      </c>
      <c r="D195" s="93" t="s">
        <v>409</v>
      </c>
      <c r="E195" s="127">
        <v>38.0</v>
      </c>
      <c r="F195" s="187">
        <v>0.0</v>
      </c>
      <c r="G195" s="187"/>
      <c r="H195" s="161">
        <f t="shared" si="7"/>
        <v>9500</v>
      </c>
      <c r="I195" s="189">
        <v>49.0</v>
      </c>
      <c r="J195" s="126" t="str">
        <f t="shared" si="4"/>
        <v>38 Patient Portal Logins, 0 BBB 5-star Reviews</v>
      </c>
      <c r="K195" s="165">
        <v>3675.0</v>
      </c>
      <c r="L195" s="166">
        <v>13175.0</v>
      </c>
      <c r="M195" s="14"/>
    </row>
    <row r="196" hidden="1">
      <c r="A196" s="6" t="s">
        <v>242</v>
      </c>
      <c r="B196" s="92" t="s">
        <v>410</v>
      </c>
      <c r="C196" s="93" t="s">
        <v>411</v>
      </c>
      <c r="D196" s="93" t="s">
        <v>412</v>
      </c>
      <c r="E196" s="127">
        <v>18.0</v>
      </c>
      <c r="F196" s="187">
        <v>3.0</v>
      </c>
      <c r="G196" s="187"/>
      <c r="H196" s="161">
        <f t="shared" si="7"/>
        <v>5250</v>
      </c>
      <c r="I196" s="189">
        <v>55.0</v>
      </c>
      <c r="J196" s="126" t="str">
        <f t="shared" si="4"/>
        <v>18 Patient Portal Logins, 3 BBB 5-star Reviews</v>
      </c>
      <c r="K196" s="165">
        <v>5500.0</v>
      </c>
      <c r="L196" s="166">
        <v>10750.0</v>
      </c>
      <c r="M196" s="14"/>
    </row>
    <row r="197" hidden="1">
      <c r="A197" s="6" t="s">
        <v>242</v>
      </c>
      <c r="B197" s="92" t="s">
        <v>413</v>
      </c>
      <c r="C197" s="93" t="s">
        <v>414</v>
      </c>
      <c r="D197" s="93" t="s">
        <v>415</v>
      </c>
      <c r="E197" s="127">
        <v>25.0</v>
      </c>
      <c r="F197" s="187">
        <v>11.0</v>
      </c>
      <c r="G197" s="187"/>
      <c r="H197" s="161">
        <f t="shared" si="7"/>
        <v>9000</v>
      </c>
      <c r="I197" s="189">
        <v>32.0</v>
      </c>
      <c r="J197" s="126" t="str">
        <f t="shared" si="4"/>
        <v>25 Patient Portal Logins, 11 BBB 5-star Reviews</v>
      </c>
      <c r="K197" s="165">
        <v>1600.0</v>
      </c>
      <c r="L197" s="166">
        <v>10600.0</v>
      </c>
      <c r="M197" s="14"/>
    </row>
    <row r="198" hidden="1">
      <c r="A198" s="6" t="s">
        <v>242</v>
      </c>
      <c r="B198" s="92" t="s">
        <v>416</v>
      </c>
      <c r="C198" s="93" t="s">
        <v>417</v>
      </c>
      <c r="D198" s="93" t="s">
        <v>418</v>
      </c>
      <c r="E198" s="127">
        <v>0.0</v>
      </c>
      <c r="F198" s="187">
        <v>0.0</v>
      </c>
      <c r="G198" s="187"/>
      <c r="H198" s="161">
        <f t="shared" si="7"/>
        <v>0</v>
      </c>
      <c r="I198" s="189">
        <v>34.0</v>
      </c>
      <c r="J198" s="126" t="str">
        <f t="shared" si="4"/>
        <v>0 Patient Portal Logins, 0 BBB 5-star Reviews</v>
      </c>
      <c r="K198" s="165">
        <v>1700.0</v>
      </c>
      <c r="L198" s="166">
        <v>1700.0</v>
      </c>
      <c r="M198" s="14"/>
    </row>
    <row r="199" hidden="1">
      <c r="A199" s="6" t="s">
        <v>242</v>
      </c>
      <c r="B199" s="92" t="s">
        <v>422</v>
      </c>
      <c r="C199" s="93" t="s">
        <v>423</v>
      </c>
      <c r="D199" s="93" t="s">
        <v>424</v>
      </c>
      <c r="E199" s="127">
        <v>8.0</v>
      </c>
      <c r="F199" s="187">
        <v>9.0</v>
      </c>
      <c r="G199" s="187"/>
      <c r="H199" s="161">
        <f t="shared" si="7"/>
        <v>4250</v>
      </c>
      <c r="I199" s="189">
        <v>64.0</v>
      </c>
      <c r="J199" s="126" t="str">
        <f t="shared" si="4"/>
        <v>8 Patient Portal Logins, 9 BBB 5-star Reviews</v>
      </c>
      <c r="K199" s="165">
        <v>3200.0</v>
      </c>
      <c r="L199" s="166">
        <v>7450.0</v>
      </c>
      <c r="M199" s="14"/>
    </row>
    <row r="200" hidden="1">
      <c r="A200" s="6" t="s">
        <v>242</v>
      </c>
      <c r="B200" s="92" t="s">
        <v>425</v>
      </c>
      <c r="C200" s="93" t="s">
        <v>426</v>
      </c>
      <c r="D200" s="93" t="s">
        <v>427</v>
      </c>
      <c r="E200" s="128">
        <v>24.0</v>
      </c>
      <c r="F200" s="187">
        <v>10.0</v>
      </c>
      <c r="G200" s="187"/>
      <c r="H200" s="161">
        <f t="shared" si="7"/>
        <v>8500</v>
      </c>
      <c r="I200" s="189">
        <v>49.0</v>
      </c>
      <c r="J200" s="126" t="str">
        <f t="shared" si="4"/>
        <v>24 Patient Portal Logins, 10 BBB 5-star Reviews</v>
      </c>
      <c r="K200" s="165">
        <v>3675.0</v>
      </c>
      <c r="L200" s="166">
        <v>12175.0</v>
      </c>
      <c r="M200" s="14"/>
    </row>
    <row r="201" hidden="1">
      <c r="A201" s="6" t="s">
        <v>242</v>
      </c>
      <c r="B201" s="92" t="s">
        <v>428</v>
      </c>
      <c r="C201" s="93" t="s">
        <v>429</v>
      </c>
      <c r="D201" s="93" t="s">
        <v>430</v>
      </c>
      <c r="E201" s="127">
        <v>54.0</v>
      </c>
      <c r="F201" s="187">
        <v>10.0</v>
      </c>
      <c r="G201" s="187"/>
      <c r="H201" s="161">
        <f t="shared" si="7"/>
        <v>16000</v>
      </c>
      <c r="I201" s="189">
        <v>35.0</v>
      </c>
      <c r="J201" s="126" t="str">
        <f t="shared" si="4"/>
        <v>54 Patient Portal Logins, 10 BBB 5-star Reviews</v>
      </c>
      <c r="K201" s="165">
        <v>1750.0</v>
      </c>
      <c r="L201" s="166">
        <v>17750.0</v>
      </c>
      <c r="M201" s="14"/>
    </row>
    <row r="202" hidden="1">
      <c r="A202" s="6" t="s">
        <v>242</v>
      </c>
      <c r="B202" s="92" t="s">
        <v>431</v>
      </c>
      <c r="C202" s="93" t="s">
        <v>432</v>
      </c>
      <c r="D202" s="93" t="s">
        <v>433</v>
      </c>
      <c r="E202" s="127">
        <v>26.0</v>
      </c>
      <c r="F202" s="187">
        <v>7.0</v>
      </c>
      <c r="G202" s="187"/>
      <c r="H202" s="161">
        <f t="shared" si="7"/>
        <v>8250</v>
      </c>
      <c r="I202" s="189">
        <v>42.0</v>
      </c>
      <c r="J202" s="126" t="str">
        <f t="shared" si="4"/>
        <v>26 Patient Portal Logins, 7 BBB 5-star Reviews</v>
      </c>
      <c r="K202" s="165">
        <v>3150.0</v>
      </c>
      <c r="L202" s="166">
        <v>11400.0</v>
      </c>
      <c r="M202" s="14"/>
    </row>
    <row r="203" hidden="1">
      <c r="A203" s="6" t="s">
        <v>242</v>
      </c>
      <c r="B203" s="92" t="s">
        <v>437</v>
      </c>
      <c r="C203" s="93" t="s">
        <v>438</v>
      </c>
      <c r="D203" s="93" t="s">
        <v>439</v>
      </c>
      <c r="E203" s="127">
        <v>7.0</v>
      </c>
      <c r="F203" s="187">
        <v>0.0</v>
      </c>
      <c r="G203" s="187"/>
      <c r="H203" s="161">
        <f t="shared" si="7"/>
        <v>1750</v>
      </c>
      <c r="I203" s="189">
        <v>56.0</v>
      </c>
      <c r="J203" s="126" t="str">
        <f t="shared" si="4"/>
        <v>7 Patient Portal Logins, 0 BBB 5-star Reviews</v>
      </c>
      <c r="K203" s="165">
        <v>2800.0</v>
      </c>
      <c r="L203" s="166">
        <v>4550.0</v>
      </c>
      <c r="M203" s="14"/>
    </row>
    <row r="204" hidden="1">
      <c r="A204" s="6" t="s">
        <v>242</v>
      </c>
      <c r="B204" s="94" t="s">
        <v>458</v>
      </c>
      <c r="C204" s="94" t="s">
        <v>459</v>
      </c>
      <c r="D204" s="92" t="s">
        <v>460</v>
      </c>
      <c r="E204" s="127">
        <v>32.0</v>
      </c>
      <c r="F204" s="187">
        <v>8.0</v>
      </c>
      <c r="G204" s="187"/>
      <c r="H204" s="161">
        <f t="shared" si="7"/>
        <v>10000</v>
      </c>
      <c r="I204" s="189">
        <v>30.0</v>
      </c>
      <c r="J204" s="126" t="str">
        <f t="shared" si="4"/>
        <v>32 Patient Portal Logins, 8 BBB 5-star Reviews</v>
      </c>
      <c r="K204" s="165">
        <v>1500.0</v>
      </c>
      <c r="L204" s="166">
        <v>11500.0</v>
      </c>
      <c r="M204" s="14"/>
    </row>
    <row r="205" hidden="1">
      <c r="A205" s="6" t="s">
        <v>242</v>
      </c>
      <c r="B205" s="95" t="s">
        <v>446</v>
      </c>
      <c r="C205" s="94" t="s">
        <v>447</v>
      </c>
      <c r="D205" s="92" t="s">
        <v>448</v>
      </c>
      <c r="E205" s="127">
        <v>43.0</v>
      </c>
      <c r="F205" s="187">
        <v>1.0</v>
      </c>
      <c r="G205" s="187"/>
      <c r="H205" s="161">
        <f t="shared" si="7"/>
        <v>11000</v>
      </c>
      <c r="I205" s="189">
        <v>42.0</v>
      </c>
      <c r="J205" s="126" t="str">
        <f t="shared" si="4"/>
        <v>43 Patient Portal Logins, 1 BBB 5-star Reviews</v>
      </c>
      <c r="K205" s="165">
        <v>3150.0</v>
      </c>
      <c r="L205" s="166">
        <v>14150.0</v>
      </c>
      <c r="M205" s="14"/>
    </row>
    <row r="206" hidden="1">
      <c r="A206" s="6" t="s">
        <v>242</v>
      </c>
      <c r="B206" s="95" t="s">
        <v>449</v>
      </c>
      <c r="C206" s="94" t="s">
        <v>450</v>
      </c>
      <c r="D206" s="92" t="s">
        <v>451</v>
      </c>
      <c r="E206" s="127">
        <v>13.0</v>
      </c>
      <c r="F206" s="187">
        <v>0.0</v>
      </c>
      <c r="G206" s="187"/>
      <c r="H206" s="161">
        <f t="shared" si="7"/>
        <v>3250</v>
      </c>
      <c r="I206" s="189">
        <v>35.0</v>
      </c>
      <c r="J206" s="126" t="str">
        <f t="shared" si="4"/>
        <v>13 Patient Portal Logins, 0 BBB 5-star Reviews</v>
      </c>
      <c r="K206" s="165">
        <v>1750.0</v>
      </c>
      <c r="L206" s="166">
        <v>5000.0</v>
      </c>
      <c r="M206" s="14"/>
    </row>
    <row r="207" hidden="1">
      <c r="A207" s="6" t="s">
        <v>242</v>
      </c>
      <c r="B207" s="94" t="s">
        <v>452</v>
      </c>
      <c r="C207" s="94" t="s">
        <v>453</v>
      </c>
      <c r="D207" s="92" t="s">
        <v>454</v>
      </c>
      <c r="E207" s="127">
        <v>24.0</v>
      </c>
      <c r="F207" s="187">
        <v>10.0</v>
      </c>
      <c r="G207" s="187"/>
      <c r="H207" s="161">
        <f t="shared" si="7"/>
        <v>8500</v>
      </c>
      <c r="I207" s="189">
        <v>47.0</v>
      </c>
      <c r="J207" s="126" t="str">
        <f t="shared" si="4"/>
        <v>24 Patient Portal Logins, 10 BBB 5-star Reviews</v>
      </c>
      <c r="K207" s="165">
        <v>3525.0</v>
      </c>
      <c r="L207" s="166">
        <v>12025.0</v>
      </c>
      <c r="M207" s="14"/>
    </row>
    <row r="208" hidden="1">
      <c r="A208" s="6" t="s">
        <v>242</v>
      </c>
      <c r="B208" s="94" t="s">
        <v>455</v>
      </c>
      <c r="C208" s="94" t="s">
        <v>456</v>
      </c>
      <c r="D208" s="92" t="s">
        <v>457</v>
      </c>
      <c r="E208" s="127">
        <v>3.0</v>
      </c>
      <c r="F208" s="187">
        <v>0.0</v>
      </c>
      <c r="G208" s="187"/>
      <c r="H208" s="161">
        <f t="shared" si="7"/>
        <v>750</v>
      </c>
      <c r="I208" s="185"/>
      <c r="J208" s="126" t="str">
        <f t="shared" si="4"/>
        <v>3 Patient Portal Logins, 0 BBB 5-star Reviews</v>
      </c>
      <c r="K208" s="165"/>
      <c r="L208" s="166">
        <v>750.0</v>
      </c>
      <c r="M208" s="14"/>
    </row>
    <row r="209" hidden="1">
      <c r="A209" s="6" t="s">
        <v>13</v>
      </c>
      <c r="B209" s="92" t="s">
        <v>540</v>
      </c>
      <c r="C209" s="93" t="s">
        <v>541</v>
      </c>
      <c r="D209" s="93" t="s">
        <v>542</v>
      </c>
      <c r="E209" s="127">
        <v>0.0</v>
      </c>
      <c r="F209" s="188">
        <v>0.0</v>
      </c>
      <c r="G209" s="188"/>
      <c r="H209" s="161">
        <f t="shared" si="7"/>
        <v>0</v>
      </c>
      <c r="I209" s="197">
        <v>1500.0</v>
      </c>
      <c r="J209" s="126" t="str">
        <f t="shared" si="4"/>
        <v>0 Patient Portal Logins, 0 BBB 5-star Reviews</v>
      </c>
      <c r="K209" s="193">
        <v>1500.0</v>
      </c>
      <c r="L209" s="198">
        <f t="shared" ref="L209:L229" si="8">I209-K209</f>
        <v>0</v>
      </c>
      <c r="M209" s="14"/>
    </row>
    <row r="210" hidden="1">
      <c r="A210" s="6" t="s">
        <v>13</v>
      </c>
      <c r="B210" s="92" t="s">
        <v>532</v>
      </c>
      <c r="C210" s="93" t="s">
        <v>533</v>
      </c>
      <c r="D210" s="93" t="s">
        <v>534</v>
      </c>
      <c r="E210" s="127">
        <v>3.0</v>
      </c>
      <c r="F210" s="187">
        <v>0.0</v>
      </c>
      <c r="G210" s="187"/>
      <c r="H210" s="161">
        <f t="shared" si="7"/>
        <v>750</v>
      </c>
      <c r="I210" s="197">
        <v>750.0</v>
      </c>
      <c r="J210" s="126" t="str">
        <f t="shared" si="4"/>
        <v>3 Patient Portal Logins, 0 BBB 5-star Reviews</v>
      </c>
      <c r="K210" s="193">
        <v>750.0</v>
      </c>
      <c r="L210" s="198">
        <f t="shared" si="8"/>
        <v>0</v>
      </c>
      <c r="M210" s="14"/>
    </row>
    <row r="211" hidden="1">
      <c r="A211" s="6" t="s">
        <v>13</v>
      </c>
      <c r="B211" s="92" t="s">
        <v>529</v>
      </c>
      <c r="C211" s="93" t="s">
        <v>530</v>
      </c>
      <c r="D211" s="93" t="s">
        <v>531</v>
      </c>
      <c r="E211" s="127">
        <v>6.0</v>
      </c>
      <c r="F211" s="187">
        <v>1.0</v>
      </c>
      <c r="G211" s="187"/>
      <c r="H211" s="161">
        <f t="shared" si="7"/>
        <v>1750</v>
      </c>
      <c r="I211" s="197">
        <v>1750.0</v>
      </c>
      <c r="J211" s="126" t="str">
        <f t="shared" si="4"/>
        <v>6 Patient Portal Logins, 1 BBB 5-star Reviews</v>
      </c>
      <c r="K211" s="193">
        <v>1750.0</v>
      </c>
      <c r="L211" s="198">
        <f t="shared" si="8"/>
        <v>0</v>
      </c>
      <c r="M211" s="14"/>
    </row>
    <row r="212" hidden="1">
      <c r="A212" s="6" t="s">
        <v>13</v>
      </c>
      <c r="B212" s="92" t="s">
        <v>443</v>
      </c>
      <c r="C212" s="93" t="s">
        <v>444</v>
      </c>
      <c r="D212" s="149" t="s">
        <v>445</v>
      </c>
      <c r="E212" s="127">
        <v>3.0</v>
      </c>
      <c r="F212" s="188">
        <v>0.0</v>
      </c>
      <c r="G212" s="188"/>
      <c r="H212" s="161">
        <f t="shared" si="7"/>
        <v>750</v>
      </c>
      <c r="I212" s="197">
        <v>750.0</v>
      </c>
      <c r="J212" s="126" t="str">
        <f t="shared" si="4"/>
        <v>3 Patient Portal Logins, 0 BBB 5-star Reviews</v>
      </c>
      <c r="K212" s="193">
        <v>500.0</v>
      </c>
      <c r="L212" s="198">
        <f t="shared" si="8"/>
        <v>250</v>
      </c>
      <c r="M212" s="14"/>
    </row>
    <row r="213" hidden="1">
      <c r="A213" s="6" t="s">
        <v>13</v>
      </c>
      <c r="B213" s="92" t="s">
        <v>543</v>
      </c>
      <c r="C213" s="93" t="s">
        <v>544</v>
      </c>
      <c r="D213" s="93" t="s">
        <v>545</v>
      </c>
      <c r="E213" s="127">
        <v>13.0</v>
      </c>
      <c r="F213" s="187">
        <v>0.0</v>
      </c>
      <c r="G213" s="187"/>
      <c r="H213" s="161">
        <f t="shared" si="7"/>
        <v>3250</v>
      </c>
      <c r="I213" s="197">
        <v>4900.0</v>
      </c>
      <c r="J213" s="126" t="str">
        <f t="shared" si="4"/>
        <v>13 Patient Portal Logins, 0 BBB 5-star Reviews</v>
      </c>
      <c r="K213" s="193">
        <v>2900.0</v>
      </c>
      <c r="L213" s="198">
        <f t="shared" si="8"/>
        <v>2000</v>
      </c>
      <c r="M213" s="14"/>
    </row>
    <row r="214" hidden="1">
      <c r="A214" s="6" t="s">
        <v>13</v>
      </c>
      <c r="B214" s="92" t="s">
        <v>398</v>
      </c>
      <c r="C214" s="93" t="s">
        <v>399</v>
      </c>
      <c r="D214" s="199" t="s">
        <v>400</v>
      </c>
      <c r="E214" s="127">
        <v>3.0</v>
      </c>
      <c r="F214" s="187">
        <v>1.0</v>
      </c>
      <c r="G214" s="187"/>
      <c r="H214" s="161">
        <f t="shared" si="7"/>
        <v>1000</v>
      </c>
      <c r="I214" s="197">
        <v>6800.0</v>
      </c>
      <c r="J214" s="126" t="str">
        <f t="shared" si="4"/>
        <v>3 Patient Portal Logins, 1 BBB 5-star Reviews</v>
      </c>
      <c r="K214" s="193">
        <v>8000.0</v>
      </c>
      <c r="L214" s="198">
        <f t="shared" si="8"/>
        <v>-1200</v>
      </c>
      <c r="M214" s="14"/>
    </row>
    <row r="215" hidden="1">
      <c r="A215" s="6" t="s">
        <v>13</v>
      </c>
      <c r="B215" s="92" t="s">
        <v>404</v>
      </c>
      <c r="C215" s="93" t="s">
        <v>405</v>
      </c>
      <c r="D215" s="93" t="s">
        <v>406</v>
      </c>
      <c r="E215" s="127">
        <v>7.0</v>
      </c>
      <c r="F215" s="187">
        <v>12.0</v>
      </c>
      <c r="G215" s="187"/>
      <c r="H215" s="161">
        <f t="shared" si="7"/>
        <v>4750</v>
      </c>
      <c r="I215" s="197">
        <v>4750.0</v>
      </c>
      <c r="J215" s="126" t="str">
        <f t="shared" si="4"/>
        <v>7 Patient Portal Logins, 12 BBB 5-star Reviews</v>
      </c>
      <c r="K215" s="193">
        <v>2500.0</v>
      </c>
      <c r="L215" s="198">
        <f t="shared" si="8"/>
        <v>2250</v>
      </c>
      <c r="M215" s="14"/>
    </row>
    <row r="216" hidden="1">
      <c r="A216" s="6" t="s">
        <v>13</v>
      </c>
      <c r="B216" s="92" t="s">
        <v>407</v>
      </c>
      <c r="C216" s="93" t="s">
        <v>408</v>
      </c>
      <c r="D216" s="93" t="s">
        <v>409</v>
      </c>
      <c r="E216" s="127">
        <v>14.0</v>
      </c>
      <c r="F216" s="187">
        <v>0.0</v>
      </c>
      <c r="G216" s="187"/>
      <c r="H216" s="161">
        <f t="shared" si="7"/>
        <v>3500</v>
      </c>
      <c r="I216" s="197">
        <v>7025.0</v>
      </c>
      <c r="J216" s="126" t="str">
        <f t="shared" si="4"/>
        <v>14 Patient Portal Logins, 0 BBB 5-star Reviews</v>
      </c>
      <c r="K216" s="193">
        <v>11625.0</v>
      </c>
      <c r="L216" s="198">
        <f t="shared" si="8"/>
        <v>-4600</v>
      </c>
      <c r="M216" s="14"/>
    </row>
    <row r="217" hidden="1">
      <c r="A217" s="6" t="s">
        <v>13</v>
      </c>
      <c r="B217" s="92" t="s">
        <v>410</v>
      </c>
      <c r="C217" s="93" t="s">
        <v>411</v>
      </c>
      <c r="D217" s="93" t="s">
        <v>412</v>
      </c>
      <c r="E217" s="127">
        <v>14.0</v>
      </c>
      <c r="F217" s="187">
        <v>0.0</v>
      </c>
      <c r="G217" s="187"/>
      <c r="H217" s="161">
        <f t="shared" si="7"/>
        <v>3500</v>
      </c>
      <c r="I217" s="197">
        <v>9100.0</v>
      </c>
      <c r="J217" s="126" t="str">
        <f t="shared" si="4"/>
        <v>14 Patient Portal Logins, 0 BBB 5-star Reviews</v>
      </c>
      <c r="K217" s="193">
        <v>10675.0</v>
      </c>
      <c r="L217" s="198">
        <f t="shared" si="8"/>
        <v>-1575</v>
      </c>
      <c r="M217" s="14"/>
    </row>
    <row r="218" hidden="1">
      <c r="A218" s="6" t="s">
        <v>13</v>
      </c>
      <c r="B218" s="92" t="s">
        <v>413</v>
      </c>
      <c r="C218" s="93" t="s">
        <v>414</v>
      </c>
      <c r="D218" s="199" t="s">
        <v>415</v>
      </c>
      <c r="E218" s="127">
        <v>22.0</v>
      </c>
      <c r="F218" s="186">
        <v>12.0</v>
      </c>
      <c r="G218" s="186"/>
      <c r="H218" s="161">
        <f t="shared" si="7"/>
        <v>8500</v>
      </c>
      <c r="I218" s="197">
        <v>14300.0</v>
      </c>
      <c r="J218" s="126" t="str">
        <f t="shared" si="4"/>
        <v>22 Patient Portal Logins, 12 BBB 5-star Reviews</v>
      </c>
      <c r="K218" s="193">
        <v>18100.0</v>
      </c>
      <c r="L218" s="198">
        <f t="shared" si="8"/>
        <v>-3800</v>
      </c>
      <c r="M218" s="14"/>
    </row>
    <row r="219" hidden="1">
      <c r="A219" s="6" t="s">
        <v>13</v>
      </c>
      <c r="B219" s="92" t="s">
        <v>416</v>
      </c>
      <c r="C219" s="93" t="s">
        <v>417</v>
      </c>
      <c r="D219" s="93" t="s">
        <v>418</v>
      </c>
      <c r="E219" s="184">
        <v>0.0</v>
      </c>
      <c r="F219" s="188">
        <v>0.0</v>
      </c>
      <c r="G219" s="188"/>
      <c r="H219" s="161">
        <f t="shared" si="7"/>
        <v>0</v>
      </c>
      <c r="I219" s="197">
        <v>1550.0</v>
      </c>
      <c r="J219" s="126" t="str">
        <f t="shared" si="4"/>
        <v>0 Patient Portal Logins, 0 BBB 5-star Reviews</v>
      </c>
      <c r="K219" s="193">
        <v>1800.0</v>
      </c>
      <c r="L219" s="198">
        <f t="shared" si="8"/>
        <v>-250</v>
      </c>
      <c r="M219" s="14"/>
    </row>
    <row r="220" hidden="1">
      <c r="A220" s="6" t="s">
        <v>13</v>
      </c>
      <c r="B220" s="92" t="s">
        <v>422</v>
      </c>
      <c r="C220" s="93" t="s">
        <v>423</v>
      </c>
      <c r="D220" s="93" t="s">
        <v>424</v>
      </c>
      <c r="E220" s="127">
        <v>13.0</v>
      </c>
      <c r="F220" s="187">
        <v>6.0</v>
      </c>
      <c r="G220" s="187"/>
      <c r="H220" s="161">
        <f t="shared" si="7"/>
        <v>4750</v>
      </c>
      <c r="I220" s="197">
        <v>11950.0</v>
      </c>
      <c r="J220" s="126" t="str">
        <f t="shared" si="4"/>
        <v>13 Patient Portal Logins, 6 BBB 5-star Reviews</v>
      </c>
      <c r="K220" s="193">
        <v>15275.0</v>
      </c>
      <c r="L220" s="198">
        <f t="shared" si="8"/>
        <v>-3325</v>
      </c>
      <c r="M220" s="14"/>
    </row>
    <row r="221" hidden="1">
      <c r="A221" s="6" t="s">
        <v>13</v>
      </c>
      <c r="B221" s="92" t="s">
        <v>425</v>
      </c>
      <c r="C221" s="93" t="s">
        <v>426</v>
      </c>
      <c r="D221" s="149" t="s">
        <v>427</v>
      </c>
      <c r="E221" s="127">
        <v>33.0</v>
      </c>
      <c r="F221" s="187">
        <v>11.0</v>
      </c>
      <c r="G221" s="187"/>
      <c r="H221" s="161">
        <f t="shared" si="7"/>
        <v>11000</v>
      </c>
      <c r="I221" s="197">
        <v>11000.0</v>
      </c>
      <c r="J221" s="126" t="str">
        <f t="shared" si="4"/>
        <v>33 Patient Portal Logins, 11 BBB 5-star Reviews</v>
      </c>
      <c r="K221" s="193">
        <v>5500.0</v>
      </c>
      <c r="L221" s="198">
        <f t="shared" si="8"/>
        <v>5500</v>
      </c>
      <c r="M221" s="14"/>
    </row>
    <row r="222" hidden="1">
      <c r="A222" s="6" t="s">
        <v>13</v>
      </c>
      <c r="B222" s="92" t="s">
        <v>428</v>
      </c>
      <c r="C222" s="93" t="s">
        <v>429</v>
      </c>
      <c r="D222" s="93" t="s">
        <v>430</v>
      </c>
      <c r="E222" s="127">
        <v>58.0</v>
      </c>
      <c r="F222" s="187">
        <v>15.0</v>
      </c>
      <c r="G222" s="187"/>
      <c r="H222" s="161">
        <f t="shared" si="7"/>
        <v>18250</v>
      </c>
      <c r="I222" s="197">
        <v>18250.0</v>
      </c>
      <c r="J222" s="126" t="str">
        <f t="shared" si="4"/>
        <v>58 Patient Portal Logins, 15 BBB 5-star Reviews</v>
      </c>
      <c r="K222" s="193">
        <v>13050.0</v>
      </c>
      <c r="L222" s="198">
        <f t="shared" si="8"/>
        <v>5200</v>
      </c>
      <c r="M222" s="14"/>
    </row>
    <row r="223" hidden="1">
      <c r="A223" s="6" t="s">
        <v>13</v>
      </c>
      <c r="B223" s="92" t="s">
        <v>431</v>
      </c>
      <c r="C223" s="93" t="s">
        <v>432</v>
      </c>
      <c r="D223" s="93" t="s">
        <v>433</v>
      </c>
      <c r="E223" s="127">
        <v>22.0</v>
      </c>
      <c r="F223" s="187">
        <v>11.0</v>
      </c>
      <c r="G223" s="187"/>
      <c r="H223" s="161">
        <f t="shared" si="7"/>
        <v>8250</v>
      </c>
      <c r="I223" s="197">
        <v>9900.0</v>
      </c>
      <c r="J223" s="126" t="str">
        <f t="shared" si="4"/>
        <v>22 Patient Portal Logins, 11 BBB 5-star Reviews</v>
      </c>
      <c r="K223" s="193">
        <v>10950.0</v>
      </c>
      <c r="L223" s="198">
        <f t="shared" si="8"/>
        <v>-1050</v>
      </c>
      <c r="M223" s="14"/>
    </row>
    <row r="224" hidden="1">
      <c r="A224" s="6" t="s">
        <v>13</v>
      </c>
      <c r="B224" s="92" t="s">
        <v>437</v>
      </c>
      <c r="C224" s="93" t="s">
        <v>438</v>
      </c>
      <c r="D224" s="93" t="s">
        <v>439</v>
      </c>
      <c r="E224" s="127">
        <v>3.0</v>
      </c>
      <c r="F224" s="187">
        <v>0.0</v>
      </c>
      <c r="G224" s="187"/>
      <c r="H224" s="161">
        <f t="shared" si="7"/>
        <v>750</v>
      </c>
      <c r="I224" s="197">
        <v>6050.0</v>
      </c>
      <c r="J224" s="126" t="str">
        <f t="shared" si="4"/>
        <v>3 Patient Portal Logins, 0 BBB 5-star Reviews</v>
      </c>
      <c r="K224" s="193">
        <v>9475.0</v>
      </c>
      <c r="L224" s="198">
        <f t="shared" si="8"/>
        <v>-3425</v>
      </c>
      <c r="M224" s="14"/>
    </row>
    <row r="225" hidden="1">
      <c r="A225" s="6" t="s">
        <v>13</v>
      </c>
      <c r="B225" s="94" t="s">
        <v>458</v>
      </c>
      <c r="C225" s="94" t="s">
        <v>459</v>
      </c>
      <c r="D225" s="94" t="s">
        <v>460</v>
      </c>
      <c r="E225" s="127">
        <v>12.0</v>
      </c>
      <c r="F225" s="187">
        <v>12.0</v>
      </c>
      <c r="G225" s="187"/>
      <c r="H225" s="161">
        <f t="shared" si="7"/>
        <v>6000</v>
      </c>
      <c r="I225" s="197">
        <v>6000.0</v>
      </c>
      <c r="J225" s="126" t="str">
        <f t="shared" si="4"/>
        <v>12 Patient Portal Logins, 12 BBB 5-star Reviews</v>
      </c>
      <c r="K225" s="193">
        <v>9500.0</v>
      </c>
      <c r="L225" s="198">
        <f t="shared" si="8"/>
        <v>-3500</v>
      </c>
      <c r="M225" s="14"/>
    </row>
    <row r="226" hidden="1">
      <c r="A226" s="6" t="s">
        <v>13</v>
      </c>
      <c r="B226" s="95" t="s">
        <v>446</v>
      </c>
      <c r="C226" s="94" t="s">
        <v>447</v>
      </c>
      <c r="D226" s="94" t="s">
        <v>448</v>
      </c>
      <c r="E226" s="127">
        <v>13.0</v>
      </c>
      <c r="F226" s="187">
        <v>1.0</v>
      </c>
      <c r="G226" s="187"/>
      <c r="H226" s="161">
        <f t="shared" si="7"/>
        <v>3500</v>
      </c>
      <c r="I226" s="197">
        <v>5300.0</v>
      </c>
      <c r="J226" s="126" t="str">
        <f t="shared" si="4"/>
        <v>13 Patient Portal Logins, 1 BBB 5-star Reviews</v>
      </c>
      <c r="K226" s="193">
        <v>9900.0</v>
      </c>
      <c r="L226" s="198">
        <f t="shared" si="8"/>
        <v>-4600</v>
      </c>
      <c r="M226" s="14"/>
    </row>
    <row r="227" hidden="1">
      <c r="A227" s="6" t="s">
        <v>13</v>
      </c>
      <c r="B227" s="95" t="s">
        <v>449</v>
      </c>
      <c r="C227" s="94" t="s">
        <v>450</v>
      </c>
      <c r="D227" s="94" t="s">
        <v>451</v>
      </c>
      <c r="E227" s="127">
        <v>20.0</v>
      </c>
      <c r="F227" s="186">
        <v>0.0</v>
      </c>
      <c r="G227" s="186"/>
      <c r="H227" s="161">
        <f t="shared" si="7"/>
        <v>5000</v>
      </c>
      <c r="I227" s="197">
        <v>5000.0</v>
      </c>
      <c r="J227" s="126" t="str">
        <f t="shared" si="4"/>
        <v>20 Patient Portal Logins, 0 BBB 5-star Reviews</v>
      </c>
      <c r="K227" s="193">
        <v>4000.0</v>
      </c>
      <c r="L227" s="198">
        <f t="shared" si="8"/>
        <v>1000</v>
      </c>
      <c r="M227" s="14"/>
    </row>
    <row r="228" hidden="1">
      <c r="A228" s="6" t="s">
        <v>13</v>
      </c>
      <c r="B228" s="94" t="s">
        <v>452</v>
      </c>
      <c r="C228" s="94" t="s">
        <v>453</v>
      </c>
      <c r="D228" s="200" t="s">
        <v>454</v>
      </c>
      <c r="E228" s="127">
        <v>13.0</v>
      </c>
      <c r="F228" s="187">
        <v>7.0</v>
      </c>
      <c r="G228" s="187"/>
      <c r="H228" s="161">
        <f t="shared" si="7"/>
        <v>5000</v>
      </c>
      <c r="I228" s="197">
        <v>5000.0</v>
      </c>
      <c r="J228" s="126" t="str">
        <f t="shared" si="4"/>
        <v>13 Patient Portal Logins, 7 BBB 5-star Reviews</v>
      </c>
      <c r="K228" s="193">
        <v>6575.0</v>
      </c>
      <c r="L228" s="198">
        <f t="shared" si="8"/>
        <v>-1575</v>
      </c>
      <c r="M228" s="14"/>
    </row>
    <row r="229" hidden="1">
      <c r="A229" s="6" t="s">
        <v>13</v>
      </c>
      <c r="B229" s="94" t="s">
        <v>455</v>
      </c>
      <c r="C229" s="94" t="s">
        <v>456</v>
      </c>
      <c r="D229" s="201" t="s">
        <v>457</v>
      </c>
      <c r="E229" s="127">
        <v>9.0</v>
      </c>
      <c r="F229" s="188">
        <v>0.0</v>
      </c>
      <c r="G229" s="188"/>
      <c r="H229" s="161">
        <f t="shared" si="7"/>
        <v>2250</v>
      </c>
      <c r="I229" s="197">
        <v>2250.0</v>
      </c>
      <c r="J229" s="126" t="str">
        <f t="shared" si="4"/>
        <v>9 Patient Portal Logins, 0 BBB 5-star Reviews</v>
      </c>
      <c r="K229" s="193">
        <v>1950.0</v>
      </c>
      <c r="L229" s="198">
        <f t="shared" si="8"/>
        <v>300</v>
      </c>
      <c r="M229" s="14"/>
    </row>
    <row r="230" hidden="1">
      <c r="A230" s="6" t="s">
        <v>203</v>
      </c>
      <c r="B230" s="92" t="s">
        <v>540</v>
      </c>
      <c r="C230" s="93" t="s">
        <v>541</v>
      </c>
      <c r="D230" s="93" t="s">
        <v>542</v>
      </c>
      <c r="E230" s="127">
        <v>0.0</v>
      </c>
      <c r="F230" s="187">
        <v>0.0</v>
      </c>
      <c r="G230" s="187"/>
      <c r="H230" s="161">
        <f t="shared" si="7"/>
        <v>0</v>
      </c>
      <c r="I230" s="197">
        <v>0.0</v>
      </c>
      <c r="J230" s="126" t="str">
        <f t="shared" si="4"/>
        <v>0 Patient Portal Logins, 0 BBB 5-star Reviews</v>
      </c>
      <c r="K230" s="193"/>
      <c r="L230" s="78"/>
      <c r="M230" s="14"/>
    </row>
    <row r="231" hidden="1">
      <c r="A231" s="6" t="s">
        <v>203</v>
      </c>
      <c r="B231" s="92" t="s">
        <v>532</v>
      </c>
      <c r="C231" s="93" t="s">
        <v>533</v>
      </c>
      <c r="D231" s="93" t="s">
        <v>534</v>
      </c>
      <c r="E231" s="127">
        <v>3.0</v>
      </c>
      <c r="F231" s="187">
        <v>0.0</v>
      </c>
      <c r="G231" s="187"/>
      <c r="H231" s="161">
        <f t="shared" si="7"/>
        <v>750</v>
      </c>
      <c r="I231" s="197">
        <v>750.0</v>
      </c>
      <c r="J231" s="126" t="str">
        <f t="shared" si="4"/>
        <v>3 Patient Portal Logins, 0 BBB 5-star Reviews</v>
      </c>
      <c r="K231" s="193"/>
      <c r="L231" s="78"/>
      <c r="M231" s="14"/>
    </row>
    <row r="232" hidden="1">
      <c r="A232" s="6" t="s">
        <v>203</v>
      </c>
      <c r="B232" s="92" t="s">
        <v>529</v>
      </c>
      <c r="C232" s="93" t="s">
        <v>530</v>
      </c>
      <c r="D232" s="93" t="s">
        <v>531</v>
      </c>
      <c r="E232" s="127">
        <v>7.0</v>
      </c>
      <c r="F232" s="187">
        <v>0.0</v>
      </c>
      <c r="G232" s="187"/>
      <c r="H232" s="161">
        <f t="shared" si="7"/>
        <v>1750</v>
      </c>
      <c r="I232" s="197">
        <v>1750.0</v>
      </c>
      <c r="J232" s="126" t="str">
        <f t="shared" si="4"/>
        <v>7 Patient Portal Logins, 0 BBB 5-star Reviews</v>
      </c>
      <c r="K232" s="193"/>
      <c r="L232" s="78"/>
      <c r="M232" s="14"/>
    </row>
    <row r="233" hidden="1">
      <c r="A233" s="6" t="s">
        <v>203</v>
      </c>
      <c r="B233" s="92" t="s">
        <v>443</v>
      </c>
      <c r="C233" s="93" t="s">
        <v>444</v>
      </c>
      <c r="D233" s="93" t="s">
        <v>445</v>
      </c>
      <c r="E233" s="127">
        <v>2.0</v>
      </c>
      <c r="F233" s="187">
        <v>0.0</v>
      </c>
      <c r="G233" s="187"/>
      <c r="H233" s="161">
        <f t="shared" si="7"/>
        <v>500</v>
      </c>
      <c r="I233" s="197">
        <v>500.0</v>
      </c>
      <c r="J233" s="126" t="str">
        <f t="shared" si="4"/>
        <v>2 Patient Portal Logins, 0 BBB 5-star Reviews</v>
      </c>
      <c r="K233" s="193"/>
      <c r="L233" s="78"/>
      <c r="M233" s="14"/>
    </row>
    <row r="234" hidden="1">
      <c r="A234" s="6" t="s">
        <v>203</v>
      </c>
      <c r="B234" s="92" t="s">
        <v>543</v>
      </c>
      <c r="C234" s="93" t="s">
        <v>544</v>
      </c>
      <c r="D234" s="93" t="s">
        <v>545</v>
      </c>
      <c r="E234" s="127">
        <v>5.0</v>
      </c>
      <c r="F234" s="187">
        <v>0.0</v>
      </c>
      <c r="G234" s="187"/>
      <c r="H234" s="161">
        <f t="shared" si="7"/>
        <v>1250</v>
      </c>
      <c r="I234" s="197">
        <v>1250.0</v>
      </c>
      <c r="J234" s="126" t="str">
        <f t="shared" si="4"/>
        <v>5 Patient Portal Logins, 0 BBB 5-star Reviews</v>
      </c>
      <c r="K234" s="193"/>
      <c r="L234" s="78"/>
      <c r="M234" s="14"/>
    </row>
    <row r="235" hidden="1">
      <c r="A235" s="6" t="s">
        <v>203</v>
      </c>
      <c r="B235" s="92" t="s">
        <v>398</v>
      </c>
      <c r="C235" s="93" t="s">
        <v>399</v>
      </c>
      <c r="D235" s="93" t="s">
        <v>400</v>
      </c>
      <c r="E235" s="127">
        <v>2.0</v>
      </c>
      <c r="F235" s="187">
        <v>0.0</v>
      </c>
      <c r="G235" s="187"/>
      <c r="H235" s="161">
        <f t="shared" si="7"/>
        <v>500</v>
      </c>
      <c r="I235" s="197">
        <v>2200.0</v>
      </c>
      <c r="J235" s="126" t="str">
        <f t="shared" si="4"/>
        <v>2 Patient Portal Logins, 0 BBB 5-star Reviews</v>
      </c>
      <c r="K235" s="165">
        <v>1700.0</v>
      </c>
      <c r="L235" s="80">
        <v>34.0</v>
      </c>
      <c r="M235" s="14"/>
    </row>
    <row r="236" hidden="1">
      <c r="A236" s="6" t="s">
        <v>203</v>
      </c>
      <c r="B236" s="92" t="s">
        <v>404</v>
      </c>
      <c r="C236" s="93" t="s">
        <v>405</v>
      </c>
      <c r="D236" s="93" t="s">
        <v>406</v>
      </c>
      <c r="E236" s="127">
        <v>7.0</v>
      </c>
      <c r="F236" s="187">
        <v>3.0</v>
      </c>
      <c r="G236" s="187"/>
      <c r="H236" s="161">
        <f t="shared" si="7"/>
        <v>2500</v>
      </c>
      <c r="I236" s="197">
        <v>2500.0</v>
      </c>
      <c r="J236" s="126" t="str">
        <f t="shared" si="4"/>
        <v>7 Patient Portal Logins, 3 BBB 5-star Reviews</v>
      </c>
      <c r="K236" s="193"/>
      <c r="L236" s="78"/>
      <c r="M236" s="14"/>
    </row>
    <row r="237" hidden="1">
      <c r="A237" s="6" t="s">
        <v>203</v>
      </c>
      <c r="B237" s="92" t="s">
        <v>407</v>
      </c>
      <c r="C237" s="93" t="s">
        <v>408</v>
      </c>
      <c r="D237" s="93" t="s">
        <v>409</v>
      </c>
      <c r="E237" s="127">
        <v>10.0</v>
      </c>
      <c r="F237" s="187">
        <v>0.0</v>
      </c>
      <c r="G237" s="187"/>
      <c r="H237" s="161">
        <f t="shared" si="7"/>
        <v>2500</v>
      </c>
      <c r="I237" s="197">
        <v>8100.0</v>
      </c>
      <c r="J237" s="126" t="str">
        <f t="shared" si="4"/>
        <v>10 Patient Portal Logins, 0 BBB 5-star Reviews</v>
      </c>
      <c r="K237" s="165">
        <v>5600.0</v>
      </c>
      <c r="L237" s="80">
        <v>56.0</v>
      </c>
      <c r="M237" s="14"/>
    </row>
    <row r="238" hidden="1">
      <c r="A238" s="6" t="s">
        <v>203</v>
      </c>
      <c r="B238" s="92" t="s">
        <v>410</v>
      </c>
      <c r="C238" s="93" t="s">
        <v>411</v>
      </c>
      <c r="D238" s="93" t="s">
        <v>412</v>
      </c>
      <c r="E238" s="127">
        <v>8.0</v>
      </c>
      <c r="F238" s="187">
        <v>0.0</v>
      </c>
      <c r="G238" s="187"/>
      <c r="H238" s="161">
        <f t="shared" si="7"/>
        <v>2000</v>
      </c>
      <c r="I238" s="197">
        <v>5075.0</v>
      </c>
      <c r="J238" s="126" t="str">
        <f t="shared" si="4"/>
        <v>8 Patient Portal Logins, 0 BBB 5-star Reviews</v>
      </c>
      <c r="K238" s="193">
        <v>3075.0</v>
      </c>
      <c r="L238" s="34">
        <v>41.0</v>
      </c>
      <c r="M238" s="14"/>
    </row>
    <row r="239" hidden="1">
      <c r="A239" s="6" t="s">
        <v>203</v>
      </c>
      <c r="B239" s="92" t="s">
        <v>413</v>
      </c>
      <c r="C239" s="93" t="s">
        <v>414</v>
      </c>
      <c r="D239" s="93" t="s">
        <v>415</v>
      </c>
      <c r="E239" s="127">
        <v>28.0</v>
      </c>
      <c r="F239" s="188">
        <v>14.0</v>
      </c>
      <c r="G239" s="188"/>
      <c r="H239" s="161">
        <f t="shared" si="7"/>
        <v>10500</v>
      </c>
      <c r="I239" s="197">
        <v>12300.0</v>
      </c>
      <c r="J239" s="126" t="str">
        <f t="shared" si="4"/>
        <v>28 Patient Portal Logins, 14 BBB 5-star Reviews</v>
      </c>
      <c r="K239" s="165">
        <v>1800.0</v>
      </c>
      <c r="L239" s="80">
        <v>36.0</v>
      </c>
      <c r="M239" s="14"/>
    </row>
    <row r="240" hidden="1">
      <c r="A240" s="6" t="s">
        <v>203</v>
      </c>
      <c r="B240" s="92" t="s">
        <v>416</v>
      </c>
      <c r="C240" s="93" t="s">
        <v>417</v>
      </c>
      <c r="D240" s="93" t="s">
        <v>418</v>
      </c>
      <c r="E240" s="127">
        <v>1.0</v>
      </c>
      <c r="F240" s="187">
        <v>0.0</v>
      </c>
      <c r="G240" s="187"/>
      <c r="H240" s="161">
        <f t="shared" si="7"/>
        <v>250</v>
      </c>
      <c r="I240" s="197">
        <v>250.0</v>
      </c>
      <c r="J240" s="126" t="str">
        <f t="shared" si="4"/>
        <v>1 Patient Portal Logins, 0 BBB 5-star Reviews</v>
      </c>
      <c r="K240" s="193"/>
      <c r="L240" s="78"/>
      <c r="M240" s="14"/>
    </row>
    <row r="241" hidden="1">
      <c r="A241" s="6" t="s">
        <v>203</v>
      </c>
      <c r="B241" s="92" t="s">
        <v>422</v>
      </c>
      <c r="C241" s="93" t="s">
        <v>423</v>
      </c>
      <c r="D241" s="93" t="s">
        <v>424</v>
      </c>
      <c r="E241" s="127">
        <v>9.0</v>
      </c>
      <c r="F241" s="187">
        <v>11.0</v>
      </c>
      <c r="G241" s="187"/>
      <c r="H241" s="161">
        <f t="shared" si="7"/>
        <v>5000</v>
      </c>
      <c r="I241" s="197">
        <v>8075.0</v>
      </c>
      <c r="J241" s="126" t="str">
        <f t="shared" si="4"/>
        <v>9 Patient Portal Logins, 11 BBB 5-star Reviews</v>
      </c>
      <c r="K241" s="193">
        <v>3075.0</v>
      </c>
      <c r="L241" s="202">
        <v>41.0</v>
      </c>
      <c r="M241" s="14"/>
    </row>
    <row r="242" hidden="1">
      <c r="A242" s="6" t="s">
        <v>203</v>
      </c>
      <c r="B242" s="92" t="s">
        <v>425</v>
      </c>
      <c r="C242" s="93" t="s">
        <v>426</v>
      </c>
      <c r="D242" s="93" t="s">
        <v>427</v>
      </c>
      <c r="E242" s="127">
        <v>17.0</v>
      </c>
      <c r="F242" s="187">
        <v>5.0</v>
      </c>
      <c r="G242" s="187"/>
      <c r="H242" s="161">
        <f t="shared" si="7"/>
        <v>5500</v>
      </c>
      <c r="I242" s="197">
        <v>5500.0</v>
      </c>
      <c r="J242" s="126" t="str">
        <f t="shared" si="4"/>
        <v>17 Patient Portal Logins, 5 BBB 5-star Reviews</v>
      </c>
      <c r="K242" s="193"/>
      <c r="L242" s="78"/>
      <c r="M242" s="14"/>
    </row>
    <row r="243" hidden="1">
      <c r="A243" s="6" t="s">
        <v>203</v>
      </c>
      <c r="B243" s="92" t="s">
        <v>428</v>
      </c>
      <c r="C243" s="93" t="s">
        <v>429</v>
      </c>
      <c r="D243" s="93" t="s">
        <v>430</v>
      </c>
      <c r="E243" s="127">
        <v>30.0</v>
      </c>
      <c r="F243" s="187">
        <v>16.0</v>
      </c>
      <c r="G243" s="187"/>
      <c r="H243" s="161">
        <f t="shared" si="7"/>
        <v>11500</v>
      </c>
      <c r="I243" s="197">
        <v>13050.0</v>
      </c>
      <c r="J243" s="126" t="str">
        <f t="shared" si="4"/>
        <v>30 Patient Portal Logins, 16 BBB 5-star Reviews</v>
      </c>
      <c r="K243" s="165">
        <v>1550.0</v>
      </c>
      <c r="L243" s="34">
        <v>31.0</v>
      </c>
      <c r="M243" s="14"/>
    </row>
    <row r="244" hidden="1">
      <c r="A244" s="6" t="s">
        <v>203</v>
      </c>
      <c r="B244" s="92" t="s">
        <v>431</v>
      </c>
      <c r="C244" s="93" t="s">
        <v>432</v>
      </c>
      <c r="D244" s="93" t="s">
        <v>433</v>
      </c>
      <c r="E244" s="127">
        <v>15.0</v>
      </c>
      <c r="F244" s="187">
        <v>9.0</v>
      </c>
      <c r="G244" s="187"/>
      <c r="H244" s="161">
        <f t="shared" si="7"/>
        <v>6000</v>
      </c>
      <c r="I244" s="197">
        <v>9300.0</v>
      </c>
      <c r="J244" s="126" t="str">
        <f t="shared" si="4"/>
        <v>15 Patient Portal Logins, 9 BBB 5-star Reviews</v>
      </c>
      <c r="K244" s="193">
        <v>3300.0</v>
      </c>
      <c r="L244" s="80">
        <v>44.0</v>
      </c>
      <c r="M244" s="14"/>
    </row>
    <row r="245" hidden="1">
      <c r="A245" s="6" t="s">
        <v>203</v>
      </c>
      <c r="B245" s="92" t="s">
        <v>437</v>
      </c>
      <c r="C245" s="93" t="s">
        <v>438</v>
      </c>
      <c r="D245" s="93" t="s">
        <v>439</v>
      </c>
      <c r="E245" s="127">
        <v>2.0</v>
      </c>
      <c r="F245" s="187">
        <v>0.0</v>
      </c>
      <c r="G245" s="187"/>
      <c r="H245" s="161">
        <f t="shared" si="7"/>
        <v>500</v>
      </c>
      <c r="I245" s="197">
        <v>4175.0</v>
      </c>
      <c r="J245" s="126" t="str">
        <f t="shared" si="4"/>
        <v>2 Patient Portal Logins, 0 BBB 5-star Reviews</v>
      </c>
      <c r="K245" s="193">
        <v>3675.0</v>
      </c>
      <c r="L245" s="34">
        <v>49.0</v>
      </c>
      <c r="M245" s="14"/>
    </row>
    <row r="246" hidden="1">
      <c r="A246" s="6" t="s">
        <v>203</v>
      </c>
      <c r="B246" s="94" t="s">
        <v>458</v>
      </c>
      <c r="C246" s="94" t="s">
        <v>459</v>
      </c>
      <c r="D246" s="94" t="s">
        <v>460</v>
      </c>
      <c r="E246" s="127">
        <v>28.0</v>
      </c>
      <c r="F246" s="187">
        <v>10.0</v>
      </c>
      <c r="G246" s="187"/>
      <c r="H246" s="161">
        <f t="shared" si="7"/>
        <v>9500</v>
      </c>
      <c r="I246" s="197">
        <v>9500.0</v>
      </c>
      <c r="J246" s="126" t="str">
        <f t="shared" si="4"/>
        <v>28 Patient Portal Logins, 10 BBB 5-star Reviews</v>
      </c>
      <c r="K246" s="193"/>
      <c r="L246" s="78"/>
      <c r="M246" s="14"/>
    </row>
    <row r="247" hidden="1">
      <c r="A247" s="6" t="s">
        <v>203</v>
      </c>
      <c r="B247" s="95" t="s">
        <v>446</v>
      </c>
      <c r="C247" s="94" t="s">
        <v>447</v>
      </c>
      <c r="D247" s="94" t="s">
        <v>448</v>
      </c>
      <c r="E247" s="127">
        <v>24.0</v>
      </c>
      <c r="F247" s="187">
        <v>2.0</v>
      </c>
      <c r="G247" s="187"/>
      <c r="H247" s="161">
        <f t="shared" si="7"/>
        <v>6500</v>
      </c>
      <c r="I247" s="197">
        <v>8100.0</v>
      </c>
      <c r="J247" s="126" t="str">
        <f t="shared" si="4"/>
        <v>24 Patient Portal Logins, 2 BBB 5-star Reviews</v>
      </c>
      <c r="K247" s="165">
        <v>1600.0</v>
      </c>
      <c r="L247" s="80">
        <v>32.0</v>
      </c>
      <c r="M247" s="14"/>
    </row>
    <row r="248" hidden="1">
      <c r="A248" s="6" t="s">
        <v>203</v>
      </c>
      <c r="B248" s="95" t="s">
        <v>449</v>
      </c>
      <c r="C248" s="94" t="s">
        <v>450</v>
      </c>
      <c r="D248" s="94" t="s">
        <v>451</v>
      </c>
      <c r="E248" s="184">
        <v>16.0</v>
      </c>
      <c r="F248" s="188">
        <v>0.0</v>
      </c>
      <c r="G248" s="188"/>
      <c r="H248" s="161">
        <f t="shared" si="7"/>
        <v>4000</v>
      </c>
      <c r="I248" s="197">
        <v>4000.0</v>
      </c>
      <c r="J248" s="126" t="str">
        <f t="shared" si="4"/>
        <v>16 Patient Portal Logins, 0 BBB 5-star Reviews</v>
      </c>
      <c r="K248" s="165"/>
      <c r="L248" s="83"/>
      <c r="M248" s="14"/>
    </row>
    <row r="249" hidden="1">
      <c r="A249" s="6" t="s">
        <v>203</v>
      </c>
      <c r="B249" s="94" t="s">
        <v>452</v>
      </c>
      <c r="C249" s="94" t="s">
        <v>453</v>
      </c>
      <c r="D249" s="94" t="s">
        <v>454</v>
      </c>
      <c r="E249" s="127">
        <v>8.0</v>
      </c>
      <c r="F249" s="187">
        <v>6.0</v>
      </c>
      <c r="G249" s="187"/>
      <c r="H249" s="161">
        <f t="shared" si="7"/>
        <v>3500</v>
      </c>
      <c r="I249" s="197">
        <v>6575.0</v>
      </c>
      <c r="J249" s="126" t="str">
        <f t="shared" si="4"/>
        <v>8 Patient Portal Logins, 6 BBB 5-star Reviews</v>
      </c>
      <c r="K249" s="193">
        <v>3075.0</v>
      </c>
      <c r="L249" s="34">
        <v>41.0</v>
      </c>
      <c r="M249" s="14"/>
    </row>
    <row r="250" hidden="1">
      <c r="A250" s="6" t="s">
        <v>203</v>
      </c>
      <c r="B250" s="94" t="s">
        <v>455</v>
      </c>
      <c r="C250" s="94" t="s">
        <v>456</v>
      </c>
      <c r="D250" s="94" t="s">
        <v>457</v>
      </c>
      <c r="E250" s="127">
        <v>1.0</v>
      </c>
      <c r="F250" s="187">
        <v>0.0</v>
      </c>
      <c r="G250" s="187"/>
      <c r="H250" s="161">
        <f t="shared" si="7"/>
        <v>250</v>
      </c>
      <c r="I250" s="197">
        <v>1950.0</v>
      </c>
      <c r="J250" s="126" t="str">
        <f t="shared" si="4"/>
        <v>1 Patient Portal Logins, 0 BBB 5-star Reviews</v>
      </c>
      <c r="K250" s="165">
        <v>1700.0</v>
      </c>
      <c r="L250" s="34">
        <v>34.0</v>
      </c>
      <c r="M250" s="14"/>
    </row>
    <row r="251" hidden="1">
      <c r="A251" s="6" t="s">
        <v>204</v>
      </c>
      <c r="B251" s="92" t="s">
        <v>540</v>
      </c>
      <c r="C251" s="93" t="s">
        <v>541</v>
      </c>
      <c r="D251" s="93" t="s">
        <v>542</v>
      </c>
      <c r="E251" s="127">
        <v>0.0</v>
      </c>
      <c r="F251" s="187">
        <v>0.0</v>
      </c>
      <c r="G251" s="187"/>
      <c r="H251" s="161">
        <f t="shared" si="7"/>
        <v>0</v>
      </c>
      <c r="I251" s="197">
        <v>0.0</v>
      </c>
      <c r="J251" s="126" t="str">
        <f t="shared" si="4"/>
        <v>0 Patient Portal Logins, 0 BBB 5-star Reviews</v>
      </c>
      <c r="K251" s="165"/>
      <c r="L251" s="78"/>
      <c r="M251" s="14"/>
    </row>
    <row r="252" hidden="1">
      <c r="A252" s="6" t="s">
        <v>204</v>
      </c>
      <c r="B252" s="92" t="s">
        <v>532</v>
      </c>
      <c r="C252" s="93" t="s">
        <v>533</v>
      </c>
      <c r="D252" s="93" t="s">
        <v>534</v>
      </c>
      <c r="E252" s="127">
        <v>5.0</v>
      </c>
      <c r="F252" s="187">
        <v>0.0</v>
      </c>
      <c r="G252" s="187"/>
      <c r="H252" s="161">
        <f t="shared" si="7"/>
        <v>1250</v>
      </c>
      <c r="I252" s="197">
        <v>1250.0</v>
      </c>
      <c r="J252" s="126" t="str">
        <f t="shared" si="4"/>
        <v>5 Patient Portal Logins, 0 BBB 5-star Reviews</v>
      </c>
      <c r="K252" s="193"/>
      <c r="L252" s="78"/>
      <c r="M252" s="14"/>
    </row>
    <row r="253" hidden="1">
      <c r="A253" s="6" t="s">
        <v>204</v>
      </c>
      <c r="B253" s="92" t="s">
        <v>529</v>
      </c>
      <c r="C253" s="93" t="s">
        <v>530</v>
      </c>
      <c r="D253" s="93" t="s">
        <v>531</v>
      </c>
      <c r="E253" s="127">
        <v>2.0</v>
      </c>
      <c r="F253" s="187">
        <v>0.0</v>
      </c>
      <c r="G253" s="187"/>
      <c r="H253" s="161">
        <f t="shared" si="7"/>
        <v>500</v>
      </c>
      <c r="I253" s="197">
        <v>500.0</v>
      </c>
      <c r="J253" s="126" t="str">
        <f t="shared" si="4"/>
        <v>2 Patient Portal Logins, 0 BBB 5-star Reviews</v>
      </c>
      <c r="K253" s="193"/>
      <c r="L253" s="78"/>
      <c r="M253" s="14"/>
    </row>
    <row r="254" hidden="1">
      <c r="A254" s="6" t="s">
        <v>204</v>
      </c>
      <c r="B254" s="92" t="s">
        <v>443</v>
      </c>
      <c r="C254" s="93" t="s">
        <v>444</v>
      </c>
      <c r="D254" s="93" t="s">
        <v>445</v>
      </c>
      <c r="E254" s="127">
        <v>3.0</v>
      </c>
      <c r="F254" s="187">
        <v>0.0</v>
      </c>
      <c r="G254" s="187"/>
      <c r="H254" s="161">
        <f t="shared" si="7"/>
        <v>750</v>
      </c>
      <c r="I254" s="197">
        <v>750.0</v>
      </c>
      <c r="J254" s="126" t="str">
        <f t="shared" si="4"/>
        <v>3 Patient Portal Logins, 0 BBB 5-star Reviews</v>
      </c>
      <c r="K254" s="193"/>
      <c r="L254" s="78"/>
      <c r="M254" s="14"/>
    </row>
    <row r="255" hidden="1">
      <c r="A255" s="6" t="s">
        <v>204</v>
      </c>
      <c r="B255" s="92" t="s">
        <v>543</v>
      </c>
      <c r="C255" s="93" t="s">
        <v>544</v>
      </c>
      <c r="D255" s="93" t="s">
        <v>545</v>
      </c>
      <c r="E255" s="127">
        <v>4.0</v>
      </c>
      <c r="F255" s="187">
        <v>0.0</v>
      </c>
      <c r="G255" s="187"/>
      <c r="H255" s="161">
        <f t="shared" si="7"/>
        <v>1000</v>
      </c>
      <c r="I255" s="197">
        <v>1000.0</v>
      </c>
      <c r="J255" s="126" t="str">
        <f t="shared" si="4"/>
        <v>4 Patient Portal Logins, 0 BBB 5-star Reviews</v>
      </c>
      <c r="K255" s="193"/>
      <c r="L255" s="78"/>
      <c r="M255" s="14"/>
    </row>
    <row r="256" hidden="1">
      <c r="A256" s="6" t="s">
        <v>204</v>
      </c>
      <c r="B256" s="92" t="s">
        <v>398</v>
      </c>
      <c r="C256" s="93" t="s">
        <v>399</v>
      </c>
      <c r="D256" s="93" t="s">
        <v>400</v>
      </c>
      <c r="E256" s="127">
        <v>3.0</v>
      </c>
      <c r="F256" s="187">
        <v>1.0</v>
      </c>
      <c r="G256" s="187"/>
      <c r="H256" s="161">
        <f t="shared" si="7"/>
        <v>1000</v>
      </c>
      <c r="I256" s="197">
        <v>4075.0</v>
      </c>
      <c r="J256" s="126" t="str">
        <f t="shared" si="4"/>
        <v>3 Patient Portal Logins, 1 BBB 5-star Reviews</v>
      </c>
      <c r="K256" s="203">
        <v>3075.0</v>
      </c>
      <c r="L256" s="34">
        <v>41.0</v>
      </c>
      <c r="M256" s="14"/>
    </row>
    <row r="257" hidden="1">
      <c r="A257" s="6" t="s">
        <v>204</v>
      </c>
      <c r="B257" s="92" t="s">
        <v>404</v>
      </c>
      <c r="C257" s="93" t="s">
        <v>405</v>
      </c>
      <c r="D257" s="93" t="s">
        <v>406</v>
      </c>
      <c r="E257" s="127">
        <v>4.0</v>
      </c>
      <c r="F257" s="187">
        <v>5.0</v>
      </c>
      <c r="G257" s="187"/>
      <c r="H257" s="161">
        <f t="shared" si="7"/>
        <v>2250</v>
      </c>
      <c r="I257" s="197">
        <v>2250.0</v>
      </c>
      <c r="J257" s="126" t="str">
        <f t="shared" si="4"/>
        <v>4 Patient Portal Logins, 5 BBB 5-star Reviews</v>
      </c>
      <c r="K257" s="193"/>
      <c r="L257" s="78"/>
      <c r="M257" s="14"/>
    </row>
    <row r="258" hidden="1">
      <c r="A258" s="6" t="s">
        <v>204</v>
      </c>
      <c r="B258" s="92" t="s">
        <v>407</v>
      </c>
      <c r="C258" s="93" t="s">
        <v>408</v>
      </c>
      <c r="D258" s="93" t="s">
        <v>409</v>
      </c>
      <c r="E258" s="127">
        <v>5.0</v>
      </c>
      <c r="F258" s="187">
        <v>0.0</v>
      </c>
      <c r="G258" s="187"/>
      <c r="H258" s="161">
        <f t="shared" si="7"/>
        <v>1250</v>
      </c>
      <c r="I258" s="197">
        <v>2950.0</v>
      </c>
      <c r="J258" s="126" t="str">
        <f t="shared" si="4"/>
        <v>5 Patient Portal Logins, 0 BBB 5-star Reviews</v>
      </c>
      <c r="K258" s="203">
        <v>1700.0</v>
      </c>
      <c r="L258" s="34">
        <v>34.0</v>
      </c>
      <c r="M258" s="14"/>
    </row>
    <row r="259" hidden="1">
      <c r="A259" s="6" t="s">
        <v>204</v>
      </c>
      <c r="B259" s="92" t="s">
        <v>410</v>
      </c>
      <c r="C259" s="93" t="s">
        <v>411</v>
      </c>
      <c r="D259" s="93" t="s">
        <v>412</v>
      </c>
      <c r="E259" s="127">
        <v>16.0</v>
      </c>
      <c r="F259" s="187">
        <v>0.0</v>
      </c>
      <c r="G259" s="187"/>
      <c r="H259" s="161">
        <f t="shared" si="7"/>
        <v>4000</v>
      </c>
      <c r="I259" s="197">
        <v>4000.0</v>
      </c>
      <c r="J259" s="126" t="str">
        <f t="shared" si="4"/>
        <v>16 Patient Portal Logins, 0 BBB 5-star Reviews</v>
      </c>
      <c r="K259" s="165"/>
      <c r="L259" s="78"/>
      <c r="M259" s="14"/>
    </row>
    <row r="260" hidden="1">
      <c r="A260" s="6" t="s">
        <v>204</v>
      </c>
      <c r="B260" s="92" t="s">
        <v>413</v>
      </c>
      <c r="C260" s="93" t="s">
        <v>414</v>
      </c>
      <c r="D260" s="93" t="s">
        <v>415</v>
      </c>
      <c r="E260" s="127">
        <v>11.0</v>
      </c>
      <c r="F260" s="187">
        <v>19.0</v>
      </c>
      <c r="G260" s="187"/>
      <c r="H260" s="161">
        <f t="shared" si="7"/>
        <v>7500</v>
      </c>
      <c r="I260" s="197">
        <v>9450.0</v>
      </c>
      <c r="J260" s="126" t="str">
        <f t="shared" si="4"/>
        <v>11 Patient Portal Logins, 19 BBB 5-star Reviews</v>
      </c>
      <c r="K260" s="203">
        <v>1950.0</v>
      </c>
      <c r="L260" s="34">
        <v>39.0</v>
      </c>
      <c r="M260" s="14"/>
    </row>
    <row r="261" hidden="1">
      <c r="A261" s="6" t="s">
        <v>204</v>
      </c>
      <c r="B261" s="92" t="s">
        <v>416</v>
      </c>
      <c r="C261" s="93" t="s">
        <v>417</v>
      </c>
      <c r="D261" s="93" t="s">
        <v>418</v>
      </c>
      <c r="E261" s="127">
        <v>0.0</v>
      </c>
      <c r="F261" s="187">
        <v>0.0</v>
      </c>
      <c r="G261" s="187"/>
      <c r="H261" s="161">
        <f t="shared" si="7"/>
        <v>0</v>
      </c>
      <c r="I261" s="197">
        <v>0.0</v>
      </c>
      <c r="J261" s="126" t="str">
        <f t="shared" si="4"/>
        <v>0 Patient Portal Logins, 0 BBB 5-star Reviews</v>
      </c>
      <c r="K261" s="193"/>
      <c r="L261" s="78"/>
      <c r="M261" s="14"/>
    </row>
    <row r="262" hidden="1">
      <c r="A262" s="6" t="s">
        <v>204</v>
      </c>
      <c r="B262" s="92" t="s">
        <v>422</v>
      </c>
      <c r="C262" s="93" t="s">
        <v>423</v>
      </c>
      <c r="D262" s="93" t="s">
        <v>424</v>
      </c>
      <c r="E262" s="127">
        <v>4.0</v>
      </c>
      <c r="F262" s="187">
        <v>7.0</v>
      </c>
      <c r="G262" s="187"/>
      <c r="H262" s="161">
        <f t="shared" si="7"/>
        <v>2750</v>
      </c>
      <c r="I262" s="197">
        <v>6425.0</v>
      </c>
      <c r="J262" s="126" t="str">
        <f t="shared" si="4"/>
        <v>4 Patient Portal Logins, 7 BBB 5-star Reviews</v>
      </c>
      <c r="K262" s="204">
        <v>3675.0</v>
      </c>
      <c r="L262" s="205">
        <v>49.0</v>
      </c>
      <c r="M262" s="14"/>
    </row>
    <row r="263" hidden="1">
      <c r="A263" s="6" t="s">
        <v>204</v>
      </c>
      <c r="B263" s="92" t="s">
        <v>425</v>
      </c>
      <c r="C263" s="93" t="s">
        <v>426</v>
      </c>
      <c r="D263" s="93" t="s">
        <v>427</v>
      </c>
      <c r="E263" s="127">
        <v>20.0</v>
      </c>
      <c r="F263" s="187">
        <v>10.0</v>
      </c>
      <c r="G263" s="187"/>
      <c r="H263" s="161">
        <f t="shared" si="7"/>
        <v>7500</v>
      </c>
      <c r="I263" s="197">
        <v>7500.0</v>
      </c>
      <c r="J263" s="126" t="str">
        <f t="shared" si="4"/>
        <v>20 Patient Portal Logins, 10 BBB 5-star Reviews</v>
      </c>
      <c r="K263" s="193"/>
      <c r="L263" s="78"/>
      <c r="M263" s="14"/>
    </row>
    <row r="264" hidden="1">
      <c r="A264" s="6" t="s">
        <v>204</v>
      </c>
      <c r="B264" s="92" t="s">
        <v>428</v>
      </c>
      <c r="C264" s="93" t="s">
        <v>429</v>
      </c>
      <c r="D264" s="93" t="s">
        <v>430</v>
      </c>
      <c r="E264" s="184">
        <v>45.0</v>
      </c>
      <c r="F264" s="187">
        <v>21.0</v>
      </c>
      <c r="G264" s="187"/>
      <c r="H264" s="161">
        <f t="shared" si="7"/>
        <v>16500</v>
      </c>
      <c r="I264" s="197">
        <v>16500.0</v>
      </c>
      <c r="J264" s="126" t="str">
        <f t="shared" si="4"/>
        <v>45 Patient Portal Logins, 21 BBB 5-star Reviews</v>
      </c>
      <c r="K264" s="193"/>
      <c r="L264" s="78"/>
      <c r="M264" s="14"/>
    </row>
    <row r="265" hidden="1">
      <c r="A265" s="6" t="s">
        <v>204</v>
      </c>
      <c r="B265" s="92" t="s">
        <v>431</v>
      </c>
      <c r="C265" s="93" t="s">
        <v>432</v>
      </c>
      <c r="D265" s="93" t="s">
        <v>433</v>
      </c>
      <c r="E265" s="127">
        <v>2.0</v>
      </c>
      <c r="F265" s="187">
        <v>6.0</v>
      </c>
      <c r="G265" s="187"/>
      <c r="H265" s="161">
        <f t="shared" si="7"/>
        <v>2000</v>
      </c>
      <c r="I265" s="197">
        <v>3950.0</v>
      </c>
      <c r="J265" s="126" t="str">
        <f t="shared" si="4"/>
        <v>2 Patient Portal Logins, 6 BBB 5-star Reviews</v>
      </c>
      <c r="K265" s="203">
        <v>1950.0</v>
      </c>
      <c r="L265" s="34">
        <v>39.0</v>
      </c>
      <c r="M265" s="14"/>
    </row>
    <row r="266" hidden="1">
      <c r="A266" s="6" t="s">
        <v>204</v>
      </c>
      <c r="B266" s="92" t="s">
        <v>437</v>
      </c>
      <c r="C266" s="93" t="s">
        <v>438</v>
      </c>
      <c r="D266" s="93" t="s">
        <v>439</v>
      </c>
      <c r="E266" s="127">
        <v>0.0</v>
      </c>
      <c r="F266" s="187">
        <v>0.0</v>
      </c>
      <c r="G266" s="187"/>
      <c r="H266" s="161">
        <f t="shared" si="7"/>
        <v>0</v>
      </c>
      <c r="I266" s="197">
        <v>0.0</v>
      </c>
      <c r="J266" s="126" t="str">
        <f t="shared" si="4"/>
        <v>0 Patient Portal Logins, 0 BBB 5-star Reviews</v>
      </c>
      <c r="K266" s="193"/>
      <c r="L266" s="78"/>
      <c r="M266" s="14"/>
    </row>
    <row r="267" hidden="1">
      <c r="A267" s="6" t="s">
        <v>204</v>
      </c>
      <c r="B267" s="94" t="s">
        <v>458</v>
      </c>
      <c r="C267" s="94" t="s">
        <v>459</v>
      </c>
      <c r="D267" s="94" t="s">
        <v>460</v>
      </c>
      <c r="E267" s="127">
        <v>22.0</v>
      </c>
      <c r="F267" s="187">
        <v>9.0</v>
      </c>
      <c r="G267" s="187"/>
      <c r="H267" s="161">
        <f t="shared" si="7"/>
        <v>7750</v>
      </c>
      <c r="I267" s="197">
        <v>7750.0</v>
      </c>
      <c r="J267" s="126" t="str">
        <f t="shared" si="4"/>
        <v>22 Patient Portal Logins, 9 BBB 5-star Reviews</v>
      </c>
      <c r="K267" s="193"/>
      <c r="L267" s="78"/>
      <c r="M267" s="14"/>
    </row>
    <row r="268" hidden="1">
      <c r="A268" s="6" t="s">
        <v>204</v>
      </c>
      <c r="B268" s="95" t="s">
        <v>446</v>
      </c>
      <c r="C268" s="94" t="s">
        <v>447</v>
      </c>
      <c r="D268" s="94" t="s">
        <v>448</v>
      </c>
      <c r="E268" s="127">
        <v>13.0</v>
      </c>
      <c r="F268" s="187">
        <v>1.0</v>
      </c>
      <c r="G268" s="187"/>
      <c r="H268" s="161">
        <f t="shared" si="7"/>
        <v>3500</v>
      </c>
      <c r="I268" s="197">
        <v>5450.0</v>
      </c>
      <c r="J268" s="126" t="str">
        <f t="shared" si="4"/>
        <v>13 Patient Portal Logins, 1 BBB 5-star Reviews</v>
      </c>
      <c r="K268" s="203">
        <v>1950.0</v>
      </c>
      <c r="L268" s="34">
        <v>39.0</v>
      </c>
      <c r="M268" s="14"/>
    </row>
    <row r="269" hidden="1">
      <c r="A269" s="6" t="s">
        <v>204</v>
      </c>
      <c r="B269" s="95" t="s">
        <v>449</v>
      </c>
      <c r="C269" s="94" t="s">
        <v>450</v>
      </c>
      <c r="D269" s="94" t="s">
        <v>451</v>
      </c>
      <c r="E269" s="127">
        <v>8.0</v>
      </c>
      <c r="F269" s="187">
        <v>1.0</v>
      </c>
      <c r="G269" s="187"/>
      <c r="H269" s="161">
        <f t="shared" si="7"/>
        <v>2250</v>
      </c>
      <c r="I269" s="197">
        <v>5475.0</v>
      </c>
      <c r="J269" s="126" t="str">
        <f t="shared" si="4"/>
        <v>8 Patient Portal Logins, 1 BBB 5-star Reviews</v>
      </c>
      <c r="K269" s="203">
        <v>3225.0</v>
      </c>
      <c r="L269" s="34">
        <v>43.0</v>
      </c>
      <c r="M269" s="14"/>
    </row>
    <row r="270" hidden="1">
      <c r="A270" s="6" t="s">
        <v>204</v>
      </c>
      <c r="B270" s="94" t="s">
        <v>452</v>
      </c>
      <c r="C270" s="94" t="s">
        <v>453</v>
      </c>
      <c r="D270" s="94" t="s">
        <v>454</v>
      </c>
      <c r="E270" s="127">
        <v>19.0</v>
      </c>
      <c r="F270" s="187">
        <v>11.0</v>
      </c>
      <c r="G270" s="187"/>
      <c r="H270" s="161">
        <f t="shared" si="7"/>
        <v>7500</v>
      </c>
      <c r="I270" s="197">
        <v>7500.0</v>
      </c>
      <c r="J270" s="126" t="str">
        <f t="shared" si="4"/>
        <v>19 Patient Portal Logins, 11 BBB 5-star Reviews</v>
      </c>
      <c r="K270" s="165"/>
      <c r="L270" s="78"/>
      <c r="M270" s="14"/>
    </row>
    <row r="271" hidden="1">
      <c r="A271" s="6" t="s">
        <v>204</v>
      </c>
      <c r="B271" s="94" t="s">
        <v>455</v>
      </c>
      <c r="C271" s="94" t="s">
        <v>456</v>
      </c>
      <c r="D271" s="94" t="s">
        <v>457</v>
      </c>
      <c r="E271" s="127">
        <v>4.0</v>
      </c>
      <c r="F271" s="187">
        <v>1.0</v>
      </c>
      <c r="G271" s="187"/>
      <c r="H271" s="161">
        <f t="shared" si="7"/>
        <v>1250</v>
      </c>
      <c r="I271" s="197">
        <v>1250.0</v>
      </c>
      <c r="J271" s="126" t="str">
        <f t="shared" si="4"/>
        <v>4 Patient Portal Logins, 1 BBB 5-star Reviews</v>
      </c>
      <c r="K271" s="165"/>
      <c r="L271" s="78"/>
      <c r="M271" s="14"/>
    </row>
    <row r="272" hidden="1">
      <c r="A272" s="6" t="s">
        <v>205</v>
      </c>
      <c r="B272" s="92" t="s">
        <v>540</v>
      </c>
      <c r="C272" s="93" t="s">
        <v>541</v>
      </c>
      <c r="D272" s="93" t="s">
        <v>542</v>
      </c>
      <c r="E272" s="127">
        <v>0.0</v>
      </c>
      <c r="F272" s="187">
        <v>0.0</v>
      </c>
      <c r="G272" s="187"/>
      <c r="H272" s="161">
        <f t="shared" si="7"/>
        <v>0</v>
      </c>
      <c r="I272" s="182">
        <v>1900.0</v>
      </c>
      <c r="J272" s="126" t="str">
        <f t="shared" si="4"/>
        <v>0 Patient Portal Logins, 0 BBB 5-star Reviews</v>
      </c>
      <c r="K272" s="198">
        <v>1900.0</v>
      </c>
      <c r="L272" s="34" t="s">
        <v>546</v>
      </c>
      <c r="M272" s="14"/>
    </row>
    <row r="273" hidden="1">
      <c r="A273" s="6" t="s">
        <v>205</v>
      </c>
      <c r="B273" s="92" t="s">
        <v>532</v>
      </c>
      <c r="C273" s="93" t="s">
        <v>533</v>
      </c>
      <c r="D273" s="93" t="s">
        <v>534</v>
      </c>
      <c r="E273" s="127">
        <v>0.0</v>
      </c>
      <c r="F273" s="188">
        <v>0.0</v>
      </c>
      <c r="G273" s="188"/>
      <c r="H273" s="161">
        <f t="shared" si="7"/>
        <v>0</v>
      </c>
      <c r="I273" s="182">
        <v>0.0</v>
      </c>
      <c r="J273" s="126" t="str">
        <f t="shared" si="4"/>
        <v>0 Patient Portal Logins, 0 BBB 5-star Reviews</v>
      </c>
      <c r="K273" s="14"/>
      <c r="L273" s="14"/>
      <c r="M273" s="14"/>
    </row>
    <row r="274" hidden="1">
      <c r="A274" s="6" t="s">
        <v>205</v>
      </c>
      <c r="B274" s="92" t="s">
        <v>529</v>
      </c>
      <c r="C274" s="93" t="s">
        <v>530</v>
      </c>
      <c r="D274" s="93" t="s">
        <v>531</v>
      </c>
      <c r="E274" s="127">
        <v>5.0</v>
      </c>
      <c r="F274" s="188">
        <v>0.0</v>
      </c>
      <c r="G274" s="188"/>
      <c r="H274" s="161">
        <f t="shared" si="7"/>
        <v>1250</v>
      </c>
      <c r="I274" s="182">
        <v>1250.0</v>
      </c>
      <c r="J274" s="126" t="str">
        <f t="shared" si="4"/>
        <v>5 Patient Portal Logins, 0 BBB 5-star Reviews</v>
      </c>
      <c r="K274" s="14"/>
      <c r="L274" s="14"/>
      <c r="M274" s="14"/>
    </row>
    <row r="275" hidden="1">
      <c r="A275" s="6" t="s">
        <v>205</v>
      </c>
      <c r="B275" s="92" t="s">
        <v>443</v>
      </c>
      <c r="C275" s="93" t="s">
        <v>444</v>
      </c>
      <c r="D275" s="93" t="s">
        <v>445</v>
      </c>
      <c r="E275" s="127">
        <v>6.0</v>
      </c>
      <c r="F275" s="188">
        <v>0.0</v>
      </c>
      <c r="G275" s="188"/>
      <c r="H275" s="161">
        <f t="shared" si="7"/>
        <v>1500</v>
      </c>
      <c r="I275" s="182">
        <v>1500.0</v>
      </c>
      <c r="J275" s="126" t="str">
        <f t="shared" si="4"/>
        <v>6 Patient Portal Logins, 0 BBB 5-star Reviews</v>
      </c>
      <c r="K275" s="14"/>
      <c r="L275" s="14"/>
      <c r="M275" s="14"/>
    </row>
    <row r="276" hidden="1">
      <c r="A276" s="6" t="s">
        <v>205</v>
      </c>
      <c r="B276" s="92" t="s">
        <v>543</v>
      </c>
      <c r="C276" s="93" t="s">
        <v>544</v>
      </c>
      <c r="D276" s="93" t="s">
        <v>545</v>
      </c>
      <c r="E276" s="127">
        <v>5.0</v>
      </c>
      <c r="F276" s="188">
        <v>0.0</v>
      </c>
      <c r="G276" s="188"/>
      <c r="H276" s="161">
        <f t="shared" si="7"/>
        <v>1250</v>
      </c>
      <c r="I276" s="182">
        <v>1250.0</v>
      </c>
      <c r="J276" s="126" t="str">
        <f t="shared" si="4"/>
        <v>5 Patient Portal Logins, 0 BBB 5-star Reviews</v>
      </c>
      <c r="K276" s="14"/>
      <c r="L276" s="14"/>
      <c r="M276" s="14"/>
    </row>
    <row r="277" hidden="1">
      <c r="A277" s="6" t="s">
        <v>205</v>
      </c>
      <c r="B277" s="92" t="s">
        <v>398</v>
      </c>
      <c r="C277" s="93" t="s">
        <v>399</v>
      </c>
      <c r="D277" s="93" t="s">
        <v>400</v>
      </c>
      <c r="E277" s="127">
        <v>1.0</v>
      </c>
      <c r="F277" s="187">
        <v>0.0</v>
      </c>
      <c r="G277" s="187"/>
      <c r="H277" s="161">
        <f t="shared" si="7"/>
        <v>250</v>
      </c>
      <c r="I277" s="182">
        <v>5450.0</v>
      </c>
      <c r="J277" s="126" t="str">
        <f t="shared" si="4"/>
        <v>1 Patient Portal Logins, 0 BBB 5-star Reviews</v>
      </c>
      <c r="K277" s="203">
        <v>5200.0</v>
      </c>
      <c r="L277" s="34" t="s">
        <v>547</v>
      </c>
      <c r="M277" s="14"/>
    </row>
    <row r="278" hidden="1">
      <c r="A278" s="6" t="s">
        <v>205</v>
      </c>
      <c r="B278" s="92" t="s">
        <v>404</v>
      </c>
      <c r="C278" s="93" t="s">
        <v>405</v>
      </c>
      <c r="D278" s="93" t="s">
        <v>406</v>
      </c>
      <c r="E278" s="127">
        <v>7.0</v>
      </c>
      <c r="F278" s="187">
        <v>3.0</v>
      </c>
      <c r="G278" s="187"/>
      <c r="H278" s="161">
        <f t="shared" si="7"/>
        <v>2500</v>
      </c>
      <c r="I278" s="182">
        <v>2500.0</v>
      </c>
      <c r="J278" s="126" t="str">
        <f t="shared" si="4"/>
        <v>7 Patient Portal Logins, 3 BBB 5-star Reviews</v>
      </c>
      <c r="K278" s="14"/>
      <c r="L278" s="14"/>
      <c r="M278" s="14"/>
    </row>
    <row r="279" hidden="1">
      <c r="A279" s="6" t="s">
        <v>205</v>
      </c>
      <c r="B279" s="92" t="s">
        <v>407</v>
      </c>
      <c r="C279" s="93" t="s">
        <v>408</v>
      </c>
      <c r="D279" s="93" t="s">
        <v>409</v>
      </c>
      <c r="E279" s="127">
        <v>6.0</v>
      </c>
      <c r="F279" s="187">
        <v>0.0</v>
      </c>
      <c r="G279" s="187"/>
      <c r="H279" s="161">
        <f t="shared" si="7"/>
        <v>1500</v>
      </c>
      <c r="I279" s="182">
        <v>7500.0</v>
      </c>
      <c r="J279" s="126" t="str">
        <f t="shared" si="4"/>
        <v>6 Patient Portal Logins, 0 BBB 5-star Reviews</v>
      </c>
      <c r="K279" s="203">
        <v>6000.0</v>
      </c>
      <c r="L279" s="34" t="s">
        <v>548</v>
      </c>
      <c r="M279" s="14"/>
    </row>
    <row r="280" hidden="1">
      <c r="A280" s="6" t="s">
        <v>205</v>
      </c>
      <c r="B280" s="92" t="s">
        <v>410</v>
      </c>
      <c r="C280" s="93" t="s">
        <v>411</v>
      </c>
      <c r="D280" s="93" t="s">
        <v>412</v>
      </c>
      <c r="E280" s="127">
        <v>10.0</v>
      </c>
      <c r="F280" s="188">
        <v>0.0</v>
      </c>
      <c r="G280" s="188"/>
      <c r="H280" s="161">
        <f t="shared" si="7"/>
        <v>2500</v>
      </c>
      <c r="I280" s="182">
        <v>5725.0</v>
      </c>
      <c r="J280" s="126" t="str">
        <f t="shared" si="4"/>
        <v>10 Patient Portal Logins, 0 BBB 5-star Reviews</v>
      </c>
      <c r="K280" s="203">
        <v>3225.0</v>
      </c>
      <c r="L280" s="34" t="s">
        <v>549</v>
      </c>
      <c r="M280" s="14"/>
    </row>
    <row r="281" hidden="1">
      <c r="A281" s="6" t="s">
        <v>205</v>
      </c>
      <c r="B281" s="92" t="s">
        <v>413</v>
      </c>
      <c r="C281" s="93" t="s">
        <v>414</v>
      </c>
      <c r="D281" s="93" t="s">
        <v>415</v>
      </c>
      <c r="E281" s="127">
        <v>31.0</v>
      </c>
      <c r="F281" s="187">
        <v>12.0</v>
      </c>
      <c r="G281" s="187"/>
      <c r="H281" s="161">
        <f t="shared" si="7"/>
        <v>10750</v>
      </c>
      <c r="I281" s="182">
        <v>14275.0</v>
      </c>
      <c r="J281" s="126" t="str">
        <f t="shared" si="4"/>
        <v>31 Patient Portal Logins, 12 BBB 5-star Reviews</v>
      </c>
      <c r="K281" s="203">
        <v>3525.0</v>
      </c>
      <c r="L281" s="34" t="s">
        <v>550</v>
      </c>
      <c r="M281" s="14"/>
    </row>
    <row r="282" hidden="1">
      <c r="A282" s="6" t="s">
        <v>205</v>
      </c>
      <c r="B282" s="92" t="s">
        <v>416</v>
      </c>
      <c r="C282" s="93" t="s">
        <v>417</v>
      </c>
      <c r="D282" s="93" t="s">
        <v>418</v>
      </c>
      <c r="E282" s="127">
        <v>0.0</v>
      </c>
      <c r="F282" s="188">
        <v>0.0</v>
      </c>
      <c r="G282" s="188"/>
      <c r="H282" s="161">
        <f t="shared" si="7"/>
        <v>0</v>
      </c>
      <c r="I282" s="182">
        <v>0.0</v>
      </c>
      <c r="J282" s="126" t="str">
        <f t="shared" si="4"/>
        <v>0 Patient Portal Logins, 0 BBB 5-star Reviews</v>
      </c>
      <c r="K282" s="14"/>
      <c r="L282" s="14"/>
      <c r="M282" s="14"/>
    </row>
    <row r="283" hidden="1">
      <c r="A283" s="6" t="s">
        <v>205</v>
      </c>
      <c r="B283" s="92" t="s">
        <v>422</v>
      </c>
      <c r="C283" s="93" t="s">
        <v>423</v>
      </c>
      <c r="D283" s="93" t="s">
        <v>424</v>
      </c>
      <c r="E283" s="127">
        <v>15.0</v>
      </c>
      <c r="F283" s="187">
        <v>12.0</v>
      </c>
      <c r="G283" s="187"/>
      <c r="H283" s="161">
        <f t="shared" si="7"/>
        <v>6750</v>
      </c>
      <c r="I283" s="182">
        <v>10350.0</v>
      </c>
      <c r="J283" s="126" t="str">
        <f t="shared" si="4"/>
        <v>15 Patient Portal Logins, 12 BBB 5-star Reviews</v>
      </c>
      <c r="K283" s="204">
        <v>3600.0</v>
      </c>
      <c r="L283" s="205" t="s">
        <v>551</v>
      </c>
      <c r="M283" s="14"/>
    </row>
    <row r="284" hidden="1">
      <c r="A284" s="6" t="s">
        <v>205</v>
      </c>
      <c r="B284" s="92" t="s">
        <v>425</v>
      </c>
      <c r="C284" s="93" t="s">
        <v>426</v>
      </c>
      <c r="D284" s="93" t="s">
        <v>427</v>
      </c>
      <c r="E284" s="127">
        <v>22.0</v>
      </c>
      <c r="F284" s="187">
        <v>10.0</v>
      </c>
      <c r="G284" s="187"/>
      <c r="H284" s="161">
        <f t="shared" si="7"/>
        <v>8000</v>
      </c>
      <c r="I284" s="182">
        <v>8000.0</v>
      </c>
      <c r="J284" s="126" t="str">
        <f t="shared" si="4"/>
        <v>22 Patient Portal Logins, 10 BBB 5-star Reviews</v>
      </c>
      <c r="K284" s="14"/>
      <c r="L284" s="34"/>
      <c r="M284" s="14"/>
    </row>
    <row r="285" hidden="1">
      <c r="A285" s="6" t="s">
        <v>205</v>
      </c>
      <c r="B285" s="92" t="s">
        <v>428</v>
      </c>
      <c r="C285" s="93" t="s">
        <v>429</v>
      </c>
      <c r="D285" s="93" t="s">
        <v>430</v>
      </c>
      <c r="E285" s="127">
        <v>44.0</v>
      </c>
      <c r="F285" s="187">
        <v>12.0</v>
      </c>
      <c r="G285" s="187"/>
      <c r="H285" s="161">
        <f t="shared" si="7"/>
        <v>14000</v>
      </c>
      <c r="I285" s="182">
        <v>14000.0</v>
      </c>
      <c r="J285" s="126" t="str">
        <f t="shared" si="4"/>
        <v>44 Patient Portal Logins, 12 BBB 5-star Reviews</v>
      </c>
      <c r="K285" s="14"/>
      <c r="L285" s="14"/>
      <c r="M285" s="14"/>
    </row>
    <row r="286" hidden="1">
      <c r="A286" s="6" t="s">
        <v>205</v>
      </c>
      <c r="B286" s="92" t="s">
        <v>431</v>
      </c>
      <c r="C286" s="93" t="s">
        <v>432</v>
      </c>
      <c r="D286" s="93" t="s">
        <v>433</v>
      </c>
      <c r="E286" s="127">
        <v>25.0</v>
      </c>
      <c r="F286" s="187">
        <v>12.0</v>
      </c>
      <c r="G286" s="187"/>
      <c r="H286" s="161">
        <f t="shared" si="7"/>
        <v>9250</v>
      </c>
      <c r="I286" s="182">
        <v>9250.0</v>
      </c>
      <c r="J286" s="126" t="str">
        <f t="shared" si="4"/>
        <v>25 Patient Portal Logins, 12 BBB 5-star Reviews</v>
      </c>
      <c r="K286" s="203">
        <v>3300.0</v>
      </c>
      <c r="L286" s="34" t="s">
        <v>552</v>
      </c>
      <c r="M286" s="14"/>
    </row>
    <row r="287" hidden="1">
      <c r="A287" s="6" t="s">
        <v>205</v>
      </c>
      <c r="B287" s="92" t="s">
        <v>437</v>
      </c>
      <c r="C287" s="93" t="s">
        <v>438</v>
      </c>
      <c r="D287" s="93" t="s">
        <v>439</v>
      </c>
      <c r="E287" s="127">
        <v>0.0</v>
      </c>
      <c r="F287" s="188">
        <v>0.0</v>
      </c>
      <c r="G287" s="188"/>
      <c r="H287" s="161">
        <f t="shared" si="7"/>
        <v>0</v>
      </c>
      <c r="I287" s="182">
        <v>0.0</v>
      </c>
      <c r="J287" s="126" t="str">
        <f t="shared" si="4"/>
        <v>0 Patient Portal Logins, 0 BBB 5-star Reviews</v>
      </c>
      <c r="K287" s="14"/>
      <c r="L287" s="14"/>
      <c r="M287" s="14"/>
    </row>
    <row r="288" hidden="1">
      <c r="A288" s="6" t="s">
        <v>205</v>
      </c>
      <c r="B288" s="94" t="s">
        <v>458</v>
      </c>
      <c r="C288" s="94" t="s">
        <v>459</v>
      </c>
      <c r="D288" s="94" t="s">
        <v>460</v>
      </c>
      <c r="E288" s="127">
        <v>22.0</v>
      </c>
      <c r="F288" s="187">
        <v>10.0</v>
      </c>
      <c r="G288" s="187"/>
      <c r="H288" s="161">
        <f t="shared" si="7"/>
        <v>8000</v>
      </c>
      <c r="I288" s="182">
        <v>8000.0</v>
      </c>
      <c r="J288" s="126" t="str">
        <f t="shared" si="4"/>
        <v>22 Patient Portal Logins, 10 BBB 5-star Reviews</v>
      </c>
      <c r="K288" s="14"/>
      <c r="L288" s="14"/>
      <c r="M288" s="14"/>
    </row>
    <row r="289" hidden="1">
      <c r="A289" s="6" t="s">
        <v>205</v>
      </c>
      <c r="B289" s="95" t="s">
        <v>446</v>
      </c>
      <c r="C289" s="94" t="s">
        <v>447</v>
      </c>
      <c r="D289" s="94" t="s">
        <v>448</v>
      </c>
      <c r="E289" s="127">
        <v>23.0</v>
      </c>
      <c r="F289" s="187">
        <v>2.0</v>
      </c>
      <c r="G289" s="187"/>
      <c r="H289" s="161">
        <f t="shared" si="7"/>
        <v>6250</v>
      </c>
      <c r="I289" s="182">
        <v>9700.0</v>
      </c>
      <c r="J289" s="126" t="str">
        <f t="shared" si="4"/>
        <v>23 Patient Portal Logins, 2 BBB 5-star Reviews</v>
      </c>
      <c r="K289" s="203">
        <v>3450.0</v>
      </c>
      <c r="L289" s="34" t="s">
        <v>553</v>
      </c>
      <c r="M289" s="14"/>
    </row>
    <row r="290" hidden="1">
      <c r="A290" s="6" t="s">
        <v>205</v>
      </c>
      <c r="B290" s="95" t="s">
        <v>449</v>
      </c>
      <c r="C290" s="94" t="s">
        <v>450</v>
      </c>
      <c r="D290" s="94" t="s">
        <v>451</v>
      </c>
      <c r="E290" s="127">
        <v>17.0</v>
      </c>
      <c r="F290" s="187">
        <v>1.0</v>
      </c>
      <c r="G290" s="187"/>
      <c r="H290" s="161">
        <f t="shared" si="7"/>
        <v>4500</v>
      </c>
      <c r="I290" s="182">
        <v>6150.0</v>
      </c>
      <c r="J290" s="126" t="str">
        <f t="shared" si="4"/>
        <v>17 Patient Portal Logins, 1 BBB 5-star Reviews</v>
      </c>
      <c r="K290" s="198">
        <v>1650.0</v>
      </c>
      <c r="L290" s="34" t="s">
        <v>554</v>
      </c>
      <c r="M290" s="14"/>
    </row>
    <row r="291" hidden="1">
      <c r="A291" s="6" t="s">
        <v>205</v>
      </c>
      <c r="B291" s="94" t="s">
        <v>452</v>
      </c>
      <c r="C291" s="94" t="s">
        <v>453</v>
      </c>
      <c r="D291" s="94" t="s">
        <v>454</v>
      </c>
      <c r="E291" s="127">
        <v>13.0</v>
      </c>
      <c r="F291" s="187">
        <v>0.0</v>
      </c>
      <c r="G291" s="187"/>
      <c r="H291" s="161">
        <f t="shared" si="7"/>
        <v>3250</v>
      </c>
      <c r="I291" s="182">
        <v>8250.0</v>
      </c>
      <c r="J291" s="126" t="str">
        <f t="shared" si="4"/>
        <v>13 Patient Portal Logins, 0 BBB 5-star Reviews</v>
      </c>
      <c r="K291" s="203">
        <v>5000.0</v>
      </c>
      <c r="L291" s="34" t="s">
        <v>555</v>
      </c>
      <c r="M291" s="14"/>
    </row>
    <row r="292" hidden="1">
      <c r="A292" s="6" t="s">
        <v>205</v>
      </c>
      <c r="B292" s="94" t="s">
        <v>455</v>
      </c>
      <c r="C292" s="94" t="s">
        <v>456</v>
      </c>
      <c r="D292" s="94" t="s">
        <v>457</v>
      </c>
      <c r="E292" s="127">
        <v>3.0</v>
      </c>
      <c r="F292" s="188">
        <v>0.0</v>
      </c>
      <c r="G292" s="188"/>
      <c r="H292" s="161">
        <f t="shared" si="7"/>
        <v>750</v>
      </c>
      <c r="I292" s="182">
        <v>2300.0</v>
      </c>
      <c r="J292" s="126" t="str">
        <f t="shared" si="4"/>
        <v>3 Patient Portal Logins, 0 BBB 5-star Reviews</v>
      </c>
      <c r="K292" s="198">
        <v>1550.0</v>
      </c>
      <c r="L292" s="34" t="s">
        <v>556</v>
      </c>
      <c r="M292" s="14"/>
    </row>
    <row r="293" hidden="1">
      <c r="A293" s="6" t="s">
        <v>243</v>
      </c>
      <c r="B293" s="92" t="s">
        <v>540</v>
      </c>
      <c r="C293" s="93" t="s">
        <v>541</v>
      </c>
      <c r="D293" s="93" t="s">
        <v>542</v>
      </c>
      <c r="E293" s="127">
        <v>0.0</v>
      </c>
      <c r="F293" s="187">
        <v>0.0</v>
      </c>
      <c r="G293" s="187"/>
      <c r="H293" s="161">
        <f t="shared" si="7"/>
        <v>0</v>
      </c>
      <c r="I293" s="206">
        <f>F293*250+H293*250</f>
        <v>0</v>
      </c>
      <c r="J293" s="126" t="str">
        <f t="shared" si="4"/>
        <v>0 Patient Portal Logins, 0 BBB 5-star Reviews</v>
      </c>
      <c r="K293" s="14"/>
      <c r="L293" s="14"/>
      <c r="M293" s="14"/>
    </row>
    <row r="294" hidden="1">
      <c r="A294" s="6" t="s">
        <v>243</v>
      </c>
      <c r="B294" s="92" t="s">
        <v>532</v>
      </c>
      <c r="C294" s="93" t="s">
        <v>533</v>
      </c>
      <c r="D294" s="93" t="s">
        <v>534</v>
      </c>
      <c r="E294" s="127">
        <v>4.0</v>
      </c>
      <c r="F294" s="187">
        <v>0.0</v>
      </c>
      <c r="G294" s="187"/>
      <c r="H294" s="161">
        <f t="shared" si="7"/>
        <v>1000</v>
      </c>
      <c r="I294" s="207">
        <v>1000.0</v>
      </c>
      <c r="J294" s="126" t="str">
        <f t="shared" si="4"/>
        <v>4 Patient Portal Logins, 0 BBB 5-star Reviews</v>
      </c>
      <c r="K294" s="14"/>
      <c r="L294" s="14"/>
      <c r="M294" s="14"/>
    </row>
    <row r="295" hidden="1">
      <c r="A295" s="6" t="s">
        <v>243</v>
      </c>
      <c r="B295" s="92" t="s">
        <v>529</v>
      </c>
      <c r="C295" s="93" t="s">
        <v>530</v>
      </c>
      <c r="D295" s="93" t="s">
        <v>531</v>
      </c>
      <c r="E295" s="127">
        <v>6.0</v>
      </c>
      <c r="F295" s="187">
        <v>0.0</v>
      </c>
      <c r="G295" s="187"/>
      <c r="H295" s="161">
        <f t="shared" si="7"/>
        <v>1500</v>
      </c>
      <c r="I295" s="207">
        <v>1500.0</v>
      </c>
      <c r="J295" s="126" t="str">
        <f t="shared" si="4"/>
        <v>6 Patient Portal Logins, 0 BBB 5-star Reviews</v>
      </c>
      <c r="K295" s="14"/>
      <c r="L295" s="14"/>
      <c r="M295" s="14"/>
    </row>
    <row r="296" hidden="1">
      <c r="A296" s="6" t="s">
        <v>243</v>
      </c>
      <c r="B296" s="92" t="s">
        <v>443</v>
      </c>
      <c r="C296" s="93" t="s">
        <v>444</v>
      </c>
      <c r="D296" s="93" t="s">
        <v>445</v>
      </c>
      <c r="E296" s="127">
        <v>3.0</v>
      </c>
      <c r="F296" s="187">
        <v>0.0</v>
      </c>
      <c r="G296" s="187"/>
      <c r="H296" s="161">
        <f t="shared" si="7"/>
        <v>750</v>
      </c>
      <c r="I296" s="207">
        <v>750.0</v>
      </c>
      <c r="J296" s="126" t="str">
        <f t="shared" si="4"/>
        <v>3 Patient Portal Logins, 0 BBB 5-star Reviews</v>
      </c>
      <c r="K296" s="14"/>
      <c r="L296" s="14"/>
      <c r="M296" s="14"/>
    </row>
    <row r="297" hidden="1">
      <c r="A297" s="6" t="s">
        <v>243</v>
      </c>
      <c r="B297" s="92" t="s">
        <v>543</v>
      </c>
      <c r="C297" s="93" t="s">
        <v>544</v>
      </c>
      <c r="D297" s="93" t="s">
        <v>545</v>
      </c>
      <c r="E297" s="127">
        <v>10.0</v>
      </c>
      <c r="F297" s="187">
        <v>0.0</v>
      </c>
      <c r="G297" s="187"/>
      <c r="H297" s="161">
        <f t="shared" si="7"/>
        <v>2500</v>
      </c>
      <c r="I297" s="207">
        <v>2500.0</v>
      </c>
      <c r="J297" s="126" t="str">
        <f t="shared" si="4"/>
        <v>10 Patient Portal Logins, 0 BBB 5-star Reviews</v>
      </c>
      <c r="K297" s="14"/>
      <c r="L297" s="14"/>
      <c r="M297" s="14"/>
    </row>
    <row r="298" hidden="1">
      <c r="A298" s="6" t="s">
        <v>243</v>
      </c>
      <c r="B298" s="92" t="s">
        <v>398</v>
      </c>
      <c r="C298" s="93" t="s">
        <v>399</v>
      </c>
      <c r="D298" s="93" t="s">
        <v>400</v>
      </c>
      <c r="E298" s="127">
        <v>3.0</v>
      </c>
      <c r="F298" s="187">
        <v>0.0</v>
      </c>
      <c r="G298" s="187"/>
      <c r="H298" s="161">
        <f t="shared" si="7"/>
        <v>750</v>
      </c>
      <c r="I298" s="207">
        <v>10950.0</v>
      </c>
      <c r="J298" s="126" t="str">
        <f t="shared" si="4"/>
        <v>3 Patient Portal Logins, 0 BBB 5-star Reviews</v>
      </c>
      <c r="K298" s="198">
        <v>5100.0</v>
      </c>
      <c r="L298" s="34" t="s">
        <v>557</v>
      </c>
      <c r="M298" s="14"/>
    </row>
    <row r="299" hidden="1">
      <c r="A299" s="6" t="s">
        <v>243</v>
      </c>
      <c r="B299" s="92" t="s">
        <v>404</v>
      </c>
      <c r="C299" s="93" t="s">
        <v>405</v>
      </c>
      <c r="D299" s="93" t="s">
        <v>406</v>
      </c>
      <c r="E299" s="127">
        <v>8.0</v>
      </c>
      <c r="F299" s="187">
        <v>7.0</v>
      </c>
      <c r="G299" s="187"/>
      <c r="H299" s="161">
        <f t="shared" si="7"/>
        <v>3750</v>
      </c>
      <c r="I299" s="207">
        <v>3750.0</v>
      </c>
      <c r="J299" s="126" t="str">
        <f t="shared" si="4"/>
        <v>8 Patient Portal Logins, 7 BBB 5-star Reviews</v>
      </c>
      <c r="K299" s="14"/>
      <c r="L299" s="14"/>
      <c r="M299" s="14"/>
    </row>
    <row r="300" hidden="1">
      <c r="A300" s="6" t="s">
        <v>243</v>
      </c>
      <c r="B300" s="92" t="s">
        <v>407</v>
      </c>
      <c r="C300" s="93" t="s">
        <v>408</v>
      </c>
      <c r="D300" s="93" t="s">
        <v>409</v>
      </c>
      <c r="E300" s="127">
        <v>3.0</v>
      </c>
      <c r="F300" s="187">
        <v>0.0</v>
      </c>
      <c r="G300" s="187"/>
      <c r="H300" s="161">
        <f t="shared" si="7"/>
        <v>750</v>
      </c>
      <c r="I300" s="207">
        <v>7050.0</v>
      </c>
      <c r="J300" s="126" t="str">
        <f t="shared" si="4"/>
        <v>3 Patient Portal Logins, 0 BBB 5-star Reviews</v>
      </c>
      <c r="K300" s="198">
        <v>3150.0</v>
      </c>
      <c r="L300" s="34" t="s">
        <v>558</v>
      </c>
      <c r="M300" s="14"/>
    </row>
    <row r="301" hidden="1">
      <c r="A301" s="6" t="s">
        <v>243</v>
      </c>
      <c r="B301" s="92" t="s">
        <v>410</v>
      </c>
      <c r="C301" s="93" t="s">
        <v>411</v>
      </c>
      <c r="D301" s="93" t="s">
        <v>412</v>
      </c>
      <c r="E301" s="127">
        <v>2.0</v>
      </c>
      <c r="F301" s="187">
        <v>0.0</v>
      </c>
      <c r="G301" s="187"/>
      <c r="H301" s="161">
        <f t="shared" si="7"/>
        <v>500</v>
      </c>
      <c r="I301" s="207">
        <v>4200.0</v>
      </c>
      <c r="J301" s="126" t="str">
        <f t="shared" si="4"/>
        <v>2 Patient Portal Logins, 0 BBB 5-star Reviews</v>
      </c>
      <c r="K301" s="198">
        <v>1850.0</v>
      </c>
      <c r="L301" s="34" t="s">
        <v>559</v>
      </c>
      <c r="M301" s="14"/>
    </row>
    <row r="302" hidden="1">
      <c r="A302" s="6" t="s">
        <v>243</v>
      </c>
      <c r="B302" s="92" t="s">
        <v>413</v>
      </c>
      <c r="C302" s="93" t="s">
        <v>414</v>
      </c>
      <c r="D302" s="93" t="s">
        <v>415</v>
      </c>
      <c r="E302" s="127">
        <v>34.0</v>
      </c>
      <c r="F302" s="187">
        <v>8.0</v>
      </c>
      <c r="G302" s="187"/>
      <c r="H302" s="161">
        <f t="shared" si="7"/>
        <v>10500</v>
      </c>
      <c r="I302" s="207">
        <v>17400.0</v>
      </c>
      <c r="J302" s="126" t="str">
        <f t="shared" si="4"/>
        <v>34 Patient Portal Logins, 8 BBB 5-star Reviews</v>
      </c>
      <c r="K302" s="198">
        <v>3450.0</v>
      </c>
      <c r="L302" s="34" t="s">
        <v>553</v>
      </c>
      <c r="M302" s="14"/>
    </row>
    <row r="303" hidden="1">
      <c r="A303" s="6" t="s">
        <v>243</v>
      </c>
      <c r="B303" s="92" t="s">
        <v>416</v>
      </c>
      <c r="C303" s="93" t="s">
        <v>417</v>
      </c>
      <c r="D303" s="93" t="s">
        <v>418</v>
      </c>
      <c r="E303" s="127">
        <v>0.0</v>
      </c>
      <c r="F303" s="187">
        <v>0.0</v>
      </c>
      <c r="G303" s="187"/>
      <c r="H303" s="161">
        <f t="shared" si="7"/>
        <v>0</v>
      </c>
      <c r="I303" s="206">
        <f>F303*250+H303*250</f>
        <v>0</v>
      </c>
      <c r="J303" s="126" t="str">
        <f t="shared" si="4"/>
        <v>0 Patient Portal Logins, 0 BBB 5-star Reviews</v>
      </c>
      <c r="K303" s="14"/>
      <c r="L303" s="14"/>
      <c r="M303" s="14"/>
    </row>
    <row r="304" hidden="1">
      <c r="A304" s="6" t="s">
        <v>243</v>
      </c>
      <c r="B304" s="92" t="s">
        <v>422</v>
      </c>
      <c r="C304" s="93" t="s">
        <v>423</v>
      </c>
      <c r="D304" s="93" t="s">
        <v>424</v>
      </c>
      <c r="E304" s="127">
        <v>17.0</v>
      </c>
      <c r="F304" s="187">
        <v>14.0</v>
      </c>
      <c r="G304" s="187"/>
      <c r="H304" s="161">
        <f t="shared" si="7"/>
        <v>7750</v>
      </c>
      <c r="I304" s="207">
        <v>11350.0</v>
      </c>
      <c r="J304" s="126" t="str">
        <f t="shared" si="4"/>
        <v>17 Patient Portal Logins, 14 BBB 5-star Reviews</v>
      </c>
      <c r="K304" s="204">
        <v>1800.0</v>
      </c>
      <c r="L304" s="205" t="s">
        <v>560</v>
      </c>
      <c r="M304" s="14"/>
    </row>
    <row r="305" hidden="1">
      <c r="A305" s="6" t="s">
        <v>243</v>
      </c>
      <c r="B305" s="92" t="s">
        <v>425</v>
      </c>
      <c r="C305" s="93" t="s">
        <v>426</v>
      </c>
      <c r="D305" s="93" t="s">
        <v>427</v>
      </c>
      <c r="E305" s="127">
        <v>11.0</v>
      </c>
      <c r="F305" s="187">
        <v>1.0</v>
      </c>
      <c r="G305" s="187"/>
      <c r="H305" s="161">
        <f t="shared" si="7"/>
        <v>3000</v>
      </c>
      <c r="I305" s="207">
        <v>3000.0</v>
      </c>
      <c r="J305" s="126" t="str">
        <f t="shared" si="4"/>
        <v>11 Patient Portal Logins, 1 BBB 5-star Reviews</v>
      </c>
      <c r="K305" s="14"/>
      <c r="L305" s="14"/>
      <c r="M305" s="14"/>
    </row>
    <row r="306" hidden="1">
      <c r="A306" s="6" t="s">
        <v>243</v>
      </c>
      <c r="B306" s="92" t="s">
        <v>428</v>
      </c>
      <c r="C306" s="93" t="s">
        <v>429</v>
      </c>
      <c r="D306" s="93" t="s">
        <v>430</v>
      </c>
      <c r="E306" s="127">
        <v>49.0</v>
      </c>
      <c r="F306" s="187">
        <v>16.0</v>
      </c>
      <c r="G306" s="187"/>
      <c r="H306" s="161">
        <f t="shared" si="7"/>
        <v>16250</v>
      </c>
      <c r="I306" s="207">
        <v>16250.0</v>
      </c>
      <c r="J306" s="126" t="str">
        <f t="shared" si="4"/>
        <v>49 Patient Portal Logins, 16 BBB 5-star Reviews</v>
      </c>
      <c r="K306" s="14"/>
      <c r="L306" s="14"/>
      <c r="M306" s="14"/>
    </row>
    <row r="307" hidden="1">
      <c r="A307" s="6" t="s">
        <v>243</v>
      </c>
      <c r="B307" s="92" t="s">
        <v>431</v>
      </c>
      <c r="C307" s="93" t="s">
        <v>432</v>
      </c>
      <c r="D307" s="93" t="s">
        <v>433</v>
      </c>
      <c r="E307" s="127">
        <v>18.0</v>
      </c>
      <c r="F307" s="187">
        <v>9.0</v>
      </c>
      <c r="G307" s="187"/>
      <c r="H307" s="161">
        <f t="shared" si="7"/>
        <v>6750</v>
      </c>
      <c r="I307" s="207">
        <v>10550.0</v>
      </c>
      <c r="J307" s="126" t="str">
        <f t="shared" si="4"/>
        <v>18 Patient Portal Logins, 9 BBB 5-star Reviews</v>
      </c>
      <c r="K307" s="198">
        <v>1900.0</v>
      </c>
      <c r="L307" s="34" t="s">
        <v>546</v>
      </c>
      <c r="M307" s="14"/>
    </row>
    <row r="308" hidden="1">
      <c r="A308" s="6" t="s">
        <v>243</v>
      </c>
      <c r="B308" s="92" t="s">
        <v>437</v>
      </c>
      <c r="C308" s="93" t="s">
        <v>438</v>
      </c>
      <c r="D308" s="93" t="s">
        <v>439</v>
      </c>
      <c r="E308" s="127">
        <v>0.0</v>
      </c>
      <c r="F308" s="187">
        <v>0.0</v>
      </c>
      <c r="G308" s="187"/>
      <c r="H308" s="161">
        <f t="shared" si="7"/>
        <v>0</v>
      </c>
      <c r="I308" s="206">
        <f>F308*250+H308*250</f>
        <v>0</v>
      </c>
      <c r="J308" s="126" t="str">
        <f t="shared" si="4"/>
        <v>0 Patient Portal Logins, 0 BBB 5-star Reviews</v>
      </c>
      <c r="K308" s="14"/>
      <c r="L308" s="14"/>
      <c r="M308" s="14"/>
    </row>
    <row r="309" hidden="1">
      <c r="A309" s="6" t="s">
        <v>243</v>
      </c>
      <c r="B309" s="94" t="s">
        <v>458</v>
      </c>
      <c r="C309" s="94" t="s">
        <v>459</v>
      </c>
      <c r="D309" s="94" t="s">
        <v>460</v>
      </c>
      <c r="E309" s="127">
        <v>17.0</v>
      </c>
      <c r="F309" s="187">
        <v>10.0</v>
      </c>
      <c r="G309" s="187"/>
      <c r="H309" s="161">
        <f t="shared" si="7"/>
        <v>6750</v>
      </c>
      <c r="I309" s="207">
        <v>6750.0</v>
      </c>
      <c r="J309" s="126" t="str">
        <f t="shared" si="4"/>
        <v>17 Patient Portal Logins, 10 BBB 5-star Reviews</v>
      </c>
      <c r="K309" s="14"/>
      <c r="L309" s="14"/>
      <c r="M309" s="14"/>
    </row>
    <row r="310" hidden="1">
      <c r="A310" s="6" t="s">
        <v>243</v>
      </c>
      <c r="B310" s="95" t="s">
        <v>446</v>
      </c>
      <c r="C310" s="94" t="s">
        <v>447</v>
      </c>
      <c r="D310" s="94" t="s">
        <v>448</v>
      </c>
      <c r="E310" s="127">
        <v>16.0</v>
      </c>
      <c r="F310" s="187">
        <v>3.0</v>
      </c>
      <c r="G310" s="187"/>
      <c r="H310" s="161">
        <f t="shared" si="7"/>
        <v>4750</v>
      </c>
      <c r="I310" s="207">
        <v>8150.0</v>
      </c>
      <c r="J310" s="126" t="str">
        <f t="shared" si="4"/>
        <v>16 Patient Portal Logins, 3 BBB 5-star Reviews</v>
      </c>
      <c r="K310" s="198">
        <v>1700.0</v>
      </c>
      <c r="L310" s="34" t="s">
        <v>561</v>
      </c>
      <c r="M310" s="14"/>
    </row>
    <row r="311" hidden="1">
      <c r="A311" s="6" t="s">
        <v>243</v>
      </c>
      <c r="B311" s="95" t="s">
        <v>449</v>
      </c>
      <c r="C311" s="94" t="s">
        <v>450</v>
      </c>
      <c r="D311" s="94" t="s">
        <v>451</v>
      </c>
      <c r="E311" s="127">
        <v>11.0</v>
      </c>
      <c r="F311" s="187">
        <v>1.0</v>
      </c>
      <c r="G311" s="187"/>
      <c r="H311" s="161">
        <f t="shared" si="7"/>
        <v>3000</v>
      </c>
      <c r="I311" s="207">
        <v>3000.0</v>
      </c>
      <c r="J311" s="126" t="str">
        <f t="shared" si="4"/>
        <v>11 Patient Portal Logins, 1 BBB 5-star Reviews</v>
      </c>
      <c r="K311" s="14"/>
      <c r="L311" s="14"/>
      <c r="M311" s="14"/>
    </row>
    <row r="312" hidden="1">
      <c r="A312" s="6" t="s">
        <v>243</v>
      </c>
      <c r="B312" s="94" t="s">
        <v>452</v>
      </c>
      <c r="C312" s="94" t="s">
        <v>453</v>
      </c>
      <c r="D312" s="94" t="s">
        <v>454</v>
      </c>
      <c r="E312" s="127">
        <v>13.0</v>
      </c>
      <c r="F312" s="187">
        <v>0.0</v>
      </c>
      <c r="G312" s="187"/>
      <c r="H312" s="161">
        <f t="shared" si="7"/>
        <v>3250</v>
      </c>
      <c r="I312" s="207">
        <v>6950.0</v>
      </c>
      <c r="J312" s="126" t="str">
        <f t="shared" si="4"/>
        <v>13 Patient Portal Logins, 0 BBB 5-star Reviews</v>
      </c>
      <c r="K312" s="198">
        <v>1850.0</v>
      </c>
      <c r="L312" s="34" t="s">
        <v>559</v>
      </c>
      <c r="M312" s="14"/>
    </row>
    <row r="313" hidden="1">
      <c r="A313" s="6" t="s">
        <v>243</v>
      </c>
      <c r="B313" s="94" t="s">
        <v>455</v>
      </c>
      <c r="C313" s="94" t="s">
        <v>456</v>
      </c>
      <c r="D313" s="94" t="s">
        <v>457</v>
      </c>
      <c r="E313" s="127">
        <v>4.0</v>
      </c>
      <c r="F313" s="187">
        <v>0.0</v>
      </c>
      <c r="G313" s="187"/>
      <c r="H313" s="161">
        <f t="shared" si="7"/>
        <v>1000</v>
      </c>
      <c r="I313" s="207">
        <v>1000.0</v>
      </c>
      <c r="J313" s="126" t="str">
        <f t="shared" si="4"/>
        <v>4 Patient Portal Logins, 0 BBB 5-star Reviews</v>
      </c>
      <c r="K313" s="14"/>
      <c r="L313" s="14"/>
      <c r="M313" s="14"/>
    </row>
    <row r="314" hidden="1">
      <c r="A314" s="6" t="s">
        <v>244</v>
      </c>
      <c r="B314" s="92" t="s">
        <v>540</v>
      </c>
      <c r="C314" s="93" t="s">
        <v>541</v>
      </c>
      <c r="D314" s="93" t="s">
        <v>542</v>
      </c>
      <c r="E314" s="127">
        <v>0.0</v>
      </c>
      <c r="F314" s="187">
        <v>0.0</v>
      </c>
      <c r="G314" s="187"/>
      <c r="H314" s="161">
        <f t="shared" si="7"/>
        <v>0</v>
      </c>
      <c r="I314" s="207">
        <v>0.0</v>
      </c>
      <c r="J314" s="126" t="str">
        <f t="shared" si="4"/>
        <v>0 Patient Portal Logins, 0 BBB 5-star Reviews</v>
      </c>
      <c r="K314" s="14"/>
      <c r="L314" s="14"/>
      <c r="M314" s="14"/>
    </row>
    <row r="315" hidden="1">
      <c r="A315" s="6" t="s">
        <v>244</v>
      </c>
      <c r="B315" s="92" t="s">
        <v>532</v>
      </c>
      <c r="C315" s="93" t="s">
        <v>533</v>
      </c>
      <c r="D315" s="93" t="s">
        <v>534</v>
      </c>
      <c r="E315" s="127">
        <v>0.0</v>
      </c>
      <c r="F315" s="187">
        <v>0.0</v>
      </c>
      <c r="G315" s="187"/>
      <c r="H315" s="161">
        <f t="shared" si="7"/>
        <v>0</v>
      </c>
      <c r="I315" s="207">
        <v>0.0</v>
      </c>
      <c r="J315" s="126" t="str">
        <f t="shared" si="4"/>
        <v>0 Patient Portal Logins, 0 BBB 5-star Reviews</v>
      </c>
      <c r="K315" s="14"/>
      <c r="L315" s="14"/>
      <c r="M315" s="14"/>
    </row>
    <row r="316" hidden="1">
      <c r="A316" s="6" t="s">
        <v>244</v>
      </c>
      <c r="B316" s="92" t="s">
        <v>529</v>
      </c>
      <c r="C316" s="93" t="s">
        <v>530</v>
      </c>
      <c r="D316" s="93" t="s">
        <v>531</v>
      </c>
      <c r="E316" s="127">
        <v>1.0</v>
      </c>
      <c r="F316" s="187">
        <v>0.0</v>
      </c>
      <c r="G316" s="187"/>
      <c r="H316" s="161">
        <f t="shared" si="7"/>
        <v>250</v>
      </c>
      <c r="I316" s="207">
        <v>250.0</v>
      </c>
      <c r="J316" s="126" t="str">
        <f t="shared" si="4"/>
        <v>1 Patient Portal Logins, 0 BBB 5-star Reviews</v>
      </c>
      <c r="K316" s="14"/>
      <c r="L316" s="14"/>
      <c r="M316" s="14"/>
    </row>
    <row r="317" hidden="1">
      <c r="A317" s="6" t="s">
        <v>244</v>
      </c>
      <c r="B317" s="92" t="s">
        <v>443</v>
      </c>
      <c r="C317" s="93" t="s">
        <v>444</v>
      </c>
      <c r="D317" s="93" t="s">
        <v>445</v>
      </c>
      <c r="E317" s="127">
        <v>6.0</v>
      </c>
      <c r="F317" s="187">
        <v>0.0</v>
      </c>
      <c r="G317" s="187"/>
      <c r="H317" s="161">
        <f t="shared" si="7"/>
        <v>1500</v>
      </c>
      <c r="I317" s="207">
        <v>1500.0</v>
      </c>
      <c r="J317" s="126" t="str">
        <f t="shared" si="4"/>
        <v>6 Patient Portal Logins, 0 BBB 5-star Reviews</v>
      </c>
      <c r="K317" s="14"/>
      <c r="L317" s="14"/>
      <c r="M317" s="14"/>
    </row>
    <row r="318" hidden="1">
      <c r="A318" s="6" t="s">
        <v>244</v>
      </c>
      <c r="B318" s="92" t="s">
        <v>543</v>
      </c>
      <c r="C318" s="93" t="s">
        <v>544</v>
      </c>
      <c r="D318" s="93" t="s">
        <v>545</v>
      </c>
      <c r="E318" s="127">
        <v>6.0</v>
      </c>
      <c r="F318" s="187">
        <v>0.0</v>
      </c>
      <c r="G318" s="187"/>
      <c r="H318" s="161">
        <f t="shared" si="7"/>
        <v>1500</v>
      </c>
      <c r="I318" s="207">
        <v>1500.0</v>
      </c>
      <c r="J318" s="126" t="str">
        <f t="shared" si="4"/>
        <v>6 Patient Portal Logins, 0 BBB 5-star Reviews</v>
      </c>
      <c r="K318" s="14"/>
      <c r="L318" s="14"/>
      <c r="M318" s="14"/>
    </row>
    <row r="319" hidden="1">
      <c r="A319" s="6" t="s">
        <v>244</v>
      </c>
      <c r="B319" s="92" t="s">
        <v>398</v>
      </c>
      <c r="C319" s="93" t="s">
        <v>399</v>
      </c>
      <c r="D319" s="93" t="s">
        <v>400</v>
      </c>
      <c r="E319" s="127">
        <v>1.0</v>
      </c>
      <c r="F319" s="187">
        <v>0.0</v>
      </c>
      <c r="G319" s="187"/>
      <c r="H319" s="161">
        <f t="shared" si="7"/>
        <v>250</v>
      </c>
      <c r="I319" s="207">
        <v>250.0</v>
      </c>
      <c r="J319" s="126" t="str">
        <f t="shared" si="4"/>
        <v>1 Patient Portal Logins, 0 BBB 5-star Reviews</v>
      </c>
      <c r="K319" s="14"/>
      <c r="L319" s="14"/>
      <c r="M319" s="14"/>
    </row>
    <row r="320" hidden="1">
      <c r="A320" s="6" t="s">
        <v>244</v>
      </c>
      <c r="B320" s="92" t="s">
        <v>404</v>
      </c>
      <c r="C320" s="93" t="s">
        <v>405</v>
      </c>
      <c r="D320" s="93" t="s">
        <v>406</v>
      </c>
      <c r="E320" s="127">
        <v>7.0</v>
      </c>
      <c r="F320" s="187">
        <v>6.0</v>
      </c>
      <c r="G320" s="187"/>
      <c r="H320" s="161">
        <f t="shared" si="7"/>
        <v>3250</v>
      </c>
      <c r="I320" s="207">
        <v>3250.0</v>
      </c>
      <c r="J320" s="126" t="str">
        <f t="shared" si="4"/>
        <v>7 Patient Portal Logins, 6 BBB 5-star Reviews</v>
      </c>
      <c r="K320" s="14"/>
      <c r="L320" s="14"/>
      <c r="M320" s="14"/>
    </row>
    <row r="321" hidden="1">
      <c r="A321" s="6" t="s">
        <v>244</v>
      </c>
      <c r="B321" s="92" t="s">
        <v>407</v>
      </c>
      <c r="C321" s="93" t="s">
        <v>408</v>
      </c>
      <c r="D321" s="93" t="s">
        <v>409</v>
      </c>
      <c r="E321" s="127">
        <v>2.0</v>
      </c>
      <c r="F321" s="187">
        <v>0.0</v>
      </c>
      <c r="G321" s="187"/>
      <c r="H321" s="161">
        <f t="shared" si="7"/>
        <v>500</v>
      </c>
      <c r="I321" s="207">
        <v>500.0</v>
      </c>
      <c r="J321" s="126" t="str">
        <f t="shared" si="4"/>
        <v>2 Patient Portal Logins, 0 BBB 5-star Reviews</v>
      </c>
      <c r="K321" s="165"/>
      <c r="L321" s="14"/>
      <c r="M321" s="14"/>
    </row>
    <row r="322" hidden="1">
      <c r="A322" s="6" t="s">
        <v>244</v>
      </c>
      <c r="B322" s="92" t="s">
        <v>410</v>
      </c>
      <c r="C322" s="93" t="s">
        <v>411</v>
      </c>
      <c r="D322" s="93" t="s">
        <v>412</v>
      </c>
      <c r="E322" s="127">
        <v>3.0</v>
      </c>
      <c r="F322" s="187">
        <v>0.0</v>
      </c>
      <c r="G322" s="187"/>
      <c r="H322" s="161">
        <f t="shared" si="7"/>
        <v>750</v>
      </c>
      <c r="I322" s="207">
        <v>750.0</v>
      </c>
      <c r="J322" s="126" t="str">
        <f t="shared" si="4"/>
        <v>3 Patient Portal Logins, 0 BBB 5-star Reviews</v>
      </c>
      <c r="K322" s="14"/>
      <c r="L322" s="14"/>
      <c r="M322" s="14"/>
    </row>
    <row r="323" hidden="1">
      <c r="A323" s="6" t="s">
        <v>244</v>
      </c>
      <c r="B323" s="92" t="s">
        <v>413</v>
      </c>
      <c r="C323" s="93" t="s">
        <v>414</v>
      </c>
      <c r="D323" s="93" t="s">
        <v>415</v>
      </c>
      <c r="E323" s="127">
        <v>73.0</v>
      </c>
      <c r="F323" s="187">
        <v>2.0</v>
      </c>
      <c r="G323" s="187"/>
      <c r="H323" s="161">
        <f t="shared" si="7"/>
        <v>18750</v>
      </c>
      <c r="I323" s="207">
        <v>18750.0</v>
      </c>
      <c r="J323" s="126" t="str">
        <f t="shared" si="4"/>
        <v>73 Patient Portal Logins, 2 BBB 5-star Reviews</v>
      </c>
      <c r="K323" s="14"/>
      <c r="L323" s="14"/>
      <c r="M323" s="14"/>
    </row>
    <row r="324" hidden="1">
      <c r="A324" s="6" t="s">
        <v>244</v>
      </c>
      <c r="B324" s="92" t="s">
        <v>416</v>
      </c>
      <c r="C324" s="93" t="s">
        <v>417</v>
      </c>
      <c r="D324" s="93" t="s">
        <v>418</v>
      </c>
      <c r="E324" s="127">
        <v>4.0</v>
      </c>
      <c r="F324" s="187">
        <v>0.0</v>
      </c>
      <c r="G324" s="187"/>
      <c r="H324" s="161">
        <f t="shared" si="7"/>
        <v>1000</v>
      </c>
      <c r="I324" s="207">
        <v>1000.0</v>
      </c>
      <c r="J324" s="126" t="str">
        <f t="shared" si="4"/>
        <v>4 Patient Portal Logins, 0 BBB 5-star Reviews</v>
      </c>
      <c r="K324" s="14"/>
      <c r="L324" s="14"/>
      <c r="M324" s="14"/>
    </row>
    <row r="325" hidden="1">
      <c r="A325" s="6" t="s">
        <v>244</v>
      </c>
      <c r="B325" s="92" t="s">
        <v>422</v>
      </c>
      <c r="C325" s="93" t="s">
        <v>423</v>
      </c>
      <c r="D325" s="93" t="s">
        <v>424</v>
      </c>
      <c r="E325" s="127">
        <v>12.0</v>
      </c>
      <c r="F325" s="187">
        <v>4.0</v>
      </c>
      <c r="G325" s="187"/>
      <c r="H325" s="161">
        <f t="shared" si="7"/>
        <v>4000</v>
      </c>
      <c r="I325" s="207">
        <v>4000.0</v>
      </c>
      <c r="J325" s="126" t="str">
        <f t="shared" si="4"/>
        <v>12 Patient Portal Logins, 4 BBB 5-star Reviews</v>
      </c>
      <c r="K325" s="208">
        <v>2550.0</v>
      </c>
      <c r="L325" s="205" t="s">
        <v>562</v>
      </c>
      <c r="M325" s="205"/>
    </row>
    <row r="326" hidden="1">
      <c r="A326" s="6" t="s">
        <v>244</v>
      </c>
      <c r="B326" s="92" t="s">
        <v>425</v>
      </c>
      <c r="C326" s="93" t="s">
        <v>426</v>
      </c>
      <c r="D326" s="93" t="s">
        <v>427</v>
      </c>
      <c r="E326" s="127">
        <v>15.0</v>
      </c>
      <c r="F326" s="187">
        <v>3.0</v>
      </c>
      <c r="G326" s="187"/>
      <c r="H326" s="161">
        <f t="shared" si="7"/>
        <v>4500</v>
      </c>
      <c r="I326" s="207">
        <v>4500.0</v>
      </c>
      <c r="J326" s="126" t="str">
        <f t="shared" si="4"/>
        <v>15 Patient Portal Logins, 3 BBB 5-star Reviews</v>
      </c>
      <c r="K326" s="14"/>
      <c r="L326" s="14"/>
      <c r="M326" s="14"/>
    </row>
    <row r="327" hidden="1">
      <c r="A327" s="6" t="s">
        <v>244</v>
      </c>
      <c r="B327" s="92" t="s">
        <v>428</v>
      </c>
      <c r="C327" s="93" t="s">
        <v>429</v>
      </c>
      <c r="D327" s="93" t="s">
        <v>430</v>
      </c>
      <c r="E327" s="127">
        <v>58.0</v>
      </c>
      <c r="F327" s="187">
        <v>8.0</v>
      </c>
      <c r="G327" s="187"/>
      <c r="H327" s="161">
        <f t="shared" si="7"/>
        <v>16500</v>
      </c>
      <c r="I327" s="207">
        <v>16500.0</v>
      </c>
      <c r="J327" s="126" t="str">
        <f t="shared" si="4"/>
        <v>58 Patient Portal Logins, 8 BBB 5-star Reviews</v>
      </c>
      <c r="K327" s="14"/>
      <c r="L327" s="14"/>
      <c r="M327" s="14"/>
    </row>
    <row r="328" hidden="1">
      <c r="A328" s="6" t="s">
        <v>244</v>
      </c>
      <c r="B328" s="92" t="s">
        <v>431</v>
      </c>
      <c r="C328" s="93" t="s">
        <v>432</v>
      </c>
      <c r="D328" s="93" t="s">
        <v>433</v>
      </c>
      <c r="E328" s="127">
        <v>27.0</v>
      </c>
      <c r="F328" s="187">
        <v>1.0</v>
      </c>
      <c r="G328" s="187"/>
      <c r="H328" s="161">
        <f t="shared" si="7"/>
        <v>7000</v>
      </c>
      <c r="I328" s="207">
        <v>7000.0</v>
      </c>
      <c r="J328" s="126" t="str">
        <f t="shared" si="4"/>
        <v>27 Patient Portal Logins, 1 BBB 5-star Reviews</v>
      </c>
      <c r="K328" s="14"/>
      <c r="L328" s="14"/>
      <c r="M328" s="14"/>
    </row>
    <row r="329" hidden="1">
      <c r="A329" s="6" t="s">
        <v>244</v>
      </c>
      <c r="B329" s="92" t="s">
        <v>437</v>
      </c>
      <c r="C329" s="93" t="s">
        <v>438</v>
      </c>
      <c r="D329" s="93" t="s">
        <v>439</v>
      </c>
      <c r="E329" s="127">
        <v>3.0</v>
      </c>
      <c r="F329" s="187">
        <v>0.0</v>
      </c>
      <c r="G329" s="187"/>
      <c r="H329" s="161">
        <f t="shared" si="7"/>
        <v>750</v>
      </c>
      <c r="I329" s="207">
        <v>750.0</v>
      </c>
      <c r="J329" s="126" t="str">
        <f t="shared" si="4"/>
        <v>3 Patient Portal Logins, 0 BBB 5-star Reviews</v>
      </c>
      <c r="K329" s="14"/>
      <c r="L329" s="14"/>
      <c r="M329" s="14"/>
    </row>
    <row r="330" hidden="1">
      <c r="A330" s="6" t="s">
        <v>244</v>
      </c>
      <c r="B330" s="94" t="s">
        <v>458</v>
      </c>
      <c r="C330" s="94" t="s">
        <v>459</v>
      </c>
      <c r="D330" s="94" t="s">
        <v>460</v>
      </c>
      <c r="E330" s="127">
        <v>14.0</v>
      </c>
      <c r="F330" s="187">
        <v>5.0</v>
      </c>
      <c r="G330" s="187"/>
      <c r="H330" s="161">
        <f t="shared" si="7"/>
        <v>4750</v>
      </c>
      <c r="I330" s="207">
        <v>4750.0</v>
      </c>
      <c r="J330" s="126" t="str">
        <f t="shared" si="4"/>
        <v>14 Patient Portal Logins, 5 BBB 5-star Reviews</v>
      </c>
      <c r="K330" s="14"/>
      <c r="L330" s="14"/>
      <c r="M330" s="14"/>
    </row>
    <row r="331" hidden="1">
      <c r="A331" s="6" t="s">
        <v>244</v>
      </c>
      <c r="B331" s="95" t="s">
        <v>446</v>
      </c>
      <c r="C331" s="94" t="s">
        <v>447</v>
      </c>
      <c r="D331" s="94" t="s">
        <v>448</v>
      </c>
      <c r="E331" s="127">
        <v>21.0</v>
      </c>
      <c r="F331" s="187">
        <v>1.0</v>
      </c>
      <c r="G331" s="187"/>
      <c r="H331" s="161">
        <f t="shared" si="7"/>
        <v>5500</v>
      </c>
      <c r="I331" s="207">
        <v>5500.0</v>
      </c>
      <c r="J331" s="126" t="str">
        <f t="shared" si="4"/>
        <v>21 Patient Portal Logins, 1 BBB 5-star Reviews</v>
      </c>
      <c r="K331" s="14"/>
      <c r="L331" s="14"/>
      <c r="M331" s="14"/>
    </row>
    <row r="332" hidden="1">
      <c r="A332" s="6" t="s">
        <v>244</v>
      </c>
      <c r="B332" s="95" t="s">
        <v>449</v>
      </c>
      <c r="C332" s="94" t="s">
        <v>450</v>
      </c>
      <c r="D332" s="94" t="s">
        <v>451</v>
      </c>
      <c r="E332" s="127">
        <v>5.0</v>
      </c>
      <c r="F332" s="187">
        <v>0.0</v>
      </c>
      <c r="G332" s="187"/>
      <c r="H332" s="161">
        <f t="shared" si="7"/>
        <v>1250</v>
      </c>
      <c r="I332" s="207">
        <v>1250.0</v>
      </c>
      <c r="J332" s="126" t="str">
        <f t="shared" si="4"/>
        <v>5 Patient Portal Logins, 0 BBB 5-star Reviews</v>
      </c>
      <c r="K332" s="14"/>
      <c r="L332" s="14"/>
      <c r="M332" s="14"/>
    </row>
    <row r="333" hidden="1">
      <c r="A333" s="6" t="s">
        <v>244</v>
      </c>
      <c r="B333" s="94" t="s">
        <v>452</v>
      </c>
      <c r="C333" s="94" t="s">
        <v>453</v>
      </c>
      <c r="D333" s="94" t="s">
        <v>454</v>
      </c>
      <c r="E333" s="127">
        <v>21.0</v>
      </c>
      <c r="F333" s="187">
        <v>5.0</v>
      </c>
      <c r="G333" s="187"/>
      <c r="H333" s="161">
        <f t="shared" si="7"/>
        <v>6500</v>
      </c>
      <c r="I333" s="207">
        <v>6500.0</v>
      </c>
      <c r="J333" s="126" t="str">
        <f t="shared" si="4"/>
        <v>21 Patient Portal Logins, 5 BBB 5-star Reviews</v>
      </c>
      <c r="K333" s="14"/>
      <c r="L333" s="14"/>
      <c r="M333" s="14"/>
    </row>
    <row r="334" hidden="1">
      <c r="A334" s="6" t="s">
        <v>244</v>
      </c>
      <c r="B334" s="94" t="s">
        <v>455</v>
      </c>
      <c r="C334" s="94" t="s">
        <v>456</v>
      </c>
      <c r="D334" s="94" t="s">
        <v>457</v>
      </c>
      <c r="E334" s="127">
        <v>4.0</v>
      </c>
      <c r="F334" s="187">
        <v>0.0</v>
      </c>
      <c r="G334" s="187"/>
      <c r="H334" s="161">
        <f t="shared" si="7"/>
        <v>1000</v>
      </c>
      <c r="I334" s="207">
        <v>1000.0</v>
      </c>
      <c r="J334" s="126" t="str">
        <f t="shared" si="4"/>
        <v>4 Patient Portal Logins, 0 BBB 5-star Reviews</v>
      </c>
      <c r="K334" s="14"/>
      <c r="L334" s="14"/>
      <c r="M334" s="14"/>
    </row>
    <row r="335" hidden="1">
      <c r="A335" s="6" t="s">
        <v>248</v>
      </c>
      <c r="B335" s="92" t="s">
        <v>540</v>
      </c>
      <c r="C335" s="93" t="s">
        <v>541</v>
      </c>
      <c r="D335" s="93" t="s">
        <v>542</v>
      </c>
      <c r="E335" s="127">
        <v>1.0</v>
      </c>
      <c r="F335" s="161"/>
      <c r="G335" s="161"/>
      <c r="H335" s="161">
        <f t="shared" si="7"/>
        <v>250</v>
      </c>
      <c r="I335" s="126"/>
      <c r="J335" s="126" t="str">
        <f t="shared" ref="J335:J571" si="9">E335 &amp; " Patient Portal Logins"</f>
        <v>1 Patient Portal Logins</v>
      </c>
      <c r="K335" s="23"/>
      <c r="L335" s="23"/>
      <c r="M335" s="23"/>
    </row>
    <row r="336" hidden="1">
      <c r="A336" s="6" t="s">
        <v>248</v>
      </c>
      <c r="B336" s="92" t="s">
        <v>532</v>
      </c>
      <c r="C336" s="93" t="s">
        <v>533</v>
      </c>
      <c r="D336" s="93" t="s">
        <v>534</v>
      </c>
      <c r="E336" s="127">
        <v>5.0</v>
      </c>
      <c r="F336" s="161"/>
      <c r="G336" s="161"/>
      <c r="H336" s="161">
        <f t="shared" si="7"/>
        <v>1250</v>
      </c>
      <c r="I336" s="126"/>
      <c r="J336" s="126" t="str">
        <f t="shared" si="9"/>
        <v>5 Patient Portal Logins</v>
      </c>
      <c r="K336" s="23"/>
      <c r="L336" s="23"/>
      <c r="M336" s="23"/>
    </row>
    <row r="337" hidden="1">
      <c r="A337" s="6" t="s">
        <v>248</v>
      </c>
      <c r="B337" s="92" t="s">
        <v>529</v>
      </c>
      <c r="C337" s="93" t="s">
        <v>530</v>
      </c>
      <c r="D337" s="93" t="s">
        <v>531</v>
      </c>
      <c r="E337" s="127">
        <v>17.0</v>
      </c>
      <c r="F337" s="161"/>
      <c r="G337" s="161"/>
      <c r="H337" s="161">
        <f t="shared" si="7"/>
        <v>4250</v>
      </c>
      <c r="I337" s="126"/>
      <c r="J337" s="126" t="str">
        <f t="shared" si="9"/>
        <v>17 Patient Portal Logins</v>
      </c>
      <c r="K337" s="23"/>
      <c r="L337" s="23"/>
      <c r="M337" s="23"/>
    </row>
    <row r="338" hidden="1">
      <c r="A338" s="6" t="s">
        <v>248</v>
      </c>
      <c r="B338" s="92" t="s">
        <v>443</v>
      </c>
      <c r="C338" s="93" t="s">
        <v>444</v>
      </c>
      <c r="D338" s="93" t="s">
        <v>445</v>
      </c>
      <c r="E338" s="127">
        <v>10.0</v>
      </c>
      <c r="F338" s="161"/>
      <c r="G338" s="161"/>
      <c r="H338" s="161">
        <f t="shared" si="7"/>
        <v>2500</v>
      </c>
      <c r="I338" s="126"/>
      <c r="J338" s="126" t="str">
        <f t="shared" si="9"/>
        <v>10 Patient Portal Logins</v>
      </c>
      <c r="K338" s="23"/>
      <c r="L338" s="23"/>
      <c r="M338" s="23"/>
    </row>
    <row r="339" hidden="1">
      <c r="A339" s="6" t="s">
        <v>248</v>
      </c>
      <c r="B339" s="92" t="s">
        <v>543</v>
      </c>
      <c r="C339" s="93" t="s">
        <v>544</v>
      </c>
      <c r="D339" s="93" t="s">
        <v>545</v>
      </c>
      <c r="E339" s="127">
        <v>16.0</v>
      </c>
      <c r="F339" s="161"/>
      <c r="G339" s="161"/>
      <c r="H339" s="161">
        <f t="shared" si="7"/>
        <v>4000</v>
      </c>
      <c r="I339" s="126"/>
      <c r="J339" s="126" t="str">
        <f t="shared" si="9"/>
        <v>16 Patient Portal Logins</v>
      </c>
      <c r="K339" s="23"/>
      <c r="L339" s="23"/>
      <c r="M339" s="23"/>
    </row>
    <row r="340" hidden="1">
      <c r="A340" s="6" t="s">
        <v>248</v>
      </c>
      <c r="B340" s="92" t="s">
        <v>398</v>
      </c>
      <c r="C340" s="93" t="s">
        <v>399</v>
      </c>
      <c r="D340" s="93" t="s">
        <v>400</v>
      </c>
      <c r="E340" s="127">
        <v>3.0</v>
      </c>
      <c r="F340" s="161"/>
      <c r="G340" s="161"/>
      <c r="H340" s="161">
        <f t="shared" si="7"/>
        <v>750</v>
      </c>
      <c r="I340" s="126"/>
      <c r="J340" s="126" t="str">
        <f t="shared" si="9"/>
        <v>3 Patient Portal Logins</v>
      </c>
      <c r="K340" s="23"/>
      <c r="L340" s="23"/>
      <c r="M340" s="23"/>
    </row>
    <row r="341" hidden="1">
      <c r="A341" s="6" t="s">
        <v>248</v>
      </c>
      <c r="B341" s="92" t="s">
        <v>404</v>
      </c>
      <c r="C341" s="93" t="s">
        <v>405</v>
      </c>
      <c r="D341" s="93" t="s">
        <v>406</v>
      </c>
      <c r="E341" s="127">
        <v>8.0</v>
      </c>
      <c r="F341" s="161"/>
      <c r="G341" s="161"/>
      <c r="H341" s="161">
        <f t="shared" si="7"/>
        <v>2000</v>
      </c>
      <c r="I341" s="126"/>
      <c r="J341" s="126" t="str">
        <f t="shared" si="9"/>
        <v>8 Patient Portal Logins</v>
      </c>
      <c r="K341" s="23"/>
      <c r="L341" s="23"/>
      <c r="M341" s="23"/>
    </row>
    <row r="342" hidden="1">
      <c r="A342" s="6" t="s">
        <v>248</v>
      </c>
      <c r="B342" s="92" t="s">
        <v>407</v>
      </c>
      <c r="C342" s="93" t="s">
        <v>408</v>
      </c>
      <c r="D342" s="93" t="s">
        <v>409</v>
      </c>
      <c r="E342" s="127">
        <v>15.0</v>
      </c>
      <c r="F342" s="161"/>
      <c r="G342" s="161"/>
      <c r="H342" s="161">
        <f t="shared" si="7"/>
        <v>3750</v>
      </c>
      <c r="I342" s="126"/>
      <c r="J342" s="126" t="str">
        <f t="shared" si="9"/>
        <v>15 Patient Portal Logins</v>
      </c>
      <c r="K342" s="204">
        <v>2550.0</v>
      </c>
      <c r="L342" s="205" t="s">
        <v>557</v>
      </c>
      <c r="M342" s="205"/>
    </row>
    <row r="343" hidden="1">
      <c r="A343" s="6" t="s">
        <v>248</v>
      </c>
      <c r="B343" s="92" t="s">
        <v>410</v>
      </c>
      <c r="C343" s="93" t="s">
        <v>411</v>
      </c>
      <c r="D343" s="93" t="s">
        <v>412</v>
      </c>
      <c r="E343" s="127">
        <v>20.0</v>
      </c>
      <c r="F343" s="161"/>
      <c r="G343" s="161"/>
      <c r="H343" s="161">
        <f t="shared" si="7"/>
        <v>5000</v>
      </c>
      <c r="I343" s="126"/>
      <c r="J343" s="126" t="str">
        <f t="shared" si="9"/>
        <v>20 Patient Portal Logins</v>
      </c>
      <c r="K343" s="23"/>
      <c r="L343" s="23"/>
      <c r="M343" s="23"/>
    </row>
    <row r="344" hidden="1">
      <c r="A344" s="6" t="s">
        <v>248</v>
      </c>
      <c r="B344" s="92" t="s">
        <v>413</v>
      </c>
      <c r="C344" s="93" t="s">
        <v>414</v>
      </c>
      <c r="D344" s="93" t="s">
        <v>415</v>
      </c>
      <c r="E344" s="127">
        <v>38.0</v>
      </c>
      <c r="F344" s="161"/>
      <c r="G344" s="161"/>
      <c r="H344" s="161">
        <f t="shared" si="7"/>
        <v>9500</v>
      </c>
      <c r="I344" s="126"/>
      <c r="J344" s="126" t="str">
        <f t="shared" si="9"/>
        <v>38 Patient Portal Logins</v>
      </c>
      <c r="K344" s="23"/>
      <c r="L344" s="23"/>
      <c r="M344" s="23"/>
    </row>
    <row r="345" hidden="1">
      <c r="A345" s="6" t="s">
        <v>248</v>
      </c>
      <c r="B345" s="92" t="s">
        <v>416</v>
      </c>
      <c r="C345" s="93" t="s">
        <v>417</v>
      </c>
      <c r="D345" s="93" t="s">
        <v>418</v>
      </c>
      <c r="E345" s="127">
        <v>8.0</v>
      </c>
      <c r="F345" s="161"/>
      <c r="G345" s="161"/>
      <c r="H345" s="161">
        <f t="shared" si="7"/>
        <v>2000</v>
      </c>
      <c r="I345" s="126"/>
      <c r="J345" s="126" t="str">
        <f t="shared" si="9"/>
        <v>8 Patient Portal Logins</v>
      </c>
      <c r="K345" s="23"/>
      <c r="L345" s="23"/>
      <c r="M345" s="23"/>
    </row>
    <row r="346" hidden="1">
      <c r="A346" s="6" t="s">
        <v>248</v>
      </c>
      <c r="B346" s="92" t="s">
        <v>422</v>
      </c>
      <c r="C346" s="93" t="s">
        <v>423</v>
      </c>
      <c r="D346" s="93" t="s">
        <v>424</v>
      </c>
      <c r="E346" s="127">
        <v>19.0</v>
      </c>
      <c r="F346" s="161"/>
      <c r="G346" s="161"/>
      <c r="H346" s="161">
        <f t="shared" si="7"/>
        <v>4750</v>
      </c>
      <c r="I346" s="126"/>
      <c r="J346" s="126" t="str">
        <f t="shared" si="9"/>
        <v>19 Patient Portal Logins</v>
      </c>
      <c r="K346" s="165"/>
      <c r="L346" s="14"/>
      <c r="M346" s="14"/>
    </row>
    <row r="347" hidden="1">
      <c r="A347" s="6" t="s">
        <v>248</v>
      </c>
      <c r="B347" s="92" t="s">
        <v>425</v>
      </c>
      <c r="C347" s="93" t="s">
        <v>426</v>
      </c>
      <c r="D347" s="93" t="s">
        <v>427</v>
      </c>
      <c r="E347" s="127">
        <v>42.0</v>
      </c>
      <c r="F347" s="161"/>
      <c r="G347" s="161"/>
      <c r="H347" s="161">
        <f t="shared" si="7"/>
        <v>10500</v>
      </c>
      <c r="I347" s="126"/>
      <c r="J347" s="126" t="str">
        <f t="shared" si="9"/>
        <v>42 Patient Portal Logins</v>
      </c>
      <c r="K347" s="23"/>
      <c r="L347" s="23"/>
      <c r="M347" s="23"/>
    </row>
    <row r="348" hidden="1">
      <c r="A348" s="6" t="s">
        <v>248</v>
      </c>
      <c r="B348" s="92" t="s">
        <v>428</v>
      </c>
      <c r="C348" s="93" t="s">
        <v>429</v>
      </c>
      <c r="D348" s="93" t="s">
        <v>430</v>
      </c>
      <c r="E348" s="127">
        <v>30.0</v>
      </c>
      <c r="F348" s="161"/>
      <c r="G348" s="161"/>
      <c r="H348" s="161">
        <f t="shared" si="7"/>
        <v>7500</v>
      </c>
      <c r="I348" s="126"/>
      <c r="J348" s="126" t="str">
        <f t="shared" si="9"/>
        <v>30 Patient Portal Logins</v>
      </c>
      <c r="K348" s="23"/>
      <c r="L348" s="23"/>
      <c r="M348" s="23"/>
    </row>
    <row r="349" hidden="1">
      <c r="A349" s="6" t="s">
        <v>248</v>
      </c>
      <c r="B349" s="92" t="s">
        <v>431</v>
      </c>
      <c r="C349" s="93" t="s">
        <v>432</v>
      </c>
      <c r="D349" s="93" t="s">
        <v>433</v>
      </c>
      <c r="E349" s="127">
        <v>24.0</v>
      </c>
      <c r="F349" s="161"/>
      <c r="G349" s="161"/>
      <c r="H349" s="161">
        <f t="shared" si="7"/>
        <v>6000</v>
      </c>
      <c r="I349" s="126"/>
      <c r="J349" s="126" t="str">
        <f t="shared" si="9"/>
        <v>24 Patient Portal Logins</v>
      </c>
      <c r="K349" s="23"/>
      <c r="L349" s="23"/>
      <c r="M349" s="23"/>
    </row>
    <row r="350" hidden="1">
      <c r="A350" s="6" t="s">
        <v>248</v>
      </c>
      <c r="B350" s="92" t="s">
        <v>437</v>
      </c>
      <c r="C350" s="93" t="s">
        <v>438</v>
      </c>
      <c r="D350" s="93" t="s">
        <v>439</v>
      </c>
      <c r="E350" s="127">
        <v>3.0</v>
      </c>
      <c r="F350" s="161"/>
      <c r="G350" s="161"/>
      <c r="H350" s="161">
        <f t="shared" si="7"/>
        <v>750</v>
      </c>
      <c r="I350" s="126"/>
      <c r="J350" s="126" t="str">
        <f t="shared" si="9"/>
        <v>3 Patient Portal Logins</v>
      </c>
      <c r="K350" s="23"/>
      <c r="L350" s="23"/>
      <c r="M350" s="23"/>
    </row>
    <row r="351" hidden="1">
      <c r="A351" s="6" t="s">
        <v>248</v>
      </c>
      <c r="B351" s="94" t="s">
        <v>458</v>
      </c>
      <c r="C351" s="94" t="s">
        <v>459</v>
      </c>
      <c r="D351" s="94" t="s">
        <v>460</v>
      </c>
      <c r="E351" s="127">
        <v>30.0</v>
      </c>
      <c r="F351" s="161"/>
      <c r="G351" s="161"/>
      <c r="H351" s="161">
        <f t="shared" si="7"/>
        <v>7500</v>
      </c>
      <c r="I351" s="126"/>
      <c r="J351" s="126" t="str">
        <f t="shared" si="9"/>
        <v>30 Patient Portal Logins</v>
      </c>
      <c r="K351" s="23"/>
      <c r="L351" s="23"/>
      <c r="M351" s="23"/>
    </row>
    <row r="352" hidden="1">
      <c r="A352" s="6" t="s">
        <v>248</v>
      </c>
      <c r="B352" s="95" t="s">
        <v>446</v>
      </c>
      <c r="C352" s="94" t="s">
        <v>447</v>
      </c>
      <c r="D352" s="94" t="s">
        <v>448</v>
      </c>
      <c r="E352" s="127">
        <v>20.0</v>
      </c>
      <c r="F352" s="161"/>
      <c r="G352" s="161"/>
      <c r="H352" s="161">
        <f t="shared" si="7"/>
        <v>5000</v>
      </c>
      <c r="I352" s="126"/>
      <c r="J352" s="126" t="str">
        <f t="shared" si="9"/>
        <v>20 Patient Portal Logins</v>
      </c>
      <c r="K352" s="23"/>
      <c r="L352" s="23"/>
      <c r="M352" s="23"/>
    </row>
    <row r="353" hidden="1">
      <c r="A353" s="6" t="s">
        <v>248</v>
      </c>
      <c r="B353" s="95" t="s">
        <v>449</v>
      </c>
      <c r="C353" s="94" t="s">
        <v>450</v>
      </c>
      <c r="D353" s="94" t="s">
        <v>451</v>
      </c>
      <c r="E353" s="127">
        <v>10.0</v>
      </c>
      <c r="F353" s="161"/>
      <c r="G353" s="161"/>
      <c r="H353" s="161">
        <f t="shared" si="7"/>
        <v>2500</v>
      </c>
      <c r="I353" s="126"/>
      <c r="J353" s="126" t="str">
        <f t="shared" si="9"/>
        <v>10 Patient Portal Logins</v>
      </c>
      <c r="K353" s="23"/>
      <c r="L353" s="23"/>
      <c r="M353" s="23"/>
    </row>
    <row r="354" hidden="1">
      <c r="A354" s="6" t="s">
        <v>248</v>
      </c>
      <c r="B354" s="94" t="s">
        <v>452</v>
      </c>
      <c r="C354" s="94" t="s">
        <v>453</v>
      </c>
      <c r="D354" s="94" t="s">
        <v>454</v>
      </c>
      <c r="E354" s="127">
        <v>31.0</v>
      </c>
      <c r="F354" s="161"/>
      <c r="G354" s="161"/>
      <c r="H354" s="161">
        <f t="shared" si="7"/>
        <v>7750</v>
      </c>
      <c r="I354" s="126"/>
      <c r="J354" s="126" t="str">
        <f t="shared" si="9"/>
        <v>31 Patient Portal Logins</v>
      </c>
      <c r="K354" s="23"/>
      <c r="L354" s="23"/>
      <c r="M354" s="23"/>
    </row>
    <row r="355" hidden="1">
      <c r="A355" s="6" t="s">
        <v>248</v>
      </c>
      <c r="B355" s="94" t="s">
        <v>455</v>
      </c>
      <c r="C355" s="94" t="s">
        <v>456</v>
      </c>
      <c r="D355" s="94" t="s">
        <v>457</v>
      </c>
      <c r="E355" s="127">
        <v>3.0</v>
      </c>
      <c r="F355" s="161"/>
      <c r="G355" s="161"/>
      <c r="H355" s="161">
        <f t="shared" si="7"/>
        <v>750</v>
      </c>
      <c r="I355" s="126"/>
      <c r="J355" s="126" t="str">
        <f t="shared" si="9"/>
        <v>3 Patient Portal Logins</v>
      </c>
      <c r="K355" s="23"/>
      <c r="L355" s="23"/>
      <c r="M355" s="23"/>
    </row>
    <row r="356" hidden="1">
      <c r="A356" s="6" t="s">
        <v>249</v>
      </c>
      <c r="B356" s="92" t="s">
        <v>540</v>
      </c>
      <c r="C356" s="93" t="s">
        <v>541</v>
      </c>
      <c r="D356" s="93" t="s">
        <v>542</v>
      </c>
      <c r="E356" s="127">
        <v>1.0</v>
      </c>
      <c r="F356" s="161"/>
      <c r="G356" s="161"/>
      <c r="H356" s="161">
        <f t="shared" ref="H356:H571" si="10">E356*250</f>
        <v>250</v>
      </c>
      <c r="I356" s="126"/>
      <c r="J356" s="126" t="str">
        <f t="shared" si="9"/>
        <v>1 Patient Portal Logins</v>
      </c>
      <c r="K356" s="23"/>
      <c r="L356" s="23"/>
      <c r="M356" s="23"/>
    </row>
    <row r="357" hidden="1">
      <c r="A357" s="6" t="s">
        <v>249</v>
      </c>
      <c r="B357" s="92" t="s">
        <v>532</v>
      </c>
      <c r="C357" s="93" t="s">
        <v>533</v>
      </c>
      <c r="D357" s="93" t="s">
        <v>534</v>
      </c>
      <c r="E357" s="127">
        <v>9.0</v>
      </c>
      <c r="F357" s="161"/>
      <c r="G357" s="161"/>
      <c r="H357" s="161">
        <f t="shared" si="10"/>
        <v>2250</v>
      </c>
      <c r="I357" s="126"/>
      <c r="J357" s="126" t="str">
        <f t="shared" si="9"/>
        <v>9 Patient Portal Logins</v>
      </c>
      <c r="K357" s="23"/>
      <c r="L357" s="23"/>
      <c r="M357" s="23"/>
    </row>
    <row r="358" hidden="1">
      <c r="A358" s="6" t="s">
        <v>249</v>
      </c>
      <c r="B358" s="92" t="s">
        <v>529</v>
      </c>
      <c r="C358" s="93" t="s">
        <v>530</v>
      </c>
      <c r="D358" s="93" t="s">
        <v>531</v>
      </c>
      <c r="E358" s="127">
        <v>10.0</v>
      </c>
      <c r="F358" s="161"/>
      <c r="G358" s="161"/>
      <c r="H358" s="161">
        <f t="shared" si="10"/>
        <v>2500</v>
      </c>
      <c r="I358" s="126"/>
      <c r="J358" s="126" t="str">
        <f t="shared" si="9"/>
        <v>10 Patient Portal Logins</v>
      </c>
      <c r="K358" s="23"/>
      <c r="L358" s="23"/>
      <c r="M358" s="23"/>
    </row>
    <row r="359" hidden="1">
      <c r="A359" s="6" t="s">
        <v>249</v>
      </c>
      <c r="B359" s="92" t="s">
        <v>443</v>
      </c>
      <c r="C359" s="93" t="s">
        <v>444</v>
      </c>
      <c r="D359" s="93" t="s">
        <v>445</v>
      </c>
      <c r="E359" s="127">
        <v>10.0</v>
      </c>
      <c r="F359" s="161"/>
      <c r="G359" s="161"/>
      <c r="H359" s="161">
        <f t="shared" si="10"/>
        <v>2500</v>
      </c>
      <c r="I359" s="126"/>
      <c r="J359" s="126" t="str">
        <f t="shared" si="9"/>
        <v>10 Patient Portal Logins</v>
      </c>
      <c r="K359" s="23"/>
      <c r="L359" s="23"/>
      <c r="M359" s="23"/>
    </row>
    <row r="360" hidden="1">
      <c r="A360" s="6" t="s">
        <v>249</v>
      </c>
      <c r="B360" s="92" t="s">
        <v>543</v>
      </c>
      <c r="C360" s="93" t="s">
        <v>544</v>
      </c>
      <c r="D360" s="93" t="s">
        <v>545</v>
      </c>
      <c r="E360" s="127">
        <v>14.0</v>
      </c>
      <c r="F360" s="161"/>
      <c r="G360" s="161"/>
      <c r="H360" s="161">
        <f t="shared" si="10"/>
        <v>3500</v>
      </c>
      <c r="I360" s="126"/>
      <c r="J360" s="126" t="str">
        <f t="shared" si="9"/>
        <v>14 Patient Portal Logins</v>
      </c>
      <c r="K360" s="23"/>
      <c r="L360" s="23"/>
      <c r="M360" s="23"/>
    </row>
    <row r="361" hidden="1">
      <c r="A361" s="6" t="s">
        <v>249</v>
      </c>
      <c r="B361" s="92" t="s">
        <v>398</v>
      </c>
      <c r="C361" s="93" t="s">
        <v>399</v>
      </c>
      <c r="D361" s="93" t="s">
        <v>400</v>
      </c>
      <c r="E361" s="127">
        <v>7.0</v>
      </c>
      <c r="F361" s="161"/>
      <c r="G361" s="161"/>
      <c r="H361" s="161">
        <f t="shared" si="10"/>
        <v>1750</v>
      </c>
      <c r="I361" s="126"/>
      <c r="J361" s="126" t="str">
        <f t="shared" si="9"/>
        <v>7 Patient Portal Logins</v>
      </c>
      <c r="K361" s="23"/>
      <c r="L361" s="23"/>
      <c r="M361" s="23"/>
    </row>
    <row r="362" hidden="1">
      <c r="A362" s="6" t="s">
        <v>249</v>
      </c>
      <c r="B362" s="92" t="s">
        <v>404</v>
      </c>
      <c r="C362" s="93" t="s">
        <v>405</v>
      </c>
      <c r="D362" s="93" t="s">
        <v>406</v>
      </c>
      <c r="E362" s="127">
        <v>5.0</v>
      </c>
      <c r="F362" s="161"/>
      <c r="G362" s="161"/>
      <c r="H362" s="161">
        <f t="shared" si="10"/>
        <v>1250</v>
      </c>
      <c r="I362" s="126"/>
      <c r="J362" s="126" t="str">
        <f t="shared" si="9"/>
        <v>5 Patient Portal Logins</v>
      </c>
      <c r="K362" s="23"/>
      <c r="L362" s="23"/>
      <c r="M362" s="23"/>
    </row>
    <row r="363" hidden="1">
      <c r="A363" s="6" t="s">
        <v>249</v>
      </c>
      <c r="B363" s="92" t="s">
        <v>407</v>
      </c>
      <c r="C363" s="93" t="s">
        <v>408</v>
      </c>
      <c r="D363" s="93" t="s">
        <v>409</v>
      </c>
      <c r="E363" s="127">
        <v>10.0</v>
      </c>
      <c r="F363" s="161"/>
      <c r="G363" s="161"/>
      <c r="H363" s="161">
        <f t="shared" si="10"/>
        <v>2500</v>
      </c>
      <c r="I363" s="126"/>
      <c r="J363" s="126" t="str">
        <f t="shared" si="9"/>
        <v>10 Patient Portal Logins</v>
      </c>
      <c r="K363" s="208">
        <v>5250.0</v>
      </c>
      <c r="L363" s="205" t="s">
        <v>563</v>
      </c>
      <c r="M363" s="205"/>
    </row>
    <row r="364" hidden="1">
      <c r="A364" s="6" t="s">
        <v>249</v>
      </c>
      <c r="B364" s="92" t="s">
        <v>410</v>
      </c>
      <c r="C364" s="93" t="s">
        <v>411</v>
      </c>
      <c r="D364" s="93" t="s">
        <v>412</v>
      </c>
      <c r="E364" s="127">
        <v>23.0</v>
      </c>
      <c r="F364" s="161"/>
      <c r="G364" s="161"/>
      <c r="H364" s="161">
        <f t="shared" si="10"/>
        <v>5750</v>
      </c>
      <c r="I364" s="126"/>
      <c r="J364" s="126" t="str">
        <f t="shared" si="9"/>
        <v>23 Patient Portal Logins</v>
      </c>
      <c r="K364" s="23"/>
      <c r="L364" s="23"/>
      <c r="M364" s="23"/>
    </row>
    <row r="365" hidden="1">
      <c r="A365" s="6" t="s">
        <v>249</v>
      </c>
      <c r="B365" s="92" t="s">
        <v>413</v>
      </c>
      <c r="C365" s="93" t="s">
        <v>414</v>
      </c>
      <c r="D365" s="93" t="s">
        <v>415</v>
      </c>
      <c r="E365" s="127">
        <v>41.0</v>
      </c>
      <c r="F365" s="161"/>
      <c r="G365" s="161"/>
      <c r="H365" s="161">
        <f t="shared" si="10"/>
        <v>10250</v>
      </c>
      <c r="I365" s="126"/>
      <c r="J365" s="126" t="str">
        <f t="shared" si="9"/>
        <v>41 Patient Portal Logins</v>
      </c>
      <c r="K365" s="23"/>
      <c r="L365" s="23"/>
      <c r="M365" s="23"/>
    </row>
    <row r="366" hidden="1">
      <c r="A366" s="6" t="s">
        <v>249</v>
      </c>
      <c r="B366" s="92" t="s">
        <v>416</v>
      </c>
      <c r="C366" s="93" t="s">
        <v>417</v>
      </c>
      <c r="D366" s="93" t="s">
        <v>418</v>
      </c>
      <c r="E366" s="127">
        <v>14.0</v>
      </c>
      <c r="F366" s="161"/>
      <c r="G366" s="161"/>
      <c r="H366" s="161">
        <f t="shared" si="10"/>
        <v>3500</v>
      </c>
      <c r="I366" s="126"/>
      <c r="J366" s="126" t="str">
        <f t="shared" si="9"/>
        <v>14 Patient Portal Logins</v>
      </c>
      <c r="K366" s="23"/>
      <c r="L366" s="23"/>
      <c r="M366" s="23"/>
    </row>
    <row r="367" hidden="1">
      <c r="A367" s="6" t="s">
        <v>249</v>
      </c>
      <c r="B367" s="92" t="s">
        <v>422</v>
      </c>
      <c r="C367" s="93" t="s">
        <v>423</v>
      </c>
      <c r="D367" s="93" t="s">
        <v>424</v>
      </c>
      <c r="E367" s="127">
        <v>9.0</v>
      </c>
      <c r="F367" s="161"/>
      <c r="G367" s="161"/>
      <c r="H367" s="161">
        <f t="shared" si="10"/>
        <v>2250</v>
      </c>
      <c r="I367" s="126"/>
      <c r="J367" s="126" t="str">
        <f t="shared" si="9"/>
        <v>9 Patient Portal Logins</v>
      </c>
      <c r="K367" s="208">
        <v>2500.0</v>
      </c>
      <c r="L367" s="205" t="s">
        <v>555</v>
      </c>
      <c r="M367" s="205"/>
    </row>
    <row r="368" hidden="1">
      <c r="A368" s="6" t="s">
        <v>249</v>
      </c>
      <c r="B368" s="92" t="s">
        <v>425</v>
      </c>
      <c r="C368" s="93" t="s">
        <v>426</v>
      </c>
      <c r="D368" s="93" t="s">
        <v>427</v>
      </c>
      <c r="E368" s="127">
        <v>33.0</v>
      </c>
      <c r="F368" s="161"/>
      <c r="G368" s="161"/>
      <c r="H368" s="161">
        <f t="shared" si="10"/>
        <v>8250</v>
      </c>
      <c r="I368" s="126"/>
      <c r="J368" s="126" t="str">
        <f t="shared" si="9"/>
        <v>33 Patient Portal Logins</v>
      </c>
      <c r="K368" s="23"/>
      <c r="L368" s="23"/>
      <c r="M368" s="23"/>
    </row>
    <row r="369" hidden="1">
      <c r="A369" s="6" t="s">
        <v>249</v>
      </c>
      <c r="B369" s="92" t="s">
        <v>428</v>
      </c>
      <c r="C369" s="93" t="s">
        <v>429</v>
      </c>
      <c r="D369" s="93" t="s">
        <v>430</v>
      </c>
      <c r="E369" s="127">
        <v>55.0</v>
      </c>
      <c r="F369" s="161"/>
      <c r="G369" s="161"/>
      <c r="H369" s="161">
        <f t="shared" si="10"/>
        <v>13750</v>
      </c>
      <c r="I369" s="126"/>
      <c r="J369" s="126" t="str">
        <f t="shared" si="9"/>
        <v>55 Patient Portal Logins</v>
      </c>
      <c r="K369" s="23"/>
      <c r="L369" s="23"/>
      <c r="M369" s="23"/>
    </row>
    <row r="370" hidden="1">
      <c r="A370" s="6" t="s">
        <v>249</v>
      </c>
      <c r="B370" s="92" t="s">
        <v>431</v>
      </c>
      <c r="C370" s="93" t="s">
        <v>432</v>
      </c>
      <c r="D370" s="93" t="s">
        <v>433</v>
      </c>
      <c r="E370" s="127">
        <v>24.0</v>
      </c>
      <c r="F370" s="161"/>
      <c r="G370" s="161"/>
      <c r="H370" s="161">
        <f t="shared" si="10"/>
        <v>6000</v>
      </c>
      <c r="I370" s="126"/>
      <c r="J370" s="126" t="str">
        <f t="shared" si="9"/>
        <v>24 Patient Portal Logins</v>
      </c>
      <c r="K370" s="23"/>
      <c r="L370" s="23"/>
      <c r="M370" s="23"/>
    </row>
    <row r="371" hidden="1">
      <c r="A371" s="6" t="s">
        <v>249</v>
      </c>
      <c r="B371" s="92" t="s">
        <v>437</v>
      </c>
      <c r="C371" s="93" t="s">
        <v>438</v>
      </c>
      <c r="D371" s="93" t="s">
        <v>439</v>
      </c>
      <c r="E371" s="127">
        <v>4.0</v>
      </c>
      <c r="F371" s="161"/>
      <c r="G371" s="161"/>
      <c r="H371" s="161">
        <f t="shared" si="10"/>
        <v>1000</v>
      </c>
      <c r="I371" s="126"/>
      <c r="J371" s="126" t="str">
        <f t="shared" si="9"/>
        <v>4 Patient Portal Logins</v>
      </c>
      <c r="K371" s="23"/>
      <c r="L371" s="23"/>
      <c r="M371" s="23"/>
    </row>
    <row r="372" hidden="1">
      <c r="A372" s="6" t="s">
        <v>249</v>
      </c>
      <c r="B372" s="94" t="s">
        <v>458</v>
      </c>
      <c r="C372" s="94" t="s">
        <v>459</v>
      </c>
      <c r="D372" s="94" t="s">
        <v>460</v>
      </c>
      <c r="E372" s="127">
        <v>22.0</v>
      </c>
      <c r="F372" s="161"/>
      <c r="G372" s="161"/>
      <c r="H372" s="161">
        <f t="shared" si="10"/>
        <v>5500</v>
      </c>
      <c r="I372" s="126"/>
      <c r="J372" s="126" t="str">
        <f t="shared" si="9"/>
        <v>22 Patient Portal Logins</v>
      </c>
      <c r="K372" s="23"/>
      <c r="L372" s="23"/>
      <c r="M372" s="23"/>
    </row>
    <row r="373" hidden="1">
      <c r="A373" s="6" t="s">
        <v>249</v>
      </c>
      <c r="B373" s="95" t="s">
        <v>446</v>
      </c>
      <c r="C373" s="94" t="s">
        <v>447</v>
      </c>
      <c r="D373" s="94" t="s">
        <v>448</v>
      </c>
      <c r="E373" s="127">
        <v>25.0</v>
      </c>
      <c r="F373" s="161"/>
      <c r="G373" s="161"/>
      <c r="H373" s="161">
        <f t="shared" si="10"/>
        <v>6250</v>
      </c>
      <c r="I373" s="126"/>
      <c r="J373" s="126" t="str">
        <f t="shared" si="9"/>
        <v>25 Patient Portal Logins</v>
      </c>
      <c r="K373" s="23"/>
      <c r="L373" s="23"/>
      <c r="M373" s="23"/>
    </row>
    <row r="374" hidden="1">
      <c r="A374" s="6" t="s">
        <v>249</v>
      </c>
      <c r="B374" s="95" t="s">
        <v>449</v>
      </c>
      <c r="C374" s="94" t="s">
        <v>450</v>
      </c>
      <c r="D374" s="94" t="s">
        <v>451</v>
      </c>
      <c r="E374" s="127">
        <v>7.0</v>
      </c>
      <c r="F374" s="161"/>
      <c r="G374" s="161"/>
      <c r="H374" s="161">
        <f t="shared" si="10"/>
        <v>1750</v>
      </c>
      <c r="I374" s="126"/>
      <c r="J374" s="126" t="str">
        <f t="shared" si="9"/>
        <v>7 Patient Portal Logins</v>
      </c>
      <c r="K374" s="23"/>
      <c r="L374" s="23"/>
      <c r="M374" s="23"/>
    </row>
    <row r="375" hidden="1">
      <c r="A375" s="6" t="s">
        <v>249</v>
      </c>
      <c r="B375" s="94" t="s">
        <v>452</v>
      </c>
      <c r="C375" s="94" t="s">
        <v>453</v>
      </c>
      <c r="D375" s="94" t="s">
        <v>454</v>
      </c>
      <c r="E375" s="127">
        <v>23.0</v>
      </c>
      <c r="F375" s="161"/>
      <c r="G375" s="161"/>
      <c r="H375" s="161">
        <f t="shared" si="10"/>
        <v>5750</v>
      </c>
      <c r="I375" s="126"/>
      <c r="J375" s="126" t="str">
        <f t="shared" si="9"/>
        <v>23 Patient Portal Logins</v>
      </c>
      <c r="K375" s="23"/>
      <c r="L375" s="23"/>
      <c r="M375" s="23"/>
    </row>
    <row r="376" hidden="1">
      <c r="A376" s="6" t="s">
        <v>249</v>
      </c>
      <c r="B376" s="94" t="s">
        <v>455</v>
      </c>
      <c r="C376" s="94" t="s">
        <v>456</v>
      </c>
      <c r="D376" s="94" t="s">
        <v>457</v>
      </c>
      <c r="E376" s="127">
        <v>6.0</v>
      </c>
      <c r="F376" s="161"/>
      <c r="G376" s="161"/>
      <c r="H376" s="161">
        <f t="shared" si="10"/>
        <v>1500</v>
      </c>
      <c r="I376" s="126"/>
      <c r="J376" s="126" t="str">
        <f t="shared" si="9"/>
        <v>6 Patient Portal Logins</v>
      </c>
      <c r="K376" s="23"/>
      <c r="L376" s="23"/>
      <c r="M376" s="23"/>
    </row>
    <row r="377" hidden="1">
      <c r="A377" s="6" t="s">
        <v>250</v>
      </c>
      <c r="B377" s="92" t="s">
        <v>540</v>
      </c>
      <c r="C377" s="93" t="s">
        <v>541</v>
      </c>
      <c r="D377" s="93" t="s">
        <v>542</v>
      </c>
      <c r="E377" s="191">
        <v>0.0</v>
      </c>
      <c r="F377" s="161"/>
      <c r="G377" s="161"/>
      <c r="H377" s="161">
        <f t="shared" si="10"/>
        <v>0</v>
      </c>
      <c r="I377" s="126"/>
      <c r="J377" s="126" t="str">
        <f t="shared" si="9"/>
        <v>0 Patient Portal Logins</v>
      </c>
      <c r="K377" s="23"/>
      <c r="L377" s="23"/>
      <c r="M377" s="23"/>
    </row>
    <row r="378" hidden="1">
      <c r="A378" s="6" t="s">
        <v>250</v>
      </c>
      <c r="B378" s="92" t="s">
        <v>532</v>
      </c>
      <c r="C378" s="93" t="s">
        <v>533</v>
      </c>
      <c r="D378" s="93" t="s">
        <v>534</v>
      </c>
      <c r="E378" s="127">
        <v>3.0</v>
      </c>
      <c r="F378" s="161"/>
      <c r="G378" s="161"/>
      <c r="H378" s="161">
        <f t="shared" si="10"/>
        <v>750</v>
      </c>
      <c r="I378" s="126"/>
      <c r="J378" s="126" t="str">
        <f t="shared" si="9"/>
        <v>3 Patient Portal Logins</v>
      </c>
      <c r="K378" s="23"/>
      <c r="L378" s="23"/>
      <c r="M378" s="23"/>
    </row>
    <row r="379" hidden="1">
      <c r="A379" s="6" t="s">
        <v>250</v>
      </c>
      <c r="B379" s="92" t="s">
        <v>529</v>
      </c>
      <c r="C379" s="93" t="s">
        <v>530</v>
      </c>
      <c r="D379" s="93" t="s">
        <v>531</v>
      </c>
      <c r="E379" s="127">
        <v>5.0</v>
      </c>
      <c r="F379" s="161"/>
      <c r="G379" s="161"/>
      <c r="H379" s="161">
        <f t="shared" si="10"/>
        <v>1250</v>
      </c>
      <c r="I379" s="126"/>
      <c r="J379" s="126" t="str">
        <f t="shared" si="9"/>
        <v>5 Patient Portal Logins</v>
      </c>
      <c r="K379" s="23"/>
      <c r="L379" s="23"/>
      <c r="M379" s="23"/>
    </row>
    <row r="380" hidden="1">
      <c r="A380" s="6" t="s">
        <v>250</v>
      </c>
      <c r="B380" s="92" t="s">
        <v>443</v>
      </c>
      <c r="C380" s="93" t="s">
        <v>444</v>
      </c>
      <c r="D380" s="93" t="s">
        <v>445</v>
      </c>
      <c r="E380" s="127">
        <v>7.0</v>
      </c>
      <c r="F380" s="161"/>
      <c r="G380" s="161"/>
      <c r="H380" s="161">
        <f t="shared" si="10"/>
        <v>1750</v>
      </c>
      <c r="I380" s="126"/>
      <c r="J380" s="126" t="str">
        <f t="shared" si="9"/>
        <v>7 Patient Portal Logins</v>
      </c>
      <c r="K380" s="23"/>
      <c r="L380" s="23"/>
      <c r="M380" s="23"/>
    </row>
    <row r="381" hidden="1">
      <c r="A381" s="6" t="s">
        <v>250</v>
      </c>
      <c r="B381" s="92" t="s">
        <v>543</v>
      </c>
      <c r="C381" s="93" t="s">
        <v>544</v>
      </c>
      <c r="D381" s="93" t="s">
        <v>545</v>
      </c>
      <c r="E381" s="127">
        <v>10.0</v>
      </c>
      <c r="F381" s="161"/>
      <c r="G381" s="161"/>
      <c r="H381" s="161">
        <f t="shared" si="10"/>
        <v>2500</v>
      </c>
      <c r="I381" s="126"/>
      <c r="J381" s="126" t="str">
        <f t="shared" si="9"/>
        <v>10 Patient Portal Logins</v>
      </c>
      <c r="K381" s="23"/>
      <c r="L381" s="23"/>
      <c r="M381" s="23"/>
    </row>
    <row r="382" hidden="1">
      <c r="A382" s="6" t="s">
        <v>250</v>
      </c>
      <c r="B382" s="92" t="s">
        <v>398</v>
      </c>
      <c r="C382" s="93" t="s">
        <v>399</v>
      </c>
      <c r="D382" s="93" t="s">
        <v>400</v>
      </c>
      <c r="E382" s="127">
        <v>5.0</v>
      </c>
      <c r="F382" s="161"/>
      <c r="G382" s="161"/>
      <c r="H382" s="161">
        <f t="shared" si="10"/>
        <v>1250</v>
      </c>
      <c r="I382" s="126"/>
      <c r="J382" s="126" t="str">
        <f t="shared" si="9"/>
        <v>5 Patient Portal Logins</v>
      </c>
      <c r="K382" s="23"/>
      <c r="L382" s="23"/>
      <c r="M382" s="23"/>
    </row>
    <row r="383" hidden="1">
      <c r="A383" s="6" t="s">
        <v>250</v>
      </c>
      <c r="B383" s="92" t="s">
        <v>404</v>
      </c>
      <c r="C383" s="93" t="s">
        <v>405</v>
      </c>
      <c r="D383" s="93" t="s">
        <v>406</v>
      </c>
      <c r="E383" s="127">
        <v>2.0</v>
      </c>
      <c r="F383" s="161"/>
      <c r="G383" s="161"/>
      <c r="H383" s="161">
        <f t="shared" si="10"/>
        <v>500</v>
      </c>
      <c r="I383" s="126"/>
      <c r="J383" s="126" t="str">
        <f t="shared" si="9"/>
        <v>2 Patient Portal Logins</v>
      </c>
      <c r="K383" s="23"/>
      <c r="L383" s="23"/>
      <c r="M383" s="23"/>
    </row>
    <row r="384" hidden="1">
      <c r="A384" s="6" t="s">
        <v>250</v>
      </c>
      <c r="B384" s="92" t="s">
        <v>407</v>
      </c>
      <c r="C384" s="93" t="s">
        <v>408</v>
      </c>
      <c r="D384" s="93" t="s">
        <v>409</v>
      </c>
      <c r="E384" s="127">
        <v>5.0</v>
      </c>
      <c r="F384" s="161"/>
      <c r="G384" s="161"/>
      <c r="H384" s="161">
        <f t="shared" si="10"/>
        <v>1250</v>
      </c>
      <c r="I384" s="126"/>
      <c r="J384" s="126" t="str">
        <f t="shared" si="9"/>
        <v>5 Patient Portal Logins</v>
      </c>
      <c r="K384" s="23"/>
      <c r="L384" s="23"/>
      <c r="M384" s="23"/>
    </row>
    <row r="385" hidden="1">
      <c r="A385" s="6" t="s">
        <v>250</v>
      </c>
      <c r="B385" s="92" t="s">
        <v>410</v>
      </c>
      <c r="C385" s="93" t="s">
        <v>411</v>
      </c>
      <c r="D385" s="93" t="s">
        <v>412</v>
      </c>
      <c r="E385" s="127">
        <v>9.0</v>
      </c>
      <c r="F385" s="161"/>
      <c r="G385" s="161"/>
      <c r="H385" s="161">
        <f t="shared" si="10"/>
        <v>2250</v>
      </c>
      <c r="I385" s="126"/>
      <c r="J385" s="126" t="str">
        <f t="shared" si="9"/>
        <v>9 Patient Portal Logins</v>
      </c>
      <c r="K385" s="23"/>
      <c r="L385" s="23"/>
      <c r="M385" s="23"/>
    </row>
    <row r="386" hidden="1">
      <c r="A386" s="6" t="s">
        <v>250</v>
      </c>
      <c r="B386" s="92" t="s">
        <v>413</v>
      </c>
      <c r="C386" s="93" t="s">
        <v>414</v>
      </c>
      <c r="D386" s="93" t="s">
        <v>415</v>
      </c>
      <c r="E386" s="127">
        <v>27.0</v>
      </c>
      <c r="F386" s="161"/>
      <c r="G386" s="161"/>
      <c r="H386" s="161">
        <f t="shared" si="10"/>
        <v>6750</v>
      </c>
      <c r="I386" s="126"/>
      <c r="J386" s="126" t="str">
        <f t="shared" si="9"/>
        <v>27 Patient Portal Logins</v>
      </c>
      <c r="K386" s="23"/>
      <c r="L386" s="23"/>
      <c r="M386" s="23"/>
    </row>
    <row r="387" hidden="1">
      <c r="A387" s="6" t="s">
        <v>250</v>
      </c>
      <c r="B387" s="92" t="s">
        <v>416</v>
      </c>
      <c r="C387" s="93" t="s">
        <v>417</v>
      </c>
      <c r="D387" s="93" t="s">
        <v>418</v>
      </c>
      <c r="E387" s="127">
        <v>8.0</v>
      </c>
      <c r="F387" s="161"/>
      <c r="G387" s="161"/>
      <c r="H387" s="161">
        <f t="shared" si="10"/>
        <v>2000</v>
      </c>
      <c r="I387" s="126"/>
      <c r="J387" s="126" t="str">
        <f t="shared" si="9"/>
        <v>8 Patient Portal Logins</v>
      </c>
      <c r="K387" s="23"/>
      <c r="L387" s="23"/>
      <c r="M387" s="23"/>
    </row>
    <row r="388" hidden="1">
      <c r="A388" s="6" t="s">
        <v>250</v>
      </c>
      <c r="B388" s="92" t="s">
        <v>422</v>
      </c>
      <c r="C388" s="93" t="s">
        <v>423</v>
      </c>
      <c r="D388" s="93" t="s">
        <v>424</v>
      </c>
      <c r="E388" s="127">
        <v>22.0</v>
      </c>
      <c r="F388" s="209"/>
      <c r="G388" s="209"/>
      <c r="H388" s="209">
        <f t="shared" si="10"/>
        <v>5500</v>
      </c>
      <c r="I388" s="126"/>
      <c r="J388" s="126" t="str">
        <f t="shared" si="9"/>
        <v>22 Patient Portal Logins</v>
      </c>
      <c r="K388" s="182"/>
      <c r="L388" s="23"/>
      <c r="M388" s="23"/>
    </row>
    <row r="389" hidden="1">
      <c r="A389" s="6" t="s">
        <v>250</v>
      </c>
      <c r="B389" s="92" t="s">
        <v>425</v>
      </c>
      <c r="C389" s="93" t="s">
        <v>426</v>
      </c>
      <c r="D389" s="93" t="s">
        <v>427</v>
      </c>
      <c r="E389" s="127">
        <v>19.0</v>
      </c>
      <c r="F389" s="161"/>
      <c r="G389" s="161"/>
      <c r="H389" s="161">
        <f t="shared" si="10"/>
        <v>4750</v>
      </c>
      <c r="I389" s="126"/>
      <c r="J389" s="126" t="str">
        <f t="shared" si="9"/>
        <v>19 Patient Portal Logins</v>
      </c>
      <c r="K389" s="23"/>
      <c r="L389" s="23"/>
      <c r="M389" s="23"/>
    </row>
    <row r="390" hidden="1">
      <c r="A390" s="6" t="s">
        <v>250</v>
      </c>
      <c r="B390" s="92" t="s">
        <v>428</v>
      </c>
      <c r="C390" s="93" t="s">
        <v>429</v>
      </c>
      <c r="D390" s="93" t="s">
        <v>430</v>
      </c>
      <c r="E390" s="127">
        <v>48.0</v>
      </c>
      <c r="F390" s="161"/>
      <c r="G390" s="161"/>
      <c r="H390" s="161">
        <f t="shared" si="10"/>
        <v>12000</v>
      </c>
      <c r="I390" s="126"/>
      <c r="J390" s="126" t="str">
        <f t="shared" si="9"/>
        <v>48 Patient Portal Logins</v>
      </c>
      <c r="K390" s="23"/>
      <c r="L390" s="23"/>
      <c r="M390" s="23"/>
    </row>
    <row r="391" hidden="1">
      <c r="A391" s="6" t="s">
        <v>250</v>
      </c>
      <c r="B391" s="92" t="s">
        <v>431</v>
      </c>
      <c r="C391" s="93" t="s">
        <v>432</v>
      </c>
      <c r="D391" s="93" t="s">
        <v>433</v>
      </c>
      <c r="E391" s="127">
        <v>28.0</v>
      </c>
      <c r="F391" s="161"/>
      <c r="G391" s="161"/>
      <c r="H391" s="161">
        <f t="shared" si="10"/>
        <v>7000</v>
      </c>
      <c r="I391" s="126"/>
      <c r="J391" s="126" t="str">
        <f t="shared" si="9"/>
        <v>28 Patient Portal Logins</v>
      </c>
      <c r="K391" s="23"/>
      <c r="L391" s="23"/>
      <c r="M391" s="23"/>
    </row>
    <row r="392" hidden="1">
      <c r="A392" s="6" t="s">
        <v>250</v>
      </c>
      <c r="B392" s="92" t="s">
        <v>437</v>
      </c>
      <c r="C392" s="93" t="s">
        <v>438</v>
      </c>
      <c r="D392" s="93" t="s">
        <v>439</v>
      </c>
      <c r="E392" s="127">
        <v>7.0</v>
      </c>
      <c r="F392" s="161"/>
      <c r="G392" s="161"/>
      <c r="H392" s="161">
        <f t="shared" si="10"/>
        <v>1750</v>
      </c>
      <c r="I392" s="126"/>
      <c r="J392" s="126" t="str">
        <f t="shared" si="9"/>
        <v>7 Patient Portal Logins</v>
      </c>
      <c r="K392" s="23"/>
      <c r="L392" s="23"/>
      <c r="M392" s="23"/>
    </row>
    <row r="393" hidden="1">
      <c r="A393" s="6" t="s">
        <v>250</v>
      </c>
      <c r="B393" s="94" t="s">
        <v>458</v>
      </c>
      <c r="C393" s="94" t="s">
        <v>459</v>
      </c>
      <c r="D393" s="94" t="s">
        <v>460</v>
      </c>
      <c r="E393" s="127">
        <v>24.0</v>
      </c>
      <c r="F393" s="161"/>
      <c r="G393" s="161"/>
      <c r="H393" s="161">
        <f t="shared" si="10"/>
        <v>6000</v>
      </c>
      <c r="I393" s="126"/>
      <c r="J393" s="126" t="str">
        <f t="shared" si="9"/>
        <v>24 Patient Portal Logins</v>
      </c>
      <c r="K393" s="23"/>
      <c r="L393" s="23"/>
      <c r="M393" s="23"/>
    </row>
    <row r="394" hidden="1">
      <c r="A394" s="6" t="s">
        <v>250</v>
      </c>
      <c r="B394" s="95" t="s">
        <v>446</v>
      </c>
      <c r="C394" s="94" t="s">
        <v>447</v>
      </c>
      <c r="D394" s="94" t="s">
        <v>448</v>
      </c>
      <c r="E394" s="127">
        <v>23.0</v>
      </c>
      <c r="F394" s="161"/>
      <c r="G394" s="161"/>
      <c r="H394" s="161">
        <f t="shared" si="10"/>
        <v>5750</v>
      </c>
      <c r="I394" s="126"/>
      <c r="J394" s="126" t="str">
        <f t="shared" si="9"/>
        <v>23 Patient Portal Logins</v>
      </c>
      <c r="K394" s="23"/>
      <c r="L394" s="23"/>
      <c r="M394" s="23"/>
    </row>
    <row r="395" hidden="1">
      <c r="A395" s="6" t="s">
        <v>250</v>
      </c>
      <c r="B395" s="95" t="s">
        <v>449</v>
      </c>
      <c r="C395" s="94" t="s">
        <v>450</v>
      </c>
      <c r="D395" s="94" t="s">
        <v>451</v>
      </c>
      <c r="E395" s="127">
        <v>7.0</v>
      </c>
      <c r="F395" s="161"/>
      <c r="G395" s="161"/>
      <c r="H395" s="161">
        <f t="shared" si="10"/>
        <v>1750</v>
      </c>
      <c r="I395" s="126"/>
      <c r="J395" s="126" t="str">
        <f t="shared" si="9"/>
        <v>7 Patient Portal Logins</v>
      </c>
      <c r="K395" s="23"/>
      <c r="L395" s="23"/>
      <c r="M395" s="23"/>
    </row>
    <row r="396" hidden="1">
      <c r="A396" s="6" t="s">
        <v>250</v>
      </c>
      <c r="B396" s="94" t="s">
        <v>452</v>
      </c>
      <c r="C396" s="94" t="s">
        <v>453</v>
      </c>
      <c r="D396" s="94" t="s">
        <v>454</v>
      </c>
      <c r="E396" s="127">
        <v>23.0</v>
      </c>
      <c r="F396" s="161"/>
      <c r="G396" s="161"/>
      <c r="H396" s="161">
        <f t="shared" si="10"/>
        <v>5750</v>
      </c>
      <c r="I396" s="126"/>
      <c r="J396" s="126" t="str">
        <f t="shared" si="9"/>
        <v>23 Patient Portal Logins</v>
      </c>
      <c r="K396" s="23"/>
      <c r="L396" s="23"/>
      <c r="M396" s="23"/>
    </row>
    <row r="397" hidden="1">
      <c r="A397" s="6" t="s">
        <v>250</v>
      </c>
      <c r="B397" s="94" t="s">
        <v>455</v>
      </c>
      <c r="C397" s="94" t="s">
        <v>456</v>
      </c>
      <c r="D397" s="94" t="s">
        <v>457</v>
      </c>
      <c r="E397" s="127">
        <v>10.0</v>
      </c>
      <c r="F397" s="161"/>
      <c r="G397" s="161"/>
      <c r="H397" s="161">
        <f t="shared" si="10"/>
        <v>2500</v>
      </c>
      <c r="I397" s="126"/>
      <c r="J397" s="126" t="str">
        <f t="shared" si="9"/>
        <v>10 Patient Portal Logins</v>
      </c>
      <c r="K397" s="23"/>
      <c r="L397" s="23"/>
      <c r="M397" s="23"/>
    </row>
    <row r="398" hidden="1">
      <c r="A398" s="6" t="s">
        <v>254</v>
      </c>
      <c r="B398" s="91" t="s">
        <v>540</v>
      </c>
      <c r="C398" s="96" t="s">
        <v>541</v>
      </c>
      <c r="D398" s="96" t="s">
        <v>542</v>
      </c>
      <c r="E398" s="127">
        <v>0.0</v>
      </c>
      <c r="F398" s="161"/>
      <c r="G398" s="161"/>
      <c r="H398" s="161">
        <f t="shared" si="10"/>
        <v>0</v>
      </c>
      <c r="I398" s="126"/>
      <c r="J398" s="126" t="str">
        <f t="shared" si="9"/>
        <v>0 Patient Portal Logins</v>
      </c>
      <c r="K398" s="23"/>
      <c r="L398" s="23"/>
      <c r="M398" s="23"/>
    </row>
    <row r="399" hidden="1">
      <c r="A399" s="6" t="s">
        <v>254</v>
      </c>
      <c r="B399" s="92" t="s">
        <v>532</v>
      </c>
      <c r="C399" s="93" t="s">
        <v>533</v>
      </c>
      <c r="D399" s="93" t="s">
        <v>534</v>
      </c>
      <c r="E399" s="210">
        <v>1.0</v>
      </c>
      <c r="F399" s="161"/>
      <c r="G399" s="161"/>
      <c r="H399" s="161">
        <f t="shared" si="10"/>
        <v>250</v>
      </c>
      <c r="I399" s="126"/>
      <c r="J399" s="126" t="str">
        <f t="shared" si="9"/>
        <v>1 Patient Portal Logins</v>
      </c>
      <c r="K399" s="23"/>
      <c r="L399" s="23"/>
      <c r="M399" s="23"/>
    </row>
    <row r="400" hidden="1">
      <c r="A400" s="6" t="s">
        <v>254</v>
      </c>
      <c r="B400" s="92" t="s">
        <v>529</v>
      </c>
      <c r="C400" s="93" t="s">
        <v>530</v>
      </c>
      <c r="D400" s="93" t="s">
        <v>531</v>
      </c>
      <c r="E400" s="127">
        <v>10.0</v>
      </c>
      <c r="F400" s="161"/>
      <c r="G400" s="161"/>
      <c r="H400" s="161">
        <f t="shared" si="10"/>
        <v>2500</v>
      </c>
      <c r="I400" s="126"/>
      <c r="J400" s="126" t="str">
        <f t="shared" si="9"/>
        <v>10 Patient Portal Logins</v>
      </c>
      <c r="K400" s="23"/>
      <c r="L400" s="23"/>
      <c r="M400" s="23"/>
    </row>
    <row r="401" hidden="1">
      <c r="A401" s="6" t="s">
        <v>254</v>
      </c>
      <c r="B401" s="92" t="s">
        <v>443</v>
      </c>
      <c r="C401" s="93" t="s">
        <v>444</v>
      </c>
      <c r="D401" s="93" t="s">
        <v>445</v>
      </c>
      <c r="E401" s="127">
        <v>10.0</v>
      </c>
      <c r="F401" s="161"/>
      <c r="G401" s="161"/>
      <c r="H401" s="161">
        <f t="shared" si="10"/>
        <v>2500</v>
      </c>
      <c r="I401" s="126"/>
      <c r="J401" s="126" t="str">
        <f t="shared" si="9"/>
        <v>10 Patient Portal Logins</v>
      </c>
      <c r="K401" s="23"/>
      <c r="L401" s="23"/>
      <c r="M401" s="23"/>
    </row>
    <row r="402" hidden="1">
      <c r="A402" s="6" t="s">
        <v>254</v>
      </c>
      <c r="B402" s="92" t="s">
        <v>543</v>
      </c>
      <c r="C402" s="93" t="s">
        <v>544</v>
      </c>
      <c r="D402" s="93" t="s">
        <v>545</v>
      </c>
      <c r="E402" s="127">
        <v>15.0</v>
      </c>
      <c r="F402" s="161"/>
      <c r="G402" s="161"/>
      <c r="H402" s="161">
        <f t="shared" si="10"/>
        <v>3750</v>
      </c>
      <c r="I402" s="126"/>
      <c r="J402" s="126" t="str">
        <f t="shared" si="9"/>
        <v>15 Patient Portal Logins</v>
      </c>
      <c r="K402" s="23"/>
      <c r="L402" s="23"/>
      <c r="M402" s="23"/>
    </row>
    <row r="403" hidden="1">
      <c r="A403" s="6" t="s">
        <v>254</v>
      </c>
      <c r="B403" s="92" t="s">
        <v>398</v>
      </c>
      <c r="C403" s="93" t="s">
        <v>399</v>
      </c>
      <c r="D403" s="93" t="s">
        <v>400</v>
      </c>
      <c r="E403" s="127">
        <v>3.0</v>
      </c>
      <c r="F403" s="161"/>
      <c r="G403" s="161"/>
      <c r="H403" s="161">
        <f t="shared" si="10"/>
        <v>750</v>
      </c>
      <c r="I403" s="126"/>
      <c r="J403" s="126" t="str">
        <f t="shared" si="9"/>
        <v>3 Patient Portal Logins</v>
      </c>
      <c r="K403" s="23"/>
      <c r="L403" s="23"/>
      <c r="M403" s="23"/>
    </row>
    <row r="404" hidden="1">
      <c r="A404" s="6" t="s">
        <v>254</v>
      </c>
      <c r="B404" s="92" t="s">
        <v>404</v>
      </c>
      <c r="C404" s="93" t="s">
        <v>405</v>
      </c>
      <c r="D404" s="93" t="s">
        <v>406</v>
      </c>
      <c r="E404" s="127">
        <v>12.0</v>
      </c>
      <c r="F404" s="161"/>
      <c r="G404" s="161"/>
      <c r="H404" s="161">
        <f t="shared" si="10"/>
        <v>3000</v>
      </c>
      <c r="I404" s="126"/>
      <c r="J404" s="126" t="str">
        <f t="shared" si="9"/>
        <v>12 Patient Portal Logins</v>
      </c>
      <c r="K404" s="23"/>
      <c r="L404" s="23"/>
      <c r="M404" s="23"/>
    </row>
    <row r="405" hidden="1">
      <c r="A405" s="6" t="s">
        <v>254</v>
      </c>
      <c r="B405" s="92" t="s">
        <v>407</v>
      </c>
      <c r="C405" s="93" t="s">
        <v>408</v>
      </c>
      <c r="D405" s="93" t="s">
        <v>409</v>
      </c>
      <c r="E405" s="127">
        <v>10.0</v>
      </c>
      <c r="F405" s="161"/>
      <c r="G405" s="161"/>
      <c r="H405" s="161">
        <f t="shared" si="10"/>
        <v>2500</v>
      </c>
      <c r="I405" s="126"/>
      <c r="J405" s="126" t="str">
        <f t="shared" si="9"/>
        <v>10 Patient Portal Logins</v>
      </c>
      <c r="K405" s="23"/>
      <c r="L405" s="23"/>
      <c r="M405" s="23"/>
    </row>
    <row r="406" hidden="1">
      <c r="A406" s="6" t="s">
        <v>254</v>
      </c>
      <c r="B406" s="92" t="s">
        <v>410</v>
      </c>
      <c r="C406" s="93" t="s">
        <v>411</v>
      </c>
      <c r="D406" s="93" t="s">
        <v>412</v>
      </c>
      <c r="E406" s="127">
        <v>17.0</v>
      </c>
      <c r="F406" s="161"/>
      <c r="G406" s="161"/>
      <c r="H406" s="161">
        <f t="shared" si="10"/>
        <v>4250</v>
      </c>
      <c r="I406" s="126"/>
      <c r="J406" s="126" t="str">
        <f t="shared" si="9"/>
        <v>17 Patient Portal Logins</v>
      </c>
      <c r="K406" s="23"/>
      <c r="L406" s="23"/>
      <c r="M406" s="23"/>
    </row>
    <row r="407" hidden="1">
      <c r="A407" s="6" t="s">
        <v>254</v>
      </c>
      <c r="B407" s="92" t="s">
        <v>413</v>
      </c>
      <c r="C407" s="93" t="s">
        <v>414</v>
      </c>
      <c r="D407" s="93" t="s">
        <v>415</v>
      </c>
      <c r="E407" s="127">
        <v>33.0</v>
      </c>
      <c r="F407" s="161"/>
      <c r="G407" s="161"/>
      <c r="H407" s="161">
        <f t="shared" si="10"/>
        <v>8250</v>
      </c>
      <c r="I407" s="126"/>
      <c r="J407" s="126" t="str">
        <f t="shared" si="9"/>
        <v>33 Patient Portal Logins</v>
      </c>
      <c r="K407" s="23"/>
      <c r="L407" s="23"/>
      <c r="M407" s="23"/>
    </row>
    <row r="408" hidden="1">
      <c r="A408" s="6" t="s">
        <v>254</v>
      </c>
      <c r="B408" s="92" t="s">
        <v>416</v>
      </c>
      <c r="C408" s="93" t="s">
        <v>417</v>
      </c>
      <c r="D408" s="93" t="s">
        <v>418</v>
      </c>
      <c r="E408" s="127">
        <v>11.0</v>
      </c>
      <c r="F408" s="161"/>
      <c r="G408" s="161"/>
      <c r="H408" s="161">
        <f t="shared" si="10"/>
        <v>2750</v>
      </c>
      <c r="I408" s="126"/>
      <c r="J408" s="126" t="str">
        <f t="shared" si="9"/>
        <v>11 Patient Portal Logins</v>
      </c>
      <c r="K408" s="23"/>
      <c r="L408" s="23"/>
      <c r="M408" s="23"/>
    </row>
    <row r="409" hidden="1">
      <c r="A409" s="6" t="s">
        <v>254</v>
      </c>
      <c r="B409" s="92" t="s">
        <v>422</v>
      </c>
      <c r="C409" s="93" t="s">
        <v>423</v>
      </c>
      <c r="D409" s="93" t="s">
        <v>424</v>
      </c>
      <c r="E409" s="127">
        <v>18.0</v>
      </c>
      <c r="F409" s="209"/>
      <c r="G409" s="209"/>
      <c r="H409" s="209">
        <f t="shared" si="10"/>
        <v>4500</v>
      </c>
      <c r="I409" s="126"/>
      <c r="J409" s="126" t="str">
        <f t="shared" si="9"/>
        <v>18 Patient Portal Logins</v>
      </c>
      <c r="K409" s="197"/>
      <c r="L409" s="23"/>
      <c r="M409" s="23"/>
    </row>
    <row r="410" hidden="1">
      <c r="A410" s="6" t="s">
        <v>254</v>
      </c>
      <c r="B410" s="92" t="s">
        <v>425</v>
      </c>
      <c r="C410" s="93" t="s">
        <v>426</v>
      </c>
      <c r="D410" s="93" t="s">
        <v>427</v>
      </c>
      <c r="E410" s="127">
        <v>17.0</v>
      </c>
      <c r="F410" s="161"/>
      <c r="G410" s="161"/>
      <c r="H410" s="161">
        <f t="shared" si="10"/>
        <v>4250</v>
      </c>
      <c r="I410" s="126"/>
      <c r="J410" s="126" t="str">
        <f t="shared" si="9"/>
        <v>17 Patient Portal Logins</v>
      </c>
      <c r="K410" s="23"/>
      <c r="L410" s="23"/>
      <c r="M410" s="23"/>
    </row>
    <row r="411" hidden="1">
      <c r="A411" s="6" t="s">
        <v>254</v>
      </c>
      <c r="B411" s="92" t="s">
        <v>428</v>
      </c>
      <c r="C411" s="93" t="s">
        <v>429</v>
      </c>
      <c r="D411" s="93" t="s">
        <v>430</v>
      </c>
      <c r="E411" s="127">
        <v>55.0</v>
      </c>
      <c r="F411" s="161"/>
      <c r="G411" s="161"/>
      <c r="H411" s="161">
        <f t="shared" si="10"/>
        <v>13750</v>
      </c>
      <c r="I411" s="126"/>
      <c r="J411" s="126" t="str">
        <f t="shared" si="9"/>
        <v>55 Patient Portal Logins</v>
      </c>
      <c r="K411" s="23"/>
      <c r="L411" s="23"/>
      <c r="M411" s="23"/>
    </row>
    <row r="412" hidden="1">
      <c r="A412" s="6" t="s">
        <v>254</v>
      </c>
      <c r="B412" s="92" t="s">
        <v>431</v>
      </c>
      <c r="C412" s="93" t="s">
        <v>432</v>
      </c>
      <c r="D412" s="93" t="s">
        <v>433</v>
      </c>
      <c r="E412" s="127">
        <v>18.0</v>
      </c>
      <c r="F412" s="161"/>
      <c r="G412" s="161"/>
      <c r="H412" s="161">
        <f t="shared" si="10"/>
        <v>4500</v>
      </c>
      <c r="I412" s="126"/>
      <c r="J412" s="126" t="str">
        <f t="shared" si="9"/>
        <v>18 Patient Portal Logins</v>
      </c>
      <c r="K412" s="23"/>
      <c r="L412" s="23"/>
      <c r="M412" s="23"/>
    </row>
    <row r="413" hidden="1">
      <c r="A413" s="6" t="s">
        <v>254</v>
      </c>
      <c r="B413" s="92" t="s">
        <v>437</v>
      </c>
      <c r="C413" s="93" t="s">
        <v>438</v>
      </c>
      <c r="D413" s="93" t="s">
        <v>439</v>
      </c>
      <c r="E413" s="127">
        <v>5.0</v>
      </c>
      <c r="F413" s="161"/>
      <c r="G413" s="161"/>
      <c r="H413" s="161">
        <f t="shared" si="10"/>
        <v>1250</v>
      </c>
      <c r="I413" s="126"/>
      <c r="J413" s="126" t="str">
        <f t="shared" si="9"/>
        <v>5 Patient Portal Logins</v>
      </c>
      <c r="K413" s="23"/>
      <c r="L413" s="23"/>
      <c r="M413" s="23"/>
    </row>
    <row r="414" hidden="1">
      <c r="A414" s="6" t="s">
        <v>254</v>
      </c>
      <c r="B414" s="94" t="s">
        <v>458</v>
      </c>
      <c r="C414" s="94" t="s">
        <v>459</v>
      </c>
      <c r="D414" s="94" t="s">
        <v>460</v>
      </c>
      <c r="E414" s="127">
        <v>14.0</v>
      </c>
      <c r="F414" s="161"/>
      <c r="G414" s="161"/>
      <c r="H414" s="161">
        <f t="shared" si="10"/>
        <v>3500</v>
      </c>
      <c r="I414" s="126"/>
      <c r="J414" s="126" t="str">
        <f t="shared" si="9"/>
        <v>14 Patient Portal Logins</v>
      </c>
      <c r="K414" s="23"/>
      <c r="L414" s="23"/>
      <c r="M414" s="23"/>
    </row>
    <row r="415" hidden="1">
      <c r="A415" s="6" t="s">
        <v>254</v>
      </c>
      <c r="B415" s="95" t="s">
        <v>446</v>
      </c>
      <c r="C415" s="94" t="s">
        <v>447</v>
      </c>
      <c r="D415" s="94" t="s">
        <v>448</v>
      </c>
      <c r="E415" s="127">
        <v>22.0</v>
      </c>
      <c r="F415" s="161"/>
      <c r="G415" s="161"/>
      <c r="H415" s="161">
        <f t="shared" si="10"/>
        <v>5500</v>
      </c>
      <c r="I415" s="126"/>
      <c r="J415" s="126" t="str">
        <f t="shared" si="9"/>
        <v>22 Patient Portal Logins</v>
      </c>
      <c r="K415" s="23"/>
      <c r="L415" s="23"/>
      <c r="M415" s="23"/>
    </row>
    <row r="416" hidden="1">
      <c r="A416" s="6" t="s">
        <v>254</v>
      </c>
      <c r="B416" s="95" t="s">
        <v>449</v>
      </c>
      <c r="C416" s="94" t="s">
        <v>450</v>
      </c>
      <c r="D416" s="94" t="s">
        <v>451</v>
      </c>
      <c r="E416" s="127">
        <v>22.0</v>
      </c>
      <c r="F416" s="161"/>
      <c r="G416" s="161"/>
      <c r="H416" s="161">
        <f t="shared" si="10"/>
        <v>5500</v>
      </c>
      <c r="I416" s="126"/>
      <c r="J416" s="126" t="str">
        <f t="shared" si="9"/>
        <v>22 Patient Portal Logins</v>
      </c>
      <c r="K416" s="23"/>
      <c r="L416" s="23"/>
      <c r="M416" s="23"/>
    </row>
    <row r="417" hidden="1">
      <c r="A417" s="6" t="s">
        <v>254</v>
      </c>
      <c r="B417" s="94" t="s">
        <v>452</v>
      </c>
      <c r="C417" s="94" t="s">
        <v>453</v>
      </c>
      <c r="D417" s="94" t="s">
        <v>454</v>
      </c>
      <c r="E417" s="127">
        <v>18.0</v>
      </c>
      <c r="F417" s="161"/>
      <c r="G417" s="161"/>
      <c r="H417" s="161">
        <f t="shared" si="10"/>
        <v>4500</v>
      </c>
      <c r="I417" s="126"/>
      <c r="J417" s="126" t="str">
        <f t="shared" si="9"/>
        <v>18 Patient Portal Logins</v>
      </c>
      <c r="K417" s="23"/>
      <c r="L417" s="23"/>
      <c r="M417" s="23"/>
    </row>
    <row r="418" hidden="1">
      <c r="A418" s="6" t="s">
        <v>254</v>
      </c>
      <c r="B418" s="94" t="s">
        <v>455</v>
      </c>
      <c r="C418" s="94" t="s">
        <v>456</v>
      </c>
      <c r="D418" s="94" t="s">
        <v>457</v>
      </c>
      <c r="E418" s="127">
        <v>6.0</v>
      </c>
      <c r="F418" s="161"/>
      <c r="G418" s="161"/>
      <c r="H418" s="161">
        <f t="shared" si="10"/>
        <v>1500</v>
      </c>
      <c r="I418" s="126"/>
      <c r="J418" s="126" t="str">
        <f t="shared" si="9"/>
        <v>6 Patient Portal Logins</v>
      </c>
      <c r="K418" s="23"/>
      <c r="L418" s="23"/>
      <c r="M418" s="23"/>
    </row>
    <row r="419" hidden="1">
      <c r="A419" s="6" t="s">
        <v>261</v>
      </c>
      <c r="B419" s="92" t="s">
        <v>532</v>
      </c>
      <c r="C419" s="93" t="s">
        <v>533</v>
      </c>
      <c r="D419" s="93" t="s">
        <v>534</v>
      </c>
      <c r="E419" s="184">
        <v>1.0</v>
      </c>
      <c r="F419" s="161"/>
      <c r="G419" s="161"/>
      <c r="H419" s="161">
        <f t="shared" si="10"/>
        <v>250</v>
      </c>
      <c r="I419" s="126"/>
      <c r="J419" s="126" t="str">
        <f t="shared" si="9"/>
        <v>1 Patient Portal Logins</v>
      </c>
      <c r="K419" s="23"/>
      <c r="L419" s="23"/>
      <c r="M419" s="23"/>
    </row>
    <row r="420" hidden="1">
      <c r="A420" s="6" t="s">
        <v>261</v>
      </c>
      <c r="B420" s="92" t="s">
        <v>529</v>
      </c>
      <c r="C420" s="93" t="s">
        <v>530</v>
      </c>
      <c r="D420" s="93" t="s">
        <v>531</v>
      </c>
      <c r="E420" s="184">
        <v>8.0</v>
      </c>
      <c r="F420" s="161"/>
      <c r="G420" s="161"/>
      <c r="H420" s="161">
        <f t="shared" si="10"/>
        <v>2000</v>
      </c>
      <c r="I420" s="126"/>
      <c r="J420" s="126" t="str">
        <f t="shared" si="9"/>
        <v>8 Patient Portal Logins</v>
      </c>
      <c r="K420" s="23"/>
      <c r="L420" s="23"/>
      <c r="M420" s="23"/>
    </row>
    <row r="421" hidden="1">
      <c r="A421" s="6" t="s">
        <v>261</v>
      </c>
      <c r="B421" s="92" t="s">
        <v>443</v>
      </c>
      <c r="C421" s="93" t="s">
        <v>444</v>
      </c>
      <c r="D421" s="93" t="s">
        <v>445</v>
      </c>
      <c r="E421" s="184">
        <v>3.0</v>
      </c>
      <c r="F421" s="161"/>
      <c r="G421" s="161"/>
      <c r="H421" s="161">
        <f t="shared" si="10"/>
        <v>750</v>
      </c>
      <c r="I421" s="126"/>
      <c r="J421" s="126" t="str">
        <f t="shared" si="9"/>
        <v>3 Patient Portal Logins</v>
      </c>
      <c r="K421" s="23"/>
      <c r="L421" s="23"/>
      <c r="M421" s="23"/>
    </row>
    <row r="422" hidden="1">
      <c r="A422" s="6" t="s">
        <v>261</v>
      </c>
      <c r="B422" s="92" t="s">
        <v>543</v>
      </c>
      <c r="C422" s="93" t="s">
        <v>544</v>
      </c>
      <c r="D422" s="93" t="s">
        <v>545</v>
      </c>
      <c r="E422" s="184">
        <v>6.0</v>
      </c>
      <c r="F422" s="161"/>
      <c r="G422" s="161"/>
      <c r="H422" s="161">
        <f t="shared" si="10"/>
        <v>1500</v>
      </c>
      <c r="I422" s="126"/>
      <c r="J422" s="126" t="str">
        <f t="shared" si="9"/>
        <v>6 Patient Portal Logins</v>
      </c>
      <c r="K422" s="23"/>
      <c r="L422" s="23"/>
      <c r="M422" s="23"/>
    </row>
    <row r="423" hidden="1">
      <c r="A423" s="6" t="s">
        <v>261</v>
      </c>
      <c r="B423" s="92" t="s">
        <v>398</v>
      </c>
      <c r="C423" s="93" t="s">
        <v>399</v>
      </c>
      <c r="D423" s="93" t="s">
        <v>400</v>
      </c>
      <c r="E423" s="184">
        <v>2.0</v>
      </c>
      <c r="F423" s="161"/>
      <c r="G423" s="161"/>
      <c r="H423" s="161">
        <f t="shared" si="10"/>
        <v>500</v>
      </c>
      <c r="I423" s="126"/>
      <c r="J423" s="126" t="str">
        <f t="shared" si="9"/>
        <v>2 Patient Portal Logins</v>
      </c>
      <c r="K423" s="23"/>
      <c r="L423" s="23"/>
      <c r="M423" s="23"/>
    </row>
    <row r="424" hidden="1">
      <c r="A424" s="6" t="s">
        <v>261</v>
      </c>
      <c r="B424" s="92" t="s">
        <v>404</v>
      </c>
      <c r="C424" s="93" t="s">
        <v>405</v>
      </c>
      <c r="D424" s="93" t="s">
        <v>406</v>
      </c>
      <c r="E424" s="184">
        <v>4.0</v>
      </c>
      <c r="F424" s="161"/>
      <c r="G424" s="161"/>
      <c r="H424" s="161">
        <f t="shared" si="10"/>
        <v>1000</v>
      </c>
      <c r="I424" s="126"/>
      <c r="J424" s="126" t="str">
        <f t="shared" si="9"/>
        <v>4 Patient Portal Logins</v>
      </c>
      <c r="K424" s="23"/>
      <c r="L424" s="23"/>
      <c r="M424" s="23"/>
    </row>
    <row r="425" hidden="1">
      <c r="A425" s="6" t="s">
        <v>261</v>
      </c>
      <c r="B425" s="92" t="s">
        <v>407</v>
      </c>
      <c r="C425" s="93" t="s">
        <v>408</v>
      </c>
      <c r="D425" s="93" t="s">
        <v>409</v>
      </c>
      <c r="E425" s="184">
        <v>11.0</v>
      </c>
      <c r="F425" s="161"/>
      <c r="G425" s="161"/>
      <c r="H425" s="161">
        <f t="shared" si="10"/>
        <v>2750</v>
      </c>
      <c r="I425" s="126"/>
      <c r="J425" s="126" t="str">
        <f t="shared" si="9"/>
        <v>11 Patient Portal Logins</v>
      </c>
      <c r="K425" s="23"/>
      <c r="L425" s="23"/>
      <c r="M425" s="23"/>
    </row>
    <row r="426" hidden="1">
      <c r="A426" s="6" t="s">
        <v>261</v>
      </c>
      <c r="B426" s="92" t="s">
        <v>410</v>
      </c>
      <c r="C426" s="93" t="s">
        <v>411</v>
      </c>
      <c r="D426" s="93" t="s">
        <v>412</v>
      </c>
      <c r="E426" s="184">
        <v>22.0</v>
      </c>
      <c r="F426" s="161"/>
      <c r="G426" s="161"/>
      <c r="H426" s="161">
        <f t="shared" si="10"/>
        <v>5500</v>
      </c>
      <c r="I426" s="126"/>
      <c r="J426" s="126" t="str">
        <f t="shared" si="9"/>
        <v>22 Patient Portal Logins</v>
      </c>
      <c r="K426" s="23"/>
      <c r="L426" s="23"/>
      <c r="M426" s="23"/>
    </row>
    <row r="427" hidden="1">
      <c r="A427" s="6" t="s">
        <v>261</v>
      </c>
      <c r="B427" s="92" t="s">
        <v>413</v>
      </c>
      <c r="C427" s="93" t="s">
        <v>414</v>
      </c>
      <c r="D427" s="93" t="s">
        <v>415</v>
      </c>
      <c r="E427" s="184">
        <v>23.0</v>
      </c>
      <c r="F427" s="161"/>
      <c r="G427" s="161"/>
      <c r="H427" s="161">
        <f t="shared" si="10"/>
        <v>5750</v>
      </c>
      <c r="I427" s="126"/>
      <c r="J427" s="126" t="str">
        <f t="shared" si="9"/>
        <v>23 Patient Portal Logins</v>
      </c>
      <c r="K427" s="23"/>
      <c r="L427" s="23"/>
      <c r="M427" s="23"/>
    </row>
    <row r="428" hidden="1">
      <c r="A428" s="6" t="s">
        <v>261</v>
      </c>
      <c r="B428" s="92" t="s">
        <v>416</v>
      </c>
      <c r="C428" s="93" t="s">
        <v>417</v>
      </c>
      <c r="D428" s="93" t="s">
        <v>418</v>
      </c>
      <c r="E428" s="184">
        <v>5.0</v>
      </c>
      <c r="F428" s="161"/>
      <c r="G428" s="161"/>
      <c r="H428" s="161">
        <f t="shared" si="10"/>
        <v>1250</v>
      </c>
      <c r="I428" s="126"/>
      <c r="J428" s="126" t="str">
        <f t="shared" si="9"/>
        <v>5 Patient Portal Logins</v>
      </c>
      <c r="K428" s="23"/>
      <c r="L428" s="23"/>
      <c r="M428" s="23"/>
    </row>
    <row r="429" hidden="1">
      <c r="A429" s="6" t="s">
        <v>261</v>
      </c>
      <c r="B429" s="92" t="s">
        <v>422</v>
      </c>
      <c r="C429" s="93" t="s">
        <v>423</v>
      </c>
      <c r="D429" s="93" t="s">
        <v>424</v>
      </c>
      <c r="E429" s="127">
        <v>27.0</v>
      </c>
      <c r="F429" s="209"/>
      <c r="G429" s="209"/>
      <c r="H429" s="209">
        <f t="shared" si="10"/>
        <v>6750</v>
      </c>
      <c r="I429" s="126"/>
      <c r="J429" s="126" t="str">
        <f t="shared" si="9"/>
        <v>27 Patient Portal Logins</v>
      </c>
      <c r="K429" s="211">
        <v>2750.0</v>
      </c>
      <c r="L429" s="23"/>
      <c r="M429" s="23"/>
    </row>
    <row r="430" hidden="1">
      <c r="A430" s="6" t="s">
        <v>261</v>
      </c>
      <c r="B430" s="92" t="s">
        <v>425</v>
      </c>
      <c r="C430" s="93" t="s">
        <v>426</v>
      </c>
      <c r="D430" s="93" t="s">
        <v>427</v>
      </c>
      <c r="E430" s="127">
        <v>30.0</v>
      </c>
      <c r="F430" s="161"/>
      <c r="G430" s="161"/>
      <c r="H430" s="161">
        <f t="shared" si="10"/>
        <v>7500</v>
      </c>
      <c r="I430" s="126"/>
      <c r="J430" s="126" t="str">
        <f t="shared" si="9"/>
        <v>30 Patient Portal Logins</v>
      </c>
      <c r="K430" s="23"/>
      <c r="L430" s="23"/>
      <c r="M430" s="23"/>
    </row>
    <row r="431" hidden="1">
      <c r="A431" s="6" t="s">
        <v>261</v>
      </c>
      <c r="B431" s="92" t="s">
        <v>428</v>
      </c>
      <c r="C431" s="93" t="s">
        <v>429</v>
      </c>
      <c r="D431" s="93" t="s">
        <v>430</v>
      </c>
      <c r="E431" s="184">
        <v>49.0</v>
      </c>
      <c r="F431" s="161"/>
      <c r="G431" s="161"/>
      <c r="H431" s="161">
        <f t="shared" si="10"/>
        <v>12250</v>
      </c>
      <c r="I431" s="126"/>
      <c r="J431" s="126" t="str">
        <f t="shared" si="9"/>
        <v>49 Patient Portal Logins</v>
      </c>
      <c r="K431" s="23"/>
      <c r="L431" s="23"/>
      <c r="M431" s="23"/>
    </row>
    <row r="432" hidden="1">
      <c r="A432" s="6" t="s">
        <v>261</v>
      </c>
      <c r="B432" s="92" t="s">
        <v>431</v>
      </c>
      <c r="C432" s="93" t="s">
        <v>432</v>
      </c>
      <c r="D432" s="93" t="s">
        <v>433</v>
      </c>
      <c r="E432" s="127">
        <v>24.0</v>
      </c>
      <c r="F432" s="161"/>
      <c r="G432" s="161"/>
      <c r="H432" s="161">
        <f t="shared" si="10"/>
        <v>6000</v>
      </c>
      <c r="I432" s="126"/>
      <c r="J432" s="126" t="str">
        <f t="shared" si="9"/>
        <v>24 Patient Portal Logins</v>
      </c>
      <c r="K432" s="23"/>
      <c r="L432" s="23"/>
      <c r="M432" s="23"/>
    </row>
    <row r="433" hidden="1">
      <c r="A433" s="6" t="s">
        <v>261</v>
      </c>
      <c r="B433" s="92" t="s">
        <v>437</v>
      </c>
      <c r="C433" s="93" t="s">
        <v>438</v>
      </c>
      <c r="D433" s="93" t="s">
        <v>439</v>
      </c>
      <c r="E433" s="127">
        <v>10.0</v>
      </c>
      <c r="F433" s="161"/>
      <c r="G433" s="161"/>
      <c r="H433" s="161">
        <f t="shared" si="10"/>
        <v>2500</v>
      </c>
      <c r="I433" s="126"/>
      <c r="J433" s="126" t="str">
        <f t="shared" si="9"/>
        <v>10 Patient Portal Logins</v>
      </c>
      <c r="K433" s="23"/>
      <c r="L433" s="23"/>
      <c r="M433" s="23"/>
    </row>
    <row r="434" hidden="1">
      <c r="A434" s="6" t="s">
        <v>261</v>
      </c>
      <c r="B434" s="94" t="s">
        <v>458</v>
      </c>
      <c r="C434" s="94" t="s">
        <v>459</v>
      </c>
      <c r="D434" s="94" t="s">
        <v>460</v>
      </c>
      <c r="E434" s="184">
        <v>18.0</v>
      </c>
      <c r="F434" s="161"/>
      <c r="G434" s="161"/>
      <c r="H434" s="161">
        <f t="shared" si="10"/>
        <v>4500</v>
      </c>
      <c r="I434" s="126"/>
      <c r="J434" s="126" t="str">
        <f t="shared" si="9"/>
        <v>18 Patient Portal Logins</v>
      </c>
      <c r="K434" s="23"/>
      <c r="L434" s="23"/>
      <c r="M434" s="23"/>
    </row>
    <row r="435" hidden="1">
      <c r="A435" s="6" t="s">
        <v>261</v>
      </c>
      <c r="B435" s="95" t="s">
        <v>446</v>
      </c>
      <c r="C435" s="94" t="s">
        <v>447</v>
      </c>
      <c r="D435" s="94" t="s">
        <v>448</v>
      </c>
      <c r="E435" s="184">
        <v>10.0</v>
      </c>
      <c r="F435" s="161"/>
      <c r="G435" s="161"/>
      <c r="H435" s="161">
        <f t="shared" si="10"/>
        <v>2500</v>
      </c>
      <c r="I435" s="126"/>
      <c r="J435" s="126" t="str">
        <f t="shared" si="9"/>
        <v>10 Patient Portal Logins</v>
      </c>
      <c r="K435" s="23"/>
      <c r="L435" s="23"/>
      <c r="M435" s="23"/>
    </row>
    <row r="436" hidden="1">
      <c r="A436" s="6" t="s">
        <v>261</v>
      </c>
      <c r="B436" s="95" t="s">
        <v>449</v>
      </c>
      <c r="C436" s="94" t="s">
        <v>450</v>
      </c>
      <c r="D436" s="94" t="s">
        <v>451</v>
      </c>
      <c r="E436" s="184">
        <v>20.0</v>
      </c>
      <c r="F436" s="161"/>
      <c r="G436" s="161"/>
      <c r="H436" s="161">
        <f t="shared" si="10"/>
        <v>5000</v>
      </c>
      <c r="I436" s="126"/>
      <c r="J436" s="126" t="str">
        <f t="shared" si="9"/>
        <v>20 Patient Portal Logins</v>
      </c>
      <c r="K436" s="23"/>
      <c r="L436" s="23"/>
      <c r="M436" s="23"/>
    </row>
    <row r="437" hidden="1">
      <c r="A437" s="6" t="s">
        <v>261</v>
      </c>
      <c r="B437" s="94" t="s">
        <v>452</v>
      </c>
      <c r="C437" s="94" t="s">
        <v>453</v>
      </c>
      <c r="D437" s="94" t="s">
        <v>454</v>
      </c>
      <c r="E437" s="184">
        <v>14.0</v>
      </c>
      <c r="F437" s="161"/>
      <c r="G437" s="161"/>
      <c r="H437" s="161">
        <f t="shared" si="10"/>
        <v>3500</v>
      </c>
      <c r="I437" s="126"/>
      <c r="J437" s="126" t="str">
        <f t="shared" si="9"/>
        <v>14 Patient Portal Logins</v>
      </c>
      <c r="K437" s="23"/>
      <c r="L437" s="23"/>
      <c r="M437" s="23"/>
    </row>
    <row r="438" hidden="1">
      <c r="A438" s="6" t="s">
        <v>261</v>
      </c>
      <c r="B438" s="94" t="s">
        <v>455</v>
      </c>
      <c r="C438" s="94" t="s">
        <v>456</v>
      </c>
      <c r="D438" s="94" t="s">
        <v>457</v>
      </c>
      <c r="E438" s="127">
        <v>4.0</v>
      </c>
      <c r="F438" s="161"/>
      <c r="G438" s="161"/>
      <c r="H438" s="161">
        <f t="shared" si="10"/>
        <v>1000</v>
      </c>
      <c r="I438" s="126"/>
      <c r="J438" s="126" t="str">
        <f t="shared" si="9"/>
        <v>4 Patient Portal Logins</v>
      </c>
      <c r="K438" s="23"/>
      <c r="L438" s="23"/>
      <c r="M438" s="23"/>
    </row>
    <row r="439" hidden="1">
      <c r="A439" s="6" t="s">
        <v>265</v>
      </c>
      <c r="B439" s="91" t="s">
        <v>532</v>
      </c>
      <c r="C439" s="96" t="s">
        <v>533</v>
      </c>
      <c r="D439" s="96" t="s">
        <v>534</v>
      </c>
      <c r="E439" s="127">
        <v>1.0</v>
      </c>
      <c r="F439" s="161"/>
      <c r="G439" s="161"/>
      <c r="H439" s="161">
        <f t="shared" si="10"/>
        <v>250</v>
      </c>
      <c r="I439" s="126"/>
      <c r="J439" s="126" t="str">
        <f t="shared" si="9"/>
        <v>1 Patient Portal Logins</v>
      </c>
      <c r="K439" s="23"/>
      <c r="L439" s="23"/>
      <c r="M439" s="23"/>
    </row>
    <row r="440" hidden="1">
      <c r="A440" s="6" t="s">
        <v>265</v>
      </c>
      <c r="B440" s="91" t="s">
        <v>540</v>
      </c>
      <c r="C440" s="96" t="s">
        <v>541</v>
      </c>
      <c r="D440" s="96" t="s">
        <v>542</v>
      </c>
      <c r="E440" s="127">
        <v>0.0</v>
      </c>
      <c r="F440" s="161"/>
      <c r="G440" s="161"/>
      <c r="H440" s="161">
        <f t="shared" si="10"/>
        <v>0</v>
      </c>
      <c r="I440" s="126"/>
      <c r="J440" s="126" t="str">
        <f t="shared" si="9"/>
        <v>0 Patient Portal Logins</v>
      </c>
      <c r="K440" s="23"/>
      <c r="L440" s="23"/>
      <c r="M440" s="23"/>
    </row>
    <row r="441" hidden="1">
      <c r="A441" s="6" t="s">
        <v>265</v>
      </c>
      <c r="B441" s="92" t="s">
        <v>529</v>
      </c>
      <c r="C441" s="93" t="s">
        <v>530</v>
      </c>
      <c r="D441" s="93" t="s">
        <v>531</v>
      </c>
      <c r="E441" s="127">
        <v>2.0</v>
      </c>
      <c r="F441" s="161"/>
      <c r="G441" s="161"/>
      <c r="H441" s="161">
        <f t="shared" si="10"/>
        <v>500</v>
      </c>
      <c r="I441" s="126"/>
      <c r="J441" s="126" t="str">
        <f t="shared" si="9"/>
        <v>2 Patient Portal Logins</v>
      </c>
      <c r="K441" s="23"/>
      <c r="L441" s="23"/>
      <c r="M441" s="23"/>
    </row>
    <row r="442" hidden="1">
      <c r="A442" s="6" t="s">
        <v>265</v>
      </c>
      <c r="B442" s="92" t="s">
        <v>443</v>
      </c>
      <c r="C442" s="93" t="s">
        <v>444</v>
      </c>
      <c r="D442" s="93" t="s">
        <v>445</v>
      </c>
      <c r="E442" s="127">
        <v>2.0</v>
      </c>
      <c r="F442" s="161"/>
      <c r="G442" s="161"/>
      <c r="H442" s="161">
        <f t="shared" si="10"/>
        <v>500</v>
      </c>
      <c r="I442" s="126"/>
      <c r="J442" s="126" t="str">
        <f t="shared" si="9"/>
        <v>2 Patient Portal Logins</v>
      </c>
      <c r="K442" s="23"/>
      <c r="L442" s="23"/>
      <c r="M442" s="23"/>
    </row>
    <row r="443" hidden="1">
      <c r="A443" s="6" t="s">
        <v>265</v>
      </c>
      <c r="B443" s="92" t="s">
        <v>543</v>
      </c>
      <c r="C443" s="93" t="s">
        <v>544</v>
      </c>
      <c r="D443" s="93" t="s">
        <v>545</v>
      </c>
      <c r="E443" s="127">
        <v>7.0</v>
      </c>
      <c r="F443" s="161"/>
      <c r="G443" s="161"/>
      <c r="H443" s="161">
        <f t="shared" si="10"/>
        <v>1750</v>
      </c>
      <c r="I443" s="126"/>
      <c r="J443" s="126" t="str">
        <f t="shared" si="9"/>
        <v>7 Patient Portal Logins</v>
      </c>
      <c r="K443" s="23"/>
      <c r="L443" s="23"/>
      <c r="M443" s="23"/>
    </row>
    <row r="444" hidden="1">
      <c r="A444" s="6" t="s">
        <v>265</v>
      </c>
      <c r="B444" s="92" t="s">
        <v>564</v>
      </c>
      <c r="C444" s="93" t="s">
        <v>565</v>
      </c>
      <c r="D444" s="93" t="s">
        <v>566</v>
      </c>
      <c r="E444" s="127">
        <v>0.0</v>
      </c>
      <c r="F444" s="161"/>
      <c r="G444" s="161"/>
      <c r="H444" s="161">
        <f t="shared" si="10"/>
        <v>0</v>
      </c>
      <c r="I444" s="126"/>
      <c r="J444" s="126" t="str">
        <f t="shared" si="9"/>
        <v>0 Patient Portal Logins</v>
      </c>
      <c r="K444" s="23"/>
      <c r="L444" s="23"/>
      <c r="M444" s="23"/>
    </row>
    <row r="445" hidden="1">
      <c r="A445" s="6" t="s">
        <v>265</v>
      </c>
      <c r="B445" s="92" t="s">
        <v>398</v>
      </c>
      <c r="C445" s="93" t="s">
        <v>399</v>
      </c>
      <c r="D445" s="93" t="s">
        <v>400</v>
      </c>
      <c r="E445" s="127">
        <v>5.0</v>
      </c>
      <c r="F445" s="161"/>
      <c r="G445" s="161"/>
      <c r="H445" s="161">
        <f t="shared" si="10"/>
        <v>1250</v>
      </c>
      <c r="I445" s="126"/>
      <c r="J445" s="126" t="str">
        <f t="shared" si="9"/>
        <v>5 Patient Portal Logins</v>
      </c>
      <c r="K445" s="23"/>
      <c r="L445" s="23"/>
      <c r="M445" s="23"/>
    </row>
    <row r="446" hidden="1">
      <c r="A446" s="6" t="s">
        <v>265</v>
      </c>
      <c r="B446" s="92" t="s">
        <v>404</v>
      </c>
      <c r="C446" s="93" t="s">
        <v>405</v>
      </c>
      <c r="D446" s="93" t="s">
        <v>406</v>
      </c>
      <c r="E446" s="127">
        <v>3.0</v>
      </c>
      <c r="F446" s="161"/>
      <c r="G446" s="161"/>
      <c r="H446" s="161">
        <f t="shared" si="10"/>
        <v>750</v>
      </c>
      <c r="I446" s="126"/>
      <c r="J446" s="126" t="str">
        <f t="shared" si="9"/>
        <v>3 Patient Portal Logins</v>
      </c>
      <c r="K446" s="23"/>
      <c r="L446" s="23"/>
      <c r="M446" s="23"/>
    </row>
    <row r="447" hidden="1">
      <c r="A447" s="6" t="s">
        <v>265</v>
      </c>
      <c r="B447" s="92" t="s">
        <v>407</v>
      </c>
      <c r="C447" s="93" t="s">
        <v>408</v>
      </c>
      <c r="D447" s="93" t="s">
        <v>409</v>
      </c>
      <c r="E447" s="127">
        <v>14.0</v>
      </c>
      <c r="F447" s="161"/>
      <c r="G447" s="161"/>
      <c r="H447" s="161">
        <f t="shared" si="10"/>
        <v>3500</v>
      </c>
      <c r="I447" s="126"/>
      <c r="J447" s="126" t="str">
        <f t="shared" si="9"/>
        <v>14 Patient Portal Logins</v>
      </c>
      <c r="K447" s="23"/>
      <c r="L447" s="23"/>
      <c r="M447" s="23"/>
    </row>
    <row r="448" hidden="1">
      <c r="A448" s="6" t="s">
        <v>265</v>
      </c>
      <c r="B448" s="92" t="s">
        <v>410</v>
      </c>
      <c r="C448" s="93" t="s">
        <v>411</v>
      </c>
      <c r="D448" s="93" t="s">
        <v>412</v>
      </c>
      <c r="E448" s="127">
        <v>16.0</v>
      </c>
      <c r="F448" s="161"/>
      <c r="G448" s="161"/>
      <c r="H448" s="161">
        <f t="shared" si="10"/>
        <v>4000</v>
      </c>
      <c r="I448" s="126"/>
      <c r="J448" s="126" t="str">
        <f t="shared" si="9"/>
        <v>16 Patient Portal Logins</v>
      </c>
      <c r="K448" s="23"/>
      <c r="L448" s="23"/>
      <c r="M448" s="23"/>
    </row>
    <row r="449" hidden="1">
      <c r="A449" s="6" t="s">
        <v>265</v>
      </c>
      <c r="B449" s="92" t="s">
        <v>413</v>
      </c>
      <c r="C449" s="93" t="s">
        <v>414</v>
      </c>
      <c r="D449" s="93" t="s">
        <v>415</v>
      </c>
      <c r="E449" s="127">
        <v>24.0</v>
      </c>
      <c r="F449" s="161"/>
      <c r="G449" s="161"/>
      <c r="H449" s="161">
        <f t="shared" si="10"/>
        <v>6000</v>
      </c>
      <c r="I449" s="126"/>
      <c r="J449" s="126" t="str">
        <f t="shared" si="9"/>
        <v>24 Patient Portal Logins</v>
      </c>
      <c r="K449" s="23"/>
      <c r="L449" s="23"/>
      <c r="M449" s="23"/>
    </row>
    <row r="450" hidden="1">
      <c r="A450" s="6" t="s">
        <v>265</v>
      </c>
      <c r="B450" s="92" t="s">
        <v>416</v>
      </c>
      <c r="C450" s="93" t="s">
        <v>417</v>
      </c>
      <c r="D450" s="93" t="s">
        <v>418</v>
      </c>
      <c r="E450" s="127">
        <v>4.0</v>
      </c>
      <c r="F450" s="161"/>
      <c r="G450" s="161"/>
      <c r="H450" s="161">
        <f t="shared" si="10"/>
        <v>1000</v>
      </c>
      <c r="I450" s="126"/>
      <c r="J450" s="126" t="str">
        <f t="shared" si="9"/>
        <v>4 Patient Portal Logins</v>
      </c>
      <c r="K450" s="23"/>
      <c r="L450" s="23"/>
      <c r="M450" s="23"/>
    </row>
    <row r="451" hidden="1">
      <c r="A451" s="6" t="s">
        <v>265</v>
      </c>
      <c r="B451" s="92" t="s">
        <v>422</v>
      </c>
      <c r="C451" s="93" t="s">
        <v>423</v>
      </c>
      <c r="D451" s="93" t="s">
        <v>424</v>
      </c>
      <c r="E451" s="127">
        <v>23.0</v>
      </c>
      <c r="F451" s="212"/>
      <c r="G451" s="212"/>
      <c r="H451" s="212">
        <f t="shared" si="10"/>
        <v>5750</v>
      </c>
      <c r="I451" s="126"/>
      <c r="J451" s="126" t="str">
        <f t="shared" si="9"/>
        <v>23 Patient Portal Logins</v>
      </c>
      <c r="K451" s="208">
        <v>4950.0</v>
      </c>
      <c r="L451" s="23"/>
      <c r="M451" s="23"/>
    </row>
    <row r="452" hidden="1">
      <c r="A452" s="6" t="s">
        <v>265</v>
      </c>
      <c r="B452" s="92" t="s">
        <v>425</v>
      </c>
      <c r="C452" s="93" t="s">
        <v>426</v>
      </c>
      <c r="D452" s="93" t="s">
        <v>427</v>
      </c>
      <c r="E452" s="127">
        <v>14.0</v>
      </c>
      <c r="F452" s="161"/>
      <c r="G452" s="161"/>
      <c r="H452" s="161">
        <f t="shared" si="10"/>
        <v>3500</v>
      </c>
      <c r="I452" s="126"/>
      <c r="J452" s="126" t="str">
        <f t="shared" si="9"/>
        <v>14 Patient Portal Logins</v>
      </c>
      <c r="K452" s="23"/>
      <c r="L452" s="23"/>
      <c r="M452" s="23"/>
    </row>
    <row r="453" hidden="1">
      <c r="A453" s="6" t="s">
        <v>265</v>
      </c>
      <c r="B453" s="92" t="s">
        <v>428</v>
      </c>
      <c r="C453" s="93" t="s">
        <v>429</v>
      </c>
      <c r="D453" s="93" t="s">
        <v>430</v>
      </c>
      <c r="E453" s="127">
        <v>27.0</v>
      </c>
      <c r="F453" s="161"/>
      <c r="G453" s="161"/>
      <c r="H453" s="161">
        <f t="shared" si="10"/>
        <v>6750</v>
      </c>
      <c r="I453" s="126"/>
      <c r="J453" s="126" t="str">
        <f t="shared" si="9"/>
        <v>27 Patient Portal Logins</v>
      </c>
      <c r="K453" s="23"/>
      <c r="L453" s="23"/>
      <c r="M453" s="23"/>
    </row>
    <row r="454" hidden="1">
      <c r="A454" s="6" t="s">
        <v>265</v>
      </c>
      <c r="B454" s="92" t="s">
        <v>431</v>
      </c>
      <c r="C454" s="93" t="s">
        <v>432</v>
      </c>
      <c r="D454" s="93" t="s">
        <v>433</v>
      </c>
      <c r="E454" s="127">
        <v>14.0</v>
      </c>
      <c r="F454" s="161"/>
      <c r="G454" s="161"/>
      <c r="H454" s="161">
        <f t="shared" si="10"/>
        <v>3500</v>
      </c>
      <c r="I454" s="126"/>
      <c r="J454" s="126" t="str">
        <f t="shared" si="9"/>
        <v>14 Patient Portal Logins</v>
      </c>
      <c r="K454" s="23"/>
      <c r="L454" s="23"/>
      <c r="M454" s="23"/>
    </row>
    <row r="455" hidden="1">
      <c r="A455" s="6" t="s">
        <v>265</v>
      </c>
      <c r="B455" s="92" t="s">
        <v>437</v>
      </c>
      <c r="C455" s="93" t="s">
        <v>438</v>
      </c>
      <c r="D455" s="93" t="s">
        <v>439</v>
      </c>
      <c r="E455" s="127">
        <v>3.0</v>
      </c>
      <c r="F455" s="161"/>
      <c r="G455" s="161"/>
      <c r="H455" s="161">
        <f t="shared" si="10"/>
        <v>750</v>
      </c>
      <c r="I455" s="126"/>
      <c r="J455" s="126" t="str">
        <f t="shared" si="9"/>
        <v>3 Patient Portal Logins</v>
      </c>
      <c r="K455" s="23"/>
      <c r="L455" s="23"/>
      <c r="M455" s="23"/>
    </row>
    <row r="456" hidden="1">
      <c r="A456" s="6" t="s">
        <v>265</v>
      </c>
      <c r="B456" s="94" t="s">
        <v>458</v>
      </c>
      <c r="C456" s="94" t="s">
        <v>459</v>
      </c>
      <c r="D456" s="94" t="s">
        <v>460</v>
      </c>
      <c r="E456" s="127">
        <v>17.0</v>
      </c>
      <c r="F456" s="161"/>
      <c r="G456" s="161"/>
      <c r="H456" s="161">
        <f t="shared" si="10"/>
        <v>4250</v>
      </c>
      <c r="I456" s="126"/>
      <c r="J456" s="126" t="str">
        <f t="shared" si="9"/>
        <v>17 Patient Portal Logins</v>
      </c>
      <c r="K456" s="23"/>
      <c r="L456" s="23"/>
      <c r="M456" s="23"/>
    </row>
    <row r="457" hidden="1">
      <c r="A457" s="6" t="s">
        <v>265</v>
      </c>
      <c r="B457" s="95" t="s">
        <v>446</v>
      </c>
      <c r="C457" s="94" t="s">
        <v>447</v>
      </c>
      <c r="D457" s="94" t="s">
        <v>448</v>
      </c>
      <c r="E457" s="127">
        <v>18.0</v>
      </c>
      <c r="F457" s="161"/>
      <c r="G457" s="161"/>
      <c r="H457" s="161">
        <f t="shared" si="10"/>
        <v>4500</v>
      </c>
      <c r="I457" s="126"/>
      <c r="J457" s="126" t="str">
        <f t="shared" si="9"/>
        <v>18 Patient Portal Logins</v>
      </c>
      <c r="K457" s="23"/>
      <c r="L457" s="23"/>
      <c r="M457" s="23"/>
    </row>
    <row r="458" hidden="1">
      <c r="A458" s="6" t="s">
        <v>265</v>
      </c>
      <c r="B458" s="95" t="s">
        <v>449</v>
      </c>
      <c r="C458" s="94" t="s">
        <v>450</v>
      </c>
      <c r="D458" s="94" t="s">
        <v>451</v>
      </c>
      <c r="E458" s="127">
        <v>13.0</v>
      </c>
      <c r="F458" s="161"/>
      <c r="G458" s="161"/>
      <c r="H458" s="161">
        <f t="shared" si="10"/>
        <v>3250</v>
      </c>
      <c r="I458" s="126"/>
      <c r="J458" s="126" t="str">
        <f t="shared" si="9"/>
        <v>13 Patient Portal Logins</v>
      </c>
      <c r="K458" s="23"/>
      <c r="L458" s="23"/>
      <c r="M458" s="23"/>
    </row>
    <row r="459" hidden="1">
      <c r="A459" s="6" t="s">
        <v>265</v>
      </c>
      <c r="B459" s="94" t="s">
        <v>452</v>
      </c>
      <c r="C459" s="94" t="s">
        <v>453</v>
      </c>
      <c r="D459" s="94" t="s">
        <v>454</v>
      </c>
      <c r="E459" s="127">
        <v>12.0</v>
      </c>
      <c r="F459" s="161"/>
      <c r="G459" s="161"/>
      <c r="H459" s="161">
        <f t="shared" si="10"/>
        <v>3000</v>
      </c>
      <c r="I459" s="126"/>
      <c r="J459" s="126" t="str">
        <f t="shared" si="9"/>
        <v>12 Patient Portal Logins</v>
      </c>
      <c r="K459" s="23"/>
      <c r="L459" s="23"/>
      <c r="M459" s="23"/>
    </row>
    <row r="460" hidden="1">
      <c r="A460" s="6" t="s">
        <v>265</v>
      </c>
      <c r="B460" s="94" t="s">
        <v>455</v>
      </c>
      <c r="C460" s="94" t="s">
        <v>456</v>
      </c>
      <c r="D460" s="94" t="s">
        <v>457</v>
      </c>
      <c r="E460" s="127">
        <v>7.0</v>
      </c>
      <c r="F460" s="161"/>
      <c r="G460" s="161"/>
      <c r="H460" s="161">
        <f t="shared" si="10"/>
        <v>1750</v>
      </c>
      <c r="I460" s="126"/>
      <c r="J460" s="126" t="str">
        <f t="shared" si="9"/>
        <v>7 Patient Portal Logins</v>
      </c>
      <c r="K460" s="23"/>
      <c r="L460" s="23"/>
      <c r="M460" s="23"/>
    </row>
    <row r="461" hidden="1">
      <c r="A461" s="6" t="s">
        <v>266</v>
      </c>
      <c r="B461" s="91" t="s">
        <v>529</v>
      </c>
      <c r="C461" s="96" t="s">
        <v>530</v>
      </c>
      <c r="D461" s="96" t="s">
        <v>531</v>
      </c>
      <c r="E461" s="127">
        <v>1.0</v>
      </c>
      <c r="F461" s="161"/>
      <c r="G461" s="161"/>
      <c r="H461" s="161">
        <f t="shared" si="10"/>
        <v>250</v>
      </c>
      <c r="I461" s="126"/>
      <c r="J461" s="126" t="str">
        <f t="shared" si="9"/>
        <v>1 Patient Portal Logins</v>
      </c>
      <c r="K461" s="23"/>
      <c r="L461" s="23"/>
      <c r="M461" s="23"/>
    </row>
    <row r="462" hidden="1">
      <c r="A462" s="6" t="s">
        <v>266</v>
      </c>
      <c r="B462" s="91" t="s">
        <v>443</v>
      </c>
      <c r="C462" s="96" t="s">
        <v>444</v>
      </c>
      <c r="D462" s="96" t="s">
        <v>445</v>
      </c>
      <c r="E462" s="127">
        <v>11.0</v>
      </c>
      <c r="F462" s="161"/>
      <c r="G462" s="161"/>
      <c r="H462" s="161">
        <f t="shared" si="10"/>
        <v>2750</v>
      </c>
      <c r="I462" s="126"/>
      <c r="J462" s="126" t="str">
        <f t="shared" si="9"/>
        <v>11 Patient Portal Logins</v>
      </c>
      <c r="K462" s="23"/>
      <c r="L462" s="23"/>
      <c r="M462" s="23"/>
    </row>
    <row r="463" hidden="1">
      <c r="A463" s="6" t="s">
        <v>266</v>
      </c>
      <c r="B463" s="92" t="s">
        <v>543</v>
      </c>
      <c r="C463" s="93" t="s">
        <v>544</v>
      </c>
      <c r="D463" s="93" t="s">
        <v>545</v>
      </c>
      <c r="E463" s="127">
        <v>7.0</v>
      </c>
      <c r="F463" s="161"/>
      <c r="G463" s="161"/>
      <c r="H463" s="161">
        <f t="shared" si="10"/>
        <v>1750</v>
      </c>
      <c r="I463" s="126"/>
      <c r="J463" s="126" t="str">
        <f t="shared" si="9"/>
        <v>7 Patient Portal Logins</v>
      </c>
      <c r="K463" s="23"/>
      <c r="L463" s="23"/>
      <c r="M463" s="23"/>
    </row>
    <row r="464" hidden="1">
      <c r="A464" s="6" t="s">
        <v>266</v>
      </c>
      <c r="B464" s="92" t="s">
        <v>564</v>
      </c>
      <c r="C464" s="93" t="s">
        <v>565</v>
      </c>
      <c r="D464" s="93" t="s">
        <v>566</v>
      </c>
      <c r="E464" s="127">
        <v>1.0</v>
      </c>
      <c r="F464" s="161"/>
      <c r="G464" s="161"/>
      <c r="H464" s="161">
        <f t="shared" si="10"/>
        <v>250</v>
      </c>
      <c r="I464" s="126"/>
      <c r="J464" s="126" t="str">
        <f t="shared" si="9"/>
        <v>1 Patient Portal Logins</v>
      </c>
      <c r="K464" s="23"/>
      <c r="L464" s="23"/>
      <c r="M464" s="23"/>
    </row>
    <row r="465" hidden="1">
      <c r="A465" s="6" t="s">
        <v>266</v>
      </c>
      <c r="B465" s="92" t="s">
        <v>398</v>
      </c>
      <c r="C465" s="93" t="s">
        <v>399</v>
      </c>
      <c r="D465" s="93" t="s">
        <v>400</v>
      </c>
      <c r="E465" s="127">
        <v>5.0</v>
      </c>
      <c r="F465" s="161"/>
      <c r="G465" s="161"/>
      <c r="H465" s="161">
        <f t="shared" si="10"/>
        <v>1250</v>
      </c>
      <c r="I465" s="126"/>
      <c r="J465" s="126" t="str">
        <f t="shared" si="9"/>
        <v>5 Patient Portal Logins</v>
      </c>
      <c r="K465" s="23"/>
      <c r="L465" s="23"/>
      <c r="M465" s="23"/>
    </row>
    <row r="466" hidden="1">
      <c r="A466" s="6" t="s">
        <v>266</v>
      </c>
      <c r="B466" s="92" t="s">
        <v>404</v>
      </c>
      <c r="C466" s="93" t="s">
        <v>405</v>
      </c>
      <c r="D466" s="93" t="s">
        <v>406</v>
      </c>
      <c r="E466" s="127">
        <v>4.0</v>
      </c>
      <c r="F466" s="161"/>
      <c r="G466" s="161"/>
      <c r="H466" s="161">
        <f t="shared" si="10"/>
        <v>1000</v>
      </c>
      <c r="I466" s="126"/>
      <c r="J466" s="126" t="str">
        <f t="shared" si="9"/>
        <v>4 Patient Portal Logins</v>
      </c>
      <c r="K466" s="23"/>
      <c r="L466" s="23"/>
      <c r="M466" s="23"/>
    </row>
    <row r="467" hidden="1">
      <c r="A467" s="6" t="s">
        <v>266</v>
      </c>
      <c r="B467" s="92" t="s">
        <v>407</v>
      </c>
      <c r="C467" s="93" t="s">
        <v>408</v>
      </c>
      <c r="D467" s="93" t="s">
        <v>409</v>
      </c>
      <c r="E467" s="127">
        <v>8.0</v>
      </c>
      <c r="F467" s="161"/>
      <c r="G467" s="161"/>
      <c r="H467" s="161">
        <f t="shared" si="10"/>
        <v>2000</v>
      </c>
      <c r="I467" s="126"/>
      <c r="J467" s="126" t="str">
        <f t="shared" si="9"/>
        <v>8 Patient Portal Logins</v>
      </c>
      <c r="K467" s="23"/>
      <c r="L467" s="23"/>
      <c r="M467" s="23"/>
    </row>
    <row r="468" hidden="1">
      <c r="A468" s="6" t="s">
        <v>266</v>
      </c>
      <c r="B468" s="92" t="s">
        <v>410</v>
      </c>
      <c r="C468" s="93" t="s">
        <v>411</v>
      </c>
      <c r="D468" s="93" t="s">
        <v>412</v>
      </c>
      <c r="E468" s="127">
        <v>20.0</v>
      </c>
      <c r="F468" s="161"/>
      <c r="G468" s="161"/>
      <c r="H468" s="161">
        <f t="shared" si="10"/>
        <v>5000</v>
      </c>
      <c r="I468" s="126"/>
      <c r="J468" s="126" t="str">
        <f t="shared" si="9"/>
        <v>20 Patient Portal Logins</v>
      </c>
      <c r="K468" s="23"/>
      <c r="L468" s="23"/>
      <c r="M468" s="23"/>
    </row>
    <row r="469" hidden="1">
      <c r="A469" s="6" t="s">
        <v>266</v>
      </c>
      <c r="B469" s="92" t="s">
        <v>413</v>
      </c>
      <c r="C469" s="93" t="s">
        <v>414</v>
      </c>
      <c r="D469" s="93" t="s">
        <v>415</v>
      </c>
      <c r="E469" s="127">
        <v>16.0</v>
      </c>
      <c r="F469" s="161"/>
      <c r="G469" s="161"/>
      <c r="H469" s="161">
        <f t="shared" si="10"/>
        <v>4000</v>
      </c>
      <c r="I469" s="126"/>
      <c r="J469" s="126" t="str">
        <f t="shared" si="9"/>
        <v>16 Patient Portal Logins</v>
      </c>
      <c r="K469" s="23"/>
      <c r="L469" s="23"/>
      <c r="M469" s="23"/>
    </row>
    <row r="470" hidden="1">
      <c r="A470" s="6" t="s">
        <v>266</v>
      </c>
      <c r="B470" s="92" t="s">
        <v>416</v>
      </c>
      <c r="C470" s="93" t="s">
        <v>417</v>
      </c>
      <c r="D470" s="93" t="s">
        <v>418</v>
      </c>
      <c r="E470" s="127">
        <v>6.0</v>
      </c>
      <c r="F470" s="161"/>
      <c r="G470" s="161"/>
      <c r="H470" s="161">
        <f t="shared" si="10"/>
        <v>1500</v>
      </c>
      <c r="I470" s="126"/>
      <c r="J470" s="126" t="str">
        <f t="shared" si="9"/>
        <v>6 Patient Portal Logins</v>
      </c>
      <c r="K470" s="23"/>
      <c r="L470" s="23"/>
      <c r="M470" s="23"/>
    </row>
    <row r="471" hidden="1">
      <c r="A471" s="6" t="s">
        <v>266</v>
      </c>
      <c r="B471" s="92" t="s">
        <v>422</v>
      </c>
      <c r="C471" s="93" t="s">
        <v>423</v>
      </c>
      <c r="D471" s="93" t="s">
        <v>424</v>
      </c>
      <c r="E471" s="127">
        <v>11.0</v>
      </c>
      <c r="F471" s="161"/>
      <c r="G471" s="161"/>
      <c r="H471" s="161">
        <f t="shared" si="10"/>
        <v>2750</v>
      </c>
      <c r="I471" s="126"/>
      <c r="J471" s="126" t="str">
        <f t="shared" si="9"/>
        <v>11 Patient Portal Logins</v>
      </c>
      <c r="K471" s="23"/>
      <c r="L471" s="23"/>
      <c r="M471" s="23"/>
    </row>
    <row r="472" hidden="1">
      <c r="A472" s="6" t="s">
        <v>266</v>
      </c>
      <c r="B472" s="92" t="s">
        <v>425</v>
      </c>
      <c r="C472" s="93" t="s">
        <v>426</v>
      </c>
      <c r="D472" s="93" t="s">
        <v>427</v>
      </c>
      <c r="E472" s="127">
        <v>14.0</v>
      </c>
      <c r="F472" s="161"/>
      <c r="G472" s="161"/>
      <c r="H472" s="161">
        <f t="shared" si="10"/>
        <v>3500</v>
      </c>
      <c r="I472" s="126"/>
      <c r="J472" s="126" t="str">
        <f t="shared" si="9"/>
        <v>14 Patient Portal Logins</v>
      </c>
      <c r="K472" s="23"/>
      <c r="L472" s="23"/>
      <c r="M472" s="23"/>
    </row>
    <row r="473" hidden="1">
      <c r="A473" s="6" t="s">
        <v>266</v>
      </c>
      <c r="B473" s="92" t="s">
        <v>428</v>
      </c>
      <c r="C473" s="93" t="s">
        <v>429</v>
      </c>
      <c r="D473" s="93" t="s">
        <v>430</v>
      </c>
      <c r="E473" s="127">
        <v>42.0</v>
      </c>
      <c r="F473" s="161"/>
      <c r="G473" s="161"/>
      <c r="H473" s="161">
        <f t="shared" si="10"/>
        <v>10500</v>
      </c>
      <c r="I473" s="126"/>
      <c r="J473" s="126" t="str">
        <f t="shared" si="9"/>
        <v>42 Patient Portal Logins</v>
      </c>
      <c r="K473" s="23"/>
      <c r="L473" s="23"/>
      <c r="M473" s="23"/>
    </row>
    <row r="474" hidden="1">
      <c r="A474" s="6" t="s">
        <v>266</v>
      </c>
      <c r="B474" s="92" t="s">
        <v>431</v>
      </c>
      <c r="C474" s="93" t="s">
        <v>432</v>
      </c>
      <c r="D474" s="93" t="s">
        <v>433</v>
      </c>
      <c r="E474" s="127">
        <v>14.0</v>
      </c>
      <c r="F474" s="161"/>
      <c r="G474" s="161"/>
      <c r="H474" s="161">
        <f t="shared" si="10"/>
        <v>3500</v>
      </c>
      <c r="I474" s="126"/>
      <c r="J474" s="126" t="str">
        <f t="shared" si="9"/>
        <v>14 Patient Portal Logins</v>
      </c>
      <c r="K474" s="23"/>
      <c r="L474" s="23"/>
      <c r="M474" s="23"/>
    </row>
    <row r="475" hidden="1">
      <c r="A475" s="6" t="s">
        <v>266</v>
      </c>
      <c r="B475" s="92" t="s">
        <v>437</v>
      </c>
      <c r="C475" s="93" t="s">
        <v>438</v>
      </c>
      <c r="D475" s="93" t="s">
        <v>439</v>
      </c>
      <c r="E475" s="127">
        <v>6.0</v>
      </c>
      <c r="F475" s="161"/>
      <c r="G475" s="161"/>
      <c r="H475" s="161">
        <f t="shared" si="10"/>
        <v>1500</v>
      </c>
      <c r="I475" s="126"/>
      <c r="J475" s="126" t="str">
        <f t="shared" si="9"/>
        <v>6 Patient Portal Logins</v>
      </c>
      <c r="K475" s="23"/>
      <c r="L475" s="23"/>
      <c r="M475" s="23"/>
    </row>
    <row r="476" hidden="1">
      <c r="A476" s="6" t="s">
        <v>266</v>
      </c>
      <c r="B476" s="95" t="s">
        <v>446</v>
      </c>
      <c r="C476" s="94" t="s">
        <v>447</v>
      </c>
      <c r="D476" s="94" t="s">
        <v>448</v>
      </c>
      <c r="E476" s="127">
        <v>9.0</v>
      </c>
      <c r="F476" s="161"/>
      <c r="G476" s="161"/>
      <c r="H476" s="161">
        <f t="shared" si="10"/>
        <v>2250</v>
      </c>
      <c r="I476" s="126"/>
      <c r="J476" s="126" t="str">
        <f t="shared" si="9"/>
        <v>9 Patient Portal Logins</v>
      </c>
      <c r="K476" s="23"/>
      <c r="L476" s="23"/>
      <c r="M476" s="23"/>
    </row>
    <row r="477" hidden="1">
      <c r="A477" s="6" t="s">
        <v>266</v>
      </c>
      <c r="B477" s="95" t="s">
        <v>449</v>
      </c>
      <c r="C477" s="94" t="s">
        <v>450</v>
      </c>
      <c r="D477" s="94" t="s">
        <v>451</v>
      </c>
      <c r="E477" s="127">
        <v>5.0</v>
      </c>
      <c r="F477" s="161"/>
      <c r="G477" s="161"/>
      <c r="H477" s="161">
        <f t="shared" si="10"/>
        <v>1250</v>
      </c>
      <c r="I477" s="126"/>
      <c r="J477" s="126" t="str">
        <f t="shared" si="9"/>
        <v>5 Patient Portal Logins</v>
      </c>
      <c r="K477" s="23"/>
      <c r="L477" s="23"/>
      <c r="M477" s="23"/>
    </row>
    <row r="478" hidden="1">
      <c r="A478" s="6" t="s">
        <v>266</v>
      </c>
      <c r="B478" s="94" t="s">
        <v>452</v>
      </c>
      <c r="C478" s="94" t="s">
        <v>453</v>
      </c>
      <c r="D478" s="94" t="s">
        <v>454</v>
      </c>
      <c r="E478" s="127">
        <v>16.0</v>
      </c>
      <c r="F478" s="161"/>
      <c r="G478" s="161"/>
      <c r="H478" s="161">
        <f t="shared" si="10"/>
        <v>4000</v>
      </c>
      <c r="I478" s="126"/>
      <c r="J478" s="126" t="str">
        <f t="shared" si="9"/>
        <v>16 Patient Portal Logins</v>
      </c>
      <c r="K478" s="23"/>
      <c r="L478" s="23"/>
      <c r="M478" s="23"/>
    </row>
    <row r="479" hidden="1">
      <c r="A479" s="6" t="s">
        <v>266</v>
      </c>
      <c r="B479" s="94" t="s">
        <v>455</v>
      </c>
      <c r="C479" s="94" t="s">
        <v>456</v>
      </c>
      <c r="D479" s="94" t="s">
        <v>457</v>
      </c>
      <c r="E479" s="127">
        <v>7.0</v>
      </c>
      <c r="F479" s="161"/>
      <c r="G479" s="161"/>
      <c r="H479" s="161">
        <f t="shared" si="10"/>
        <v>1750</v>
      </c>
      <c r="I479" s="126"/>
      <c r="J479" s="126" t="str">
        <f t="shared" si="9"/>
        <v>7 Patient Portal Logins</v>
      </c>
      <c r="K479" s="23"/>
      <c r="L479" s="23"/>
      <c r="M479" s="23"/>
    </row>
    <row r="480" hidden="1">
      <c r="A480" s="6" t="s">
        <v>270</v>
      </c>
      <c r="B480" s="92" t="s">
        <v>543</v>
      </c>
      <c r="C480" s="93" t="s">
        <v>544</v>
      </c>
      <c r="D480" s="93" t="s">
        <v>545</v>
      </c>
      <c r="E480" s="127">
        <v>5.0</v>
      </c>
      <c r="F480" s="161"/>
      <c r="G480" s="161"/>
      <c r="H480" s="161">
        <f t="shared" si="10"/>
        <v>1250</v>
      </c>
      <c r="I480" s="126"/>
      <c r="J480" s="126" t="str">
        <f t="shared" si="9"/>
        <v>5 Patient Portal Logins</v>
      </c>
      <c r="K480" s="23"/>
      <c r="L480" s="23"/>
      <c r="M480" s="23"/>
    </row>
    <row r="481" hidden="1">
      <c r="A481" s="6" t="s">
        <v>270</v>
      </c>
      <c r="B481" s="92" t="s">
        <v>564</v>
      </c>
      <c r="C481" s="93" t="s">
        <v>565</v>
      </c>
      <c r="D481" s="93" t="s">
        <v>566</v>
      </c>
      <c r="E481" s="127">
        <v>2.0</v>
      </c>
      <c r="F481" s="161"/>
      <c r="G481" s="161"/>
      <c r="H481" s="161">
        <f t="shared" si="10"/>
        <v>500</v>
      </c>
      <c r="I481" s="126"/>
      <c r="J481" s="126" t="str">
        <f t="shared" si="9"/>
        <v>2 Patient Portal Logins</v>
      </c>
      <c r="K481" s="23"/>
      <c r="L481" s="23"/>
      <c r="M481" s="23"/>
    </row>
    <row r="482" hidden="1">
      <c r="A482" s="6" t="s">
        <v>270</v>
      </c>
      <c r="B482" s="92" t="s">
        <v>540</v>
      </c>
      <c r="C482" s="93" t="s">
        <v>541</v>
      </c>
      <c r="D482" s="93" t="s">
        <v>542</v>
      </c>
      <c r="E482" s="127">
        <v>0.0</v>
      </c>
      <c r="F482" s="161"/>
      <c r="G482" s="161"/>
      <c r="H482" s="161">
        <f t="shared" si="10"/>
        <v>0</v>
      </c>
      <c r="I482" s="126"/>
      <c r="J482" s="126" t="str">
        <f t="shared" si="9"/>
        <v>0 Patient Portal Logins</v>
      </c>
      <c r="K482" s="23"/>
      <c r="L482" s="23"/>
      <c r="M482" s="23"/>
    </row>
    <row r="483" hidden="1">
      <c r="A483" s="6" t="s">
        <v>270</v>
      </c>
      <c r="B483" s="92" t="s">
        <v>398</v>
      </c>
      <c r="C483" s="93" t="s">
        <v>399</v>
      </c>
      <c r="D483" s="93" t="s">
        <v>400</v>
      </c>
      <c r="E483" s="127">
        <v>5.0</v>
      </c>
      <c r="F483" s="161"/>
      <c r="G483" s="161"/>
      <c r="H483" s="161">
        <f t="shared" si="10"/>
        <v>1250</v>
      </c>
      <c r="I483" s="126"/>
      <c r="J483" s="126" t="str">
        <f t="shared" si="9"/>
        <v>5 Patient Portal Logins</v>
      </c>
      <c r="K483" s="23"/>
      <c r="L483" s="23"/>
      <c r="M483" s="23"/>
    </row>
    <row r="484" hidden="1">
      <c r="A484" s="6" t="s">
        <v>270</v>
      </c>
      <c r="B484" s="92" t="s">
        <v>404</v>
      </c>
      <c r="C484" s="93" t="s">
        <v>405</v>
      </c>
      <c r="D484" s="93" t="s">
        <v>406</v>
      </c>
      <c r="E484" s="127">
        <v>9.0</v>
      </c>
      <c r="F484" s="161"/>
      <c r="G484" s="161"/>
      <c r="H484" s="161">
        <f t="shared" si="10"/>
        <v>2250</v>
      </c>
      <c r="I484" s="126"/>
      <c r="J484" s="126" t="str">
        <f t="shared" si="9"/>
        <v>9 Patient Portal Logins</v>
      </c>
      <c r="K484" s="23"/>
      <c r="L484" s="23"/>
      <c r="M484" s="23"/>
    </row>
    <row r="485" hidden="1">
      <c r="A485" s="6" t="s">
        <v>270</v>
      </c>
      <c r="B485" s="92" t="s">
        <v>407</v>
      </c>
      <c r="C485" s="93" t="s">
        <v>408</v>
      </c>
      <c r="D485" s="93" t="s">
        <v>409</v>
      </c>
      <c r="E485" s="127">
        <v>2.0</v>
      </c>
      <c r="F485" s="161"/>
      <c r="G485" s="161"/>
      <c r="H485" s="161">
        <f t="shared" si="10"/>
        <v>500</v>
      </c>
      <c r="I485" s="126"/>
      <c r="J485" s="126" t="str">
        <f t="shared" si="9"/>
        <v>2 Patient Portal Logins</v>
      </c>
      <c r="K485" s="23"/>
      <c r="L485" s="23"/>
      <c r="M485" s="23"/>
    </row>
    <row r="486" hidden="1">
      <c r="A486" s="6" t="s">
        <v>270</v>
      </c>
      <c r="B486" s="92" t="s">
        <v>410</v>
      </c>
      <c r="C486" s="93" t="s">
        <v>411</v>
      </c>
      <c r="D486" s="93" t="s">
        <v>412</v>
      </c>
      <c r="E486" s="127">
        <v>10.0</v>
      </c>
      <c r="F486" s="161"/>
      <c r="G486" s="161"/>
      <c r="H486" s="161">
        <f t="shared" si="10"/>
        <v>2500</v>
      </c>
      <c r="I486" s="126"/>
      <c r="J486" s="126" t="str">
        <f t="shared" si="9"/>
        <v>10 Patient Portal Logins</v>
      </c>
      <c r="K486" s="23"/>
      <c r="L486" s="23"/>
      <c r="M486" s="23"/>
    </row>
    <row r="487" hidden="1">
      <c r="A487" s="6" t="s">
        <v>270</v>
      </c>
      <c r="B487" s="92" t="s">
        <v>413</v>
      </c>
      <c r="C487" s="93" t="s">
        <v>414</v>
      </c>
      <c r="D487" s="93" t="s">
        <v>415</v>
      </c>
      <c r="E487" s="127">
        <v>15.0</v>
      </c>
      <c r="F487" s="161"/>
      <c r="G487" s="161"/>
      <c r="H487" s="161">
        <f t="shared" si="10"/>
        <v>3750</v>
      </c>
      <c r="I487" s="126"/>
      <c r="J487" s="126" t="str">
        <f t="shared" si="9"/>
        <v>15 Patient Portal Logins</v>
      </c>
      <c r="K487" s="23"/>
      <c r="L487" s="23"/>
      <c r="M487" s="23"/>
    </row>
    <row r="488" hidden="1">
      <c r="A488" s="6" t="s">
        <v>270</v>
      </c>
      <c r="B488" s="92" t="s">
        <v>416</v>
      </c>
      <c r="C488" s="93" t="s">
        <v>417</v>
      </c>
      <c r="D488" s="93" t="s">
        <v>418</v>
      </c>
      <c r="E488" s="127">
        <v>6.0</v>
      </c>
      <c r="F488" s="161"/>
      <c r="G488" s="161"/>
      <c r="H488" s="161">
        <f t="shared" si="10"/>
        <v>1500</v>
      </c>
      <c r="I488" s="126"/>
      <c r="J488" s="126" t="str">
        <f t="shared" si="9"/>
        <v>6 Patient Portal Logins</v>
      </c>
      <c r="K488" s="23"/>
      <c r="L488" s="23"/>
      <c r="M488" s="23"/>
    </row>
    <row r="489" hidden="1">
      <c r="A489" s="6" t="s">
        <v>270</v>
      </c>
      <c r="B489" s="92" t="s">
        <v>422</v>
      </c>
      <c r="C489" s="93" t="s">
        <v>423</v>
      </c>
      <c r="D489" s="93" t="s">
        <v>424</v>
      </c>
      <c r="E489" s="127">
        <v>20.0</v>
      </c>
      <c r="F489" s="161"/>
      <c r="G489" s="161"/>
      <c r="H489" s="161">
        <f t="shared" si="10"/>
        <v>5000</v>
      </c>
      <c r="I489" s="126"/>
      <c r="J489" s="126" t="str">
        <f t="shared" si="9"/>
        <v>20 Patient Portal Logins</v>
      </c>
      <c r="K489" s="23"/>
      <c r="L489" s="23"/>
      <c r="M489" s="23"/>
    </row>
    <row r="490" hidden="1">
      <c r="A490" s="6" t="s">
        <v>270</v>
      </c>
      <c r="B490" s="92" t="s">
        <v>425</v>
      </c>
      <c r="C490" s="93" t="s">
        <v>426</v>
      </c>
      <c r="D490" s="93" t="s">
        <v>427</v>
      </c>
      <c r="E490" s="127">
        <v>17.0</v>
      </c>
      <c r="F490" s="161"/>
      <c r="G490" s="161"/>
      <c r="H490" s="161">
        <f t="shared" si="10"/>
        <v>4250</v>
      </c>
      <c r="I490" s="126"/>
      <c r="J490" s="126" t="str">
        <f t="shared" si="9"/>
        <v>17 Patient Portal Logins</v>
      </c>
      <c r="K490" s="23"/>
      <c r="L490" s="23"/>
      <c r="M490" s="23"/>
    </row>
    <row r="491" hidden="1">
      <c r="A491" s="6" t="s">
        <v>270</v>
      </c>
      <c r="B491" s="92" t="s">
        <v>428</v>
      </c>
      <c r="C491" s="93" t="s">
        <v>429</v>
      </c>
      <c r="D491" s="93" t="s">
        <v>430</v>
      </c>
      <c r="E491" s="127">
        <v>28.0</v>
      </c>
      <c r="F491" s="161"/>
      <c r="G491" s="161"/>
      <c r="H491" s="161">
        <f t="shared" si="10"/>
        <v>7000</v>
      </c>
      <c r="I491" s="126"/>
      <c r="J491" s="126" t="str">
        <f t="shared" si="9"/>
        <v>28 Patient Portal Logins</v>
      </c>
      <c r="K491" s="23"/>
      <c r="L491" s="23"/>
      <c r="M491" s="23"/>
    </row>
    <row r="492" hidden="1">
      <c r="A492" s="6" t="s">
        <v>270</v>
      </c>
      <c r="B492" s="92" t="s">
        <v>431</v>
      </c>
      <c r="C492" s="93" t="s">
        <v>432</v>
      </c>
      <c r="D492" s="93" t="s">
        <v>433</v>
      </c>
      <c r="E492" s="127">
        <v>19.0</v>
      </c>
      <c r="F492" s="161"/>
      <c r="G492" s="161"/>
      <c r="H492" s="161">
        <f t="shared" si="10"/>
        <v>4750</v>
      </c>
      <c r="I492" s="126"/>
      <c r="J492" s="126" t="str">
        <f t="shared" si="9"/>
        <v>19 Patient Portal Logins</v>
      </c>
      <c r="K492" s="23"/>
      <c r="L492" s="23"/>
      <c r="M492" s="23"/>
    </row>
    <row r="493" hidden="1">
      <c r="A493" s="6" t="s">
        <v>270</v>
      </c>
      <c r="B493" s="92" t="s">
        <v>434</v>
      </c>
      <c r="C493" s="93" t="s">
        <v>435</v>
      </c>
      <c r="D493" s="93" t="s">
        <v>436</v>
      </c>
      <c r="E493" s="127">
        <v>0.0</v>
      </c>
      <c r="F493" s="161"/>
      <c r="G493" s="161"/>
      <c r="H493" s="161">
        <f t="shared" si="10"/>
        <v>0</v>
      </c>
      <c r="I493" s="126"/>
      <c r="J493" s="126" t="str">
        <f t="shared" si="9"/>
        <v>0 Patient Portal Logins</v>
      </c>
      <c r="K493" s="23"/>
      <c r="L493" s="23"/>
      <c r="M493" s="23"/>
    </row>
    <row r="494" hidden="1">
      <c r="A494" s="6" t="s">
        <v>270</v>
      </c>
      <c r="B494" s="92" t="s">
        <v>437</v>
      </c>
      <c r="C494" s="93" t="s">
        <v>438</v>
      </c>
      <c r="D494" s="93" t="s">
        <v>439</v>
      </c>
      <c r="E494" s="127">
        <v>1.0</v>
      </c>
      <c r="F494" s="161"/>
      <c r="G494" s="161"/>
      <c r="H494" s="161">
        <f t="shared" si="10"/>
        <v>250</v>
      </c>
      <c r="I494" s="126"/>
      <c r="J494" s="126" t="str">
        <f t="shared" si="9"/>
        <v>1 Patient Portal Logins</v>
      </c>
      <c r="K494" s="23"/>
      <c r="L494" s="23"/>
      <c r="M494" s="23"/>
    </row>
    <row r="495" hidden="1">
      <c r="A495" s="6" t="s">
        <v>270</v>
      </c>
      <c r="B495" s="92" t="s">
        <v>440</v>
      </c>
      <c r="C495" s="93" t="s">
        <v>441</v>
      </c>
      <c r="D495" s="93" t="s">
        <v>442</v>
      </c>
      <c r="E495" s="78"/>
      <c r="F495" s="161"/>
      <c r="G495" s="161"/>
      <c r="H495" s="161">
        <f t="shared" si="10"/>
        <v>0</v>
      </c>
      <c r="I495" s="126"/>
      <c r="J495" s="126" t="str">
        <f t="shared" si="9"/>
        <v> Patient Portal Logins</v>
      </c>
      <c r="K495" s="23"/>
      <c r="L495" s="23"/>
      <c r="M495" s="23"/>
    </row>
    <row r="496" hidden="1">
      <c r="A496" s="6" t="s">
        <v>270</v>
      </c>
      <c r="B496" s="95" t="s">
        <v>443</v>
      </c>
      <c r="C496" s="94" t="s">
        <v>444</v>
      </c>
      <c r="D496" s="94" t="s">
        <v>445</v>
      </c>
      <c r="E496" s="127">
        <v>0.0</v>
      </c>
      <c r="F496" s="161"/>
      <c r="G496" s="161"/>
      <c r="H496" s="161">
        <f t="shared" si="10"/>
        <v>0</v>
      </c>
      <c r="I496" s="126"/>
      <c r="J496" s="126" t="str">
        <f t="shared" si="9"/>
        <v>0 Patient Portal Logins</v>
      </c>
      <c r="K496" s="23"/>
      <c r="L496" s="23"/>
      <c r="M496" s="23"/>
    </row>
    <row r="497" hidden="1">
      <c r="A497" s="6" t="s">
        <v>270</v>
      </c>
      <c r="B497" s="95" t="s">
        <v>446</v>
      </c>
      <c r="C497" s="94" t="s">
        <v>447</v>
      </c>
      <c r="D497" s="94" t="s">
        <v>448</v>
      </c>
      <c r="E497" s="127">
        <v>6.0</v>
      </c>
      <c r="F497" s="161"/>
      <c r="G497" s="161"/>
      <c r="H497" s="161">
        <f t="shared" si="10"/>
        <v>1500</v>
      </c>
      <c r="I497" s="126"/>
      <c r="J497" s="126" t="str">
        <f t="shared" si="9"/>
        <v>6 Patient Portal Logins</v>
      </c>
      <c r="K497" s="23"/>
      <c r="L497" s="23"/>
      <c r="M497" s="23"/>
    </row>
    <row r="498" hidden="1">
      <c r="A498" s="6" t="s">
        <v>270</v>
      </c>
      <c r="B498" s="95" t="s">
        <v>449</v>
      </c>
      <c r="C498" s="94" t="s">
        <v>450</v>
      </c>
      <c r="D498" s="94" t="s">
        <v>451</v>
      </c>
      <c r="E498" s="127">
        <v>11.0</v>
      </c>
      <c r="F498" s="161"/>
      <c r="G498" s="161"/>
      <c r="H498" s="161">
        <f t="shared" si="10"/>
        <v>2750</v>
      </c>
      <c r="I498" s="126"/>
      <c r="J498" s="126" t="str">
        <f t="shared" si="9"/>
        <v>11 Patient Portal Logins</v>
      </c>
      <c r="K498" s="23"/>
      <c r="L498" s="23"/>
      <c r="M498" s="23"/>
    </row>
    <row r="499" hidden="1">
      <c r="A499" s="6" t="s">
        <v>270</v>
      </c>
      <c r="B499" s="94" t="s">
        <v>452</v>
      </c>
      <c r="C499" s="94" t="s">
        <v>453</v>
      </c>
      <c r="D499" s="94" t="s">
        <v>454</v>
      </c>
      <c r="E499" s="127">
        <v>11.0</v>
      </c>
      <c r="F499" s="161"/>
      <c r="G499" s="161"/>
      <c r="H499" s="161">
        <f t="shared" si="10"/>
        <v>2750</v>
      </c>
      <c r="I499" s="126"/>
      <c r="J499" s="126" t="str">
        <f t="shared" si="9"/>
        <v>11 Patient Portal Logins</v>
      </c>
      <c r="K499" s="23"/>
      <c r="L499" s="23"/>
      <c r="M499" s="23"/>
    </row>
    <row r="500" hidden="1">
      <c r="A500" s="6" t="s">
        <v>270</v>
      </c>
      <c r="B500" s="94" t="s">
        <v>455</v>
      </c>
      <c r="C500" s="94" t="s">
        <v>456</v>
      </c>
      <c r="D500" s="94" t="s">
        <v>457</v>
      </c>
      <c r="E500" s="127">
        <v>8.0</v>
      </c>
      <c r="F500" s="161"/>
      <c r="G500" s="161"/>
      <c r="H500" s="161">
        <f t="shared" si="10"/>
        <v>2000</v>
      </c>
      <c r="I500" s="126"/>
      <c r="J500" s="126" t="str">
        <f t="shared" si="9"/>
        <v>8 Patient Portal Logins</v>
      </c>
      <c r="K500" s="23"/>
      <c r="L500" s="23"/>
      <c r="M500" s="23"/>
    </row>
    <row r="501" hidden="1">
      <c r="A501" s="6" t="s">
        <v>270</v>
      </c>
      <c r="B501" s="94" t="s">
        <v>458</v>
      </c>
      <c r="C501" s="94" t="s">
        <v>459</v>
      </c>
      <c r="D501" s="94" t="s">
        <v>460</v>
      </c>
      <c r="E501" s="127">
        <v>15.0</v>
      </c>
      <c r="F501" s="161"/>
      <c r="G501" s="161"/>
      <c r="H501" s="161">
        <f t="shared" si="10"/>
        <v>3750</v>
      </c>
      <c r="I501" s="126"/>
      <c r="J501" s="126" t="str">
        <f t="shared" si="9"/>
        <v>15 Patient Portal Logins</v>
      </c>
      <c r="K501" s="88" t="s">
        <v>567</v>
      </c>
      <c r="L501" s="23"/>
      <c r="M501" s="23"/>
    </row>
    <row r="502" hidden="1">
      <c r="A502" s="6" t="s">
        <v>297</v>
      </c>
      <c r="B502" s="91" t="s">
        <v>529</v>
      </c>
      <c r="C502" s="96" t="s">
        <v>530</v>
      </c>
      <c r="D502" s="96" t="s">
        <v>531</v>
      </c>
      <c r="E502" s="127">
        <v>0.0</v>
      </c>
      <c r="F502" s="209"/>
      <c r="G502" s="209"/>
      <c r="H502" s="209">
        <f t="shared" si="10"/>
        <v>0</v>
      </c>
      <c r="I502" s="126"/>
      <c r="J502" s="126" t="str">
        <f t="shared" si="9"/>
        <v>0 Patient Portal Logins</v>
      </c>
      <c r="K502" s="23"/>
      <c r="L502" s="23"/>
      <c r="M502" s="23"/>
    </row>
    <row r="503" hidden="1">
      <c r="A503" s="6" t="s">
        <v>297</v>
      </c>
      <c r="B503" s="91" t="s">
        <v>532</v>
      </c>
      <c r="C503" s="96" t="s">
        <v>533</v>
      </c>
      <c r="D503" s="96" t="s">
        <v>534</v>
      </c>
      <c r="E503" s="127">
        <v>0.0</v>
      </c>
      <c r="F503" s="209"/>
      <c r="G503" s="209"/>
      <c r="H503" s="209">
        <f t="shared" si="10"/>
        <v>0</v>
      </c>
      <c r="I503" s="126"/>
      <c r="J503" s="126" t="str">
        <f t="shared" si="9"/>
        <v>0 Patient Portal Logins</v>
      </c>
      <c r="K503" s="23"/>
      <c r="L503" s="23"/>
      <c r="M503" s="23"/>
    </row>
    <row r="504" hidden="1">
      <c r="A504" s="6" t="s">
        <v>297</v>
      </c>
      <c r="B504" s="91" t="s">
        <v>543</v>
      </c>
      <c r="C504" s="96" t="s">
        <v>544</v>
      </c>
      <c r="D504" s="96" t="s">
        <v>545</v>
      </c>
      <c r="E504" s="127">
        <v>0.0</v>
      </c>
      <c r="F504" s="209"/>
      <c r="G504" s="209"/>
      <c r="H504" s="209">
        <f t="shared" si="10"/>
        <v>0</v>
      </c>
      <c r="I504" s="126"/>
      <c r="J504" s="126" t="str">
        <f t="shared" si="9"/>
        <v>0 Patient Portal Logins</v>
      </c>
      <c r="K504" s="23"/>
      <c r="L504" s="23"/>
      <c r="M504" s="23"/>
    </row>
    <row r="505" hidden="1">
      <c r="A505" s="6" t="s">
        <v>297</v>
      </c>
      <c r="B505" s="91" t="s">
        <v>564</v>
      </c>
      <c r="C505" s="96" t="s">
        <v>565</v>
      </c>
      <c r="D505" s="96" t="s">
        <v>566</v>
      </c>
      <c r="E505" s="127">
        <v>1.0</v>
      </c>
      <c r="F505" s="209"/>
      <c r="G505" s="209"/>
      <c r="H505" s="209">
        <f t="shared" si="10"/>
        <v>250</v>
      </c>
      <c r="I505" s="126"/>
      <c r="J505" s="126" t="str">
        <f t="shared" si="9"/>
        <v>1 Patient Portal Logins</v>
      </c>
      <c r="K505" s="23"/>
      <c r="L505" s="23"/>
      <c r="M505" s="23"/>
    </row>
    <row r="506" hidden="1">
      <c r="A506" s="6" t="s">
        <v>297</v>
      </c>
      <c r="B506" s="91" t="s">
        <v>540</v>
      </c>
      <c r="C506" s="96" t="s">
        <v>541</v>
      </c>
      <c r="D506" s="96" t="s">
        <v>542</v>
      </c>
      <c r="E506" s="127">
        <v>0.0</v>
      </c>
      <c r="F506" s="209"/>
      <c r="G506" s="209"/>
      <c r="H506" s="209">
        <f t="shared" si="10"/>
        <v>0</v>
      </c>
      <c r="I506" s="126"/>
      <c r="J506" s="126" t="str">
        <f t="shared" si="9"/>
        <v>0 Patient Portal Logins</v>
      </c>
      <c r="K506" s="23"/>
      <c r="L506" s="23"/>
      <c r="M506" s="23"/>
    </row>
    <row r="507" hidden="1">
      <c r="A507" s="6" t="s">
        <v>297</v>
      </c>
      <c r="B507" s="92" t="s">
        <v>398</v>
      </c>
      <c r="C507" s="93" t="s">
        <v>399</v>
      </c>
      <c r="D507" s="93" t="s">
        <v>400</v>
      </c>
      <c r="E507" s="127">
        <v>4.0</v>
      </c>
      <c r="F507" s="209"/>
      <c r="G507" s="209"/>
      <c r="H507" s="209">
        <f t="shared" si="10"/>
        <v>1000</v>
      </c>
      <c r="I507" s="126"/>
      <c r="J507" s="126" t="str">
        <f t="shared" si="9"/>
        <v>4 Patient Portal Logins</v>
      </c>
      <c r="K507" s="23"/>
      <c r="L507" s="23"/>
      <c r="M507" s="23"/>
    </row>
    <row r="508" hidden="1">
      <c r="A508" s="6" t="s">
        <v>297</v>
      </c>
      <c r="B508" s="92" t="s">
        <v>404</v>
      </c>
      <c r="C508" s="93" t="s">
        <v>405</v>
      </c>
      <c r="D508" s="93" t="s">
        <v>406</v>
      </c>
      <c r="E508" s="127">
        <v>0.0</v>
      </c>
      <c r="F508" s="209"/>
      <c r="G508" s="209"/>
      <c r="H508" s="209">
        <f t="shared" si="10"/>
        <v>0</v>
      </c>
      <c r="I508" s="126"/>
      <c r="J508" s="126" t="str">
        <f t="shared" si="9"/>
        <v>0 Patient Portal Logins</v>
      </c>
      <c r="K508" s="23"/>
      <c r="L508" s="23"/>
      <c r="M508" s="23"/>
    </row>
    <row r="509" hidden="1">
      <c r="A509" s="6" t="s">
        <v>297</v>
      </c>
      <c r="B509" s="92" t="s">
        <v>407</v>
      </c>
      <c r="C509" s="93" t="s">
        <v>408</v>
      </c>
      <c r="D509" s="93" t="s">
        <v>409</v>
      </c>
      <c r="E509" s="127">
        <v>0.0</v>
      </c>
      <c r="F509" s="209"/>
      <c r="G509" s="209"/>
      <c r="H509" s="209">
        <f t="shared" si="10"/>
        <v>0</v>
      </c>
      <c r="I509" s="126"/>
      <c r="J509" s="126" t="str">
        <f t="shared" si="9"/>
        <v>0 Patient Portal Logins</v>
      </c>
      <c r="K509" s="23"/>
      <c r="L509" s="23"/>
      <c r="M509" s="23"/>
    </row>
    <row r="510" hidden="1">
      <c r="A510" s="6" t="s">
        <v>297</v>
      </c>
      <c r="B510" s="92" t="s">
        <v>410</v>
      </c>
      <c r="C510" s="93" t="s">
        <v>411</v>
      </c>
      <c r="D510" s="93" t="s">
        <v>412</v>
      </c>
      <c r="E510" s="127">
        <v>6.0</v>
      </c>
      <c r="F510" s="209"/>
      <c r="G510" s="209"/>
      <c r="H510" s="209">
        <f t="shared" si="10"/>
        <v>1500</v>
      </c>
      <c r="I510" s="126"/>
      <c r="J510" s="126" t="str">
        <f t="shared" si="9"/>
        <v>6 Patient Portal Logins</v>
      </c>
      <c r="K510" s="23"/>
      <c r="L510" s="23"/>
      <c r="M510" s="23"/>
    </row>
    <row r="511" hidden="1">
      <c r="A511" s="6" t="s">
        <v>297</v>
      </c>
      <c r="B511" s="92" t="s">
        <v>413</v>
      </c>
      <c r="C511" s="93" t="s">
        <v>414</v>
      </c>
      <c r="D511" s="93" t="s">
        <v>415</v>
      </c>
      <c r="E511" s="127">
        <v>18.0</v>
      </c>
      <c r="F511" s="209"/>
      <c r="G511" s="209"/>
      <c r="H511" s="209">
        <f t="shared" si="10"/>
        <v>4500</v>
      </c>
      <c r="I511" s="126"/>
      <c r="J511" s="126" t="str">
        <f t="shared" si="9"/>
        <v>18 Patient Portal Logins</v>
      </c>
      <c r="K511" s="23"/>
      <c r="L511" s="23"/>
      <c r="M511" s="23"/>
    </row>
    <row r="512" hidden="1">
      <c r="A512" s="6" t="s">
        <v>297</v>
      </c>
      <c r="B512" s="92" t="s">
        <v>416</v>
      </c>
      <c r="C512" s="93" t="s">
        <v>417</v>
      </c>
      <c r="D512" s="93" t="s">
        <v>418</v>
      </c>
      <c r="E512" s="127">
        <v>7.0</v>
      </c>
      <c r="F512" s="209"/>
      <c r="G512" s="209"/>
      <c r="H512" s="209">
        <f t="shared" si="10"/>
        <v>1750</v>
      </c>
      <c r="I512" s="126"/>
      <c r="J512" s="126" t="str">
        <f t="shared" si="9"/>
        <v>7 Patient Portal Logins</v>
      </c>
      <c r="K512" s="23"/>
      <c r="L512" s="23"/>
      <c r="M512" s="23"/>
    </row>
    <row r="513" hidden="1">
      <c r="A513" s="6" t="s">
        <v>297</v>
      </c>
      <c r="B513" s="92" t="s">
        <v>422</v>
      </c>
      <c r="C513" s="93" t="s">
        <v>423</v>
      </c>
      <c r="D513" s="93" t="s">
        <v>424</v>
      </c>
      <c r="E513" s="127">
        <v>16.0</v>
      </c>
      <c r="F513" s="209"/>
      <c r="G513" s="209"/>
      <c r="H513" s="209">
        <f t="shared" si="10"/>
        <v>4000</v>
      </c>
      <c r="I513" s="126"/>
      <c r="J513" s="126" t="str">
        <f t="shared" si="9"/>
        <v>16 Patient Portal Logins</v>
      </c>
      <c r="K513" s="23"/>
      <c r="L513" s="23"/>
      <c r="M513" s="23"/>
    </row>
    <row r="514" hidden="1">
      <c r="A514" s="6" t="s">
        <v>297</v>
      </c>
      <c r="B514" s="92" t="s">
        <v>425</v>
      </c>
      <c r="C514" s="93" t="s">
        <v>426</v>
      </c>
      <c r="D514" s="93" t="s">
        <v>427</v>
      </c>
      <c r="E514" s="127">
        <v>21.0</v>
      </c>
      <c r="F514" s="209"/>
      <c r="G514" s="209"/>
      <c r="H514" s="209">
        <f t="shared" si="10"/>
        <v>5250</v>
      </c>
      <c r="I514" s="126"/>
      <c r="J514" s="126" t="str">
        <f t="shared" si="9"/>
        <v>21 Patient Portal Logins</v>
      </c>
      <c r="K514" s="23"/>
      <c r="L514" s="23"/>
      <c r="M514" s="23"/>
    </row>
    <row r="515" hidden="1">
      <c r="A515" s="6" t="s">
        <v>297</v>
      </c>
      <c r="B515" s="92" t="s">
        <v>428</v>
      </c>
      <c r="C515" s="93" t="s">
        <v>429</v>
      </c>
      <c r="D515" s="93" t="s">
        <v>430</v>
      </c>
      <c r="E515" s="213">
        <v>45.0</v>
      </c>
      <c r="F515" s="212"/>
      <c r="G515" s="212"/>
      <c r="H515" s="212">
        <f t="shared" si="10"/>
        <v>11250</v>
      </c>
      <c r="I515" s="126"/>
      <c r="J515" s="126" t="str">
        <f t="shared" si="9"/>
        <v>45 Patient Portal Logins</v>
      </c>
      <c r="K515" s="23"/>
      <c r="L515" s="23"/>
      <c r="M515" s="23"/>
    </row>
    <row r="516" hidden="1">
      <c r="A516" s="6" t="s">
        <v>297</v>
      </c>
      <c r="B516" s="92" t="s">
        <v>431</v>
      </c>
      <c r="C516" s="93" t="s">
        <v>432</v>
      </c>
      <c r="D516" s="93" t="s">
        <v>433</v>
      </c>
      <c r="E516" s="127">
        <v>23.0</v>
      </c>
      <c r="F516" s="209"/>
      <c r="G516" s="209"/>
      <c r="H516" s="209">
        <f t="shared" si="10"/>
        <v>5750</v>
      </c>
      <c r="I516" s="126"/>
      <c r="J516" s="126" t="str">
        <f t="shared" si="9"/>
        <v>23 Patient Portal Logins</v>
      </c>
      <c r="K516" s="23"/>
      <c r="L516" s="23"/>
      <c r="M516" s="23"/>
    </row>
    <row r="517" hidden="1">
      <c r="A517" s="6" t="s">
        <v>297</v>
      </c>
      <c r="B517" s="92" t="s">
        <v>434</v>
      </c>
      <c r="C517" s="93" t="s">
        <v>435</v>
      </c>
      <c r="D517" s="93" t="s">
        <v>436</v>
      </c>
      <c r="E517" s="127">
        <v>3.0</v>
      </c>
      <c r="F517" s="209"/>
      <c r="G517" s="209"/>
      <c r="H517" s="209">
        <f t="shared" si="10"/>
        <v>750</v>
      </c>
      <c r="I517" s="126"/>
      <c r="J517" s="126" t="str">
        <f t="shared" si="9"/>
        <v>3 Patient Portal Logins</v>
      </c>
      <c r="K517" s="23"/>
      <c r="L517" s="23"/>
      <c r="M517" s="23"/>
    </row>
    <row r="518" hidden="1">
      <c r="A518" s="6" t="s">
        <v>297</v>
      </c>
      <c r="B518" s="92" t="s">
        <v>437</v>
      </c>
      <c r="C518" s="93" t="s">
        <v>438</v>
      </c>
      <c r="D518" s="93" t="s">
        <v>439</v>
      </c>
      <c r="E518" s="127">
        <v>5.0</v>
      </c>
      <c r="F518" s="209"/>
      <c r="G518" s="209"/>
      <c r="H518" s="209">
        <f t="shared" si="10"/>
        <v>1250</v>
      </c>
      <c r="I518" s="126"/>
      <c r="J518" s="126" t="str">
        <f t="shared" si="9"/>
        <v>5 Patient Portal Logins</v>
      </c>
      <c r="K518" s="23"/>
      <c r="L518" s="23"/>
      <c r="M518" s="23"/>
    </row>
    <row r="519" hidden="1">
      <c r="A519" s="6" t="s">
        <v>297</v>
      </c>
      <c r="B519" s="92" t="s">
        <v>440</v>
      </c>
      <c r="C519" s="93" t="s">
        <v>441</v>
      </c>
      <c r="D519" s="93" t="s">
        <v>442</v>
      </c>
      <c r="E519" s="76"/>
      <c r="F519" s="209"/>
      <c r="G519" s="209"/>
      <c r="H519" s="209">
        <f t="shared" si="10"/>
        <v>0</v>
      </c>
      <c r="I519" s="126"/>
      <c r="J519" s="126" t="str">
        <f t="shared" si="9"/>
        <v> Patient Portal Logins</v>
      </c>
      <c r="K519" s="23"/>
      <c r="L519" s="23"/>
      <c r="M519" s="23"/>
    </row>
    <row r="520" hidden="1">
      <c r="A520" s="6" t="s">
        <v>297</v>
      </c>
      <c r="B520" s="95" t="s">
        <v>443</v>
      </c>
      <c r="C520" s="94" t="s">
        <v>444</v>
      </c>
      <c r="D520" s="94" t="s">
        <v>445</v>
      </c>
      <c r="E520" s="127">
        <v>0.0</v>
      </c>
      <c r="F520" s="209"/>
      <c r="G520" s="209"/>
      <c r="H520" s="209">
        <f t="shared" si="10"/>
        <v>0</v>
      </c>
      <c r="I520" s="126"/>
      <c r="J520" s="126" t="str">
        <f t="shared" si="9"/>
        <v>0 Patient Portal Logins</v>
      </c>
      <c r="K520" s="23"/>
      <c r="L520" s="23"/>
      <c r="M520" s="23"/>
    </row>
    <row r="521" hidden="1">
      <c r="A521" s="6" t="s">
        <v>297</v>
      </c>
      <c r="B521" s="95" t="s">
        <v>446</v>
      </c>
      <c r="C521" s="94" t="s">
        <v>447</v>
      </c>
      <c r="D521" s="94" t="s">
        <v>448</v>
      </c>
      <c r="E521" s="127">
        <v>6.0</v>
      </c>
      <c r="F521" s="209"/>
      <c r="G521" s="209"/>
      <c r="H521" s="209">
        <f t="shared" si="10"/>
        <v>1500</v>
      </c>
      <c r="I521" s="126"/>
      <c r="J521" s="126" t="str">
        <f t="shared" si="9"/>
        <v>6 Patient Portal Logins</v>
      </c>
      <c r="K521" s="23"/>
      <c r="L521" s="23"/>
      <c r="M521" s="23"/>
    </row>
    <row r="522" hidden="1">
      <c r="A522" s="6" t="s">
        <v>297</v>
      </c>
      <c r="B522" s="95" t="s">
        <v>449</v>
      </c>
      <c r="C522" s="94" t="s">
        <v>450</v>
      </c>
      <c r="D522" s="94" t="s">
        <v>451</v>
      </c>
      <c r="E522" s="127">
        <v>12.0</v>
      </c>
      <c r="F522" s="209"/>
      <c r="G522" s="209"/>
      <c r="H522" s="209">
        <f t="shared" si="10"/>
        <v>3000</v>
      </c>
      <c r="I522" s="126"/>
      <c r="J522" s="126" t="str">
        <f t="shared" si="9"/>
        <v>12 Patient Portal Logins</v>
      </c>
      <c r="K522" s="23"/>
      <c r="L522" s="23"/>
      <c r="M522" s="23"/>
    </row>
    <row r="523" hidden="1">
      <c r="A523" s="6" t="s">
        <v>297</v>
      </c>
      <c r="B523" s="94" t="s">
        <v>452</v>
      </c>
      <c r="C523" s="94" t="s">
        <v>453</v>
      </c>
      <c r="D523" s="94" t="s">
        <v>454</v>
      </c>
      <c r="E523" s="127">
        <v>34.0</v>
      </c>
      <c r="F523" s="209"/>
      <c r="G523" s="209"/>
      <c r="H523" s="209">
        <f t="shared" si="10"/>
        <v>8500</v>
      </c>
      <c r="I523" s="126"/>
      <c r="J523" s="126" t="str">
        <f t="shared" si="9"/>
        <v>34 Patient Portal Logins</v>
      </c>
      <c r="K523" s="23"/>
      <c r="L523" s="23"/>
      <c r="M523" s="23"/>
    </row>
    <row r="524" hidden="1">
      <c r="A524" s="6" t="s">
        <v>297</v>
      </c>
      <c r="B524" s="94" t="s">
        <v>455</v>
      </c>
      <c r="C524" s="94" t="s">
        <v>456</v>
      </c>
      <c r="D524" s="94" t="s">
        <v>457</v>
      </c>
      <c r="E524" s="127">
        <v>11.0</v>
      </c>
      <c r="F524" s="209"/>
      <c r="G524" s="209"/>
      <c r="H524" s="209">
        <f t="shared" si="10"/>
        <v>2750</v>
      </c>
      <c r="I524" s="126"/>
      <c r="J524" s="126" t="str">
        <f t="shared" si="9"/>
        <v>11 Patient Portal Logins</v>
      </c>
      <c r="K524" s="23"/>
      <c r="L524" s="23"/>
      <c r="M524" s="23"/>
    </row>
    <row r="525" hidden="1">
      <c r="A525" s="6" t="s">
        <v>297</v>
      </c>
      <c r="B525" s="94" t="s">
        <v>458</v>
      </c>
      <c r="C525" s="94" t="s">
        <v>459</v>
      </c>
      <c r="D525" s="94" t="s">
        <v>460</v>
      </c>
      <c r="E525" s="127">
        <v>15.0</v>
      </c>
      <c r="F525" s="209"/>
      <c r="G525" s="209"/>
      <c r="H525" s="209">
        <f t="shared" si="10"/>
        <v>3750</v>
      </c>
      <c r="I525" s="126"/>
      <c r="J525" s="126" t="str">
        <f t="shared" si="9"/>
        <v>15 Patient Portal Logins</v>
      </c>
      <c r="K525" s="23"/>
      <c r="L525" s="23"/>
      <c r="M525" s="23"/>
    </row>
    <row r="526" hidden="1">
      <c r="A526" s="6" t="s">
        <v>298</v>
      </c>
      <c r="B526" s="92" t="s">
        <v>395</v>
      </c>
      <c r="C526" s="93" t="s">
        <v>396</v>
      </c>
      <c r="D526" s="93" t="s">
        <v>397</v>
      </c>
      <c r="E526" s="77"/>
      <c r="F526" s="209"/>
      <c r="G526" s="209"/>
      <c r="H526" s="209">
        <f t="shared" si="10"/>
        <v>0</v>
      </c>
      <c r="I526" s="126"/>
      <c r="J526" s="126" t="str">
        <f t="shared" si="9"/>
        <v> Patient Portal Logins</v>
      </c>
      <c r="K526" s="23"/>
      <c r="L526" s="23"/>
      <c r="M526" s="23"/>
    </row>
    <row r="527" hidden="1">
      <c r="A527" s="6" t="s">
        <v>298</v>
      </c>
      <c r="B527" s="92" t="s">
        <v>398</v>
      </c>
      <c r="C527" s="93" t="s">
        <v>399</v>
      </c>
      <c r="D527" s="93" t="s">
        <v>400</v>
      </c>
      <c r="E527" s="127">
        <v>8.0</v>
      </c>
      <c r="F527" s="209"/>
      <c r="G527" s="209"/>
      <c r="H527" s="209">
        <f t="shared" si="10"/>
        <v>2000</v>
      </c>
      <c r="I527" s="126"/>
      <c r="J527" s="126" t="str">
        <f t="shared" si="9"/>
        <v>8 Patient Portal Logins</v>
      </c>
      <c r="K527" s="23"/>
      <c r="L527" s="23"/>
      <c r="M527" s="23"/>
    </row>
    <row r="528" hidden="1">
      <c r="A528" s="6" t="s">
        <v>298</v>
      </c>
      <c r="B528" s="92" t="s">
        <v>401</v>
      </c>
      <c r="C528" s="93" t="s">
        <v>402</v>
      </c>
      <c r="D528" s="93" t="s">
        <v>403</v>
      </c>
      <c r="E528" s="77"/>
      <c r="F528" s="209"/>
      <c r="G528" s="209"/>
      <c r="H528" s="209">
        <f t="shared" si="10"/>
        <v>0</v>
      </c>
      <c r="I528" s="126"/>
      <c r="J528" s="126" t="str">
        <f t="shared" si="9"/>
        <v> Patient Portal Logins</v>
      </c>
      <c r="K528" s="23"/>
      <c r="L528" s="23"/>
      <c r="M528" s="23"/>
    </row>
    <row r="529" hidden="1">
      <c r="A529" s="6" t="s">
        <v>298</v>
      </c>
      <c r="B529" s="92" t="s">
        <v>404</v>
      </c>
      <c r="C529" s="93" t="s">
        <v>405</v>
      </c>
      <c r="D529" s="93" t="s">
        <v>406</v>
      </c>
      <c r="E529" s="127">
        <v>1.0</v>
      </c>
      <c r="F529" s="209"/>
      <c r="G529" s="209"/>
      <c r="H529" s="209">
        <f t="shared" si="10"/>
        <v>250</v>
      </c>
      <c r="I529" s="126"/>
      <c r="J529" s="126" t="str">
        <f t="shared" si="9"/>
        <v>1 Patient Portal Logins</v>
      </c>
      <c r="K529" s="23"/>
      <c r="L529" s="23"/>
      <c r="M529" s="23"/>
    </row>
    <row r="530" hidden="1">
      <c r="A530" s="6" t="s">
        <v>298</v>
      </c>
      <c r="B530" s="92" t="s">
        <v>407</v>
      </c>
      <c r="C530" s="93" t="s">
        <v>408</v>
      </c>
      <c r="D530" s="93" t="s">
        <v>409</v>
      </c>
      <c r="E530" s="127">
        <v>0.0</v>
      </c>
      <c r="F530" s="209"/>
      <c r="G530" s="209"/>
      <c r="H530" s="209">
        <f t="shared" si="10"/>
        <v>0</v>
      </c>
      <c r="I530" s="126"/>
      <c r="J530" s="126" t="str">
        <f t="shared" si="9"/>
        <v>0 Patient Portal Logins</v>
      </c>
      <c r="K530" s="23"/>
      <c r="L530" s="23"/>
      <c r="M530" s="23"/>
    </row>
    <row r="531" hidden="1">
      <c r="A531" s="6" t="s">
        <v>298</v>
      </c>
      <c r="B531" s="92" t="s">
        <v>410</v>
      </c>
      <c r="C531" s="93" t="s">
        <v>411</v>
      </c>
      <c r="D531" s="93" t="s">
        <v>412</v>
      </c>
      <c r="E531" s="127">
        <v>11.0</v>
      </c>
      <c r="F531" s="209"/>
      <c r="G531" s="209"/>
      <c r="H531" s="209">
        <f t="shared" si="10"/>
        <v>2750</v>
      </c>
      <c r="I531" s="126"/>
      <c r="J531" s="126" t="str">
        <f t="shared" si="9"/>
        <v>11 Patient Portal Logins</v>
      </c>
      <c r="K531" s="23"/>
      <c r="L531" s="23"/>
      <c r="M531" s="23"/>
    </row>
    <row r="532" hidden="1">
      <c r="A532" s="6" t="s">
        <v>298</v>
      </c>
      <c r="B532" s="92" t="s">
        <v>413</v>
      </c>
      <c r="C532" s="93" t="s">
        <v>414</v>
      </c>
      <c r="D532" s="93" t="s">
        <v>415</v>
      </c>
      <c r="E532" s="127">
        <v>22.0</v>
      </c>
      <c r="F532" s="209"/>
      <c r="G532" s="209"/>
      <c r="H532" s="209">
        <f t="shared" si="10"/>
        <v>5500</v>
      </c>
      <c r="I532" s="126"/>
      <c r="J532" s="126" t="str">
        <f t="shared" si="9"/>
        <v>22 Patient Portal Logins</v>
      </c>
      <c r="K532" s="23"/>
      <c r="L532" s="23"/>
      <c r="M532" s="23"/>
    </row>
    <row r="533" hidden="1">
      <c r="A533" s="6" t="s">
        <v>298</v>
      </c>
      <c r="B533" s="92" t="s">
        <v>416</v>
      </c>
      <c r="C533" s="93" t="s">
        <v>417</v>
      </c>
      <c r="D533" s="93" t="s">
        <v>418</v>
      </c>
      <c r="E533" s="127">
        <v>0.0</v>
      </c>
      <c r="F533" s="209"/>
      <c r="G533" s="209"/>
      <c r="H533" s="209">
        <f t="shared" si="10"/>
        <v>0</v>
      </c>
      <c r="I533" s="126"/>
      <c r="J533" s="126" t="str">
        <f t="shared" si="9"/>
        <v>0 Patient Portal Logins</v>
      </c>
      <c r="K533" s="23"/>
      <c r="L533" s="23"/>
      <c r="M533" s="23"/>
    </row>
    <row r="534" hidden="1">
      <c r="A534" s="6" t="s">
        <v>298</v>
      </c>
      <c r="B534" s="92" t="s">
        <v>422</v>
      </c>
      <c r="C534" s="93" t="s">
        <v>423</v>
      </c>
      <c r="D534" s="93" t="s">
        <v>424</v>
      </c>
      <c r="E534" s="127">
        <v>2.0</v>
      </c>
      <c r="F534" s="209"/>
      <c r="G534" s="209"/>
      <c r="H534" s="209">
        <f t="shared" si="10"/>
        <v>500</v>
      </c>
      <c r="I534" s="126"/>
      <c r="J534" s="126" t="str">
        <f t="shared" si="9"/>
        <v>2 Patient Portal Logins</v>
      </c>
      <c r="K534" s="23"/>
      <c r="L534" s="23"/>
      <c r="M534" s="23"/>
    </row>
    <row r="535" hidden="1">
      <c r="A535" s="6" t="s">
        <v>298</v>
      </c>
      <c r="B535" s="92" t="s">
        <v>425</v>
      </c>
      <c r="C535" s="93" t="s">
        <v>426</v>
      </c>
      <c r="D535" s="93" t="s">
        <v>427</v>
      </c>
      <c r="E535" s="127">
        <v>7.0</v>
      </c>
      <c r="F535" s="209"/>
      <c r="G535" s="209"/>
      <c r="H535" s="209">
        <f t="shared" si="10"/>
        <v>1750</v>
      </c>
      <c r="I535" s="126"/>
      <c r="J535" s="126" t="str">
        <f t="shared" si="9"/>
        <v>7 Patient Portal Logins</v>
      </c>
      <c r="K535" s="23"/>
      <c r="L535" s="23"/>
      <c r="M535" s="23"/>
    </row>
    <row r="536" hidden="1">
      <c r="A536" s="6" t="s">
        <v>298</v>
      </c>
      <c r="B536" s="92" t="s">
        <v>428</v>
      </c>
      <c r="C536" s="93" t="s">
        <v>429</v>
      </c>
      <c r="D536" s="93" t="s">
        <v>430</v>
      </c>
      <c r="E536" s="127">
        <v>35.0</v>
      </c>
      <c r="F536" s="209"/>
      <c r="G536" s="209"/>
      <c r="H536" s="209">
        <f t="shared" si="10"/>
        <v>8750</v>
      </c>
      <c r="I536" s="126"/>
      <c r="J536" s="126" t="str">
        <f t="shared" si="9"/>
        <v>35 Patient Portal Logins</v>
      </c>
      <c r="K536" s="23"/>
      <c r="L536" s="23"/>
      <c r="M536" s="23"/>
    </row>
    <row r="537" hidden="1">
      <c r="A537" s="6" t="s">
        <v>298</v>
      </c>
      <c r="B537" s="92" t="s">
        <v>431</v>
      </c>
      <c r="C537" s="93" t="s">
        <v>432</v>
      </c>
      <c r="D537" s="93" t="s">
        <v>433</v>
      </c>
      <c r="E537" s="127">
        <v>10.0</v>
      </c>
      <c r="F537" s="209"/>
      <c r="G537" s="209"/>
      <c r="H537" s="209">
        <f t="shared" si="10"/>
        <v>2500</v>
      </c>
      <c r="I537" s="126"/>
      <c r="J537" s="126" t="str">
        <f t="shared" si="9"/>
        <v>10 Patient Portal Logins</v>
      </c>
      <c r="K537" s="23"/>
      <c r="L537" s="23"/>
      <c r="M537" s="23"/>
    </row>
    <row r="538" hidden="1">
      <c r="A538" s="6" t="s">
        <v>298</v>
      </c>
      <c r="B538" s="92" t="s">
        <v>434</v>
      </c>
      <c r="C538" s="93" t="s">
        <v>435</v>
      </c>
      <c r="D538" s="93" t="s">
        <v>436</v>
      </c>
      <c r="E538" s="127">
        <v>5.0</v>
      </c>
      <c r="F538" s="209"/>
      <c r="G538" s="209"/>
      <c r="H538" s="209">
        <f t="shared" si="10"/>
        <v>1250</v>
      </c>
      <c r="I538" s="126"/>
      <c r="J538" s="126" t="str">
        <f t="shared" si="9"/>
        <v>5 Patient Portal Logins</v>
      </c>
      <c r="K538" s="23"/>
      <c r="L538" s="23"/>
      <c r="M538" s="23"/>
    </row>
    <row r="539" hidden="1">
      <c r="A539" s="6" t="s">
        <v>298</v>
      </c>
      <c r="B539" s="92" t="s">
        <v>437</v>
      </c>
      <c r="C539" s="93" t="s">
        <v>438</v>
      </c>
      <c r="D539" s="93" t="s">
        <v>439</v>
      </c>
      <c r="E539" s="127">
        <v>7.0</v>
      </c>
      <c r="F539" s="209"/>
      <c r="G539" s="209"/>
      <c r="H539" s="209">
        <f t="shared" si="10"/>
        <v>1750</v>
      </c>
      <c r="I539" s="126"/>
      <c r="J539" s="126" t="str">
        <f t="shared" si="9"/>
        <v>7 Patient Portal Logins</v>
      </c>
      <c r="K539" s="23"/>
      <c r="L539" s="23"/>
      <c r="M539" s="23"/>
    </row>
    <row r="540" hidden="1">
      <c r="A540" s="6" t="s">
        <v>298</v>
      </c>
      <c r="B540" s="92" t="s">
        <v>440</v>
      </c>
      <c r="C540" s="93" t="s">
        <v>441</v>
      </c>
      <c r="D540" s="93" t="s">
        <v>442</v>
      </c>
      <c r="E540" s="76"/>
      <c r="F540" s="209"/>
      <c r="G540" s="209"/>
      <c r="H540" s="209">
        <f t="shared" si="10"/>
        <v>0</v>
      </c>
      <c r="I540" s="126"/>
      <c r="J540" s="126" t="str">
        <f t="shared" si="9"/>
        <v> Patient Portal Logins</v>
      </c>
      <c r="K540" s="23"/>
      <c r="L540" s="23"/>
      <c r="M540" s="23"/>
    </row>
    <row r="541" hidden="1">
      <c r="A541" s="6" t="s">
        <v>298</v>
      </c>
      <c r="B541" s="95" t="s">
        <v>443</v>
      </c>
      <c r="C541" s="94" t="s">
        <v>444</v>
      </c>
      <c r="D541" s="94" t="s">
        <v>445</v>
      </c>
      <c r="E541" s="127">
        <v>0.0</v>
      </c>
      <c r="F541" s="209"/>
      <c r="G541" s="209"/>
      <c r="H541" s="209">
        <f t="shared" si="10"/>
        <v>0</v>
      </c>
      <c r="I541" s="126"/>
      <c r="J541" s="126" t="str">
        <f t="shared" si="9"/>
        <v>0 Patient Portal Logins</v>
      </c>
      <c r="K541" s="23"/>
      <c r="L541" s="23"/>
      <c r="M541" s="23"/>
    </row>
    <row r="542" hidden="1">
      <c r="A542" s="6" t="s">
        <v>298</v>
      </c>
      <c r="B542" s="95" t="s">
        <v>446</v>
      </c>
      <c r="C542" s="94" t="s">
        <v>447</v>
      </c>
      <c r="D542" s="94" t="s">
        <v>448</v>
      </c>
      <c r="E542" s="127">
        <v>8.0</v>
      </c>
      <c r="F542" s="209"/>
      <c r="G542" s="209"/>
      <c r="H542" s="209">
        <f t="shared" si="10"/>
        <v>2000</v>
      </c>
      <c r="I542" s="126"/>
      <c r="J542" s="126" t="str">
        <f t="shared" si="9"/>
        <v>8 Patient Portal Logins</v>
      </c>
      <c r="K542" s="23"/>
      <c r="L542" s="23"/>
      <c r="M542" s="23"/>
    </row>
    <row r="543" hidden="1">
      <c r="A543" s="6" t="s">
        <v>298</v>
      </c>
      <c r="B543" s="95" t="s">
        <v>449</v>
      </c>
      <c r="C543" s="94" t="s">
        <v>450</v>
      </c>
      <c r="D543" s="94" t="s">
        <v>451</v>
      </c>
      <c r="E543" s="127">
        <v>2.0</v>
      </c>
      <c r="F543" s="209"/>
      <c r="G543" s="209"/>
      <c r="H543" s="209">
        <f t="shared" si="10"/>
        <v>500</v>
      </c>
      <c r="I543" s="126"/>
      <c r="J543" s="126" t="str">
        <f t="shared" si="9"/>
        <v>2 Patient Portal Logins</v>
      </c>
      <c r="K543" s="23"/>
      <c r="L543" s="23"/>
      <c r="M543" s="23"/>
    </row>
    <row r="544" hidden="1">
      <c r="A544" s="6" t="s">
        <v>298</v>
      </c>
      <c r="B544" s="94" t="s">
        <v>452</v>
      </c>
      <c r="C544" s="94" t="s">
        <v>453</v>
      </c>
      <c r="D544" s="94" t="s">
        <v>454</v>
      </c>
      <c r="E544" s="127">
        <v>10.0</v>
      </c>
      <c r="F544" s="209"/>
      <c r="G544" s="209"/>
      <c r="H544" s="209">
        <f t="shared" si="10"/>
        <v>2500</v>
      </c>
      <c r="I544" s="126"/>
      <c r="J544" s="126" t="str">
        <f t="shared" si="9"/>
        <v>10 Patient Portal Logins</v>
      </c>
      <c r="K544" s="23"/>
      <c r="L544" s="23"/>
      <c r="M544" s="23"/>
    </row>
    <row r="545" hidden="1">
      <c r="A545" s="6" t="s">
        <v>298</v>
      </c>
      <c r="B545" s="94" t="s">
        <v>455</v>
      </c>
      <c r="C545" s="94" t="s">
        <v>456</v>
      </c>
      <c r="D545" s="94" t="s">
        <v>457</v>
      </c>
      <c r="E545" s="127">
        <v>1.0</v>
      </c>
      <c r="F545" s="209"/>
      <c r="G545" s="209"/>
      <c r="H545" s="209">
        <f t="shared" si="10"/>
        <v>250</v>
      </c>
      <c r="I545" s="126"/>
      <c r="J545" s="126" t="str">
        <f t="shared" si="9"/>
        <v>1 Patient Portal Logins</v>
      </c>
      <c r="K545" s="23"/>
      <c r="L545" s="23"/>
      <c r="M545" s="23"/>
    </row>
    <row r="546" hidden="1">
      <c r="A546" s="6" t="s">
        <v>298</v>
      </c>
      <c r="B546" s="94" t="s">
        <v>458</v>
      </c>
      <c r="C546" s="94" t="s">
        <v>459</v>
      </c>
      <c r="D546" s="94" t="s">
        <v>460</v>
      </c>
      <c r="E546" s="127">
        <v>6.0</v>
      </c>
      <c r="F546" s="209"/>
      <c r="G546" s="209"/>
      <c r="H546" s="209">
        <f t="shared" si="10"/>
        <v>1500</v>
      </c>
      <c r="I546" s="126"/>
      <c r="J546" s="126" t="str">
        <f t="shared" si="9"/>
        <v>6 Patient Portal Logins</v>
      </c>
      <c r="K546" s="23"/>
      <c r="L546" s="23"/>
      <c r="M546" s="23"/>
    </row>
    <row r="547" hidden="1">
      <c r="A547" s="54" t="s">
        <v>299</v>
      </c>
      <c r="B547" s="91" t="s">
        <v>395</v>
      </c>
      <c r="C547" s="96" t="s">
        <v>396</v>
      </c>
      <c r="D547" s="96" t="s">
        <v>397</v>
      </c>
      <c r="E547" s="19">
        <v>0.0</v>
      </c>
      <c r="F547" s="214"/>
      <c r="G547" s="214"/>
      <c r="H547" s="214">
        <f t="shared" si="10"/>
        <v>0</v>
      </c>
      <c r="I547" s="126"/>
      <c r="J547" s="126" t="str">
        <f t="shared" si="9"/>
        <v>0 Patient Portal Logins</v>
      </c>
      <c r="K547" s="23"/>
      <c r="L547" s="23"/>
      <c r="M547" s="23"/>
    </row>
    <row r="548" hidden="1">
      <c r="A548" s="6" t="s">
        <v>299</v>
      </c>
      <c r="B548" s="92" t="s">
        <v>398</v>
      </c>
      <c r="C548" s="93" t="s">
        <v>399</v>
      </c>
      <c r="D548" s="93" t="s">
        <v>400</v>
      </c>
      <c r="E548" s="127">
        <v>4.0</v>
      </c>
      <c r="F548" s="214"/>
      <c r="G548" s="214"/>
      <c r="H548" s="214">
        <f t="shared" si="10"/>
        <v>1000</v>
      </c>
      <c r="I548" s="126"/>
      <c r="J548" s="126" t="str">
        <f t="shared" si="9"/>
        <v>4 Patient Portal Logins</v>
      </c>
      <c r="K548" s="23"/>
      <c r="L548" s="23"/>
      <c r="M548" s="23"/>
    </row>
    <row r="549" hidden="1">
      <c r="A549" s="6" t="s">
        <v>299</v>
      </c>
      <c r="B549" s="92" t="s">
        <v>401</v>
      </c>
      <c r="C549" s="93" t="s">
        <v>402</v>
      </c>
      <c r="D549" s="93" t="s">
        <v>403</v>
      </c>
      <c r="E549" s="19">
        <v>0.0</v>
      </c>
      <c r="F549" s="214"/>
      <c r="G549" s="214"/>
      <c r="H549" s="214">
        <f t="shared" si="10"/>
        <v>0</v>
      </c>
      <c r="I549" s="126"/>
      <c r="J549" s="126" t="str">
        <f t="shared" si="9"/>
        <v>0 Patient Portal Logins</v>
      </c>
      <c r="K549" s="23"/>
      <c r="L549" s="23"/>
      <c r="M549" s="23"/>
    </row>
    <row r="550" hidden="1">
      <c r="A550" s="6" t="s">
        <v>299</v>
      </c>
      <c r="B550" s="92" t="s">
        <v>404</v>
      </c>
      <c r="C550" s="93" t="s">
        <v>405</v>
      </c>
      <c r="D550" s="93" t="s">
        <v>406</v>
      </c>
      <c r="E550" s="128">
        <v>0.0</v>
      </c>
      <c r="F550" s="214"/>
      <c r="G550" s="214"/>
      <c r="H550" s="214">
        <f t="shared" si="10"/>
        <v>0</v>
      </c>
      <c r="I550" s="126"/>
      <c r="J550" s="126" t="str">
        <f t="shared" si="9"/>
        <v>0 Patient Portal Logins</v>
      </c>
      <c r="K550" s="23"/>
      <c r="L550" s="23"/>
      <c r="M550" s="23"/>
    </row>
    <row r="551" hidden="1">
      <c r="A551" s="6" t="s">
        <v>299</v>
      </c>
      <c r="B551" s="92" t="s">
        <v>407</v>
      </c>
      <c r="C551" s="93" t="s">
        <v>408</v>
      </c>
      <c r="D551" s="93" t="s">
        <v>409</v>
      </c>
      <c r="E551" s="128">
        <v>0.0</v>
      </c>
      <c r="F551" s="214"/>
      <c r="G551" s="214"/>
      <c r="H551" s="214">
        <f t="shared" si="10"/>
        <v>0</v>
      </c>
      <c r="I551" s="126"/>
      <c r="J551" s="126" t="str">
        <f t="shared" si="9"/>
        <v>0 Patient Portal Logins</v>
      </c>
      <c r="K551" s="23"/>
      <c r="L551" s="23"/>
      <c r="M551" s="23"/>
    </row>
    <row r="552" hidden="1">
      <c r="A552" s="6" t="s">
        <v>299</v>
      </c>
      <c r="B552" s="92" t="s">
        <v>410</v>
      </c>
      <c r="C552" s="93" t="s">
        <v>411</v>
      </c>
      <c r="D552" s="93" t="s">
        <v>412</v>
      </c>
      <c r="E552" s="128">
        <v>0.0</v>
      </c>
      <c r="F552" s="214"/>
      <c r="G552" s="214"/>
      <c r="H552" s="214">
        <f t="shared" si="10"/>
        <v>0</v>
      </c>
      <c r="I552" s="126"/>
      <c r="J552" s="126" t="str">
        <f t="shared" si="9"/>
        <v>0 Patient Portal Logins</v>
      </c>
      <c r="K552" s="23"/>
      <c r="L552" s="23"/>
      <c r="M552" s="23"/>
    </row>
    <row r="553" hidden="1">
      <c r="A553" s="6" t="s">
        <v>299</v>
      </c>
      <c r="B553" s="92" t="s">
        <v>413</v>
      </c>
      <c r="C553" s="93" t="s">
        <v>414</v>
      </c>
      <c r="D553" s="93" t="s">
        <v>415</v>
      </c>
      <c r="E553" s="127">
        <v>30.0</v>
      </c>
      <c r="F553" s="214"/>
      <c r="G553" s="214"/>
      <c r="H553" s="214">
        <f t="shared" si="10"/>
        <v>7500</v>
      </c>
      <c r="I553" s="126"/>
      <c r="J553" s="126" t="str">
        <f t="shared" si="9"/>
        <v>30 Patient Portal Logins</v>
      </c>
      <c r="K553" s="23"/>
      <c r="L553" s="23"/>
      <c r="M553" s="23"/>
    </row>
    <row r="554" hidden="1">
      <c r="A554" s="6" t="s">
        <v>299</v>
      </c>
      <c r="B554" s="92" t="s">
        <v>416</v>
      </c>
      <c r="C554" s="93" t="s">
        <v>417</v>
      </c>
      <c r="D554" s="93" t="s">
        <v>418</v>
      </c>
      <c r="E554" s="128">
        <v>0.0</v>
      </c>
      <c r="F554" s="214"/>
      <c r="G554" s="214"/>
      <c r="H554" s="214">
        <f t="shared" si="10"/>
        <v>0</v>
      </c>
      <c r="I554" s="126"/>
      <c r="J554" s="126" t="str">
        <f t="shared" si="9"/>
        <v>0 Patient Portal Logins</v>
      </c>
      <c r="K554" s="23"/>
      <c r="L554" s="23"/>
      <c r="M554" s="23"/>
    </row>
    <row r="555" hidden="1">
      <c r="A555" s="6" t="s">
        <v>299</v>
      </c>
      <c r="B555" s="92" t="s">
        <v>41</v>
      </c>
      <c r="C555" s="93" t="s">
        <v>42</v>
      </c>
      <c r="D555" s="93" t="s">
        <v>43</v>
      </c>
      <c r="E555" s="76"/>
      <c r="F555" s="214"/>
      <c r="G555" s="214"/>
      <c r="H555" s="214">
        <f t="shared" si="10"/>
        <v>0</v>
      </c>
      <c r="I555" s="126"/>
      <c r="J555" s="126" t="str">
        <f t="shared" si="9"/>
        <v> Patient Portal Logins</v>
      </c>
      <c r="K555" s="23"/>
      <c r="L555" s="23"/>
      <c r="M555" s="23"/>
    </row>
    <row r="556" hidden="1">
      <c r="A556" s="6" t="s">
        <v>299</v>
      </c>
      <c r="B556" s="92" t="s">
        <v>35</v>
      </c>
      <c r="C556" s="93" t="s">
        <v>36</v>
      </c>
      <c r="D556" s="93" t="s">
        <v>37</v>
      </c>
      <c r="E556" s="76"/>
      <c r="F556" s="214"/>
      <c r="G556" s="214"/>
      <c r="H556" s="214">
        <f t="shared" si="10"/>
        <v>0</v>
      </c>
      <c r="I556" s="126"/>
      <c r="J556" s="126" t="str">
        <f t="shared" si="9"/>
        <v> Patient Portal Logins</v>
      </c>
      <c r="K556" s="23"/>
      <c r="L556" s="23"/>
      <c r="M556" s="23"/>
    </row>
    <row r="557" hidden="1">
      <c r="A557" s="6" t="s">
        <v>299</v>
      </c>
      <c r="B557" s="92" t="s">
        <v>47</v>
      </c>
      <c r="C557" s="93" t="s">
        <v>48</v>
      </c>
      <c r="D557" s="93" t="s">
        <v>49</v>
      </c>
      <c r="E557" s="76"/>
      <c r="F557" s="214"/>
      <c r="G557" s="214"/>
      <c r="H557" s="214">
        <f t="shared" si="10"/>
        <v>0</v>
      </c>
      <c r="I557" s="126"/>
      <c r="J557" s="126" t="str">
        <f t="shared" si="9"/>
        <v> Patient Portal Logins</v>
      </c>
      <c r="K557" s="23"/>
      <c r="L557" s="23"/>
      <c r="M557" s="23"/>
    </row>
    <row r="558" hidden="1">
      <c r="A558" s="6" t="s">
        <v>299</v>
      </c>
      <c r="B558" s="92" t="s">
        <v>419</v>
      </c>
      <c r="C558" s="93" t="s">
        <v>420</v>
      </c>
      <c r="D558" s="93" t="s">
        <v>421</v>
      </c>
      <c r="E558" s="19">
        <v>0.0</v>
      </c>
      <c r="F558" s="214"/>
      <c r="G558" s="214"/>
      <c r="H558" s="214">
        <f t="shared" si="10"/>
        <v>0</v>
      </c>
      <c r="I558" s="126"/>
      <c r="J558" s="126" t="str">
        <f t="shared" si="9"/>
        <v>0 Patient Portal Logins</v>
      </c>
      <c r="K558" s="23"/>
      <c r="L558" s="23"/>
      <c r="M558" s="23"/>
    </row>
    <row r="559" hidden="1">
      <c r="A559" s="6" t="s">
        <v>299</v>
      </c>
      <c r="B559" s="92" t="s">
        <v>422</v>
      </c>
      <c r="C559" s="93" t="s">
        <v>423</v>
      </c>
      <c r="D559" s="93" t="s">
        <v>424</v>
      </c>
      <c r="E559" s="19">
        <v>0.0</v>
      </c>
      <c r="F559" s="214"/>
      <c r="G559" s="214"/>
      <c r="H559" s="214">
        <f t="shared" si="10"/>
        <v>0</v>
      </c>
      <c r="I559" s="126"/>
      <c r="J559" s="126" t="str">
        <f t="shared" si="9"/>
        <v>0 Patient Portal Logins</v>
      </c>
      <c r="K559" s="23"/>
      <c r="L559" s="23"/>
      <c r="M559" s="23"/>
    </row>
    <row r="560" hidden="1">
      <c r="A560" s="6" t="s">
        <v>299</v>
      </c>
      <c r="B560" s="92" t="s">
        <v>425</v>
      </c>
      <c r="C560" s="93" t="s">
        <v>426</v>
      </c>
      <c r="D560" s="93" t="s">
        <v>427</v>
      </c>
      <c r="E560" s="127">
        <v>8.0</v>
      </c>
      <c r="F560" s="214"/>
      <c r="G560" s="214"/>
      <c r="H560" s="214">
        <f t="shared" si="10"/>
        <v>2000</v>
      </c>
      <c r="I560" s="126"/>
      <c r="J560" s="126" t="str">
        <f t="shared" si="9"/>
        <v>8 Patient Portal Logins</v>
      </c>
      <c r="K560" s="23"/>
      <c r="L560" s="23"/>
      <c r="M560" s="23"/>
    </row>
    <row r="561" hidden="1">
      <c r="A561" s="6" t="s">
        <v>299</v>
      </c>
      <c r="B561" s="92" t="s">
        <v>428</v>
      </c>
      <c r="C561" s="93" t="s">
        <v>429</v>
      </c>
      <c r="D561" s="93" t="s">
        <v>430</v>
      </c>
      <c r="E561" s="127">
        <v>28.0</v>
      </c>
      <c r="F561" s="214"/>
      <c r="G561" s="214"/>
      <c r="H561" s="214">
        <f t="shared" si="10"/>
        <v>7000</v>
      </c>
      <c r="I561" s="126"/>
      <c r="J561" s="126" t="str">
        <f t="shared" si="9"/>
        <v>28 Patient Portal Logins</v>
      </c>
      <c r="K561" s="23"/>
      <c r="L561" s="23"/>
      <c r="M561" s="23"/>
    </row>
    <row r="562" hidden="1">
      <c r="A562" s="6" t="s">
        <v>299</v>
      </c>
      <c r="B562" s="92" t="s">
        <v>431</v>
      </c>
      <c r="C562" s="93" t="s">
        <v>432</v>
      </c>
      <c r="D562" s="93" t="s">
        <v>433</v>
      </c>
      <c r="E562" s="127">
        <v>15.0</v>
      </c>
      <c r="F562" s="214"/>
      <c r="G562" s="214"/>
      <c r="H562" s="214">
        <f t="shared" si="10"/>
        <v>3750</v>
      </c>
      <c r="I562" s="126"/>
      <c r="J562" s="126" t="str">
        <f t="shared" si="9"/>
        <v>15 Patient Portal Logins</v>
      </c>
      <c r="K562" s="23"/>
      <c r="L562" s="23"/>
      <c r="M562" s="23"/>
    </row>
    <row r="563" hidden="1">
      <c r="A563" s="6" t="s">
        <v>299</v>
      </c>
      <c r="B563" s="92" t="s">
        <v>434</v>
      </c>
      <c r="C563" s="93" t="s">
        <v>435</v>
      </c>
      <c r="D563" s="93" t="s">
        <v>436</v>
      </c>
      <c r="E563" s="127">
        <v>30.0</v>
      </c>
      <c r="F563" s="214"/>
      <c r="G563" s="214"/>
      <c r="H563" s="214">
        <f t="shared" si="10"/>
        <v>7500</v>
      </c>
      <c r="I563" s="126"/>
      <c r="J563" s="126" t="str">
        <f t="shared" si="9"/>
        <v>30 Patient Portal Logins</v>
      </c>
      <c r="K563" s="23"/>
      <c r="L563" s="23"/>
      <c r="M563" s="23"/>
    </row>
    <row r="564" hidden="1">
      <c r="A564" s="6" t="s">
        <v>299</v>
      </c>
      <c r="B564" s="92" t="s">
        <v>437</v>
      </c>
      <c r="C564" s="93" t="s">
        <v>438</v>
      </c>
      <c r="D564" s="93" t="s">
        <v>439</v>
      </c>
      <c r="E564" s="127">
        <v>10.0</v>
      </c>
      <c r="F564" s="214"/>
      <c r="G564" s="214"/>
      <c r="H564" s="214">
        <f t="shared" si="10"/>
        <v>2500</v>
      </c>
      <c r="I564" s="126"/>
      <c r="J564" s="126" t="str">
        <f t="shared" si="9"/>
        <v>10 Patient Portal Logins</v>
      </c>
      <c r="K564" s="23"/>
      <c r="L564" s="23"/>
      <c r="M564" s="23"/>
    </row>
    <row r="565" hidden="1">
      <c r="A565" s="6" t="s">
        <v>299</v>
      </c>
      <c r="B565" s="92" t="s">
        <v>440</v>
      </c>
      <c r="C565" s="93" t="s">
        <v>441</v>
      </c>
      <c r="D565" s="93" t="s">
        <v>442</v>
      </c>
      <c r="E565" s="76"/>
      <c r="F565" s="214"/>
      <c r="G565" s="214"/>
      <c r="H565" s="214">
        <f t="shared" si="10"/>
        <v>0</v>
      </c>
      <c r="I565" s="126"/>
      <c r="J565" s="126" t="str">
        <f t="shared" si="9"/>
        <v> Patient Portal Logins</v>
      </c>
      <c r="K565" s="23"/>
      <c r="L565" s="23"/>
      <c r="M565" s="23"/>
    </row>
    <row r="566" hidden="1">
      <c r="A566" s="6" t="s">
        <v>299</v>
      </c>
      <c r="B566" s="95" t="s">
        <v>443</v>
      </c>
      <c r="C566" s="94" t="s">
        <v>444</v>
      </c>
      <c r="D566" s="94" t="s">
        <v>445</v>
      </c>
      <c r="E566" s="129"/>
      <c r="F566" s="214"/>
      <c r="G566" s="214"/>
      <c r="H566" s="214">
        <f t="shared" si="10"/>
        <v>0</v>
      </c>
      <c r="I566" s="126"/>
      <c r="J566" s="126" t="str">
        <f t="shared" si="9"/>
        <v> Patient Portal Logins</v>
      </c>
      <c r="K566" s="23"/>
      <c r="L566" s="23"/>
      <c r="M566" s="23"/>
    </row>
    <row r="567" hidden="1">
      <c r="A567" s="6" t="s">
        <v>299</v>
      </c>
      <c r="B567" s="95" t="s">
        <v>446</v>
      </c>
      <c r="C567" s="94" t="s">
        <v>447</v>
      </c>
      <c r="D567" s="94" t="s">
        <v>448</v>
      </c>
      <c r="E567" s="127">
        <v>7.0</v>
      </c>
      <c r="F567" s="214"/>
      <c r="G567" s="214"/>
      <c r="H567" s="214">
        <f t="shared" si="10"/>
        <v>1750</v>
      </c>
      <c r="I567" s="126"/>
      <c r="J567" s="126" t="str">
        <f t="shared" si="9"/>
        <v>7 Patient Portal Logins</v>
      </c>
      <c r="K567" s="23"/>
      <c r="L567" s="23"/>
      <c r="M567" s="23"/>
    </row>
    <row r="568" hidden="1">
      <c r="A568" s="6" t="s">
        <v>299</v>
      </c>
      <c r="B568" s="95" t="s">
        <v>449</v>
      </c>
      <c r="C568" s="94" t="s">
        <v>450</v>
      </c>
      <c r="D568" s="94" t="s">
        <v>451</v>
      </c>
      <c r="E568" s="127">
        <v>2.0</v>
      </c>
      <c r="F568" s="214"/>
      <c r="G568" s="214"/>
      <c r="H568" s="214">
        <f t="shared" si="10"/>
        <v>500</v>
      </c>
      <c r="I568" s="126"/>
      <c r="J568" s="126" t="str">
        <f t="shared" si="9"/>
        <v>2 Patient Portal Logins</v>
      </c>
      <c r="K568" s="23"/>
      <c r="L568" s="23"/>
      <c r="M568" s="23"/>
    </row>
    <row r="569" hidden="1">
      <c r="A569" s="6" t="s">
        <v>299</v>
      </c>
      <c r="B569" s="94" t="s">
        <v>452</v>
      </c>
      <c r="C569" s="94" t="s">
        <v>453</v>
      </c>
      <c r="D569" s="94" t="s">
        <v>454</v>
      </c>
      <c r="E569" s="127">
        <v>23.0</v>
      </c>
      <c r="F569" s="214"/>
      <c r="G569" s="214"/>
      <c r="H569" s="214">
        <f t="shared" si="10"/>
        <v>5750</v>
      </c>
      <c r="I569" s="126"/>
      <c r="J569" s="126" t="str">
        <f t="shared" si="9"/>
        <v>23 Patient Portal Logins</v>
      </c>
      <c r="K569" s="23"/>
      <c r="L569" s="23"/>
      <c r="M569" s="23"/>
    </row>
    <row r="570" hidden="1">
      <c r="A570" s="6" t="s">
        <v>299</v>
      </c>
      <c r="B570" s="94" t="s">
        <v>455</v>
      </c>
      <c r="C570" s="94" t="s">
        <v>456</v>
      </c>
      <c r="D570" s="94" t="s">
        <v>457</v>
      </c>
      <c r="E570" s="127">
        <v>3.0</v>
      </c>
      <c r="F570" s="214"/>
      <c r="G570" s="214"/>
      <c r="H570" s="214">
        <f t="shared" si="10"/>
        <v>750</v>
      </c>
      <c r="I570" s="126"/>
      <c r="J570" s="126" t="str">
        <f t="shared" si="9"/>
        <v>3 Patient Portal Logins</v>
      </c>
      <c r="K570" s="23"/>
      <c r="L570" s="23"/>
      <c r="M570" s="23"/>
    </row>
    <row r="571" hidden="1">
      <c r="A571" s="6" t="s">
        <v>299</v>
      </c>
      <c r="B571" s="94" t="s">
        <v>458</v>
      </c>
      <c r="C571" s="94" t="s">
        <v>459</v>
      </c>
      <c r="D571" s="94" t="s">
        <v>460</v>
      </c>
      <c r="E571" s="19">
        <v>0.0</v>
      </c>
      <c r="F571" s="214"/>
      <c r="G571" s="214"/>
      <c r="H571" s="214">
        <f t="shared" si="10"/>
        <v>0</v>
      </c>
      <c r="I571" s="126"/>
      <c r="J571" s="126" t="str">
        <f t="shared" si="9"/>
        <v>0 Patient Portal Logins</v>
      </c>
      <c r="K571" s="23"/>
      <c r="L571" s="23"/>
      <c r="M571" s="23"/>
    </row>
    <row r="572" hidden="1">
      <c r="A572" s="6" t="s">
        <v>300</v>
      </c>
      <c r="B572" s="92" t="s">
        <v>398</v>
      </c>
      <c r="C572" s="93" t="s">
        <v>399</v>
      </c>
      <c r="D572" s="93" t="s">
        <v>400</v>
      </c>
      <c r="E572" s="127">
        <v>4.0</v>
      </c>
      <c r="F572" s="125"/>
      <c r="G572" s="125"/>
      <c r="H572" s="125" t="str">
        <f t="shared" ref="H572:H700" si="11">IF(#REF!&gt;=75,100*#REF!,IF(#REF!&gt;=65,75*#REF!,IF(#REF!&gt;=50,50*#REF!,0))) + (250*E572)</f>
        <v>#REF!</v>
      </c>
      <c r="I572" s="126"/>
      <c r="J572" s="126" t="str">
        <f t="shared" ref="J572:J700" si="12">#REF! &amp; " Total Filings, " &amp; E572 &amp; " Patient Portal Logins"</f>
        <v>#REF!</v>
      </c>
      <c r="K572" s="130"/>
      <c r="L572" s="23"/>
      <c r="M572" s="23"/>
    </row>
    <row r="573" hidden="1">
      <c r="A573" s="6" t="s">
        <v>300</v>
      </c>
      <c r="B573" s="92" t="s">
        <v>401</v>
      </c>
      <c r="C573" s="93" t="s">
        <v>402</v>
      </c>
      <c r="D573" s="93" t="s">
        <v>403</v>
      </c>
      <c r="E573" s="127">
        <v>0.0</v>
      </c>
      <c r="F573" s="125"/>
      <c r="G573" s="125"/>
      <c r="H573" s="125" t="str">
        <f t="shared" si="11"/>
        <v>#REF!</v>
      </c>
      <c r="I573" s="126"/>
      <c r="J573" s="126" t="str">
        <f t="shared" si="12"/>
        <v>#REF!</v>
      </c>
      <c r="K573" s="130"/>
      <c r="L573" s="23"/>
      <c r="M573" s="23"/>
    </row>
    <row r="574" hidden="1">
      <c r="A574" s="6" t="s">
        <v>300</v>
      </c>
      <c r="B574" s="92" t="s">
        <v>404</v>
      </c>
      <c r="C574" s="93" t="s">
        <v>405</v>
      </c>
      <c r="D574" s="93" t="s">
        <v>406</v>
      </c>
      <c r="E574" s="127">
        <v>0.0</v>
      </c>
      <c r="F574" s="125"/>
      <c r="G574" s="125"/>
      <c r="H574" s="125" t="str">
        <f t="shared" si="11"/>
        <v>#REF!</v>
      </c>
      <c r="I574" s="126"/>
      <c r="J574" s="126" t="str">
        <f t="shared" si="12"/>
        <v>#REF!</v>
      </c>
      <c r="K574" s="130"/>
      <c r="L574" s="23"/>
      <c r="M574" s="23"/>
    </row>
    <row r="575" hidden="1">
      <c r="A575" s="6" t="s">
        <v>300</v>
      </c>
      <c r="B575" s="92" t="s">
        <v>407</v>
      </c>
      <c r="C575" s="93" t="s">
        <v>408</v>
      </c>
      <c r="D575" s="93" t="s">
        <v>409</v>
      </c>
      <c r="E575" s="127">
        <v>0.0</v>
      </c>
      <c r="F575" s="125"/>
      <c r="G575" s="125"/>
      <c r="H575" s="125" t="str">
        <f t="shared" si="11"/>
        <v>#REF!</v>
      </c>
      <c r="I575" s="126"/>
      <c r="J575" s="126" t="str">
        <f t="shared" si="12"/>
        <v>#REF!</v>
      </c>
      <c r="K575" s="130"/>
      <c r="L575" s="23"/>
      <c r="M575" s="23"/>
    </row>
    <row r="576" hidden="1">
      <c r="A576" s="6" t="s">
        <v>300</v>
      </c>
      <c r="B576" s="92" t="s">
        <v>410</v>
      </c>
      <c r="C576" s="93" t="s">
        <v>411</v>
      </c>
      <c r="D576" s="93" t="s">
        <v>412</v>
      </c>
      <c r="E576" s="127">
        <v>0.0</v>
      </c>
      <c r="F576" s="125"/>
      <c r="G576" s="125"/>
      <c r="H576" s="125" t="str">
        <f t="shared" si="11"/>
        <v>#REF!</v>
      </c>
      <c r="I576" s="126"/>
      <c r="J576" s="126" t="str">
        <f t="shared" si="12"/>
        <v>#REF!</v>
      </c>
      <c r="K576" s="130"/>
      <c r="L576" s="23"/>
      <c r="M576" s="23"/>
    </row>
    <row r="577" hidden="1">
      <c r="A577" s="6" t="s">
        <v>300</v>
      </c>
      <c r="B577" s="92" t="s">
        <v>413</v>
      </c>
      <c r="C577" s="93" t="s">
        <v>414</v>
      </c>
      <c r="D577" s="93" t="s">
        <v>415</v>
      </c>
      <c r="E577" s="127">
        <v>22.0</v>
      </c>
      <c r="F577" s="125"/>
      <c r="G577" s="125"/>
      <c r="H577" s="125" t="str">
        <f t="shared" si="11"/>
        <v>#REF!</v>
      </c>
      <c r="I577" s="126"/>
      <c r="J577" s="126" t="str">
        <f t="shared" si="12"/>
        <v>#REF!</v>
      </c>
      <c r="K577" s="130"/>
      <c r="L577" s="23"/>
      <c r="M577" s="23"/>
    </row>
    <row r="578" hidden="1">
      <c r="A578" s="6" t="s">
        <v>300</v>
      </c>
      <c r="B578" s="92" t="s">
        <v>416</v>
      </c>
      <c r="C578" s="93" t="s">
        <v>417</v>
      </c>
      <c r="D578" s="93" t="s">
        <v>418</v>
      </c>
      <c r="E578" s="127">
        <v>0.0</v>
      </c>
      <c r="F578" s="125"/>
      <c r="G578" s="125"/>
      <c r="H578" s="125" t="str">
        <f t="shared" si="11"/>
        <v>#REF!</v>
      </c>
      <c r="I578" s="126"/>
      <c r="J578" s="126" t="str">
        <f t="shared" si="12"/>
        <v>#REF!</v>
      </c>
      <c r="K578" s="130"/>
      <c r="L578" s="23"/>
      <c r="M578" s="23"/>
    </row>
    <row r="579" hidden="1">
      <c r="A579" s="6" t="s">
        <v>300</v>
      </c>
      <c r="B579" s="92" t="s">
        <v>41</v>
      </c>
      <c r="C579" s="93" t="s">
        <v>42</v>
      </c>
      <c r="D579" s="93" t="s">
        <v>43</v>
      </c>
      <c r="E579" s="129"/>
      <c r="F579" s="125"/>
      <c r="G579" s="125"/>
      <c r="H579" s="125" t="str">
        <f t="shared" si="11"/>
        <v>#REF!</v>
      </c>
      <c r="I579" s="126"/>
      <c r="J579" s="126" t="str">
        <f t="shared" si="12"/>
        <v>#REF!</v>
      </c>
      <c r="K579" s="130"/>
      <c r="L579" s="23"/>
      <c r="M579" s="23"/>
    </row>
    <row r="580" hidden="1">
      <c r="A580" s="6" t="s">
        <v>300</v>
      </c>
      <c r="B580" s="92" t="s">
        <v>35</v>
      </c>
      <c r="C580" s="93" t="s">
        <v>36</v>
      </c>
      <c r="D580" s="93" t="s">
        <v>37</v>
      </c>
      <c r="E580" s="129"/>
      <c r="F580" s="125"/>
      <c r="G580" s="125"/>
      <c r="H580" s="125" t="str">
        <f t="shared" si="11"/>
        <v>#REF!</v>
      </c>
      <c r="I580" s="126"/>
      <c r="J580" s="126" t="str">
        <f t="shared" si="12"/>
        <v>#REF!</v>
      </c>
      <c r="K580" s="130"/>
      <c r="L580" s="23"/>
      <c r="M580" s="23"/>
    </row>
    <row r="581" hidden="1">
      <c r="A581" s="6" t="s">
        <v>300</v>
      </c>
      <c r="B581" s="92" t="s">
        <v>47</v>
      </c>
      <c r="C581" s="93" t="s">
        <v>48</v>
      </c>
      <c r="D581" s="93" t="s">
        <v>49</v>
      </c>
      <c r="E581" s="129"/>
      <c r="F581" s="125"/>
      <c r="G581" s="125"/>
      <c r="H581" s="125" t="str">
        <f t="shared" si="11"/>
        <v>#REF!</v>
      </c>
      <c r="I581" s="126"/>
      <c r="J581" s="126" t="str">
        <f t="shared" si="12"/>
        <v>#REF!</v>
      </c>
      <c r="K581" s="130"/>
      <c r="L581" s="23"/>
      <c r="M581" s="23"/>
    </row>
    <row r="582" hidden="1">
      <c r="A582" s="6" t="s">
        <v>300</v>
      </c>
      <c r="B582" s="92" t="s">
        <v>419</v>
      </c>
      <c r="C582" s="93" t="s">
        <v>420</v>
      </c>
      <c r="D582" s="93" t="s">
        <v>421</v>
      </c>
      <c r="E582" s="129"/>
      <c r="F582" s="125"/>
      <c r="G582" s="125"/>
      <c r="H582" s="125" t="str">
        <f t="shared" si="11"/>
        <v>#REF!</v>
      </c>
      <c r="I582" s="126"/>
      <c r="J582" s="126" t="str">
        <f t="shared" si="12"/>
        <v>#REF!</v>
      </c>
      <c r="K582" s="130"/>
      <c r="L582" s="23"/>
      <c r="M582" s="23"/>
    </row>
    <row r="583" hidden="1">
      <c r="A583" s="6" t="s">
        <v>300</v>
      </c>
      <c r="B583" s="92" t="s">
        <v>422</v>
      </c>
      <c r="C583" s="93" t="s">
        <v>423</v>
      </c>
      <c r="D583" s="93" t="s">
        <v>424</v>
      </c>
      <c r="E583" s="127">
        <v>0.0</v>
      </c>
      <c r="F583" s="125"/>
      <c r="G583" s="125"/>
      <c r="H583" s="125" t="str">
        <f t="shared" si="11"/>
        <v>#REF!</v>
      </c>
      <c r="I583" s="126"/>
      <c r="J583" s="126" t="str">
        <f t="shared" si="12"/>
        <v>#REF!</v>
      </c>
      <c r="K583" s="130"/>
      <c r="L583" s="23"/>
      <c r="M583" s="23"/>
    </row>
    <row r="584" hidden="1">
      <c r="A584" s="6" t="s">
        <v>300</v>
      </c>
      <c r="B584" s="92" t="s">
        <v>425</v>
      </c>
      <c r="C584" s="93" t="s">
        <v>426</v>
      </c>
      <c r="D584" s="93" t="s">
        <v>427</v>
      </c>
      <c r="E584" s="127">
        <v>13.0</v>
      </c>
      <c r="F584" s="125"/>
      <c r="G584" s="125"/>
      <c r="H584" s="125" t="str">
        <f t="shared" si="11"/>
        <v>#REF!</v>
      </c>
      <c r="I584" s="126"/>
      <c r="J584" s="126" t="str">
        <f t="shared" si="12"/>
        <v>#REF!</v>
      </c>
      <c r="K584" s="130"/>
      <c r="L584" s="23"/>
      <c r="M584" s="23"/>
    </row>
    <row r="585" hidden="1">
      <c r="A585" s="6" t="s">
        <v>300</v>
      </c>
      <c r="B585" s="92" t="s">
        <v>428</v>
      </c>
      <c r="C585" s="93" t="s">
        <v>429</v>
      </c>
      <c r="D585" s="93" t="s">
        <v>430</v>
      </c>
      <c r="E585" s="127">
        <v>25.0</v>
      </c>
      <c r="F585" s="125"/>
      <c r="G585" s="125"/>
      <c r="H585" s="125" t="str">
        <f t="shared" si="11"/>
        <v>#REF!</v>
      </c>
      <c r="I585" s="126"/>
      <c r="J585" s="126" t="str">
        <f t="shared" si="12"/>
        <v>#REF!</v>
      </c>
      <c r="K585" s="130"/>
      <c r="L585" s="23"/>
      <c r="M585" s="23"/>
    </row>
    <row r="586" hidden="1">
      <c r="A586" s="6" t="s">
        <v>300</v>
      </c>
      <c r="B586" s="92" t="s">
        <v>431</v>
      </c>
      <c r="C586" s="93" t="s">
        <v>432</v>
      </c>
      <c r="D586" s="93" t="s">
        <v>433</v>
      </c>
      <c r="E586" s="127">
        <v>15.0</v>
      </c>
      <c r="F586" s="125"/>
      <c r="G586" s="125"/>
      <c r="H586" s="125" t="str">
        <f t="shared" si="11"/>
        <v>#REF!</v>
      </c>
      <c r="I586" s="126"/>
      <c r="J586" s="126" t="str">
        <f t="shared" si="12"/>
        <v>#REF!</v>
      </c>
      <c r="K586" s="130"/>
      <c r="L586" s="23"/>
      <c r="M586" s="23"/>
    </row>
    <row r="587" hidden="1">
      <c r="A587" s="6" t="s">
        <v>300</v>
      </c>
      <c r="B587" s="92" t="s">
        <v>434</v>
      </c>
      <c r="C587" s="93" t="s">
        <v>435</v>
      </c>
      <c r="D587" s="93" t="s">
        <v>436</v>
      </c>
      <c r="E587" s="127">
        <v>1.0</v>
      </c>
      <c r="F587" s="125"/>
      <c r="G587" s="125"/>
      <c r="H587" s="125" t="str">
        <f t="shared" si="11"/>
        <v>#REF!</v>
      </c>
      <c r="I587" s="126"/>
      <c r="J587" s="126" t="str">
        <f t="shared" si="12"/>
        <v>#REF!</v>
      </c>
      <c r="K587" s="130"/>
      <c r="L587" s="23"/>
      <c r="M587" s="23"/>
    </row>
    <row r="588" hidden="1">
      <c r="A588" s="6" t="s">
        <v>300</v>
      </c>
      <c r="B588" s="92" t="s">
        <v>437</v>
      </c>
      <c r="C588" s="93" t="s">
        <v>438</v>
      </c>
      <c r="D588" s="93" t="s">
        <v>439</v>
      </c>
      <c r="E588" s="127">
        <v>17.0</v>
      </c>
      <c r="F588" s="125"/>
      <c r="G588" s="125"/>
      <c r="H588" s="125" t="str">
        <f t="shared" si="11"/>
        <v>#REF!</v>
      </c>
      <c r="I588" s="126"/>
      <c r="J588" s="126" t="str">
        <f t="shared" si="12"/>
        <v>#REF!</v>
      </c>
      <c r="K588" s="130"/>
      <c r="L588" s="23"/>
      <c r="M588" s="23"/>
    </row>
    <row r="589" hidden="1">
      <c r="A589" s="6" t="s">
        <v>300</v>
      </c>
      <c r="B589" s="92" t="s">
        <v>440</v>
      </c>
      <c r="C589" s="93" t="s">
        <v>441</v>
      </c>
      <c r="D589" s="93" t="s">
        <v>442</v>
      </c>
      <c r="E589" s="76"/>
      <c r="F589" s="125"/>
      <c r="G589" s="125"/>
      <c r="H589" s="125" t="str">
        <f t="shared" si="11"/>
        <v>#REF!</v>
      </c>
      <c r="I589" s="126"/>
      <c r="J589" s="126" t="str">
        <f t="shared" si="12"/>
        <v>#REF!</v>
      </c>
      <c r="K589" s="130"/>
      <c r="L589" s="23"/>
      <c r="M589" s="23"/>
    </row>
    <row r="590" hidden="1">
      <c r="A590" s="6" t="s">
        <v>300</v>
      </c>
      <c r="B590" s="95" t="s">
        <v>443</v>
      </c>
      <c r="C590" s="94" t="s">
        <v>444</v>
      </c>
      <c r="D590" s="94" t="s">
        <v>445</v>
      </c>
      <c r="E590" s="127">
        <v>0.0</v>
      </c>
      <c r="F590" s="125"/>
      <c r="G590" s="125"/>
      <c r="H590" s="125" t="str">
        <f t="shared" si="11"/>
        <v>#REF!</v>
      </c>
      <c r="I590" s="126"/>
      <c r="J590" s="126" t="str">
        <f t="shared" si="12"/>
        <v>#REF!</v>
      </c>
      <c r="K590" s="130"/>
      <c r="L590" s="23"/>
      <c r="M590" s="23"/>
    </row>
    <row r="591" hidden="1">
      <c r="A591" s="6" t="s">
        <v>300</v>
      </c>
      <c r="B591" s="95" t="s">
        <v>446</v>
      </c>
      <c r="C591" s="94" t="s">
        <v>447</v>
      </c>
      <c r="D591" s="94" t="s">
        <v>448</v>
      </c>
      <c r="E591" s="127">
        <v>7.0</v>
      </c>
      <c r="F591" s="125"/>
      <c r="G591" s="125"/>
      <c r="H591" s="125" t="str">
        <f t="shared" si="11"/>
        <v>#REF!</v>
      </c>
      <c r="I591" s="126"/>
      <c r="J591" s="126" t="str">
        <f t="shared" si="12"/>
        <v>#REF!</v>
      </c>
      <c r="K591" s="130"/>
      <c r="L591" s="23"/>
      <c r="M591" s="23"/>
    </row>
    <row r="592" hidden="1">
      <c r="A592" s="6" t="s">
        <v>300</v>
      </c>
      <c r="B592" s="95" t="s">
        <v>449</v>
      </c>
      <c r="C592" s="94" t="s">
        <v>450</v>
      </c>
      <c r="D592" s="94" t="s">
        <v>451</v>
      </c>
      <c r="E592" s="127">
        <v>0.0</v>
      </c>
      <c r="F592" s="125"/>
      <c r="G592" s="125"/>
      <c r="H592" s="125" t="str">
        <f t="shared" si="11"/>
        <v>#REF!</v>
      </c>
      <c r="I592" s="126"/>
      <c r="J592" s="126" t="str">
        <f t="shared" si="12"/>
        <v>#REF!</v>
      </c>
      <c r="K592" s="130"/>
      <c r="L592" s="23"/>
      <c r="M592" s="23"/>
    </row>
    <row r="593" hidden="1">
      <c r="A593" s="6" t="s">
        <v>300</v>
      </c>
      <c r="B593" s="94" t="s">
        <v>452</v>
      </c>
      <c r="C593" s="94" t="s">
        <v>453</v>
      </c>
      <c r="D593" s="94" t="s">
        <v>454</v>
      </c>
      <c r="E593" s="127">
        <v>9.0</v>
      </c>
      <c r="F593" s="125"/>
      <c r="G593" s="125"/>
      <c r="H593" s="125" t="str">
        <f t="shared" si="11"/>
        <v>#REF!</v>
      </c>
      <c r="I593" s="126"/>
      <c r="J593" s="126" t="str">
        <f t="shared" si="12"/>
        <v>#REF!</v>
      </c>
      <c r="K593" s="130"/>
      <c r="L593" s="23"/>
      <c r="M593" s="23"/>
    </row>
    <row r="594" hidden="1">
      <c r="A594" s="6" t="s">
        <v>300</v>
      </c>
      <c r="B594" s="94" t="s">
        <v>455</v>
      </c>
      <c r="C594" s="94" t="s">
        <v>456</v>
      </c>
      <c r="D594" s="94" t="s">
        <v>457</v>
      </c>
      <c r="E594" s="127">
        <v>4.0</v>
      </c>
      <c r="F594" s="125"/>
      <c r="G594" s="125"/>
      <c r="H594" s="125" t="str">
        <f t="shared" si="11"/>
        <v>#REF!</v>
      </c>
      <c r="I594" s="126"/>
      <c r="J594" s="126" t="str">
        <f t="shared" si="12"/>
        <v>#REF!</v>
      </c>
      <c r="K594" s="130"/>
      <c r="L594" s="23"/>
      <c r="M594" s="23"/>
    </row>
    <row r="595" hidden="1">
      <c r="A595" s="6" t="s">
        <v>300</v>
      </c>
      <c r="B595" s="94" t="s">
        <v>458</v>
      </c>
      <c r="C595" s="94" t="s">
        <v>459</v>
      </c>
      <c r="D595" s="94" t="s">
        <v>460</v>
      </c>
      <c r="E595" s="127">
        <v>0.0</v>
      </c>
      <c r="F595" s="125"/>
      <c r="G595" s="125"/>
      <c r="H595" s="125" t="str">
        <f t="shared" si="11"/>
        <v>#REF!</v>
      </c>
      <c r="I595" s="126"/>
      <c r="J595" s="126" t="str">
        <f t="shared" si="12"/>
        <v>#REF!</v>
      </c>
      <c r="K595" s="130"/>
      <c r="L595" s="23"/>
      <c r="M595" s="23"/>
    </row>
    <row r="596" hidden="1">
      <c r="A596" s="54" t="s">
        <v>301</v>
      </c>
      <c r="B596" s="92" t="s">
        <v>398</v>
      </c>
      <c r="C596" s="93" t="s">
        <v>399</v>
      </c>
      <c r="D596" s="93" t="s">
        <v>400</v>
      </c>
      <c r="E596" s="127">
        <v>0.0</v>
      </c>
      <c r="F596" s="125"/>
      <c r="G596" s="125"/>
      <c r="H596" s="125" t="str">
        <f t="shared" si="11"/>
        <v>#REF!</v>
      </c>
      <c r="I596" s="126"/>
      <c r="J596" s="126" t="str">
        <f t="shared" si="12"/>
        <v>#REF!</v>
      </c>
      <c r="K596" s="60">
        <v>2500.0</v>
      </c>
      <c r="L596" s="23"/>
      <c r="M596" s="23"/>
    </row>
    <row r="597" hidden="1">
      <c r="A597" s="54" t="s">
        <v>301</v>
      </c>
      <c r="B597" s="92" t="s">
        <v>401</v>
      </c>
      <c r="C597" s="93" t="s">
        <v>402</v>
      </c>
      <c r="D597" s="93" t="s">
        <v>403</v>
      </c>
      <c r="E597" s="127">
        <v>0.0</v>
      </c>
      <c r="F597" s="125"/>
      <c r="G597" s="125"/>
      <c r="H597" s="125" t="str">
        <f t="shared" si="11"/>
        <v>#REF!</v>
      </c>
      <c r="I597" s="126"/>
      <c r="J597" s="126" t="str">
        <f t="shared" si="12"/>
        <v>#REF!</v>
      </c>
      <c r="K597" s="60">
        <v>0.0</v>
      </c>
      <c r="L597" s="23"/>
      <c r="M597" s="23"/>
    </row>
    <row r="598" hidden="1">
      <c r="A598" s="54" t="s">
        <v>301</v>
      </c>
      <c r="B598" s="92" t="s">
        <v>404</v>
      </c>
      <c r="C598" s="93" t="s">
        <v>405</v>
      </c>
      <c r="D598" s="93" t="s">
        <v>406</v>
      </c>
      <c r="E598" s="127">
        <v>0.0</v>
      </c>
      <c r="F598" s="125"/>
      <c r="G598" s="125"/>
      <c r="H598" s="125" t="str">
        <f t="shared" si="11"/>
        <v>#REF!</v>
      </c>
      <c r="I598" s="126"/>
      <c r="J598" s="126" t="str">
        <f t="shared" si="12"/>
        <v>#REF!</v>
      </c>
      <c r="K598" s="60">
        <v>0.0</v>
      </c>
      <c r="L598" s="23"/>
      <c r="M598" s="23"/>
    </row>
    <row r="599" hidden="1">
      <c r="A599" s="54" t="s">
        <v>301</v>
      </c>
      <c r="B599" s="92" t="s">
        <v>407</v>
      </c>
      <c r="C599" s="93" t="s">
        <v>408</v>
      </c>
      <c r="D599" s="93" t="s">
        <v>409</v>
      </c>
      <c r="E599" s="127">
        <v>0.0</v>
      </c>
      <c r="F599" s="125"/>
      <c r="G599" s="125"/>
      <c r="H599" s="125" t="str">
        <f t="shared" si="11"/>
        <v>#REF!</v>
      </c>
      <c r="I599" s="126"/>
      <c r="J599" s="126" t="str">
        <f t="shared" si="12"/>
        <v>#REF!</v>
      </c>
      <c r="K599" s="60">
        <v>0.0</v>
      </c>
      <c r="L599" s="23"/>
      <c r="M599" s="23"/>
    </row>
    <row r="600" hidden="1">
      <c r="A600" s="54" t="s">
        <v>301</v>
      </c>
      <c r="B600" s="92" t="s">
        <v>410</v>
      </c>
      <c r="C600" s="93" t="s">
        <v>411</v>
      </c>
      <c r="D600" s="93" t="s">
        <v>412</v>
      </c>
      <c r="E600" s="127">
        <v>0.0</v>
      </c>
      <c r="F600" s="125"/>
      <c r="G600" s="125"/>
      <c r="H600" s="125" t="str">
        <f t="shared" si="11"/>
        <v>#REF!</v>
      </c>
      <c r="I600" s="126"/>
      <c r="J600" s="126" t="str">
        <f t="shared" si="12"/>
        <v>#REF!</v>
      </c>
      <c r="K600" s="60">
        <v>0.0</v>
      </c>
      <c r="L600" s="23"/>
      <c r="M600" s="23"/>
    </row>
    <row r="601" hidden="1">
      <c r="A601" s="54" t="s">
        <v>301</v>
      </c>
      <c r="B601" s="92" t="s">
        <v>413</v>
      </c>
      <c r="C601" s="93" t="s">
        <v>414</v>
      </c>
      <c r="D601" s="93" t="s">
        <v>415</v>
      </c>
      <c r="E601" s="11">
        <v>5.0</v>
      </c>
      <c r="F601" s="125"/>
      <c r="G601" s="125"/>
      <c r="H601" s="125" t="str">
        <f t="shared" si="11"/>
        <v>#REF!</v>
      </c>
      <c r="I601" s="126"/>
      <c r="J601" s="126" t="str">
        <f t="shared" si="12"/>
        <v>#REF!</v>
      </c>
      <c r="K601" s="60">
        <v>3800.0</v>
      </c>
      <c r="L601" s="23"/>
      <c r="M601" s="23"/>
    </row>
    <row r="602" hidden="1">
      <c r="A602" s="54" t="s">
        <v>301</v>
      </c>
      <c r="B602" s="92" t="s">
        <v>416</v>
      </c>
      <c r="C602" s="93" t="s">
        <v>417</v>
      </c>
      <c r="D602" s="93" t="s">
        <v>418</v>
      </c>
      <c r="E602" s="127">
        <v>0.0</v>
      </c>
      <c r="F602" s="125"/>
      <c r="G602" s="125"/>
      <c r="H602" s="125" t="str">
        <f t="shared" si="11"/>
        <v>#REF!</v>
      </c>
      <c r="I602" s="126"/>
      <c r="J602" s="126" t="str">
        <f t="shared" si="12"/>
        <v>#REF!</v>
      </c>
      <c r="K602" s="60">
        <v>0.0</v>
      </c>
      <c r="L602" s="23"/>
      <c r="M602" s="23"/>
    </row>
    <row r="603" hidden="1">
      <c r="A603" s="54" t="s">
        <v>301</v>
      </c>
      <c r="B603" s="92" t="s">
        <v>41</v>
      </c>
      <c r="C603" s="93" t="s">
        <v>42</v>
      </c>
      <c r="D603" s="93" t="s">
        <v>43</v>
      </c>
      <c r="E603" s="127">
        <v>0.0</v>
      </c>
      <c r="F603" s="125"/>
      <c r="G603" s="125"/>
      <c r="H603" s="125" t="str">
        <f t="shared" si="11"/>
        <v>#REF!</v>
      </c>
      <c r="I603" s="126"/>
      <c r="J603" s="126" t="str">
        <f t="shared" si="12"/>
        <v>#REF!</v>
      </c>
      <c r="K603" s="60">
        <v>0.0</v>
      </c>
      <c r="L603" s="23"/>
      <c r="M603" s="23"/>
    </row>
    <row r="604" hidden="1">
      <c r="A604" s="54" t="s">
        <v>301</v>
      </c>
      <c r="B604" s="92" t="s">
        <v>35</v>
      </c>
      <c r="C604" s="93" t="s">
        <v>36</v>
      </c>
      <c r="D604" s="93" t="s">
        <v>37</v>
      </c>
      <c r="E604" s="128">
        <v>3.0</v>
      </c>
      <c r="F604" s="125"/>
      <c r="G604" s="125"/>
      <c r="H604" s="125" t="str">
        <f t="shared" si="11"/>
        <v>#REF!</v>
      </c>
      <c r="I604" s="126"/>
      <c r="J604" s="126" t="str">
        <f t="shared" si="12"/>
        <v>#REF!</v>
      </c>
      <c r="K604" s="60">
        <v>750.0</v>
      </c>
      <c r="L604" s="23"/>
      <c r="M604" s="23"/>
    </row>
    <row r="605" hidden="1">
      <c r="A605" s="54" t="s">
        <v>301</v>
      </c>
      <c r="B605" s="92" t="s">
        <v>47</v>
      </c>
      <c r="C605" s="93" t="s">
        <v>48</v>
      </c>
      <c r="D605" s="93" t="s">
        <v>49</v>
      </c>
      <c r="E605" s="127">
        <v>0.0</v>
      </c>
      <c r="F605" s="125"/>
      <c r="G605" s="125"/>
      <c r="H605" s="125" t="str">
        <f t="shared" si="11"/>
        <v>#REF!</v>
      </c>
      <c r="I605" s="126"/>
      <c r="J605" s="126" t="str">
        <f t="shared" si="12"/>
        <v>#REF!</v>
      </c>
      <c r="K605" s="60">
        <v>0.0</v>
      </c>
      <c r="L605" s="23"/>
      <c r="M605" s="23"/>
    </row>
    <row r="606" hidden="1">
      <c r="A606" s="54" t="s">
        <v>301</v>
      </c>
      <c r="B606" s="92" t="s">
        <v>419</v>
      </c>
      <c r="C606" s="93" t="s">
        <v>420</v>
      </c>
      <c r="D606" s="93" t="s">
        <v>421</v>
      </c>
      <c r="E606" s="128">
        <v>1.0</v>
      </c>
      <c r="F606" s="125"/>
      <c r="G606" s="125"/>
      <c r="H606" s="125" t="str">
        <f t="shared" si="11"/>
        <v>#REF!</v>
      </c>
      <c r="I606" s="126"/>
      <c r="J606" s="126" t="str">
        <f t="shared" si="12"/>
        <v>#REF!</v>
      </c>
      <c r="K606" s="60">
        <v>250.0</v>
      </c>
      <c r="L606" s="23"/>
      <c r="M606" s="23"/>
    </row>
    <row r="607" hidden="1">
      <c r="A607" s="54" t="s">
        <v>301</v>
      </c>
      <c r="B607" s="92" t="s">
        <v>422</v>
      </c>
      <c r="C607" s="93" t="s">
        <v>423</v>
      </c>
      <c r="D607" s="93" t="s">
        <v>424</v>
      </c>
      <c r="E607" s="127">
        <v>0.0</v>
      </c>
      <c r="F607" s="125"/>
      <c r="G607" s="125"/>
      <c r="H607" s="125" t="str">
        <f t="shared" si="11"/>
        <v>#REF!</v>
      </c>
      <c r="I607" s="126"/>
      <c r="J607" s="126" t="str">
        <f t="shared" si="12"/>
        <v>#REF!</v>
      </c>
      <c r="K607" s="60">
        <v>9000.0</v>
      </c>
      <c r="L607" s="23"/>
      <c r="M607" s="23"/>
    </row>
    <row r="608" hidden="1">
      <c r="A608" s="54" t="s">
        <v>301</v>
      </c>
      <c r="B608" s="92" t="s">
        <v>425</v>
      </c>
      <c r="C608" s="93" t="s">
        <v>426</v>
      </c>
      <c r="D608" s="93" t="s">
        <v>427</v>
      </c>
      <c r="E608" s="127">
        <v>9.0</v>
      </c>
      <c r="F608" s="125"/>
      <c r="G608" s="125"/>
      <c r="H608" s="125" t="str">
        <f t="shared" si="11"/>
        <v>#REF!</v>
      </c>
      <c r="I608" s="126"/>
      <c r="J608" s="126" t="str">
        <f t="shared" si="12"/>
        <v>#REF!</v>
      </c>
      <c r="K608" s="60">
        <v>4750.0</v>
      </c>
      <c r="L608" s="23"/>
      <c r="M608" s="23"/>
    </row>
    <row r="609" hidden="1">
      <c r="A609" s="54" t="s">
        <v>301</v>
      </c>
      <c r="B609" s="92" t="s">
        <v>428</v>
      </c>
      <c r="C609" s="93" t="s">
        <v>429</v>
      </c>
      <c r="D609" s="93" t="s">
        <v>430</v>
      </c>
      <c r="E609" s="127">
        <v>34.0</v>
      </c>
      <c r="F609" s="125"/>
      <c r="G609" s="125"/>
      <c r="H609" s="125" t="str">
        <f t="shared" si="11"/>
        <v>#REF!</v>
      </c>
      <c r="I609" s="126"/>
      <c r="J609" s="126" t="str">
        <f t="shared" si="12"/>
        <v>#REF!</v>
      </c>
      <c r="K609" s="60">
        <v>16600.0</v>
      </c>
      <c r="L609" s="23"/>
      <c r="M609" s="23"/>
    </row>
    <row r="610" hidden="1">
      <c r="A610" s="54" t="s">
        <v>301</v>
      </c>
      <c r="B610" s="92" t="s">
        <v>431</v>
      </c>
      <c r="C610" s="93" t="s">
        <v>432</v>
      </c>
      <c r="D610" s="93" t="s">
        <v>433</v>
      </c>
      <c r="E610" s="127">
        <v>7.0</v>
      </c>
      <c r="F610" s="125"/>
      <c r="G610" s="125"/>
      <c r="H610" s="125" t="str">
        <f t="shared" si="11"/>
        <v>#REF!</v>
      </c>
      <c r="I610" s="126"/>
      <c r="J610" s="126" t="str">
        <f t="shared" si="12"/>
        <v>#REF!</v>
      </c>
      <c r="K610" s="60">
        <v>9750.0</v>
      </c>
      <c r="L610" s="23"/>
      <c r="M610" s="23"/>
    </row>
    <row r="611" hidden="1">
      <c r="A611" s="54" t="s">
        <v>301</v>
      </c>
      <c r="B611" s="92" t="s">
        <v>434</v>
      </c>
      <c r="C611" s="93" t="s">
        <v>435</v>
      </c>
      <c r="D611" s="93" t="s">
        <v>436</v>
      </c>
      <c r="E611" s="127">
        <v>0.0</v>
      </c>
      <c r="F611" s="125"/>
      <c r="G611" s="125"/>
      <c r="H611" s="125" t="str">
        <f t="shared" si="11"/>
        <v>#REF!</v>
      </c>
      <c r="I611" s="126"/>
      <c r="J611" s="126" t="str">
        <f t="shared" si="12"/>
        <v>#REF!</v>
      </c>
      <c r="K611" s="60">
        <v>4875.0</v>
      </c>
      <c r="L611" s="23"/>
      <c r="M611" s="23"/>
    </row>
    <row r="612" hidden="1">
      <c r="A612" s="54" t="s">
        <v>301</v>
      </c>
      <c r="B612" s="92" t="s">
        <v>437</v>
      </c>
      <c r="C612" s="93" t="s">
        <v>438</v>
      </c>
      <c r="D612" s="93" t="s">
        <v>439</v>
      </c>
      <c r="E612" s="127">
        <v>4.0</v>
      </c>
      <c r="F612" s="125"/>
      <c r="G612" s="125"/>
      <c r="H612" s="125" t="str">
        <f t="shared" si="11"/>
        <v>#REF!</v>
      </c>
      <c r="I612" s="126"/>
      <c r="J612" s="126" t="str">
        <f t="shared" si="12"/>
        <v>#REF!</v>
      </c>
      <c r="K612" s="60">
        <v>3850.0</v>
      </c>
      <c r="L612" s="23"/>
      <c r="M612" s="23"/>
    </row>
    <row r="613" hidden="1">
      <c r="A613" s="54" t="s">
        <v>301</v>
      </c>
      <c r="B613" s="92" t="s">
        <v>440</v>
      </c>
      <c r="C613" s="93" t="s">
        <v>441</v>
      </c>
      <c r="D613" s="93" t="s">
        <v>442</v>
      </c>
      <c r="E613" s="86"/>
      <c r="F613" s="125"/>
      <c r="G613" s="125"/>
      <c r="H613" s="125" t="str">
        <f t="shared" si="11"/>
        <v>#REF!</v>
      </c>
      <c r="I613" s="126"/>
      <c r="J613" s="126" t="str">
        <f t="shared" si="12"/>
        <v>#REF!</v>
      </c>
      <c r="K613" s="60">
        <v>0.0</v>
      </c>
      <c r="L613" s="23"/>
      <c r="M613" s="23"/>
    </row>
    <row r="614" hidden="1">
      <c r="A614" s="54" t="s">
        <v>301</v>
      </c>
      <c r="B614" s="95" t="s">
        <v>443</v>
      </c>
      <c r="C614" s="94" t="s">
        <v>444</v>
      </c>
      <c r="D614" s="94" t="s">
        <v>445</v>
      </c>
      <c r="E614" s="127">
        <v>0.0</v>
      </c>
      <c r="F614" s="125"/>
      <c r="G614" s="125"/>
      <c r="H614" s="125" t="str">
        <f t="shared" si="11"/>
        <v>#REF!</v>
      </c>
      <c r="I614" s="126"/>
      <c r="J614" s="126" t="str">
        <f t="shared" si="12"/>
        <v>#REF!</v>
      </c>
      <c r="K614" s="60">
        <v>0.0</v>
      </c>
      <c r="L614" s="23"/>
      <c r="M614" s="23"/>
    </row>
    <row r="615" hidden="1">
      <c r="A615" s="54" t="s">
        <v>301</v>
      </c>
      <c r="B615" s="95" t="s">
        <v>446</v>
      </c>
      <c r="C615" s="94" t="s">
        <v>447</v>
      </c>
      <c r="D615" s="94" t="s">
        <v>448</v>
      </c>
      <c r="E615" s="127">
        <v>3.0</v>
      </c>
      <c r="F615" s="125"/>
      <c r="G615" s="125"/>
      <c r="H615" s="125" t="str">
        <f t="shared" si="11"/>
        <v>#REF!</v>
      </c>
      <c r="I615" s="126"/>
      <c r="J615" s="126" t="str">
        <f t="shared" si="12"/>
        <v>#REF!</v>
      </c>
      <c r="K615" s="60">
        <v>8750.0</v>
      </c>
      <c r="L615" s="23"/>
      <c r="M615" s="23"/>
    </row>
    <row r="616" hidden="1">
      <c r="A616" s="54" t="s">
        <v>301</v>
      </c>
      <c r="B616" s="95" t="s">
        <v>449</v>
      </c>
      <c r="C616" s="94" t="s">
        <v>450</v>
      </c>
      <c r="D616" s="94" t="s">
        <v>451</v>
      </c>
      <c r="E616" s="127">
        <v>0.0</v>
      </c>
      <c r="F616" s="125"/>
      <c r="G616" s="125"/>
      <c r="H616" s="125" t="str">
        <f t="shared" si="11"/>
        <v>#REF!</v>
      </c>
      <c r="I616" s="126"/>
      <c r="J616" s="126" t="str">
        <f t="shared" si="12"/>
        <v>#REF!</v>
      </c>
      <c r="K616" s="60">
        <v>0.0</v>
      </c>
      <c r="L616" s="23"/>
      <c r="M616" s="23"/>
    </row>
    <row r="617" hidden="1">
      <c r="A617" s="54" t="s">
        <v>301</v>
      </c>
      <c r="B617" s="94" t="s">
        <v>452</v>
      </c>
      <c r="C617" s="94" t="s">
        <v>453</v>
      </c>
      <c r="D617" s="94" t="s">
        <v>454</v>
      </c>
      <c r="E617" s="127">
        <v>1.0</v>
      </c>
      <c r="F617" s="125"/>
      <c r="G617" s="125"/>
      <c r="H617" s="125" t="str">
        <f t="shared" si="11"/>
        <v>#REF!</v>
      </c>
      <c r="I617" s="126"/>
      <c r="J617" s="126" t="str">
        <f t="shared" si="12"/>
        <v>#REF!</v>
      </c>
      <c r="K617" s="60">
        <v>2750.0</v>
      </c>
      <c r="L617" s="23"/>
      <c r="M617" s="23"/>
    </row>
    <row r="618" hidden="1">
      <c r="A618" s="54" t="s">
        <v>301</v>
      </c>
      <c r="B618" s="94" t="s">
        <v>455</v>
      </c>
      <c r="C618" s="94" t="s">
        <v>456</v>
      </c>
      <c r="D618" s="94" t="s">
        <v>457</v>
      </c>
      <c r="E618" s="11">
        <v>5.0</v>
      </c>
      <c r="F618" s="125"/>
      <c r="G618" s="125"/>
      <c r="H618" s="125" t="str">
        <f t="shared" si="11"/>
        <v>#REF!</v>
      </c>
      <c r="I618" s="126"/>
      <c r="J618" s="126" t="str">
        <f t="shared" si="12"/>
        <v>#REF!</v>
      </c>
      <c r="K618" s="60">
        <v>3750.0</v>
      </c>
      <c r="L618" s="23"/>
      <c r="M618" s="23"/>
    </row>
    <row r="619" hidden="1">
      <c r="A619" s="54" t="s">
        <v>301</v>
      </c>
      <c r="B619" s="94" t="s">
        <v>458</v>
      </c>
      <c r="C619" s="94" t="s">
        <v>459</v>
      </c>
      <c r="D619" s="94" t="s">
        <v>460</v>
      </c>
      <c r="E619" s="127">
        <v>2.0</v>
      </c>
      <c r="F619" s="125"/>
      <c r="G619" s="125"/>
      <c r="H619" s="125" t="str">
        <f t="shared" si="11"/>
        <v>#REF!</v>
      </c>
      <c r="I619" s="126"/>
      <c r="J619" s="126" t="str">
        <f t="shared" si="12"/>
        <v>#REF!</v>
      </c>
      <c r="K619" s="60">
        <v>3000.0</v>
      </c>
      <c r="L619" s="23"/>
      <c r="M619" s="23"/>
    </row>
    <row r="620" hidden="1">
      <c r="A620" s="54" t="s">
        <v>302</v>
      </c>
      <c r="B620" s="131" t="s">
        <v>398</v>
      </c>
      <c r="C620" s="132" t="s">
        <v>399</v>
      </c>
      <c r="D620" s="132" t="s">
        <v>400</v>
      </c>
      <c r="E620" s="134">
        <v>0.0</v>
      </c>
      <c r="F620" s="135"/>
      <c r="G620" s="135"/>
      <c r="H620" s="135" t="str">
        <f t="shared" si="11"/>
        <v>#REF!</v>
      </c>
      <c r="I620" s="136"/>
      <c r="J620" s="136" t="str">
        <f t="shared" si="12"/>
        <v>#REF!</v>
      </c>
      <c r="K620" s="137"/>
      <c r="L620" s="137"/>
      <c r="M620" s="137"/>
    </row>
    <row r="621" hidden="1">
      <c r="A621" s="54" t="s">
        <v>302</v>
      </c>
      <c r="B621" s="131" t="s">
        <v>401</v>
      </c>
      <c r="C621" s="132" t="s">
        <v>402</v>
      </c>
      <c r="D621" s="132" t="s">
        <v>403</v>
      </c>
      <c r="E621" s="134">
        <v>0.0</v>
      </c>
      <c r="F621" s="135"/>
      <c r="G621" s="135"/>
      <c r="H621" s="135" t="str">
        <f t="shared" si="11"/>
        <v>#REF!</v>
      </c>
      <c r="I621" s="136"/>
      <c r="J621" s="136" t="str">
        <f t="shared" si="12"/>
        <v>#REF!</v>
      </c>
      <c r="K621" s="137"/>
      <c r="L621" s="137"/>
      <c r="M621" s="137"/>
    </row>
    <row r="622" hidden="1">
      <c r="A622" s="54" t="s">
        <v>302</v>
      </c>
      <c r="B622" s="131" t="s">
        <v>404</v>
      </c>
      <c r="C622" s="132" t="s">
        <v>405</v>
      </c>
      <c r="D622" s="132" t="s">
        <v>406</v>
      </c>
      <c r="E622" s="134">
        <v>0.0</v>
      </c>
      <c r="F622" s="135"/>
      <c r="G622" s="135"/>
      <c r="H622" s="135" t="str">
        <f t="shared" si="11"/>
        <v>#REF!</v>
      </c>
      <c r="I622" s="136"/>
      <c r="J622" s="136" t="str">
        <f t="shared" si="12"/>
        <v>#REF!</v>
      </c>
      <c r="K622" s="137"/>
      <c r="L622" s="137"/>
      <c r="M622" s="137"/>
    </row>
    <row r="623" hidden="1">
      <c r="A623" s="54" t="s">
        <v>302</v>
      </c>
      <c r="B623" s="131" t="s">
        <v>407</v>
      </c>
      <c r="C623" s="132" t="s">
        <v>408</v>
      </c>
      <c r="D623" s="132" t="s">
        <v>409</v>
      </c>
      <c r="E623" s="134">
        <v>0.0</v>
      </c>
      <c r="F623" s="135"/>
      <c r="G623" s="135"/>
      <c r="H623" s="135" t="str">
        <f t="shared" si="11"/>
        <v>#REF!</v>
      </c>
      <c r="I623" s="136"/>
      <c r="J623" s="136" t="str">
        <f t="shared" si="12"/>
        <v>#REF!</v>
      </c>
      <c r="K623" s="137"/>
      <c r="L623" s="137"/>
      <c r="M623" s="137"/>
    </row>
    <row r="624" hidden="1">
      <c r="A624" s="54" t="s">
        <v>302</v>
      </c>
      <c r="B624" s="131" t="s">
        <v>410</v>
      </c>
      <c r="C624" s="132" t="s">
        <v>411</v>
      </c>
      <c r="D624" s="132" t="s">
        <v>412</v>
      </c>
      <c r="E624" s="134">
        <v>0.0</v>
      </c>
      <c r="F624" s="135"/>
      <c r="G624" s="135"/>
      <c r="H624" s="135" t="str">
        <f t="shared" si="11"/>
        <v>#REF!</v>
      </c>
      <c r="I624" s="136"/>
      <c r="J624" s="136" t="str">
        <f t="shared" si="12"/>
        <v>#REF!</v>
      </c>
      <c r="K624" s="137"/>
      <c r="L624" s="137"/>
      <c r="M624" s="137"/>
    </row>
    <row r="625" hidden="1">
      <c r="A625" s="54" t="s">
        <v>302</v>
      </c>
      <c r="B625" s="131" t="s">
        <v>413</v>
      </c>
      <c r="C625" s="132" t="s">
        <v>414</v>
      </c>
      <c r="D625" s="132" t="s">
        <v>415</v>
      </c>
      <c r="E625" s="134">
        <v>0.0</v>
      </c>
      <c r="F625" s="135"/>
      <c r="G625" s="135"/>
      <c r="H625" s="135" t="str">
        <f t="shared" si="11"/>
        <v>#REF!</v>
      </c>
      <c r="I625" s="136"/>
      <c r="J625" s="136" t="str">
        <f t="shared" si="12"/>
        <v>#REF!</v>
      </c>
      <c r="K625" s="137"/>
      <c r="L625" s="137"/>
      <c r="M625" s="137"/>
    </row>
    <row r="626" hidden="1">
      <c r="A626" s="54" t="s">
        <v>302</v>
      </c>
      <c r="B626" s="131" t="s">
        <v>416</v>
      </c>
      <c r="C626" s="132" t="s">
        <v>417</v>
      </c>
      <c r="D626" s="132" t="s">
        <v>418</v>
      </c>
      <c r="E626" s="134">
        <v>0.0</v>
      </c>
      <c r="F626" s="135"/>
      <c r="G626" s="135"/>
      <c r="H626" s="135" t="str">
        <f t="shared" si="11"/>
        <v>#REF!</v>
      </c>
      <c r="I626" s="136"/>
      <c r="J626" s="136" t="str">
        <f t="shared" si="12"/>
        <v>#REF!</v>
      </c>
      <c r="K626" s="137"/>
      <c r="L626" s="137"/>
      <c r="M626" s="137"/>
    </row>
    <row r="627" hidden="1">
      <c r="A627" s="54" t="s">
        <v>302</v>
      </c>
      <c r="B627" s="138" t="s">
        <v>41</v>
      </c>
      <c r="C627" s="139" t="s">
        <v>42</v>
      </c>
      <c r="D627" s="139" t="s">
        <v>43</v>
      </c>
      <c r="E627" s="134">
        <v>0.0</v>
      </c>
      <c r="F627" s="135"/>
      <c r="G627" s="135"/>
      <c r="H627" s="135" t="str">
        <f t="shared" si="11"/>
        <v>#REF!</v>
      </c>
      <c r="I627" s="136"/>
      <c r="J627" s="136" t="str">
        <f t="shared" si="12"/>
        <v>#REF!</v>
      </c>
      <c r="K627" s="137"/>
      <c r="L627" s="137"/>
      <c r="M627" s="137"/>
    </row>
    <row r="628" hidden="1">
      <c r="A628" s="54" t="s">
        <v>302</v>
      </c>
      <c r="B628" s="131" t="s">
        <v>35</v>
      </c>
      <c r="C628" s="132" t="s">
        <v>36</v>
      </c>
      <c r="D628" s="132" t="s">
        <v>37</v>
      </c>
      <c r="E628" s="134">
        <v>2.0</v>
      </c>
      <c r="F628" s="135"/>
      <c r="G628" s="135"/>
      <c r="H628" s="135" t="str">
        <f t="shared" si="11"/>
        <v>#REF!</v>
      </c>
      <c r="I628" s="136"/>
      <c r="J628" s="136" t="str">
        <f t="shared" si="12"/>
        <v>#REF!</v>
      </c>
      <c r="K628" s="137"/>
      <c r="L628" s="137"/>
      <c r="M628" s="137"/>
    </row>
    <row r="629" hidden="1">
      <c r="A629" s="54" t="s">
        <v>302</v>
      </c>
      <c r="B629" s="131" t="s">
        <v>47</v>
      </c>
      <c r="C629" s="132" t="s">
        <v>48</v>
      </c>
      <c r="D629" s="132" t="s">
        <v>49</v>
      </c>
      <c r="E629" s="134"/>
      <c r="F629" s="135"/>
      <c r="G629" s="135"/>
      <c r="H629" s="135" t="str">
        <f t="shared" si="11"/>
        <v>#REF!</v>
      </c>
      <c r="I629" s="136"/>
      <c r="J629" s="136" t="str">
        <f t="shared" si="12"/>
        <v>#REF!</v>
      </c>
      <c r="K629" s="137"/>
      <c r="L629" s="137"/>
      <c r="M629" s="137"/>
    </row>
    <row r="630" hidden="1">
      <c r="A630" s="54" t="s">
        <v>302</v>
      </c>
      <c r="B630" s="131" t="s">
        <v>419</v>
      </c>
      <c r="C630" s="132" t="s">
        <v>420</v>
      </c>
      <c r="D630" s="132" t="s">
        <v>421</v>
      </c>
      <c r="E630" s="134">
        <v>0.0</v>
      </c>
      <c r="F630" s="135"/>
      <c r="G630" s="135"/>
      <c r="H630" s="135" t="str">
        <f t="shared" si="11"/>
        <v>#REF!</v>
      </c>
      <c r="I630" s="136"/>
      <c r="J630" s="136" t="str">
        <f t="shared" si="12"/>
        <v>#REF!</v>
      </c>
      <c r="K630" s="137"/>
      <c r="L630" s="137"/>
      <c r="M630" s="137"/>
    </row>
    <row r="631" hidden="1">
      <c r="A631" s="54" t="s">
        <v>302</v>
      </c>
      <c r="B631" s="138" t="s">
        <v>422</v>
      </c>
      <c r="C631" s="139" t="s">
        <v>423</v>
      </c>
      <c r="D631" s="139" t="s">
        <v>424</v>
      </c>
      <c r="E631" s="134">
        <v>0.0</v>
      </c>
      <c r="F631" s="135"/>
      <c r="G631" s="135"/>
      <c r="H631" s="135" t="str">
        <f t="shared" si="11"/>
        <v>#REF!</v>
      </c>
      <c r="I631" s="136"/>
      <c r="J631" s="136" t="str">
        <f t="shared" si="12"/>
        <v>#REF!</v>
      </c>
      <c r="K631" s="137"/>
      <c r="L631" s="137"/>
      <c r="M631" s="137"/>
    </row>
    <row r="632" hidden="1">
      <c r="A632" s="54" t="s">
        <v>302</v>
      </c>
      <c r="B632" s="138" t="s">
        <v>425</v>
      </c>
      <c r="C632" s="139" t="s">
        <v>426</v>
      </c>
      <c r="D632" s="139" t="s">
        <v>427</v>
      </c>
      <c r="E632" s="134">
        <v>3.0</v>
      </c>
      <c r="F632" s="135"/>
      <c r="G632" s="135"/>
      <c r="H632" s="135" t="str">
        <f t="shared" si="11"/>
        <v>#REF!</v>
      </c>
      <c r="I632" s="136"/>
      <c r="J632" s="136" t="str">
        <f t="shared" si="12"/>
        <v>#REF!</v>
      </c>
      <c r="K632" s="137"/>
      <c r="L632" s="137"/>
      <c r="M632" s="137"/>
    </row>
    <row r="633" hidden="1">
      <c r="A633" s="54" t="s">
        <v>302</v>
      </c>
      <c r="B633" s="138" t="s">
        <v>428</v>
      </c>
      <c r="C633" s="139" t="s">
        <v>429</v>
      </c>
      <c r="D633" s="139" t="s">
        <v>430</v>
      </c>
      <c r="E633" s="134">
        <v>15.0</v>
      </c>
      <c r="F633" s="135"/>
      <c r="G633" s="135"/>
      <c r="H633" s="135" t="str">
        <f t="shared" si="11"/>
        <v>#REF!</v>
      </c>
      <c r="I633" s="136"/>
      <c r="J633" s="136" t="str">
        <f t="shared" si="12"/>
        <v>#REF!</v>
      </c>
      <c r="K633" s="137"/>
      <c r="L633" s="137"/>
      <c r="M633" s="137"/>
    </row>
    <row r="634" hidden="1">
      <c r="A634" s="54" t="s">
        <v>302</v>
      </c>
      <c r="B634" s="138" t="s">
        <v>431</v>
      </c>
      <c r="C634" s="139" t="s">
        <v>432</v>
      </c>
      <c r="D634" s="139" t="s">
        <v>433</v>
      </c>
      <c r="E634" s="134">
        <v>15.0</v>
      </c>
      <c r="F634" s="135"/>
      <c r="G634" s="135"/>
      <c r="H634" s="135" t="str">
        <f t="shared" si="11"/>
        <v>#REF!</v>
      </c>
      <c r="I634" s="136"/>
      <c r="J634" s="136" t="str">
        <f t="shared" si="12"/>
        <v>#REF!</v>
      </c>
      <c r="K634" s="137"/>
      <c r="L634" s="137"/>
      <c r="M634" s="137"/>
    </row>
    <row r="635" hidden="1">
      <c r="A635" s="54" t="s">
        <v>302</v>
      </c>
      <c r="B635" s="138" t="s">
        <v>434</v>
      </c>
      <c r="C635" s="139" t="s">
        <v>435</v>
      </c>
      <c r="D635" s="139" t="s">
        <v>436</v>
      </c>
      <c r="E635" s="134">
        <v>0.0</v>
      </c>
      <c r="F635" s="135"/>
      <c r="G635" s="135"/>
      <c r="H635" s="135" t="str">
        <f t="shared" si="11"/>
        <v>#REF!</v>
      </c>
      <c r="I635" s="136"/>
      <c r="J635" s="136" t="str">
        <f t="shared" si="12"/>
        <v>#REF!</v>
      </c>
      <c r="K635" s="137"/>
      <c r="L635" s="137"/>
      <c r="M635" s="137"/>
    </row>
    <row r="636" hidden="1">
      <c r="A636" s="54" t="s">
        <v>302</v>
      </c>
      <c r="B636" s="138" t="s">
        <v>437</v>
      </c>
      <c r="C636" s="139" t="s">
        <v>438</v>
      </c>
      <c r="D636" s="139" t="s">
        <v>439</v>
      </c>
      <c r="E636" s="134">
        <v>0.0</v>
      </c>
      <c r="F636" s="135"/>
      <c r="G636" s="135"/>
      <c r="H636" s="135" t="str">
        <f t="shared" si="11"/>
        <v>#REF!</v>
      </c>
      <c r="I636" s="136"/>
      <c r="J636" s="136" t="str">
        <f t="shared" si="12"/>
        <v>#REF!</v>
      </c>
      <c r="K636" s="137"/>
      <c r="L636" s="137"/>
      <c r="M636" s="137"/>
    </row>
    <row r="637" hidden="1">
      <c r="A637" s="54" t="s">
        <v>302</v>
      </c>
      <c r="B637" s="138" t="s">
        <v>440</v>
      </c>
      <c r="C637" s="139" t="s">
        <v>441</v>
      </c>
      <c r="D637" s="139" t="s">
        <v>442</v>
      </c>
      <c r="E637" s="134">
        <v>7.0</v>
      </c>
      <c r="F637" s="135"/>
      <c r="G637" s="135"/>
      <c r="H637" s="135" t="str">
        <f t="shared" si="11"/>
        <v>#REF!</v>
      </c>
      <c r="I637" s="136"/>
      <c r="J637" s="136" t="str">
        <f t="shared" si="12"/>
        <v>#REF!</v>
      </c>
      <c r="K637" s="137"/>
      <c r="L637" s="137"/>
      <c r="M637" s="137"/>
    </row>
    <row r="638" hidden="1">
      <c r="A638" s="54" t="s">
        <v>302</v>
      </c>
      <c r="B638" s="140" t="s">
        <v>443</v>
      </c>
      <c r="C638" s="141" t="s">
        <v>444</v>
      </c>
      <c r="D638" s="141" t="s">
        <v>445</v>
      </c>
      <c r="E638" s="134">
        <v>0.0</v>
      </c>
      <c r="F638" s="135"/>
      <c r="G638" s="135"/>
      <c r="H638" s="135" t="str">
        <f t="shared" si="11"/>
        <v>#REF!</v>
      </c>
      <c r="I638" s="136"/>
      <c r="J638" s="136" t="str">
        <f t="shared" si="12"/>
        <v>#REF!</v>
      </c>
      <c r="K638" s="137"/>
      <c r="L638" s="137"/>
      <c r="M638" s="137"/>
    </row>
    <row r="639" hidden="1">
      <c r="A639" s="54" t="s">
        <v>302</v>
      </c>
      <c r="B639" s="140" t="s">
        <v>446</v>
      </c>
      <c r="C639" s="141" t="s">
        <v>447</v>
      </c>
      <c r="D639" s="141" t="s">
        <v>448</v>
      </c>
      <c r="E639" s="134">
        <v>2.0</v>
      </c>
      <c r="F639" s="135"/>
      <c r="G639" s="135"/>
      <c r="H639" s="135" t="str">
        <f t="shared" si="11"/>
        <v>#REF!</v>
      </c>
      <c r="I639" s="136"/>
      <c r="J639" s="136" t="str">
        <f t="shared" si="12"/>
        <v>#REF!</v>
      </c>
      <c r="K639" s="137"/>
      <c r="L639" s="137"/>
      <c r="M639" s="137"/>
    </row>
    <row r="640" hidden="1">
      <c r="A640" s="54" t="s">
        <v>302</v>
      </c>
      <c r="B640" s="140" t="s">
        <v>449</v>
      </c>
      <c r="C640" s="141" t="s">
        <v>450</v>
      </c>
      <c r="D640" s="141" t="s">
        <v>451</v>
      </c>
      <c r="E640" s="134">
        <v>1.0</v>
      </c>
      <c r="F640" s="135"/>
      <c r="G640" s="135"/>
      <c r="H640" s="135" t="str">
        <f t="shared" si="11"/>
        <v>#REF!</v>
      </c>
      <c r="I640" s="136"/>
      <c r="J640" s="136" t="str">
        <f t="shared" si="12"/>
        <v>#REF!</v>
      </c>
      <c r="K640" s="137"/>
      <c r="L640" s="137"/>
      <c r="M640" s="137"/>
    </row>
    <row r="641" hidden="1">
      <c r="A641" s="54" t="s">
        <v>302</v>
      </c>
      <c r="B641" s="141" t="s">
        <v>452</v>
      </c>
      <c r="C641" s="141" t="s">
        <v>453</v>
      </c>
      <c r="D641" s="141" t="s">
        <v>454</v>
      </c>
      <c r="E641" s="134">
        <v>17.0</v>
      </c>
      <c r="F641" s="135"/>
      <c r="G641" s="135"/>
      <c r="H641" s="135" t="str">
        <f t="shared" si="11"/>
        <v>#REF!</v>
      </c>
      <c r="I641" s="136"/>
      <c r="J641" s="136" t="str">
        <f t="shared" si="12"/>
        <v>#REF!</v>
      </c>
      <c r="K641" s="137"/>
      <c r="L641" s="137"/>
      <c r="M641" s="137"/>
    </row>
    <row r="642" hidden="1">
      <c r="A642" s="54" t="s">
        <v>302</v>
      </c>
      <c r="B642" s="141" t="s">
        <v>455</v>
      </c>
      <c r="C642" s="141" t="s">
        <v>456</v>
      </c>
      <c r="D642" s="141" t="s">
        <v>457</v>
      </c>
      <c r="E642" s="134">
        <v>0.0</v>
      </c>
      <c r="F642" s="135"/>
      <c r="G642" s="135"/>
      <c r="H642" s="135" t="str">
        <f t="shared" si="11"/>
        <v>#REF!</v>
      </c>
      <c r="I642" s="136"/>
      <c r="J642" s="136" t="str">
        <f t="shared" si="12"/>
        <v>#REF!</v>
      </c>
      <c r="K642" s="137"/>
      <c r="L642" s="137"/>
      <c r="M642" s="137"/>
    </row>
    <row r="643" hidden="1">
      <c r="A643" s="54" t="s">
        <v>302</v>
      </c>
      <c r="B643" s="141" t="s">
        <v>458</v>
      </c>
      <c r="C643" s="141" t="s">
        <v>459</v>
      </c>
      <c r="D643" s="141" t="s">
        <v>460</v>
      </c>
      <c r="E643" s="134">
        <v>0.0</v>
      </c>
      <c r="F643" s="135"/>
      <c r="G643" s="135"/>
      <c r="H643" s="135" t="str">
        <f t="shared" si="11"/>
        <v>#REF!</v>
      </c>
      <c r="I643" s="136"/>
      <c r="J643" s="136" t="str">
        <f t="shared" si="12"/>
        <v>#REF!</v>
      </c>
      <c r="K643" s="137"/>
      <c r="L643" s="137"/>
      <c r="M643" s="137"/>
    </row>
    <row r="644" hidden="1">
      <c r="A644" s="88" t="s">
        <v>306</v>
      </c>
      <c r="B644" s="138" t="s">
        <v>41</v>
      </c>
      <c r="C644" s="139" t="s">
        <v>42</v>
      </c>
      <c r="D644" s="139" t="s">
        <v>43</v>
      </c>
      <c r="E644" s="134">
        <v>0.0</v>
      </c>
      <c r="F644" s="135"/>
      <c r="G644" s="135"/>
      <c r="H644" s="135" t="str">
        <f t="shared" si="11"/>
        <v>#REF!</v>
      </c>
      <c r="I644" s="136"/>
      <c r="J644" s="136" t="str">
        <f t="shared" si="12"/>
        <v>#REF!</v>
      </c>
      <c r="K644" s="137"/>
      <c r="L644" s="137"/>
      <c r="M644" s="137"/>
    </row>
    <row r="645" hidden="1">
      <c r="A645" s="88" t="s">
        <v>306</v>
      </c>
      <c r="B645" s="131" t="s">
        <v>35</v>
      </c>
      <c r="C645" s="132" t="s">
        <v>36</v>
      </c>
      <c r="D645" s="132" t="s">
        <v>37</v>
      </c>
      <c r="E645" s="134">
        <v>2.0</v>
      </c>
      <c r="F645" s="135"/>
      <c r="G645" s="135"/>
      <c r="H645" s="135" t="str">
        <f t="shared" si="11"/>
        <v>#REF!</v>
      </c>
      <c r="I645" s="136"/>
      <c r="J645" s="136" t="str">
        <f t="shared" si="12"/>
        <v>#REF!</v>
      </c>
      <c r="K645" s="137"/>
      <c r="L645" s="137"/>
      <c r="M645" s="137"/>
    </row>
    <row r="646" hidden="1">
      <c r="A646" s="88" t="s">
        <v>306</v>
      </c>
      <c r="B646" s="131" t="s">
        <v>47</v>
      </c>
      <c r="C646" s="132" t="s">
        <v>48</v>
      </c>
      <c r="D646" s="132" t="s">
        <v>49</v>
      </c>
      <c r="E646" s="134">
        <v>1.0</v>
      </c>
      <c r="F646" s="135"/>
      <c r="G646" s="135"/>
      <c r="H646" s="135" t="str">
        <f t="shared" si="11"/>
        <v>#REF!</v>
      </c>
      <c r="I646" s="136"/>
      <c r="J646" s="136" t="str">
        <f t="shared" si="12"/>
        <v>#REF!</v>
      </c>
      <c r="K646" s="137"/>
      <c r="L646" s="137"/>
      <c r="M646" s="137"/>
    </row>
    <row r="647" hidden="1">
      <c r="A647" s="88" t="s">
        <v>306</v>
      </c>
      <c r="B647" s="131" t="s">
        <v>419</v>
      </c>
      <c r="C647" s="132" t="s">
        <v>420</v>
      </c>
      <c r="D647" s="132" t="s">
        <v>421</v>
      </c>
      <c r="E647" s="134">
        <v>0.0</v>
      </c>
      <c r="F647" s="135"/>
      <c r="G647" s="135"/>
      <c r="H647" s="135" t="str">
        <f t="shared" si="11"/>
        <v>#REF!</v>
      </c>
      <c r="I647" s="136"/>
      <c r="J647" s="136" t="str">
        <f t="shared" si="12"/>
        <v>#REF!</v>
      </c>
      <c r="K647" s="137"/>
      <c r="L647" s="137"/>
      <c r="M647" s="137"/>
    </row>
    <row r="648" hidden="1">
      <c r="A648" s="88" t="s">
        <v>306</v>
      </c>
      <c r="B648" s="138" t="s">
        <v>422</v>
      </c>
      <c r="C648" s="139" t="s">
        <v>423</v>
      </c>
      <c r="D648" s="139" t="s">
        <v>424</v>
      </c>
      <c r="E648" s="134">
        <v>0.0</v>
      </c>
      <c r="F648" s="135"/>
      <c r="G648" s="135"/>
      <c r="H648" s="135" t="str">
        <f t="shared" si="11"/>
        <v>#REF!</v>
      </c>
      <c r="I648" s="136"/>
      <c r="J648" s="136" t="str">
        <f t="shared" si="12"/>
        <v>#REF!</v>
      </c>
      <c r="K648" s="137"/>
      <c r="L648" s="137"/>
      <c r="M648" s="137"/>
    </row>
    <row r="649" hidden="1">
      <c r="A649" s="88" t="s">
        <v>306</v>
      </c>
      <c r="B649" s="138" t="s">
        <v>425</v>
      </c>
      <c r="C649" s="139" t="s">
        <v>426</v>
      </c>
      <c r="D649" s="139" t="s">
        <v>427</v>
      </c>
      <c r="E649" s="134">
        <v>0.0</v>
      </c>
      <c r="F649" s="135"/>
      <c r="G649" s="135"/>
      <c r="H649" s="135" t="str">
        <f t="shared" si="11"/>
        <v>#REF!</v>
      </c>
      <c r="I649" s="136"/>
      <c r="J649" s="136" t="str">
        <f t="shared" si="12"/>
        <v>#REF!</v>
      </c>
      <c r="K649" s="137"/>
      <c r="L649" s="137"/>
      <c r="M649" s="137"/>
    </row>
    <row r="650" hidden="1">
      <c r="A650" s="88" t="s">
        <v>306</v>
      </c>
      <c r="B650" s="138" t="s">
        <v>428</v>
      </c>
      <c r="C650" s="139" t="s">
        <v>429</v>
      </c>
      <c r="D650" s="139" t="s">
        <v>430</v>
      </c>
      <c r="E650" s="134">
        <v>20.0</v>
      </c>
      <c r="F650" s="135"/>
      <c r="G650" s="135"/>
      <c r="H650" s="135" t="str">
        <f t="shared" si="11"/>
        <v>#REF!</v>
      </c>
      <c r="I650" s="136"/>
      <c r="J650" s="136" t="str">
        <f t="shared" si="12"/>
        <v>#REF!</v>
      </c>
      <c r="K650" s="137"/>
      <c r="L650" s="137"/>
      <c r="M650" s="137"/>
    </row>
    <row r="651" hidden="1">
      <c r="A651" s="88" t="s">
        <v>306</v>
      </c>
      <c r="B651" s="138" t="s">
        <v>431</v>
      </c>
      <c r="C651" s="139" t="s">
        <v>432</v>
      </c>
      <c r="D651" s="139" t="s">
        <v>433</v>
      </c>
      <c r="E651" s="134">
        <v>2.0</v>
      </c>
      <c r="F651" s="135"/>
      <c r="G651" s="135"/>
      <c r="H651" s="135" t="str">
        <f t="shared" si="11"/>
        <v>#REF!</v>
      </c>
      <c r="I651" s="136"/>
      <c r="J651" s="136" t="str">
        <f t="shared" si="12"/>
        <v>#REF!</v>
      </c>
      <c r="K651" s="137"/>
      <c r="L651" s="137"/>
      <c r="M651" s="137"/>
    </row>
    <row r="652" hidden="1">
      <c r="A652" s="88" t="s">
        <v>306</v>
      </c>
      <c r="B652" s="138" t="s">
        <v>434</v>
      </c>
      <c r="C652" s="139" t="s">
        <v>435</v>
      </c>
      <c r="D652" s="139" t="s">
        <v>436</v>
      </c>
      <c r="E652" s="134">
        <v>0.0</v>
      </c>
      <c r="F652" s="135"/>
      <c r="G652" s="135"/>
      <c r="H652" s="135" t="str">
        <f t="shared" si="11"/>
        <v>#REF!</v>
      </c>
      <c r="I652" s="136"/>
      <c r="J652" s="136" t="str">
        <f t="shared" si="12"/>
        <v>#REF!</v>
      </c>
      <c r="K652" s="137"/>
      <c r="L652" s="137"/>
      <c r="M652" s="137"/>
    </row>
    <row r="653" hidden="1">
      <c r="A653" s="88" t="s">
        <v>306</v>
      </c>
      <c r="B653" s="138" t="s">
        <v>437</v>
      </c>
      <c r="C653" s="139" t="s">
        <v>438</v>
      </c>
      <c r="D653" s="139" t="s">
        <v>439</v>
      </c>
      <c r="E653" s="134">
        <v>0.0</v>
      </c>
      <c r="F653" s="135"/>
      <c r="G653" s="135"/>
      <c r="H653" s="135" t="str">
        <f t="shared" si="11"/>
        <v>#REF!</v>
      </c>
      <c r="I653" s="136"/>
      <c r="J653" s="136" t="str">
        <f t="shared" si="12"/>
        <v>#REF!</v>
      </c>
      <c r="K653" s="137"/>
      <c r="L653" s="137"/>
      <c r="M653" s="137"/>
    </row>
    <row r="654" hidden="1">
      <c r="A654" s="88" t="s">
        <v>306</v>
      </c>
      <c r="B654" s="138" t="s">
        <v>440</v>
      </c>
      <c r="C654" s="139" t="s">
        <v>441</v>
      </c>
      <c r="D654" s="139" t="s">
        <v>442</v>
      </c>
      <c r="E654" s="134">
        <v>0.0</v>
      </c>
      <c r="F654" s="135"/>
      <c r="G654" s="135"/>
      <c r="H654" s="135" t="str">
        <f t="shared" si="11"/>
        <v>#REF!</v>
      </c>
      <c r="I654" s="136"/>
      <c r="J654" s="136" t="str">
        <f t="shared" si="12"/>
        <v>#REF!</v>
      </c>
      <c r="K654" s="137"/>
      <c r="L654" s="137"/>
      <c r="M654" s="137"/>
    </row>
    <row r="655" hidden="1">
      <c r="A655" s="88" t="s">
        <v>306</v>
      </c>
      <c r="B655" s="140" t="s">
        <v>443</v>
      </c>
      <c r="C655" s="141" t="s">
        <v>444</v>
      </c>
      <c r="D655" s="141" t="s">
        <v>445</v>
      </c>
      <c r="E655" s="134">
        <v>0.0</v>
      </c>
      <c r="F655" s="135"/>
      <c r="G655" s="135"/>
      <c r="H655" s="135" t="str">
        <f t="shared" si="11"/>
        <v>#REF!</v>
      </c>
      <c r="I655" s="136"/>
      <c r="J655" s="136" t="str">
        <f t="shared" si="12"/>
        <v>#REF!</v>
      </c>
      <c r="K655" s="137"/>
      <c r="L655" s="137"/>
      <c r="M655" s="137"/>
    </row>
    <row r="656" hidden="1">
      <c r="A656" s="88" t="s">
        <v>306</v>
      </c>
      <c r="B656" s="140" t="s">
        <v>446</v>
      </c>
      <c r="C656" s="141" t="s">
        <v>447</v>
      </c>
      <c r="D656" s="141" t="s">
        <v>448</v>
      </c>
      <c r="E656" s="134">
        <v>0.0</v>
      </c>
      <c r="F656" s="135"/>
      <c r="G656" s="135"/>
      <c r="H656" s="135" t="str">
        <f t="shared" si="11"/>
        <v>#REF!</v>
      </c>
      <c r="I656" s="136"/>
      <c r="J656" s="136" t="str">
        <f t="shared" si="12"/>
        <v>#REF!</v>
      </c>
      <c r="K656" s="137"/>
      <c r="L656" s="137"/>
      <c r="M656" s="137"/>
    </row>
    <row r="657" hidden="1">
      <c r="A657" s="88" t="s">
        <v>306</v>
      </c>
      <c r="B657" s="140" t="s">
        <v>449</v>
      </c>
      <c r="C657" s="141" t="s">
        <v>450</v>
      </c>
      <c r="D657" s="141" t="s">
        <v>451</v>
      </c>
      <c r="E657" s="134">
        <v>0.0</v>
      </c>
      <c r="F657" s="135"/>
      <c r="G657" s="135"/>
      <c r="H657" s="135" t="str">
        <f t="shared" si="11"/>
        <v>#REF!</v>
      </c>
      <c r="I657" s="136"/>
      <c r="J657" s="136" t="str">
        <f t="shared" si="12"/>
        <v>#REF!</v>
      </c>
      <c r="K657" s="137"/>
      <c r="L657" s="137"/>
      <c r="M657" s="137"/>
    </row>
    <row r="658" hidden="1">
      <c r="A658" s="88" t="s">
        <v>306</v>
      </c>
      <c r="B658" s="141" t="s">
        <v>452</v>
      </c>
      <c r="C658" s="141" t="s">
        <v>453</v>
      </c>
      <c r="D658" s="141" t="s">
        <v>454</v>
      </c>
      <c r="E658" s="134">
        <v>7.0</v>
      </c>
      <c r="F658" s="135"/>
      <c r="G658" s="135"/>
      <c r="H658" s="135" t="str">
        <f t="shared" si="11"/>
        <v>#REF!</v>
      </c>
      <c r="I658" s="136"/>
      <c r="J658" s="136" t="str">
        <f t="shared" si="12"/>
        <v>#REF!</v>
      </c>
      <c r="K658" s="137"/>
      <c r="L658" s="137"/>
      <c r="M658" s="137"/>
    </row>
    <row r="659" hidden="1">
      <c r="A659" s="88" t="s">
        <v>306</v>
      </c>
      <c r="B659" s="141" t="s">
        <v>455</v>
      </c>
      <c r="C659" s="141" t="s">
        <v>456</v>
      </c>
      <c r="D659" s="141" t="s">
        <v>457</v>
      </c>
      <c r="E659" s="134">
        <v>0.0</v>
      </c>
      <c r="F659" s="135"/>
      <c r="G659" s="135"/>
      <c r="H659" s="135" t="str">
        <f t="shared" si="11"/>
        <v>#REF!</v>
      </c>
      <c r="I659" s="136"/>
      <c r="J659" s="136" t="str">
        <f t="shared" si="12"/>
        <v>#REF!</v>
      </c>
      <c r="K659" s="137"/>
      <c r="L659" s="137"/>
      <c r="M659" s="137"/>
    </row>
    <row r="660" hidden="1">
      <c r="A660" s="88" t="s">
        <v>306</v>
      </c>
      <c r="B660" s="141" t="s">
        <v>458</v>
      </c>
      <c r="C660" s="141" t="s">
        <v>459</v>
      </c>
      <c r="D660" s="141" t="s">
        <v>460</v>
      </c>
      <c r="E660" s="134">
        <v>1.0</v>
      </c>
      <c r="F660" s="135"/>
      <c r="G660" s="135"/>
      <c r="H660" s="135" t="str">
        <f t="shared" si="11"/>
        <v>#REF!</v>
      </c>
      <c r="I660" s="136"/>
      <c r="J660" s="136" t="str">
        <f t="shared" si="12"/>
        <v>#REF!</v>
      </c>
      <c r="K660" s="137"/>
      <c r="L660" s="137"/>
      <c r="M660" s="137"/>
    </row>
    <row r="661" hidden="1">
      <c r="A661" s="89" t="s">
        <v>307</v>
      </c>
      <c r="B661" s="138" t="s">
        <v>41</v>
      </c>
      <c r="C661" s="139" t="s">
        <v>42</v>
      </c>
      <c r="D661" s="139" t="s">
        <v>43</v>
      </c>
      <c r="E661" s="134">
        <v>0.0</v>
      </c>
      <c r="F661" s="135"/>
      <c r="G661" s="135"/>
      <c r="H661" s="135" t="str">
        <f t="shared" si="11"/>
        <v>#REF!</v>
      </c>
      <c r="I661" s="136"/>
      <c r="J661" s="136" t="str">
        <f t="shared" si="12"/>
        <v>#REF!</v>
      </c>
      <c r="K661" s="137"/>
      <c r="L661" s="137"/>
      <c r="M661" s="137"/>
    </row>
    <row r="662" hidden="1">
      <c r="A662" s="89" t="s">
        <v>307</v>
      </c>
      <c r="B662" s="131" t="s">
        <v>35</v>
      </c>
      <c r="C662" s="132" t="s">
        <v>36</v>
      </c>
      <c r="D662" s="132" t="s">
        <v>37</v>
      </c>
      <c r="E662" s="134">
        <v>10.0</v>
      </c>
      <c r="F662" s="135"/>
      <c r="G662" s="135"/>
      <c r="H662" s="135" t="str">
        <f t="shared" si="11"/>
        <v>#REF!</v>
      </c>
      <c r="I662" s="136"/>
      <c r="J662" s="136" t="str">
        <f t="shared" si="12"/>
        <v>#REF!</v>
      </c>
      <c r="K662" s="137"/>
      <c r="L662" s="137"/>
      <c r="M662" s="137"/>
    </row>
    <row r="663" hidden="1">
      <c r="A663" s="89" t="s">
        <v>307</v>
      </c>
      <c r="B663" s="131" t="s">
        <v>47</v>
      </c>
      <c r="C663" s="132" t="s">
        <v>48</v>
      </c>
      <c r="D663" s="132" t="s">
        <v>49</v>
      </c>
      <c r="E663" s="134">
        <v>0.0</v>
      </c>
      <c r="F663" s="135"/>
      <c r="G663" s="135"/>
      <c r="H663" s="135" t="str">
        <f t="shared" si="11"/>
        <v>#REF!</v>
      </c>
      <c r="I663" s="136"/>
      <c r="J663" s="136" t="str">
        <f t="shared" si="12"/>
        <v>#REF!</v>
      </c>
      <c r="K663" s="137"/>
      <c r="L663" s="137"/>
      <c r="M663" s="137"/>
    </row>
    <row r="664" hidden="1">
      <c r="A664" s="89" t="s">
        <v>307</v>
      </c>
      <c r="B664" s="131" t="s">
        <v>419</v>
      </c>
      <c r="C664" s="132" t="s">
        <v>420</v>
      </c>
      <c r="D664" s="132" t="s">
        <v>421</v>
      </c>
      <c r="E664" s="134">
        <v>11.0</v>
      </c>
      <c r="F664" s="135"/>
      <c r="G664" s="135"/>
      <c r="H664" s="135" t="str">
        <f t="shared" si="11"/>
        <v>#REF!</v>
      </c>
      <c r="I664" s="136"/>
      <c r="J664" s="136" t="str">
        <f t="shared" si="12"/>
        <v>#REF!</v>
      </c>
      <c r="K664" s="137"/>
      <c r="L664" s="137"/>
      <c r="M664" s="137"/>
    </row>
    <row r="665" hidden="1">
      <c r="A665" s="89" t="s">
        <v>307</v>
      </c>
      <c r="B665" s="138" t="s">
        <v>422</v>
      </c>
      <c r="C665" s="139" t="s">
        <v>423</v>
      </c>
      <c r="D665" s="139" t="s">
        <v>424</v>
      </c>
      <c r="E665" s="134">
        <v>0.0</v>
      </c>
      <c r="F665" s="135"/>
      <c r="G665" s="135"/>
      <c r="H665" s="135" t="str">
        <f t="shared" si="11"/>
        <v>#REF!</v>
      </c>
      <c r="I665" s="136"/>
      <c r="J665" s="136" t="str">
        <f t="shared" si="12"/>
        <v>#REF!</v>
      </c>
      <c r="K665" s="137"/>
      <c r="L665" s="137"/>
      <c r="M665" s="137"/>
    </row>
    <row r="666" hidden="1">
      <c r="A666" s="89" t="s">
        <v>307</v>
      </c>
      <c r="B666" s="138" t="s">
        <v>425</v>
      </c>
      <c r="C666" s="139" t="s">
        <v>426</v>
      </c>
      <c r="D666" s="139" t="s">
        <v>427</v>
      </c>
      <c r="E666" s="134">
        <v>0.0</v>
      </c>
      <c r="F666" s="135"/>
      <c r="G666" s="135"/>
      <c r="H666" s="135" t="str">
        <f t="shared" si="11"/>
        <v>#REF!</v>
      </c>
      <c r="I666" s="136"/>
      <c r="J666" s="136" t="str">
        <f t="shared" si="12"/>
        <v>#REF!</v>
      </c>
      <c r="K666" s="137"/>
      <c r="L666" s="137"/>
      <c r="M666" s="137"/>
    </row>
    <row r="667" hidden="1">
      <c r="A667" s="89" t="s">
        <v>307</v>
      </c>
      <c r="B667" s="138" t="s">
        <v>428</v>
      </c>
      <c r="C667" s="139" t="s">
        <v>429</v>
      </c>
      <c r="D667" s="139" t="s">
        <v>430</v>
      </c>
      <c r="E667" s="134">
        <v>13.0</v>
      </c>
      <c r="F667" s="135"/>
      <c r="G667" s="135"/>
      <c r="H667" s="135" t="str">
        <f t="shared" si="11"/>
        <v>#REF!</v>
      </c>
      <c r="I667" s="136"/>
      <c r="J667" s="136" t="str">
        <f t="shared" si="12"/>
        <v>#REF!</v>
      </c>
      <c r="K667" s="137"/>
      <c r="L667" s="137"/>
      <c r="M667" s="137"/>
    </row>
    <row r="668" hidden="1">
      <c r="A668" s="89" t="s">
        <v>307</v>
      </c>
      <c r="B668" s="138" t="s">
        <v>431</v>
      </c>
      <c r="C668" s="139" t="s">
        <v>432</v>
      </c>
      <c r="D668" s="139" t="s">
        <v>433</v>
      </c>
      <c r="E668" s="134">
        <v>0.0</v>
      </c>
      <c r="F668" s="135"/>
      <c r="G668" s="135"/>
      <c r="H668" s="135" t="str">
        <f t="shared" si="11"/>
        <v>#REF!</v>
      </c>
      <c r="I668" s="136"/>
      <c r="J668" s="136" t="str">
        <f t="shared" si="12"/>
        <v>#REF!</v>
      </c>
      <c r="K668" s="137"/>
      <c r="L668" s="137"/>
      <c r="M668" s="137"/>
    </row>
    <row r="669" hidden="1">
      <c r="A669" s="89" t="s">
        <v>307</v>
      </c>
      <c r="B669" s="138" t="s">
        <v>434</v>
      </c>
      <c r="C669" s="139" t="s">
        <v>435</v>
      </c>
      <c r="D669" s="139" t="s">
        <v>436</v>
      </c>
      <c r="E669" s="134">
        <v>1.0</v>
      </c>
      <c r="F669" s="135"/>
      <c r="G669" s="135"/>
      <c r="H669" s="135" t="str">
        <f t="shared" si="11"/>
        <v>#REF!</v>
      </c>
      <c r="I669" s="136"/>
      <c r="J669" s="136" t="str">
        <f t="shared" si="12"/>
        <v>#REF!</v>
      </c>
      <c r="K669" s="137"/>
      <c r="L669" s="137"/>
      <c r="M669" s="137"/>
    </row>
    <row r="670" hidden="1">
      <c r="A670" s="89" t="s">
        <v>307</v>
      </c>
      <c r="B670" s="138" t="s">
        <v>437</v>
      </c>
      <c r="C670" s="139" t="s">
        <v>438</v>
      </c>
      <c r="D670" s="139" t="s">
        <v>439</v>
      </c>
      <c r="E670" s="134">
        <v>4.0</v>
      </c>
      <c r="F670" s="135"/>
      <c r="G670" s="135"/>
      <c r="H670" s="135" t="str">
        <f t="shared" si="11"/>
        <v>#REF!</v>
      </c>
      <c r="I670" s="136"/>
      <c r="J670" s="136" t="str">
        <f t="shared" si="12"/>
        <v>#REF!</v>
      </c>
      <c r="K670" s="137"/>
      <c r="L670" s="137"/>
      <c r="M670" s="137"/>
    </row>
    <row r="671" hidden="1">
      <c r="A671" s="89" t="s">
        <v>307</v>
      </c>
      <c r="B671" s="138" t="s">
        <v>440</v>
      </c>
      <c r="C671" s="139" t="s">
        <v>441</v>
      </c>
      <c r="D671" s="139" t="s">
        <v>442</v>
      </c>
      <c r="E671" s="134">
        <v>3.0</v>
      </c>
      <c r="F671" s="135"/>
      <c r="G671" s="135"/>
      <c r="H671" s="135" t="str">
        <f t="shared" si="11"/>
        <v>#REF!</v>
      </c>
      <c r="I671" s="136"/>
      <c r="J671" s="136" t="str">
        <f t="shared" si="12"/>
        <v>#REF!</v>
      </c>
      <c r="K671" s="137"/>
      <c r="L671" s="137"/>
      <c r="M671" s="137"/>
    </row>
    <row r="672" hidden="1">
      <c r="A672" s="89" t="s">
        <v>307</v>
      </c>
      <c r="B672" s="140" t="s">
        <v>443</v>
      </c>
      <c r="C672" s="141" t="s">
        <v>444</v>
      </c>
      <c r="D672" s="141" t="s">
        <v>445</v>
      </c>
      <c r="E672" s="134">
        <v>0.0</v>
      </c>
      <c r="F672" s="135"/>
      <c r="G672" s="135"/>
      <c r="H672" s="135" t="str">
        <f t="shared" si="11"/>
        <v>#REF!</v>
      </c>
      <c r="I672" s="136"/>
      <c r="J672" s="136" t="str">
        <f t="shared" si="12"/>
        <v>#REF!</v>
      </c>
      <c r="K672" s="142"/>
      <c r="L672" s="142"/>
      <c r="M672" s="142"/>
    </row>
    <row r="673" hidden="1">
      <c r="A673" s="89" t="s">
        <v>307</v>
      </c>
      <c r="B673" s="140" t="s">
        <v>446</v>
      </c>
      <c r="C673" s="141" t="s">
        <v>447</v>
      </c>
      <c r="D673" s="141" t="s">
        <v>448</v>
      </c>
      <c r="E673" s="134">
        <v>1.0</v>
      </c>
      <c r="F673" s="135"/>
      <c r="G673" s="135"/>
      <c r="H673" s="135" t="str">
        <f t="shared" si="11"/>
        <v>#REF!</v>
      </c>
      <c r="I673" s="136"/>
      <c r="J673" s="136" t="str">
        <f t="shared" si="12"/>
        <v>#REF!</v>
      </c>
      <c r="K673" s="142"/>
      <c r="L673" s="142"/>
      <c r="M673" s="142"/>
    </row>
    <row r="674" hidden="1">
      <c r="A674" s="89" t="s">
        <v>307</v>
      </c>
      <c r="B674" s="140" t="s">
        <v>449</v>
      </c>
      <c r="C674" s="141" t="s">
        <v>450</v>
      </c>
      <c r="D674" s="141" t="s">
        <v>451</v>
      </c>
      <c r="E674" s="134">
        <v>2.0</v>
      </c>
      <c r="F674" s="135"/>
      <c r="G674" s="135"/>
      <c r="H674" s="135" t="str">
        <f t="shared" si="11"/>
        <v>#REF!</v>
      </c>
      <c r="I674" s="136"/>
      <c r="J674" s="136" t="str">
        <f t="shared" si="12"/>
        <v>#REF!</v>
      </c>
      <c r="K674" s="142"/>
      <c r="L674" s="142"/>
      <c r="M674" s="142"/>
    </row>
    <row r="675" hidden="1">
      <c r="A675" s="89" t="s">
        <v>307</v>
      </c>
      <c r="B675" s="141" t="s">
        <v>452</v>
      </c>
      <c r="C675" s="141" t="s">
        <v>453</v>
      </c>
      <c r="D675" s="141" t="s">
        <v>454</v>
      </c>
      <c r="E675" s="134">
        <v>13.0</v>
      </c>
      <c r="F675" s="135"/>
      <c r="G675" s="135"/>
      <c r="H675" s="135" t="str">
        <f t="shared" si="11"/>
        <v>#REF!</v>
      </c>
      <c r="I675" s="136"/>
      <c r="J675" s="136" t="str">
        <f t="shared" si="12"/>
        <v>#REF!</v>
      </c>
      <c r="K675" s="142"/>
      <c r="L675" s="142"/>
      <c r="M675" s="142"/>
    </row>
    <row r="676" hidden="1">
      <c r="A676" s="89" t="s">
        <v>307</v>
      </c>
      <c r="B676" s="141" t="s">
        <v>455</v>
      </c>
      <c r="C676" s="141" t="s">
        <v>456</v>
      </c>
      <c r="D676" s="141" t="s">
        <v>457</v>
      </c>
      <c r="E676" s="134">
        <v>2.0</v>
      </c>
      <c r="F676" s="135"/>
      <c r="G676" s="135"/>
      <c r="H676" s="135" t="str">
        <f t="shared" si="11"/>
        <v>#REF!</v>
      </c>
      <c r="I676" s="136"/>
      <c r="J676" s="136" t="str">
        <f t="shared" si="12"/>
        <v>#REF!</v>
      </c>
      <c r="K676" s="142"/>
      <c r="L676" s="142"/>
      <c r="M676" s="142"/>
    </row>
    <row r="677" hidden="1">
      <c r="A677" s="89" t="s">
        <v>307</v>
      </c>
      <c r="B677" s="141" t="s">
        <v>458</v>
      </c>
      <c r="C677" s="141" t="s">
        <v>459</v>
      </c>
      <c r="D677" s="141" t="s">
        <v>460</v>
      </c>
      <c r="E677" s="134">
        <v>0.0</v>
      </c>
      <c r="F677" s="135"/>
      <c r="G677" s="135"/>
      <c r="H677" s="135" t="str">
        <f t="shared" si="11"/>
        <v>#REF!</v>
      </c>
      <c r="I677" s="136"/>
      <c r="J677" s="136" t="str">
        <f t="shared" si="12"/>
        <v>#REF!</v>
      </c>
      <c r="K677" s="142"/>
      <c r="L677" s="142"/>
      <c r="M677" s="142"/>
    </row>
    <row r="678" hidden="1">
      <c r="A678" s="88" t="s">
        <v>308</v>
      </c>
      <c r="B678" s="91" t="s">
        <v>41</v>
      </c>
      <c r="C678" s="96" t="s">
        <v>42</v>
      </c>
      <c r="D678" s="96" t="s">
        <v>43</v>
      </c>
      <c r="E678" s="144"/>
      <c r="F678" s="144"/>
      <c r="G678" s="144"/>
      <c r="H678" s="144" t="str">
        <f t="shared" si="11"/>
        <v>#REF!</v>
      </c>
      <c r="I678" s="126"/>
      <c r="J678" s="126" t="str">
        <f t="shared" si="12"/>
        <v>#REF!</v>
      </c>
      <c r="K678" s="23"/>
      <c r="L678" s="23"/>
      <c r="M678" s="23"/>
    </row>
    <row r="679" hidden="1">
      <c r="A679" s="88" t="s">
        <v>308</v>
      </c>
      <c r="B679" s="92" t="s">
        <v>422</v>
      </c>
      <c r="C679" s="93" t="s">
        <v>423</v>
      </c>
      <c r="D679" s="93" t="s">
        <v>424</v>
      </c>
      <c r="E679" s="144"/>
      <c r="F679" s="144"/>
      <c r="G679" s="144"/>
      <c r="H679" s="144" t="str">
        <f t="shared" si="11"/>
        <v>#REF!</v>
      </c>
      <c r="I679" s="126"/>
      <c r="J679" s="126" t="str">
        <f t="shared" si="12"/>
        <v>#REF!</v>
      </c>
      <c r="K679" s="23"/>
      <c r="L679" s="23"/>
      <c r="M679" s="23"/>
    </row>
    <row r="680" hidden="1">
      <c r="A680" s="88" t="s">
        <v>308</v>
      </c>
      <c r="B680" s="92" t="s">
        <v>425</v>
      </c>
      <c r="C680" s="93" t="s">
        <v>426</v>
      </c>
      <c r="D680" s="93" t="s">
        <v>427</v>
      </c>
      <c r="E680" s="144"/>
      <c r="F680" s="144"/>
      <c r="G680" s="144"/>
      <c r="H680" s="144" t="str">
        <f t="shared" si="11"/>
        <v>#REF!</v>
      </c>
      <c r="I680" s="126"/>
      <c r="J680" s="126" t="str">
        <f t="shared" si="12"/>
        <v>#REF!</v>
      </c>
      <c r="K680" s="23"/>
      <c r="L680" s="23"/>
      <c r="M680" s="23"/>
    </row>
    <row r="681" hidden="1">
      <c r="A681" s="88" t="s">
        <v>308</v>
      </c>
      <c r="B681" s="92" t="s">
        <v>428</v>
      </c>
      <c r="C681" s="93" t="s">
        <v>429</v>
      </c>
      <c r="D681" s="93" t="s">
        <v>430</v>
      </c>
      <c r="E681" s="144"/>
      <c r="F681" s="144"/>
      <c r="G681" s="144"/>
      <c r="H681" s="144" t="str">
        <f t="shared" si="11"/>
        <v>#REF!</v>
      </c>
      <c r="I681" s="126"/>
      <c r="J681" s="126" t="str">
        <f t="shared" si="12"/>
        <v>#REF!</v>
      </c>
      <c r="K681" s="23"/>
      <c r="L681" s="23"/>
      <c r="M681" s="23"/>
    </row>
    <row r="682" hidden="1">
      <c r="A682" s="88" t="s">
        <v>308</v>
      </c>
      <c r="B682" s="92" t="s">
        <v>431</v>
      </c>
      <c r="C682" s="93" t="s">
        <v>432</v>
      </c>
      <c r="D682" s="93" t="s">
        <v>433</v>
      </c>
      <c r="E682" s="144"/>
      <c r="F682" s="144"/>
      <c r="G682" s="144"/>
      <c r="H682" s="144" t="str">
        <f t="shared" si="11"/>
        <v>#REF!</v>
      </c>
      <c r="I682" s="126"/>
      <c r="J682" s="126" t="str">
        <f t="shared" si="12"/>
        <v>#REF!</v>
      </c>
      <c r="K682" s="23"/>
      <c r="L682" s="23"/>
      <c r="M682" s="23"/>
    </row>
    <row r="683" hidden="1">
      <c r="A683" s="88" t="s">
        <v>308</v>
      </c>
      <c r="B683" s="92" t="s">
        <v>434</v>
      </c>
      <c r="C683" s="93" t="s">
        <v>435</v>
      </c>
      <c r="D683" s="93" t="s">
        <v>436</v>
      </c>
      <c r="E683" s="144"/>
      <c r="F683" s="144"/>
      <c r="G683" s="144"/>
      <c r="H683" s="144" t="str">
        <f t="shared" si="11"/>
        <v>#REF!</v>
      </c>
      <c r="I683" s="126"/>
      <c r="J683" s="126" t="str">
        <f t="shared" si="12"/>
        <v>#REF!</v>
      </c>
      <c r="K683" s="23"/>
      <c r="L683" s="23"/>
      <c r="M683" s="23"/>
    </row>
    <row r="684" hidden="1">
      <c r="A684" s="88" t="s">
        <v>308</v>
      </c>
      <c r="B684" s="92" t="s">
        <v>437</v>
      </c>
      <c r="C684" s="93" t="s">
        <v>438</v>
      </c>
      <c r="D684" s="93" t="s">
        <v>439</v>
      </c>
      <c r="E684" s="144"/>
      <c r="F684" s="144"/>
      <c r="G684" s="144"/>
      <c r="H684" s="144" t="str">
        <f t="shared" si="11"/>
        <v>#REF!</v>
      </c>
      <c r="I684" s="126"/>
      <c r="J684" s="126" t="str">
        <f t="shared" si="12"/>
        <v>#REF!</v>
      </c>
      <c r="K684" s="23"/>
      <c r="L684" s="23"/>
      <c r="M684" s="23"/>
    </row>
    <row r="685" hidden="1">
      <c r="A685" s="88" t="s">
        <v>308</v>
      </c>
      <c r="B685" s="92" t="s">
        <v>440</v>
      </c>
      <c r="C685" s="93" t="s">
        <v>441</v>
      </c>
      <c r="D685" s="93" t="s">
        <v>442</v>
      </c>
      <c r="E685" s="144"/>
      <c r="F685" s="144"/>
      <c r="G685" s="144"/>
      <c r="H685" s="144" t="str">
        <f t="shared" si="11"/>
        <v>#REF!</v>
      </c>
      <c r="I685" s="126"/>
      <c r="J685" s="126" t="str">
        <f t="shared" si="12"/>
        <v>#REF!</v>
      </c>
      <c r="K685" s="23"/>
      <c r="L685" s="23"/>
      <c r="M685" s="23"/>
    </row>
    <row r="686" hidden="1">
      <c r="A686" s="88" t="s">
        <v>308</v>
      </c>
      <c r="B686" s="95" t="s">
        <v>443</v>
      </c>
      <c r="C686" s="94" t="s">
        <v>444</v>
      </c>
      <c r="D686" s="94" t="s">
        <v>445</v>
      </c>
      <c r="E686" s="144"/>
      <c r="F686" s="144"/>
      <c r="G686" s="144"/>
      <c r="H686" s="144" t="str">
        <f t="shared" si="11"/>
        <v>#REF!</v>
      </c>
      <c r="I686" s="126"/>
      <c r="J686" s="126" t="str">
        <f t="shared" si="12"/>
        <v>#REF!</v>
      </c>
      <c r="K686" s="14"/>
      <c r="L686" s="14"/>
      <c r="M686" s="14"/>
    </row>
    <row r="687" hidden="1">
      <c r="A687" s="88" t="s">
        <v>308</v>
      </c>
      <c r="B687" s="95" t="s">
        <v>446</v>
      </c>
      <c r="C687" s="94" t="s">
        <v>447</v>
      </c>
      <c r="D687" s="94" t="s">
        <v>448</v>
      </c>
      <c r="E687" s="144"/>
      <c r="F687" s="144"/>
      <c r="G687" s="144"/>
      <c r="H687" s="144" t="str">
        <f t="shared" si="11"/>
        <v>#REF!</v>
      </c>
      <c r="I687" s="126"/>
      <c r="J687" s="126" t="str">
        <f t="shared" si="12"/>
        <v>#REF!</v>
      </c>
      <c r="K687" s="14"/>
      <c r="L687" s="14"/>
      <c r="M687" s="14"/>
    </row>
    <row r="688" hidden="1">
      <c r="A688" s="88" t="s">
        <v>308</v>
      </c>
      <c r="B688" s="95" t="s">
        <v>449</v>
      </c>
      <c r="C688" s="94" t="s">
        <v>450</v>
      </c>
      <c r="D688" s="94" t="s">
        <v>451</v>
      </c>
      <c r="E688" s="144"/>
      <c r="F688" s="144"/>
      <c r="G688" s="144"/>
      <c r="H688" s="144" t="str">
        <f t="shared" si="11"/>
        <v>#REF!</v>
      </c>
      <c r="I688" s="126"/>
      <c r="J688" s="126" t="str">
        <f t="shared" si="12"/>
        <v>#REF!</v>
      </c>
      <c r="K688" s="14"/>
      <c r="L688" s="14"/>
      <c r="M688" s="14"/>
    </row>
    <row r="689" hidden="1">
      <c r="A689" s="88" t="s">
        <v>308</v>
      </c>
      <c r="B689" s="95" t="s">
        <v>461</v>
      </c>
      <c r="C689" s="94" t="s">
        <v>462</v>
      </c>
      <c r="D689" s="94" t="s">
        <v>463</v>
      </c>
      <c r="E689" s="144"/>
      <c r="F689" s="144"/>
      <c r="G689" s="144"/>
      <c r="H689" s="144" t="str">
        <f t="shared" si="11"/>
        <v>#REF!</v>
      </c>
      <c r="I689" s="126"/>
      <c r="J689" s="126" t="str">
        <f t="shared" si="12"/>
        <v>#REF!</v>
      </c>
      <c r="K689" s="14"/>
      <c r="L689" s="14"/>
      <c r="M689" s="14"/>
    </row>
    <row r="690" hidden="1">
      <c r="A690" s="88" t="s">
        <v>308</v>
      </c>
      <c r="B690" s="94" t="s">
        <v>464</v>
      </c>
      <c r="C690" s="94" t="s">
        <v>465</v>
      </c>
      <c r="D690" s="94" t="s">
        <v>466</v>
      </c>
      <c r="E690" s="144"/>
      <c r="F690" s="144"/>
      <c r="G690" s="144"/>
      <c r="H690" s="144" t="str">
        <f t="shared" si="11"/>
        <v>#REF!</v>
      </c>
      <c r="I690" s="126"/>
      <c r="J690" s="126" t="str">
        <f t="shared" si="12"/>
        <v>#REF!</v>
      </c>
      <c r="K690" s="14"/>
      <c r="L690" s="14"/>
      <c r="M690" s="14"/>
    </row>
    <row r="691" hidden="1">
      <c r="A691" s="88" t="s">
        <v>308</v>
      </c>
      <c r="B691" s="94" t="s">
        <v>86</v>
      </c>
      <c r="C691" s="94" t="s">
        <v>87</v>
      </c>
      <c r="D691" s="94" t="s">
        <v>88</v>
      </c>
      <c r="E691" s="144"/>
      <c r="F691" s="144"/>
      <c r="G691" s="144"/>
      <c r="H691" s="144" t="str">
        <f t="shared" si="11"/>
        <v>#REF!</v>
      </c>
      <c r="I691" s="126"/>
      <c r="J691" s="126" t="str">
        <f t="shared" si="12"/>
        <v>#REF!</v>
      </c>
      <c r="K691" s="14"/>
      <c r="L691" s="14"/>
      <c r="M691" s="14"/>
    </row>
    <row r="692" hidden="1">
      <c r="A692" s="88" t="s">
        <v>308</v>
      </c>
      <c r="B692" s="94" t="s">
        <v>62</v>
      </c>
      <c r="C692" s="94" t="s">
        <v>63</v>
      </c>
      <c r="D692" s="94" t="s">
        <v>64</v>
      </c>
      <c r="E692" s="144"/>
      <c r="F692" s="144"/>
      <c r="G692" s="144"/>
      <c r="H692" s="144" t="str">
        <f t="shared" si="11"/>
        <v>#REF!</v>
      </c>
      <c r="I692" s="126"/>
      <c r="J692" s="126" t="str">
        <f t="shared" si="12"/>
        <v>#REF!</v>
      </c>
      <c r="K692" s="14"/>
      <c r="L692" s="14"/>
      <c r="M692" s="14"/>
    </row>
    <row r="693" hidden="1">
      <c r="A693" s="88" t="s">
        <v>308</v>
      </c>
      <c r="B693" s="94" t="s">
        <v>89</v>
      </c>
      <c r="C693" s="94" t="s">
        <v>90</v>
      </c>
      <c r="D693" s="94" t="s">
        <v>91</v>
      </c>
      <c r="E693" s="144"/>
      <c r="F693" s="144"/>
      <c r="G693" s="144"/>
      <c r="H693" s="144" t="str">
        <f t="shared" si="11"/>
        <v>#REF!</v>
      </c>
      <c r="I693" s="126"/>
      <c r="J693" s="126" t="str">
        <f t="shared" si="12"/>
        <v>#REF!</v>
      </c>
      <c r="K693" s="14"/>
      <c r="L693" s="14"/>
      <c r="M693" s="14"/>
    </row>
    <row r="694" hidden="1">
      <c r="A694" s="88" t="s">
        <v>308</v>
      </c>
      <c r="B694" s="94" t="s">
        <v>251</v>
      </c>
      <c r="C694" s="94" t="s">
        <v>252</v>
      </c>
      <c r="D694" s="94" t="s">
        <v>253</v>
      </c>
      <c r="E694" s="144"/>
      <c r="F694" s="144"/>
      <c r="G694" s="144"/>
      <c r="H694" s="144" t="str">
        <f t="shared" si="11"/>
        <v>#REF!</v>
      </c>
      <c r="I694" s="126"/>
      <c r="J694" s="126" t="str">
        <f t="shared" si="12"/>
        <v>#REF!</v>
      </c>
      <c r="K694" s="14"/>
      <c r="L694" s="14"/>
      <c r="M694" s="14"/>
    </row>
    <row r="695" hidden="1">
      <c r="A695" s="88" t="s">
        <v>308</v>
      </c>
      <c r="B695" s="94" t="s">
        <v>59</v>
      </c>
      <c r="C695" s="94" t="s">
        <v>60</v>
      </c>
      <c r="D695" s="94" t="s">
        <v>61</v>
      </c>
      <c r="E695" s="144"/>
      <c r="F695" s="144"/>
      <c r="G695" s="144"/>
      <c r="H695" s="144" t="str">
        <f t="shared" si="11"/>
        <v>#REF!</v>
      </c>
      <c r="I695" s="126"/>
      <c r="J695" s="126" t="str">
        <f t="shared" si="12"/>
        <v>#REF!</v>
      </c>
      <c r="K695" s="14"/>
      <c r="L695" s="14"/>
      <c r="M695" s="14"/>
    </row>
    <row r="696" hidden="1">
      <c r="A696" s="88" t="s">
        <v>308</v>
      </c>
      <c r="B696" s="94" t="s">
        <v>467</v>
      </c>
      <c r="C696" s="94" t="s">
        <v>468</v>
      </c>
      <c r="D696" s="94" t="s">
        <v>469</v>
      </c>
      <c r="E696" s="144"/>
      <c r="F696" s="144"/>
      <c r="G696" s="144"/>
      <c r="H696" s="144" t="str">
        <f t="shared" si="11"/>
        <v>#REF!</v>
      </c>
      <c r="I696" s="126"/>
      <c r="J696" s="126" t="str">
        <f t="shared" si="12"/>
        <v>#REF!</v>
      </c>
      <c r="K696" s="14"/>
      <c r="L696" s="14"/>
      <c r="M696" s="14"/>
    </row>
    <row r="697" hidden="1">
      <c r="A697" s="88" t="s">
        <v>308</v>
      </c>
      <c r="B697" s="94" t="s">
        <v>452</v>
      </c>
      <c r="C697" s="94" t="s">
        <v>453</v>
      </c>
      <c r="D697" s="94" t="s">
        <v>454</v>
      </c>
      <c r="E697" s="144"/>
      <c r="F697" s="144"/>
      <c r="G697" s="144"/>
      <c r="H697" s="144" t="str">
        <f t="shared" si="11"/>
        <v>#REF!</v>
      </c>
      <c r="I697" s="126"/>
      <c r="J697" s="126" t="str">
        <f t="shared" si="12"/>
        <v>#REF!</v>
      </c>
      <c r="K697" s="14"/>
      <c r="L697" s="14"/>
      <c r="M697" s="14"/>
    </row>
    <row r="698" hidden="1">
      <c r="A698" s="88" t="s">
        <v>308</v>
      </c>
      <c r="B698" s="94" t="s">
        <v>455</v>
      </c>
      <c r="C698" s="94" t="s">
        <v>456</v>
      </c>
      <c r="D698" s="94" t="s">
        <v>457</v>
      </c>
      <c r="E698" s="144"/>
      <c r="F698" s="144"/>
      <c r="G698" s="144"/>
      <c r="H698" s="144" t="str">
        <f t="shared" si="11"/>
        <v>#REF!</v>
      </c>
      <c r="I698" s="126"/>
      <c r="J698" s="126" t="str">
        <f t="shared" si="12"/>
        <v>#REF!</v>
      </c>
      <c r="K698" s="14"/>
      <c r="L698" s="14"/>
      <c r="M698" s="14"/>
    </row>
    <row r="699" hidden="1">
      <c r="A699" s="88" t="s">
        <v>308</v>
      </c>
      <c r="B699" s="94" t="s">
        <v>458</v>
      </c>
      <c r="C699" s="94" t="s">
        <v>459</v>
      </c>
      <c r="D699" s="94" t="s">
        <v>460</v>
      </c>
      <c r="E699" s="144"/>
      <c r="F699" s="144"/>
      <c r="G699" s="144"/>
      <c r="H699" s="144" t="str">
        <f t="shared" si="11"/>
        <v>#REF!</v>
      </c>
      <c r="I699" s="126"/>
      <c r="J699" s="126" t="str">
        <f t="shared" si="12"/>
        <v>#REF!</v>
      </c>
      <c r="K699" s="14"/>
      <c r="L699" s="14"/>
      <c r="M699" s="14"/>
    </row>
    <row r="700" hidden="1">
      <c r="A700" s="88" t="s">
        <v>308</v>
      </c>
      <c r="B700" s="94" t="s">
        <v>65</v>
      </c>
      <c r="C700" s="94" t="s">
        <v>470</v>
      </c>
      <c r="D700" s="94" t="s">
        <v>67</v>
      </c>
      <c r="E700" s="144"/>
      <c r="F700" s="144"/>
      <c r="G700" s="144"/>
      <c r="H700" s="144" t="str">
        <f t="shared" si="11"/>
        <v>#REF!</v>
      </c>
      <c r="I700" s="126"/>
      <c r="J700" s="126" t="str">
        <f t="shared" si="12"/>
        <v>#REF!</v>
      </c>
      <c r="K700" s="14"/>
      <c r="L700" s="14"/>
      <c r="M700" s="14"/>
    </row>
    <row r="701" hidden="1">
      <c r="A701" s="88" t="s">
        <v>309</v>
      </c>
      <c r="B701" s="92" t="s">
        <v>422</v>
      </c>
      <c r="C701" s="93" t="s">
        <v>423</v>
      </c>
      <c r="D701" s="93" t="s">
        <v>424</v>
      </c>
      <c r="E701" s="144"/>
      <c r="F701" s="144"/>
      <c r="G701" s="144"/>
      <c r="H701" s="144" t="str">
        <f t="shared" ref="H701:H1001" si="13">IF(#REF!&gt;=75,100*#REF!,IF(#REF!&gt;=65,75*#REF!,IF(#REF!&gt;=50,50*#REF!,0)))</f>
        <v>#REF!</v>
      </c>
      <c r="I701" s="126"/>
      <c r="J701" s="126" t="str">
        <f t="shared" ref="J701:J722" si="14">#REF! &amp; " Total Filings"
</f>
        <v>#REF!</v>
      </c>
      <c r="K701" s="23"/>
      <c r="L701" s="23"/>
      <c r="M701" s="23"/>
    </row>
    <row r="702" hidden="1">
      <c r="A702" s="88" t="s">
        <v>309</v>
      </c>
      <c r="B702" s="92" t="s">
        <v>425</v>
      </c>
      <c r="C702" s="93" t="s">
        <v>426</v>
      </c>
      <c r="D702" s="93" t="s">
        <v>427</v>
      </c>
      <c r="E702" s="144"/>
      <c r="F702" s="144"/>
      <c r="G702" s="144"/>
      <c r="H702" s="144" t="str">
        <f t="shared" si="13"/>
        <v>#REF!</v>
      </c>
      <c r="I702" s="126"/>
      <c r="J702" s="126" t="str">
        <f t="shared" si="14"/>
        <v>#REF!</v>
      </c>
      <c r="K702" s="23"/>
      <c r="L702" s="23"/>
      <c r="M702" s="23"/>
    </row>
    <row r="703" hidden="1">
      <c r="A703" s="88" t="s">
        <v>309</v>
      </c>
      <c r="B703" s="92" t="s">
        <v>428</v>
      </c>
      <c r="C703" s="93" t="s">
        <v>429</v>
      </c>
      <c r="D703" s="93" t="s">
        <v>430</v>
      </c>
      <c r="E703" s="144"/>
      <c r="F703" s="144"/>
      <c r="G703" s="144"/>
      <c r="H703" s="144" t="str">
        <f t="shared" si="13"/>
        <v>#REF!</v>
      </c>
      <c r="I703" s="126"/>
      <c r="J703" s="126" t="str">
        <f t="shared" si="14"/>
        <v>#REF!</v>
      </c>
      <c r="K703" s="23"/>
      <c r="L703" s="23"/>
      <c r="M703" s="23"/>
    </row>
    <row r="704" hidden="1">
      <c r="A704" s="88" t="s">
        <v>309</v>
      </c>
      <c r="B704" s="92" t="s">
        <v>431</v>
      </c>
      <c r="C704" s="93" t="s">
        <v>432</v>
      </c>
      <c r="D704" s="93" t="s">
        <v>433</v>
      </c>
      <c r="E704" s="144"/>
      <c r="F704" s="144"/>
      <c r="G704" s="144"/>
      <c r="H704" s="144" t="str">
        <f t="shared" si="13"/>
        <v>#REF!</v>
      </c>
      <c r="I704" s="126"/>
      <c r="J704" s="126" t="str">
        <f t="shared" si="14"/>
        <v>#REF!</v>
      </c>
      <c r="K704" s="23"/>
      <c r="L704" s="23"/>
      <c r="M704" s="23"/>
    </row>
    <row r="705" hidden="1">
      <c r="A705" s="88" t="s">
        <v>309</v>
      </c>
      <c r="B705" s="92" t="s">
        <v>434</v>
      </c>
      <c r="C705" s="93" t="s">
        <v>435</v>
      </c>
      <c r="D705" s="93" t="s">
        <v>436</v>
      </c>
      <c r="E705" s="144"/>
      <c r="F705" s="144"/>
      <c r="G705" s="144"/>
      <c r="H705" s="144" t="str">
        <f t="shared" si="13"/>
        <v>#REF!</v>
      </c>
      <c r="I705" s="126"/>
      <c r="J705" s="126" t="str">
        <f t="shared" si="14"/>
        <v>#REF!</v>
      </c>
      <c r="K705" s="23"/>
      <c r="L705" s="23"/>
      <c r="M705" s="23"/>
    </row>
    <row r="706" hidden="1">
      <c r="A706" s="88" t="s">
        <v>309</v>
      </c>
      <c r="B706" s="92" t="s">
        <v>437</v>
      </c>
      <c r="C706" s="93" t="s">
        <v>438</v>
      </c>
      <c r="D706" s="93" t="s">
        <v>439</v>
      </c>
      <c r="E706" s="144"/>
      <c r="F706" s="144"/>
      <c r="G706" s="144"/>
      <c r="H706" s="144" t="str">
        <f t="shared" si="13"/>
        <v>#REF!</v>
      </c>
      <c r="I706" s="126"/>
      <c r="J706" s="126" t="str">
        <f t="shared" si="14"/>
        <v>#REF!</v>
      </c>
      <c r="K706" s="23"/>
      <c r="L706" s="23"/>
      <c r="M706" s="23"/>
    </row>
    <row r="707" hidden="1">
      <c r="A707" s="88" t="s">
        <v>309</v>
      </c>
      <c r="B707" s="92" t="s">
        <v>440</v>
      </c>
      <c r="C707" s="93" t="s">
        <v>441</v>
      </c>
      <c r="D707" s="93" t="s">
        <v>442</v>
      </c>
      <c r="E707" s="144"/>
      <c r="F707" s="144"/>
      <c r="G707" s="144"/>
      <c r="H707" s="144" t="str">
        <f t="shared" si="13"/>
        <v>#REF!</v>
      </c>
      <c r="I707" s="126"/>
      <c r="J707" s="126" t="str">
        <f t="shared" si="14"/>
        <v>#REF!</v>
      </c>
      <c r="K707" s="23"/>
      <c r="L707" s="23"/>
      <c r="M707" s="23"/>
    </row>
    <row r="708" hidden="1">
      <c r="A708" s="88" t="s">
        <v>309</v>
      </c>
      <c r="B708" s="95" t="s">
        <v>443</v>
      </c>
      <c r="C708" s="94" t="s">
        <v>444</v>
      </c>
      <c r="D708" s="94" t="s">
        <v>445</v>
      </c>
      <c r="E708" s="144"/>
      <c r="F708" s="144"/>
      <c r="G708" s="144"/>
      <c r="H708" s="144" t="str">
        <f t="shared" si="13"/>
        <v>#REF!</v>
      </c>
      <c r="I708" s="126"/>
      <c r="J708" s="126" t="str">
        <f t="shared" si="14"/>
        <v>#REF!</v>
      </c>
      <c r="K708" s="14"/>
      <c r="L708" s="14"/>
      <c r="M708" s="14"/>
    </row>
    <row r="709" hidden="1">
      <c r="A709" s="88" t="s">
        <v>309</v>
      </c>
      <c r="B709" s="95" t="s">
        <v>446</v>
      </c>
      <c r="C709" s="94" t="s">
        <v>447</v>
      </c>
      <c r="D709" s="94" t="s">
        <v>448</v>
      </c>
      <c r="E709" s="144"/>
      <c r="F709" s="144"/>
      <c r="G709" s="144"/>
      <c r="H709" s="144" t="str">
        <f t="shared" si="13"/>
        <v>#REF!</v>
      </c>
      <c r="I709" s="126"/>
      <c r="J709" s="126" t="str">
        <f t="shared" si="14"/>
        <v>#REF!</v>
      </c>
      <c r="K709" s="14"/>
      <c r="L709" s="14"/>
      <c r="M709" s="14"/>
    </row>
    <row r="710" hidden="1">
      <c r="A710" s="88" t="s">
        <v>309</v>
      </c>
      <c r="B710" s="95" t="s">
        <v>449</v>
      </c>
      <c r="C710" s="94" t="s">
        <v>450</v>
      </c>
      <c r="D710" s="94" t="s">
        <v>451</v>
      </c>
      <c r="E710" s="144"/>
      <c r="F710" s="144"/>
      <c r="G710" s="144"/>
      <c r="H710" s="144" t="str">
        <f t="shared" si="13"/>
        <v>#REF!</v>
      </c>
      <c r="I710" s="126"/>
      <c r="J710" s="126" t="str">
        <f t="shared" si="14"/>
        <v>#REF!</v>
      </c>
      <c r="K710" s="14"/>
      <c r="L710" s="14"/>
      <c r="M710" s="14"/>
    </row>
    <row r="711" hidden="1">
      <c r="A711" s="88" t="s">
        <v>309</v>
      </c>
      <c r="B711" s="95" t="s">
        <v>461</v>
      </c>
      <c r="C711" s="94" t="s">
        <v>462</v>
      </c>
      <c r="D711" s="94" t="s">
        <v>463</v>
      </c>
      <c r="E711" s="144"/>
      <c r="F711" s="144"/>
      <c r="G711" s="144"/>
      <c r="H711" s="144" t="str">
        <f t="shared" si="13"/>
        <v>#REF!</v>
      </c>
      <c r="I711" s="126"/>
      <c r="J711" s="126" t="str">
        <f t="shared" si="14"/>
        <v>#REF!</v>
      </c>
      <c r="K711" s="14"/>
      <c r="L711" s="14"/>
      <c r="M711" s="14"/>
    </row>
    <row r="712" hidden="1">
      <c r="A712" s="88" t="s">
        <v>309</v>
      </c>
      <c r="B712" s="94" t="s">
        <v>464</v>
      </c>
      <c r="C712" s="94" t="s">
        <v>465</v>
      </c>
      <c r="D712" s="94" t="s">
        <v>466</v>
      </c>
      <c r="E712" s="144"/>
      <c r="F712" s="144"/>
      <c r="G712" s="144"/>
      <c r="H712" s="144" t="str">
        <f t="shared" si="13"/>
        <v>#REF!</v>
      </c>
      <c r="I712" s="126"/>
      <c r="J712" s="126" t="str">
        <f t="shared" si="14"/>
        <v>#REF!</v>
      </c>
      <c r="K712" s="14"/>
      <c r="L712" s="14"/>
      <c r="M712" s="14"/>
    </row>
    <row r="713" hidden="1">
      <c r="A713" s="88" t="s">
        <v>309</v>
      </c>
      <c r="B713" s="94" t="s">
        <v>86</v>
      </c>
      <c r="C713" s="94" t="s">
        <v>87</v>
      </c>
      <c r="D713" s="94" t="s">
        <v>88</v>
      </c>
      <c r="E713" s="144"/>
      <c r="F713" s="144"/>
      <c r="G713" s="144"/>
      <c r="H713" s="144" t="str">
        <f t="shared" si="13"/>
        <v>#REF!</v>
      </c>
      <c r="I713" s="126"/>
      <c r="J713" s="126" t="str">
        <f t="shared" si="14"/>
        <v>#REF!</v>
      </c>
      <c r="K713" s="14"/>
      <c r="L713" s="14"/>
      <c r="M713" s="14"/>
    </row>
    <row r="714" hidden="1">
      <c r="A714" s="88" t="s">
        <v>309</v>
      </c>
      <c r="B714" s="94" t="s">
        <v>62</v>
      </c>
      <c r="C714" s="94" t="s">
        <v>63</v>
      </c>
      <c r="D714" s="94" t="s">
        <v>64</v>
      </c>
      <c r="E714" s="144"/>
      <c r="F714" s="144"/>
      <c r="G714" s="144"/>
      <c r="H714" s="144" t="str">
        <f t="shared" si="13"/>
        <v>#REF!</v>
      </c>
      <c r="I714" s="126"/>
      <c r="J714" s="126" t="str">
        <f t="shared" si="14"/>
        <v>#REF!</v>
      </c>
      <c r="K714" s="14"/>
      <c r="L714" s="14"/>
      <c r="M714" s="14"/>
    </row>
    <row r="715" hidden="1">
      <c r="A715" s="88" t="s">
        <v>309</v>
      </c>
      <c r="B715" s="94" t="s">
        <v>89</v>
      </c>
      <c r="C715" s="94" t="s">
        <v>90</v>
      </c>
      <c r="D715" s="94" t="s">
        <v>91</v>
      </c>
      <c r="E715" s="144"/>
      <c r="F715" s="144"/>
      <c r="G715" s="144"/>
      <c r="H715" s="144" t="str">
        <f t="shared" si="13"/>
        <v>#REF!</v>
      </c>
      <c r="I715" s="126"/>
      <c r="J715" s="126" t="str">
        <f t="shared" si="14"/>
        <v>#REF!</v>
      </c>
      <c r="K715" s="14"/>
      <c r="L715" s="14"/>
      <c r="M715" s="14"/>
    </row>
    <row r="716" hidden="1">
      <c r="A716" s="88" t="s">
        <v>309</v>
      </c>
      <c r="B716" s="94" t="s">
        <v>251</v>
      </c>
      <c r="C716" s="94" t="s">
        <v>252</v>
      </c>
      <c r="D716" s="94" t="s">
        <v>253</v>
      </c>
      <c r="E716" s="144"/>
      <c r="F716" s="144"/>
      <c r="G716" s="144"/>
      <c r="H716" s="144" t="str">
        <f t="shared" si="13"/>
        <v>#REF!</v>
      </c>
      <c r="I716" s="126"/>
      <c r="J716" s="126" t="str">
        <f t="shared" si="14"/>
        <v>#REF!</v>
      </c>
      <c r="K716" s="14"/>
      <c r="L716" s="14"/>
      <c r="M716" s="14"/>
    </row>
    <row r="717" hidden="1">
      <c r="A717" s="88" t="s">
        <v>309</v>
      </c>
      <c r="B717" s="94" t="s">
        <v>59</v>
      </c>
      <c r="C717" s="94" t="s">
        <v>60</v>
      </c>
      <c r="D717" s="94" t="s">
        <v>61</v>
      </c>
      <c r="E717" s="144"/>
      <c r="F717" s="144"/>
      <c r="G717" s="144"/>
      <c r="H717" s="144" t="str">
        <f t="shared" si="13"/>
        <v>#REF!</v>
      </c>
      <c r="I717" s="126"/>
      <c r="J717" s="126" t="str">
        <f t="shared" si="14"/>
        <v>#REF!</v>
      </c>
      <c r="K717" s="14"/>
      <c r="L717" s="14"/>
      <c r="M717" s="14"/>
    </row>
    <row r="718" hidden="1">
      <c r="A718" s="88" t="s">
        <v>309</v>
      </c>
      <c r="B718" s="94" t="s">
        <v>467</v>
      </c>
      <c r="C718" s="94" t="s">
        <v>468</v>
      </c>
      <c r="D718" s="94" t="s">
        <v>469</v>
      </c>
      <c r="E718" s="144"/>
      <c r="F718" s="144"/>
      <c r="G718" s="144"/>
      <c r="H718" s="144" t="str">
        <f t="shared" si="13"/>
        <v>#REF!</v>
      </c>
      <c r="I718" s="126"/>
      <c r="J718" s="126" t="str">
        <f t="shared" si="14"/>
        <v>#REF!</v>
      </c>
      <c r="K718" s="14"/>
      <c r="L718" s="14"/>
      <c r="M718" s="14"/>
    </row>
    <row r="719" hidden="1">
      <c r="A719" s="88" t="s">
        <v>309</v>
      </c>
      <c r="B719" s="94" t="s">
        <v>452</v>
      </c>
      <c r="C719" s="94" t="s">
        <v>453</v>
      </c>
      <c r="D719" s="94" t="s">
        <v>454</v>
      </c>
      <c r="E719" s="144"/>
      <c r="F719" s="144"/>
      <c r="G719" s="144"/>
      <c r="H719" s="144" t="str">
        <f t="shared" si="13"/>
        <v>#REF!</v>
      </c>
      <c r="I719" s="126"/>
      <c r="J719" s="126" t="str">
        <f t="shared" si="14"/>
        <v>#REF!</v>
      </c>
      <c r="K719" s="14"/>
      <c r="L719" s="14"/>
      <c r="M719" s="14"/>
    </row>
    <row r="720" hidden="1">
      <c r="A720" s="88" t="s">
        <v>309</v>
      </c>
      <c r="B720" s="94" t="s">
        <v>455</v>
      </c>
      <c r="C720" s="94" t="s">
        <v>456</v>
      </c>
      <c r="D720" s="94" t="s">
        <v>457</v>
      </c>
      <c r="E720" s="144"/>
      <c r="F720" s="144"/>
      <c r="G720" s="144"/>
      <c r="H720" s="144" t="str">
        <f t="shared" si="13"/>
        <v>#REF!</v>
      </c>
      <c r="I720" s="126"/>
      <c r="J720" s="126" t="str">
        <f t="shared" si="14"/>
        <v>#REF!</v>
      </c>
      <c r="K720" s="14"/>
      <c r="L720" s="14"/>
      <c r="M720" s="14"/>
    </row>
    <row r="721" hidden="1">
      <c r="A721" s="88" t="s">
        <v>309</v>
      </c>
      <c r="B721" s="94" t="s">
        <v>458</v>
      </c>
      <c r="C721" s="94" t="s">
        <v>459</v>
      </c>
      <c r="D721" s="94" t="s">
        <v>460</v>
      </c>
      <c r="E721" s="144"/>
      <c r="F721" s="144"/>
      <c r="G721" s="144"/>
      <c r="H721" s="144" t="str">
        <f t="shared" si="13"/>
        <v>#REF!</v>
      </c>
      <c r="I721" s="126"/>
      <c r="J721" s="126" t="str">
        <f t="shared" si="14"/>
        <v>#REF!</v>
      </c>
      <c r="K721" s="14"/>
      <c r="L721" s="14"/>
      <c r="M721" s="14"/>
    </row>
    <row r="722" hidden="1">
      <c r="A722" s="88" t="s">
        <v>309</v>
      </c>
      <c r="B722" s="94" t="s">
        <v>65</v>
      </c>
      <c r="C722" s="94" t="s">
        <v>470</v>
      </c>
      <c r="D722" s="94" t="s">
        <v>67</v>
      </c>
      <c r="E722" s="144"/>
      <c r="F722" s="144"/>
      <c r="G722" s="144"/>
      <c r="H722" s="144" t="str">
        <f t="shared" si="13"/>
        <v>#REF!</v>
      </c>
      <c r="I722" s="126"/>
      <c r="J722" s="126" t="str">
        <f t="shared" si="14"/>
        <v>#REF!</v>
      </c>
      <c r="K722" s="14"/>
      <c r="L722" s="14"/>
      <c r="M722" s="14"/>
    </row>
    <row r="723" hidden="1">
      <c r="A723" s="88" t="s">
        <v>310</v>
      </c>
      <c r="B723" s="92" t="s">
        <v>422</v>
      </c>
      <c r="C723" s="96" t="s">
        <v>423</v>
      </c>
      <c r="D723" s="93" t="s">
        <v>424</v>
      </c>
      <c r="E723" s="144"/>
      <c r="F723" s="144"/>
      <c r="G723" s="144"/>
      <c r="H723" s="144" t="str">
        <f t="shared" si="13"/>
        <v>#REF!</v>
      </c>
      <c r="I723" s="143"/>
      <c r="J723" s="143" t="s">
        <v>471</v>
      </c>
      <c r="K723" s="23"/>
      <c r="L723" s="23"/>
      <c r="M723" s="23"/>
    </row>
    <row r="724" hidden="1">
      <c r="A724" s="88" t="s">
        <v>310</v>
      </c>
      <c r="B724" s="92" t="s">
        <v>425</v>
      </c>
      <c r="C724" s="96" t="s">
        <v>426</v>
      </c>
      <c r="D724" s="93" t="s">
        <v>427</v>
      </c>
      <c r="E724" s="144"/>
      <c r="F724" s="144"/>
      <c r="G724" s="144"/>
      <c r="H724" s="144" t="str">
        <f t="shared" si="13"/>
        <v>#REF!</v>
      </c>
      <c r="I724" s="143"/>
      <c r="J724" s="143" t="s">
        <v>472</v>
      </c>
      <c r="K724" s="23"/>
      <c r="L724" s="23"/>
      <c r="M724" s="23"/>
    </row>
    <row r="725" hidden="1">
      <c r="A725" s="88" t="s">
        <v>310</v>
      </c>
      <c r="B725" s="92" t="s">
        <v>428</v>
      </c>
      <c r="C725" s="96" t="s">
        <v>429</v>
      </c>
      <c r="D725" s="93" t="s">
        <v>430</v>
      </c>
      <c r="E725" s="144"/>
      <c r="F725" s="144"/>
      <c r="G725" s="144"/>
      <c r="H725" s="144" t="str">
        <f t="shared" si="13"/>
        <v>#REF!</v>
      </c>
      <c r="I725" s="143"/>
      <c r="J725" s="143" t="s">
        <v>473</v>
      </c>
      <c r="K725" s="23"/>
      <c r="L725" s="23"/>
      <c r="M725" s="23"/>
    </row>
    <row r="726" hidden="1">
      <c r="A726" s="88" t="s">
        <v>310</v>
      </c>
      <c r="B726" s="92" t="s">
        <v>431</v>
      </c>
      <c r="C726" s="96" t="s">
        <v>432</v>
      </c>
      <c r="D726" s="93" t="s">
        <v>433</v>
      </c>
      <c r="E726" s="144"/>
      <c r="F726" s="144"/>
      <c r="G726" s="144"/>
      <c r="H726" s="144" t="str">
        <f t="shared" si="13"/>
        <v>#REF!</v>
      </c>
      <c r="I726" s="143"/>
      <c r="J726" s="143" t="s">
        <v>474</v>
      </c>
      <c r="K726" s="23"/>
      <c r="L726" s="23"/>
      <c r="M726" s="23"/>
    </row>
    <row r="727" hidden="1">
      <c r="A727" s="88" t="s">
        <v>310</v>
      </c>
      <c r="B727" s="92" t="s">
        <v>434</v>
      </c>
      <c r="C727" s="96" t="s">
        <v>435</v>
      </c>
      <c r="D727" s="93" t="s">
        <v>436</v>
      </c>
      <c r="E727" s="144"/>
      <c r="F727" s="144"/>
      <c r="G727" s="144"/>
      <c r="H727" s="144" t="str">
        <f t="shared" si="13"/>
        <v>#REF!</v>
      </c>
      <c r="I727" s="143"/>
      <c r="J727" s="143" t="s">
        <v>474</v>
      </c>
      <c r="K727" s="23"/>
      <c r="L727" s="23"/>
      <c r="M727" s="23"/>
    </row>
    <row r="728" hidden="1">
      <c r="A728" s="88" t="s">
        <v>310</v>
      </c>
      <c r="B728" s="92" t="s">
        <v>437</v>
      </c>
      <c r="C728" s="96" t="s">
        <v>438</v>
      </c>
      <c r="D728" s="93" t="s">
        <v>439</v>
      </c>
      <c r="E728" s="144"/>
      <c r="F728" s="144"/>
      <c r="G728" s="144"/>
      <c r="H728" s="144" t="str">
        <f t="shared" si="13"/>
        <v>#REF!</v>
      </c>
      <c r="I728" s="143"/>
      <c r="J728" s="143" t="s">
        <v>474</v>
      </c>
      <c r="K728" s="23"/>
      <c r="L728" s="23"/>
      <c r="M728" s="23"/>
    </row>
    <row r="729" hidden="1">
      <c r="A729" s="88" t="s">
        <v>310</v>
      </c>
      <c r="B729" s="92" t="s">
        <v>440</v>
      </c>
      <c r="C729" s="96" t="s">
        <v>441</v>
      </c>
      <c r="D729" s="93" t="s">
        <v>442</v>
      </c>
      <c r="E729" s="144"/>
      <c r="F729" s="144"/>
      <c r="G729" s="144"/>
      <c r="H729" s="144" t="str">
        <f t="shared" si="13"/>
        <v>#REF!</v>
      </c>
      <c r="I729" s="143"/>
      <c r="J729" s="143" t="s">
        <v>474</v>
      </c>
      <c r="K729" s="23"/>
      <c r="L729" s="23"/>
      <c r="M729" s="23"/>
    </row>
    <row r="730" hidden="1">
      <c r="A730" s="88" t="s">
        <v>310</v>
      </c>
      <c r="B730" s="95" t="s">
        <v>443</v>
      </c>
      <c r="C730" s="95" t="s">
        <v>444</v>
      </c>
      <c r="D730" s="94" t="s">
        <v>445</v>
      </c>
      <c r="E730" s="144"/>
      <c r="F730" s="144"/>
      <c r="G730" s="144"/>
      <c r="H730" s="144" t="str">
        <f t="shared" si="13"/>
        <v>#REF!</v>
      </c>
      <c r="I730" s="143"/>
      <c r="J730" s="143" t="s">
        <v>475</v>
      </c>
      <c r="K730" s="14"/>
      <c r="L730" s="14"/>
      <c r="M730" s="14"/>
    </row>
    <row r="731" hidden="1">
      <c r="A731" s="88" t="s">
        <v>310</v>
      </c>
      <c r="B731" s="95" t="s">
        <v>446</v>
      </c>
      <c r="C731" s="95" t="s">
        <v>447</v>
      </c>
      <c r="D731" s="94" t="s">
        <v>448</v>
      </c>
      <c r="E731" s="144"/>
      <c r="F731" s="144"/>
      <c r="G731" s="144"/>
      <c r="H731" s="144" t="str">
        <f t="shared" si="13"/>
        <v>#REF!</v>
      </c>
      <c r="I731" s="143"/>
      <c r="J731" s="143" t="s">
        <v>476</v>
      </c>
      <c r="K731" s="14"/>
      <c r="L731" s="14"/>
      <c r="M731" s="14"/>
    </row>
    <row r="732" hidden="1">
      <c r="A732" s="88" t="s">
        <v>310</v>
      </c>
      <c r="B732" s="95" t="s">
        <v>449</v>
      </c>
      <c r="C732" s="95" t="s">
        <v>450</v>
      </c>
      <c r="D732" s="94" t="s">
        <v>451</v>
      </c>
      <c r="E732" s="144"/>
      <c r="F732" s="144"/>
      <c r="G732" s="144"/>
      <c r="H732" s="144" t="str">
        <f t="shared" si="13"/>
        <v>#REF!</v>
      </c>
      <c r="I732" s="143"/>
      <c r="J732" s="143" t="s">
        <v>477</v>
      </c>
      <c r="K732" s="14"/>
      <c r="L732" s="14"/>
      <c r="M732" s="14"/>
    </row>
    <row r="733" hidden="1">
      <c r="A733" s="88" t="s">
        <v>310</v>
      </c>
      <c r="B733" s="95" t="s">
        <v>461</v>
      </c>
      <c r="C733" s="95" t="s">
        <v>462</v>
      </c>
      <c r="D733" s="94" t="s">
        <v>463</v>
      </c>
      <c r="E733" s="144"/>
      <c r="F733" s="144"/>
      <c r="G733" s="144"/>
      <c r="H733" s="144" t="str">
        <f t="shared" si="13"/>
        <v>#REF!</v>
      </c>
      <c r="I733" s="143"/>
      <c r="J733" s="143" t="s">
        <v>478</v>
      </c>
      <c r="K733" s="14"/>
      <c r="L733" s="14"/>
      <c r="M733" s="14"/>
    </row>
    <row r="734" hidden="1">
      <c r="A734" s="88" t="s">
        <v>310</v>
      </c>
      <c r="B734" s="95" t="s">
        <v>464</v>
      </c>
      <c r="C734" s="95" t="s">
        <v>465</v>
      </c>
      <c r="D734" s="95" t="s">
        <v>466</v>
      </c>
      <c r="E734" s="144"/>
      <c r="F734" s="144"/>
      <c r="G734" s="144"/>
      <c r="H734" s="144" t="str">
        <f t="shared" si="13"/>
        <v>#REF!</v>
      </c>
      <c r="I734" s="143"/>
      <c r="J734" s="143" t="s">
        <v>479</v>
      </c>
      <c r="K734" s="14"/>
      <c r="L734" s="14"/>
      <c r="M734" s="14"/>
    </row>
    <row r="735" hidden="1">
      <c r="A735" s="88" t="s">
        <v>310</v>
      </c>
      <c r="B735" s="94" t="s">
        <v>86</v>
      </c>
      <c r="C735" s="95" t="s">
        <v>87</v>
      </c>
      <c r="D735" s="94" t="s">
        <v>88</v>
      </c>
      <c r="E735" s="144"/>
      <c r="F735" s="144"/>
      <c r="G735" s="144"/>
      <c r="H735" s="144" t="str">
        <f t="shared" si="13"/>
        <v>#REF!</v>
      </c>
      <c r="I735" s="143"/>
      <c r="J735" s="143" t="s">
        <v>480</v>
      </c>
      <c r="K735" s="14"/>
      <c r="L735" s="14"/>
      <c r="M735" s="14"/>
    </row>
    <row r="736" hidden="1">
      <c r="A736" s="88" t="s">
        <v>310</v>
      </c>
      <c r="B736" s="95" t="s">
        <v>62</v>
      </c>
      <c r="C736" s="95" t="s">
        <v>63</v>
      </c>
      <c r="D736" s="94" t="s">
        <v>64</v>
      </c>
      <c r="E736" s="144"/>
      <c r="F736" s="144"/>
      <c r="G736" s="144"/>
      <c r="H736" s="144" t="str">
        <f t="shared" si="13"/>
        <v>#REF!</v>
      </c>
      <c r="I736" s="143"/>
      <c r="J736" s="143" t="s">
        <v>481</v>
      </c>
      <c r="K736" s="14"/>
      <c r="L736" s="14"/>
      <c r="M736" s="14"/>
    </row>
    <row r="737" hidden="1">
      <c r="A737" s="88" t="s">
        <v>310</v>
      </c>
      <c r="B737" s="94" t="s">
        <v>89</v>
      </c>
      <c r="C737" s="95" t="s">
        <v>90</v>
      </c>
      <c r="D737" s="94" t="s">
        <v>91</v>
      </c>
      <c r="E737" s="144"/>
      <c r="F737" s="144"/>
      <c r="G737" s="144"/>
      <c r="H737" s="144" t="str">
        <f t="shared" si="13"/>
        <v>#REF!</v>
      </c>
      <c r="I737" s="143"/>
      <c r="J737" s="143" t="s">
        <v>482</v>
      </c>
      <c r="K737" s="14"/>
      <c r="L737" s="14"/>
      <c r="M737" s="14"/>
    </row>
    <row r="738" hidden="1">
      <c r="A738" s="88" t="s">
        <v>310</v>
      </c>
      <c r="B738" s="94" t="s">
        <v>251</v>
      </c>
      <c r="C738" s="95" t="s">
        <v>252</v>
      </c>
      <c r="D738" s="94" t="s">
        <v>253</v>
      </c>
      <c r="E738" s="144"/>
      <c r="F738" s="144"/>
      <c r="G738" s="144"/>
      <c r="H738" s="144" t="str">
        <f t="shared" si="13"/>
        <v>#REF!</v>
      </c>
      <c r="I738" s="143"/>
      <c r="J738" s="143" t="s">
        <v>483</v>
      </c>
      <c r="K738" s="14"/>
      <c r="L738" s="14"/>
      <c r="M738" s="14"/>
    </row>
    <row r="739" hidden="1">
      <c r="A739" s="88" t="s">
        <v>310</v>
      </c>
      <c r="B739" s="94" t="s">
        <v>59</v>
      </c>
      <c r="C739" s="95" t="s">
        <v>60</v>
      </c>
      <c r="D739" s="94" t="s">
        <v>61</v>
      </c>
      <c r="E739" s="144"/>
      <c r="F739" s="144"/>
      <c r="G739" s="144"/>
      <c r="H739" s="144" t="str">
        <f t="shared" si="13"/>
        <v>#REF!</v>
      </c>
      <c r="I739" s="143"/>
      <c r="J739" s="143" t="s">
        <v>484</v>
      </c>
      <c r="K739" s="14"/>
      <c r="L739" s="14"/>
      <c r="M739" s="14"/>
    </row>
    <row r="740" hidden="1">
      <c r="A740" s="88" t="s">
        <v>310</v>
      </c>
      <c r="B740" s="94" t="s">
        <v>467</v>
      </c>
      <c r="C740" s="95" t="s">
        <v>468</v>
      </c>
      <c r="D740" s="94" t="s">
        <v>469</v>
      </c>
      <c r="E740" s="144"/>
      <c r="F740" s="144"/>
      <c r="G740" s="144"/>
      <c r="H740" s="144" t="str">
        <f t="shared" si="13"/>
        <v>#REF!</v>
      </c>
      <c r="I740" s="143"/>
      <c r="J740" s="143" t="s">
        <v>485</v>
      </c>
      <c r="K740" s="14"/>
      <c r="L740" s="14"/>
      <c r="M740" s="14"/>
    </row>
    <row r="741" hidden="1">
      <c r="A741" s="88" t="s">
        <v>310</v>
      </c>
      <c r="B741" s="94" t="s">
        <v>452</v>
      </c>
      <c r="C741" s="95" t="s">
        <v>453</v>
      </c>
      <c r="D741" s="94" t="s">
        <v>454</v>
      </c>
      <c r="E741" s="144"/>
      <c r="F741" s="144"/>
      <c r="G741" s="144"/>
      <c r="H741" s="144" t="str">
        <f t="shared" si="13"/>
        <v>#REF!</v>
      </c>
      <c r="I741" s="143"/>
      <c r="J741" s="143" t="s">
        <v>486</v>
      </c>
      <c r="K741" s="14"/>
      <c r="L741" s="14"/>
      <c r="M741" s="14"/>
    </row>
    <row r="742" hidden="1">
      <c r="A742" s="88" t="s">
        <v>310</v>
      </c>
      <c r="B742" s="94" t="s">
        <v>455</v>
      </c>
      <c r="C742" s="95" t="s">
        <v>456</v>
      </c>
      <c r="D742" s="94" t="s">
        <v>457</v>
      </c>
      <c r="E742" s="144"/>
      <c r="F742" s="144"/>
      <c r="G742" s="144"/>
      <c r="H742" s="144" t="str">
        <f t="shared" si="13"/>
        <v>#REF!</v>
      </c>
      <c r="I742" s="143"/>
      <c r="J742" s="143" t="s">
        <v>487</v>
      </c>
    </row>
    <row r="743" hidden="1">
      <c r="A743" s="88" t="s">
        <v>310</v>
      </c>
      <c r="B743" s="94" t="s">
        <v>458</v>
      </c>
      <c r="C743" s="95" t="s">
        <v>459</v>
      </c>
      <c r="D743" s="94" t="s">
        <v>460</v>
      </c>
      <c r="E743" s="144"/>
      <c r="F743" s="144"/>
      <c r="G743" s="144"/>
      <c r="H743" s="144" t="str">
        <f t="shared" si="13"/>
        <v>#REF!</v>
      </c>
      <c r="I743" s="143"/>
      <c r="J743" s="143" t="s">
        <v>488</v>
      </c>
    </row>
    <row r="744" hidden="1">
      <c r="A744" s="88" t="s">
        <v>310</v>
      </c>
      <c r="B744" s="94" t="s">
        <v>65</v>
      </c>
      <c r="C744" s="95" t="s">
        <v>470</v>
      </c>
      <c r="D744" s="94" t="s">
        <v>67</v>
      </c>
      <c r="E744" s="144"/>
      <c r="F744" s="144"/>
      <c r="G744" s="144"/>
      <c r="H744" s="144" t="str">
        <f t="shared" si="13"/>
        <v>#REF!</v>
      </c>
      <c r="I744" s="143"/>
      <c r="J744" s="143" t="s">
        <v>489</v>
      </c>
    </row>
    <row r="745" hidden="1">
      <c r="A745" s="88" t="s">
        <v>332</v>
      </c>
      <c r="B745" s="92" t="s">
        <v>422</v>
      </c>
      <c r="C745" s="93"/>
      <c r="D745" s="93" t="s">
        <v>424</v>
      </c>
      <c r="E745" s="144"/>
      <c r="F745" s="144"/>
      <c r="G745" s="144"/>
      <c r="H745" s="144" t="str">
        <f t="shared" si="13"/>
        <v>#REF!</v>
      </c>
      <c r="I745" s="144"/>
      <c r="J745" s="144"/>
      <c r="K745" s="23"/>
      <c r="L745" s="23"/>
      <c r="M745" s="23"/>
    </row>
    <row r="746" hidden="1">
      <c r="A746" s="88" t="s">
        <v>332</v>
      </c>
      <c r="B746" s="92" t="s">
        <v>425</v>
      </c>
      <c r="C746" s="93"/>
      <c r="D746" s="93" t="s">
        <v>427</v>
      </c>
      <c r="E746" s="144"/>
      <c r="F746" s="144"/>
      <c r="G746" s="144"/>
      <c r="H746" s="144" t="str">
        <f t="shared" si="13"/>
        <v>#REF!</v>
      </c>
      <c r="I746" s="144"/>
      <c r="J746" s="144"/>
      <c r="K746" s="23"/>
      <c r="L746" s="23"/>
      <c r="M746" s="23"/>
    </row>
    <row r="747" hidden="1">
      <c r="A747" s="88" t="s">
        <v>332</v>
      </c>
      <c r="B747" s="92" t="s">
        <v>428</v>
      </c>
      <c r="C747" s="93"/>
      <c r="D747" s="93" t="s">
        <v>430</v>
      </c>
      <c r="E747" s="144"/>
      <c r="F747" s="144"/>
      <c r="G747" s="144"/>
      <c r="H747" s="144" t="str">
        <f t="shared" si="13"/>
        <v>#REF!</v>
      </c>
      <c r="I747" s="144"/>
      <c r="J747" s="144"/>
      <c r="K747" s="23"/>
      <c r="L747" s="23"/>
      <c r="M747" s="23"/>
    </row>
    <row r="748" hidden="1">
      <c r="A748" s="88" t="s">
        <v>332</v>
      </c>
      <c r="B748" s="92" t="s">
        <v>431</v>
      </c>
      <c r="C748" s="93"/>
      <c r="D748" s="93" t="s">
        <v>433</v>
      </c>
      <c r="E748" s="144"/>
      <c r="F748" s="144"/>
      <c r="G748" s="144"/>
      <c r="H748" s="144" t="str">
        <f t="shared" si="13"/>
        <v>#REF!</v>
      </c>
      <c r="I748" s="144"/>
      <c r="J748" s="144"/>
      <c r="K748" s="23"/>
      <c r="L748" s="23"/>
      <c r="M748" s="23"/>
    </row>
    <row r="749" hidden="1">
      <c r="A749" s="88" t="s">
        <v>332</v>
      </c>
      <c r="B749" s="92" t="s">
        <v>434</v>
      </c>
      <c r="C749" s="93"/>
      <c r="D749" s="93" t="s">
        <v>436</v>
      </c>
      <c r="E749" s="144"/>
      <c r="F749" s="144"/>
      <c r="G749" s="144"/>
      <c r="H749" s="144" t="str">
        <f t="shared" si="13"/>
        <v>#REF!</v>
      </c>
      <c r="I749" s="144"/>
      <c r="J749" s="144"/>
      <c r="K749" s="23"/>
      <c r="L749" s="23"/>
      <c r="M749" s="23"/>
    </row>
    <row r="750" hidden="1">
      <c r="A750" s="88" t="s">
        <v>332</v>
      </c>
      <c r="B750" s="92" t="s">
        <v>437</v>
      </c>
      <c r="C750" s="93"/>
      <c r="D750" s="93" t="s">
        <v>439</v>
      </c>
      <c r="E750" s="144"/>
      <c r="F750" s="144"/>
      <c r="G750" s="144"/>
      <c r="H750" s="144" t="str">
        <f t="shared" si="13"/>
        <v>#REF!</v>
      </c>
      <c r="I750" s="144"/>
      <c r="J750" s="144"/>
      <c r="K750" s="23"/>
      <c r="L750" s="23"/>
      <c r="M750" s="23"/>
    </row>
    <row r="751" hidden="1">
      <c r="A751" s="88" t="s">
        <v>332</v>
      </c>
      <c r="B751" s="92" t="s">
        <v>440</v>
      </c>
      <c r="C751" s="93"/>
      <c r="D751" s="93" t="s">
        <v>442</v>
      </c>
      <c r="E751" s="144"/>
      <c r="F751" s="144"/>
      <c r="G751" s="144"/>
      <c r="H751" s="144" t="str">
        <f t="shared" si="13"/>
        <v>#REF!</v>
      </c>
      <c r="I751" s="144"/>
      <c r="J751" s="144"/>
      <c r="K751" s="23"/>
      <c r="L751" s="23"/>
      <c r="M751" s="23"/>
    </row>
    <row r="752" hidden="1">
      <c r="A752" s="88" t="s">
        <v>332</v>
      </c>
      <c r="B752" s="95" t="s">
        <v>443</v>
      </c>
      <c r="C752" s="94"/>
      <c r="D752" s="94" t="s">
        <v>445</v>
      </c>
      <c r="E752" s="144"/>
      <c r="F752" s="144"/>
      <c r="G752" s="144"/>
      <c r="H752" s="144" t="str">
        <f t="shared" si="13"/>
        <v>#REF!</v>
      </c>
      <c r="I752" s="144"/>
      <c r="J752" s="144"/>
      <c r="K752" s="14"/>
      <c r="L752" s="14"/>
      <c r="M752" s="14"/>
    </row>
    <row r="753" hidden="1">
      <c r="A753" s="88" t="s">
        <v>332</v>
      </c>
      <c r="B753" s="95" t="s">
        <v>446</v>
      </c>
      <c r="C753" s="94"/>
      <c r="D753" s="94" t="s">
        <v>448</v>
      </c>
      <c r="E753" s="144"/>
      <c r="F753" s="144"/>
      <c r="G753" s="144"/>
      <c r="H753" s="144" t="str">
        <f t="shared" si="13"/>
        <v>#REF!</v>
      </c>
      <c r="I753" s="144"/>
      <c r="J753" s="144"/>
      <c r="K753" s="14"/>
      <c r="L753" s="14"/>
      <c r="M753" s="14"/>
    </row>
    <row r="754" hidden="1">
      <c r="A754" s="88" t="s">
        <v>332</v>
      </c>
      <c r="B754" s="95" t="s">
        <v>449</v>
      </c>
      <c r="C754" s="94"/>
      <c r="D754" s="94" t="s">
        <v>451</v>
      </c>
      <c r="E754" s="144"/>
      <c r="F754" s="144"/>
      <c r="G754" s="144"/>
      <c r="H754" s="144" t="str">
        <f t="shared" si="13"/>
        <v>#REF!</v>
      </c>
      <c r="I754" s="144"/>
      <c r="J754" s="144"/>
      <c r="K754" s="14"/>
      <c r="L754" s="14"/>
      <c r="M754" s="14"/>
    </row>
    <row r="755" hidden="1">
      <c r="A755" s="88" t="s">
        <v>332</v>
      </c>
      <c r="B755" s="95" t="s">
        <v>461</v>
      </c>
      <c r="C755" s="94"/>
      <c r="D755" s="94" t="s">
        <v>463</v>
      </c>
      <c r="E755" s="144"/>
      <c r="F755" s="144"/>
      <c r="G755" s="144"/>
      <c r="H755" s="144" t="str">
        <f t="shared" si="13"/>
        <v>#REF!</v>
      </c>
      <c r="I755" s="144"/>
      <c r="J755" s="144"/>
      <c r="K755" s="14"/>
      <c r="L755" s="14"/>
      <c r="M755" s="14"/>
    </row>
    <row r="756" hidden="1">
      <c r="A756" s="88" t="s">
        <v>336</v>
      </c>
      <c r="B756" s="92" t="s">
        <v>422</v>
      </c>
      <c r="C756" s="93"/>
      <c r="D756" s="93" t="s">
        <v>424</v>
      </c>
      <c r="E756" s="144"/>
      <c r="F756" s="144"/>
      <c r="G756" s="144"/>
      <c r="H756" s="144" t="str">
        <f t="shared" si="13"/>
        <v>#REF!</v>
      </c>
      <c r="I756" s="144"/>
      <c r="J756" s="144"/>
      <c r="K756" s="23"/>
      <c r="L756" s="23"/>
      <c r="M756" s="23"/>
    </row>
    <row r="757" hidden="1">
      <c r="A757" s="88" t="s">
        <v>336</v>
      </c>
      <c r="B757" s="92" t="s">
        <v>425</v>
      </c>
      <c r="C757" s="93"/>
      <c r="D757" s="93" t="s">
        <v>427</v>
      </c>
      <c r="E757" s="144"/>
      <c r="F757" s="144"/>
      <c r="G757" s="144"/>
      <c r="H757" s="144" t="str">
        <f t="shared" si="13"/>
        <v>#REF!</v>
      </c>
      <c r="I757" s="144"/>
      <c r="J757" s="144"/>
      <c r="K757" s="23"/>
      <c r="L757" s="23"/>
      <c r="M757" s="23"/>
    </row>
    <row r="758" hidden="1">
      <c r="A758" s="88" t="s">
        <v>336</v>
      </c>
      <c r="B758" s="92" t="s">
        <v>428</v>
      </c>
      <c r="C758" s="93"/>
      <c r="D758" s="93" t="s">
        <v>430</v>
      </c>
      <c r="E758" s="144"/>
      <c r="F758" s="144"/>
      <c r="G758" s="144"/>
      <c r="H758" s="144" t="str">
        <f t="shared" si="13"/>
        <v>#REF!</v>
      </c>
      <c r="I758" s="144"/>
      <c r="J758" s="144"/>
      <c r="K758" s="23"/>
      <c r="L758" s="23"/>
      <c r="M758" s="23"/>
    </row>
    <row r="759" hidden="1">
      <c r="A759" s="88" t="s">
        <v>336</v>
      </c>
      <c r="B759" s="92" t="s">
        <v>431</v>
      </c>
      <c r="C759" s="93"/>
      <c r="D759" s="93" t="s">
        <v>433</v>
      </c>
      <c r="E759" s="144"/>
      <c r="F759" s="144"/>
      <c r="G759" s="144"/>
      <c r="H759" s="144" t="str">
        <f t="shared" si="13"/>
        <v>#REF!</v>
      </c>
      <c r="I759" s="144"/>
      <c r="J759" s="144"/>
      <c r="K759" s="23"/>
      <c r="L759" s="23"/>
      <c r="M759" s="23"/>
    </row>
    <row r="760" hidden="1">
      <c r="A760" s="88" t="s">
        <v>336</v>
      </c>
      <c r="B760" s="92" t="s">
        <v>434</v>
      </c>
      <c r="C760" s="93"/>
      <c r="D760" s="93" t="s">
        <v>436</v>
      </c>
      <c r="E760" s="144"/>
      <c r="F760" s="144"/>
      <c r="G760" s="144"/>
      <c r="H760" s="144" t="str">
        <f t="shared" si="13"/>
        <v>#REF!</v>
      </c>
      <c r="I760" s="144"/>
      <c r="J760" s="144"/>
      <c r="K760" s="23"/>
      <c r="L760" s="23"/>
      <c r="M760" s="23"/>
    </row>
    <row r="761" hidden="1">
      <c r="A761" s="88" t="s">
        <v>336</v>
      </c>
      <c r="B761" s="92" t="s">
        <v>437</v>
      </c>
      <c r="C761" s="93"/>
      <c r="D761" s="93" t="s">
        <v>439</v>
      </c>
      <c r="E761" s="144"/>
      <c r="F761" s="144"/>
      <c r="G761" s="144"/>
      <c r="H761" s="144" t="str">
        <f t="shared" si="13"/>
        <v>#REF!</v>
      </c>
      <c r="I761" s="144"/>
      <c r="J761" s="144"/>
      <c r="K761" s="23"/>
      <c r="L761" s="23"/>
      <c r="M761" s="23"/>
    </row>
    <row r="762" hidden="1">
      <c r="A762" s="88" t="s">
        <v>336</v>
      </c>
      <c r="B762" s="92" t="s">
        <v>440</v>
      </c>
      <c r="C762" s="93"/>
      <c r="D762" s="93" t="s">
        <v>442</v>
      </c>
      <c r="E762" s="144"/>
      <c r="F762" s="144"/>
      <c r="G762" s="144"/>
      <c r="H762" s="144" t="str">
        <f t="shared" si="13"/>
        <v>#REF!</v>
      </c>
      <c r="I762" s="144"/>
      <c r="J762" s="144"/>
      <c r="K762" s="23"/>
      <c r="L762" s="23"/>
      <c r="M762" s="23"/>
    </row>
    <row r="763" hidden="1">
      <c r="A763" s="88" t="s">
        <v>336</v>
      </c>
      <c r="B763" s="95" t="s">
        <v>443</v>
      </c>
      <c r="C763" s="94"/>
      <c r="D763" s="94" t="s">
        <v>445</v>
      </c>
      <c r="E763" s="144"/>
      <c r="F763" s="144"/>
      <c r="G763" s="144"/>
      <c r="H763" s="144" t="str">
        <f t="shared" si="13"/>
        <v>#REF!</v>
      </c>
      <c r="I763" s="144"/>
      <c r="J763" s="144"/>
      <c r="K763" s="14"/>
      <c r="L763" s="14"/>
      <c r="M763" s="14"/>
    </row>
    <row r="764" hidden="1">
      <c r="A764" s="88" t="s">
        <v>336</v>
      </c>
      <c r="B764" s="95" t="s">
        <v>200</v>
      </c>
      <c r="C764" s="94"/>
      <c r="D764" s="94" t="s">
        <v>490</v>
      </c>
      <c r="E764" s="144"/>
      <c r="F764" s="144"/>
      <c r="G764" s="144"/>
      <c r="H764" s="144" t="str">
        <f t="shared" si="13"/>
        <v>#REF!</v>
      </c>
      <c r="I764" s="144"/>
      <c r="J764" s="144"/>
      <c r="K764" s="14"/>
      <c r="L764" s="14"/>
      <c r="M764" s="14"/>
    </row>
    <row r="765" hidden="1">
      <c r="A765" s="88" t="s">
        <v>336</v>
      </c>
      <c r="B765" s="95" t="s">
        <v>303</v>
      </c>
      <c r="C765" s="94"/>
      <c r="D765" s="94" t="s">
        <v>305</v>
      </c>
      <c r="E765" s="144"/>
      <c r="F765" s="144"/>
      <c r="G765" s="144"/>
      <c r="H765" s="144" t="str">
        <f t="shared" si="13"/>
        <v>#REF!</v>
      </c>
      <c r="I765" s="144"/>
      <c r="J765" s="144"/>
      <c r="K765" s="14"/>
      <c r="L765" s="14"/>
      <c r="M765" s="14"/>
    </row>
    <row r="766" hidden="1">
      <c r="A766" s="88" t="s">
        <v>336</v>
      </c>
      <c r="B766" s="95" t="s">
        <v>446</v>
      </c>
      <c r="C766" s="94"/>
      <c r="D766" s="94" t="s">
        <v>448</v>
      </c>
      <c r="E766" s="144"/>
      <c r="F766" s="144"/>
      <c r="G766" s="144"/>
      <c r="H766" s="144" t="str">
        <f t="shared" si="13"/>
        <v>#REF!</v>
      </c>
      <c r="I766" s="144"/>
      <c r="J766" s="144"/>
      <c r="K766" s="14"/>
      <c r="L766" s="14"/>
      <c r="M766" s="14"/>
    </row>
    <row r="767" hidden="1">
      <c r="A767" s="88" t="s">
        <v>336</v>
      </c>
      <c r="B767" s="95" t="s">
        <v>449</v>
      </c>
      <c r="C767" s="94"/>
      <c r="D767" s="94" t="s">
        <v>451</v>
      </c>
      <c r="E767" s="144"/>
      <c r="F767" s="144"/>
      <c r="G767" s="144"/>
      <c r="H767" s="144" t="str">
        <f t="shared" si="13"/>
        <v>#REF!</v>
      </c>
      <c r="I767" s="144"/>
      <c r="J767" s="144"/>
      <c r="K767" s="14"/>
      <c r="L767" s="14"/>
      <c r="M767" s="14"/>
    </row>
    <row r="768" hidden="1">
      <c r="A768" s="88" t="s">
        <v>336</v>
      </c>
      <c r="B768" s="95" t="s">
        <v>197</v>
      </c>
      <c r="C768" s="94"/>
      <c r="D768" s="94" t="s">
        <v>199</v>
      </c>
      <c r="E768" s="144"/>
      <c r="F768" s="144"/>
      <c r="G768" s="144"/>
      <c r="H768" s="144" t="str">
        <f t="shared" si="13"/>
        <v>#REF!</v>
      </c>
      <c r="I768" s="144"/>
      <c r="J768" s="144"/>
      <c r="K768" s="14"/>
      <c r="L768" s="14"/>
      <c r="M768" s="14"/>
    </row>
    <row r="769" hidden="1">
      <c r="A769" s="88" t="s">
        <v>336</v>
      </c>
      <c r="B769" s="94" t="s">
        <v>191</v>
      </c>
      <c r="C769" s="94"/>
      <c r="D769" s="94" t="s">
        <v>193</v>
      </c>
      <c r="E769" s="144"/>
      <c r="F769" s="144"/>
      <c r="G769" s="144"/>
      <c r="H769" s="144" t="str">
        <f t="shared" si="13"/>
        <v>#REF!</v>
      </c>
      <c r="I769" s="144"/>
      <c r="J769" s="144"/>
      <c r="K769" s="14"/>
      <c r="L769" s="14"/>
      <c r="M769" s="14"/>
    </row>
    <row r="770" hidden="1">
      <c r="A770" s="88" t="s">
        <v>336</v>
      </c>
      <c r="B770" s="94" t="s">
        <v>491</v>
      </c>
      <c r="C770" s="94"/>
      <c r="D770" s="94" t="s">
        <v>492</v>
      </c>
      <c r="E770" s="144"/>
      <c r="F770" s="144"/>
      <c r="G770" s="144"/>
      <c r="H770" s="144" t="str">
        <f t="shared" si="13"/>
        <v>#REF!</v>
      </c>
      <c r="I770" s="144"/>
      <c r="J770" s="144"/>
      <c r="K770" s="14"/>
      <c r="L770" s="14"/>
      <c r="M770" s="14"/>
    </row>
    <row r="771" hidden="1">
      <c r="A771" s="88" t="s">
        <v>336</v>
      </c>
      <c r="B771" s="95" t="s">
        <v>194</v>
      </c>
      <c r="C771" s="94"/>
      <c r="D771" s="94" t="s">
        <v>196</v>
      </c>
      <c r="E771" s="144"/>
      <c r="F771" s="144"/>
      <c r="G771" s="144"/>
      <c r="H771" s="144" t="str">
        <f t="shared" si="13"/>
        <v>#REF!</v>
      </c>
      <c r="I771" s="144"/>
      <c r="J771" s="144"/>
      <c r="K771" s="14"/>
      <c r="L771" s="14"/>
      <c r="M771" s="14"/>
    </row>
    <row r="772" hidden="1">
      <c r="A772" s="88" t="s">
        <v>336</v>
      </c>
      <c r="B772" s="95" t="s">
        <v>461</v>
      </c>
      <c r="C772" s="94"/>
      <c r="D772" s="94" t="s">
        <v>463</v>
      </c>
      <c r="E772" s="144"/>
      <c r="F772" s="144"/>
      <c r="G772" s="144"/>
      <c r="H772" s="144" t="str">
        <f t="shared" si="13"/>
        <v>#REF!</v>
      </c>
      <c r="I772" s="144"/>
      <c r="J772" s="144"/>
      <c r="K772" s="14"/>
      <c r="L772" s="14"/>
      <c r="M772" s="14"/>
    </row>
    <row r="773" hidden="1">
      <c r="A773" s="88" t="s">
        <v>337</v>
      </c>
      <c r="B773" s="92" t="s">
        <v>422</v>
      </c>
      <c r="C773" s="93"/>
      <c r="D773" s="93" t="s">
        <v>424</v>
      </c>
      <c r="E773" s="144"/>
      <c r="F773" s="144"/>
      <c r="G773" s="144"/>
      <c r="H773" s="144" t="str">
        <f t="shared" si="13"/>
        <v>#REF!</v>
      </c>
      <c r="I773" s="144"/>
      <c r="J773" s="144"/>
      <c r="K773" s="23"/>
      <c r="L773" s="23"/>
      <c r="M773" s="23"/>
    </row>
    <row r="774" hidden="1">
      <c r="A774" s="88" t="s">
        <v>337</v>
      </c>
      <c r="B774" s="92" t="s">
        <v>425</v>
      </c>
      <c r="C774" s="93"/>
      <c r="D774" s="93" t="s">
        <v>427</v>
      </c>
      <c r="E774" s="144"/>
      <c r="F774" s="144"/>
      <c r="G774" s="144"/>
      <c r="H774" s="144" t="str">
        <f t="shared" si="13"/>
        <v>#REF!</v>
      </c>
      <c r="I774" s="144"/>
      <c r="J774" s="144"/>
      <c r="K774" s="23"/>
      <c r="L774" s="23"/>
      <c r="M774" s="23"/>
    </row>
    <row r="775" hidden="1">
      <c r="A775" s="88" t="s">
        <v>337</v>
      </c>
      <c r="B775" s="92" t="s">
        <v>428</v>
      </c>
      <c r="C775" s="93"/>
      <c r="D775" s="93" t="s">
        <v>430</v>
      </c>
      <c r="E775" s="144"/>
      <c r="F775" s="144"/>
      <c r="G775" s="144"/>
      <c r="H775" s="144" t="str">
        <f t="shared" si="13"/>
        <v>#REF!</v>
      </c>
      <c r="I775" s="144"/>
      <c r="J775" s="144"/>
      <c r="K775" s="23"/>
      <c r="L775" s="23"/>
      <c r="M775" s="23"/>
    </row>
    <row r="776" hidden="1">
      <c r="A776" s="88" t="s">
        <v>337</v>
      </c>
      <c r="B776" s="92" t="s">
        <v>431</v>
      </c>
      <c r="C776" s="93"/>
      <c r="D776" s="93" t="s">
        <v>433</v>
      </c>
      <c r="E776" s="144"/>
      <c r="F776" s="144"/>
      <c r="G776" s="144"/>
      <c r="H776" s="144" t="str">
        <f t="shared" si="13"/>
        <v>#REF!</v>
      </c>
      <c r="I776" s="144"/>
      <c r="J776" s="144"/>
      <c r="K776" s="23"/>
      <c r="L776" s="23"/>
      <c r="M776" s="23"/>
    </row>
    <row r="777" hidden="1">
      <c r="A777" s="88" t="s">
        <v>337</v>
      </c>
      <c r="B777" s="92" t="s">
        <v>434</v>
      </c>
      <c r="C777" s="93"/>
      <c r="D777" s="93" t="s">
        <v>436</v>
      </c>
      <c r="E777" s="144"/>
      <c r="F777" s="144"/>
      <c r="G777" s="144"/>
      <c r="H777" s="144" t="str">
        <f t="shared" si="13"/>
        <v>#REF!</v>
      </c>
      <c r="I777" s="144"/>
      <c r="J777" s="144"/>
      <c r="K777" s="23"/>
      <c r="L777" s="23"/>
      <c r="M777" s="23"/>
    </row>
    <row r="778" hidden="1">
      <c r="A778" s="88" t="s">
        <v>337</v>
      </c>
      <c r="B778" s="92" t="s">
        <v>437</v>
      </c>
      <c r="C778" s="93"/>
      <c r="D778" s="93" t="s">
        <v>439</v>
      </c>
      <c r="E778" s="144"/>
      <c r="F778" s="144"/>
      <c r="G778" s="144"/>
      <c r="H778" s="144" t="str">
        <f t="shared" si="13"/>
        <v>#REF!</v>
      </c>
      <c r="I778" s="144"/>
      <c r="J778" s="144"/>
      <c r="K778" s="23"/>
      <c r="L778" s="23"/>
      <c r="M778" s="23"/>
    </row>
    <row r="779" hidden="1">
      <c r="A779" s="88" t="s">
        <v>337</v>
      </c>
      <c r="B779" s="92" t="s">
        <v>440</v>
      </c>
      <c r="C779" s="93"/>
      <c r="D779" s="93" t="s">
        <v>442</v>
      </c>
      <c r="E779" s="144"/>
      <c r="F779" s="144"/>
      <c r="G779" s="144"/>
      <c r="H779" s="144" t="str">
        <f t="shared" si="13"/>
        <v>#REF!</v>
      </c>
      <c r="I779" s="144"/>
      <c r="J779" s="144"/>
      <c r="K779" s="23"/>
      <c r="L779" s="23"/>
      <c r="M779" s="23"/>
    </row>
    <row r="780" hidden="1">
      <c r="A780" s="88" t="s">
        <v>337</v>
      </c>
      <c r="B780" s="95" t="s">
        <v>443</v>
      </c>
      <c r="C780" s="94"/>
      <c r="D780" s="94" t="s">
        <v>445</v>
      </c>
      <c r="E780" s="144"/>
      <c r="F780" s="144"/>
      <c r="G780" s="144"/>
      <c r="H780" s="144" t="str">
        <f t="shared" si="13"/>
        <v>#REF!</v>
      </c>
      <c r="I780" s="144"/>
      <c r="J780" s="144"/>
      <c r="K780" s="14"/>
      <c r="L780" s="14"/>
      <c r="M780" s="14"/>
    </row>
    <row r="781" hidden="1">
      <c r="A781" s="88" t="s">
        <v>337</v>
      </c>
      <c r="B781" s="95" t="s">
        <v>200</v>
      </c>
      <c r="C781" s="94"/>
      <c r="D781" s="94" t="s">
        <v>490</v>
      </c>
      <c r="E781" s="144"/>
      <c r="F781" s="144"/>
      <c r="G781" s="144"/>
      <c r="H781" s="144" t="str">
        <f t="shared" si="13"/>
        <v>#REF!</v>
      </c>
      <c r="I781" s="144"/>
      <c r="J781" s="144"/>
      <c r="K781" s="14"/>
      <c r="L781" s="14"/>
      <c r="M781" s="14"/>
    </row>
    <row r="782" hidden="1">
      <c r="A782" s="88" t="s">
        <v>337</v>
      </c>
      <c r="B782" s="95" t="s">
        <v>303</v>
      </c>
      <c r="C782" s="94"/>
      <c r="D782" s="94" t="s">
        <v>305</v>
      </c>
      <c r="E782" s="144"/>
      <c r="F782" s="144"/>
      <c r="G782" s="144"/>
      <c r="H782" s="144" t="str">
        <f t="shared" si="13"/>
        <v>#REF!</v>
      </c>
      <c r="I782" s="144"/>
      <c r="J782" s="144"/>
      <c r="K782" s="14"/>
      <c r="L782" s="14"/>
      <c r="M782" s="14"/>
    </row>
    <row r="783" hidden="1">
      <c r="A783" s="88" t="s">
        <v>337</v>
      </c>
      <c r="B783" s="95" t="s">
        <v>446</v>
      </c>
      <c r="C783" s="94"/>
      <c r="D783" s="94" t="s">
        <v>448</v>
      </c>
      <c r="E783" s="144"/>
      <c r="F783" s="144"/>
      <c r="G783" s="144"/>
      <c r="H783" s="144" t="str">
        <f t="shared" si="13"/>
        <v>#REF!</v>
      </c>
      <c r="I783" s="144"/>
      <c r="J783" s="144"/>
      <c r="K783" s="14"/>
      <c r="L783" s="14"/>
      <c r="M783" s="14"/>
    </row>
    <row r="784" hidden="1">
      <c r="A784" s="88" t="s">
        <v>337</v>
      </c>
      <c r="B784" s="95" t="s">
        <v>449</v>
      </c>
      <c r="C784" s="94"/>
      <c r="D784" s="94" t="s">
        <v>451</v>
      </c>
      <c r="E784" s="144"/>
      <c r="F784" s="144"/>
      <c r="G784" s="144"/>
      <c r="H784" s="144" t="str">
        <f t="shared" si="13"/>
        <v>#REF!</v>
      </c>
      <c r="I784" s="144"/>
      <c r="J784" s="144"/>
      <c r="K784" s="14"/>
      <c r="L784" s="14"/>
      <c r="M784" s="14"/>
    </row>
    <row r="785" hidden="1">
      <c r="A785" s="88" t="s">
        <v>337</v>
      </c>
      <c r="B785" s="95" t="s">
        <v>197</v>
      </c>
      <c r="C785" s="94"/>
      <c r="D785" s="94" t="s">
        <v>199</v>
      </c>
      <c r="E785" s="144"/>
      <c r="F785" s="144"/>
      <c r="G785" s="144"/>
      <c r="H785" s="144" t="str">
        <f t="shared" si="13"/>
        <v>#REF!</v>
      </c>
      <c r="I785" s="144"/>
      <c r="J785" s="144"/>
      <c r="K785" s="14"/>
      <c r="L785" s="14"/>
      <c r="M785" s="14"/>
    </row>
    <row r="786" hidden="1">
      <c r="A786" s="88" t="s">
        <v>337</v>
      </c>
      <c r="B786" s="94" t="s">
        <v>191</v>
      </c>
      <c r="C786" s="94"/>
      <c r="D786" s="94" t="s">
        <v>193</v>
      </c>
      <c r="E786" s="144"/>
      <c r="F786" s="144"/>
      <c r="G786" s="144"/>
      <c r="H786" s="144" t="str">
        <f t="shared" si="13"/>
        <v>#REF!</v>
      </c>
      <c r="I786" s="144"/>
      <c r="J786" s="144"/>
      <c r="K786" s="14"/>
      <c r="L786" s="14"/>
      <c r="M786" s="14"/>
    </row>
    <row r="787" hidden="1">
      <c r="A787" s="88" t="s">
        <v>337</v>
      </c>
      <c r="B787" s="94" t="s">
        <v>491</v>
      </c>
      <c r="C787" s="94"/>
      <c r="D787" s="94" t="s">
        <v>492</v>
      </c>
      <c r="E787" s="144"/>
      <c r="F787" s="144"/>
      <c r="G787" s="144"/>
      <c r="H787" s="144" t="str">
        <f t="shared" si="13"/>
        <v>#REF!</v>
      </c>
      <c r="I787" s="144"/>
      <c r="J787" s="144"/>
      <c r="K787" s="14"/>
      <c r="L787" s="14"/>
      <c r="M787" s="14"/>
    </row>
    <row r="788" hidden="1">
      <c r="A788" s="88" t="s">
        <v>337</v>
      </c>
      <c r="B788" s="95" t="s">
        <v>194</v>
      </c>
      <c r="C788" s="95"/>
      <c r="D788" s="95" t="s">
        <v>196</v>
      </c>
      <c r="E788" s="144"/>
      <c r="F788" s="144"/>
      <c r="G788" s="144"/>
      <c r="H788" s="144" t="str">
        <f t="shared" si="13"/>
        <v>#REF!</v>
      </c>
      <c r="I788" s="144"/>
      <c r="J788" s="144"/>
      <c r="K788" s="14"/>
      <c r="L788" s="14"/>
      <c r="M788" s="14"/>
    </row>
    <row r="789" hidden="1">
      <c r="A789" s="88" t="s">
        <v>337</v>
      </c>
      <c r="B789" s="95" t="s">
        <v>461</v>
      </c>
      <c r="C789" s="95"/>
      <c r="D789" s="95" t="s">
        <v>463</v>
      </c>
      <c r="E789" s="144"/>
      <c r="F789" s="144"/>
      <c r="G789" s="144"/>
      <c r="H789" s="144" t="str">
        <f t="shared" si="13"/>
        <v>#REF!</v>
      </c>
      <c r="I789" s="144"/>
      <c r="J789" s="144"/>
      <c r="K789" s="14"/>
      <c r="L789" s="14"/>
      <c r="M789" s="14"/>
    </row>
    <row r="790" hidden="1">
      <c r="A790" s="88" t="s">
        <v>338</v>
      </c>
      <c r="B790" s="92" t="s">
        <v>422</v>
      </c>
      <c r="C790" s="93"/>
      <c r="D790" s="93" t="s">
        <v>424</v>
      </c>
      <c r="E790" s="144"/>
      <c r="F790" s="144"/>
      <c r="G790" s="144"/>
      <c r="H790" s="144" t="str">
        <f t="shared" si="13"/>
        <v>#REF!</v>
      </c>
      <c r="I790" s="144"/>
      <c r="J790" s="144"/>
      <c r="K790" s="23"/>
      <c r="L790" s="23"/>
      <c r="M790" s="23"/>
    </row>
    <row r="791" hidden="1">
      <c r="A791" s="88" t="s">
        <v>338</v>
      </c>
      <c r="B791" s="92" t="s">
        <v>493</v>
      </c>
      <c r="C791" s="93"/>
      <c r="D791" s="93" t="s">
        <v>494</v>
      </c>
      <c r="E791" s="144"/>
      <c r="F791" s="144"/>
      <c r="G791" s="144"/>
      <c r="H791" s="144" t="str">
        <f t="shared" si="13"/>
        <v>#REF!</v>
      </c>
      <c r="I791" s="144"/>
      <c r="J791" s="144"/>
      <c r="K791" s="23"/>
      <c r="L791" s="23"/>
      <c r="M791" s="23"/>
    </row>
    <row r="792" hidden="1">
      <c r="A792" s="88" t="s">
        <v>338</v>
      </c>
      <c r="B792" s="92" t="s">
        <v>425</v>
      </c>
      <c r="C792" s="93"/>
      <c r="D792" s="93" t="s">
        <v>427</v>
      </c>
      <c r="E792" s="144"/>
      <c r="F792" s="144"/>
      <c r="G792" s="144"/>
      <c r="H792" s="144" t="str">
        <f t="shared" si="13"/>
        <v>#REF!</v>
      </c>
      <c r="I792" s="144"/>
      <c r="J792" s="144"/>
      <c r="K792" s="23"/>
      <c r="L792" s="23"/>
      <c r="M792" s="23"/>
    </row>
    <row r="793" hidden="1">
      <c r="A793" s="88" t="s">
        <v>338</v>
      </c>
      <c r="B793" s="92" t="s">
        <v>428</v>
      </c>
      <c r="C793" s="93"/>
      <c r="D793" s="93" t="s">
        <v>430</v>
      </c>
      <c r="E793" s="144"/>
      <c r="F793" s="144"/>
      <c r="G793" s="144"/>
      <c r="H793" s="144" t="str">
        <f t="shared" si="13"/>
        <v>#REF!</v>
      </c>
      <c r="I793" s="144"/>
      <c r="J793" s="144"/>
      <c r="K793" s="23"/>
      <c r="L793" s="23"/>
      <c r="M793" s="23"/>
    </row>
    <row r="794" hidden="1">
      <c r="A794" s="88" t="s">
        <v>338</v>
      </c>
      <c r="B794" s="92" t="s">
        <v>431</v>
      </c>
      <c r="C794" s="93"/>
      <c r="D794" s="93" t="s">
        <v>433</v>
      </c>
      <c r="E794" s="144"/>
      <c r="F794" s="144"/>
      <c r="G794" s="144"/>
      <c r="H794" s="144" t="str">
        <f t="shared" si="13"/>
        <v>#REF!</v>
      </c>
      <c r="I794" s="144"/>
      <c r="J794" s="144"/>
      <c r="K794" s="23"/>
      <c r="L794" s="23"/>
      <c r="M794" s="23"/>
    </row>
    <row r="795" hidden="1">
      <c r="A795" s="88" t="s">
        <v>338</v>
      </c>
      <c r="B795" s="92" t="s">
        <v>434</v>
      </c>
      <c r="C795" s="93"/>
      <c r="D795" s="93" t="s">
        <v>436</v>
      </c>
      <c r="E795" s="144"/>
      <c r="F795" s="144"/>
      <c r="G795" s="144"/>
      <c r="H795" s="144" t="str">
        <f t="shared" si="13"/>
        <v>#REF!</v>
      </c>
      <c r="I795" s="144"/>
      <c r="J795" s="144"/>
      <c r="K795" s="23"/>
      <c r="L795" s="23"/>
      <c r="M795" s="23"/>
    </row>
    <row r="796" hidden="1">
      <c r="A796" s="88" t="s">
        <v>338</v>
      </c>
      <c r="B796" s="92" t="s">
        <v>437</v>
      </c>
      <c r="C796" s="93"/>
      <c r="D796" s="93" t="s">
        <v>439</v>
      </c>
      <c r="E796" s="144"/>
      <c r="F796" s="144"/>
      <c r="G796" s="144"/>
      <c r="H796" s="144" t="str">
        <f t="shared" si="13"/>
        <v>#REF!</v>
      </c>
      <c r="I796" s="144"/>
      <c r="J796" s="144"/>
      <c r="K796" s="23"/>
      <c r="L796" s="23"/>
      <c r="M796" s="23"/>
    </row>
    <row r="797" hidden="1">
      <c r="A797" s="88" t="s">
        <v>338</v>
      </c>
      <c r="B797" s="92" t="s">
        <v>440</v>
      </c>
      <c r="C797" s="93"/>
      <c r="D797" s="93" t="s">
        <v>442</v>
      </c>
      <c r="E797" s="144"/>
      <c r="F797" s="144"/>
      <c r="G797" s="144"/>
      <c r="H797" s="144" t="str">
        <f t="shared" si="13"/>
        <v>#REF!</v>
      </c>
      <c r="I797" s="144"/>
      <c r="J797" s="144"/>
      <c r="K797" s="23"/>
      <c r="L797" s="23"/>
      <c r="M797" s="23"/>
    </row>
    <row r="798" hidden="1">
      <c r="A798" s="88" t="s">
        <v>338</v>
      </c>
      <c r="B798" s="95" t="s">
        <v>443</v>
      </c>
      <c r="C798" s="94"/>
      <c r="D798" s="94" t="s">
        <v>445</v>
      </c>
      <c r="E798" s="144"/>
      <c r="F798" s="144"/>
      <c r="G798" s="144"/>
      <c r="H798" s="144" t="str">
        <f t="shared" si="13"/>
        <v>#REF!</v>
      </c>
      <c r="I798" s="144"/>
      <c r="J798" s="144"/>
      <c r="K798" s="14"/>
      <c r="L798" s="14"/>
      <c r="M798" s="14"/>
    </row>
    <row r="799" hidden="1">
      <c r="A799" s="88" t="s">
        <v>338</v>
      </c>
      <c r="B799" s="95" t="s">
        <v>200</v>
      </c>
      <c r="C799" s="94"/>
      <c r="D799" s="94" t="s">
        <v>490</v>
      </c>
      <c r="E799" s="144"/>
      <c r="F799" s="144"/>
      <c r="G799" s="144"/>
      <c r="H799" s="144" t="str">
        <f t="shared" si="13"/>
        <v>#REF!</v>
      </c>
      <c r="I799" s="144"/>
      <c r="J799" s="144"/>
      <c r="K799" s="14"/>
      <c r="L799" s="14"/>
      <c r="M799" s="14"/>
    </row>
    <row r="800" hidden="1">
      <c r="A800" s="88" t="s">
        <v>338</v>
      </c>
      <c r="B800" s="95" t="s">
        <v>303</v>
      </c>
      <c r="C800" s="94"/>
      <c r="D800" s="94" t="s">
        <v>305</v>
      </c>
      <c r="E800" s="144"/>
      <c r="F800" s="144"/>
      <c r="G800" s="144"/>
      <c r="H800" s="144" t="str">
        <f t="shared" si="13"/>
        <v>#REF!</v>
      </c>
      <c r="I800" s="144"/>
      <c r="J800" s="144"/>
      <c r="K800" s="14"/>
      <c r="L800" s="14"/>
      <c r="M800" s="14"/>
    </row>
    <row r="801" hidden="1">
      <c r="A801" s="88" t="s">
        <v>338</v>
      </c>
      <c r="B801" s="95" t="s">
        <v>446</v>
      </c>
      <c r="C801" s="94"/>
      <c r="D801" s="94" t="s">
        <v>448</v>
      </c>
      <c r="E801" s="144"/>
      <c r="F801" s="144"/>
      <c r="G801" s="144"/>
      <c r="H801" s="144" t="str">
        <f t="shared" si="13"/>
        <v>#REF!</v>
      </c>
      <c r="I801" s="144"/>
      <c r="J801" s="144"/>
      <c r="K801" s="14"/>
      <c r="L801" s="14"/>
      <c r="M801" s="14"/>
    </row>
    <row r="802" hidden="1">
      <c r="A802" s="88" t="s">
        <v>338</v>
      </c>
      <c r="B802" s="95" t="s">
        <v>449</v>
      </c>
      <c r="C802" s="94"/>
      <c r="D802" s="94" t="s">
        <v>451</v>
      </c>
      <c r="E802" s="144"/>
      <c r="F802" s="144"/>
      <c r="G802" s="144"/>
      <c r="H802" s="144" t="str">
        <f t="shared" si="13"/>
        <v>#REF!</v>
      </c>
      <c r="I802" s="144"/>
      <c r="J802" s="144"/>
      <c r="K802" s="14"/>
      <c r="L802" s="14"/>
      <c r="M802" s="14"/>
    </row>
    <row r="803" hidden="1">
      <c r="A803" s="88" t="s">
        <v>338</v>
      </c>
      <c r="B803" s="95" t="s">
        <v>197</v>
      </c>
      <c r="C803" s="94"/>
      <c r="D803" s="94" t="s">
        <v>199</v>
      </c>
      <c r="E803" s="144"/>
      <c r="F803" s="144"/>
      <c r="G803" s="144"/>
      <c r="H803" s="144" t="str">
        <f t="shared" si="13"/>
        <v>#REF!</v>
      </c>
      <c r="I803" s="144"/>
      <c r="J803" s="144"/>
      <c r="K803" s="14"/>
      <c r="L803" s="14"/>
      <c r="M803" s="14"/>
    </row>
    <row r="804" hidden="1">
      <c r="A804" s="88" t="s">
        <v>338</v>
      </c>
      <c r="B804" s="94" t="s">
        <v>191</v>
      </c>
      <c r="C804" s="94"/>
      <c r="D804" s="94" t="s">
        <v>193</v>
      </c>
      <c r="E804" s="144"/>
      <c r="F804" s="144"/>
      <c r="G804" s="144"/>
      <c r="H804" s="144" t="str">
        <f t="shared" si="13"/>
        <v>#REF!</v>
      </c>
      <c r="I804" s="144"/>
      <c r="J804" s="144"/>
      <c r="K804" s="14"/>
      <c r="L804" s="14"/>
      <c r="M804" s="14"/>
    </row>
    <row r="805" hidden="1">
      <c r="A805" s="88" t="s">
        <v>338</v>
      </c>
      <c r="B805" s="94" t="s">
        <v>491</v>
      </c>
      <c r="C805" s="94"/>
      <c r="D805" s="94" t="s">
        <v>492</v>
      </c>
      <c r="E805" s="144"/>
      <c r="F805" s="144"/>
      <c r="G805" s="144"/>
      <c r="H805" s="144" t="str">
        <f t="shared" si="13"/>
        <v>#REF!</v>
      </c>
      <c r="I805" s="144"/>
      <c r="J805" s="144"/>
      <c r="K805" s="14"/>
      <c r="L805" s="14"/>
      <c r="M805" s="14"/>
    </row>
    <row r="806" hidden="1">
      <c r="A806" s="76" t="s">
        <v>338</v>
      </c>
      <c r="B806" s="92" t="s">
        <v>422</v>
      </c>
      <c r="C806" s="93"/>
      <c r="D806" s="93" t="s">
        <v>424</v>
      </c>
      <c r="E806" s="144"/>
      <c r="F806" s="144"/>
      <c r="G806" s="144"/>
      <c r="H806" s="144" t="str">
        <f t="shared" si="13"/>
        <v>#REF!</v>
      </c>
      <c r="I806" s="144"/>
      <c r="J806" s="144"/>
      <c r="K806" s="23"/>
      <c r="L806" s="23"/>
      <c r="M806" s="23"/>
    </row>
    <row r="807" hidden="1">
      <c r="A807" s="76" t="s">
        <v>338</v>
      </c>
      <c r="B807" s="92" t="s">
        <v>493</v>
      </c>
      <c r="C807" s="93"/>
      <c r="D807" s="93" t="s">
        <v>494</v>
      </c>
      <c r="E807" s="144"/>
      <c r="F807" s="144"/>
      <c r="G807" s="144"/>
      <c r="H807" s="144" t="str">
        <f t="shared" si="13"/>
        <v>#REF!</v>
      </c>
      <c r="I807" s="144"/>
      <c r="J807" s="144"/>
      <c r="K807" s="23"/>
      <c r="L807" s="23"/>
      <c r="M807" s="23"/>
    </row>
    <row r="808" hidden="1">
      <c r="A808" s="76" t="s">
        <v>338</v>
      </c>
      <c r="B808" s="92" t="s">
        <v>425</v>
      </c>
      <c r="C808" s="93"/>
      <c r="D808" s="93" t="s">
        <v>427</v>
      </c>
      <c r="E808" s="144"/>
      <c r="F808" s="144"/>
      <c r="G808" s="144"/>
      <c r="H808" s="144" t="str">
        <f t="shared" si="13"/>
        <v>#REF!</v>
      </c>
      <c r="I808" s="144"/>
      <c r="J808" s="144"/>
      <c r="K808" s="23"/>
      <c r="L808" s="23"/>
      <c r="M808" s="23"/>
    </row>
    <row r="809" hidden="1">
      <c r="A809" s="76" t="s">
        <v>338</v>
      </c>
      <c r="B809" s="92" t="s">
        <v>428</v>
      </c>
      <c r="C809" s="93"/>
      <c r="D809" s="93" t="s">
        <v>430</v>
      </c>
      <c r="E809" s="144"/>
      <c r="F809" s="144"/>
      <c r="G809" s="144"/>
      <c r="H809" s="144" t="str">
        <f t="shared" si="13"/>
        <v>#REF!</v>
      </c>
      <c r="I809" s="144"/>
      <c r="J809" s="144"/>
      <c r="K809" s="23"/>
      <c r="L809" s="23"/>
      <c r="M809" s="23"/>
    </row>
    <row r="810" hidden="1">
      <c r="A810" s="76" t="s">
        <v>338</v>
      </c>
      <c r="B810" s="92" t="s">
        <v>431</v>
      </c>
      <c r="C810" s="93"/>
      <c r="D810" s="93" t="s">
        <v>433</v>
      </c>
      <c r="E810" s="144"/>
      <c r="F810" s="144"/>
      <c r="G810" s="144"/>
      <c r="H810" s="144" t="str">
        <f t="shared" si="13"/>
        <v>#REF!</v>
      </c>
      <c r="I810" s="144"/>
      <c r="J810" s="144"/>
      <c r="K810" s="23"/>
      <c r="L810" s="23"/>
      <c r="M810" s="23"/>
    </row>
    <row r="811" hidden="1">
      <c r="A811" s="76" t="s">
        <v>338</v>
      </c>
      <c r="B811" s="92" t="s">
        <v>434</v>
      </c>
      <c r="C811" s="93"/>
      <c r="D811" s="93" t="s">
        <v>436</v>
      </c>
      <c r="E811" s="144"/>
      <c r="F811" s="144"/>
      <c r="G811" s="144"/>
      <c r="H811" s="144" t="str">
        <f t="shared" si="13"/>
        <v>#REF!</v>
      </c>
      <c r="I811" s="144"/>
      <c r="J811" s="144"/>
      <c r="K811" s="23"/>
      <c r="L811" s="23"/>
      <c r="M811" s="23"/>
    </row>
    <row r="812" hidden="1">
      <c r="A812" s="76" t="s">
        <v>338</v>
      </c>
      <c r="B812" s="92" t="s">
        <v>437</v>
      </c>
      <c r="C812" s="93"/>
      <c r="D812" s="93" t="s">
        <v>439</v>
      </c>
      <c r="E812" s="144"/>
      <c r="F812" s="144"/>
      <c r="G812" s="144"/>
      <c r="H812" s="144" t="str">
        <f t="shared" si="13"/>
        <v>#REF!</v>
      </c>
      <c r="I812" s="144"/>
      <c r="J812" s="144"/>
      <c r="K812" s="23"/>
      <c r="L812" s="23"/>
      <c r="M812" s="23"/>
    </row>
    <row r="813" hidden="1">
      <c r="A813" s="76" t="s">
        <v>338</v>
      </c>
      <c r="B813" s="92" t="s">
        <v>440</v>
      </c>
      <c r="C813" s="93"/>
      <c r="D813" s="93" t="s">
        <v>442</v>
      </c>
      <c r="E813" s="144"/>
      <c r="F813" s="144"/>
      <c r="G813" s="144"/>
      <c r="H813" s="144" t="str">
        <f t="shared" si="13"/>
        <v>#REF!</v>
      </c>
      <c r="I813" s="144"/>
      <c r="J813" s="144"/>
      <c r="K813" s="23"/>
      <c r="L813" s="23"/>
      <c r="M813" s="23"/>
    </row>
    <row r="814" hidden="1">
      <c r="A814" s="76" t="s">
        <v>338</v>
      </c>
      <c r="B814" s="95" t="s">
        <v>443</v>
      </c>
      <c r="C814" s="94"/>
      <c r="D814" s="94" t="s">
        <v>445</v>
      </c>
      <c r="E814" s="144"/>
      <c r="F814" s="144"/>
      <c r="G814" s="144"/>
      <c r="H814" s="144" t="str">
        <f t="shared" si="13"/>
        <v>#REF!</v>
      </c>
      <c r="I814" s="144"/>
      <c r="J814" s="144"/>
      <c r="K814" s="14"/>
      <c r="L814" s="14"/>
      <c r="M814" s="14"/>
    </row>
    <row r="815" hidden="1">
      <c r="A815" s="76" t="s">
        <v>338</v>
      </c>
      <c r="B815" s="95" t="s">
        <v>200</v>
      </c>
      <c r="C815" s="94"/>
      <c r="D815" s="94" t="s">
        <v>490</v>
      </c>
      <c r="E815" s="144"/>
      <c r="F815" s="144"/>
      <c r="G815" s="144"/>
      <c r="H815" s="144" t="str">
        <f t="shared" si="13"/>
        <v>#REF!</v>
      </c>
      <c r="I815" s="144"/>
      <c r="J815" s="144"/>
      <c r="K815" s="14"/>
      <c r="L815" s="14"/>
      <c r="M815" s="14"/>
    </row>
    <row r="816" hidden="1">
      <c r="A816" s="76" t="s">
        <v>338</v>
      </c>
      <c r="B816" s="95" t="s">
        <v>303</v>
      </c>
      <c r="C816" s="94"/>
      <c r="D816" s="94" t="s">
        <v>305</v>
      </c>
      <c r="E816" s="144"/>
      <c r="F816" s="144"/>
      <c r="G816" s="144"/>
      <c r="H816" s="144" t="str">
        <f t="shared" si="13"/>
        <v>#REF!</v>
      </c>
      <c r="I816" s="144"/>
      <c r="J816" s="144"/>
      <c r="K816" s="14"/>
      <c r="L816" s="14"/>
      <c r="M816" s="14"/>
    </row>
    <row r="817" hidden="1">
      <c r="A817" s="76" t="s">
        <v>338</v>
      </c>
      <c r="B817" s="95" t="s">
        <v>446</v>
      </c>
      <c r="C817" s="94"/>
      <c r="D817" s="94" t="s">
        <v>448</v>
      </c>
      <c r="E817" s="144"/>
      <c r="F817" s="144"/>
      <c r="G817" s="144"/>
      <c r="H817" s="144" t="str">
        <f t="shared" si="13"/>
        <v>#REF!</v>
      </c>
      <c r="I817" s="144"/>
      <c r="J817" s="144"/>
      <c r="K817" s="14"/>
      <c r="L817" s="14"/>
      <c r="M817" s="14"/>
    </row>
    <row r="818" hidden="1">
      <c r="A818" s="76" t="s">
        <v>338</v>
      </c>
      <c r="B818" s="95" t="s">
        <v>449</v>
      </c>
      <c r="C818" s="94"/>
      <c r="D818" s="94" t="s">
        <v>451</v>
      </c>
      <c r="E818" s="144"/>
      <c r="F818" s="144"/>
      <c r="G818" s="144"/>
      <c r="H818" s="144" t="str">
        <f t="shared" si="13"/>
        <v>#REF!</v>
      </c>
      <c r="I818" s="144"/>
      <c r="J818" s="144"/>
      <c r="K818" s="14"/>
      <c r="L818" s="14"/>
      <c r="M818" s="14"/>
    </row>
    <row r="819" hidden="1">
      <c r="A819" s="76" t="s">
        <v>338</v>
      </c>
      <c r="B819" s="95" t="s">
        <v>197</v>
      </c>
      <c r="C819" s="94"/>
      <c r="D819" s="94" t="s">
        <v>199</v>
      </c>
      <c r="E819" s="144"/>
      <c r="F819" s="144"/>
      <c r="G819" s="144"/>
      <c r="H819" s="144" t="str">
        <f t="shared" si="13"/>
        <v>#REF!</v>
      </c>
      <c r="I819" s="144"/>
      <c r="J819" s="144"/>
      <c r="K819" s="14"/>
      <c r="L819" s="14"/>
      <c r="M819" s="14"/>
    </row>
    <row r="820" hidden="1">
      <c r="A820" s="76" t="s">
        <v>338</v>
      </c>
      <c r="B820" s="94" t="s">
        <v>191</v>
      </c>
      <c r="C820" s="94"/>
      <c r="D820" s="94" t="s">
        <v>193</v>
      </c>
      <c r="E820" s="144"/>
      <c r="F820" s="144"/>
      <c r="G820" s="144"/>
      <c r="H820" s="144" t="str">
        <f t="shared" si="13"/>
        <v>#REF!</v>
      </c>
      <c r="I820" s="144"/>
      <c r="J820" s="144"/>
      <c r="K820" s="14"/>
      <c r="L820" s="14"/>
      <c r="M820" s="14"/>
    </row>
    <row r="821" hidden="1">
      <c r="A821" s="76" t="s">
        <v>338</v>
      </c>
      <c r="B821" s="94" t="s">
        <v>491</v>
      </c>
      <c r="C821" s="94"/>
      <c r="D821" s="94" t="s">
        <v>492</v>
      </c>
      <c r="E821" s="144"/>
      <c r="F821" s="144"/>
      <c r="G821" s="144"/>
      <c r="H821" s="144" t="str">
        <f t="shared" si="13"/>
        <v>#REF!</v>
      </c>
      <c r="I821" s="144"/>
      <c r="J821" s="144"/>
      <c r="K821" s="14"/>
      <c r="L821" s="14"/>
      <c r="M821" s="14"/>
    </row>
    <row r="822" hidden="1">
      <c r="A822" s="88" t="s">
        <v>338</v>
      </c>
      <c r="B822" s="92" t="s">
        <v>422</v>
      </c>
      <c r="C822" s="93"/>
      <c r="D822" s="93" t="s">
        <v>424</v>
      </c>
      <c r="E822" s="144"/>
      <c r="F822" s="144"/>
      <c r="G822" s="144"/>
      <c r="H822" s="144" t="str">
        <f t="shared" si="13"/>
        <v>#REF!</v>
      </c>
      <c r="I822" s="144"/>
      <c r="J822" s="144"/>
      <c r="K822" s="23"/>
      <c r="L822" s="23"/>
      <c r="M822" s="23"/>
    </row>
    <row r="823" hidden="1">
      <c r="A823" s="88" t="s">
        <v>338</v>
      </c>
      <c r="B823" s="92" t="s">
        <v>493</v>
      </c>
      <c r="C823" s="93"/>
      <c r="D823" s="93" t="s">
        <v>494</v>
      </c>
      <c r="E823" s="144"/>
      <c r="F823" s="144"/>
      <c r="G823" s="144"/>
      <c r="H823" s="144" t="str">
        <f t="shared" si="13"/>
        <v>#REF!</v>
      </c>
      <c r="I823" s="144"/>
      <c r="J823" s="144"/>
      <c r="K823" s="23"/>
      <c r="L823" s="23"/>
      <c r="M823" s="23"/>
    </row>
    <row r="824" hidden="1">
      <c r="A824" s="88" t="s">
        <v>338</v>
      </c>
      <c r="B824" s="92" t="s">
        <v>425</v>
      </c>
      <c r="C824" s="96"/>
      <c r="D824" s="96" t="s">
        <v>427</v>
      </c>
      <c r="E824" s="144"/>
      <c r="F824" s="144"/>
      <c r="G824" s="144"/>
      <c r="H824" s="144" t="str">
        <f t="shared" si="13"/>
        <v>#REF!</v>
      </c>
      <c r="I824" s="144"/>
      <c r="J824" s="144"/>
      <c r="K824" s="23"/>
      <c r="L824" s="23"/>
      <c r="M824" s="23"/>
    </row>
    <row r="825" hidden="1">
      <c r="A825" s="88" t="s">
        <v>338</v>
      </c>
      <c r="B825" s="92" t="s">
        <v>428</v>
      </c>
      <c r="C825" s="93"/>
      <c r="D825" s="93" t="s">
        <v>430</v>
      </c>
      <c r="E825" s="144"/>
      <c r="F825" s="144"/>
      <c r="G825" s="144"/>
      <c r="H825" s="144" t="str">
        <f t="shared" si="13"/>
        <v>#REF!</v>
      </c>
      <c r="I825" s="144"/>
      <c r="J825" s="144"/>
      <c r="K825" s="23"/>
      <c r="L825" s="23"/>
      <c r="M825" s="23"/>
    </row>
    <row r="826" hidden="1">
      <c r="A826" s="88" t="s">
        <v>338</v>
      </c>
      <c r="B826" s="92" t="s">
        <v>431</v>
      </c>
      <c r="C826" s="93"/>
      <c r="D826" s="93" t="s">
        <v>433</v>
      </c>
      <c r="E826" s="144"/>
      <c r="F826" s="144"/>
      <c r="G826" s="144"/>
      <c r="H826" s="144" t="str">
        <f t="shared" si="13"/>
        <v>#REF!</v>
      </c>
      <c r="I826" s="144"/>
      <c r="J826" s="144"/>
      <c r="K826" s="23"/>
      <c r="L826" s="23"/>
      <c r="M826" s="23"/>
    </row>
    <row r="827" hidden="1">
      <c r="A827" s="88" t="s">
        <v>338</v>
      </c>
      <c r="B827" s="92" t="s">
        <v>434</v>
      </c>
      <c r="C827" s="93"/>
      <c r="D827" s="93" t="s">
        <v>436</v>
      </c>
      <c r="E827" s="144"/>
      <c r="F827" s="144"/>
      <c r="G827" s="144"/>
      <c r="H827" s="144" t="str">
        <f t="shared" si="13"/>
        <v>#REF!</v>
      </c>
      <c r="I827" s="144"/>
      <c r="J827" s="144"/>
      <c r="K827" s="23"/>
      <c r="L827" s="23"/>
      <c r="M827" s="23"/>
    </row>
    <row r="828" hidden="1">
      <c r="A828" s="88" t="s">
        <v>338</v>
      </c>
      <c r="B828" s="92" t="s">
        <v>437</v>
      </c>
      <c r="C828" s="93"/>
      <c r="D828" s="93" t="s">
        <v>439</v>
      </c>
      <c r="E828" s="144"/>
      <c r="F828" s="144"/>
      <c r="G828" s="144"/>
      <c r="H828" s="144" t="str">
        <f t="shared" si="13"/>
        <v>#REF!</v>
      </c>
      <c r="I828" s="144"/>
      <c r="J828" s="144"/>
      <c r="K828" s="23"/>
      <c r="L828" s="23"/>
      <c r="M828" s="23"/>
    </row>
    <row r="829" hidden="1">
      <c r="A829" s="88" t="s">
        <v>338</v>
      </c>
      <c r="B829" s="92" t="s">
        <v>440</v>
      </c>
      <c r="C829" s="93"/>
      <c r="D829" s="93" t="s">
        <v>442</v>
      </c>
      <c r="E829" s="144"/>
      <c r="F829" s="144"/>
      <c r="G829" s="144"/>
      <c r="H829" s="144" t="str">
        <f t="shared" si="13"/>
        <v>#REF!</v>
      </c>
      <c r="I829" s="144"/>
      <c r="J829" s="144"/>
      <c r="K829" s="23"/>
      <c r="L829" s="23"/>
      <c r="M829" s="23"/>
    </row>
    <row r="830" hidden="1">
      <c r="A830" s="88" t="s">
        <v>338</v>
      </c>
      <c r="B830" s="95" t="s">
        <v>443</v>
      </c>
      <c r="C830" s="95"/>
      <c r="D830" s="95" t="s">
        <v>445</v>
      </c>
      <c r="E830" s="144"/>
      <c r="F830" s="144"/>
      <c r="G830" s="144"/>
      <c r="H830" s="144" t="str">
        <f t="shared" si="13"/>
        <v>#REF!</v>
      </c>
      <c r="I830" s="144"/>
      <c r="J830" s="144"/>
      <c r="K830" s="14"/>
      <c r="L830" s="14"/>
      <c r="M830" s="14"/>
    </row>
    <row r="831" hidden="1">
      <c r="A831" s="88" t="s">
        <v>338</v>
      </c>
      <c r="B831" s="95" t="s">
        <v>200</v>
      </c>
      <c r="C831" s="95"/>
      <c r="D831" s="95" t="s">
        <v>490</v>
      </c>
      <c r="E831" s="144"/>
      <c r="F831" s="144"/>
      <c r="G831" s="144"/>
      <c r="H831" s="144" t="str">
        <f t="shared" si="13"/>
        <v>#REF!</v>
      </c>
      <c r="I831" s="144"/>
      <c r="J831" s="144"/>
      <c r="K831" s="14"/>
      <c r="L831" s="14"/>
      <c r="M831" s="14"/>
    </row>
    <row r="832" hidden="1">
      <c r="A832" s="88" t="s">
        <v>338</v>
      </c>
      <c r="B832" s="95" t="s">
        <v>303</v>
      </c>
      <c r="C832" s="95"/>
      <c r="D832" s="95" t="s">
        <v>305</v>
      </c>
      <c r="E832" s="144"/>
      <c r="F832" s="144"/>
      <c r="G832" s="144"/>
      <c r="H832" s="144" t="str">
        <f t="shared" si="13"/>
        <v>#REF!</v>
      </c>
      <c r="I832" s="144"/>
      <c r="J832" s="144"/>
      <c r="K832" s="14"/>
      <c r="L832" s="14"/>
      <c r="M832" s="14"/>
    </row>
    <row r="833" hidden="1">
      <c r="A833" s="88" t="s">
        <v>338</v>
      </c>
      <c r="B833" s="95" t="s">
        <v>446</v>
      </c>
      <c r="C833" s="95"/>
      <c r="D833" s="95" t="s">
        <v>448</v>
      </c>
      <c r="E833" s="144"/>
      <c r="F833" s="144"/>
      <c r="G833" s="144"/>
      <c r="H833" s="144" t="str">
        <f t="shared" si="13"/>
        <v>#REF!</v>
      </c>
      <c r="I833" s="144"/>
      <c r="J833" s="144"/>
      <c r="K833" s="14"/>
      <c r="L833" s="14"/>
      <c r="M833" s="14"/>
    </row>
    <row r="834" hidden="1">
      <c r="A834" s="88" t="s">
        <v>338</v>
      </c>
      <c r="B834" s="95" t="s">
        <v>449</v>
      </c>
      <c r="C834" s="95"/>
      <c r="D834" s="95" t="s">
        <v>451</v>
      </c>
      <c r="E834" s="144"/>
      <c r="F834" s="144"/>
      <c r="G834" s="144"/>
      <c r="H834" s="144" t="str">
        <f t="shared" si="13"/>
        <v>#REF!</v>
      </c>
      <c r="I834" s="144"/>
      <c r="J834" s="144"/>
      <c r="K834" s="14"/>
      <c r="L834" s="14"/>
      <c r="M834" s="14"/>
    </row>
    <row r="835" hidden="1">
      <c r="A835" s="88" t="s">
        <v>338</v>
      </c>
      <c r="B835" s="95" t="s">
        <v>197</v>
      </c>
      <c r="C835" s="95"/>
      <c r="D835" s="95" t="s">
        <v>199</v>
      </c>
      <c r="E835" s="144"/>
      <c r="F835" s="144"/>
      <c r="G835" s="144"/>
      <c r="H835" s="144" t="str">
        <f t="shared" si="13"/>
        <v>#REF!</v>
      </c>
      <c r="I835" s="144"/>
      <c r="J835" s="144"/>
      <c r="K835" s="14"/>
      <c r="L835" s="14"/>
      <c r="M835" s="14"/>
    </row>
    <row r="836" hidden="1">
      <c r="A836" s="88" t="s">
        <v>338</v>
      </c>
      <c r="B836" s="95" t="s">
        <v>191</v>
      </c>
      <c r="C836" s="95"/>
      <c r="D836" s="95" t="s">
        <v>193</v>
      </c>
      <c r="E836" s="144"/>
      <c r="F836" s="144"/>
      <c r="G836" s="144"/>
      <c r="H836" s="144" t="str">
        <f t="shared" si="13"/>
        <v>#REF!</v>
      </c>
      <c r="I836" s="144"/>
      <c r="J836" s="144"/>
      <c r="K836" s="14"/>
      <c r="L836" s="14"/>
      <c r="M836" s="14"/>
    </row>
    <row r="837" hidden="1">
      <c r="A837" s="88" t="s">
        <v>338</v>
      </c>
      <c r="B837" s="95" t="s">
        <v>491</v>
      </c>
      <c r="C837" s="95"/>
      <c r="D837" s="95" t="s">
        <v>492</v>
      </c>
      <c r="E837" s="144"/>
      <c r="F837" s="144"/>
      <c r="G837" s="144"/>
      <c r="H837" s="144" t="str">
        <f t="shared" si="13"/>
        <v>#REF!</v>
      </c>
      <c r="I837" s="144"/>
      <c r="J837" s="144"/>
      <c r="K837" s="14"/>
      <c r="L837" s="14"/>
      <c r="M837" s="14"/>
    </row>
    <row r="838" hidden="1">
      <c r="A838" s="88" t="s">
        <v>340</v>
      </c>
      <c r="B838" s="92" t="s">
        <v>422</v>
      </c>
      <c r="C838" s="93"/>
      <c r="D838" s="93" t="s">
        <v>424</v>
      </c>
      <c r="E838" s="144"/>
      <c r="F838" s="144"/>
      <c r="G838" s="144"/>
      <c r="H838" s="144" t="str">
        <f t="shared" si="13"/>
        <v>#REF!</v>
      </c>
      <c r="I838" s="144"/>
      <c r="J838" s="144"/>
      <c r="K838" s="23"/>
      <c r="L838" s="23"/>
      <c r="M838" s="23"/>
    </row>
    <row r="839" hidden="1">
      <c r="A839" s="88" t="s">
        <v>340</v>
      </c>
      <c r="B839" s="92" t="s">
        <v>493</v>
      </c>
      <c r="C839" s="93"/>
      <c r="D839" s="93" t="s">
        <v>494</v>
      </c>
      <c r="E839" s="144"/>
      <c r="F839" s="144"/>
      <c r="G839" s="144"/>
      <c r="H839" s="144" t="str">
        <f t="shared" si="13"/>
        <v>#REF!</v>
      </c>
      <c r="I839" s="144"/>
      <c r="J839" s="144"/>
      <c r="K839" s="23"/>
      <c r="L839" s="23"/>
      <c r="M839" s="23"/>
    </row>
    <row r="840" hidden="1">
      <c r="A840" s="88" t="s">
        <v>340</v>
      </c>
      <c r="B840" s="92" t="s">
        <v>425</v>
      </c>
      <c r="C840" s="93"/>
      <c r="D840" s="93" t="s">
        <v>495</v>
      </c>
      <c r="E840" s="144"/>
      <c r="F840" s="144"/>
      <c r="G840" s="144"/>
      <c r="H840" s="144" t="str">
        <f t="shared" si="13"/>
        <v>#REF!</v>
      </c>
      <c r="I840" s="144"/>
      <c r="J840" s="144"/>
      <c r="K840" s="23"/>
      <c r="L840" s="23"/>
      <c r="M840" s="23"/>
    </row>
    <row r="841" hidden="1">
      <c r="A841" s="88" t="s">
        <v>340</v>
      </c>
      <c r="B841" s="92" t="s">
        <v>428</v>
      </c>
      <c r="C841" s="93"/>
      <c r="D841" s="93" t="s">
        <v>430</v>
      </c>
      <c r="E841" s="144"/>
      <c r="F841" s="144"/>
      <c r="G841" s="144"/>
      <c r="H841" s="144" t="str">
        <f t="shared" si="13"/>
        <v>#REF!</v>
      </c>
      <c r="I841" s="144"/>
      <c r="J841" s="144"/>
      <c r="K841" s="23"/>
      <c r="L841" s="23"/>
      <c r="M841" s="23"/>
    </row>
    <row r="842" hidden="1">
      <c r="A842" s="88" t="s">
        <v>340</v>
      </c>
      <c r="B842" s="92" t="s">
        <v>431</v>
      </c>
      <c r="C842" s="93"/>
      <c r="D842" s="93" t="s">
        <v>433</v>
      </c>
      <c r="E842" s="144"/>
      <c r="F842" s="144"/>
      <c r="G842" s="144"/>
      <c r="H842" s="144" t="str">
        <f t="shared" si="13"/>
        <v>#REF!</v>
      </c>
      <c r="I842" s="144"/>
      <c r="J842" s="144"/>
      <c r="K842" s="23"/>
      <c r="L842" s="23"/>
      <c r="M842" s="23"/>
    </row>
    <row r="843" hidden="1">
      <c r="A843" s="88" t="s">
        <v>340</v>
      </c>
      <c r="B843" s="92" t="s">
        <v>434</v>
      </c>
      <c r="C843" s="93"/>
      <c r="D843" s="93" t="s">
        <v>436</v>
      </c>
      <c r="E843" s="144"/>
      <c r="F843" s="144"/>
      <c r="G843" s="144"/>
      <c r="H843" s="144" t="str">
        <f t="shared" si="13"/>
        <v>#REF!</v>
      </c>
      <c r="I843" s="144"/>
      <c r="J843" s="144"/>
      <c r="K843" s="23"/>
      <c r="L843" s="23"/>
      <c r="M843" s="23"/>
    </row>
    <row r="844" hidden="1">
      <c r="A844" s="88" t="s">
        <v>340</v>
      </c>
      <c r="B844" s="92" t="s">
        <v>437</v>
      </c>
      <c r="C844" s="93"/>
      <c r="D844" s="93" t="s">
        <v>439</v>
      </c>
      <c r="E844" s="144"/>
      <c r="F844" s="144"/>
      <c r="G844" s="144"/>
      <c r="H844" s="144" t="str">
        <f t="shared" si="13"/>
        <v>#REF!</v>
      </c>
      <c r="I844" s="144"/>
      <c r="J844" s="144"/>
      <c r="K844" s="23"/>
      <c r="L844" s="23"/>
      <c r="M844" s="23"/>
    </row>
    <row r="845" hidden="1">
      <c r="A845" s="88" t="s">
        <v>340</v>
      </c>
      <c r="B845" s="92" t="s">
        <v>440</v>
      </c>
      <c r="C845" s="93"/>
      <c r="D845" s="93" t="s">
        <v>442</v>
      </c>
      <c r="E845" s="144"/>
      <c r="F845" s="144"/>
      <c r="G845" s="144"/>
      <c r="H845" s="144" t="str">
        <f t="shared" si="13"/>
        <v>#REF!</v>
      </c>
      <c r="I845" s="144"/>
      <c r="J845" s="144"/>
      <c r="K845" s="23"/>
      <c r="L845" s="23"/>
      <c r="M845" s="23"/>
    </row>
    <row r="846" hidden="1">
      <c r="A846" s="88" t="s">
        <v>340</v>
      </c>
      <c r="B846" s="92" t="s">
        <v>262</v>
      </c>
      <c r="C846" s="93"/>
      <c r="D846" s="93" t="s">
        <v>264</v>
      </c>
      <c r="E846" s="144"/>
      <c r="F846" s="144"/>
      <c r="G846" s="144"/>
      <c r="H846" s="144" t="str">
        <f t="shared" si="13"/>
        <v>#REF!</v>
      </c>
      <c r="I846" s="144"/>
      <c r="J846" s="144"/>
      <c r="K846" s="23"/>
      <c r="L846" s="23"/>
      <c r="M846" s="23"/>
    </row>
    <row r="847" hidden="1">
      <c r="A847" s="88" t="s">
        <v>340</v>
      </c>
      <c r="B847" s="95" t="s">
        <v>258</v>
      </c>
      <c r="C847" s="94"/>
      <c r="D847" s="94" t="s">
        <v>496</v>
      </c>
      <c r="E847" s="144"/>
      <c r="F847" s="144"/>
      <c r="G847" s="144"/>
      <c r="H847" s="144" t="str">
        <f t="shared" si="13"/>
        <v>#REF!</v>
      </c>
      <c r="I847" s="144"/>
      <c r="J847" s="144"/>
      <c r="K847" s="14"/>
      <c r="L847" s="14"/>
      <c r="M847" s="14"/>
    </row>
    <row r="848" hidden="1">
      <c r="A848" s="88" t="s">
        <v>340</v>
      </c>
      <c r="B848" s="94" t="s">
        <v>182</v>
      </c>
      <c r="C848" s="94"/>
      <c r="D848" s="94" t="s">
        <v>497</v>
      </c>
      <c r="E848" s="144"/>
      <c r="F848" s="144"/>
      <c r="G848" s="144"/>
      <c r="H848" s="144" t="str">
        <f t="shared" si="13"/>
        <v>#REF!</v>
      </c>
      <c r="I848" s="144"/>
      <c r="J848" s="144"/>
      <c r="K848" s="14"/>
      <c r="L848" s="14"/>
      <c r="M848" s="14"/>
    </row>
    <row r="849" hidden="1">
      <c r="A849" s="88" t="s">
        <v>340</v>
      </c>
      <c r="B849" s="94" t="s">
        <v>185</v>
      </c>
      <c r="C849" s="94"/>
      <c r="D849" s="94" t="s">
        <v>187</v>
      </c>
      <c r="E849" s="144"/>
      <c r="F849" s="144"/>
      <c r="G849" s="144"/>
      <c r="H849" s="144" t="str">
        <f t="shared" si="13"/>
        <v>#REF!</v>
      </c>
      <c r="I849" s="144"/>
      <c r="J849" s="144"/>
      <c r="K849" s="14"/>
      <c r="L849" s="14"/>
      <c r="M849" s="14"/>
    </row>
    <row r="850" hidden="1">
      <c r="A850" s="88" t="s">
        <v>340</v>
      </c>
      <c r="B850" s="94" t="s">
        <v>188</v>
      </c>
      <c r="C850" s="94"/>
      <c r="D850" s="94" t="s">
        <v>190</v>
      </c>
      <c r="E850" s="144"/>
      <c r="F850" s="144"/>
      <c r="G850" s="144"/>
      <c r="H850" s="144" t="str">
        <f t="shared" si="13"/>
        <v>#REF!</v>
      </c>
      <c r="I850" s="144"/>
      <c r="J850" s="144"/>
      <c r="K850" s="14"/>
      <c r="L850" s="14"/>
      <c r="M850" s="14"/>
    </row>
    <row r="851" hidden="1">
      <c r="A851" s="88" t="s">
        <v>341</v>
      </c>
      <c r="B851" s="92" t="s">
        <v>422</v>
      </c>
      <c r="C851" s="93"/>
      <c r="D851" s="93" t="s">
        <v>424</v>
      </c>
      <c r="E851" s="144"/>
      <c r="F851" s="144"/>
      <c r="G851" s="144"/>
      <c r="H851" s="144" t="str">
        <f t="shared" si="13"/>
        <v>#REF!</v>
      </c>
      <c r="I851" s="144"/>
      <c r="J851" s="144"/>
      <c r="K851" s="23"/>
      <c r="L851" s="23"/>
      <c r="M851" s="23"/>
    </row>
    <row r="852" hidden="1">
      <c r="A852" s="88" t="s">
        <v>341</v>
      </c>
      <c r="B852" s="92" t="s">
        <v>493</v>
      </c>
      <c r="C852" s="93"/>
      <c r="D852" s="93" t="s">
        <v>494</v>
      </c>
      <c r="E852" s="144"/>
      <c r="F852" s="144"/>
      <c r="G852" s="144"/>
      <c r="H852" s="144" t="str">
        <f t="shared" si="13"/>
        <v>#REF!</v>
      </c>
      <c r="I852" s="144"/>
      <c r="J852" s="144"/>
      <c r="K852" s="23"/>
      <c r="L852" s="23"/>
      <c r="M852" s="23"/>
    </row>
    <row r="853" hidden="1">
      <c r="A853" s="88" t="s">
        <v>341</v>
      </c>
      <c r="B853" s="92" t="s">
        <v>425</v>
      </c>
      <c r="C853" s="93"/>
      <c r="D853" s="93" t="s">
        <v>495</v>
      </c>
      <c r="E853" s="144"/>
      <c r="F853" s="144"/>
      <c r="G853" s="144"/>
      <c r="H853" s="144" t="str">
        <f t="shared" si="13"/>
        <v>#REF!</v>
      </c>
      <c r="I853" s="144"/>
      <c r="J853" s="144"/>
      <c r="K853" s="23"/>
      <c r="L853" s="23"/>
      <c r="M853" s="23"/>
    </row>
    <row r="854" hidden="1">
      <c r="A854" s="88" t="s">
        <v>341</v>
      </c>
      <c r="B854" s="92" t="s">
        <v>428</v>
      </c>
      <c r="C854" s="93"/>
      <c r="D854" s="93" t="s">
        <v>430</v>
      </c>
      <c r="E854" s="144"/>
      <c r="F854" s="144"/>
      <c r="G854" s="144"/>
      <c r="H854" s="144" t="str">
        <f t="shared" si="13"/>
        <v>#REF!</v>
      </c>
      <c r="I854" s="144"/>
      <c r="J854" s="144"/>
      <c r="K854" s="23"/>
      <c r="L854" s="23"/>
      <c r="M854" s="23"/>
    </row>
    <row r="855" hidden="1">
      <c r="A855" s="88" t="s">
        <v>341</v>
      </c>
      <c r="B855" s="92" t="s">
        <v>431</v>
      </c>
      <c r="C855" s="93"/>
      <c r="D855" s="93" t="s">
        <v>433</v>
      </c>
      <c r="E855" s="144"/>
      <c r="F855" s="144"/>
      <c r="G855" s="144"/>
      <c r="H855" s="144" t="str">
        <f t="shared" si="13"/>
        <v>#REF!</v>
      </c>
      <c r="I855" s="144"/>
      <c r="J855" s="144"/>
      <c r="K855" s="23"/>
      <c r="L855" s="23"/>
      <c r="M855" s="23"/>
    </row>
    <row r="856" hidden="1">
      <c r="A856" s="88" t="s">
        <v>341</v>
      </c>
      <c r="B856" s="92" t="s">
        <v>434</v>
      </c>
      <c r="C856" s="93"/>
      <c r="D856" s="93" t="s">
        <v>436</v>
      </c>
      <c r="E856" s="144"/>
      <c r="F856" s="144"/>
      <c r="G856" s="144"/>
      <c r="H856" s="144" t="str">
        <f t="shared" si="13"/>
        <v>#REF!</v>
      </c>
      <c r="I856" s="144"/>
      <c r="J856" s="144"/>
      <c r="K856" s="23"/>
      <c r="L856" s="23"/>
      <c r="M856" s="23"/>
    </row>
    <row r="857" hidden="1">
      <c r="A857" s="88" t="s">
        <v>341</v>
      </c>
      <c r="B857" s="92" t="s">
        <v>437</v>
      </c>
      <c r="C857" s="93"/>
      <c r="D857" s="93" t="s">
        <v>439</v>
      </c>
      <c r="E857" s="144"/>
      <c r="F857" s="144"/>
      <c r="G857" s="144"/>
      <c r="H857" s="144" t="str">
        <f t="shared" si="13"/>
        <v>#REF!</v>
      </c>
      <c r="I857" s="144"/>
      <c r="J857" s="144"/>
      <c r="K857" s="23"/>
      <c r="L857" s="23"/>
      <c r="M857" s="23"/>
    </row>
    <row r="858" hidden="1">
      <c r="A858" s="88" t="s">
        <v>341</v>
      </c>
      <c r="B858" s="92" t="s">
        <v>440</v>
      </c>
      <c r="C858" s="93"/>
      <c r="D858" s="93" t="s">
        <v>442</v>
      </c>
      <c r="E858" s="144"/>
      <c r="F858" s="144"/>
      <c r="G858" s="144"/>
      <c r="H858" s="144" t="str">
        <f t="shared" si="13"/>
        <v>#REF!</v>
      </c>
      <c r="I858" s="144"/>
      <c r="J858" s="144"/>
      <c r="K858" s="23"/>
      <c r="L858" s="23"/>
      <c r="M858" s="23"/>
    </row>
    <row r="859" hidden="1">
      <c r="A859" s="88" t="s">
        <v>341</v>
      </c>
      <c r="B859" s="92" t="s">
        <v>262</v>
      </c>
      <c r="C859" s="93"/>
      <c r="D859" s="93" t="s">
        <v>264</v>
      </c>
      <c r="E859" s="144"/>
      <c r="F859" s="144"/>
      <c r="G859" s="144"/>
      <c r="H859" s="144" t="str">
        <f t="shared" si="13"/>
        <v>#REF!</v>
      </c>
      <c r="I859" s="144"/>
      <c r="J859" s="144"/>
      <c r="K859" s="23"/>
      <c r="L859" s="23"/>
      <c r="M859" s="23"/>
    </row>
    <row r="860" hidden="1">
      <c r="A860" s="88" t="s">
        <v>341</v>
      </c>
      <c r="B860" s="95" t="s">
        <v>258</v>
      </c>
      <c r="C860" s="94"/>
      <c r="D860" s="94" t="s">
        <v>496</v>
      </c>
      <c r="E860" s="144"/>
      <c r="F860" s="144"/>
      <c r="G860" s="144"/>
      <c r="H860" s="144" t="str">
        <f t="shared" si="13"/>
        <v>#REF!</v>
      </c>
      <c r="I860" s="144"/>
      <c r="J860" s="144"/>
      <c r="K860" s="14"/>
      <c r="L860" s="14"/>
      <c r="M860" s="14"/>
    </row>
    <row r="861" hidden="1">
      <c r="A861" s="88" t="s">
        <v>341</v>
      </c>
      <c r="B861" s="94" t="s">
        <v>182</v>
      </c>
      <c r="C861" s="94"/>
      <c r="D861" s="94" t="s">
        <v>497</v>
      </c>
      <c r="E861" s="144"/>
      <c r="F861" s="144"/>
      <c r="G861" s="144"/>
      <c r="H861" s="144" t="str">
        <f t="shared" si="13"/>
        <v>#REF!</v>
      </c>
      <c r="I861" s="144"/>
      <c r="J861" s="144"/>
      <c r="K861" s="14"/>
      <c r="L861" s="14"/>
      <c r="M861" s="14"/>
    </row>
    <row r="862" hidden="1">
      <c r="A862" s="88" t="s">
        <v>341</v>
      </c>
      <c r="B862" s="94" t="s">
        <v>185</v>
      </c>
      <c r="C862" s="94"/>
      <c r="D862" s="94" t="s">
        <v>187</v>
      </c>
      <c r="E862" s="144"/>
      <c r="F862" s="144"/>
      <c r="G862" s="144"/>
      <c r="H862" s="144" t="str">
        <f t="shared" si="13"/>
        <v>#REF!</v>
      </c>
      <c r="I862" s="144"/>
      <c r="J862" s="144"/>
      <c r="K862" s="14"/>
      <c r="L862" s="14"/>
      <c r="M862" s="14"/>
    </row>
    <row r="863" hidden="1">
      <c r="A863" s="88" t="s">
        <v>341</v>
      </c>
      <c r="B863" s="94" t="s">
        <v>188</v>
      </c>
      <c r="C863" s="94"/>
      <c r="D863" s="94" t="s">
        <v>190</v>
      </c>
      <c r="E863" s="144"/>
      <c r="F863" s="144"/>
      <c r="G863" s="144"/>
      <c r="H863" s="144" t="str">
        <f t="shared" si="13"/>
        <v>#REF!</v>
      </c>
      <c r="I863" s="144"/>
      <c r="J863" s="144"/>
      <c r="K863" s="14"/>
      <c r="L863" s="14"/>
      <c r="M863" s="14"/>
    </row>
    <row r="864" hidden="1">
      <c r="A864" s="88" t="s">
        <v>341</v>
      </c>
      <c r="B864" s="94" t="s">
        <v>491</v>
      </c>
      <c r="C864" s="94"/>
      <c r="D864" s="94" t="s">
        <v>498</v>
      </c>
      <c r="E864" s="144"/>
      <c r="F864" s="144"/>
      <c r="G864" s="144"/>
      <c r="H864" s="144" t="str">
        <f t="shared" si="13"/>
        <v>#REF!</v>
      </c>
      <c r="I864" s="144"/>
      <c r="J864" s="144"/>
      <c r="K864" s="14"/>
      <c r="L864" s="14"/>
      <c r="M864" s="14"/>
    </row>
    <row r="865" hidden="1">
      <c r="A865" s="88" t="s">
        <v>342</v>
      </c>
      <c r="B865" s="92" t="s">
        <v>422</v>
      </c>
      <c r="C865" s="93"/>
      <c r="D865" s="93" t="s">
        <v>424</v>
      </c>
      <c r="E865" s="144"/>
      <c r="F865" s="144"/>
      <c r="G865" s="144"/>
      <c r="H865" s="144" t="str">
        <f t="shared" si="13"/>
        <v>#REF!</v>
      </c>
      <c r="I865" s="144"/>
      <c r="J865" s="144"/>
      <c r="K865" s="23"/>
      <c r="L865" s="23"/>
      <c r="M865" s="23"/>
    </row>
    <row r="866" hidden="1">
      <c r="A866" s="88" t="s">
        <v>342</v>
      </c>
      <c r="B866" s="92" t="s">
        <v>493</v>
      </c>
      <c r="C866" s="93"/>
      <c r="D866" s="93" t="s">
        <v>494</v>
      </c>
      <c r="E866" s="144"/>
      <c r="F866" s="144"/>
      <c r="G866" s="144"/>
      <c r="H866" s="144" t="str">
        <f t="shared" si="13"/>
        <v>#REF!</v>
      </c>
      <c r="I866" s="144"/>
      <c r="J866" s="144"/>
      <c r="K866" s="23"/>
      <c r="L866" s="23"/>
      <c r="M866" s="23"/>
    </row>
    <row r="867" hidden="1">
      <c r="A867" s="88" t="s">
        <v>342</v>
      </c>
      <c r="B867" s="92" t="s">
        <v>425</v>
      </c>
      <c r="C867" s="93"/>
      <c r="D867" s="93" t="s">
        <v>495</v>
      </c>
      <c r="E867" s="144"/>
      <c r="F867" s="144"/>
      <c r="G867" s="144"/>
      <c r="H867" s="144" t="str">
        <f t="shared" si="13"/>
        <v>#REF!</v>
      </c>
      <c r="I867" s="144"/>
      <c r="J867" s="144"/>
      <c r="K867" s="23"/>
      <c r="L867" s="23"/>
      <c r="M867" s="23"/>
    </row>
    <row r="868" hidden="1">
      <c r="A868" s="88" t="s">
        <v>342</v>
      </c>
      <c r="B868" s="92" t="s">
        <v>428</v>
      </c>
      <c r="C868" s="93"/>
      <c r="D868" s="93" t="s">
        <v>430</v>
      </c>
      <c r="E868" s="144"/>
      <c r="F868" s="144"/>
      <c r="G868" s="144"/>
      <c r="H868" s="144" t="str">
        <f t="shared" si="13"/>
        <v>#REF!</v>
      </c>
      <c r="I868" s="144"/>
      <c r="J868" s="144"/>
      <c r="K868" s="23"/>
      <c r="L868" s="23"/>
      <c r="M868" s="23"/>
    </row>
    <row r="869" hidden="1">
      <c r="A869" s="88" t="s">
        <v>342</v>
      </c>
      <c r="B869" s="92" t="s">
        <v>431</v>
      </c>
      <c r="C869" s="93"/>
      <c r="D869" s="93" t="s">
        <v>433</v>
      </c>
      <c r="E869" s="144"/>
      <c r="F869" s="144"/>
      <c r="G869" s="144"/>
      <c r="H869" s="144" t="str">
        <f t="shared" si="13"/>
        <v>#REF!</v>
      </c>
      <c r="I869" s="144"/>
      <c r="J869" s="144"/>
      <c r="K869" s="23"/>
      <c r="L869" s="23"/>
      <c r="M869" s="23"/>
    </row>
    <row r="870" hidden="1">
      <c r="A870" s="88" t="s">
        <v>342</v>
      </c>
      <c r="B870" s="92" t="s">
        <v>434</v>
      </c>
      <c r="C870" s="93"/>
      <c r="D870" s="93" t="s">
        <v>436</v>
      </c>
      <c r="E870" s="144"/>
      <c r="F870" s="144"/>
      <c r="G870" s="144"/>
      <c r="H870" s="144" t="str">
        <f t="shared" si="13"/>
        <v>#REF!</v>
      </c>
      <c r="I870" s="144"/>
      <c r="J870" s="144"/>
      <c r="K870" s="23"/>
      <c r="L870" s="23"/>
      <c r="M870" s="23"/>
    </row>
    <row r="871" hidden="1">
      <c r="A871" s="88" t="s">
        <v>342</v>
      </c>
      <c r="B871" s="92" t="s">
        <v>437</v>
      </c>
      <c r="C871" s="93"/>
      <c r="D871" s="93" t="s">
        <v>439</v>
      </c>
      <c r="E871" s="144"/>
      <c r="F871" s="144"/>
      <c r="G871" s="144"/>
      <c r="H871" s="144" t="str">
        <f t="shared" si="13"/>
        <v>#REF!</v>
      </c>
      <c r="I871" s="144"/>
      <c r="J871" s="144"/>
      <c r="K871" s="23"/>
      <c r="L871" s="23"/>
      <c r="M871" s="23"/>
    </row>
    <row r="872" hidden="1">
      <c r="A872" s="88" t="s">
        <v>342</v>
      </c>
      <c r="B872" s="92" t="s">
        <v>440</v>
      </c>
      <c r="C872" s="93"/>
      <c r="D872" s="93" t="s">
        <v>442</v>
      </c>
      <c r="E872" s="144"/>
      <c r="F872" s="144"/>
      <c r="G872" s="144"/>
      <c r="H872" s="144" t="str">
        <f t="shared" si="13"/>
        <v>#REF!</v>
      </c>
      <c r="I872" s="144"/>
      <c r="J872" s="144"/>
      <c r="K872" s="23"/>
      <c r="L872" s="23"/>
      <c r="M872" s="23"/>
    </row>
    <row r="873" hidden="1">
      <c r="A873" s="88" t="s">
        <v>342</v>
      </c>
      <c r="B873" s="92" t="s">
        <v>262</v>
      </c>
      <c r="C873" s="93"/>
      <c r="D873" s="93" t="s">
        <v>264</v>
      </c>
      <c r="E873" s="144"/>
      <c r="F873" s="144"/>
      <c r="G873" s="144"/>
      <c r="H873" s="144" t="str">
        <f t="shared" si="13"/>
        <v>#REF!</v>
      </c>
      <c r="I873" s="144"/>
      <c r="J873" s="144"/>
      <c r="K873" s="23"/>
      <c r="L873" s="23"/>
      <c r="M873" s="23"/>
    </row>
    <row r="874" hidden="1">
      <c r="A874" s="88" t="s">
        <v>342</v>
      </c>
      <c r="B874" s="95" t="s">
        <v>258</v>
      </c>
      <c r="C874" s="95"/>
      <c r="D874" s="95" t="s">
        <v>496</v>
      </c>
      <c r="E874" s="144"/>
      <c r="F874" s="144"/>
      <c r="G874" s="144"/>
      <c r="H874" s="144" t="str">
        <f t="shared" si="13"/>
        <v>#REF!</v>
      </c>
      <c r="I874" s="144"/>
      <c r="J874" s="144"/>
      <c r="K874" s="14"/>
      <c r="L874" s="14"/>
      <c r="M874" s="14"/>
    </row>
    <row r="875" hidden="1">
      <c r="A875" s="88" t="s">
        <v>342</v>
      </c>
      <c r="B875" s="94" t="s">
        <v>182</v>
      </c>
      <c r="C875" s="95"/>
      <c r="D875" s="95" t="s">
        <v>497</v>
      </c>
      <c r="E875" s="144"/>
      <c r="F875" s="144"/>
      <c r="G875" s="144"/>
      <c r="H875" s="144" t="str">
        <f t="shared" si="13"/>
        <v>#REF!</v>
      </c>
      <c r="I875" s="144"/>
      <c r="J875" s="144"/>
      <c r="K875" s="14"/>
      <c r="L875" s="14"/>
      <c r="M875" s="14"/>
    </row>
    <row r="876" hidden="1">
      <c r="A876" s="88" t="s">
        <v>342</v>
      </c>
      <c r="B876" s="94" t="s">
        <v>185</v>
      </c>
      <c r="C876" s="95"/>
      <c r="D876" s="95" t="s">
        <v>187</v>
      </c>
      <c r="E876" s="144"/>
      <c r="F876" s="144"/>
      <c r="G876" s="144"/>
      <c r="H876" s="144" t="str">
        <f t="shared" si="13"/>
        <v>#REF!</v>
      </c>
      <c r="I876" s="144"/>
      <c r="J876" s="144"/>
      <c r="K876" s="14"/>
      <c r="L876" s="14"/>
      <c r="M876" s="14"/>
    </row>
    <row r="877" hidden="1">
      <c r="A877" s="88" t="s">
        <v>342</v>
      </c>
      <c r="B877" s="94" t="s">
        <v>188</v>
      </c>
      <c r="C877" s="95"/>
      <c r="D877" s="95" t="s">
        <v>190</v>
      </c>
      <c r="E877" s="144"/>
      <c r="F877" s="144"/>
      <c r="G877" s="144"/>
      <c r="H877" s="144" t="str">
        <f t="shared" si="13"/>
        <v>#REF!</v>
      </c>
      <c r="I877" s="144"/>
      <c r="J877" s="144"/>
      <c r="K877" s="14"/>
      <c r="L877" s="14"/>
      <c r="M877" s="14"/>
    </row>
    <row r="878" hidden="1">
      <c r="A878" s="88" t="s">
        <v>342</v>
      </c>
      <c r="B878" s="94" t="s">
        <v>113</v>
      </c>
      <c r="C878" s="78"/>
      <c r="D878" s="78"/>
      <c r="E878" s="144"/>
      <c r="F878" s="144"/>
      <c r="G878" s="144"/>
      <c r="H878" s="144" t="str">
        <f t="shared" si="13"/>
        <v>#REF!</v>
      </c>
      <c r="I878" s="144"/>
      <c r="J878" s="144"/>
      <c r="K878" s="14"/>
      <c r="L878" s="14"/>
      <c r="M878" s="14"/>
    </row>
    <row r="879" hidden="1">
      <c r="A879" s="88" t="s">
        <v>342</v>
      </c>
      <c r="B879" s="94" t="s">
        <v>499</v>
      </c>
      <c r="C879" s="78"/>
      <c r="D879" s="78"/>
      <c r="E879" s="144"/>
      <c r="F879" s="144"/>
      <c r="G879" s="144"/>
      <c r="H879" s="144" t="str">
        <f t="shared" si="13"/>
        <v>#REF!</v>
      </c>
      <c r="I879" s="144"/>
      <c r="J879" s="144"/>
      <c r="K879" s="14"/>
      <c r="L879" s="14"/>
      <c r="M879" s="14"/>
    </row>
    <row r="880" hidden="1">
      <c r="A880" s="88" t="s">
        <v>342</v>
      </c>
      <c r="B880" s="94" t="s">
        <v>107</v>
      </c>
      <c r="C880" s="78"/>
      <c r="D880" s="78"/>
      <c r="E880" s="144"/>
      <c r="F880" s="144"/>
      <c r="G880" s="144"/>
      <c r="H880" s="144" t="str">
        <f t="shared" si="13"/>
        <v>#REF!</v>
      </c>
      <c r="I880" s="144"/>
      <c r="J880" s="144"/>
      <c r="K880" s="14"/>
      <c r="L880" s="14"/>
      <c r="M880" s="14"/>
    </row>
    <row r="881" hidden="1">
      <c r="A881" s="88" t="s">
        <v>342</v>
      </c>
      <c r="B881" s="95" t="s">
        <v>95</v>
      </c>
      <c r="C881" s="78"/>
      <c r="D881" s="78"/>
      <c r="E881" s="144"/>
      <c r="F881" s="144"/>
      <c r="G881" s="144"/>
      <c r="H881" s="144" t="str">
        <f t="shared" si="13"/>
        <v>#REF!</v>
      </c>
      <c r="I881" s="144"/>
      <c r="J881" s="144"/>
      <c r="K881" s="14"/>
      <c r="L881" s="14"/>
      <c r="M881" s="14"/>
    </row>
    <row r="882" hidden="1">
      <c r="A882" s="88" t="s">
        <v>342</v>
      </c>
      <c r="B882" s="94" t="s">
        <v>104</v>
      </c>
      <c r="C882" s="78"/>
      <c r="D882" s="78"/>
      <c r="E882" s="144"/>
      <c r="F882" s="144"/>
      <c r="G882" s="144"/>
      <c r="H882" s="144" t="str">
        <f t="shared" si="13"/>
        <v>#REF!</v>
      </c>
      <c r="I882" s="144"/>
      <c r="J882" s="144"/>
      <c r="K882" s="14"/>
      <c r="L882" s="14"/>
      <c r="M882" s="14"/>
    </row>
    <row r="883" hidden="1">
      <c r="A883" s="88" t="s">
        <v>342</v>
      </c>
      <c r="B883" s="95" t="s">
        <v>116</v>
      </c>
      <c r="C883" s="78"/>
      <c r="D883" s="78"/>
      <c r="E883" s="144"/>
      <c r="F883" s="144"/>
      <c r="G883" s="144"/>
      <c r="H883" s="144" t="str">
        <f t="shared" si="13"/>
        <v>#REF!</v>
      </c>
      <c r="I883" s="144"/>
      <c r="J883" s="144"/>
      <c r="K883" s="14"/>
      <c r="L883" s="14"/>
      <c r="M883" s="14"/>
    </row>
    <row r="884" hidden="1">
      <c r="A884" s="88" t="s">
        <v>342</v>
      </c>
      <c r="B884" s="95" t="s">
        <v>491</v>
      </c>
      <c r="C884" s="95"/>
      <c r="D884" s="95" t="s">
        <v>498</v>
      </c>
      <c r="E884" s="144"/>
      <c r="F884" s="144"/>
      <c r="G884" s="144"/>
      <c r="H884" s="144" t="str">
        <f t="shared" si="13"/>
        <v>#REF!</v>
      </c>
      <c r="I884" s="144"/>
      <c r="J884" s="144"/>
      <c r="K884" s="14"/>
      <c r="L884" s="14"/>
      <c r="M884" s="14"/>
    </row>
    <row r="885" hidden="1">
      <c r="A885" s="88" t="s">
        <v>347</v>
      </c>
      <c r="B885" s="92" t="s">
        <v>422</v>
      </c>
      <c r="C885" s="93"/>
      <c r="D885" s="93" t="s">
        <v>424</v>
      </c>
      <c r="E885" s="144"/>
      <c r="F885" s="144"/>
      <c r="G885" s="144"/>
      <c r="H885" s="144" t="str">
        <f t="shared" si="13"/>
        <v>#REF!</v>
      </c>
      <c r="I885" s="144"/>
      <c r="J885" s="144"/>
      <c r="K885" s="144"/>
      <c r="L885" s="144"/>
      <c r="M885" s="144"/>
    </row>
    <row r="886" hidden="1">
      <c r="A886" s="88" t="s">
        <v>347</v>
      </c>
      <c r="B886" s="92" t="s">
        <v>493</v>
      </c>
      <c r="C886" s="93"/>
      <c r="D886" s="93" t="s">
        <v>494</v>
      </c>
      <c r="E886" s="144"/>
      <c r="F886" s="144"/>
      <c r="G886" s="144"/>
      <c r="H886" s="144" t="str">
        <f t="shared" si="13"/>
        <v>#REF!</v>
      </c>
      <c r="I886" s="144"/>
      <c r="J886" s="144"/>
      <c r="K886" s="144"/>
      <c r="L886" s="144"/>
      <c r="M886" s="144"/>
    </row>
    <row r="887" hidden="1">
      <c r="A887" s="88" t="s">
        <v>347</v>
      </c>
      <c r="B887" s="92" t="s">
        <v>425</v>
      </c>
      <c r="C887" s="93"/>
      <c r="D887" s="93" t="s">
        <v>495</v>
      </c>
      <c r="E887" s="144"/>
      <c r="F887" s="144"/>
      <c r="G887" s="144"/>
      <c r="H887" s="144" t="str">
        <f t="shared" si="13"/>
        <v>#REF!</v>
      </c>
      <c r="I887" s="144"/>
      <c r="J887" s="144"/>
      <c r="K887" s="144"/>
      <c r="L887" s="144"/>
      <c r="M887" s="144"/>
    </row>
    <row r="888" hidden="1">
      <c r="A888" s="88" t="s">
        <v>347</v>
      </c>
      <c r="B888" s="92" t="s">
        <v>428</v>
      </c>
      <c r="C888" s="93"/>
      <c r="D888" s="93" t="s">
        <v>430</v>
      </c>
      <c r="E888" s="144"/>
      <c r="F888" s="144"/>
      <c r="G888" s="144"/>
      <c r="H888" s="144" t="str">
        <f t="shared" si="13"/>
        <v>#REF!</v>
      </c>
      <c r="I888" s="144"/>
      <c r="J888" s="144"/>
      <c r="K888" s="144"/>
      <c r="L888" s="144"/>
      <c r="M888" s="144"/>
    </row>
    <row r="889" hidden="1">
      <c r="A889" s="88" t="s">
        <v>347</v>
      </c>
      <c r="B889" s="92" t="s">
        <v>431</v>
      </c>
      <c r="C889" s="93"/>
      <c r="D889" s="93" t="s">
        <v>433</v>
      </c>
      <c r="E889" s="144"/>
      <c r="F889" s="144"/>
      <c r="G889" s="144"/>
      <c r="H889" s="144" t="str">
        <f t="shared" si="13"/>
        <v>#REF!</v>
      </c>
      <c r="I889" s="144"/>
      <c r="J889" s="144"/>
      <c r="K889" s="144"/>
      <c r="L889" s="144"/>
      <c r="M889" s="144"/>
    </row>
    <row r="890" hidden="1">
      <c r="A890" s="88" t="s">
        <v>347</v>
      </c>
      <c r="B890" s="92" t="s">
        <v>434</v>
      </c>
      <c r="C890" s="93"/>
      <c r="D890" s="93" t="s">
        <v>436</v>
      </c>
      <c r="E890" s="144"/>
      <c r="F890" s="144"/>
      <c r="G890" s="144"/>
      <c r="H890" s="144" t="str">
        <f t="shared" si="13"/>
        <v>#REF!</v>
      </c>
      <c r="I890" s="144"/>
      <c r="J890" s="144"/>
      <c r="K890" s="144"/>
      <c r="L890" s="144"/>
      <c r="M890" s="144"/>
    </row>
    <row r="891" hidden="1">
      <c r="A891" s="88" t="s">
        <v>347</v>
      </c>
      <c r="B891" s="92" t="s">
        <v>437</v>
      </c>
      <c r="C891" s="93"/>
      <c r="D891" s="93" t="s">
        <v>439</v>
      </c>
      <c r="E891" s="144"/>
      <c r="F891" s="144"/>
      <c r="G891" s="144"/>
      <c r="H891" s="144" t="str">
        <f t="shared" si="13"/>
        <v>#REF!</v>
      </c>
      <c r="I891" s="144"/>
      <c r="J891" s="144"/>
      <c r="K891" s="144"/>
      <c r="L891" s="144"/>
      <c r="M891" s="144"/>
    </row>
    <row r="892" hidden="1">
      <c r="A892" s="88" t="s">
        <v>347</v>
      </c>
      <c r="B892" s="92" t="s">
        <v>440</v>
      </c>
      <c r="C892" s="93"/>
      <c r="D892" s="93" t="s">
        <v>442</v>
      </c>
      <c r="E892" s="144"/>
      <c r="F892" s="144"/>
      <c r="G892" s="144"/>
      <c r="H892" s="144" t="str">
        <f t="shared" si="13"/>
        <v>#REF!</v>
      </c>
      <c r="I892" s="144"/>
      <c r="J892" s="144"/>
      <c r="K892" s="144"/>
      <c r="L892" s="144"/>
      <c r="M892" s="144"/>
    </row>
    <row r="893" hidden="1">
      <c r="A893" s="88" t="s">
        <v>347</v>
      </c>
      <c r="B893" s="92" t="s">
        <v>262</v>
      </c>
      <c r="C893" s="93"/>
      <c r="D893" s="93" t="s">
        <v>264</v>
      </c>
      <c r="E893" s="144"/>
      <c r="F893" s="144"/>
      <c r="G893" s="144"/>
      <c r="H893" s="144" t="str">
        <f t="shared" si="13"/>
        <v>#REF!</v>
      </c>
      <c r="I893" s="144"/>
      <c r="J893" s="144"/>
      <c r="K893" s="144"/>
      <c r="L893" s="144"/>
      <c r="M893" s="144"/>
    </row>
    <row r="894" hidden="1">
      <c r="A894" s="88" t="s">
        <v>347</v>
      </c>
      <c r="B894" s="94" t="s">
        <v>291</v>
      </c>
      <c r="C894" s="93"/>
      <c r="D894" s="93" t="s">
        <v>293</v>
      </c>
      <c r="E894" s="144"/>
      <c r="F894" s="144"/>
      <c r="G894" s="144"/>
      <c r="H894" s="144" t="str">
        <f t="shared" si="13"/>
        <v>#REF!</v>
      </c>
      <c r="I894" s="144"/>
      <c r="J894" s="144"/>
      <c r="K894" s="144"/>
      <c r="L894" s="144"/>
      <c r="M894" s="144"/>
    </row>
    <row r="895" hidden="1">
      <c r="A895" s="88" t="s">
        <v>347</v>
      </c>
      <c r="B895" s="99" t="s">
        <v>258</v>
      </c>
      <c r="C895" s="101"/>
      <c r="D895" s="101" t="s">
        <v>500</v>
      </c>
      <c r="E895" s="144"/>
      <c r="F895" s="144"/>
      <c r="G895" s="144"/>
      <c r="H895" s="144" t="str">
        <f t="shared" si="13"/>
        <v>#REF!</v>
      </c>
      <c r="I895" s="144"/>
      <c r="J895" s="144"/>
    </row>
    <row r="896" hidden="1">
      <c r="A896" s="88" t="s">
        <v>347</v>
      </c>
      <c r="B896" s="101" t="s">
        <v>182</v>
      </c>
      <c r="C896" s="101"/>
      <c r="D896" s="101" t="s">
        <v>501</v>
      </c>
      <c r="E896" s="144"/>
      <c r="F896" s="144"/>
      <c r="G896" s="144"/>
      <c r="H896" s="144" t="str">
        <f t="shared" si="13"/>
        <v>#REF!</v>
      </c>
      <c r="I896" s="144"/>
      <c r="J896" s="144"/>
    </row>
    <row r="897" hidden="1">
      <c r="A897" s="88" t="s">
        <v>347</v>
      </c>
      <c r="B897" s="101" t="s">
        <v>185</v>
      </c>
      <c r="C897" s="101"/>
      <c r="D897" s="101" t="s">
        <v>502</v>
      </c>
      <c r="E897" s="144"/>
      <c r="F897" s="144"/>
      <c r="G897" s="144"/>
      <c r="H897" s="144" t="str">
        <f t="shared" si="13"/>
        <v>#REF!</v>
      </c>
      <c r="I897" s="144"/>
      <c r="J897" s="144"/>
    </row>
    <row r="898" hidden="1">
      <c r="A898" s="88" t="s">
        <v>347</v>
      </c>
      <c r="B898" s="101" t="s">
        <v>188</v>
      </c>
      <c r="C898" s="101"/>
      <c r="D898" s="101" t="s">
        <v>503</v>
      </c>
      <c r="E898" s="144"/>
      <c r="F898" s="144"/>
      <c r="G898" s="144"/>
      <c r="H898" s="144" t="str">
        <f t="shared" si="13"/>
        <v>#REF!</v>
      </c>
      <c r="I898" s="144"/>
      <c r="J898" s="144"/>
    </row>
    <row r="899" hidden="1">
      <c r="A899" s="88" t="s">
        <v>347</v>
      </c>
      <c r="B899" s="101" t="s">
        <v>113</v>
      </c>
      <c r="E899" s="144"/>
      <c r="F899" s="144"/>
      <c r="G899" s="144"/>
      <c r="H899" s="144" t="str">
        <f t="shared" si="13"/>
        <v>#REF!</v>
      </c>
      <c r="I899" s="144"/>
      <c r="J899" s="144"/>
    </row>
    <row r="900" hidden="1">
      <c r="A900" s="88" t="s">
        <v>347</v>
      </c>
      <c r="B900" s="101" t="s">
        <v>499</v>
      </c>
      <c r="E900" s="144"/>
      <c r="F900" s="144"/>
      <c r="G900" s="144"/>
      <c r="H900" s="144" t="str">
        <f t="shared" si="13"/>
        <v>#REF!</v>
      </c>
      <c r="I900" s="144"/>
      <c r="J900" s="144"/>
    </row>
    <row r="901" hidden="1">
      <c r="A901" s="88" t="s">
        <v>347</v>
      </c>
      <c r="B901" s="101" t="s">
        <v>107</v>
      </c>
      <c r="E901" s="144"/>
      <c r="F901" s="144"/>
      <c r="G901" s="144"/>
      <c r="H901" s="144" t="str">
        <f t="shared" si="13"/>
        <v>#REF!</v>
      </c>
      <c r="I901" s="144"/>
      <c r="J901" s="144"/>
    </row>
    <row r="902" hidden="1">
      <c r="A902" s="88" t="s">
        <v>347</v>
      </c>
      <c r="B902" s="99" t="s">
        <v>95</v>
      </c>
      <c r="E902" s="144"/>
      <c r="F902" s="144"/>
      <c r="G902" s="144"/>
      <c r="H902" s="144" t="str">
        <f t="shared" si="13"/>
        <v>#REF!</v>
      </c>
      <c r="I902" s="144"/>
      <c r="J902" s="144"/>
    </row>
    <row r="903" hidden="1">
      <c r="A903" s="88" t="s">
        <v>347</v>
      </c>
      <c r="B903" s="101" t="s">
        <v>104</v>
      </c>
      <c r="E903" s="144"/>
      <c r="F903" s="144"/>
      <c r="G903" s="144"/>
      <c r="H903" s="144" t="str">
        <f t="shared" si="13"/>
        <v>#REF!</v>
      </c>
      <c r="I903" s="144"/>
      <c r="J903" s="144"/>
    </row>
    <row r="904" hidden="1">
      <c r="A904" s="88" t="s">
        <v>347</v>
      </c>
      <c r="B904" s="99" t="s">
        <v>116</v>
      </c>
      <c r="E904" s="144"/>
      <c r="F904" s="144"/>
      <c r="G904" s="144"/>
      <c r="H904" s="144" t="str">
        <f t="shared" si="13"/>
        <v>#REF!</v>
      </c>
      <c r="I904" s="144"/>
      <c r="J904" s="144"/>
    </row>
    <row r="905" hidden="1">
      <c r="A905" s="88" t="s">
        <v>348</v>
      </c>
      <c r="B905" s="92" t="s">
        <v>422</v>
      </c>
      <c r="C905" s="93"/>
      <c r="D905" s="93" t="s">
        <v>424</v>
      </c>
      <c r="E905" s="144"/>
      <c r="F905" s="144"/>
      <c r="G905" s="144"/>
      <c r="H905" s="144" t="str">
        <f t="shared" si="13"/>
        <v>#REF!</v>
      </c>
      <c r="I905" s="144"/>
      <c r="J905" s="144"/>
      <c r="K905" s="144">
        <v>8000.0</v>
      </c>
      <c r="L905" s="144" t="str">
        <f t="shared" ref="L905:L919" si="15">MINUS(H905,K905)</f>
        <v>#REF!</v>
      </c>
      <c r="M905" s="144"/>
    </row>
    <row r="906" hidden="1">
      <c r="A906" s="88" t="s">
        <v>348</v>
      </c>
      <c r="B906" s="92" t="s">
        <v>493</v>
      </c>
      <c r="C906" s="93"/>
      <c r="D906" s="93" t="s">
        <v>494</v>
      </c>
      <c r="E906" s="144"/>
      <c r="F906" s="144"/>
      <c r="G906" s="144"/>
      <c r="H906" s="144" t="str">
        <f t="shared" si="13"/>
        <v>#REF!</v>
      </c>
      <c r="I906" s="144"/>
      <c r="J906" s="144"/>
      <c r="K906" s="144">
        <v>7500.0</v>
      </c>
      <c r="L906" s="144" t="str">
        <f t="shared" si="15"/>
        <v>#REF!</v>
      </c>
      <c r="M906" s="144"/>
    </row>
    <row r="907" hidden="1">
      <c r="A907" s="88" t="s">
        <v>348</v>
      </c>
      <c r="B907" s="92" t="s">
        <v>425</v>
      </c>
      <c r="C907" s="93"/>
      <c r="D907" s="93" t="s">
        <v>495</v>
      </c>
      <c r="E907" s="144"/>
      <c r="F907" s="144"/>
      <c r="G907" s="144"/>
      <c r="H907" s="144" t="str">
        <f t="shared" si="13"/>
        <v>#REF!</v>
      </c>
      <c r="I907" s="144"/>
      <c r="J907" s="144"/>
      <c r="K907" s="144">
        <v>7700.0</v>
      </c>
      <c r="L907" s="144" t="str">
        <f t="shared" si="15"/>
        <v>#REF!</v>
      </c>
      <c r="M907" s="144"/>
    </row>
    <row r="908" hidden="1">
      <c r="A908" s="88" t="s">
        <v>348</v>
      </c>
      <c r="B908" s="92" t="s">
        <v>428</v>
      </c>
      <c r="C908" s="93"/>
      <c r="D908" s="93" t="s">
        <v>430</v>
      </c>
      <c r="E908" s="144"/>
      <c r="F908" s="144"/>
      <c r="G908" s="144"/>
      <c r="H908" s="144" t="str">
        <f t="shared" si="13"/>
        <v>#REF!</v>
      </c>
      <c r="I908" s="144"/>
      <c r="J908" s="144"/>
      <c r="K908" s="144">
        <v>7500.0</v>
      </c>
      <c r="L908" s="144" t="str">
        <f t="shared" si="15"/>
        <v>#REF!</v>
      </c>
      <c r="M908" s="144"/>
    </row>
    <row r="909" hidden="1">
      <c r="A909" s="88" t="s">
        <v>348</v>
      </c>
      <c r="B909" s="92" t="s">
        <v>431</v>
      </c>
      <c r="C909" s="93"/>
      <c r="D909" s="93" t="s">
        <v>433</v>
      </c>
      <c r="E909" s="144"/>
      <c r="F909" s="144"/>
      <c r="G909" s="144"/>
      <c r="H909" s="144" t="str">
        <f t="shared" si="13"/>
        <v>#REF!</v>
      </c>
      <c r="I909" s="144"/>
      <c r="J909" s="144"/>
      <c r="K909" s="144">
        <v>7500.0</v>
      </c>
      <c r="L909" s="144" t="str">
        <f t="shared" si="15"/>
        <v>#REF!</v>
      </c>
      <c r="M909" s="144"/>
    </row>
    <row r="910" hidden="1">
      <c r="A910" s="88" t="s">
        <v>348</v>
      </c>
      <c r="B910" s="92" t="s">
        <v>434</v>
      </c>
      <c r="C910" s="93"/>
      <c r="D910" s="93" t="s">
        <v>436</v>
      </c>
      <c r="E910" s="144"/>
      <c r="F910" s="144"/>
      <c r="G910" s="144"/>
      <c r="H910" s="144" t="str">
        <f t="shared" si="13"/>
        <v>#REF!</v>
      </c>
      <c r="I910" s="144"/>
      <c r="J910" s="144"/>
      <c r="K910" s="144">
        <v>7500.0</v>
      </c>
      <c r="L910" s="144" t="str">
        <f t="shared" si="15"/>
        <v>#REF!</v>
      </c>
      <c r="M910" s="144"/>
    </row>
    <row r="911" hidden="1">
      <c r="A911" s="88" t="s">
        <v>348</v>
      </c>
      <c r="B911" s="92" t="s">
        <v>437</v>
      </c>
      <c r="C911" s="93"/>
      <c r="D911" s="93" t="s">
        <v>439</v>
      </c>
      <c r="E911" s="144"/>
      <c r="F911" s="144"/>
      <c r="G911" s="144"/>
      <c r="H911" s="144" t="str">
        <f t="shared" si="13"/>
        <v>#REF!</v>
      </c>
      <c r="I911" s="144"/>
      <c r="J911" s="144"/>
      <c r="K911" s="144">
        <v>4875.0</v>
      </c>
      <c r="L911" s="144" t="str">
        <f t="shared" si="15"/>
        <v>#REF!</v>
      </c>
      <c r="M911" s="144"/>
    </row>
    <row r="912" hidden="1">
      <c r="A912" s="88" t="s">
        <v>348</v>
      </c>
      <c r="B912" s="92" t="s">
        <v>440</v>
      </c>
      <c r="C912" s="93"/>
      <c r="D912" s="93" t="s">
        <v>442</v>
      </c>
      <c r="E912" s="144"/>
      <c r="F912" s="144"/>
      <c r="G912" s="144"/>
      <c r="H912" s="144" t="str">
        <f t="shared" si="13"/>
        <v>#REF!</v>
      </c>
      <c r="I912" s="144"/>
      <c r="J912" s="144"/>
      <c r="K912" s="144">
        <v>2700.0</v>
      </c>
      <c r="L912" s="144" t="str">
        <f t="shared" si="15"/>
        <v>#REF!</v>
      </c>
      <c r="M912" s="144"/>
    </row>
    <row r="913" hidden="1">
      <c r="A913" s="88" t="s">
        <v>348</v>
      </c>
      <c r="B913" s="92" t="s">
        <v>262</v>
      </c>
      <c r="C913" s="93"/>
      <c r="D913" s="93" t="s">
        <v>264</v>
      </c>
      <c r="E913" s="144"/>
      <c r="F913" s="144"/>
      <c r="G913" s="144"/>
      <c r="H913" s="144" t="str">
        <f t="shared" si="13"/>
        <v>#REF!</v>
      </c>
      <c r="I913" s="144"/>
      <c r="J913" s="144"/>
      <c r="K913" s="144">
        <v>2900.0</v>
      </c>
      <c r="L913" s="144" t="str">
        <f t="shared" si="15"/>
        <v>#REF!</v>
      </c>
      <c r="M913" s="144"/>
    </row>
    <row r="914" hidden="1">
      <c r="A914" s="88" t="s">
        <v>348</v>
      </c>
      <c r="B914" s="92" t="s">
        <v>234</v>
      </c>
      <c r="C914" s="93"/>
      <c r="D914" s="93" t="s">
        <v>504</v>
      </c>
      <c r="E914" s="144"/>
      <c r="F914" s="144"/>
      <c r="G914" s="144"/>
      <c r="H914" s="144" t="str">
        <f t="shared" si="13"/>
        <v>#REF!</v>
      </c>
      <c r="I914" s="144"/>
      <c r="J914" s="144"/>
      <c r="K914" s="144">
        <v>0.0</v>
      </c>
      <c r="L914" s="144" t="str">
        <f t="shared" si="15"/>
        <v>#REF!</v>
      </c>
      <c r="M914" s="144"/>
    </row>
    <row r="915" hidden="1">
      <c r="A915" s="88" t="s">
        <v>348</v>
      </c>
      <c r="B915" s="145" t="s">
        <v>333</v>
      </c>
      <c r="C915" s="93"/>
      <c r="D915" s="93" t="s">
        <v>334</v>
      </c>
      <c r="E915" s="144"/>
      <c r="F915" s="144"/>
      <c r="G915" s="144"/>
      <c r="H915" s="144" t="str">
        <f t="shared" si="13"/>
        <v>#REF!</v>
      </c>
      <c r="I915" s="144"/>
      <c r="J915" s="144"/>
      <c r="K915" s="144">
        <v>0.0</v>
      </c>
      <c r="L915" s="144" t="str">
        <f t="shared" si="15"/>
        <v>#REF!</v>
      </c>
      <c r="M915" s="144"/>
    </row>
    <row r="916" hidden="1">
      <c r="A916" s="88" t="s">
        <v>348</v>
      </c>
      <c r="B916" s="94" t="s">
        <v>294</v>
      </c>
      <c r="C916" s="96"/>
      <c r="D916" s="96" t="s">
        <v>296</v>
      </c>
      <c r="E916" s="144"/>
      <c r="F916" s="144"/>
      <c r="G916" s="144"/>
      <c r="H916" s="144" t="str">
        <f t="shared" si="13"/>
        <v>#REF!</v>
      </c>
      <c r="I916" s="144"/>
      <c r="J916" s="144"/>
      <c r="K916" s="144">
        <v>0.0</v>
      </c>
      <c r="L916" s="144" t="str">
        <f t="shared" si="15"/>
        <v>#REF!</v>
      </c>
      <c r="M916" s="144"/>
    </row>
    <row r="917" hidden="1">
      <c r="A917" s="88" t="s">
        <v>348</v>
      </c>
      <c r="B917" s="94" t="s">
        <v>291</v>
      </c>
      <c r="C917" s="93"/>
      <c r="D917" s="93" t="s">
        <v>293</v>
      </c>
      <c r="E917" s="144"/>
      <c r="F917" s="144"/>
      <c r="G917" s="144"/>
      <c r="H917" s="144" t="str">
        <f t="shared" si="13"/>
        <v>#REF!</v>
      </c>
      <c r="I917" s="144"/>
      <c r="J917" s="144"/>
      <c r="K917" s="144">
        <v>0.0</v>
      </c>
      <c r="L917" s="144" t="str">
        <f t="shared" si="15"/>
        <v>#REF!</v>
      </c>
      <c r="M917" s="144"/>
    </row>
    <row r="918" hidden="1">
      <c r="A918" s="88" t="s">
        <v>348</v>
      </c>
      <c r="B918" s="78"/>
      <c r="C918" s="93"/>
      <c r="D918" s="93" t="s">
        <v>178</v>
      </c>
      <c r="E918" s="144"/>
      <c r="F918" s="144"/>
      <c r="G918" s="144"/>
      <c r="H918" s="144" t="str">
        <f t="shared" si="13"/>
        <v>#REF!</v>
      </c>
      <c r="I918" s="144"/>
      <c r="J918" s="144"/>
      <c r="K918" s="144">
        <v>0.0</v>
      </c>
      <c r="L918" s="144" t="str">
        <f t="shared" si="15"/>
        <v>#REF!</v>
      </c>
      <c r="M918" s="144"/>
    </row>
    <row r="919" hidden="1">
      <c r="A919" s="88" t="s">
        <v>348</v>
      </c>
      <c r="B919" s="78"/>
      <c r="C919" s="93"/>
      <c r="D919" s="93" t="s">
        <v>175</v>
      </c>
      <c r="E919" s="144"/>
      <c r="F919" s="144"/>
      <c r="G919" s="144"/>
      <c r="H919" s="144" t="str">
        <f t="shared" si="13"/>
        <v>#REF!</v>
      </c>
      <c r="I919" s="144"/>
      <c r="J919" s="144"/>
      <c r="K919" s="144">
        <v>0.0</v>
      </c>
      <c r="L919" s="144" t="str">
        <f t="shared" si="15"/>
        <v>#REF!</v>
      </c>
      <c r="M919" s="144"/>
    </row>
    <row r="920" hidden="1">
      <c r="A920" s="88" t="s">
        <v>350</v>
      </c>
      <c r="B920" s="92" t="s">
        <v>422</v>
      </c>
      <c r="C920" s="93"/>
      <c r="D920" s="93" t="s">
        <v>424</v>
      </c>
      <c r="E920" s="144"/>
      <c r="F920" s="144"/>
      <c r="G920" s="144"/>
      <c r="H920" s="144" t="str">
        <f t="shared" si="13"/>
        <v>#REF!</v>
      </c>
      <c r="I920" s="144"/>
      <c r="J920" s="144"/>
      <c r="K920" s="144"/>
      <c r="L920" s="144"/>
      <c r="M920" s="144"/>
    </row>
    <row r="921" hidden="1">
      <c r="A921" s="88" t="s">
        <v>350</v>
      </c>
      <c r="B921" s="92" t="s">
        <v>493</v>
      </c>
      <c r="C921" s="93"/>
      <c r="D921" s="93" t="s">
        <v>494</v>
      </c>
      <c r="E921" s="144"/>
      <c r="F921" s="144"/>
      <c r="G921" s="144"/>
      <c r="H921" s="144" t="str">
        <f t="shared" si="13"/>
        <v>#REF!</v>
      </c>
      <c r="I921" s="144"/>
      <c r="J921" s="144"/>
      <c r="K921" s="144"/>
      <c r="L921" s="144"/>
      <c r="M921" s="144"/>
    </row>
    <row r="922" hidden="1">
      <c r="A922" s="88" t="s">
        <v>350</v>
      </c>
      <c r="B922" s="92" t="s">
        <v>425</v>
      </c>
      <c r="C922" s="93"/>
      <c r="D922" s="93" t="s">
        <v>495</v>
      </c>
      <c r="E922" s="144"/>
      <c r="F922" s="144"/>
      <c r="G922" s="144"/>
      <c r="H922" s="144" t="str">
        <f t="shared" si="13"/>
        <v>#REF!</v>
      </c>
      <c r="I922" s="144"/>
      <c r="J922" s="144"/>
      <c r="K922" s="144"/>
      <c r="L922" s="144"/>
      <c r="M922" s="144"/>
    </row>
    <row r="923" hidden="1">
      <c r="A923" s="88" t="s">
        <v>350</v>
      </c>
      <c r="B923" s="92" t="s">
        <v>428</v>
      </c>
      <c r="C923" s="93"/>
      <c r="D923" s="93" t="s">
        <v>430</v>
      </c>
      <c r="E923" s="144"/>
      <c r="F923" s="144"/>
      <c r="G923" s="144"/>
      <c r="H923" s="144" t="str">
        <f t="shared" si="13"/>
        <v>#REF!</v>
      </c>
      <c r="I923" s="144"/>
      <c r="J923" s="144"/>
      <c r="K923" s="144"/>
      <c r="L923" s="144"/>
      <c r="M923" s="144"/>
    </row>
    <row r="924" hidden="1">
      <c r="A924" s="88" t="s">
        <v>350</v>
      </c>
      <c r="B924" s="92" t="s">
        <v>431</v>
      </c>
      <c r="C924" s="93"/>
      <c r="D924" s="93" t="s">
        <v>433</v>
      </c>
      <c r="E924" s="144"/>
      <c r="F924" s="144"/>
      <c r="G924" s="144"/>
      <c r="H924" s="144" t="str">
        <f t="shared" si="13"/>
        <v>#REF!</v>
      </c>
      <c r="I924" s="144"/>
      <c r="J924" s="144"/>
      <c r="K924" s="144"/>
      <c r="L924" s="144"/>
      <c r="M924" s="144"/>
    </row>
    <row r="925" hidden="1">
      <c r="A925" s="88" t="s">
        <v>350</v>
      </c>
      <c r="B925" s="92" t="s">
        <v>434</v>
      </c>
      <c r="C925" s="93"/>
      <c r="D925" s="93" t="s">
        <v>436</v>
      </c>
      <c r="E925" s="144"/>
      <c r="F925" s="144"/>
      <c r="G925" s="144"/>
      <c r="H925" s="144" t="str">
        <f t="shared" si="13"/>
        <v>#REF!</v>
      </c>
      <c r="I925" s="144"/>
      <c r="J925" s="144"/>
      <c r="K925" s="144"/>
      <c r="L925" s="144"/>
      <c r="M925" s="144"/>
    </row>
    <row r="926" hidden="1">
      <c r="A926" s="88" t="s">
        <v>350</v>
      </c>
      <c r="B926" s="92" t="s">
        <v>437</v>
      </c>
      <c r="C926" s="93"/>
      <c r="D926" s="93" t="s">
        <v>439</v>
      </c>
      <c r="E926" s="144"/>
      <c r="F926" s="144"/>
      <c r="G926" s="144"/>
      <c r="H926" s="144" t="str">
        <f t="shared" si="13"/>
        <v>#REF!</v>
      </c>
      <c r="I926" s="144"/>
      <c r="J926" s="144"/>
      <c r="K926" s="144"/>
      <c r="L926" s="144"/>
      <c r="M926" s="144"/>
    </row>
    <row r="927" hidden="1">
      <c r="A927" s="88" t="s">
        <v>350</v>
      </c>
      <c r="B927" s="92" t="s">
        <v>440</v>
      </c>
      <c r="C927" s="93"/>
      <c r="D927" s="93" t="s">
        <v>442</v>
      </c>
      <c r="E927" s="144"/>
      <c r="F927" s="144"/>
      <c r="G927" s="144"/>
      <c r="H927" s="144" t="str">
        <f t="shared" si="13"/>
        <v>#REF!</v>
      </c>
      <c r="I927" s="144"/>
      <c r="J927" s="144"/>
      <c r="K927" s="144"/>
      <c r="L927" s="144"/>
      <c r="M927" s="144"/>
    </row>
    <row r="928" hidden="1">
      <c r="A928" s="88" t="s">
        <v>350</v>
      </c>
      <c r="B928" s="92" t="s">
        <v>262</v>
      </c>
      <c r="C928" s="93"/>
      <c r="D928" s="93" t="s">
        <v>264</v>
      </c>
      <c r="E928" s="144"/>
      <c r="F928" s="144"/>
      <c r="G928" s="144"/>
      <c r="H928" s="144" t="str">
        <f t="shared" si="13"/>
        <v>#REF!</v>
      </c>
      <c r="I928" s="144"/>
      <c r="J928" s="144"/>
      <c r="K928" s="144"/>
      <c r="L928" s="144"/>
      <c r="M928" s="144"/>
    </row>
    <row r="929" hidden="1">
      <c r="A929" s="88" t="s">
        <v>350</v>
      </c>
      <c r="B929" s="92" t="s">
        <v>234</v>
      </c>
      <c r="C929" s="93"/>
      <c r="D929" s="93" t="s">
        <v>504</v>
      </c>
      <c r="E929" s="144"/>
      <c r="F929" s="144"/>
      <c r="G929" s="144"/>
      <c r="H929" s="144" t="str">
        <f t="shared" si="13"/>
        <v>#REF!</v>
      </c>
      <c r="I929" s="144"/>
      <c r="J929" s="144"/>
      <c r="K929" s="144"/>
      <c r="L929" s="144"/>
      <c r="M929" s="144"/>
    </row>
    <row r="930" hidden="1">
      <c r="A930" s="88" t="s">
        <v>350</v>
      </c>
      <c r="B930" s="146" t="s">
        <v>333</v>
      </c>
      <c r="C930" s="96"/>
      <c r="D930" s="96" t="s">
        <v>334</v>
      </c>
      <c r="E930" s="144"/>
      <c r="F930" s="144"/>
      <c r="G930" s="144"/>
      <c r="H930" s="144" t="str">
        <f t="shared" si="13"/>
        <v>#REF!</v>
      </c>
      <c r="I930" s="144"/>
      <c r="J930" s="144"/>
      <c r="K930" s="144"/>
      <c r="L930" s="144"/>
      <c r="M930" s="144"/>
    </row>
    <row r="931" hidden="1">
      <c r="A931" s="88" t="s">
        <v>350</v>
      </c>
      <c r="B931" s="99" t="s">
        <v>294</v>
      </c>
      <c r="C931" s="96"/>
      <c r="D931" s="96" t="s">
        <v>505</v>
      </c>
      <c r="E931" s="144"/>
      <c r="F931" s="144"/>
      <c r="G931" s="144"/>
      <c r="H931" s="144" t="str">
        <f t="shared" si="13"/>
        <v>#REF!</v>
      </c>
      <c r="I931" s="144"/>
      <c r="J931" s="144"/>
      <c r="K931" s="144"/>
      <c r="L931" s="144"/>
      <c r="M931" s="144"/>
    </row>
    <row r="932" hidden="1">
      <c r="A932" s="88" t="s">
        <v>350</v>
      </c>
      <c r="B932" s="99" t="s">
        <v>291</v>
      </c>
      <c r="C932" s="96"/>
      <c r="D932" s="96" t="s">
        <v>293</v>
      </c>
      <c r="E932" s="144"/>
      <c r="F932" s="144"/>
      <c r="G932" s="144"/>
      <c r="H932" s="144" t="str">
        <f t="shared" si="13"/>
        <v>#REF!</v>
      </c>
      <c r="I932" s="144"/>
      <c r="J932" s="144"/>
      <c r="K932" s="144"/>
      <c r="L932" s="144"/>
      <c r="M932" s="144"/>
    </row>
    <row r="933" hidden="1">
      <c r="A933" s="88" t="s">
        <v>350</v>
      </c>
      <c r="B933" s="99"/>
      <c r="C933" s="96"/>
      <c r="D933" s="96" t="s">
        <v>178</v>
      </c>
      <c r="E933" s="144"/>
      <c r="F933" s="144"/>
      <c r="G933" s="144"/>
      <c r="H933" s="144" t="str">
        <f t="shared" si="13"/>
        <v>#REF!</v>
      </c>
      <c r="I933" s="144"/>
      <c r="J933" s="144"/>
      <c r="K933" s="144"/>
      <c r="L933" s="144"/>
      <c r="M933" s="144"/>
    </row>
    <row r="934" hidden="1">
      <c r="A934" s="88" t="s">
        <v>350</v>
      </c>
      <c r="B934" s="99"/>
      <c r="C934" s="96"/>
      <c r="D934" s="96" t="s">
        <v>175</v>
      </c>
      <c r="E934" s="144"/>
      <c r="F934" s="144"/>
      <c r="G934" s="144"/>
      <c r="H934" s="144" t="str">
        <f t="shared" si="13"/>
        <v>#REF!</v>
      </c>
      <c r="I934" s="144"/>
      <c r="J934" s="144"/>
      <c r="K934" s="144"/>
      <c r="L934" s="144"/>
      <c r="M934" s="144"/>
    </row>
    <row r="935" hidden="1">
      <c r="A935" s="88" t="s">
        <v>351</v>
      </c>
      <c r="B935" s="92" t="s">
        <v>422</v>
      </c>
      <c r="C935" s="93"/>
      <c r="D935" s="93" t="s">
        <v>424</v>
      </c>
      <c r="E935" s="144"/>
      <c r="F935" s="144"/>
      <c r="G935" s="144"/>
      <c r="H935" s="144" t="str">
        <f t="shared" si="13"/>
        <v>#REF!</v>
      </c>
      <c r="I935" s="144"/>
      <c r="J935" s="144"/>
      <c r="K935" s="144"/>
      <c r="L935" s="144"/>
      <c r="M935" s="144"/>
    </row>
    <row r="936" hidden="1">
      <c r="A936" s="88" t="s">
        <v>351</v>
      </c>
      <c r="B936" s="92" t="s">
        <v>493</v>
      </c>
      <c r="C936" s="93"/>
      <c r="D936" s="93" t="s">
        <v>494</v>
      </c>
      <c r="E936" s="144"/>
      <c r="F936" s="144"/>
      <c r="G936" s="144"/>
      <c r="H936" s="144" t="str">
        <f t="shared" si="13"/>
        <v>#REF!</v>
      </c>
      <c r="I936" s="144"/>
      <c r="J936" s="144"/>
      <c r="K936" s="144"/>
      <c r="L936" s="144"/>
      <c r="M936" s="144"/>
    </row>
    <row r="937" hidden="1">
      <c r="A937" s="88" t="s">
        <v>351</v>
      </c>
      <c r="B937" s="92" t="s">
        <v>425</v>
      </c>
      <c r="C937" s="93"/>
      <c r="D937" s="93" t="s">
        <v>495</v>
      </c>
      <c r="E937" s="144"/>
      <c r="F937" s="144"/>
      <c r="G937" s="144"/>
      <c r="H937" s="144" t="str">
        <f t="shared" si="13"/>
        <v>#REF!</v>
      </c>
      <c r="I937" s="144"/>
      <c r="J937" s="144"/>
      <c r="K937" s="144"/>
      <c r="L937" s="144"/>
      <c r="M937" s="144"/>
    </row>
    <row r="938" hidden="1">
      <c r="A938" s="88" t="s">
        <v>351</v>
      </c>
      <c r="B938" s="92" t="s">
        <v>428</v>
      </c>
      <c r="C938" s="93"/>
      <c r="D938" s="93" t="s">
        <v>430</v>
      </c>
      <c r="E938" s="144"/>
      <c r="F938" s="144"/>
      <c r="G938" s="144"/>
      <c r="H938" s="144" t="str">
        <f t="shared" si="13"/>
        <v>#REF!</v>
      </c>
      <c r="I938" s="144"/>
      <c r="J938" s="144"/>
      <c r="K938" s="144"/>
      <c r="L938" s="144"/>
      <c r="M938" s="144"/>
    </row>
    <row r="939" hidden="1">
      <c r="A939" s="88" t="s">
        <v>351</v>
      </c>
      <c r="B939" s="92" t="s">
        <v>431</v>
      </c>
      <c r="C939" s="93"/>
      <c r="D939" s="93" t="s">
        <v>433</v>
      </c>
      <c r="E939" s="144"/>
      <c r="F939" s="144"/>
      <c r="G939" s="144"/>
      <c r="H939" s="144" t="str">
        <f t="shared" si="13"/>
        <v>#REF!</v>
      </c>
      <c r="I939" s="144"/>
      <c r="J939" s="144"/>
      <c r="K939" s="144"/>
      <c r="L939" s="144"/>
      <c r="M939" s="144"/>
    </row>
    <row r="940" hidden="1">
      <c r="A940" s="88" t="s">
        <v>351</v>
      </c>
      <c r="B940" s="92" t="s">
        <v>434</v>
      </c>
      <c r="C940" s="93"/>
      <c r="D940" s="93" t="s">
        <v>436</v>
      </c>
      <c r="E940" s="144"/>
      <c r="F940" s="144"/>
      <c r="G940" s="144"/>
      <c r="H940" s="144" t="str">
        <f t="shared" si="13"/>
        <v>#REF!</v>
      </c>
      <c r="I940" s="144"/>
      <c r="J940" s="144"/>
      <c r="K940" s="144"/>
      <c r="L940" s="144"/>
      <c r="M940" s="144"/>
    </row>
    <row r="941" hidden="1">
      <c r="A941" s="88" t="s">
        <v>351</v>
      </c>
      <c r="B941" s="92" t="s">
        <v>437</v>
      </c>
      <c r="C941" s="93"/>
      <c r="D941" s="93" t="s">
        <v>439</v>
      </c>
      <c r="E941" s="144"/>
      <c r="F941" s="144"/>
      <c r="G941" s="144"/>
      <c r="H941" s="144" t="str">
        <f t="shared" si="13"/>
        <v>#REF!</v>
      </c>
      <c r="I941" s="144"/>
      <c r="J941" s="144"/>
      <c r="K941" s="144"/>
      <c r="L941" s="144"/>
      <c r="M941" s="144"/>
    </row>
    <row r="942" hidden="1">
      <c r="A942" s="88" t="s">
        <v>351</v>
      </c>
      <c r="B942" s="92" t="s">
        <v>506</v>
      </c>
      <c r="C942" s="93"/>
      <c r="D942" s="93" t="s">
        <v>507</v>
      </c>
      <c r="E942" s="144"/>
      <c r="F942" s="144"/>
      <c r="G942" s="144"/>
      <c r="H942" s="144" t="str">
        <f t="shared" si="13"/>
        <v>#REF!</v>
      </c>
      <c r="I942" s="144"/>
      <c r="J942" s="144"/>
      <c r="K942" s="144"/>
      <c r="L942" s="144"/>
      <c r="M942" s="144"/>
    </row>
    <row r="943" hidden="1">
      <c r="A943" s="88" t="s">
        <v>351</v>
      </c>
      <c r="B943" s="91" t="s">
        <v>440</v>
      </c>
      <c r="C943" s="96"/>
      <c r="D943" s="96" t="s">
        <v>442</v>
      </c>
      <c r="E943" s="144"/>
      <c r="F943" s="144"/>
      <c r="G943" s="144"/>
      <c r="H943" s="144" t="str">
        <f t="shared" si="13"/>
        <v>#REF!</v>
      </c>
      <c r="I943" s="144"/>
      <c r="J943" s="144"/>
      <c r="K943" s="144"/>
      <c r="L943" s="144"/>
      <c r="M943" s="144"/>
    </row>
    <row r="944" hidden="1">
      <c r="A944" s="88" t="s">
        <v>351</v>
      </c>
      <c r="B944" s="91" t="s">
        <v>262</v>
      </c>
      <c r="C944" s="96"/>
      <c r="D944" s="96" t="s">
        <v>264</v>
      </c>
      <c r="E944" s="144"/>
      <c r="F944" s="144"/>
      <c r="G944" s="144"/>
      <c r="H944" s="144" t="str">
        <f t="shared" si="13"/>
        <v>#REF!</v>
      </c>
      <c r="I944" s="144"/>
      <c r="J944" s="144"/>
      <c r="K944" s="144"/>
      <c r="L944" s="144"/>
      <c r="M944" s="144"/>
    </row>
    <row r="945" hidden="1">
      <c r="A945" s="88" t="s">
        <v>351</v>
      </c>
      <c r="B945" s="91" t="s">
        <v>234</v>
      </c>
      <c r="C945" s="96"/>
      <c r="D945" s="96" t="s">
        <v>504</v>
      </c>
      <c r="E945" s="144"/>
      <c r="F945" s="144"/>
      <c r="G945" s="144"/>
      <c r="H945" s="144" t="str">
        <f t="shared" si="13"/>
        <v>#REF!</v>
      </c>
      <c r="I945" s="144"/>
      <c r="J945" s="144"/>
      <c r="K945" s="144"/>
      <c r="L945" s="144"/>
      <c r="M945" s="144"/>
    </row>
    <row r="946" hidden="1">
      <c r="A946" s="88" t="s">
        <v>351</v>
      </c>
      <c r="B946" s="92" t="s">
        <v>508</v>
      </c>
      <c r="C946" s="93"/>
      <c r="D946" s="93" t="s">
        <v>509</v>
      </c>
      <c r="E946" s="144"/>
      <c r="F946" s="144"/>
      <c r="G946" s="144"/>
      <c r="H946" s="144" t="str">
        <f t="shared" si="13"/>
        <v>#REF!</v>
      </c>
      <c r="I946" s="144"/>
      <c r="J946" s="144"/>
      <c r="K946" s="144"/>
      <c r="L946" s="144"/>
      <c r="M946" s="144"/>
    </row>
    <row r="947" hidden="1">
      <c r="A947" s="76" t="s">
        <v>352</v>
      </c>
      <c r="B947" s="92" t="s">
        <v>428</v>
      </c>
      <c r="C947" s="93"/>
      <c r="D947" s="93" t="s">
        <v>430</v>
      </c>
      <c r="E947" s="144"/>
      <c r="F947" s="144"/>
      <c r="G947" s="144"/>
      <c r="H947" s="144" t="str">
        <f t="shared" si="13"/>
        <v>#REF!</v>
      </c>
      <c r="I947" s="144"/>
      <c r="J947" s="144"/>
      <c r="K947" s="144"/>
      <c r="L947" s="144"/>
      <c r="M947" s="144"/>
    </row>
    <row r="948" hidden="1">
      <c r="A948" s="76" t="s">
        <v>352</v>
      </c>
      <c r="B948" s="92" t="s">
        <v>425</v>
      </c>
      <c r="C948" s="93"/>
      <c r="D948" s="93" t="s">
        <v>495</v>
      </c>
      <c r="E948" s="144"/>
      <c r="F948" s="144"/>
      <c r="G948" s="144"/>
      <c r="H948" s="144" t="str">
        <f t="shared" si="13"/>
        <v>#REF!</v>
      </c>
      <c r="I948" s="144"/>
      <c r="J948" s="144"/>
      <c r="K948" s="144"/>
      <c r="L948" s="144"/>
      <c r="M948" s="144"/>
    </row>
    <row r="949" hidden="1">
      <c r="A949" s="76" t="s">
        <v>352</v>
      </c>
      <c r="B949" s="92" t="s">
        <v>506</v>
      </c>
      <c r="C949" s="93"/>
      <c r="D949" s="93" t="s">
        <v>507</v>
      </c>
      <c r="E949" s="144"/>
      <c r="F949" s="144"/>
      <c r="G949" s="144"/>
      <c r="H949" s="144" t="str">
        <f t="shared" si="13"/>
        <v>#REF!</v>
      </c>
      <c r="I949" s="144"/>
      <c r="J949" s="144"/>
      <c r="K949" s="144"/>
      <c r="L949" s="144"/>
      <c r="M949" s="144"/>
    </row>
    <row r="950" hidden="1">
      <c r="A950" s="76" t="s">
        <v>352</v>
      </c>
      <c r="B950" s="92" t="s">
        <v>434</v>
      </c>
      <c r="C950" s="93"/>
      <c r="D950" s="93" t="s">
        <v>436</v>
      </c>
      <c r="E950" s="144"/>
      <c r="F950" s="144"/>
      <c r="G950" s="144"/>
      <c r="H950" s="144" t="str">
        <f t="shared" si="13"/>
        <v>#REF!</v>
      </c>
      <c r="I950" s="144"/>
      <c r="J950" s="144"/>
      <c r="K950" s="144"/>
      <c r="L950" s="144"/>
      <c r="M950" s="144"/>
    </row>
    <row r="951" hidden="1">
      <c r="A951" s="76" t="s">
        <v>352</v>
      </c>
      <c r="B951" s="92" t="s">
        <v>422</v>
      </c>
      <c r="C951" s="93"/>
      <c r="D951" s="93" t="s">
        <v>424</v>
      </c>
      <c r="E951" s="144"/>
      <c r="F951" s="144"/>
      <c r="G951" s="144"/>
      <c r="H951" s="144" t="str">
        <f t="shared" si="13"/>
        <v>#REF!</v>
      </c>
      <c r="I951" s="144"/>
      <c r="J951" s="144"/>
      <c r="K951" s="144"/>
      <c r="L951" s="144"/>
      <c r="M951" s="144"/>
    </row>
    <row r="952" hidden="1">
      <c r="A952" s="76" t="s">
        <v>352</v>
      </c>
      <c r="B952" s="92" t="s">
        <v>431</v>
      </c>
      <c r="C952" s="93"/>
      <c r="D952" s="93" t="s">
        <v>433</v>
      </c>
      <c r="E952" s="144"/>
      <c r="F952" s="144"/>
      <c r="G952" s="144"/>
      <c r="H952" s="144" t="str">
        <f t="shared" si="13"/>
        <v>#REF!</v>
      </c>
      <c r="I952" s="144"/>
      <c r="J952" s="144"/>
      <c r="K952" s="144"/>
      <c r="L952" s="144"/>
      <c r="M952" s="144"/>
    </row>
    <row r="953" hidden="1">
      <c r="A953" s="76" t="s">
        <v>352</v>
      </c>
      <c r="B953" s="92" t="s">
        <v>437</v>
      </c>
      <c r="C953" s="93"/>
      <c r="D953" s="93" t="s">
        <v>439</v>
      </c>
      <c r="E953" s="144"/>
      <c r="F953" s="144"/>
      <c r="G953" s="144"/>
      <c r="H953" s="144" t="str">
        <f t="shared" si="13"/>
        <v>#REF!</v>
      </c>
      <c r="I953" s="144"/>
      <c r="J953" s="144"/>
      <c r="K953" s="144"/>
      <c r="L953" s="144"/>
      <c r="M953" s="144"/>
    </row>
    <row r="954" hidden="1">
      <c r="A954" s="76" t="s">
        <v>352</v>
      </c>
      <c r="B954" s="92" t="s">
        <v>508</v>
      </c>
      <c r="C954" s="93"/>
      <c r="D954" s="93" t="s">
        <v>509</v>
      </c>
      <c r="E954" s="144"/>
      <c r="F954" s="144"/>
      <c r="G954" s="144"/>
      <c r="H954" s="144" t="str">
        <f t="shared" si="13"/>
        <v>#REF!</v>
      </c>
      <c r="I954" s="144"/>
      <c r="J954" s="144"/>
      <c r="K954" s="144"/>
      <c r="L954" s="144"/>
      <c r="M954" s="144"/>
    </row>
    <row r="955" hidden="1">
      <c r="A955" s="76" t="s">
        <v>352</v>
      </c>
      <c r="B955" s="92" t="s">
        <v>493</v>
      </c>
      <c r="C955" s="93"/>
      <c r="D955" s="93" t="s">
        <v>494</v>
      </c>
      <c r="E955" s="144"/>
      <c r="F955" s="144"/>
      <c r="G955" s="144"/>
      <c r="H955" s="144" t="str">
        <f t="shared" si="13"/>
        <v>#REF!</v>
      </c>
      <c r="I955" s="144"/>
      <c r="J955" s="144"/>
      <c r="K955" s="144"/>
      <c r="L955" s="144"/>
      <c r="M955" s="144"/>
    </row>
    <row r="956" hidden="1">
      <c r="A956" s="88" t="s">
        <v>352</v>
      </c>
      <c r="B956" s="148" t="s">
        <v>428</v>
      </c>
      <c r="C956" s="93"/>
      <c r="D956" s="93" t="s">
        <v>430</v>
      </c>
      <c r="E956" s="144"/>
      <c r="F956" s="144"/>
      <c r="G956" s="144"/>
      <c r="H956" s="144" t="str">
        <f t="shared" si="13"/>
        <v>#REF!</v>
      </c>
      <c r="I956" s="144"/>
      <c r="J956" s="144"/>
      <c r="K956" s="144"/>
      <c r="L956" s="144"/>
      <c r="M956" s="144"/>
    </row>
    <row r="957" hidden="1">
      <c r="A957" s="88" t="s">
        <v>352</v>
      </c>
      <c r="B957" s="92" t="s">
        <v>425</v>
      </c>
      <c r="C957" s="93"/>
      <c r="D957" s="93" t="s">
        <v>495</v>
      </c>
      <c r="E957" s="144"/>
      <c r="F957" s="144"/>
      <c r="G957" s="144"/>
      <c r="H957" s="144" t="str">
        <f t="shared" si="13"/>
        <v>#REF!</v>
      </c>
      <c r="I957" s="144"/>
      <c r="J957" s="144"/>
      <c r="K957" s="144"/>
      <c r="L957" s="144"/>
      <c r="M957" s="144"/>
    </row>
    <row r="958" hidden="1">
      <c r="A958" s="88" t="s">
        <v>352</v>
      </c>
      <c r="B958" s="92" t="s">
        <v>506</v>
      </c>
      <c r="C958" s="93"/>
      <c r="D958" s="93" t="s">
        <v>507</v>
      </c>
      <c r="E958" s="144"/>
      <c r="F958" s="144"/>
      <c r="G958" s="144"/>
      <c r="H958" s="144" t="str">
        <f t="shared" si="13"/>
        <v>#REF!</v>
      </c>
      <c r="I958" s="144"/>
      <c r="J958" s="144"/>
      <c r="K958" s="144"/>
      <c r="L958" s="144"/>
      <c r="M958" s="144"/>
    </row>
    <row r="959" hidden="1">
      <c r="A959" s="88" t="s">
        <v>352</v>
      </c>
      <c r="B959" s="92" t="s">
        <v>434</v>
      </c>
      <c r="C959" s="93"/>
      <c r="D959" s="93" t="s">
        <v>436</v>
      </c>
      <c r="E959" s="144"/>
      <c r="F959" s="144"/>
      <c r="G959" s="144"/>
      <c r="H959" s="144" t="str">
        <f t="shared" si="13"/>
        <v>#REF!</v>
      </c>
      <c r="I959" s="144"/>
      <c r="J959" s="144"/>
      <c r="K959" s="144"/>
      <c r="L959" s="144"/>
      <c r="M959" s="144"/>
    </row>
    <row r="960" hidden="1">
      <c r="A960" s="88" t="s">
        <v>352</v>
      </c>
      <c r="B960" s="92" t="s">
        <v>422</v>
      </c>
      <c r="C960" s="93"/>
      <c r="D960" s="93" t="s">
        <v>424</v>
      </c>
      <c r="E960" s="144"/>
      <c r="F960" s="144"/>
      <c r="G960" s="144"/>
      <c r="H960" s="144" t="str">
        <f t="shared" si="13"/>
        <v>#REF!</v>
      </c>
      <c r="I960" s="144"/>
      <c r="J960" s="144"/>
      <c r="K960" s="144"/>
      <c r="L960" s="144"/>
      <c r="M960" s="144"/>
    </row>
    <row r="961" hidden="1">
      <c r="A961" s="88" t="s">
        <v>352</v>
      </c>
      <c r="B961" s="92" t="s">
        <v>431</v>
      </c>
      <c r="C961" s="93"/>
      <c r="D961" s="93" t="s">
        <v>433</v>
      </c>
      <c r="E961" s="144"/>
      <c r="F961" s="144"/>
      <c r="G961" s="144"/>
      <c r="H961" s="144" t="str">
        <f t="shared" si="13"/>
        <v>#REF!</v>
      </c>
      <c r="I961" s="144"/>
      <c r="J961" s="144"/>
      <c r="K961" s="144"/>
      <c r="L961" s="144"/>
      <c r="M961" s="144"/>
    </row>
    <row r="962" hidden="1">
      <c r="A962" s="88" t="s">
        <v>352</v>
      </c>
      <c r="B962" s="92" t="s">
        <v>437</v>
      </c>
      <c r="C962" s="93"/>
      <c r="D962" s="93" t="s">
        <v>439</v>
      </c>
      <c r="E962" s="144"/>
      <c r="F962" s="144"/>
      <c r="G962" s="144"/>
      <c r="H962" s="144" t="str">
        <f t="shared" si="13"/>
        <v>#REF!</v>
      </c>
      <c r="I962" s="144"/>
      <c r="J962" s="144"/>
      <c r="K962" s="144"/>
      <c r="L962" s="144"/>
      <c r="M962" s="144"/>
    </row>
    <row r="963" hidden="1">
      <c r="A963" s="88" t="s">
        <v>352</v>
      </c>
      <c r="B963" s="92" t="s">
        <v>508</v>
      </c>
      <c r="C963" s="93"/>
      <c r="D963" s="93" t="s">
        <v>509</v>
      </c>
      <c r="E963" s="144"/>
      <c r="F963" s="144"/>
      <c r="G963" s="144"/>
      <c r="H963" s="144" t="str">
        <f t="shared" si="13"/>
        <v>#REF!</v>
      </c>
      <c r="I963" s="144"/>
      <c r="J963" s="144"/>
      <c r="K963" s="144"/>
      <c r="L963" s="144"/>
      <c r="M963" s="144"/>
    </row>
    <row r="964" hidden="1">
      <c r="A964" s="88" t="s">
        <v>352</v>
      </c>
      <c r="B964" s="92" t="s">
        <v>493</v>
      </c>
      <c r="C964" s="93"/>
      <c r="D964" s="93" t="s">
        <v>494</v>
      </c>
      <c r="E964" s="144"/>
      <c r="F964" s="144"/>
      <c r="G964" s="144"/>
      <c r="H964" s="144" t="str">
        <f t="shared" si="13"/>
        <v>#REF!</v>
      </c>
      <c r="I964" s="144"/>
      <c r="J964" s="144"/>
      <c r="K964" s="144"/>
      <c r="L964" s="144"/>
      <c r="M964" s="144"/>
    </row>
    <row r="965" hidden="1">
      <c r="A965" s="34" t="s">
        <v>353</v>
      </c>
      <c r="B965" s="99" t="s">
        <v>428</v>
      </c>
      <c r="C965" s="149"/>
      <c r="D965" s="149" t="s">
        <v>430</v>
      </c>
      <c r="E965" s="144"/>
      <c r="F965" s="144"/>
      <c r="G965" s="144"/>
      <c r="H965" s="144" t="str">
        <f t="shared" si="13"/>
        <v>#REF!</v>
      </c>
      <c r="I965" s="144"/>
      <c r="J965" s="144"/>
      <c r="K965" s="144"/>
      <c r="L965" s="144"/>
      <c r="M965" s="144"/>
    </row>
    <row r="966" hidden="1">
      <c r="A966" s="34" t="s">
        <v>353</v>
      </c>
      <c r="B966" s="91" t="s">
        <v>425</v>
      </c>
      <c r="C966" s="149"/>
      <c r="D966" s="149" t="s">
        <v>495</v>
      </c>
      <c r="E966" s="144"/>
      <c r="F966" s="144"/>
      <c r="G966" s="144"/>
      <c r="H966" s="144" t="str">
        <f t="shared" si="13"/>
        <v>#REF!</v>
      </c>
      <c r="I966" s="144"/>
      <c r="J966" s="144"/>
      <c r="K966" s="144"/>
      <c r="L966" s="144"/>
      <c r="M966" s="144"/>
    </row>
    <row r="967" hidden="1">
      <c r="A967" s="34" t="s">
        <v>353</v>
      </c>
      <c r="B967" s="91" t="s">
        <v>506</v>
      </c>
      <c r="C967" s="149"/>
      <c r="D967" s="149" t="s">
        <v>507</v>
      </c>
      <c r="E967" s="144"/>
      <c r="F967" s="144"/>
      <c r="G967" s="144"/>
      <c r="H967" s="144" t="str">
        <f t="shared" si="13"/>
        <v>#REF!</v>
      </c>
      <c r="I967" s="144"/>
      <c r="J967" s="144"/>
      <c r="K967" s="144"/>
      <c r="L967" s="144"/>
      <c r="M967" s="144"/>
    </row>
    <row r="968" hidden="1">
      <c r="A968" s="34" t="s">
        <v>353</v>
      </c>
      <c r="B968" s="91" t="s">
        <v>434</v>
      </c>
      <c r="C968" s="149"/>
      <c r="D968" s="149" t="s">
        <v>436</v>
      </c>
      <c r="E968" s="144"/>
      <c r="F968" s="144"/>
      <c r="G968" s="144"/>
      <c r="H968" s="144" t="str">
        <f t="shared" si="13"/>
        <v>#REF!</v>
      </c>
      <c r="I968" s="144"/>
      <c r="J968" s="144"/>
      <c r="K968" s="144"/>
      <c r="L968" s="144"/>
      <c r="M968" s="144"/>
    </row>
    <row r="969" hidden="1">
      <c r="A969" s="34" t="s">
        <v>353</v>
      </c>
      <c r="B969" s="91" t="s">
        <v>422</v>
      </c>
      <c r="C969" s="149"/>
      <c r="D969" s="149" t="s">
        <v>424</v>
      </c>
      <c r="E969" s="144"/>
      <c r="F969" s="144"/>
      <c r="G969" s="144"/>
      <c r="H969" s="144" t="str">
        <f t="shared" si="13"/>
        <v>#REF!</v>
      </c>
      <c r="I969" s="144"/>
      <c r="J969" s="144"/>
      <c r="K969" s="144"/>
      <c r="L969" s="144"/>
      <c r="M969" s="144"/>
    </row>
    <row r="970" hidden="1">
      <c r="A970" s="34" t="s">
        <v>353</v>
      </c>
      <c r="B970" s="91" t="s">
        <v>431</v>
      </c>
      <c r="C970" s="149"/>
      <c r="D970" s="149" t="s">
        <v>433</v>
      </c>
      <c r="E970" s="144"/>
      <c r="F970" s="144"/>
      <c r="G970" s="144"/>
      <c r="H970" s="144" t="str">
        <f t="shared" si="13"/>
        <v>#REF!</v>
      </c>
      <c r="I970" s="144"/>
      <c r="J970" s="144"/>
      <c r="K970" s="144"/>
      <c r="L970" s="144"/>
      <c r="M970" s="144"/>
    </row>
    <row r="971" hidden="1">
      <c r="A971" s="34" t="s">
        <v>353</v>
      </c>
      <c r="B971" s="91" t="s">
        <v>437</v>
      </c>
      <c r="C971" s="149"/>
      <c r="D971" s="149" t="s">
        <v>439</v>
      </c>
      <c r="E971" s="144"/>
      <c r="F971" s="144"/>
      <c r="G971" s="144"/>
      <c r="H971" s="144" t="str">
        <f t="shared" si="13"/>
        <v>#REF!</v>
      </c>
      <c r="I971" s="144"/>
      <c r="J971" s="144"/>
      <c r="K971" s="144"/>
      <c r="L971" s="144"/>
      <c r="M971" s="144"/>
    </row>
    <row r="972" hidden="1">
      <c r="A972" s="34" t="s">
        <v>353</v>
      </c>
      <c r="B972" s="91" t="s">
        <v>508</v>
      </c>
      <c r="C972" s="149"/>
      <c r="D972" s="149" t="s">
        <v>509</v>
      </c>
      <c r="E972" s="144"/>
      <c r="F972" s="144"/>
      <c r="G972" s="144"/>
      <c r="H972" s="144" t="str">
        <f t="shared" si="13"/>
        <v>#REF!</v>
      </c>
      <c r="I972" s="144"/>
      <c r="J972" s="144"/>
      <c r="K972" s="144"/>
      <c r="L972" s="144"/>
      <c r="M972" s="144"/>
    </row>
    <row r="973" hidden="1">
      <c r="A973" s="34" t="s">
        <v>353</v>
      </c>
      <c r="B973" s="91" t="s">
        <v>493</v>
      </c>
      <c r="C973" s="149"/>
      <c r="D973" s="149" t="s">
        <v>494</v>
      </c>
      <c r="E973" s="144"/>
      <c r="F973" s="144"/>
      <c r="G973" s="144"/>
      <c r="H973" s="144" t="str">
        <f t="shared" si="13"/>
        <v>#REF!</v>
      </c>
      <c r="I973" s="144"/>
      <c r="J973" s="144"/>
      <c r="K973" s="144"/>
      <c r="L973" s="144"/>
      <c r="M973" s="144"/>
    </row>
    <row r="974" hidden="1">
      <c r="A974" s="34" t="s">
        <v>354</v>
      </c>
      <c r="B974" s="150"/>
      <c r="C974" s="150"/>
      <c r="D974" s="150" t="s">
        <v>430</v>
      </c>
      <c r="E974" s="144"/>
      <c r="F974" s="144"/>
      <c r="G974" s="144"/>
      <c r="H974" s="144" t="str">
        <f t="shared" si="13"/>
        <v>#REF!</v>
      </c>
      <c r="I974" s="144"/>
      <c r="J974" s="144"/>
      <c r="K974" s="144"/>
      <c r="L974" s="144"/>
      <c r="M974" s="144"/>
    </row>
    <row r="975" hidden="1">
      <c r="A975" s="34" t="s">
        <v>354</v>
      </c>
      <c r="B975" s="150"/>
      <c r="C975" s="150"/>
      <c r="D975" s="150" t="s">
        <v>495</v>
      </c>
      <c r="E975" s="144"/>
      <c r="F975" s="144"/>
      <c r="G975" s="144"/>
      <c r="H975" s="144" t="str">
        <f t="shared" si="13"/>
        <v>#REF!</v>
      </c>
      <c r="I975" s="144"/>
      <c r="J975" s="144"/>
      <c r="K975" s="144"/>
      <c r="L975" s="144"/>
      <c r="M975" s="144"/>
    </row>
    <row r="976" hidden="1">
      <c r="A976" s="34" t="s">
        <v>354</v>
      </c>
      <c r="B976" s="150"/>
      <c r="C976" s="150"/>
      <c r="D976" s="150" t="s">
        <v>507</v>
      </c>
      <c r="E976" s="144"/>
      <c r="F976" s="144"/>
      <c r="G976" s="144"/>
      <c r="H976" s="144" t="str">
        <f t="shared" si="13"/>
        <v>#REF!</v>
      </c>
      <c r="I976" s="144"/>
      <c r="J976" s="144"/>
      <c r="K976" s="144"/>
      <c r="L976" s="144"/>
      <c r="M976" s="144"/>
    </row>
    <row r="977" hidden="1">
      <c r="A977" s="34" t="s">
        <v>354</v>
      </c>
      <c r="B977" s="150"/>
      <c r="C977" s="150"/>
      <c r="D977" s="150" t="s">
        <v>436</v>
      </c>
      <c r="E977" s="144"/>
      <c r="F977" s="144"/>
      <c r="G977" s="144"/>
      <c r="H977" s="144" t="str">
        <f t="shared" si="13"/>
        <v>#REF!</v>
      </c>
      <c r="I977" s="144"/>
      <c r="J977" s="144"/>
      <c r="K977" s="144"/>
      <c r="L977" s="144"/>
      <c r="M977" s="144"/>
    </row>
    <row r="978" hidden="1">
      <c r="A978" s="34" t="s">
        <v>354</v>
      </c>
      <c r="B978" s="150"/>
      <c r="C978" s="150"/>
      <c r="D978" s="150" t="s">
        <v>424</v>
      </c>
      <c r="E978" s="144"/>
      <c r="F978" s="144"/>
      <c r="G978" s="144"/>
      <c r="H978" s="144" t="str">
        <f t="shared" si="13"/>
        <v>#REF!</v>
      </c>
      <c r="I978" s="144"/>
      <c r="J978" s="144"/>
      <c r="K978" s="144"/>
      <c r="L978" s="144"/>
      <c r="M978" s="144"/>
    </row>
    <row r="979" hidden="1">
      <c r="A979" s="34" t="s">
        <v>354</v>
      </c>
      <c r="B979" s="150"/>
      <c r="C979" s="150"/>
      <c r="D979" s="150" t="s">
        <v>433</v>
      </c>
      <c r="E979" s="144"/>
      <c r="F979" s="144"/>
      <c r="G979" s="144"/>
      <c r="H979" s="144" t="str">
        <f t="shared" si="13"/>
        <v>#REF!</v>
      </c>
      <c r="I979" s="144"/>
      <c r="J979" s="144"/>
      <c r="K979" s="144"/>
      <c r="L979" s="144"/>
      <c r="M979" s="144"/>
    </row>
    <row r="980" hidden="1">
      <c r="A980" s="34" t="s">
        <v>354</v>
      </c>
      <c r="B980" s="150"/>
      <c r="C980" s="150"/>
      <c r="D980" s="150" t="s">
        <v>439</v>
      </c>
      <c r="E980" s="144"/>
      <c r="F980" s="144"/>
      <c r="G980" s="144"/>
      <c r="H980" s="144" t="str">
        <f t="shared" si="13"/>
        <v>#REF!</v>
      </c>
      <c r="I980" s="144"/>
      <c r="J980" s="144"/>
      <c r="K980" s="144"/>
      <c r="L980" s="144"/>
      <c r="M980" s="144"/>
    </row>
    <row r="981" hidden="1">
      <c r="A981" s="34" t="s">
        <v>354</v>
      </c>
      <c r="B981" s="150"/>
      <c r="C981" s="150"/>
      <c r="D981" s="150" t="s">
        <v>509</v>
      </c>
      <c r="E981" s="144"/>
      <c r="F981" s="144"/>
      <c r="G981" s="144"/>
      <c r="H981" s="144" t="str">
        <f t="shared" si="13"/>
        <v>#REF!</v>
      </c>
      <c r="I981" s="144"/>
      <c r="J981" s="144"/>
      <c r="K981" s="144"/>
      <c r="L981" s="144"/>
      <c r="M981" s="144"/>
    </row>
    <row r="982" hidden="1">
      <c r="A982" s="34" t="s">
        <v>354</v>
      </c>
      <c r="B982" s="150"/>
      <c r="C982" s="150"/>
      <c r="D982" s="150" t="s">
        <v>169</v>
      </c>
      <c r="E982" s="144"/>
      <c r="F982" s="144"/>
      <c r="G982" s="144"/>
      <c r="H982" s="144" t="str">
        <f t="shared" si="13"/>
        <v>#REF!</v>
      </c>
      <c r="I982" s="144"/>
      <c r="J982" s="144"/>
      <c r="K982" s="144"/>
      <c r="L982" s="144"/>
      <c r="M982" s="144"/>
    </row>
    <row r="983" hidden="1">
      <c r="A983" s="34" t="s">
        <v>354</v>
      </c>
      <c r="B983" s="150"/>
      <c r="C983" s="150"/>
      <c r="D983" s="150" t="s">
        <v>166</v>
      </c>
      <c r="E983" s="144"/>
      <c r="F983" s="144"/>
      <c r="G983" s="144"/>
      <c r="H983" s="144" t="str">
        <f t="shared" si="13"/>
        <v>#REF!</v>
      </c>
      <c r="I983" s="144"/>
      <c r="J983" s="144"/>
      <c r="K983" s="144"/>
      <c r="L983" s="144"/>
      <c r="M983" s="144"/>
    </row>
    <row r="984" hidden="1">
      <c r="A984" s="34" t="s">
        <v>354</v>
      </c>
      <c r="B984" s="150"/>
      <c r="C984" s="150"/>
      <c r="D984" s="150" t="s">
        <v>163</v>
      </c>
      <c r="E984" s="144"/>
      <c r="F984" s="144"/>
      <c r="G984" s="144"/>
      <c r="H984" s="144" t="str">
        <f t="shared" si="13"/>
        <v>#REF!</v>
      </c>
      <c r="I984" s="144"/>
      <c r="J984" s="144"/>
      <c r="K984" s="144"/>
      <c r="L984" s="144"/>
      <c r="M984" s="144"/>
    </row>
    <row r="985" hidden="1">
      <c r="A985" s="34" t="s">
        <v>354</v>
      </c>
      <c r="B985" s="150"/>
      <c r="C985" s="150"/>
      <c r="D985" s="150" t="s">
        <v>494</v>
      </c>
      <c r="E985" s="144"/>
      <c r="F985" s="144"/>
      <c r="G985" s="144"/>
      <c r="H985" s="144" t="str">
        <f t="shared" si="13"/>
        <v>#REF!</v>
      </c>
      <c r="I985" s="144"/>
      <c r="J985" s="144"/>
      <c r="K985" s="144"/>
      <c r="L985" s="144"/>
      <c r="M985" s="144"/>
    </row>
    <row r="986" hidden="1">
      <c r="A986" s="34" t="s">
        <v>354</v>
      </c>
      <c r="B986" s="150"/>
      <c r="C986" s="150"/>
      <c r="D986" s="150" t="s">
        <v>172</v>
      </c>
      <c r="E986" s="144"/>
      <c r="F986" s="144"/>
      <c r="G986" s="144"/>
      <c r="H986" s="144" t="str">
        <f t="shared" si="13"/>
        <v>#REF!</v>
      </c>
      <c r="I986" s="144"/>
      <c r="J986" s="144"/>
      <c r="K986" s="144"/>
      <c r="L986" s="144"/>
      <c r="M986" s="144"/>
    </row>
    <row r="987" hidden="1">
      <c r="A987" s="34" t="s">
        <v>354</v>
      </c>
      <c r="B987" s="150"/>
      <c r="C987" s="150"/>
      <c r="D987" s="150" t="s">
        <v>492</v>
      </c>
      <c r="E987" s="144"/>
      <c r="F987" s="144"/>
      <c r="G987" s="144"/>
      <c r="H987" s="144" t="str">
        <f t="shared" si="13"/>
        <v>#REF!</v>
      </c>
      <c r="I987" s="144"/>
      <c r="J987" s="144"/>
      <c r="K987" s="144"/>
      <c r="L987" s="144"/>
      <c r="M987" s="144"/>
    </row>
    <row r="988" hidden="1">
      <c r="A988" s="104" t="s">
        <v>355</v>
      </c>
      <c r="B988" s="151"/>
      <c r="C988" s="151"/>
      <c r="D988" s="151" t="s">
        <v>510</v>
      </c>
      <c r="E988" s="144"/>
      <c r="F988" s="144"/>
      <c r="G988" s="144"/>
      <c r="H988" s="144" t="str">
        <f t="shared" si="13"/>
        <v>#REF!</v>
      </c>
      <c r="I988" s="144"/>
      <c r="J988" s="144"/>
      <c r="K988" s="144"/>
      <c r="L988" s="144"/>
      <c r="M988" s="144"/>
    </row>
    <row r="989" hidden="1">
      <c r="A989" s="104" t="s">
        <v>355</v>
      </c>
      <c r="B989" s="151"/>
      <c r="C989" s="151"/>
      <c r="D989" s="151" t="s">
        <v>511</v>
      </c>
      <c r="E989" s="144"/>
      <c r="F989" s="144"/>
      <c r="G989" s="144"/>
      <c r="H989" s="144" t="str">
        <f t="shared" si="13"/>
        <v>#REF!</v>
      </c>
      <c r="I989" s="144"/>
      <c r="J989" s="144"/>
      <c r="K989" s="144"/>
      <c r="L989" s="144"/>
      <c r="M989" s="144"/>
    </row>
    <row r="990" hidden="1">
      <c r="A990" s="104" t="s">
        <v>355</v>
      </c>
      <c r="B990" s="151"/>
      <c r="C990" s="151"/>
      <c r="D990" s="151" t="s">
        <v>512</v>
      </c>
      <c r="E990" s="144"/>
      <c r="F990" s="144"/>
      <c r="G990" s="144"/>
      <c r="H990" s="144" t="str">
        <f t="shared" si="13"/>
        <v>#REF!</v>
      </c>
      <c r="I990" s="144"/>
      <c r="J990" s="144"/>
      <c r="K990" s="144"/>
      <c r="L990" s="144"/>
      <c r="M990" s="144"/>
    </row>
    <row r="991" hidden="1">
      <c r="A991" s="104" t="s">
        <v>355</v>
      </c>
      <c r="B991" s="151"/>
      <c r="C991" s="151"/>
      <c r="D991" s="151" t="s">
        <v>513</v>
      </c>
      <c r="E991" s="144"/>
      <c r="F991" s="144"/>
      <c r="G991" s="144"/>
      <c r="H991" s="144" t="str">
        <f t="shared" si="13"/>
        <v>#REF!</v>
      </c>
      <c r="I991" s="144"/>
      <c r="J991" s="144"/>
      <c r="K991" s="144"/>
      <c r="L991" s="144"/>
      <c r="M991" s="144"/>
    </row>
    <row r="992" hidden="1">
      <c r="A992" s="104" t="s">
        <v>355</v>
      </c>
      <c r="B992" s="151"/>
      <c r="C992" s="151"/>
      <c r="D992" s="151" t="s">
        <v>514</v>
      </c>
      <c r="E992" s="144"/>
      <c r="F992" s="144"/>
      <c r="G992" s="144"/>
      <c r="H992" s="144" t="str">
        <f t="shared" si="13"/>
        <v>#REF!</v>
      </c>
      <c r="I992" s="144"/>
      <c r="J992" s="144"/>
      <c r="K992" s="144"/>
      <c r="L992" s="144"/>
      <c r="M992" s="144"/>
    </row>
    <row r="993" hidden="1">
      <c r="A993" s="104" t="s">
        <v>355</v>
      </c>
      <c r="B993" s="151"/>
      <c r="C993" s="151"/>
      <c r="D993" s="151" t="s">
        <v>515</v>
      </c>
      <c r="E993" s="144"/>
      <c r="F993" s="144"/>
      <c r="G993" s="144"/>
      <c r="H993" s="144" t="str">
        <f t="shared" si="13"/>
        <v>#REF!</v>
      </c>
      <c r="I993" s="144"/>
      <c r="J993" s="144"/>
      <c r="K993" s="144"/>
      <c r="L993" s="144"/>
      <c r="M993" s="144"/>
    </row>
    <row r="994" hidden="1">
      <c r="A994" s="104" t="s">
        <v>355</v>
      </c>
      <c r="B994" s="151"/>
      <c r="C994" s="151"/>
      <c r="D994" s="151" t="s">
        <v>516</v>
      </c>
      <c r="E994" s="144"/>
      <c r="F994" s="144"/>
      <c r="G994" s="144"/>
      <c r="H994" s="144" t="str">
        <f t="shared" si="13"/>
        <v>#REF!</v>
      </c>
      <c r="I994" s="144"/>
      <c r="J994" s="144"/>
      <c r="K994" s="144"/>
      <c r="L994" s="144"/>
      <c r="M994" s="144"/>
    </row>
    <row r="995" hidden="1">
      <c r="A995" s="104" t="s">
        <v>355</v>
      </c>
      <c r="B995" s="151"/>
      <c r="C995" s="151"/>
      <c r="D995" s="151" t="s">
        <v>517</v>
      </c>
      <c r="E995" s="144"/>
      <c r="F995" s="144"/>
      <c r="G995" s="144"/>
      <c r="H995" s="144" t="str">
        <f t="shared" si="13"/>
        <v>#REF!</v>
      </c>
      <c r="I995" s="144"/>
      <c r="J995" s="144"/>
      <c r="K995" s="144"/>
      <c r="L995" s="144"/>
      <c r="M995" s="144"/>
    </row>
    <row r="996" hidden="1">
      <c r="A996" s="104" t="s">
        <v>355</v>
      </c>
      <c r="B996" s="151"/>
      <c r="C996" s="151"/>
      <c r="D996" s="151" t="s">
        <v>518</v>
      </c>
      <c r="E996" s="144"/>
      <c r="F996" s="144"/>
      <c r="G996" s="144"/>
      <c r="H996" s="144" t="str">
        <f t="shared" si="13"/>
        <v>#REF!</v>
      </c>
      <c r="I996" s="144"/>
      <c r="J996" s="144"/>
      <c r="K996" s="144"/>
      <c r="L996" s="144"/>
      <c r="M996" s="144"/>
    </row>
    <row r="997" hidden="1">
      <c r="A997" s="104" t="s">
        <v>355</v>
      </c>
      <c r="B997" s="151"/>
      <c r="C997" s="151"/>
      <c r="D997" s="151" t="s">
        <v>519</v>
      </c>
      <c r="E997" s="144"/>
      <c r="F997" s="144"/>
      <c r="G997" s="144"/>
      <c r="H997" s="144" t="str">
        <f t="shared" si="13"/>
        <v>#REF!</v>
      </c>
      <c r="I997" s="144"/>
      <c r="J997" s="144"/>
      <c r="K997" s="144"/>
      <c r="L997" s="144"/>
      <c r="M997" s="144"/>
    </row>
    <row r="998" hidden="1">
      <c r="A998" s="104" t="s">
        <v>355</v>
      </c>
      <c r="B998" s="151"/>
      <c r="C998" s="151"/>
      <c r="D998" s="151" t="s">
        <v>520</v>
      </c>
      <c r="E998" s="144"/>
      <c r="F998" s="144"/>
      <c r="G998" s="144"/>
      <c r="H998" s="144" t="str">
        <f t="shared" si="13"/>
        <v>#REF!</v>
      </c>
      <c r="I998" s="144"/>
      <c r="J998" s="144"/>
      <c r="K998" s="144"/>
      <c r="L998" s="144"/>
      <c r="M998" s="144"/>
    </row>
    <row r="999" hidden="1">
      <c r="A999" s="104" t="s">
        <v>355</v>
      </c>
      <c r="B999" s="151"/>
      <c r="C999" s="151"/>
      <c r="D999" s="151" t="s">
        <v>521</v>
      </c>
      <c r="E999" s="144"/>
      <c r="F999" s="144"/>
      <c r="G999" s="144"/>
      <c r="H999" s="144" t="str">
        <f t="shared" si="13"/>
        <v>#REF!</v>
      </c>
      <c r="I999" s="144"/>
      <c r="J999" s="144"/>
      <c r="K999" s="144"/>
      <c r="L999" s="144"/>
      <c r="M999" s="144"/>
    </row>
    <row r="1000" hidden="1">
      <c r="A1000" s="104" t="s">
        <v>355</v>
      </c>
      <c r="B1000" s="151"/>
      <c r="C1000" s="151"/>
      <c r="D1000" s="151" t="s">
        <v>522</v>
      </c>
      <c r="E1000" s="144"/>
      <c r="F1000" s="144"/>
      <c r="G1000" s="144"/>
      <c r="H1000" s="144" t="str">
        <f t="shared" si="13"/>
        <v>#REF!</v>
      </c>
      <c r="I1000" s="144"/>
      <c r="J1000" s="144"/>
      <c r="K1000" s="144"/>
      <c r="L1000" s="144"/>
      <c r="M1000" s="144"/>
    </row>
    <row r="1001" hidden="1">
      <c r="A1001" s="104" t="s">
        <v>355</v>
      </c>
      <c r="B1001" s="151"/>
      <c r="C1001" s="151"/>
      <c r="D1001" s="151" t="s">
        <v>523</v>
      </c>
      <c r="E1001" s="144"/>
      <c r="F1001" s="144"/>
      <c r="G1001" s="144"/>
      <c r="H1001" s="144" t="str">
        <f t="shared" si="13"/>
        <v>#REF!</v>
      </c>
      <c r="I1001" s="144"/>
      <c r="J1001" s="144"/>
      <c r="K1001" s="144"/>
      <c r="L1001" s="144"/>
      <c r="M1001" s="144"/>
    </row>
    <row r="1002" hidden="1">
      <c r="A1002" s="104" t="s">
        <v>382</v>
      </c>
      <c r="B1002" s="152"/>
      <c r="C1002" s="152"/>
      <c r="D1002" s="152" t="s">
        <v>511</v>
      </c>
      <c r="E1002" s="144"/>
      <c r="F1002" s="144"/>
      <c r="G1002" s="144"/>
      <c r="H1002" s="144" t="str">
        <f t="shared" ref="H1002:H1004" si="16">IF(#REF!&gt;75,100*#REF!,IF(#REF!&gt;=65,75*#REF!,IF(#REF!&gt;=50,50*#REF!,0)))</f>
        <v>#REF!</v>
      </c>
      <c r="I1002" s="144"/>
      <c r="J1002" s="144"/>
      <c r="K1002" s="144"/>
      <c r="L1002" s="144"/>
      <c r="M1002" s="144"/>
    </row>
    <row r="1003" hidden="1">
      <c r="A1003" s="104" t="s">
        <v>382</v>
      </c>
      <c r="B1003" s="152"/>
      <c r="C1003" s="152"/>
      <c r="D1003" s="152" t="s">
        <v>512</v>
      </c>
      <c r="E1003" s="144"/>
      <c r="F1003" s="144"/>
      <c r="G1003" s="144"/>
      <c r="H1003" s="144" t="str">
        <f t="shared" si="16"/>
        <v>#REF!</v>
      </c>
      <c r="I1003" s="144"/>
      <c r="J1003" s="144"/>
      <c r="K1003" s="144"/>
      <c r="L1003" s="144"/>
      <c r="M1003" s="144"/>
    </row>
    <row r="1004" hidden="1">
      <c r="A1004" s="104" t="s">
        <v>382</v>
      </c>
      <c r="B1004" s="152"/>
      <c r="C1004" s="152"/>
      <c r="D1004" s="152" t="s">
        <v>510</v>
      </c>
      <c r="E1004" s="144"/>
      <c r="F1004" s="144"/>
      <c r="G1004" s="144"/>
      <c r="H1004" s="144" t="str">
        <f t="shared" si="16"/>
        <v>#REF!</v>
      </c>
      <c r="I1004" s="144"/>
      <c r="J1004" s="144"/>
      <c r="K1004" s="144"/>
      <c r="L1004" s="144"/>
      <c r="M1004" s="144"/>
    </row>
    <row r="1005" hidden="1">
      <c r="A1005" s="104" t="s">
        <v>382</v>
      </c>
      <c r="B1005" s="152"/>
      <c r="C1005" s="152"/>
      <c r="D1005" s="152" t="s">
        <v>521</v>
      </c>
      <c r="E1005" s="144"/>
      <c r="F1005" s="144"/>
      <c r="G1005" s="144"/>
      <c r="H1005" s="144" t="str">
        <f t="shared" ref="H1005:H1015" si="17">IF(#REF!&gt;=75,100*#REF!,IF(#REF!&gt;=65,75*#REF!,IF(#REF!&gt;=50,50*#REF!,0)))</f>
        <v>#REF!</v>
      </c>
      <c r="I1005" s="144"/>
      <c r="J1005" s="144"/>
      <c r="K1005" s="144"/>
      <c r="L1005" s="144"/>
      <c r="M1005" s="144"/>
    </row>
    <row r="1006" hidden="1">
      <c r="A1006" s="104" t="s">
        <v>382</v>
      </c>
      <c r="B1006" s="152"/>
      <c r="C1006" s="152"/>
      <c r="D1006" s="152" t="s">
        <v>513</v>
      </c>
      <c r="E1006" s="144"/>
      <c r="F1006" s="144"/>
      <c r="G1006" s="144"/>
      <c r="H1006" s="144" t="str">
        <f t="shared" si="17"/>
        <v>#REF!</v>
      </c>
      <c r="I1006" s="144"/>
      <c r="J1006" s="144"/>
      <c r="K1006" s="144"/>
      <c r="L1006" s="144"/>
      <c r="M1006" s="144"/>
    </row>
    <row r="1007" hidden="1">
      <c r="A1007" s="104" t="s">
        <v>382</v>
      </c>
      <c r="B1007" s="152"/>
      <c r="C1007" s="152"/>
      <c r="D1007" s="152" t="s">
        <v>514</v>
      </c>
      <c r="E1007" s="144"/>
      <c r="F1007" s="144"/>
      <c r="G1007" s="144"/>
      <c r="H1007" s="144" t="str">
        <f t="shared" si="17"/>
        <v>#REF!</v>
      </c>
      <c r="I1007" s="144"/>
      <c r="J1007" s="144"/>
      <c r="K1007" s="144"/>
      <c r="L1007" s="144"/>
      <c r="M1007" s="144"/>
    </row>
    <row r="1008" hidden="1">
      <c r="A1008" s="104" t="s">
        <v>382</v>
      </c>
      <c r="B1008" s="152"/>
      <c r="C1008" s="152"/>
      <c r="D1008" s="152" t="s">
        <v>515</v>
      </c>
      <c r="E1008" s="144"/>
      <c r="F1008" s="144"/>
      <c r="G1008" s="144"/>
      <c r="H1008" s="144" t="str">
        <f t="shared" si="17"/>
        <v>#REF!</v>
      </c>
      <c r="I1008" s="144"/>
      <c r="J1008" s="144"/>
      <c r="K1008" s="144"/>
      <c r="L1008" s="144"/>
      <c r="M1008" s="144"/>
    </row>
    <row r="1009" hidden="1">
      <c r="A1009" s="104" t="s">
        <v>382</v>
      </c>
      <c r="B1009" s="152"/>
      <c r="C1009" s="152"/>
      <c r="D1009" s="152" t="s">
        <v>516</v>
      </c>
      <c r="E1009" s="144"/>
      <c r="F1009" s="144"/>
      <c r="G1009" s="144"/>
      <c r="H1009" s="144" t="str">
        <f t="shared" si="17"/>
        <v>#REF!</v>
      </c>
      <c r="I1009" s="144"/>
      <c r="J1009" s="144"/>
      <c r="K1009" s="144"/>
      <c r="L1009" s="144"/>
      <c r="M1009" s="144"/>
    </row>
    <row r="1010" hidden="1">
      <c r="A1010" s="104" t="s">
        <v>382</v>
      </c>
      <c r="B1010" s="152"/>
      <c r="C1010" s="152"/>
      <c r="D1010" s="152" t="s">
        <v>517</v>
      </c>
      <c r="E1010" s="144"/>
      <c r="F1010" s="144"/>
      <c r="G1010" s="144"/>
      <c r="H1010" s="144" t="str">
        <f t="shared" si="17"/>
        <v>#REF!</v>
      </c>
      <c r="I1010" s="144"/>
      <c r="J1010" s="144"/>
      <c r="K1010" s="144"/>
      <c r="L1010" s="144"/>
      <c r="M1010" s="144"/>
    </row>
    <row r="1011" hidden="1">
      <c r="A1011" s="104" t="s">
        <v>382</v>
      </c>
      <c r="B1011" s="153"/>
      <c r="C1011" s="153"/>
      <c r="D1011" s="153" t="s">
        <v>518</v>
      </c>
      <c r="E1011" s="144"/>
      <c r="F1011" s="144"/>
      <c r="G1011" s="144"/>
      <c r="H1011" s="144" t="str">
        <f t="shared" si="17"/>
        <v>#REF!</v>
      </c>
      <c r="I1011" s="144"/>
      <c r="J1011" s="144"/>
      <c r="K1011" s="144"/>
      <c r="L1011" s="144"/>
      <c r="M1011" s="144"/>
    </row>
    <row r="1012" hidden="1">
      <c r="A1012" s="104" t="s">
        <v>382</v>
      </c>
      <c r="B1012" s="153"/>
      <c r="C1012" s="153"/>
      <c r="D1012" s="153" t="s">
        <v>519</v>
      </c>
      <c r="E1012" s="144"/>
      <c r="F1012" s="144"/>
      <c r="G1012" s="144"/>
      <c r="H1012" s="144" t="str">
        <f t="shared" si="17"/>
        <v>#REF!</v>
      </c>
      <c r="I1012" s="144"/>
      <c r="J1012" s="144"/>
      <c r="K1012" s="144"/>
      <c r="L1012" s="144"/>
      <c r="M1012" s="144"/>
    </row>
    <row r="1013" hidden="1">
      <c r="A1013" s="104" t="s">
        <v>382</v>
      </c>
      <c r="B1013" s="153"/>
      <c r="C1013" s="153"/>
      <c r="D1013" s="153" t="s">
        <v>520</v>
      </c>
      <c r="E1013" s="144"/>
      <c r="F1013" s="144"/>
      <c r="G1013" s="144"/>
      <c r="H1013" s="144" t="str">
        <f t="shared" si="17"/>
        <v>#REF!</v>
      </c>
      <c r="I1013" s="144"/>
      <c r="J1013" s="144"/>
      <c r="K1013" s="144"/>
      <c r="L1013" s="144"/>
      <c r="M1013" s="144"/>
    </row>
    <row r="1014" hidden="1">
      <c r="A1014" s="104" t="s">
        <v>382</v>
      </c>
      <c r="B1014" s="153"/>
      <c r="C1014" s="153"/>
      <c r="D1014" s="153" t="s">
        <v>522</v>
      </c>
      <c r="E1014" s="144"/>
      <c r="F1014" s="144"/>
      <c r="G1014" s="144"/>
      <c r="H1014" s="144" t="str">
        <f t="shared" si="17"/>
        <v>#REF!</v>
      </c>
      <c r="I1014" s="144"/>
      <c r="J1014" s="144"/>
      <c r="K1014" s="144"/>
      <c r="L1014" s="144"/>
      <c r="M1014" s="144"/>
    </row>
    <row r="1015" hidden="1">
      <c r="A1015" s="104" t="s">
        <v>382</v>
      </c>
      <c r="B1015" s="152"/>
      <c r="C1015" s="152"/>
      <c r="D1015" s="152" t="s">
        <v>523</v>
      </c>
      <c r="E1015" s="144"/>
      <c r="F1015" s="144"/>
      <c r="G1015" s="144"/>
      <c r="H1015" s="144" t="str">
        <f t="shared" si="17"/>
        <v>#REF!</v>
      </c>
      <c r="I1015" s="144"/>
      <c r="J1015" s="144"/>
      <c r="K1015" s="144"/>
      <c r="L1015" s="144"/>
      <c r="M1015" s="144"/>
    </row>
    <row r="1016">
      <c r="A1016" s="100"/>
      <c r="B1016" s="152"/>
      <c r="C1016" s="152"/>
      <c r="D1016" s="152"/>
      <c r="E1016" s="144"/>
      <c r="F1016" s="144"/>
      <c r="G1016" s="144"/>
      <c r="H1016" s="144"/>
      <c r="I1016" s="144"/>
      <c r="J1016" s="144"/>
      <c r="K1016" s="193"/>
      <c r="L1016" s="144"/>
      <c r="M1016" s="144"/>
    </row>
    <row r="1017">
      <c r="A1017" s="100"/>
      <c r="B1017" s="152"/>
      <c r="C1017" s="152"/>
      <c r="D1017" s="152"/>
      <c r="E1017" s="144"/>
      <c r="F1017" s="144"/>
      <c r="G1017" s="144"/>
      <c r="H1017" s="144"/>
      <c r="I1017" s="144"/>
      <c r="J1017" s="144"/>
      <c r="K1017" s="144"/>
      <c r="L1017" s="144"/>
      <c r="M1017" s="144"/>
    </row>
  </sheetData>
  <autoFilter ref="$A$3:$M$1015">
    <filterColumn colId="0">
      <filters>
        <filter val="Week 3/23/26 - 3/29/26"/>
      </filters>
    </filterColumn>
    <sortState ref="A3:M1015">
      <sortCondition ref="C3:C1015"/>
    </sortState>
  </autoFilter>
  <mergeCells count="2">
    <mergeCell ref="A1:L1"/>
    <mergeCell ref="A2:L2"/>
  </mergeCells>
  <dataValidations>
    <dataValidation type="list" allowBlank="1" showErrorMessage="1" sqref="A596:A619">
      <formula1>"Week 9/1/25 - 9/7/25"</formula1>
    </dataValidation>
    <dataValidation type="list" allowBlank="1" showErrorMessage="1" sqref="A461:A479">
      <formula1>"Week 10/13/25 - 10/19/25"</formula1>
    </dataValidation>
    <dataValidation type="list" allowBlank="1" showErrorMessage="1" sqref="A6 A64:A77">
      <formula1>"Week 2/23/26 - 3/1/26"</formula1>
    </dataValidation>
    <dataValidation type="list" allowBlank="1" showErrorMessage="1" sqref="A661:A677">
      <formula1>"Week 8/11/25 - 8/17/25 "</formula1>
    </dataValidation>
    <dataValidation type="list" allowBlank="1" showErrorMessage="1" sqref="A701:A722">
      <formula1>"Week 7/28/25 - 8/3/25"</formula1>
    </dataValidation>
    <dataValidation type="list" allowBlank="1" showErrorMessage="1" sqref="A164:A187">
      <formula1>"Week 1/19/26 - 1/25/26"</formula1>
    </dataValidation>
    <dataValidation type="list" allowBlank="1" showErrorMessage="1" sqref="A4:A5 A480:A501">
      <formula1>"Week 10/6/25 - 10/12/25"</formula1>
    </dataValidation>
    <dataValidation type="list" allowBlank="1" showErrorMessage="1" sqref="A272:A292">
      <formula1>"Week 12/15/25 - 12/21/25"</formula1>
    </dataValidation>
    <dataValidation type="list" allowBlank="1" showErrorMessage="1" sqref="A100:A121">
      <formula1>"Week 2/9/26 - 2/15/26"</formula1>
    </dataValidation>
    <dataValidation type="list" allowBlank="1" showErrorMessage="1" sqref="A209:A229">
      <formula1>"Week 1/5/26 - 1/11/26"</formula1>
    </dataValidation>
    <dataValidation type="list" allowBlank="1" showErrorMessage="1" sqref="A78:A99">
      <formula1>"Week 2/16/26 - 2/22/26"</formula1>
    </dataValidation>
    <dataValidation type="list" allowBlank="1" showErrorMessage="1" sqref="A678:A700">
      <formula1>"Week 8/4/25 - 8/10/25"</formula1>
    </dataValidation>
    <dataValidation type="list" allowBlank="1" showErrorMessage="1" sqref="A293:A313">
      <formula1>"Week 12/8/25 - 12/14/25"</formula1>
    </dataValidation>
    <dataValidation type="list" allowBlank="1" showErrorMessage="1" sqref="A356:A376">
      <formula1>"Week 11/17/25 - 11/23/25"</formula1>
    </dataValidation>
    <dataValidation type="list" allowBlank="1" showErrorMessage="1" sqref="A644:A660">
      <formula1>"Week 8/18/25 - 8/24/25 "</formula1>
    </dataValidation>
    <dataValidation type="list" allowBlank="1" showErrorMessage="1" sqref="A188:A208">
      <formula1>"Week 1/12/26 - 1/18/26"</formula1>
    </dataValidation>
    <dataValidation type="list" allowBlank="1" showErrorMessage="1" sqref="A36:A49">
      <formula1>"Week 3/9/26 - 3/15/26"</formula1>
    </dataValidation>
    <dataValidation type="list" allowBlank="1" showErrorMessage="1" sqref="A1002:A1015">
      <formula1>"Week 3/31/25 - 4/6/25"</formula1>
    </dataValidation>
    <dataValidation type="list" allowBlank="1" showErrorMessage="1" sqref="A230:A250">
      <formula1>"Week 12/29/25 - 1/4/26"</formula1>
    </dataValidation>
    <dataValidation type="list" allowBlank="1" showErrorMessage="1" sqref="A502:A525">
      <formula1>"Week 9/29/25 - 10/5/25"</formula1>
    </dataValidation>
    <dataValidation type="list" allowBlank="1" showErrorMessage="1" sqref="A314:A334">
      <formula1>"Week 12/1/25 - 12/7/25"</formula1>
    </dataValidation>
    <dataValidation type="list" allowBlank="1" showErrorMessage="1" sqref="A439:A460">
      <formula1>"Week 10/20/25 - 10/26/25"</formula1>
    </dataValidation>
    <dataValidation type="list" allowBlank="1" showErrorMessage="1" sqref="A50:A63">
      <formula1>"Week 3/2/26 - 3/8/26"</formula1>
    </dataValidation>
    <dataValidation type="list" allowBlank="1" showErrorMessage="1" sqref="A377:A397">
      <formula1>"Week 11/10/25 - 11/16/25"</formula1>
    </dataValidation>
    <dataValidation type="list" allowBlank="1" showErrorMessage="1" sqref="A419:A438">
      <formula1>"Week 10/27/25 - 11/2/25"</formula1>
    </dataValidation>
    <dataValidation type="list" allowBlank="1" showErrorMessage="1" sqref="A526:A546">
      <formula1>"Week 9/22/25 - 9/28/25"</formula1>
    </dataValidation>
    <dataValidation type="list" allowBlank="1" showErrorMessage="1" sqref="A143:A163">
      <formula1>"Week 1/26/26 - 2/1/26"</formula1>
    </dataValidation>
    <dataValidation type="list" allowBlank="1" showErrorMessage="1" sqref="A7:A21">
      <formula1>"Week 3/23/26 - 3/29/26"</formula1>
    </dataValidation>
    <dataValidation type="list" allowBlank="1" showErrorMessage="1" sqref="A398:A418">
      <formula1>"Week 11/3/25 - 11/9/25"</formula1>
    </dataValidation>
    <dataValidation type="list" allowBlank="1" showErrorMessage="1" sqref="A572:A595">
      <formula1>"Week 9/08/25 - 9/14/25"</formula1>
    </dataValidation>
    <dataValidation type="list" allowBlank="1" showErrorMessage="1" sqref="A620:A643">
      <formula1>"Week 8/25/25 - 8/31/25"</formula1>
    </dataValidation>
    <dataValidation type="list" allowBlank="1" showErrorMessage="1" sqref="A335:A355">
      <formula1>"Week 11/24/25 - 11/30/25"</formula1>
    </dataValidation>
    <dataValidation type="list" allowBlank="1" showErrorMessage="1" sqref="A723:A1001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22:A35">
      <formula1>"Week 3/16/26 - 3/22/26"</formula1>
    </dataValidation>
    <dataValidation type="list" allowBlank="1" showErrorMessage="1" sqref="A547:A571">
      <formula1>"Week 9/15/25 - 9/21/25"</formula1>
    </dataValidation>
    <dataValidation type="list" allowBlank="1" showErrorMessage="1" sqref="A122:A142">
      <formula1>"Week 2/2/26 - 2/8/26"</formula1>
    </dataValidation>
    <dataValidation type="list" allowBlank="1" showErrorMessage="1" sqref="A251:A271">
      <formula1>"Week 12/22/25 - 12/28/25"</formula1>
    </dataValidation>
  </dataValidations>
  <hyperlinks>
    <hyperlink r:id="rId1" location="gid=751340145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23.75"/>
    <col customWidth="1" min="3" max="3" width="29.13"/>
    <col customWidth="1" min="4" max="4" width="32.63"/>
    <col customWidth="1" min="5" max="5" width="36.38"/>
    <col customWidth="1" min="6" max="6" width="26.13"/>
    <col customWidth="1" min="7" max="7" width="27.25"/>
    <col customWidth="1" min="9" max="9" width="82.88"/>
  </cols>
  <sheetData>
    <row r="1">
      <c r="A1" s="117" t="s">
        <v>391</v>
      </c>
      <c r="I1" s="117"/>
      <c r="J1" s="117"/>
      <c r="K1" s="117"/>
    </row>
    <row r="2">
      <c r="I2" s="117"/>
      <c r="J2" s="117"/>
      <c r="K2" s="117"/>
    </row>
    <row r="3">
      <c r="A3" s="155" t="s">
        <v>1</v>
      </c>
      <c r="B3" s="119"/>
      <c r="C3" s="120"/>
      <c r="D3" s="120"/>
      <c r="E3" s="215"/>
      <c r="F3" s="216"/>
      <c r="G3" s="217"/>
      <c r="H3" s="123"/>
      <c r="I3" s="123"/>
      <c r="J3" s="123"/>
      <c r="K3" s="123"/>
    </row>
    <row r="4">
      <c r="A4" s="118" t="s">
        <v>2</v>
      </c>
      <c r="B4" s="119" t="s">
        <v>3</v>
      </c>
      <c r="C4" s="120" t="s">
        <v>392</v>
      </c>
      <c r="D4" s="120" t="s">
        <v>5</v>
      </c>
      <c r="E4" s="215" t="s">
        <v>568</v>
      </c>
      <c r="F4" s="216" t="s">
        <v>569</v>
      </c>
      <c r="G4" s="217" t="s">
        <v>570</v>
      </c>
      <c r="H4" s="123" t="s">
        <v>12</v>
      </c>
      <c r="I4" s="126" t="str">
        <f t="shared" ref="I4:I174" si="1">E4 &amp; " Successful Attended Concurrent SSI Appointment, " &amp; 
F4 &amp; " Completed Old Re-filed Case, " &amp; 
G4 &amp; " Completed Patient Portal Login"</f>
        <v>Successful Attended Concurrent SSI Appointment Successful Attended Concurrent SSI Appointment, Completed Old Re-filed case Completed Old Re-filed Case, Complete Patient Portal Login Completed Patient Portal Login</v>
      </c>
      <c r="J4" s="123"/>
      <c r="K4" s="123"/>
    </row>
    <row r="5" hidden="1">
      <c r="A5" s="6" t="s">
        <v>249</v>
      </c>
      <c r="B5" s="91" t="s">
        <v>32</v>
      </c>
      <c r="C5" s="96" t="s">
        <v>227</v>
      </c>
      <c r="D5" s="96" t="s">
        <v>34</v>
      </c>
      <c r="E5" s="218">
        <v>0.0</v>
      </c>
      <c r="F5" s="218">
        <v>0.0</v>
      </c>
      <c r="G5" s="210">
        <v>0.0</v>
      </c>
      <c r="H5" s="219">
        <f t="shared" ref="H5:H174" si="2">(E5*100) + (F5*100) + (G5*250)</f>
        <v>0</v>
      </c>
      <c r="I5" s="126" t="str">
        <f t="shared" si="1"/>
        <v>0 Successful Attended Concurrent SSI Appointment, 0 Completed Old Re-filed Case, 0 Completed Patient Portal Login</v>
      </c>
      <c r="J5" s="23"/>
      <c r="K5" s="23"/>
    </row>
    <row r="6" hidden="1">
      <c r="A6" s="6" t="s">
        <v>249</v>
      </c>
      <c r="B6" s="91" t="s">
        <v>29</v>
      </c>
      <c r="C6" s="96" t="s">
        <v>228</v>
      </c>
      <c r="D6" s="96" t="s">
        <v>31</v>
      </c>
      <c r="E6" s="218">
        <v>0.0</v>
      </c>
      <c r="F6" s="218">
        <v>0.0</v>
      </c>
      <c r="G6" s="210">
        <v>0.0</v>
      </c>
      <c r="H6" s="219">
        <f t="shared" si="2"/>
        <v>0</v>
      </c>
      <c r="I6" s="126" t="str">
        <f t="shared" si="1"/>
        <v>0 Successful Attended Concurrent SSI Appointment, 0 Completed Old Re-filed Case, 0 Completed Patient Portal Login</v>
      </c>
      <c r="J6" s="23"/>
      <c r="K6" s="23"/>
    </row>
    <row r="7" hidden="1">
      <c r="A7" s="6" t="s">
        <v>249</v>
      </c>
      <c r="B7" s="91" t="s">
        <v>26</v>
      </c>
      <c r="C7" s="96" t="s">
        <v>229</v>
      </c>
      <c r="D7" s="96" t="s">
        <v>28</v>
      </c>
      <c r="E7" s="218">
        <v>0.0</v>
      </c>
      <c r="F7" s="218">
        <v>0.0</v>
      </c>
      <c r="G7" s="210">
        <v>0.0</v>
      </c>
      <c r="H7" s="219">
        <f t="shared" si="2"/>
        <v>0</v>
      </c>
      <c r="I7" s="126" t="str">
        <f t="shared" si="1"/>
        <v>0 Successful Attended Concurrent SSI Appointment, 0 Completed Old Re-filed Case, 0 Completed Patient Portal Login</v>
      </c>
      <c r="J7" s="23"/>
      <c r="K7" s="23"/>
    </row>
    <row r="8">
      <c r="A8" s="6" t="s">
        <v>238</v>
      </c>
      <c r="B8" s="92" t="s">
        <v>571</v>
      </c>
      <c r="C8" s="93" t="s">
        <v>572</v>
      </c>
      <c r="D8" s="93" t="s">
        <v>573</v>
      </c>
      <c r="E8" s="36"/>
      <c r="F8" s="36"/>
      <c r="G8" s="38"/>
      <c r="H8" s="219">
        <f t="shared" si="2"/>
        <v>0</v>
      </c>
      <c r="I8" s="126" t="str">
        <f t="shared" si="1"/>
        <v> Successful Attended Concurrent SSI Appointment,  Completed Old Re-filed Case,  Completed Patient Portal Login</v>
      </c>
      <c r="J8" s="23"/>
      <c r="K8" s="23"/>
    </row>
    <row r="9">
      <c r="A9" s="6" t="s">
        <v>238</v>
      </c>
      <c r="B9" s="92" t="s">
        <v>574</v>
      </c>
      <c r="C9" s="93" t="s">
        <v>575</v>
      </c>
      <c r="D9" s="93" t="s">
        <v>576</v>
      </c>
      <c r="E9" s="220"/>
      <c r="F9" s="220"/>
      <c r="G9" s="38"/>
      <c r="H9" s="219">
        <f t="shared" si="2"/>
        <v>0</v>
      </c>
      <c r="I9" s="126" t="str">
        <f t="shared" si="1"/>
        <v> Successful Attended Concurrent SSI Appointment,  Completed Old Re-filed Case,  Completed Patient Portal Login</v>
      </c>
      <c r="J9" s="23"/>
      <c r="K9" s="23"/>
    </row>
    <row r="10">
      <c r="A10" s="6" t="s">
        <v>238</v>
      </c>
      <c r="B10" s="92" t="s">
        <v>577</v>
      </c>
      <c r="C10" s="93" t="s">
        <v>578</v>
      </c>
      <c r="D10" s="93" t="s">
        <v>579</v>
      </c>
      <c r="E10" s="36"/>
      <c r="F10" s="220"/>
      <c r="G10" s="38"/>
      <c r="H10" s="219">
        <f t="shared" si="2"/>
        <v>0</v>
      </c>
      <c r="I10" s="126" t="str">
        <f t="shared" si="1"/>
        <v> Successful Attended Concurrent SSI Appointment,  Completed Old Re-filed Case,  Completed Patient Portal Login</v>
      </c>
      <c r="J10" s="23"/>
      <c r="K10" s="23"/>
    </row>
    <row r="11">
      <c r="A11" s="6" t="s">
        <v>238</v>
      </c>
      <c r="B11" s="92" t="s">
        <v>580</v>
      </c>
      <c r="C11" s="93" t="s">
        <v>581</v>
      </c>
      <c r="D11" s="93" t="s">
        <v>582</v>
      </c>
      <c r="E11" s="221"/>
      <c r="F11" s="221"/>
      <c r="G11" s="38"/>
      <c r="H11" s="219">
        <f t="shared" si="2"/>
        <v>0</v>
      </c>
      <c r="I11" s="126" t="str">
        <f t="shared" si="1"/>
        <v> Successful Attended Concurrent SSI Appointment,  Completed Old Re-filed Case,  Completed Patient Portal Login</v>
      </c>
      <c r="J11" s="23"/>
      <c r="K11" s="23"/>
    </row>
    <row r="12">
      <c r="A12" s="6" t="s">
        <v>238</v>
      </c>
      <c r="B12" s="92" t="s">
        <v>583</v>
      </c>
      <c r="C12" s="93" t="s">
        <v>584</v>
      </c>
      <c r="D12" s="93" t="s">
        <v>585</v>
      </c>
      <c r="E12" s="36"/>
      <c r="F12" s="36"/>
      <c r="G12" s="38"/>
      <c r="H12" s="219">
        <f t="shared" si="2"/>
        <v>0</v>
      </c>
      <c r="I12" s="126" t="str">
        <f t="shared" si="1"/>
        <v> Successful Attended Concurrent SSI Appointment,  Completed Old Re-filed Case,  Completed Patient Portal Login</v>
      </c>
      <c r="J12" s="23"/>
      <c r="K12" s="23"/>
    </row>
    <row r="13">
      <c r="A13" s="6" t="s">
        <v>238</v>
      </c>
      <c r="B13" s="92" t="s">
        <v>586</v>
      </c>
      <c r="C13" s="93" t="s">
        <v>587</v>
      </c>
      <c r="D13" s="93" t="s">
        <v>588</v>
      </c>
      <c r="E13" s="36"/>
      <c r="F13" s="36"/>
      <c r="G13" s="38"/>
      <c r="H13" s="219">
        <f t="shared" si="2"/>
        <v>0</v>
      </c>
      <c r="I13" s="126" t="str">
        <f t="shared" si="1"/>
        <v> Successful Attended Concurrent SSI Appointment,  Completed Old Re-filed Case,  Completed Patient Portal Login</v>
      </c>
      <c r="J13" s="23"/>
      <c r="K13" s="23"/>
    </row>
    <row r="14">
      <c r="A14" s="6" t="s">
        <v>238</v>
      </c>
      <c r="B14" s="92" t="s">
        <v>589</v>
      </c>
      <c r="C14" s="93" t="s">
        <v>590</v>
      </c>
      <c r="D14" s="93" t="s">
        <v>591</v>
      </c>
      <c r="E14" s="220"/>
      <c r="F14" s="220"/>
      <c r="G14" s="38"/>
      <c r="H14" s="219">
        <f t="shared" si="2"/>
        <v>0</v>
      </c>
      <c r="I14" s="126" t="str">
        <f t="shared" si="1"/>
        <v> Successful Attended Concurrent SSI Appointment,  Completed Old Re-filed Case,  Completed Patient Portal Login</v>
      </c>
      <c r="J14" s="23"/>
      <c r="K14" s="23"/>
    </row>
    <row r="15">
      <c r="A15" s="6" t="s">
        <v>238</v>
      </c>
      <c r="B15" s="92" t="s">
        <v>592</v>
      </c>
      <c r="C15" s="93" t="s">
        <v>593</v>
      </c>
      <c r="D15" s="93" t="s">
        <v>594</v>
      </c>
      <c r="E15" s="220"/>
      <c r="F15" s="220"/>
      <c r="G15" s="38"/>
      <c r="H15" s="219">
        <f t="shared" si="2"/>
        <v>0</v>
      </c>
      <c r="I15" s="126" t="str">
        <f t="shared" si="1"/>
        <v> Successful Attended Concurrent SSI Appointment,  Completed Old Re-filed Case,  Completed Patient Portal Login</v>
      </c>
      <c r="J15" s="23"/>
      <c r="K15" s="23"/>
    </row>
    <row r="16">
      <c r="A16" s="6" t="s">
        <v>238</v>
      </c>
      <c r="B16" s="92" t="s">
        <v>595</v>
      </c>
      <c r="C16" s="93" t="s">
        <v>596</v>
      </c>
      <c r="D16" s="93" t="s">
        <v>597</v>
      </c>
      <c r="E16" s="220"/>
      <c r="F16" s="220"/>
      <c r="G16" s="38"/>
      <c r="H16" s="219">
        <f t="shared" si="2"/>
        <v>0</v>
      </c>
      <c r="I16" s="126" t="str">
        <f t="shared" si="1"/>
        <v> Successful Attended Concurrent SSI Appointment,  Completed Old Re-filed Case,  Completed Patient Portal Login</v>
      </c>
      <c r="J16" s="23"/>
      <c r="K16" s="23"/>
    </row>
    <row r="17">
      <c r="A17" s="6" t="s">
        <v>238</v>
      </c>
      <c r="B17" s="92" t="s">
        <v>598</v>
      </c>
      <c r="C17" s="93" t="s">
        <v>599</v>
      </c>
      <c r="D17" s="93" t="s">
        <v>600</v>
      </c>
      <c r="E17" s="220"/>
      <c r="F17" s="220"/>
      <c r="G17" s="38"/>
      <c r="H17" s="219">
        <f t="shared" si="2"/>
        <v>0</v>
      </c>
      <c r="I17" s="126" t="str">
        <f t="shared" si="1"/>
        <v> Successful Attended Concurrent SSI Appointment,  Completed Old Re-filed Case,  Completed Patient Portal Login</v>
      </c>
      <c r="J17" s="23"/>
      <c r="K17" s="23"/>
    </row>
    <row r="18">
      <c r="A18" s="6" t="s">
        <v>238</v>
      </c>
      <c r="B18" s="92" t="s">
        <v>601</v>
      </c>
      <c r="C18" s="93" t="s">
        <v>602</v>
      </c>
      <c r="D18" s="93" t="s">
        <v>603</v>
      </c>
      <c r="E18" s="220"/>
      <c r="F18" s="220"/>
      <c r="G18" s="38"/>
      <c r="H18" s="219">
        <f t="shared" si="2"/>
        <v>0</v>
      </c>
      <c r="I18" s="126" t="str">
        <f t="shared" si="1"/>
        <v> Successful Attended Concurrent SSI Appointment,  Completed Old Re-filed Case,  Completed Patient Portal Login</v>
      </c>
      <c r="J18" s="23"/>
      <c r="K18" s="23"/>
    </row>
    <row r="19">
      <c r="A19" s="6" t="s">
        <v>238</v>
      </c>
      <c r="B19" s="92" t="s">
        <v>571</v>
      </c>
      <c r="C19" s="93" t="s">
        <v>572</v>
      </c>
      <c r="D19" s="93" t="s">
        <v>573</v>
      </c>
      <c r="E19" s="220"/>
      <c r="F19" s="220"/>
      <c r="G19" s="38"/>
      <c r="H19" s="219">
        <f t="shared" si="2"/>
        <v>0</v>
      </c>
      <c r="I19" s="126" t="str">
        <f t="shared" si="1"/>
        <v> Successful Attended Concurrent SSI Appointment,  Completed Old Re-filed Case,  Completed Patient Portal Login</v>
      </c>
      <c r="J19" s="23"/>
      <c r="K19" s="23"/>
    </row>
    <row r="20" hidden="1">
      <c r="A20" s="6" t="s">
        <v>239</v>
      </c>
      <c r="B20" s="92" t="s">
        <v>571</v>
      </c>
      <c r="C20" s="93" t="s">
        <v>572</v>
      </c>
      <c r="D20" s="93" t="s">
        <v>573</v>
      </c>
      <c r="E20" s="36"/>
      <c r="F20" s="221"/>
      <c r="G20" s="38"/>
      <c r="H20" s="219">
        <f t="shared" si="2"/>
        <v>0</v>
      </c>
      <c r="I20" s="126" t="str">
        <f t="shared" si="1"/>
        <v> Successful Attended Concurrent SSI Appointment,  Completed Old Re-filed Case,  Completed Patient Portal Login</v>
      </c>
      <c r="J20" s="23"/>
      <c r="K20" s="23"/>
    </row>
    <row r="21" hidden="1">
      <c r="A21" s="6" t="s">
        <v>239</v>
      </c>
      <c r="B21" s="92" t="s">
        <v>574</v>
      </c>
      <c r="C21" s="93" t="s">
        <v>575</v>
      </c>
      <c r="D21" s="93" t="s">
        <v>576</v>
      </c>
      <c r="E21" s="222">
        <v>0.0</v>
      </c>
      <c r="F21" s="222">
        <v>1.0</v>
      </c>
      <c r="G21" s="38"/>
      <c r="H21" s="219">
        <f t="shared" si="2"/>
        <v>100</v>
      </c>
      <c r="I21" s="126" t="str">
        <f t="shared" si="1"/>
        <v>0 Successful Attended Concurrent SSI Appointment, 1 Completed Old Re-filed Case,  Completed Patient Portal Login</v>
      </c>
      <c r="J21" s="23"/>
      <c r="K21" s="23"/>
    </row>
    <row r="22" hidden="1">
      <c r="A22" s="6" t="s">
        <v>239</v>
      </c>
      <c r="B22" s="92" t="s">
        <v>577</v>
      </c>
      <c r="C22" s="93" t="s">
        <v>578</v>
      </c>
      <c r="D22" s="93" t="s">
        <v>579</v>
      </c>
      <c r="E22" s="36"/>
      <c r="F22" s="222">
        <v>1.0</v>
      </c>
      <c r="G22" s="38"/>
      <c r="H22" s="219">
        <f t="shared" si="2"/>
        <v>100</v>
      </c>
      <c r="I22" s="126" t="str">
        <f t="shared" si="1"/>
        <v> Successful Attended Concurrent SSI Appointment, 1 Completed Old Re-filed Case,  Completed Patient Portal Login</v>
      </c>
      <c r="J22" s="23"/>
      <c r="K22" s="23"/>
    </row>
    <row r="23" hidden="1">
      <c r="A23" s="6" t="s">
        <v>239</v>
      </c>
      <c r="B23" s="92" t="s">
        <v>580</v>
      </c>
      <c r="C23" s="93" t="s">
        <v>581</v>
      </c>
      <c r="D23" s="93" t="s">
        <v>582</v>
      </c>
      <c r="E23" s="223">
        <v>0.0</v>
      </c>
      <c r="F23" s="223">
        <v>1.0</v>
      </c>
      <c r="G23" s="38"/>
      <c r="H23" s="219">
        <f t="shared" si="2"/>
        <v>100</v>
      </c>
      <c r="I23" s="126" t="str">
        <f t="shared" si="1"/>
        <v>0 Successful Attended Concurrent SSI Appointment, 1 Completed Old Re-filed Case,  Completed Patient Portal Login</v>
      </c>
      <c r="J23" s="23"/>
      <c r="K23" s="23"/>
    </row>
    <row r="24" hidden="1">
      <c r="A24" s="6" t="s">
        <v>239</v>
      </c>
      <c r="B24" s="92" t="s">
        <v>583</v>
      </c>
      <c r="C24" s="93" t="s">
        <v>584</v>
      </c>
      <c r="D24" s="93" t="s">
        <v>585</v>
      </c>
      <c r="E24" s="36"/>
      <c r="F24" s="221"/>
      <c r="G24" s="38"/>
      <c r="H24" s="219">
        <f t="shared" si="2"/>
        <v>0</v>
      </c>
      <c r="I24" s="126" t="str">
        <f t="shared" si="1"/>
        <v> Successful Attended Concurrent SSI Appointment,  Completed Old Re-filed Case,  Completed Patient Portal Login</v>
      </c>
      <c r="J24" s="23"/>
      <c r="K24" s="23"/>
    </row>
    <row r="25" hidden="1">
      <c r="A25" s="6" t="s">
        <v>239</v>
      </c>
      <c r="B25" s="92" t="s">
        <v>586</v>
      </c>
      <c r="C25" s="93" t="s">
        <v>587</v>
      </c>
      <c r="D25" s="93" t="s">
        <v>588</v>
      </c>
      <c r="E25" s="36"/>
      <c r="F25" s="221"/>
      <c r="G25" s="38"/>
      <c r="H25" s="219">
        <f t="shared" si="2"/>
        <v>0</v>
      </c>
      <c r="I25" s="126" t="str">
        <f t="shared" si="1"/>
        <v> Successful Attended Concurrent SSI Appointment,  Completed Old Re-filed Case,  Completed Patient Portal Login</v>
      </c>
      <c r="J25" s="23"/>
      <c r="K25" s="23"/>
    </row>
    <row r="26" hidden="1">
      <c r="A26" s="6" t="s">
        <v>239</v>
      </c>
      <c r="B26" s="92" t="s">
        <v>589</v>
      </c>
      <c r="C26" s="93" t="s">
        <v>590</v>
      </c>
      <c r="D26" s="93" t="s">
        <v>591</v>
      </c>
      <c r="E26" s="222">
        <v>0.0</v>
      </c>
      <c r="F26" s="222">
        <v>1.0</v>
      </c>
      <c r="G26" s="224"/>
      <c r="H26" s="219">
        <f t="shared" si="2"/>
        <v>100</v>
      </c>
      <c r="I26" s="126" t="str">
        <f t="shared" si="1"/>
        <v>0 Successful Attended Concurrent SSI Appointment, 1 Completed Old Re-filed Case,  Completed Patient Portal Login</v>
      </c>
      <c r="J26" s="23"/>
      <c r="K26" s="23"/>
    </row>
    <row r="27" hidden="1">
      <c r="A27" s="6" t="s">
        <v>239</v>
      </c>
      <c r="B27" s="92" t="s">
        <v>592</v>
      </c>
      <c r="C27" s="93" t="s">
        <v>593</v>
      </c>
      <c r="D27" s="93" t="s">
        <v>594</v>
      </c>
      <c r="E27" s="225">
        <v>2.0</v>
      </c>
      <c r="F27" s="222">
        <v>1.0</v>
      </c>
      <c r="G27" s="38"/>
      <c r="H27" s="219">
        <f t="shared" si="2"/>
        <v>300</v>
      </c>
      <c r="I27" s="126" t="str">
        <f t="shared" si="1"/>
        <v>2 Successful Attended Concurrent SSI Appointment, 1 Completed Old Re-filed Case,  Completed Patient Portal Login</v>
      </c>
      <c r="J27" s="23"/>
      <c r="K27" s="23"/>
    </row>
    <row r="28" hidden="1">
      <c r="A28" s="6" t="s">
        <v>239</v>
      </c>
      <c r="B28" s="92" t="s">
        <v>595</v>
      </c>
      <c r="C28" s="93" t="s">
        <v>596</v>
      </c>
      <c r="D28" s="93" t="s">
        <v>597</v>
      </c>
      <c r="E28" s="222">
        <v>0.0</v>
      </c>
      <c r="F28" s="222">
        <v>1.0</v>
      </c>
      <c r="G28" s="38"/>
      <c r="H28" s="219">
        <f t="shared" si="2"/>
        <v>100</v>
      </c>
      <c r="I28" s="126" t="str">
        <f t="shared" si="1"/>
        <v>0 Successful Attended Concurrent SSI Appointment, 1 Completed Old Re-filed Case,  Completed Patient Portal Login</v>
      </c>
      <c r="J28" s="23"/>
      <c r="K28" s="23"/>
    </row>
    <row r="29" hidden="1">
      <c r="A29" s="6" t="s">
        <v>239</v>
      </c>
      <c r="B29" s="92" t="s">
        <v>598</v>
      </c>
      <c r="C29" s="93" t="s">
        <v>599</v>
      </c>
      <c r="D29" s="93" t="s">
        <v>600</v>
      </c>
      <c r="E29" s="222">
        <v>0.0</v>
      </c>
      <c r="F29" s="226">
        <v>2.0</v>
      </c>
      <c r="G29" s="224"/>
      <c r="H29" s="219">
        <f t="shared" si="2"/>
        <v>200</v>
      </c>
      <c r="I29" s="126" t="str">
        <f t="shared" si="1"/>
        <v>0 Successful Attended Concurrent SSI Appointment, 2 Completed Old Re-filed Case,  Completed Patient Portal Login</v>
      </c>
      <c r="J29" s="23"/>
      <c r="K29" s="23"/>
    </row>
    <row r="30" hidden="1">
      <c r="A30" s="6" t="s">
        <v>239</v>
      </c>
      <c r="B30" s="92" t="s">
        <v>601</v>
      </c>
      <c r="C30" s="93" t="s">
        <v>602</v>
      </c>
      <c r="D30" s="93" t="s">
        <v>603</v>
      </c>
      <c r="E30" s="222">
        <v>5.0</v>
      </c>
      <c r="F30" s="222">
        <v>0.0</v>
      </c>
      <c r="G30" s="38"/>
      <c r="H30" s="219">
        <f t="shared" si="2"/>
        <v>500</v>
      </c>
      <c r="I30" s="126" t="str">
        <f t="shared" si="1"/>
        <v>5 Successful Attended Concurrent SSI Appointment, 0 Completed Old Re-filed Case,  Completed Patient Portal Login</v>
      </c>
      <c r="J30" s="23"/>
      <c r="K30" s="23"/>
    </row>
    <row r="31" hidden="1">
      <c r="A31" s="6" t="s">
        <v>239</v>
      </c>
      <c r="B31" s="92" t="s">
        <v>571</v>
      </c>
      <c r="C31" s="93" t="s">
        <v>572</v>
      </c>
      <c r="D31" s="93" t="s">
        <v>573</v>
      </c>
      <c r="E31" s="225">
        <v>4.0</v>
      </c>
      <c r="F31" s="226">
        <v>0.0</v>
      </c>
      <c r="G31" s="227"/>
      <c r="H31" s="219">
        <f t="shared" si="2"/>
        <v>400</v>
      </c>
      <c r="I31" s="126" t="str">
        <f t="shared" si="1"/>
        <v>4 Successful Attended Concurrent SSI Appointment, 0 Completed Old Re-filed Case,  Completed Patient Portal Login</v>
      </c>
      <c r="J31" s="23"/>
      <c r="K31" s="23"/>
    </row>
    <row r="32" hidden="1">
      <c r="A32" s="6" t="s">
        <v>240</v>
      </c>
      <c r="B32" s="92" t="s">
        <v>574</v>
      </c>
      <c r="C32" s="93" t="s">
        <v>575</v>
      </c>
      <c r="D32" s="93" t="s">
        <v>576</v>
      </c>
      <c r="E32" s="220"/>
      <c r="F32" s="220"/>
      <c r="G32" s="227"/>
      <c r="H32" s="219">
        <f t="shared" si="2"/>
        <v>0</v>
      </c>
      <c r="I32" s="126" t="str">
        <f t="shared" si="1"/>
        <v> Successful Attended Concurrent SSI Appointment,  Completed Old Re-filed Case,  Completed Patient Portal Login</v>
      </c>
      <c r="J32" s="23"/>
      <c r="K32" s="23"/>
    </row>
    <row r="33" hidden="1">
      <c r="A33" s="6" t="s">
        <v>240</v>
      </c>
      <c r="B33" s="92" t="s">
        <v>577</v>
      </c>
      <c r="C33" s="93" t="s">
        <v>578</v>
      </c>
      <c r="D33" s="93" t="s">
        <v>579</v>
      </c>
      <c r="E33" s="36"/>
      <c r="F33" s="220"/>
      <c r="G33" s="227"/>
      <c r="H33" s="219">
        <f t="shared" si="2"/>
        <v>0</v>
      </c>
      <c r="I33" s="126" t="str">
        <f t="shared" si="1"/>
        <v> Successful Attended Concurrent SSI Appointment,  Completed Old Re-filed Case,  Completed Patient Portal Login</v>
      </c>
      <c r="J33" s="23"/>
      <c r="K33" s="23"/>
    </row>
    <row r="34" hidden="1">
      <c r="A34" s="6" t="s">
        <v>240</v>
      </c>
      <c r="B34" s="92" t="s">
        <v>580</v>
      </c>
      <c r="C34" s="93" t="s">
        <v>581</v>
      </c>
      <c r="D34" s="93" t="s">
        <v>582</v>
      </c>
      <c r="E34" s="36"/>
      <c r="F34" s="220"/>
      <c r="G34" s="227"/>
      <c r="H34" s="219">
        <f t="shared" si="2"/>
        <v>0</v>
      </c>
      <c r="I34" s="126" t="str">
        <f t="shared" si="1"/>
        <v> Successful Attended Concurrent SSI Appointment,  Completed Old Re-filed Case,  Completed Patient Portal Login</v>
      </c>
      <c r="J34" s="23"/>
      <c r="K34" s="23"/>
    </row>
    <row r="35" hidden="1">
      <c r="A35" s="6" t="s">
        <v>240</v>
      </c>
      <c r="B35" s="92" t="s">
        <v>583</v>
      </c>
      <c r="C35" s="93" t="s">
        <v>584</v>
      </c>
      <c r="D35" s="93" t="s">
        <v>585</v>
      </c>
      <c r="E35" s="36"/>
      <c r="F35" s="36"/>
      <c r="G35" s="227"/>
      <c r="H35" s="219">
        <f t="shared" si="2"/>
        <v>0</v>
      </c>
      <c r="I35" s="126" t="str">
        <f t="shared" si="1"/>
        <v> Successful Attended Concurrent SSI Appointment,  Completed Old Re-filed Case,  Completed Patient Portal Login</v>
      </c>
      <c r="J35" s="23"/>
      <c r="K35" s="23"/>
    </row>
    <row r="36" hidden="1">
      <c r="A36" s="6" t="s">
        <v>240</v>
      </c>
      <c r="B36" s="92" t="s">
        <v>586</v>
      </c>
      <c r="C36" s="93" t="s">
        <v>587</v>
      </c>
      <c r="D36" s="93" t="s">
        <v>588</v>
      </c>
      <c r="E36" s="36"/>
      <c r="F36" s="36"/>
      <c r="G36" s="224"/>
      <c r="H36" s="219">
        <f t="shared" si="2"/>
        <v>0</v>
      </c>
      <c r="I36" s="126" t="str">
        <f t="shared" si="1"/>
        <v> Successful Attended Concurrent SSI Appointment,  Completed Old Re-filed Case,  Completed Patient Portal Login</v>
      </c>
      <c r="J36" s="23"/>
      <c r="K36" s="23"/>
    </row>
    <row r="37" hidden="1">
      <c r="A37" s="6" t="s">
        <v>240</v>
      </c>
      <c r="B37" s="92" t="s">
        <v>589</v>
      </c>
      <c r="C37" s="93" t="s">
        <v>590</v>
      </c>
      <c r="D37" s="93" t="s">
        <v>591</v>
      </c>
      <c r="E37" s="222">
        <v>0.0</v>
      </c>
      <c r="F37" s="222">
        <v>1.0</v>
      </c>
      <c r="G37" s="228">
        <v>0.0</v>
      </c>
      <c r="H37" s="219">
        <f t="shared" si="2"/>
        <v>100</v>
      </c>
      <c r="I37" s="126" t="str">
        <f t="shared" si="1"/>
        <v>0 Successful Attended Concurrent SSI Appointment, 1 Completed Old Re-filed Case, 0 Completed Patient Portal Login</v>
      </c>
      <c r="J37" s="23"/>
      <c r="K37" s="23"/>
    </row>
    <row r="38" hidden="1">
      <c r="A38" s="6" t="s">
        <v>240</v>
      </c>
      <c r="B38" s="92" t="s">
        <v>592</v>
      </c>
      <c r="C38" s="93" t="s">
        <v>593</v>
      </c>
      <c r="D38" s="93" t="s">
        <v>594</v>
      </c>
      <c r="E38" s="220"/>
      <c r="F38" s="220"/>
      <c r="G38" s="227"/>
      <c r="H38" s="219">
        <f t="shared" si="2"/>
        <v>0</v>
      </c>
      <c r="I38" s="126" t="str">
        <f t="shared" si="1"/>
        <v> Successful Attended Concurrent SSI Appointment,  Completed Old Re-filed Case,  Completed Patient Portal Login</v>
      </c>
      <c r="J38" s="23"/>
      <c r="K38" s="23"/>
    </row>
    <row r="39" hidden="1">
      <c r="A39" s="6" t="s">
        <v>240</v>
      </c>
      <c r="B39" s="92" t="s">
        <v>595</v>
      </c>
      <c r="C39" s="93" t="s">
        <v>596</v>
      </c>
      <c r="D39" s="93" t="s">
        <v>597</v>
      </c>
      <c r="E39" s="220"/>
      <c r="F39" s="220"/>
      <c r="G39" s="224"/>
      <c r="H39" s="219">
        <f t="shared" si="2"/>
        <v>0</v>
      </c>
      <c r="I39" s="126" t="str">
        <f t="shared" si="1"/>
        <v> Successful Attended Concurrent SSI Appointment,  Completed Old Re-filed Case,  Completed Patient Portal Login</v>
      </c>
      <c r="J39" s="23"/>
      <c r="K39" s="23"/>
    </row>
    <row r="40" hidden="1">
      <c r="A40" s="6" t="s">
        <v>240</v>
      </c>
      <c r="B40" s="92" t="s">
        <v>598</v>
      </c>
      <c r="C40" s="93" t="s">
        <v>599</v>
      </c>
      <c r="D40" s="93" t="s">
        <v>600</v>
      </c>
      <c r="E40" s="222">
        <v>0.0</v>
      </c>
      <c r="F40" s="222">
        <v>2.0</v>
      </c>
      <c r="G40" s="228">
        <v>0.0</v>
      </c>
      <c r="H40" s="219">
        <f t="shared" si="2"/>
        <v>200</v>
      </c>
      <c r="I40" s="126" t="str">
        <f t="shared" si="1"/>
        <v>0 Successful Attended Concurrent SSI Appointment, 2 Completed Old Re-filed Case, 0 Completed Patient Portal Login</v>
      </c>
      <c r="J40" s="23"/>
      <c r="K40" s="23"/>
    </row>
    <row r="41" hidden="1">
      <c r="A41" s="6" t="s">
        <v>240</v>
      </c>
      <c r="B41" s="92" t="s">
        <v>601</v>
      </c>
      <c r="C41" s="93" t="s">
        <v>602</v>
      </c>
      <c r="D41" s="93" t="s">
        <v>603</v>
      </c>
      <c r="E41" s="220"/>
      <c r="F41" s="36"/>
      <c r="G41" s="224"/>
      <c r="H41" s="219">
        <f t="shared" si="2"/>
        <v>0</v>
      </c>
      <c r="I41" s="126" t="str">
        <f t="shared" si="1"/>
        <v> Successful Attended Concurrent SSI Appointment,  Completed Old Re-filed Case,  Completed Patient Portal Login</v>
      </c>
      <c r="J41" s="23"/>
      <c r="K41" s="23"/>
    </row>
    <row r="42" hidden="1">
      <c r="A42" s="6" t="s">
        <v>241</v>
      </c>
      <c r="B42" s="92" t="s">
        <v>571</v>
      </c>
      <c r="C42" s="93" t="s">
        <v>572</v>
      </c>
      <c r="D42" s="93" t="s">
        <v>573</v>
      </c>
      <c r="E42" s="225">
        <v>4.0</v>
      </c>
      <c r="F42" s="222">
        <v>0.0</v>
      </c>
      <c r="G42" s="227">
        <v>0.0</v>
      </c>
      <c r="H42" s="219">
        <f t="shared" si="2"/>
        <v>400</v>
      </c>
      <c r="I42" s="126" t="str">
        <f t="shared" si="1"/>
        <v>4 Successful Attended Concurrent SSI Appointment, 0 Completed Old Re-filed Case, 0 Completed Patient Portal Login</v>
      </c>
      <c r="J42" s="23"/>
      <c r="K42" s="23"/>
    </row>
    <row r="43" hidden="1">
      <c r="A43" s="6" t="s">
        <v>241</v>
      </c>
      <c r="B43" s="92" t="s">
        <v>574</v>
      </c>
      <c r="C43" s="93" t="s">
        <v>575</v>
      </c>
      <c r="D43" s="93" t="s">
        <v>576</v>
      </c>
      <c r="E43" s="222">
        <v>0.0</v>
      </c>
      <c r="F43" s="222">
        <v>1.0</v>
      </c>
      <c r="G43" s="227">
        <v>0.0</v>
      </c>
      <c r="H43" s="219">
        <f t="shared" si="2"/>
        <v>100</v>
      </c>
      <c r="I43" s="126" t="str">
        <f t="shared" si="1"/>
        <v>0 Successful Attended Concurrent SSI Appointment, 1 Completed Old Re-filed Case, 0 Completed Patient Portal Login</v>
      </c>
      <c r="J43" s="23"/>
      <c r="K43" s="23"/>
    </row>
    <row r="44" hidden="1">
      <c r="A44" s="6" t="s">
        <v>241</v>
      </c>
      <c r="B44" s="92" t="s">
        <v>577</v>
      </c>
      <c r="C44" s="93" t="s">
        <v>578</v>
      </c>
      <c r="D44" s="93" t="s">
        <v>579</v>
      </c>
      <c r="E44" s="220"/>
      <c r="F44" s="222">
        <v>1.0</v>
      </c>
      <c r="G44" s="227">
        <v>0.0</v>
      </c>
      <c r="H44" s="219">
        <f t="shared" si="2"/>
        <v>100</v>
      </c>
      <c r="I44" s="126" t="str">
        <f t="shared" si="1"/>
        <v> Successful Attended Concurrent SSI Appointment, 1 Completed Old Re-filed Case, 0 Completed Patient Portal Login</v>
      </c>
      <c r="J44" s="23"/>
      <c r="K44" s="23"/>
    </row>
    <row r="45" hidden="1">
      <c r="A45" s="6" t="s">
        <v>241</v>
      </c>
      <c r="B45" s="92" t="s">
        <v>580</v>
      </c>
      <c r="C45" s="93" t="s">
        <v>581</v>
      </c>
      <c r="D45" s="93" t="s">
        <v>582</v>
      </c>
      <c r="E45" s="220"/>
      <c r="F45" s="222">
        <v>1.0</v>
      </c>
      <c r="G45" s="227">
        <v>0.0</v>
      </c>
      <c r="H45" s="219">
        <f t="shared" si="2"/>
        <v>100</v>
      </c>
      <c r="I45" s="126" t="str">
        <f t="shared" si="1"/>
        <v> Successful Attended Concurrent SSI Appointment, 1 Completed Old Re-filed Case, 0 Completed Patient Portal Login</v>
      </c>
      <c r="J45" s="23"/>
      <c r="K45" s="23"/>
    </row>
    <row r="46" hidden="1">
      <c r="A46" s="6" t="s">
        <v>241</v>
      </c>
      <c r="B46" s="92" t="s">
        <v>583</v>
      </c>
      <c r="C46" s="93" t="s">
        <v>584</v>
      </c>
      <c r="D46" s="93" t="s">
        <v>585</v>
      </c>
      <c r="E46" s="221"/>
      <c r="F46" s="221"/>
      <c r="G46" s="227">
        <v>0.0</v>
      </c>
      <c r="H46" s="219">
        <f t="shared" si="2"/>
        <v>0</v>
      </c>
      <c r="I46" s="126" t="str">
        <f t="shared" si="1"/>
        <v> Successful Attended Concurrent SSI Appointment,  Completed Old Re-filed Case, 0 Completed Patient Portal Login</v>
      </c>
      <c r="J46" s="23"/>
      <c r="K46" s="23"/>
    </row>
    <row r="47" hidden="1">
      <c r="A47" s="6" t="s">
        <v>241</v>
      </c>
      <c r="B47" s="92" t="s">
        <v>586</v>
      </c>
      <c r="C47" s="93" t="s">
        <v>587</v>
      </c>
      <c r="D47" s="93" t="s">
        <v>588</v>
      </c>
      <c r="E47" s="220"/>
      <c r="F47" s="220"/>
      <c r="G47" s="224">
        <v>0.0</v>
      </c>
      <c r="H47" s="219">
        <f t="shared" si="2"/>
        <v>0</v>
      </c>
      <c r="I47" s="126" t="str">
        <f t="shared" si="1"/>
        <v> Successful Attended Concurrent SSI Appointment,  Completed Old Re-filed Case, 0 Completed Patient Portal Login</v>
      </c>
      <c r="J47" s="23"/>
      <c r="K47" s="23"/>
    </row>
    <row r="48" hidden="1">
      <c r="A48" s="6" t="s">
        <v>241</v>
      </c>
      <c r="B48" s="92" t="s">
        <v>589</v>
      </c>
      <c r="C48" s="93" t="s">
        <v>590</v>
      </c>
      <c r="D48" s="93" t="s">
        <v>591</v>
      </c>
      <c r="E48" s="222">
        <v>0.0</v>
      </c>
      <c r="F48" s="222">
        <v>1.0</v>
      </c>
      <c r="G48" s="224">
        <v>0.0</v>
      </c>
      <c r="H48" s="219">
        <f t="shared" si="2"/>
        <v>100</v>
      </c>
      <c r="I48" s="126" t="str">
        <f t="shared" si="1"/>
        <v>0 Successful Attended Concurrent SSI Appointment, 1 Completed Old Re-filed Case, 0 Completed Patient Portal Login</v>
      </c>
      <c r="J48" s="23"/>
      <c r="K48" s="23"/>
    </row>
    <row r="49" hidden="1">
      <c r="A49" s="6" t="s">
        <v>241</v>
      </c>
      <c r="B49" s="92" t="s">
        <v>592</v>
      </c>
      <c r="C49" s="93" t="s">
        <v>593</v>
      </c>
      <c r="D49" s="93" t="s">
        <v>594</v>
      </c>
      <c r="E49" s="225">
        <v>2.0</v>
      </c>
      <c r="F49" s="222">
        <v>1.0</v>
      </c>
      <c r="G49" s="227">
        <v>0.0</v>
      </c>
      <c r="H49" s="219">
        <f t="shared" si="2"/>
        <v>300</v>
      </c>
      <c r="I49" s="126" t="str">
        <f t="shared" si="1"/>
        <v>2 Successful Attended Concurrent SSI Appointment, 1 Completed Old Re-filed Case, 0 Completed Patient Portal Login</v>
      </c>
      <c r="J49" s="23"/>
      <c r="K49" s="23"/>
    </row>
    <row r="50" hidden="1">
      <c r="A50" s="6" t="s">
        <v>241</v>
      </c>
      <c r="B50" s="92" t="s">
        <v>595</v>
      </c>
      <c r="C50" s="93" t="s">
        <v>596</v>
      </c>
      <c r="D50" s="93" t="s">
        <v>597</v>
      </c>
      <c r="E50" s="222">
        <v>0.0</v>
      </c>
      <c r="F50" s="222">
        <v>1.0</v>
      </c>
      <c r="G50" s="224">
        <v>0.0</v>
      </c>
      <c r="H50" s="219">
        <f t="shared" si="2"/>
        <v>100</v>
      </c>
      <c r="I50" s="126" t="str">
        <f t="shared" si="1"/>
        <v>0 Successful Attended Concurrent SSI Appointment, 1 Completed Old Re-filed Case, 0 Completed Patient Portal Login</v>
      </c>
      <c r="J50" s="23"/>
      <c r="K50" s="23"/>
    </row>
    <row r="51" hidden="1">
      <c r="A51" s="6" t="s">
        <v>241</v>
      </c>
      <c r="B51" s="92" t="s">
        <v>598</v>
      </c>
      <c r="C51" s="93" t="s">
        <v>599</v>
      </c>
      <c r="D51" s="93" t="s">
        <v>600</v>
      </c>
      <c r="E51" s="222">
        <v>0.0</v>
      </c>
      <c r="F51" s="222">
        <v>2.0</v>
      </c>
      <c r="G51" s="224">
        <v>0.0</v>
      </c>
      <c r="H51" s="219">
        <f t="shared" si="2"/>
        <v>200</v>
      </c>
      <c r="I51" s="126" t="str">
        <f t="shared" si="1"/>
        <v>0 Successful Attended Concurrent SSI Appointment, 2 Completed Old Re-filed Case, 0 Completed Patient Portal Login</v>
      </c>
      <c r="J51" s="23"/>
      <c r="K51" s="23"/>
    </row>
    <row r="52" hidden="1">
      <c r="A52" s="6" t="s">
        <v>241</v>
      </c>
      <c r="B52" s="92" t="s">
        <v>601</v>
      </c>
      <c r="C52" s="93" t="s">
        <v>602</v>
      </c>
      <c r="D52" s="93" t="s">
        <v>603</v>
      </c>
      <c r="E52" s="222">
        <v>5.0</v>
      </c>
      <c r="F52" s="220"/>
      <c r="G52" s="224">
        <v>0.0</v>
      </c>
      <c r="H52" s="219">
        <f t="shared" si="2"/>
        <v>500</v>
      </c>
      <c r="I52" s="126" t="str">
        <f t="shared" si="1"/>
        <v>5 Successful Attended Concurrent SSI Appointment,  Completed Old Re-filed Case, 0 Completed Patient Portal Login</v>
      </c>
      <c r="J52" s="23"/>
      <c r="K52" s="23"/>
    </row>
    <row r="53" hidden="1">
      <c r="A53" s="6" t="s">
        <v>242</v>
      </c>
      <c r="B53" s="92" t="s">
        <v>571</v>
      </c>
      <c r="C53" s="93" t="s">
        <v>572</v>
      </c>
      <c r="D53" s="93" t="s">
        <v>573</v>
      </c>
      <c r="E53" s="225">
        <v>4.0</v>
      </c>
      <c r="F53" s="222">
        <v>0.0</v>
      </c>
      <c r="G53" s="229">
        <v>0.0</v>
      </c>
      <c r="H53" s="219">
        <f t="shared" si="2"/>
        <v>400</v>
      </c>
      <c r="I53" s="126" t="str">
        <f t="shared" si="1"/>
        <v>4 Successful Attended Concurrent SSI Appointment, 0 Completed Old Re-filed Case, 0 Completed Patient Portal Login</v>
      </c>
      <c r="J53" s="23"/>
      <c r="K53" s="23"/>
    </row>
    <row r="54" hidden="1">
      <c r="A54" s="6" t="s">
        <v>242</v>
      </c>
      <c r="B54" s="92" t="s">
        <v>574</v>
      </c>
      <c r="C54" s="93" t="s">
        <v>575</v>
      </c>
      <c r="D54" s="93" t="s">
        <v>576</v>
      </c>
      <c r="E54" s="222">
        <v>0.0</v>
      </c>
      <c r="F54" s="222">
        <v>1.0</v>
      </c>
      <c r="G54" s="229">
        <v>0.0</v>
      </c>
      <c r="H54" s="219">
        <f t="shared" si="2"/>
        <v>100</v>
      </c>
      <c r="I54" s="126" t="str">
        <f t="shared" si="1"/>
        <v>0 Successful Attended Concurrent SSI Appointment, 1 Completed Old Re-filed Case, 0 Completed Patient Portal Login</v>
      </c>
      <c r="J54" s="23"/>
      <c r="K54" s="23"/>
    </row>
    <row r="55" hidden="1">
      <c r="A55" s="6" t="s">
        <v>242</v>
      </c>
      <c r="B55" s="92" t="s">
        <v>577</v>
      </c>
      <c r="C55" s="93" t="s">
        <v>578</v>
      </c>
      <c r="D55" s="93" t="s">
        <v>579</v>
      </c>
      <c r="E55" s="222">
        <v>0.0</v>
      </c>
      <c r="F55" s="222">
        <v>1.0</v>
      </c>
      <c r="G55" s="229">
        <v>0.0</v>
      </c>
      <c r="H55" s="219">
        <f t="shared" si="2"/>
        <v>100</v>
      </c>
      <c r="I55" s="126" t="str">
        <f t="shared" si="1"/>
        <v>0 Successful Attended Concurrent SSI Appointment, 1 Completed Old Re-filed Case, 0 Completed Patient Portal Login</v>
      </c>
      <c r="J55" s="23"/>
      <c r="K55" s="23"/>
    </row>
    <row r="56" hidden="1">
      <c r="A56" s="6" t="s">
        <v>242</v>
      </c>
      <c r="B56" s="92" t="s">
        <v>580</v>
      </c>
      <c r="C56" s="93" t="s">
        <v>581</v>
      </c>
      <c r="D56" s="93" t="s">
        <v>582</v>
      </c>
      <c r="E56" s="222">
        <v>0.0</v>
      </c>
      <c r="F56" s="222">
        <v>1.0</v>
      </c>
      <c r="G56" s="229">
        <v>0.0</v>
      </c>
      <c r="H56" s="219">
        <f t="shared" si="2"/>
        <v>100</v>
      </c>
      <c r="I56" s="126" t="str">
        <f t="shared" si="1"/>
        <v>0 Successful Attended Concurrent SSI Appointment, 1 Completed Old Re-filed Case, 0 Completed Patient Portal Login</v>
      </c>
      <c r="J56" s="23"/>
      <c r="K56" s="23"/>
    </row>
    <row r="57" hidden="1">
      <c r="A57" s="6" t="s">
        <v>242</v>
      </c>
      <c r="B57" s="92" t="s">
        <v>583</v>
      </c>
      <c r="C57" s="93" t="s">
        <v>584</v>
      </c>
      <c r="D57" s="93" t="s">
        <v>585</v>
      </c>
      <c r="E57" s="223">
        <v>0.0</v>
      </c>
      <c r="F57" s="223">
        <v>0.0</v>
      </c>
      <c r="G57" s="229">
        <v>0.0</v>
      </c>
      <c r="H57" s="219">
        <f t="shared" si="2"/>
        <v>0</v>
      </c>
      <c r="I57" s="126" t="str">
        <f t="shared" si="1"/>
        <v>0 Successful Attended Concurrent SSI Appointment, 0 Completed Old Re-filed Case, 0 Completed Patient Portal Login</v>
      </c>
      <c r="J57" s="23"/>
      <c r="K57" s="23"/>
    </row>
    <row r="58" hidden="1">
      <c r="A58" s="6" t="s">
        <v>242</v>
      </c>
      <c r="B58" s="92" t="s">
        <v>586</v>
      </c>
      <c r="C58" s="93" t="s">
        <v>587</v>
      </c>
      <c r="D58" s="93" t="s">
        <v>588</v>
      </c>
      <c r="E58" s="222">
        <v>0.0</v>
      </c>
      <c r="F58" s="222">
        <v>0.0</v>
      </c>
      <c r="G58" s="228">
        <v>0.0</v>
      </c>
      <c r="H58" s="219">
        <f t="shared" si="2"/>
        <v>0</v>
      </c>
      <c r="I58" s="126" t="str">
        <f t="shared" si="1"/>
        <v>0 Successful Attended Concurrent SSI Appointment, 0 Completed Old Re-filed Case, 0 Completed Patient Portal Login</v>
      </c>
      <c r="J58" s="23"/>
      <c r="K58" s="23"/>
    </row>
    <row r="59" hidden="1">
      <c r="A59" s="6" t="s">
        <v>242</v>
      </c>
      <c r="B59" s="92" t="s">
        <v>589</v>
      </c>
      <c r="C59" s="93" t="s">
        <v>590</v>
      </c>
      <c r="D59" s="93" t="s">
        <v>591</v>
      </c>
      <c r="E59" s="222">
        <v>0.0</v>
      </c>
      <c r="F59" s="222">
        <v>1.0</v>
      </c>
      <c r="G59" s="228">
        <v>0.0</v>
      </c>
      <c r="H59" s="219">
        <f t="shared" si="2"/>
        <v>100</v>
      </c>
      <c r="I59" s="126" t="str">
        <f t="shared" si="1"/>
        <v>0 Successful Attended Concurrent SSI Appointment, 1 Completed Old Re-filed Case, 0 Completed Patient Portal Login</v>
      </c>
      <c r="J59" s="23"/>
      <c r="K59" s="23"/>
    </row>
    <row r="60" hidden="1">
      <c r="A60" s="6" t="s">
        <v>242</v>
      </c>
      <c r="B60" s="92" t="s">
        <v>592</v>
      </c>
      <c r="C60" s="93" t="s">
        <v>593</v>
      </c>
      <c r="D60" s="93" t="s">
        <v>594</v>
      </c>
      <c r="E60" s="225">
        <v>2.0</v>
      </c>
      <c r="F60" s="222">
        <v>1.0</v>
      </c>
      <c r="G60" s="229">
        <v>0.0</v>
      </c>
      <c r="H60" s="219">
        <f t="shared" si="2"/>
        <v>300</v>
      </c>
      <c r="I60" s="126" t="str">
        <f t="shared" si="1"/>
        <v>2 Successful Attended Concurrent SSI Appointment, 1 Completed Old Re-filed Case, 0 Completed Patient Portal Login</v>
      </c>
      <c r="J60" s="23"/>
      <c r="K60" s="23"/>
    </row>
    <row r="61" hidden="1">
      <c r="A61" s="6" t="s">
        <v>242</v>
      </c>
      <c r="B61" s="92" t="s">
        <v>595</v>
      </c>
      <c r="C61" s="93" t="s">
        <v>596</v>
      </c>
      <c r="D61" s="93" t="s">
        <v>597</v>
      </c>
      <c r="E61" s="222">
        <v>0.0</v>
      </c>
      <c r="F61" s="222">
        <v>1.0</v>
      </c>
      <c r="G61" s="228">
        <v>0.0</v>
      </c>
      <c r="H61" s="219">
        <f t="shared" si="2"/>
        <v>100</v>
      </c>
      <c r="I61" s="126" t="str">
        <f t="shared" si="1"/>
        <v>0 Successful Attended Concurrent SSI Appointment, 1 Completed Old Re-filed Case, 0 Completed Patient Portal Login</v>
      </c>
      <c r="J61" s="23"/>
      <c r="K61" s="23"/>
    </row>
    <row r="62" hidden="1">
      <c r="A62" s="6" t="s">
        <v>242</v>
      </c>
      <c r="B62" s="92" t="s">
        <v>598</v>
      </c>
      <c r="C62" s="93" t="s">
        <v>599</v>
      </c>
      <c r="D62" s="93" t="s">
        <v>600</v>
      </c>
      <c r="E62" s="222">
        <v>0.0</v>
      </c>
      <c r="F62" s="222">
        <v>2.0</v>
      </c>
      <c r="G62" s="228">
        <v>0.0</v>
      </c>
      <c r="H62" s="219">
        <f t="shared" si="2"/>
        <v>200</v>
      </c>
      <c r="I62" s="126" t="str">
        <f t="shared" si="1"/>
        <v>0 Successful Attended Concurrent SSI Appointment, 2 Completed Old Re-filed Case, 0 Completed Patient Portal Login</v>
      </c>
      <c r="J62" s="23"/>
      <c r="K62" s="23"/>
    </row>
    <row r="63" hidden="1">
      <c r="A63" s="6" t="s">
        <v>242</v>
      </c>
      <c r="B63" s="92" t="s">
        <v>601</v>
      </c>
      <c r="C63" s="93" t="s">
        <v>602</v>
      </c>
      <c r="D63" s="93" t="s">
        <v>603</v>
      </c>
      <c r="E63" s="222">
        <v>5.0</v>
      </c>
      <c r="F63" s="222">
        <v>0.0</v>
      </c>
      <c r="G63" s="228">
        <v>0.0</v>
      </c>
      <c r="H63" s="219">
        <f t="shared" si="2"/>
        <v>500</v>
      </c>
      <c r="I63" s="126" t="str">
        <f t="shared" si="1"/>
        <v>5 Successful Attended Concurrent SSI Appointment, 0 Completed Old Re-filed Case, 0 Completed Patient Portal Login</v>
      </c>
      <c r="J63" s="23"/>
      <c r="K63" s="23"/>
    </row>
    <row r="64" hidden="1">
      <c r="A64" s="6" t="s">
        <v>13</v>
      </c>
      <c r="B64" s="91" t="s">
        <v>571</v>
      </c>
      <c r="C64" s="96" t="s">
        <v>572</v>
      </c>
      <c r="D64" s="96" t="s">
        <v>573</v>
      </c>
      <c r="E64" s="225">
        <v>1.0</v>
      </c>
      <c r="F64" s="226">
        <v>1.0</v>
      </c>
      <c r="G64" s="38"/>
      <c r="H64" s="219">
        <f t="shared" si="2"/>
        <v>200</v>
      </c>
      <c r="I64" s="126" t="str">
        <f t="shared" si="1"/>
        <v>1 Successful Attended Concurrent SSI Appointment, 1 Completed Old Re-filed Case,  Completed Patient Portal Login</v>
      </c>
      <c r="J64" s="23"/>
      <c r="K64" s="23"/>
    </row>
    <row r="65" hidden="1">
      <c r="A65" s="6" t="s">
        <v>13</v>
      </c>
      <c r="B65" s="91" t="s">
        <v>574</v>
      </c>
      <c r="C65" s="96" t="s">
        <v>575</v>
      </c>
      <c r="D65" s="96" t="s">
        <v>576</v>
      </c>
      <c r="E65" s="220"/>
      <c r="F65" s="220"/>
      <c r="G65" s="38"/>
      <c r="H65" s="219">
        <f t="shared" si="2"/>
        <v>0</v>
      </c>
      <c r="I65" s="126" t="str">
        <f t="shared" si="1"/>
        <v> Successful Attended Concurrent SSI Appointment,  Completed Old Re-filed Case,  Completed Patient Portal Login</v>
      </c>
      <c r="J65" s="23"/>
      <c r="K65" s="23"/>
    </row>
    <row r="66" hidden="1">
      <c r="A66" s="6" t="s">
        <v>13</v>
      </c>
      <c r="B66" s="91" t="s">
        <v>577</v>
      </c>
      <c r="C66" s="96" t="s">
        <v>578</v>
      </c>
      <c r="D66" s="96" t="s">
        <v>579</v>
      </c>
      <c r="E66" s="220"/>
      <c r="F66" s="220"/>
      <c r="G66" s="38"/>
      <c r="H66" s="219">
        <f t="shared" si="2"/>
        <v>0</v>
      </c>
      <c r="I66" s="126" t="str">
        <f t="shared" si="1"/>
        <v> Successful Attended Concurrent SSI Appointment,  Completed Old Re-filed Case,  Completed Patient Portal Login</v>
      </c>
      <c r="J66" s="23"/>
      <c r="K66" s="23"/>
    </row>
    <row r="67" hidden="1">
      <c r="A67" s="6" t="s">
        <v>13</v>
      </c>
      <c r="B67" s="91" t="s">
        <v>580</v>
      </c>
      <c r="C67" s="96" t="s">
        <v>581</v>
      </c>
      <c r="D67" s="96" t="s">
        <v>582</v>
      </c>
      <c r="E67" s="220"/>
      <c r="F67" s="220"/>
      <c r="G67" s="38"/>
      <c r="H67" s="219">
        <f t="shared" si="2"/>
        <v>0</v>
      </c>
      <c r="I67" s="126" t="str">
        <f t="shared" si="1"/>
        <v> Successful Attended Concurrent SSI Appointment,  Completed Old Re-filed Case,  Completed Patient Portal Login</v>
      </c>
      <c r="J67" s="23"/>
      <c r="K67" s="23"/>
    </row>
    <row r="68" hidden="1">
      <c r="A68" s="6" t="s">
        <v>13</v>
      </c>
      <c r="B68" s="91" t="s">
        <v>583</v>
      </c>
      <c r="C68" s="96" t="s">
        <v>584</v>
      </c>
      <c r="D68" s="96" t="s">
        <v>585</v>
      </c>
      <c r="E68" s="220"/>
      <c r="F68" s="220"/>
      <c r="G68" s="38"/>
      <c r="H68" s="219">
        <f t="shared" si="2"/>
        <v>0</v>
      </c>
      <c r="I68" s="126" t="str">
        <f t="shared" si="1"/>
        <v> Successful Attended Concurrent SSI Appointment,  Completed Old Re-filed Case,  Completed Patient Portal Login</v>
      </c>
      <c r="J68" s="23"/>
      <c r="K68" s="23"/>
    </row>
    <row r="69" hidden="1">
      <c r="A69" s="6" t="s">
        <v>13</v>
      </c>
      <c r="B69" s="91" t="s">
        <v>586</v>
      </c>
      <c r="C69" s="96" t="s">
        <v>587</v>
      </c>
      <c r="D69" s="96" t="s">
        <v>588</v>
      </c>
      <c r="E69" s="220"/>
      <c r="F69" s="220"/>
      <c r="G69" s="38"/>
      <c r="H69" s="219">
        <f t="shared" si="2"/>
        <v>0</v>
      </c>
      <c r="I69" s="126" t="str">
        <f t="shared" si="1"/>
        <v> Successful Attended Concurrent SSI Appointment,  Completed Old Re-filed Case,  Completed Patient Portal Login</v>
      </c>
      <c r="J69" s="23"/>
      <c r="K69" s="23"/>
    </row>
    <row r="70" hidden="1">
      <c r="A70" s="6" t="s">
        <v>13</v>
      </c>
      <c r="B70" s="91" t="s">
        <v>589</v>
      </c>
      <c r="C70" s="96" t="s">
        <v>590</v>
      </c>
      <c r="D70" s="96" t="s">
        <v>591</v>
      </c>
      <c r="E70" s="220"/>
      <c r="F70" s="220"/>
      <c r="G70" s="38"/>
      <c r="H70" s="219">
        <f t="shared" si="2"/>
        <v>0</v>
      </c>
      <c r="I70" s="126" t="str">
        <f t="shared" si="1"/>
        <v> Successful Attended Concurrent SSI Appointment,  Completed Old Re-filed Case,  Completed Patient Portal Login</v>
      </c>
      <c r="J70" s="23"/>
      <c r="K70" s="23"/>
    </row>
    <row r="71" hidden="1">
      <c r="A71" s="6" t="s">
        <v>13</v>
      </c>
      <c r="B71" s="91" t="s">
        <v>592</v>
      </c>
      <c r="C71" s="96" t="s">
        <v>593</v>
      </c>
      <c r="D71" s="96" t="s">
        <v>594</v>
      </c>
      <c r="E71" s="220"/>
      <c r="F71" s="220"/>
      <c r="G71" s="38"/>
      <c r="H71" s="219">
        <f t="shared" si="2"/>
        <v>0</v>
      </c>
      <c r="I71" s="126" t="str">
        <f t="shared" si="1"/>
        <v> Successful Attended Concurrent SSI Appointment,  Completed Old Re-filed Case,  Completed Patient Portal Login</v>
      </c>
      <c r="J71" s="23"/>
      <c r="K71" s="23"/>
    </row>
    <row r="72" hidden="1">
      <c r="A72" s="6" t="s">
        <v>13</v>
      </c>
      <c r="B72" s="91" t="s">
        <v>595</v>
      </c>
      <c r="C72" s="96" t="s">
        <v>596</v>
      </c>
      <c r="D72" s="96" t="s">
        <v>597</v>
      </c>
      <c r="E72" s="220"/>
      <c r="F72" s="220"/>
      <c r="G72" s="38"/>
      <c r="H72" s="219">
        <f t="shared" si="2"/>
        <v>0</v>
      </c>
      <c r="I72" s="126" t="str">
        <f t="shared" si="1"/>
        <v> Successful Attended Concurrent SSI Appointment,  Completed Old Re-filed Case,  Completed Patient Portal Login</v>
      </c>
      <c r="J72" s="23"/>
      <c r="K72" s="23"/>
    </row>
    <row r="73" hidden="1">
      <c r="A73" s="6" t="s">
        <v>13</v>
      </c>
      <c r="B73" s="91" t="s">
        <v>598</v>
      </c>
      <c r="C73" s="96" t="s">
        <v>599</v>
      </c>
      <c r="D73" s="96" t="s">
        <v>600</v>
      </c>
      <c r="E73" s="220"/>
      <c r="F73" s="220"/>
      <c r="G73" s="38"/>
      <c r="H73" s="219">
        <f t="shared" si="2"/>
        <v>0</v>
      </c>
      <c r="I73" s="126" t="str">
        <f t="shared" si="1"/>
        <v> Successful Attended Concurrent SSI Appointment,  Completed Old Re-filed Case,  Completed Patient Portal Login</v>
      </c>
      <c r="J73" s="23"/>
      <c r="K73" s="23"/>
    </row>
    <row r="74" hidden="1">
      <c r="A74" s="6" t="s">
        <v>13</v>
      </c>
      <c r="B74" s="91" t="s">
        <v>601</v>
      </c>
      <c r="C74" s="96" t="s">
        <v>602</v>
      </c>
      <c r="D74" s="96" t="s">
        <v>603</v>
      </c>
      <c r="E74" s="220"/>
      <c r="F74" s="220"/>
      <c r="G74" s="38"/>
      <c r="H74" s="219">
        <f t="shared" si="2"/>
        <v>0</v>
      </c>
      <c r="I74" s="126" t="str">
        <f t="shared" si="1"/>
        <v> Successful Attended Concurrent SSI Appointment,  Completed Old Re-filed Case,  Completed Patient Portal Login</v>
      </c>
      <c r="J74" s="23"/>
      <c r="K74" s="23"/>
    </row>
    <row r="75" hidden="1">
      <c r="A75" s="6" t="s">
        <v>203</v>
      </c>
      <c r="B75" s="92" t="s">
        <v>32</v>
      </c>
      <c r="C75" s="93" t="s">
        <v>227</v>
      </c>
      <c r="D75" s="93" t="s">
        <v>34</v>
      </c>
      <c r="E75" s="226">
        <v>9.0</v>
      </c>
      <c r="F75" s="226">
        <v>6.0</v>
      </c>
      <c r="G75" s="224"/>
      <c r="H75" s="219">
        <f t="shared" si="2"/>
        <v>1500</v>
      </c>
      <c r="I75" s="126" t="str">
        <f t="shared" si="1"/>
        <v>9 Successful Attended Concurrent SSI Appointment, 6 Completed Old Re-filed Case,  Completed Patient Portal Login</v>
      </c>
      <c r="J75" s="23"/>
      <c r="K75" s="23"/>
    </row>
    <row r="76" hidden="1">
      <c r="A76" s="6" t="s">
        <v>203</v>
      </c>
      <c r="B76" s="92" t="s">
        <v>29</v>
      </c>
      <c r="C76" s="93" t="s">
        <v>228</v>
      </c>
      <c r="D76" s="93" t="s">
        <v>31</v>
      </c>
      <c r="E76" s="226">
        <v>7.0</v>
      </c>
      <c r="F76" s="226">
        <v>1.0</v>
      </c>
      <c r="G76" s="224"/>
      <c r="H76" s="219">
        <f t="shared" si="2"/>
        <v>800</v>
      </c>
      <c r="I76" s="126" t="str">
        <f t="shared" si="1"/>
        <v>7 Successful Attended Concurrent SSI Appointment, 1 Completed Old Re-filed Case,  Completed Patient Portal Login</v>
      </c>
      <c r="J76" s="23"/>
      <c r="K76" s="23"/>
    </row>
    <row r="77" hidden="1">
      <c r="A77" s="6" t="s">
        <v>203</v>
      </c>
      <c r="B77" s="92" t="s">
        <v>26</v>
      </c>
      <c r="C77" s="93" t="s">
        <v>229</v>
      </c>
      <c r="D77" s="93" t="s">
        <v>28</v>
      </c>
      <c r="E77" s="225">
        <v>15.0</v>
      </c>
      <c r="F77" s="226">
        <v>9.0</v>
      </c>
      <c r="G77" s="224"/>
      <c r="H77" s="219">
        <f t="shared" si="2"/>
        <v>2400</v>
      </c>
      <c r="I77" s="126" t="str">
        <f t="shared" si="1"/>
        <v>15 Successful Attended Concurrent SSI Appointment, 9 Completed Old Re-filed Case,  Completed Patient Portal Login</v>
      </c>
      <c r="J77" s="23"/>
      <c r="K77" s="23"/>
    </row>
    <row r="78" hidden="1">
      <c r="A78" s="6" t="s">
        <v>203</v>
      </c>
      <c r="B78" s="92" t="s">
        <v>17</v>
      </c>
      <c r="C78" s="93" t="s">
        <v>232</v>
      </c>
      <c r="D78" s="93" t="s">
        <v>19</v>
      </c>
      <c r="E78" s="225">
        <v>42.0</v>
      </c>
      <c r="F78" s="225">
        <v>3.0</v>
      </c>
      <c r="G78" s="224"/>
      <c r="H78" s="219">
        <f t="shared" si="2"/>
        <v>4500</v>
      </c>
      <c r="I78" s="126" t="str">
        <f t="shared" si="1"/>
        <v>42 Successful Attended Concurrent SSI Appointment, 3 Completed Old Re-filed Case,  Completed Patient Portal Login</v>
      </c>
      <c r="J78" s="23"/>
      <c r="K78" s="23"/>
    </row>
    <row r="79" hidden="1">
      <c r="A79" s="6" t="s">
        <v>203</v>
      </c>
      <c r="B79" s="92" t="s">
        <v>20</v>
      </c>
      <c r="C79" s="93" t="s">
        <v>231</v>
      </c>
      <c r="D79" s="93" t="s">
        <v>22</v>
      </c>
      <c r="E79" s="225">
        <v>41.0</v>
      </c>
      <c r="F79" s="225">
        <v>3.0</v>
      </c>
      <c r="G79" s="230"/>
      <c r="H79" s="219">
        <f t="shared" si="2"/>
        <v>4400</v>
      </c>
      <c r="I79" s="126" t="str">
        <f t="shared" si="1"/>
        <v>41 Successful Attended Concurrent SSI Appointment, 3 Completed Old Re-filed Case,  Completed Patient Portal Login</v>
      </c>
      <c r="J79" s="23"/>
      <c r="K79" s="23"/>
    </row>
    <row r="80" hidden="1">
      <c r="A80" s="6" t="s">
        <v>203</v>
      </c>
      <c r="B80" s="92" t="s">
        <v>23</v>
      </c>
      <c r="C80" s="93" t="s">
        <v>230</v>
      </c>
      <c r="D80" s="93" t="s">
        <v>25</v>
      </c>
      <c r="E80" s="226">
        <v>8.0</v>
      </c>
      <c r="F80" s="226">
        <v>4.0</v>
      </c>
      <c r="G80" s="224"/>
      <c r="H80" s="219">
        <f t="shared" si="2"/>
        <v>1200</v>
      </c>
      <c r="I80" s="126" t="str">
        <f t="shared" si="1"/>
        <v>8 Successful Attended Concurrent SSI Appointment, 4 Completed Old Re-filed Case,  Completed Patient Portal Login</v>
      </c>
      <c r="J80" s="23"/>
      <c r="K80" s="23"/>
    </row>
    <row r="81" hidden="1">
      <c r="A81" s="6" t="s">
        <v>204</v>
      </c>
      <c r="B81" s="92" t="s">
        <v>32</v>
      </c>
      <c r="C81" s="93" t="s">
        <v>227</v>
      </c>
      <c r="D81" s="93" t="s">
        <v>34</v>
      </c>
      <c r="E81" s="222">
        <v>13.0</v>
      </c>
      <c r="F81" s="226">
        <v>0.0</v>
      </c>
      <c r="G81" s="224">
        <v>0.0</v>
      </c>
      <c r="H81" s="219">
        <f t="shared" si="2"/>
        <v>1300</v>
      </c>
      <c r="I81" s="126" t="str">
        <f t="shared" si="1"/>
        <v>13 Successful Attended Concurrent SSI Appointment, 0 Completed Old Re-filed Case, 0 Completed Patient Portal Login</v>
      </c>
      <c r="J81" s="23"/>
      <c r="K81" s="23"/>
    </row>
    <row r="82" hidden="1">
      <c r="A82" s="6" t="s">
        <v>204</v>
      </c>
      <c r="B82" s="92" t="s">
        <v>29</v>
      </c>
      <c r="C82" s="93" t="s">
        <v>228</v>
      </c>
      <c r="D82" s="93" t="s">
        <v>31</v>
      </c>
      <c r="E82" s="222">
        <v>4.0</v>
      </c>
      <c r="F82" s="222">
        <v>6.0</v>
      </c>
      <c r="G82" s="224">
        <v>0.0</v>
      </c>
      <c r="H82" s="219">
        <f t="shared" si="2"/>
        <v>1000</v>
      </c>
      <c r="I82" s="126" t="str">
        <f t="shared" si="1"/>
        <v>4 Successful Attended Concurrent SSI Appointment, 6 Completed Old Re-filed Case, 0 Completed Patient Portal Login</v>
      </c>
      <c r="J82" s="23"/>
      <c r="K82" s="23"/>
    </row>
    <row r="83" hidden="1">
      <c r="A83" s="6" t="s">
        <v>204</v>
      </c>
      <c r="B83" s="92" t="s">
        <v>26</v>
      </c>
      <c r="C83" s="93" t="s">
        <v>229</v>
      </c>
      <c r="D83" s="93" t="s">
        <v>28</v>
      </c>
      <c r="E83" s="222">
        <v>4.0</v>
      </c>
      <c r="F83" s="222">
        <v>6.0</v>
      </c>
      <c r="G83" s="224">
        <v>0.0</v>
      </c>
      <c r="H83" s="219">
        <f t="shared" si="2"/>
        <v>1000</v>
      </c>
      <c r="I83" s="126" t="str">
        <f t="shared" si="1"/>
        <v>4 Successful Attended Concurrent SSI Appointment, 6 Completed Old Re-filed Case, 0 Completed Patient Portal Login</v>
      </c>
      <c r="J83" s="23"/>
      <c r="K83" s="23"/>
    </row>
    <row r="84" hidden="1">
      <c r="A84" s="6" t="s">
        <v>204</v>
      </c>
      <c r="B84" s="92" t="s">
        <v>17</v>
      </c>
      <c r="C84" s="93" t="s">
        <v>232</v>
      </c>
      <c r="D84" s="93" t="s">
        <v>19</v>
      </c>
      <c r="E84" s="222">
        <v>25.0</v>
      </c>
      <c r="F84" s="222">
        <v>6.0</v>
      </c>
      <c r="G84" s="224">
        <v>0.0</v>
      </c>
      <c r="H84" s="219">
        <f t="shared" si="2"/>
        <v>3100</v>
      </c>
      <c r="I84" s="126" t="str">
        <f t="shared" si="1"/>
        <v>25 Successful Attended Concurrent SSI Appointment, 6 Completed Old Re-filed Case, 0 Completed Patient Portal Login</v>
      </c>
      <c r="J84" s="23"/>
      <c r="K84" s="23"/>
    </row>
    <row r="85" hidden="1">
      <c r="A85" s="6" t="s">
        <v>204</v>
      </c>
      <c r="B85" s="92" t="s">
        <v>20</v>
      </c>
      <c r="C85" s="93" t="s">
        <v>231</v>
      </c>
      <c r="D85" s="93" t="s">
        <v>22</v>
      </c>
      <c r="E85" s="222">
        <v>30.0</v>
      </c>
      <c r="F85" s="222">
        <v>4.0</v>
      </c>
      <c r="G85" s="230">
        <v>0.0</v>
      </c>
      <c r="H85" s="219">
        <f t="shared" si="2"/>
        <v>3400</v>
      </c>
      <c r="I85" s="126" t="str">
        <f t="shared" si="1"/>
        <v>30 Successful Attended Concurrent SSI Appointment, 4 Completed Old Re-filed Case, 0 Completed Patient Portal Login</v>
      </c>
      <c r="J85" s="23"/>
      <c r="K85" s="23"/>
    </row>
    <row r="86" hidden="1">
      <c r="A86" s="6" t="s">
        <v>204</v>
      </c>
      <c r="B86" s="92" t="s">
        <v>23</v>
      </c>
      <c r="C86" s="93" t="s">
        <v>230</v>
      </c>
      <c r="D86" s="93" t="s">
        <v>25</v>
      </c>
      <c r="E86" s="222">
        <v>4.0</v>
      </c>
      <c r="F86" s="222">
        <v>6.0</v>
      </c>
      <c r="G86" s="224">
        <v>0.0</v>
      </c>
      <c r="H86" s="219">
        <f t="shared" si="2"/>
        <v>1000</v>
      </c>
      <c r="I86" s="126" t="str">
        <f t="shared" si="1"/>
        <v>4 Successful Attended Concurrent SSI Appointment, 6 Completed Old Re-filed Case, 0 Completed Patient Portal Login</v>
      </c>
      <c r="J86" s="23"/>
      <c r="K86" s="23"/>
    </row>
    <row r="87" hidden="1">
      <c r="A87" s="6" t="s">
        <v>205</v>
      </c>
      <c r="B87" s="92" t="s">
        <v>32</v>
      </c>
      <c r="C87" s="93" t="s">
        <v>227</v>
      </c>
      <c r="D87" s="93" t="s">
        <v>34</v>
      </c>
      <c r="E87" s="222">
        <v>12.0</v>
      </c>
      <c r="F87" s="222">
        <v>5.0</v>
      </c>
      <c r="G87" s="224">
        <v>0.0</v>
      </c>
      <c r="H87" s="219">
        <f t="shared" si="2"/>
        <v>1700</v>
      </c>
      <c r="I87" s="126" t="str">
        <f t="shared" si="1"/>
        <v>12 Successful Attended Concurrent SSI Appointment, 5 Completed Old Re-filed Case, 0 Completed Patient Portal Login</v>
      </c>
      <c r="J87" s="23"/>
      <c r="K87" s="23"/>
    </row>
    <row r="88" hidden="1">
      <c r="A88" s="6" t="s">
        <v>205</v>
      </c>
      <c r="B88" s="92" t="s">
        <v>29</v>
      </c>
      <c r="C88" s="93" t="s">
        <v>228</v>
      </c>
      <c r="D88" s="93" t="s">
        <v>31</v>
      </c>
      <c r="E88" s="222">
        <v>1.0</v>
      </c>
      <c r="F88" s="222">
        <v>2.0</v>
      </c>
      <c r="G88" s="224">
        <v>0.0</v>
      </c>
      <c r="H88" s="219">
        <f t="shared" si="2"/>
        <v>300</v>
      </c>
      <c r="I88" s="126" t="str">
        <f t="shared" si="1"/>
        <v>1 Successful Attended Concurrent SSI Appointment, 2 Completed Old Re-filed Case, 0 Completed Patient Portal Login</v>
      </c>
      <c r="J88" s="23"/>
      <c r="K88" s="23"/>
    </row>
    <row r="89" hidden="1">
      <c r="A89" s="6" t="s">
        <v>205</v>
      </c>
      <c r="B89" s="92" t="s">
        <v>26</v>
      </c>
      <c r="C89" s="93" t="s">
        <v>229</v>
      </c>
      <c r="D89" s="93" t="s">
        <v>28</v>
      </c>
      <c r="E89" s="222">
        <v>9.0</v>
      </c>
      <c r="F89" s="222">
        <v>4.0</v>
      </c>
      <c r="G89" s="224">
        <v>0.0</v>
      </c>
      <c r="H89" s="219">
        <f t="shared" si="2"/>
        <v>1300</v>
      </c>
      <c r="I89" s="126" t="str">
        <f t="shared" si="1"/>
        <v>9 Successful Attended Concurrent SSI Appointment, 4 Completed Old Re-filed Case, 0 Completed Patient Portal Login</v>
      </c>
      <c r="J89" s="23"/>
      <c r="K89" s="23"/>
    </row>
    <row r="90" hidden="1">
      <c r="A90" s="6" t="s">
        <v>205</v>
      </c>
      <c r="B90" s="92" t="s">
        <v>17</v>
      </c>
      <c r="C90" s="93" t="s">
        <v>232</v>
      </c>
      <c r="D90" s="93" t="s">
        <v>19</v>
      </c>
      <c r="E90" s="222">
        <v>23.0</v>
      </c>
      <c r="F90" s="222">
        <v>2.0</v>
      </c>
      <c r="G90" s="224">
        <v>0.0</v>
      </c>
      <c r="H90" s="219">
        <f t="shared" si="2"/>
        <v>2500</v>
      </c>
      <c r="I90" s="126" t="str">
        <f t="shared" si="1"/>
        <v>23 Successful Attended Concurrent SSI Appointment, 2 Completed Old Re-filed Case, 0 Completed Patient Portal Login</v>
      </c>
      <c r="J90" s="23"/>
      <c r="K90" s="23"/>
    </row>
    <row r="91" hidden="1">
      <c r="A91" s="6" t="s">
        <v>205</v>
      </c>
      <c r="B91" s="92" t="s">
        <v>20</v>
      </c>
      <c r="C91" s="93" t="s">
        <v>231</v>
      </c>
      <c r="D91" s="93" t="s">
        <v>22</v>
      </c>
      <c r="E91" s="226">
        <v>31.0</v>
      </c>
      <c r="F91" s="226">
        <v>4.0</v>
      </c>
      <c r="G91" s="230">
        <v>0.0</v>
      </c>
      <c r="H91" s="219">
        <f t="shared" si="2"/>
        <v>3500</v>
      </c>
      <c r="I91" s="126" t="str">
        <f t="shared" si="1"/>
        <v>31 Successful Attended Concurrent SSI Appointment, 4 Completed Old Re-filed Case, 0 Completed Patient Portal Login</v>
      </c>
      <c r="J91" s="23"/>
      <c r="K91" s="23"/>
    </row>
    <row r="92" hidden="1">
      <c r="A92" s="6" t="s">
        <v>205</v>
      </c>
      <c r="B92" s="92" t="s">
        <v>23</v>
      </c>
      <c r="C92" s="93" t="s">
        <v>230</v>
      </c>
      <c r="D92" s="93" t="s">
        <v>25</v>
      </c>
      <c r="E92" s="222">
        <v>8.0</v>
      </c>
      <c r="F92" s="222">
        <v>3.0</v>
      </c>
      <c r="G92" s="224">
        <v>0.0</v>
      </c>
      <c r="H92" s="219">
        <f t="shared" si="2"/>
        <v>1100</v>
      </c>
      <c r="I92" s="126" t="str">
        <f t="shared" si="1"/>
        <v>8 Successful Attended Concurrent SSI Appointment, 3 Completed Old Re-filed Case, 0 Completed Patient Portal Login</v>
      </c>
      <c r="J92" s="23"/>
      <c r="K92" s="23"/>
    </row>
    <row r="93" hidden="1">
      <c r="A93" s="6" t="s">
        <v>243</v>
      </c>
      <c r="B93" s="92" t="s">
        <v>32</v>
      </c>
      <c r="C93" s="93" t="s">
        <v>227</v>
      </c>
      <c r="D93" s="93" t="s">
        <v>34</v>
      </c>
      <c r="E93" s="222">
        <v>8.0</v>
      </c>
      <c r="F93" s="222">
        <v>7.0</v>
      </c>
      <c r="G93" s="224">
        <v>0.0</v>
      </c>
      <c r="H93" s="219">
        <f t="shared" si="2"/>
        <v>1500</v>
      </c>
      <c r="I93" s="126" t="str">
        <f t="shared" si="1"/>
        <v>8 Successful Attended Concurrent SSI Appointment, 7 Completed Old Re-filed Case, 0 Completed Patient Portal Login</v>
      </c>
      <c r="J93" s="23"/>
      <c r="K93" s="23"/>
    </row>
    <row r="94" hidden="1">
      <c r="A94" s="6" t="s">
        <v>243</v>
      </c>
      <c r="B94" s="92" t="s">
        <v>29</v>
      </c>
      <c r="C94" s="93" t="s">
        <v>228</v>
      </c>
      <c r="D94" s="93" t="s">
        <v>31</v>
      </c>
      <c r="E94" s="222">
        <v>0.0</v>
      </c>
      <c r="F94" s="222">
        <v>3.0</v>
      </c>
      <c r="G94" s="224">
        <v>0.0</v>
      </c>
      <c r="H94" s="219">
        <f t="shared" si="2"/>
        <v>300</v>
      </c>
      <c r="I94" s="126" t="str">
        <f t="shared" si="1"/>
        <v>0 Successful Attended Concurrent SSI Appointment, 3 Completed Old Re-filed Case, 0 Completed Patient Portal Login</v>
      </c>
      <c r="J94" s="23"/>
      <c r="K94" s="23"/>
    </row>
    <row r="95" hidden="1">
      <c r="A95" s="6" t="s">
        <v>243</v>
      </c>
      <c r="B95" s="92" t="s">
        <v>26</v>
      </c>
      <c r="C95" s="93" t="s">
        <v>229</v>
      </c>
      <c r="D95" s="93" t="s">
        <v>28</v>
      </c>
      <c r="E95" s="222">
        <v>14.0</v>
      </c>
      <c r="F95" s="222">
        <v>2.0</v>
      </c>
      <c r="G95" s="224">
        <v>0.0</v>
      </c>
      <c r="H95" s="219">
        <f t="shared" si="2"/>
        <v>1600</v>
      </c>
      <c r="I95" s="126" t="str">
        <f t="shared" si="1"/>
        <v>14 Successful Attended Concurrent SSI Appointment, 2 Completed Old Re-filed Case, 0 Completed Patient Portal Login</v>
      </c>
      <c r="J95" s="23"/>
      <c r="K95" s="23"/>
    </row>
    <row r="96" hidden="1">
      <c r="A96" s="6" t="s">
        <v>243</v>
      </c>
      <c r="B96" s="92" t="s">
        <v>17</v>
      </c>
      <c r="C96" s="93" t="s">
        <v>232</v>
      </c>
      <c r="D96" s="93" t="s">
        <v>19</v>
      </c>
      <c r="E96" s="222">
        <v>24.0</v>
      </c>
      <c r="F96" s="222">
        <v>7.0</v>
      </c>
      <c r="G96" s="224">
        <v>0.0</v>
      </c>
      <c r="H96" s="219">
        <f t="shared" si="2"/>
        <v>3100</v>
      </c>
      <c r="I96" s="126" t="str">
        <f t="shared" si="1"/>
        <v>24 Successful Attended Concurrent SSI Appointment, 7 Completed Old Re-filed Case, 0 Completed Patient Portal Login</v>
      </c>
      <c r="J96" s="23"/>
      <c r="K96" s="23"/>
    </row>
    <row r="97" hidden="1">
      <c r="A97" s="6" t="s">
        <v>243</v>
      </c>
      <c r="B97" s="92" t="s">
        <v>20</v>
      </c>
      <c r="C97" s="93" t="s">
        <v>231</v>
      </c>
      <c r="D97" s="93" t="s">
        <v>22</v>
      </c>
      <c r="E97" s="222">
        <v>26.0</v>
      </c>
      <c r="F97" s="222">
        <v>6.0</v>
      </c>
      <c r="G97" s="230">
        <v>0.0</v>
      </c>
      <c r="H97" s="219">
        <f t="shared" si="2"/>
        <v>3200</v>
      </c>
      <c r="I97" s="126" t="str">
        <f t="shared" si="1"/>
        <v>26 Successful Attended Concurrent SSI Appointment, 6 Completed Old Re-filed Case, 0 Completed Patient Portal Login</v>
      </c>
      <c r="J97" s="23"/>
      <c r="K97" s="23"/>
    </row>
    <row r="98" hidden="1">
      <c r="A98" s="6" t="s">
        <v>243</v>
      </c>
      <c r="B98" s="92" t="s">
        <v>23</v>
      </c>
      <c r="C98" s="93" t="s">
        <v>230</v>
      </c>
      <c r="D98" s="93" t="s">
        <v>25</v>
      </c>
      <c r="E98" s="222">
        <v>12.0</v>
      </c>
      <c r="F98" s="222">
        <v>2.0</v>
      </c>
      <c r="G98" s="224">
        <v>0.0</v>
      </c>
      <c r="H98" s="219">
        <f t="shared" si="2"/>
        <v>1400</v>
      </c>
      <c r="I98" s="126" t="str">
        <f t="shared" si="1"/>
        <v>12 Successful Attended Concurrent SSI Appointment, 2 Completed Old Re-filed Case, 0 Completed Patient Portal Login</v>
      </c>
      <c r="J98" s="23"/>
      <c r="K98" s="23"/>
    </row>
    <row r="99" hidden="1">
      <c r="A99" s="6" t="s">
        <v>244</v>
      </c>
      <c r="B99" s="91" t="s">
        <v>32</v>
      </c>
      <c r="C99" s="96" t="s">
        <v>227</v>
      </c>
      <c r="D99" s="96" t="s">
        <v>34</v>
      </c>
      <c r="E99" s="226">
        <v>0.0</v>
      </c>
      <c r="F99" s="226">
        <v>3.0</v>
      </c>
      <c r="G99" s="231">
        <v>0.0</v>
      </c>
      <c r="H99" s="219">
        <f t="shared" si="2"/>
        <v>300</v>
      </c>
      <c r="I99" s="126" t="str">
        <f t="shared" si="1"/>
        <v>0 Successful Attended Concurrent SSI Appointment, 3 Completed Old Re-filed Case, 0 Completed Patient Portal Login</v>
      </c>
      <c r="J99" s="23"/>
      <c r="K99" s="23"/>
    </row>
    <row r="100" hidden="1">
      <c r="A100" s="6" t="s">
        <v>244</v>
      </c>
      <c r="B100" s="92" t="s">
        <v>29</v>
      </c>
      <c r="C100" s="93" t="s">
        <v>228</v>
      </c>
      <c r="D100" s="93" t="s">
        <v>31</v>
      </c>
      <c r="E100" s="226">
        <v>0.0</v>
      </c>
      <c r="F100" s="226">
        <v>0.0</v>
      </c>
      <c r="G100" s="231">
        <v>0.0</v>
      </c>
      <c r="H100" s="219">
        <f t="shared" si="2"/>
        <v>0</v>
      </c>
      <c r="I100" s="126" t="str">
        <f t="shared" si="1"/>
        <v>0 Successful Attended Concurrent SSI Appointment, 0 Completed Old Re-filed Case, 0 Completed Patient Portal Login</v>
      </c>
      <c r="J100" s="23"/>
      <c r="K100" s="23"/>
    </row>
    <row r="101" hidden="1">
      <c r="A101" s="6" t="s">
        <v>244</v>
      </c>
      <c r="B101" s="92" t="s">
        <v>26</v>
      </c>
      <c r="C101" s="93" t="s">
        <v>229</v>
      </c>
      <c r="D101" s="93" t="s">
        <v>28</v>
      </c>
      <c r="E101" s="225">
        <v>10.0</v>
      </c>
      <c r="F101" s="226">
        <v>4.0</v>
      </c>
      <c r="G101" s="176">
        <v>0.0</v>
      </c>
      <c r="H101" s="219">
        <f t="shared" si="2"/>
        <v>1400</v>
      </c>
      <c r="I101" s="126" t="str">
        <f t="shared" si="1"/>
        <v>10 Successful Attended Concurrent SSI Appointment, 4 Completed Old Re-filed Case, 0 Completed Patient Portal Login</v>
      </c>
      <c r="J101" s="23"/>
      <c r="K101" s="23"/>
    </row>
    <row r="102" hidden="1">
      <c r="A102" s="6" t="s">
        <v>244</v>
      </c>
      <c r="B102" s="92" t="s">
        <v>17</v>
      </c>
      <c r="C102" s="93" t="s">
        <v>232</v>
      </c>
      <c r="D102" s="93" t="s">
        <v>19</v>
      </c>
      <c r="E102" s="226">
        <v>10.0</v>
      </c>
      <c r="F102" s="226">
        <v>5.0</v>
      </c>
      <c r="G102" s="176">
        <v>0.0</v>
      </c>
      <c r="H102" s="219">
        <f t="shared" si="2"/>
        <v>1500</v>
      </c>
      <c r="I102" s="126" t="str">
        <f t="shared" si="1"/>
        <v>10 Successful Attended Concurrent SSI Appointment, 5 Completed Old Re-filed Case, 0 Completed Patient Portal Login</v>
      </c>
      <c r="J102" s="23"/>
      <c r="K102" s="23"/>
    </row>
    <row r="103" hidden="1">
      <c r="A103" s="6" t="s">
        <v>244</v>
      </c>
      <c r="B103" s="92" t="s">
        <v>20</v>
      </c>
      <c r="C103" s="93" t="s">
        <v>231</v>
      </c>
      <c r="D103" s="93" t="s">
        <v>22</v>
      </c>
      <c r="E103" s="225">
        <v>19.0</v>
      </c>
      <c r="F103" s="225">
        <v>7.0</v>
      </c>
      <c r="G103" s="210">
        <v>0.0</v>
      </c>
      <c r="H103" s="219">
        <f t="shared" si="2"/>
        <v>2600</v>
      </c>
      <c r="I103" s="126" t="str">
        <f t="shared" si="1"/>
        <v>19 Successful Attended Concurrent SSI Appointment, 7 Completed Old Re-filed Case, 0 Completed Patient Portal Login</v>
      </c>
      <c r="J103" s="23"/>
      <c r="K103" s="23"/>
    </row>
    <row r="104" hidden="1">
      <c r="A104" s="6" t="s">
        <v>244</v>
      </c>
      <c r="B104" s="92" t="s">
        <v>23</v>
      </c>
      <c r="C104" s="93" t="s">
        <v>230</v>
      </c>
      <c r="D104" s="93" t="s">
        <v>25</v>
      </c>
      <c r="E104" s="226">
        <v>2.0</v>
      </c>
      <c r="F104" s="226">
        <v>6.0</v>
      </c>
      <c r="G104" s="176">
        <v>0.0</v>
      </c>
      <c r="H104" s="219">
        <f t="shared" si="2"/>
        <v>800</v>
      </c>
      <c r="I104" s="126" t="str">
        <f t="shared" si="1"/>
        <v>2 Successful Attended Concurrent SSI Appointment, 6 Completed Old Re-filed Case, 0 Completed Patient Portal Login</v>
      </c>
      <c r="J104" s="23"/>
      <c r="K104" s="23"/>
    </row>
    <row r="105" hidden="1">
      <c r="A105" s="6" t="s">
        <v>248</v>
      </c>
      <c r="B105" s="91" t="s">
        <v>29</v>
      </c>
      <c r="C105" s="96" t="s">
        <v>228</v>
      </c>
      <c r="D105" s="96" t="s">
        <v>31</v>
      </c>
      <c r="E105" s="222">
        <v>0.0</v>
      </c>
      <c r="F105" s="222">
        <v>1.0</v>
      </c>
      <c r="G105" s="228">
        <v>0.0</v>
      </c>
      <c r="H105" s="219">
        <f t="shared" si="2"/>
        <v>100</v>
      </c>
      <c r="I105" s="126" t="str">
        <f t="shared" si="1"/>
        <v>0 Successful Attended Concurrent SSI Appointment, 1 Completed Old Re-filed Case, 0 Completed Patient Portal Login</v>
      </c>
      <c r="J105" s="23"/>
      <c r="K105" s="23"/>
    </row>
    <row r="106" hidden="1">
      <c r="A106" s="6" t="s">
        <v>248</v>
      </c>
      <c r="B106" s="91" t="s">
        <v>26</v>
      </c>
      <c r="C106" s="96" t="s">
        <v>229</v>
      </c>
      <c r="D106" s="96" t="s">
        <v>28</v>
      </c>
      <c r="E106" s="222">
        <v>3.0</v>
      </c>
      <c r="F106" s="222">
        <v>3.0</v>
      </c>
      <c r="G106" s="228">
        <v>0.0</v>
      </c>
      <c r="H106" s="219">
        <f t="shared" si="2"/>
        <v>600</v>
      </c>
      <c r="I106" s="126" t="str">
        <f t="shared" si="1"/>
        <v>3 Successful Attended Concurrent SSI Appointment, 3 Completed Old Re-filed Case, 0 Completed Patient Portal Login</v>
      </c>
      <c r="J106" s="23"/>
      <c r="K106" s="23"/>
    </row>
    <row r="107" hidden="1">
      <c r="A107" s="6" t="s">
        <v>248</v>
      </c>
      <c r="B107" s="92" t="s">
        <v>17</v>
      </c>
      <c r="C107" s="93" t="s">
        <v>232</v>
      </c>
      <c r="D107" s="93" t="s">
        <v>19</v>
      </c>
      <c r="E107" s="222">
        <v>5.0</v>
      </c>
      <c r="F107" s="222">
        <v>11.0</v>
      </c>
      <c r="G107" s="228">
        <v>0.0</v>
      </c>
      <c r="H107" s="219">
        <f t="shared" si="2"/>
        <v>1600</v>
      </c>
      <c r="I107" s="126" t="str">
        <f t="shared" si="1"/>
        <v>5 Successful Attended Concurrent SSI Appointment, 11 Completed Old Re-filed Case, 0 Completed Patient Portal Login</v>
      </c>
      <c r="J107" s="23"/>
      <c r="K107" s="23"/>
    </row>
    <row r="108" hidden="1">
      <c r="A108" s="6" t="s">
        <v>248</v>
      </c>
      <c r="B108" s="92" t="s">
        <v>20</v>
      </c>
      <c r="C108" s="93" t="s">
        <v>231</v>
      </c>
      <c r="D108" s="93" t="s">
        <v>22</v>
      </c>
      <c r="E108" s="218">
        <v>15.0</v>
      </c>
      <c r="F108" s="218">
        <v>3.0</v>
      </c>
      <c r="G108" s="210">
        <v>0.0</v>
      </c>
      <c r="H108" s="219">
        <f t="shared" si="2"/>
        <v>1800</v>
      </c>
      <c r="I108" s="126" t="str">
        <f t="shared" si="1"/>
        <v>15 Successful Attended Concurrent SSI Appointment, 3 Completed Old Re-filed Case, 0 Completed Patient Portal Login</v>
      </c>
      <c r="J108" s="23"/>
      <c r="K108" s="23"/>
    </row>
    <row r="109" hidden="1">
      <c r="A109" s="6" t="s">
        <v>248</v>
      </c>
      <c r="B109" s="92" t="s">
        <v>23</v>
      </c>
      <c r="C109" s="93" t="s">
        <v>230</v>
      </c>
      <c r="D109" s="93" t="s">
        <v>25</v>
      </c>
      <c r="E109" s="222">
        <v>0.0</v>
      </c>
      <c r="F109" s="222">
        <v>5.0</v>
      </c>
      <c r="G109" s="228">
        <v>0.0</v>
      </c>
      <c r="H109" s="219">
        <f t="shared" si="2"/>
        <v>500</v>
      </c>
      <c r="I109" s="126" t="str">
        <f t="shared" si="1"/>
        <v>0 Successful Attended Concurrent SSI Appointment, 5 Completed Old Re-filed Case, 0 Completed Patient Portal Login</v>
      </c>
      <c r="J109" s="23"/>
      <c r="K109" s="23"/>
    </row>
    <row r="110" hidden="1">
      <c r="A110" s="6" t="s">
        <v>248</v>
      </c>
      <c r="B110" s="91" t="s">
        <v>32</v>
      </c>
      <c r="C110" s="96" t="s">
        <v>227</v>
      </c>
      <c r="D110" s="96" t="s">
        <v>34</v>
      </c>
      <c r="E110" s="218">
        <v>0.0</v>
      </c>
      <c r="F110" s="218">
        <v>0.0</v>
      </c>
      <c r="G110" s="210">
        <v>0.0</v>
      </c>
      <c r="H110" s="219">
        <f t="shared" si="2"/>
        <v>0</v>
      </c>
      <c r="I110" s="126" t="str">
        <f t="shared" si="1"/>
        <v>0 Successful Attended Concurrent SSI Appointment, 0 Completed Old Re-filed Case, 0 Completed Patient Portal Login</v>
      </c>
      <c r="J110" s="23"/>
      <c r="K110" s="23"/>
    </row>
    <row r="111" hidden="1">
      <c r="A111" s="6" t="s">
        <v>249</v>
      </c>
      <c r="B111" s="92" t="s">
        <v>17</v>
      </c>
      <c r="C111" s="93" t="s">
        <v>232</v>
      </c>
      <c r="D111" s="93" t="s">
        <v>19</v>
      </c>
      <c r="E111" s="218">
        <v>0.0</v>
      </c>
      <c r="F111" s="218">
        <v>3.0</v>
      </c>
      <c r="G111" s="210">
        <v>0.0</v>
      </c>
      <c r="H111" s="219">
        <f t="shared" si="2"/>
        <v>300</v>
      </c>
      <c r="I111" s="126" t="str">
        <f t="shared" si="1"/>
        <v>0 Successful Attended Concurrent SSI Appointment, 3 Completed Old Re-filed Case, 0 Completed Patient Portal Login</v>
      </c>
      <c r="J111" s="23"/>
      <c r="K111" s="23"/>
    </row>
    <row r="112" hidden="1">
      <c r="A112" s="6" t="s">
        <v>249</v>
      </c>
      <c r="B112" s="92" t="s">
        <v>20</v>
      </c>
      <c r="C112" s="93" t="s">
        <v>231</v>
      </c>
      <c r="D112" s="93" t="s">
        <v>22</v>
      </c>
      <c r="E112" s="218">
        <v>9.0</v>
      </c>
      <c r="F112" s="218">
        <v>1.0</v>
      </c>
      <c r="G112" s="210">
        <v>0.0</v>
      </c>
      <c r="H112" s="219">
        <f t="shared" si="2"/>
        <v>1000</v>
      </c>
      <c r="I112" s="126" t="str">
        <f t="shared" si="1"/>
        <v>9 Successful Attended Concurrent SSI Appointment, 1 Completed Old Re-filed Case, 0 Completed Patient Portal Login</v>
      </c>
      <c r="J112" s="23"/>
      <c r="K112" s="23"/>
    </row>
    <row r="113" hidden="1">
      <c r="A113" s="6" t="s">
        <v>249</v>
      </c>
      <c r="B113" s="92" t="s">
        <v>23</v>
      </c>
      <c r="C113" s="93" t="s">
        <v>230</v>
      </c>
      <c r="D113" s="93" t="s">
        <v>25</v>
      </c>
      <c r="E113" s="218">
        <v>0.0</v>
      </c>
      <c r="F113" s="218">
        <v>1.0</v>
      </c>
      <c r="G113" s="210">
        <v>0.0</v>
      </c>
      <c r="H113" s="219">
        <f t="shared" si="2"/>
        <v>100</v>
      </c>
      <c r="I113" s="126" t="str">
        <f t="shared" si="1"/>
        <v>0 Successful Attended Concurrent SSI Appointment, 1 Completed Old Re-filed Case, 0 Completed Patient Portal Login</v>
      </c>
      <c r="J113" s="23"/>
      <c r="K113" s="23"/>
    </row>
    <row r="114" hidden="1">
      <c r="A114" s="6" t="s">
        <v>249</v>
      </c>
      <c r="B114" s="92" t="s">
        <v>38</v>
      </c>
      <c r="C114" s="93" t="s">
        <v>39</v>
      </c>
      <c r="D114" s="93" t="s">
        <v>40</v>
      </c>
      <c r="E114" s="218">
        <v>3.0</v>
      </c>
      <c r="F114" s="218">
        <v>2.0</v>
      </c>
      <c r="G114" s="210">
        <v>0.0</v>
      </c>
      <c r="H114" s="219">
        <f t="shared" si="2"/>
        <v>500</v>
      </c>
      <c r="I114" s="126" t="str">
        <f t="shared" si="1"/>
        <v>3 Successful Attended Concurrent SSI Appointment, 2 Completed Old Re-filed Case, 0 Completed Patient Portal Login</v>
      </c>
      <c r="J114" s="23"/>
      <c r="K114" s="23"/>
    </row>
    <row r="115" hidden="1">
      <c r="A115" s="6" t="s">
        <v>249</v>
      </c>
      <c r="B115" s="92" t="s">
        <v>35</v>
      </c>
      <c r="C115" s="93" t="s">
        <v>36</v>
      </c>
      <c r="D115" s="93" t="s">
        <v>37</v>
      </c>
      <c r="E115" s="225">
        <v>14.0</v>
      </c>
      <c r="F115" s="218">
        <v>7.0</v>
      </c>
      <c r="G115" s="210">
        <v>0.0</v>
      </c>
      <c r="H115" s="219">
        <f t="shared" si="2"/>
        <v>2100</v>
      </c>
      <c r="I115" s="126" t="str">
        <f t="shared" si="1"/>
        <v>14 Successful Attended Concurrent SSI Appointment, 7 Completed Old Re-filed Case, 0 Completed Patient Portal Login</v>
      </c>
      <c r="J115" s="23"/>
      <c r="K115" s="23"/>
    </row>
    <row r="116" hidden="1">
      <c r="A116" s="6" t="s">
        <v>250</v>
      </c>
      <c r="B116" s="91" t="s">
        <v>17</v>
      </c>
      <c r="C116" s="96" t="s">
        <v>232</v>
      </c>
      <c r="D116" s="96" t="s">
        <v>19</v>
      </c>
      <c r="E116" s="232">
        <v>0.0</v>
      </c>
      <c r="F116" s="232">
        <v>3.0</v>
      </c>
      <c r="G116" s="191">
        <v>0.0</v>
      </c>
      <c r="H116" s="219">
        <f t="shared" si="2"/>
        <v>300</v>
      </c>
      <c r="I116" s="126" t="str">
        <f t="shared" si="1"/>
        <v>0 Successful Attended Concurrent SSI Appointment, 3 Completed Old Re-filed Case, 0 Completed Patient Portal Login</v>
      </c>
      <c r="J116" s="23"/>
      <c r="K116" s="23"/>
    </row>
    <row r="117" hidden="1">
      <c r="A117" s="6" t="s">
        <v>250</v>
      </c>
      <c r="B117" s="91" t="s">
        <v>604</v>
      </c>
      <c r="C117" s="96" t="s">
        <v>605</v>
      </c>
      <c r="D117" s="96" t="s">
        <v>606</v>
      </c>
      <c r="E117" s="233">
        <v>0.0</v>
      </c>
      <c r="F117" s="233">
        <v>0.0</v>
      </c>
      <c r="G117" s="210">
        <v>0.0</v>
      </c>
      <c r="H117" s="219">
        <f t="shared" si="2"/>
        <v>0</v>
      </c>
      <c r="I117" s="126" t="str">
        <f t="shared" si="1"/>
        <v>0 Successful Attended Concurrent SSI Appointment, 0 Completed Old Re-filed Case, 0 Completed Patient Portal Login</v>
      </c>
      <c r="J117" s="23"/>
      <c r="K117" s="23"/>
    </row>
    <row r="118" hidden="1">
      <c r="A118" s="6" t="s">
        <v>250</v>
      </c>
      <c r="B118" s="91" t="s">
        <v>20</v>
      </c>
      <c r="C118" s="96" t="s">
        <v>231</v>
      </c>
      <c r="D118" s="96" t="s">
        <v>22</v>
      </c>
      <c r="E118" s="232">
        <v>0.0</v>
      </c>
      <c r="F118" s="232">
        <v>7.0</v>
      </c>
      <c r="G118" s="191">
        <v>0.0</v>
      </c>
      <c r="H118" s="219">
        <f t="shared" si="2"/>
        <v>700</v>
      </c>
      <c r="I118" s="126" t="str">
        <f t="shared" si="1"/>
        <v>0 Successful Attended Concurrent SSI Appointment, 7 Completed Old Re-filed Case, 0 Completed Patient Portal Login</v>
      </c>
      <c r="J118" s="23"/>
      <c r="K118" s="23"/>
    </row>
    <row r="119" hidden="1">
      <c r="A119" s="6" t="s">
        <v>250</v>
      </c>
      <c r="B119" s="91" t="s">
        <v>23</v>
      </c>
      <c r="C119" s="96" t="s">
        <v>230</v>
      </c>
      <c r="D119" s="96" t="s">
        <v>25</v>
      </c>
      <c r="E119" s="232">
        <v>0.0</v>
      </c>
      <c r="F119" s="232">
        <v>4.0</v>
      </c>
      <c r="G119" s="191">
        <v>0.0</v>
      </c>
      <c r="H119" s="219">
        <f t="shared" si="2"/>
        <v>400</v>
      </c>
      <c r="I119" s="126" t="str">
        <f t="shared" si="1"/>
        <v>0 Successful Attended Concurrent SSI Appointment, 4 Completed Old Re-filed Case, 0 Completed Patient Portal Login</v>
      </c>
      <c r="J119" s="23"/>
      <c r="K119" s="23"/>
    </row>
    <row r="120" hidden="1">
      <c r="A120" s="6" t="s">
        <v>250</v>
      </c>
      <c r="B120" s="91" t="s">
        <v>38</v>
      </c>
      <c r="C120" s="96" t="s">
        <v>39</v>
      </c>
      <c r="D120" s="96" t="s">
        <v>40</v>
      </c>
      <c r="E120" s="232">
        <v>0.0</v>
      </c>
      <c r="F120" s="232">
        <v>2.0</v>
      </c>
      <c r="G120" s="191">
        <v>0.0</v>
      </c>
      <c r="H120" s="219">
        <f t="shared" si="2"/>
        <v>200</v>
      </c>
      <c r="I120" s="126" t="str">
        <f t="shared" si="1"/>
        <v>0 Successful Attended Concurrent SSI Appointment, 2 Completed Old Re-filed Case, 0 Completed Patient Portal Login</v>
      </c>
      <c r="J120" s="23"/>
      <c r="K120" s="23"/>
    </row>
    <row r="121" hidden="1">
      <c r="A121" s="6" t="s">
        <v>250</v>
      </c>
      <c r="B121" s="92" t="s">
        <v>35</v>
      </c>
      <c r="C121" s="93" t="s">
        <v>36</v>
      </c>
      <c r="D121" s="93" t="s">
        <v>37</v>
      </c>
      <c r="E121" s="233">
        <v>24.0</v>
      </c>
      <c r="F121" s="232">
        <v>9.0</v>
      </c>
      <c r="G121" s="191">
        <v>0.0</v>
      </c>
      <c r="H121" s="219">
        <f t="shared" si="2"/>
        <v>3300</v>
      </c>
      <c r="I121" s="126" t="str">
        <f t="shared" si="1"/>
        <v>24 Successful Attended Concurrent SSI Appointment, 9 Completed Old Re-filed Case, 0 Completed Patient Portal Login</v>
      </c>
      <c r="J121" s="23"/>
      <c r="K121" s="23"/>
    </row>
    <row r="122" hidden="1">
      <c r="A122" s="6" t="s">
        <v>254</v>
      </c>
      <c r="B122" s="201" t="s">
        <v>50</v>
      </c>
      <c r="C122" s="234" t="s">
        <v>51</v>
      </c>
      <c r="D122" s="234" t="s">
        <v>52</v>
      </c>
      <c r="E122" s="235">
        <v>10.0</v>
      </c>
      <c r="F122" s="235">
        <v>3.0</v>
      </c>
      <c r="G122" s="191">
        <v>0.0</v>
      </c>
      <c r="H122" s="219">
        <f t="shared" si="2"/>
        <v>1300</v>
      </c>
      <c r="I122" s="126" t="str">
        <f t="shared" si="1"/>
        <v>10 Successful Attended Concurrent SSI Appointment, 3 Completed Old Re-filed Case, 0 Completed Patient Portal Login</v>
      </c>
      <c r="J122" s="23"/>
      <c r="K122" s="23"/>
    </row>
    <row r="123" hidden="1">
      <c r="A123" s="6" t="s">
        <v>254</v>
      </c>
      <c r="B123" s="201" t="s">
        <v>44</v>
      </c>
      <c r="C123" s="234" t="s">
        <v>45</v>
      </c>
      <c r="D123" s="234" t="s">
        <v>46</v>
      </c>
      <c r="E123" s="235">
        <v>4.0</v>
      </c>
      <c r="F123" s="235">
        <v>11.0</v>
      </c>
      <c r="G123" s="191">
        <v>0.0</v>
      </c>
      <c r="H123" s="219">
        <f t="shared" si="2"/>
        <v>1500</v>
      </c>
      <c r="I123" s="126" t="str">
        <f t="shared" si="1"/>
        <v>4 Successful Attended Concurrent SSI Appointment, 11 Completed Old Re-filed Case, 0 Completed Patient Portal Login</v>
      </c>
      <c r="J123" s="23"/>
      <c r="K123" s="23"/>
    </row>
    <row r="124" hidden="1">
      <c r="A124" s="6" t="s">
        <v>254</v>
      </c>
      <c r="B124" s="201" t="s">
        <v>41</v>
      </c>
      <c r="C124" s="234" t="s">
        <v>42</v>
      </c>
      <c r="D124" s="234" t="s">
        <v>43</v>
      </c>
      <c r="E124" s="235">
        <v>7.0</v>
      </c>
      <c r="F124" s="235">
        <v>20.0</v>
      </c>
      <c r="G124" s="191">
        <v>0.0</v>
      </c>
      <c r="H124" s="219">
        <f t="shared" si="2"/>
        <v>2700</v>
      </c>
      <c r="I124" s="126" t="str">
        <f t="shared" si="1"/>
        <v>7 Successful Attended Concurrent SSI Appointment, 20 Completed Old Re-filed Case, 0 Completed Patient Portal Login</v>
      </c>
      <c r="J124" s="23"/>
      <c r="K124" s="23"/>
    </row>
    <row r="125" hidden="1">
      <c r="A125" s="6" t="s">
        <v>254</v>
      </c>
      <c r="B125" s="92" t="s">
        <v>35</v>
      </c>
      <c r="C125" s="93" t="s">
        <v>36</v>
      </c>
      <c r="D125" s="93" t="s">
        <v>37</v>
      </c>
      <c r="E125" s="235">
        <v>3.0</v>
      </c>
      <c r="F125" s="235">
        <v>8.0</v>
      </c>
      <c r="G125" s="191">
        <v>0.0</v>
      </c>
      <c r="H125" s="219">
        <f t="shared" si="2"/>
        <v>1100</v>
      </c>
      <c r="I125" s="126" t="str">
        <f t="shared" si="1"/>
        <v>3 Successful Attended Concurrent SSI Appointment, 8 Completed Old Re-filed Case, 0 Completed Patient Portal Login</v>
      </c>
      <c r="J125" s="23"/>
      <c r="K125" s="23"/>
    </row>
    <row r="126" hidden="1">
      <c r="A126" s="6" t="s">
        <v>254</v>
      </c>
      <c r="B126" s="201" t="s">
        <v>47</v>
      </c>
      <c r="C126" s="234" t="s">
        <v>48</v>
      </c>
      <c r="D126" s="234" t="s">
        <v>49</v>
      </c>
      <c r="E126" s="235">
        <v>17.0</v>
      </c>
      <c r="F126" s="235">
        <v>14.0</v>
      </c>
      <c r="G126" s="230">
        <v>0.0</v>
      </c>
      <c r="H126" s="219">
        <f t="shared" si="2"/>
        <v>3100</v>
      </c>
      <c r="I126" s="126" t="str">
        <f t="shared" si="1"/>
        <v>17 Successful Attended Concurrent SSI Appointment, 14 Completed Old Re-filed Case, 0 Completed Patient Portal Login</v>
      </c>
      <c r="J126" s="23"/>
      <c r="K126" s="23"/>
    </row>
    <row r="127" hidden="1">
      <c r="A127" s="6" t="s">
        <v>261</v>
      </c>
      <c r="B127" s="92" t="s">
        <v>50</v>
      </c>
      <c r="C127" s="93" t="s">
        <v>51</v>
      </c>
      <c r="D127" s="93" t="s">
        <v>52</v>
      </c>
      <c r="E127" s="235">
        <v>11.0</v>
      </c>
      <c r="F127" s="235">
        <v>2.0</v>
      </c>
      <c r="G127" s="128">
        <v>0.0</v>
      </c>
      <c r="H127" s="219">
        <f t="shared" si="2"/>
        <v>1300</v>
      </c>
      <c r="I127" s="126" t="str">
        <f t="shared" si="1"/>
        <v>11 Successful Attended Concurrent SSI Appointment, 2 Completed Old Re-filed Case, 0 Completed Patient Portal Login</v>
      </c>
      <c r="J127" s="23"/>
      <c r="K127" s="23"/>
    </row>
    <row r="128" hidden="1">
      <c r="A128" s="6" t="s">
        <v>261</v>
      </c>
      <c r="B128" s="92" t="s">
        <v>44</v>
      </c>
      <c r="C128" s="93" t="s">
        <v>45</v>
      </c>
      <c r="D128" s="93" t="s">
        <v>46</v>
      </c>
      <c r="E128" s="235">
        <v>7.0</v>
      </c>
      <c r="F128" s="235">
        <v>3.0</v>
      </c>
      <c r="G128" s="128">
        <v>0.0</v>
      </c>
      <c r="H128" s="219">
        <f t="shared" si="2"/>
        <v>1000</v>
      </c>
      <c r="I128" s="126" t="str">
        <f t="shared" si="1"/>
        <v>7 Successful Attended Concurrent SSI Appointment, 3 Completed Old Re-filed Case, 0 Completed Patient Portal Login</v>
      </c>
      <c r="J128" s="23"/>
      <c r="K128" s="23"/>
    </row>
    <row r="129" hidden="1">
      <c r="A129" s="6" t="s">
        <v>261</v>
      </c>
      <c r="B129" s="92" t="s">
        <v>41</v>
      </c>
      <c r="C129" s="93" t="s">
        <v>42</v>
      </c>
      <c r="D129" s="93" t="s">
        <v>43</v>
      </c>
      <c r="E129" s="233">
        <v>8.0</v>
      </c>
      <c r="F129" s="233">
        <v>8.0</v>
      </c>
      <c r="G129" s="128">
        <v>0.0</v>
      </c>
      <c r="H129" s="219">
        <f t="shared" si="2"/>
        <v>1600</v>
      </c>
      <c r="I129" s="126" t="str">
        <f t="shared" si="1"/>
        <v>8 Successful Attended Concurrent SSI Appointment, 8 Completed Old Re-filed Case, 0 Completed Patient Portal Login</v>
      </c>
      <c r="J129" s="23"/>
      <c r="K129" s="23"/>
    </row>
    <row r="130" hidden="1">
      <c r="A130" s="6" t="s">
        <v>261</v>
      </c>
      <c r="B130" s="92" t="s">
        <v>35</v>
      </c>
      <c r="C130" s="93" t="s">
        <v>36</v>
      </c>
      <c r="D130" s="93" t="s">
        <v>37</v>
      </c>
      <c r="E130" s="235">
        <v>3.0</v>
      </c>
      <c r="F130" s="235">
        <v>7.0</v>
      </c>
      <c r="G130" s="128">
        <v>0.0</v>
      </c>
      <c r="H130" s="219">
        <f t="shared" si="2"/>
        <v>1000</v>
      </c>
      <c r="I130" s="126" t="str">
        <f t="shared" si="1"/>
        <v>3 Successful Attended Concurrent SSI Appointment, 7 Completed Old Re-filed Case, 0 Completed Patient Portal Login</v>
      </c>
      <c r="J130" s="23"/>
      <c r="K130" s="23"/>
    </row>
    <row r="131" hidden="1">
      <c r="A131" s="6" t="s">
        <v>261</v>
      </c>
      <c r="B131" s="92" t="s">
        <v>47</v>
      </c>
      <c r="C131" s="93" t="s">
        <v>48</v>
      </c>
      <c r="D131" s="93" t="s">
        <v>49</v>
      </c>
      <c r="E131" s="233">
        <v>10.0</v>
      </c>
      <c r="F131" s="233">
        <v>8.0</v>
      </c>
      <c r="G131" s="184">
        <v>0.0</v>
      </c>
      <c r="H131" s="219">
        <f t="shared" si="2"/>
        <v>1800</v>
      </c>
      <c r="I131" s="126" t="str">
        <f t="shared" si="1"/>
        <v>10 Successful Attended Concurrent SSI Appointment, 8 Completed Old Re-filed Case, 0 Completed Patient Portal Login</v>
      </c>
      <c r="J131" s="23"/>
      <c r="K131" s="23"/>
    </row>
    <row r="132" hidden="1">
      <c r="A132" s="6" t="s">
        <v>265</v>
      </c>
      <c r="B132" s="92" t="s">
        <v>50</v>
      </c>
      <c r="C132" s="93" t="s">
        <v>51</v>
      </c>
      <c r="D132" s="93" t="s">
        <v>52</v>
      </c>
      <c r="E132" s="235">
        <v>13.0</v>
      </c>
      <c r="F132" s="235">
        <v>3.0</v>
      </c>
      <c r="G132" s="128">
        <v>0.0</v>
      </c>
      <c r="H132" s="219">
        <f t="shared" si="2"/>
        <v>1600</v>
      </c>
      <c r="I132" s="126" t="str">
        <f t="shared" si="1"/>
        <v>13 Successful Attended Concurrent SSI Appointment, 3 Completed Old Re-filed Case, 0 Completed Patient Portal Login</v>
      </c>
      <c r="J132" s="23"/>
      <c r="K132" s="23"/>
    </row>
    <row r="133" hidden="1">
      <c r="A133" s="6" t="s">
        <v>265</v>
      </c>
      <c r="B133" s="92" t="s">
        <v>44</v>
      </c>
      <c r="C133" s="93" t="s">
        <v>45</v>
      </c>
      <c r="D133" s="93" t="s">
        <v>46</v>
      </c>
      <c r="E133" s="235">
        <v>6.0</v>
      </c>
      <c r="F133" s="235">
        <v>6.0</v>
      </c>
      <c r="G133" s="128">
        <v>0.0</v>
      </c>
      <c r="H133" s="219">
        <f t="shared" si="2"/>
        <v>1200</v>
      </c>
      <c r="I133" s="126" t="str">
        <f t="shared" si="1"/>
        <v>6 Successful Attended Concurrent SSI Appointment, 6 Completed Old Re-filed Case, 0 Completed Patient Portal Login</v>
      </c>
      <c r="J133" s="23"/>
      <c r="K133" s="23"/>
    </row>
    <row r="134" hidden="1">
      <c r="A134" s="6" t="s">
        <v>265</v>
      </c>
      <c r="B134" s="92" t="s">
        <v>41</v>
      </c>
      <c r="C134" s="93" t="s">
        <v>42</v>
      </c>
      <c r="D134" s="93" t="s">
        <v>43</v>
      </c>
      <c r="E134" s="235">
        <v>1.0</v>
      </c>
      <c r="F134" s="235">
        <v>10.0</v>
      </c>
      <c r="G134" s="128">
        <v>0.0</v>
      </c>
      <c r="H134" s="219">
        <f t="shared" si="2"/>
        <v>1100</v>
      </c>
      <c r="I134" s="126" t="str">
        <f t="shared" si="1"/>
        <v>1 Successful Attended Concurrent SSI Appointment, 10 Completed Old Re-filed Case, 0 Completed Patient Portal Login</v>
      </c>
      <c r="J134" s="23"/>
      <c r="K134" s="23"/>
    </row>
    <row r="135" hidden="1">
      <c r="A135" s="6" t="s">
        <v>265</v>
      </c>
      <c r="B135" s="92" t="s">
        <v>35</v>
      </c>
      <c r="C135" s="93" t="s">
        <v>36</v>
      </c>
      <c r="D135" s="93" t="s">
        <v>37</v>
      </c>
      <c r="E135" s="235">
        <v>2.0</v>
      </c>
      <c r="F135" s="235">
        <v>8.0</v>
      </c>
      <c r="G135" s="128">
        <v>0.0</v>
      </c>
      <c r="H135" s="219">
        <f t="shared" si="2"/>
        <v>1000</v>
      </c>
      <c r="I135" s="126" t="str">
        <f t="shared" si="1"/>
        <v>2 Successful Attended Concurrent SSI Appointment, 8 Completed Old Re-filed Case, 0 Completed Patient Portal Login</v>
      </c>
      <c r="J135" s="23"/>
      <c r="K135" s="23"/>
    </row>
    <row r="136" hidden="1">
      <c r="A136" s="6" t="s">
        <v>265</v>
      </c>
      <c r="B136" s="92" t="s">
        <v>47</v>
      </c>
      <c r="C136" s="93" t="s">
        <v>48</v>
      </c>
      <c r="D136" s="93" t="s">
        <v>49</v>
      </c>
      <c r="E136" s="235">
        <v>5.0</v>
      </c>
      <c r="F136" s="235">
        <v>7.0</v>
      </c>
      <c r="G136" s="128">
        <v>0.0</v>
      </c>
      <c r="H136" s="219">
        <f t="shared" si="2"/>
        <v>1200</v>
      </c>
      <c r="I136" s="126" t="str">
        <f t="shared" si="1"/>
        <v>5 Successful Attended Concurrent SSI Appointment, 7 Completed Old Re-filed Case, 0 Completed Patient Portal Login</v>
      </c>
      <c r="J136" s="23"/>
      <c r="K136" s="23"/>
    </row>
    <row r="137" hidden="1">
      <c r="A137" s="6" t="s">
        <v>265</v>
      </c>
      <c r="B137" s="92" t="s">
        <v>419</v>
      </c>
      <c r="C137" s="93" t="s">
        <v>420</v>
      </c>
      <c r="D137" s="93" t="s">
        <v>421</v>
      </c>
      <c r="E137" s="235">
        <v>3.0</v>
      </c>
      <c r="F137" s="235">
        <v>3.0</v>
      </c>
      <c r="G137" s="128">
        <v>0.0</v>
      </c>
      <c r="H137" s="219">
        <f t="shared" si="2"/>
        <v>600</v>
      </c>
      <c r="I137" s="126" t="str">
        <f t="shared" si="1"/>
        <v>3 Successful Attended Concurrent SSI Appointment, 3 Completed Old Re-filed Case, 0 Completed Patient Portal Login</v>
      </c>
      <c r="J137" s="23"/>
      <c r="K137" s="23"/>
    </row>
    <row r="138" hidden="1">
      <c r="A138" s="6" t="s">
        <v>266</v>
      </c>
      <c r="B138" s="94" t="s">
        <v>458</v>
      </c>
      <c r="C138" s="94" t="s">
        <v>459</v>
      </c>
      <c r="D138" s="94" t="s">
        <v>460</v>
      </c>
      <c r="E138" s="235">
        <v>15.0</v>
      </c>
      <c r="F138" s="235">
        <v>9.0</v>
      </c>
      <c r="G138" s="127">
        <v>19.0</v>
      </c>
      <c r="H138" s="219">
        <f t="shared" si="2"/>
        <v>7150</v>
      </c>
      <c r="I138" s="126" t="str">
        <f t="shared" si="1"/>
        <v>15 Successful Attended Concurrent SSI Appointment, 9 Completed Old Re-filed Case, 19 Completed Patient Portal Login</v>
      </c>
      <c r="J138" s="23"/>
      <c r="K138" s="23"/>
    </row>
    <row r="139" hidden="1">
      <c r="A139" s="6" t="s">
        <v>266</v>
      </c>
      <c r="B139" s="92" t="s">
        <v>50</v>
      </c>
      <c r="C139" s="93" t="s">
        <v>51</v>
      </c>
      <c r="D139" s="93" t="s">
        <v>52</v>
      </c>
      <c r="E139" s="235">
        <v>1.0</v>
      </c>
      <c r="F139" s="235">
        <v>6.0</v>
      </c>
      <c r="G139" s="128">
        <v>0.0</v>
      </c>
      <c r="H139" s="219">
        <f t="shared" si="2"/>
        <v>700</v>
      </c>
      <c r="I139" s="126" t="str">
        <f t="shared" si="1"/>
        <v>1 Successful Attended Concurrent SSI Appointment, 6 Completed Old Re-filed Case, 0 Completed Patient Portal Login</v>
      </c>
      <c r="J139" s="23"/>
      <c r="K139" s="23"/>
    </row>
    <row r="140" hidden="1">
      <c r="A140" s="6" t="s">
        <v>266</v>
      </c>
      <c r="B140" s="92" t="s">
        <v>44</v>
      </c>
      <c r="C140" s="93" t="s">
        <v>45</v>
      </c>
      <c r="D140" s="93" t="s">
        <v>46</v>
      </c>
      <c r="E140" s="235">
        <v>0.0</v>
      </c>
      <c r="F140" s="235">
        <v>6.0</v>
      </c>
      <c r="G140" s="128">
        <v>0.0</v>
      </c>
      <c r="H140" s="219">
        <f t="shared" si="2"/>
        <v>600</v>
      </c>
      <c r="I140" s="126" t="str">
        <f t="shared" si="1"/>
        <v>0 Successful Attended Concurrent SSI Appointment, 6 Completed Old Re-filed Case, 0 Completed Patient Portal Login</v>
      </c>
      <c r="J140" s="23"/>
      <c r="K140" s="23"/>
    </row>
    <row r="141" hidden="1">
      <c r="A141" s="6" t="s">
        <v>266</v>
      </c>
      <c r="B141" s="92" t="s">
        <v>41</v>
      </c>
      <c r="C141" s="93" t="s">
        <v>42</v>
      </c>
      <c r="D141" s="93" t="s">
        <v>43</v>
      </c>
      <c r="E141" s="235">
        <v>7.0</v>
      </c>
      <c r="F141" s="235">
        <v>8.0</v>
      </c>
      <c r="G141" s="128">
        <v>0.0</v>
      </c>
      <c r="H141" s="219">
        <f t="shared" si="2"/>
        <v>1500</v>
      </c>
      <c r="I141" s="126" t="str">
        <f t="shared" si="1"/>
        <v>7 Successful Attended Concurrent SSI Appointment, 8 Completed Old Re-filed Case, 0 Completed Patient Portal Login</v>
      </c>
      <c r="J141" s="23"/>
      <c r="K141" s="23"/>
    </row>
    <row r="142" hidden="1">
      <c r="A142" s="6" t="s">
        <v>266</v>
      </c>
      <c r="B142" s="92" t="s">
        <v>35</v>
      </c>
      <c r="C142" s="93" t="s">
        <v>36</v>
      </c>
      <c r="D142" s="93" t="s">
        <v>37</v>
      </c>
      <c r="E142" s="235">
        <v>3.0</v>
      </c>
      <c r="F142" s="235">
        <v>4.0</v>
      </c>
      <c r="G142" s="128">
        <v>0.0</v>
      </c>
      <c r="H142" s="219">
        <f t="shared" si="2"/>
        <v>700</v>
      </c>
      <c r="I142" s="126" t="str">
        <f t="shared" si="1"/>
        <v>3 Successful Attended Concurrent SSI Appointment, 4 Completed Old Re-filed Case, 0 Completed Patient Portal Login</v>
      </c>
      <c r="J142" s="23"/>
      <c r="K142" s="23"/>
    </row>
    <row r="143" hidden="1">
      <c r="A143" s="6" t="s">
        <v>266</v>
      </c>
      <c r="B143" s="92" t="s">
        <v>47</v>
      </c>
      <c r="C143" s="93" t="s">
        <v>48</v>
      </c>
      <c r="D143" s="93" t="s">
        <v>49</v>
      </c>
      <c r="E143" s="235">
        <v>3.0</v>
      </c>
      <c r="F143" s="235">
        <v>5.0</v>
      </c>
      <c r="G143" s="128">
        <v>0.0</v>
      </c>
      <c r="H143" s="219">
        <f t="shared" si="2"/>
        <v>800</v>
      </c>
      <c r="I143" s="126" t="str">
        <f t="shared" si="1"/>
        <v>3 Successful Attended Concurrent SSI Appointment, 5 Completed Old Re-filed Case, 0 Completed Patient Portal Login</v>
      </c>
      <c r="J143" s="23"/>
      <c r="K143" s="23"/>
    </row>
    <row r="144" hidden="1">
      <c r="A144" s="6" t="s">
        <v>266</v>
      </c>
      <c r="B144" s="92" t="s">
        <v>419</v>
      </c>
      <c r="C144" s="93" t="s">
        <v>420</v>
      </c>
      <c r="D144" s="93" t="s">
        <v>421</v>
      </c>
      <c r="E144" s="235">
        <v>7.0</v>
      </c>
      <c r="F144" s="235">
        <v>1.0</v>
      </c>
      <c r="G144" s="128">
        <v>0.0</v>
      </c>
      <c r="H144" s="219">
        <f t="shared" si="2"/>
        <v>800</v>
      </c>
      <c r="I144" s="126" t="str">
        <f t="shared" si="1"/>
        <v>7 Successful Attended Concurrent SSI Appointment, 1 Completed Old Re-filed Case, 0 Completed Patient Portal Login</v>
      </c>
      <c r="J144" s="23"/>
      <c r="K144" s="23"/>
    </row>
    <row r="145" hidden="1">
      <c r="A145" s="6" t="s">
        <v>270</v>
      </c>
      <c r="B145" s="92" t="s">
        <v>50</v>
      </c>
      <c r="C145" s="93" t="s">
        <v>51</v>
      </c>
      <c r="D145" s="93" t="s">
        <v>52</v>
      </c>
      <c r="E145" s="235">
        <v>4.0</v>
      </c>
      <c r="F145" s="235">
        <v>4.0</v>
      </c>
      <c r="G145" s="128">
        <v>0.0</v>
      </c>
      <c r="H145" s="219">
        <f t="shared" si="2"/>
        <v>800</v>
      </c>
      <c r="I145" s="126" t="str">
        <f t="shared" si="1"/>
        <v>4 Successful Attended Concurrent SSI Appointment, 4 Completed Old Re-filed Case, 0 Completed Patient Portal Login</v>
      </c>
      <c r="J145" s="23"/>
      <c r="K145" s="23"/>
    </row>
    <row r="146" hidden="1">
      <c r="A146" s="6" t="s">
        <v>270</v>
      </c>
      <c r="B146" s="92" t="s">
        <v>44</v>
      </c>
      <c r="C146" s="93" t="s">
        <v>45</v>
      </c>
      <c r="D146" s="93" t="s">
        <v>46</v>
      </c>
      <c r="E146" s="235">
        <v>5.0</v>
      </c>
      <c r="F146" s="235">
        <v>11.0</v>
      </c>
      <c r="G146" s="128">
        <v>0.0</v>
      </c>
      <c r="H146" s="219">
        <f t="shared" si="2"/>
        <v>1600</v>
      </c>
      <c r="I146" s="126" t="str">
        <f t="shared" si="1"/>
        <v>5 Successful Attended Concurrent SSI Appointment, 11 Completed Old Re-filed Case, 0 Completed Patient Portal Login</v>
      </c>
      <c r="J146" s="23"/>
      <c r="K146" s="23"/>
    </row>
    <row r="147" hidden="1">
      <c r="A147" s="6" t="s">
        <v>270</v>
      </c>
      <c r="B147" s="92" t="s">
        <v>41</v>
      </c>
      <c r="C147" s="93" t="s">
        <v>42</v>
      </c>
      <c r="D147" s="93" t="s">
        <v>43</v>
      </c>
      <c r="E147" s="235">
        <v>5.0</v>
      </c>
      <c r="F147" s="235">
        <v>22.0</v>
      </c>
      <c r="G147" s="128">
        <v>0.0</v>
      </c>
      <c r="H147" s="219">
        <f t="shared" si="2"/>
        <v>2700</v>
      </c>
      <c r="I147" s="126" t="str">
        <f t="shared" si="1"/>
        <v>5 Successful Attended Concurrent SSI Appointment, 22 Completed Old Re-filed Case, 0 Completed Patient Portal Login</v>
      </c>
      <c r="J147" s="23"/>
      <c r="K147" s="23"/>
    </row>
    <row r="148" hidden="1">
      <c r="A148" s="6" t="s">
        <v>270</v>
      </c>
      <c r="B148" s="92" t="s">
        <v>35</v>
      </c>
      <c r="C148" s="93" t="s">
        <v>36</v>
      </c>
      <c r="D148" s="93" t="s">
        <v>37</v>
      </c>
      <c r="E148" s="235">
        <v>2.0</v>
      </c>
      <c r="F148" s="235">
        <v>6.0</v>
      </c>
      <c r="G148" s="128">
        <v>0.0</v>
      </c>
      <c r="H148" s="219">
        <f t="shared" si="2"/>
        <v>800</v>
      </c>
      <c r="I148" s="126" t="str">
        <f t="shared" si="1"/>
        <v>2 Successful Attended Concurrent SSI Appointment, 6 Completed Old Re-filed Case, 0 Completed Patient Portal Login</v>
      </c>
      <c r="J148" s="23"/>
      <c r="K148" s="23"/>
    </row>
    <row r="149" hidden="1">
      <c r="A149" s="6" t="s">
        <v>270</v>
      </c>
      <c r="B149" s="92" t="s">
        <v>47</v>
      </c>
      <c r="C149" s="93" t="s">
        <v>48</v>
      </c>
      <c r="D149" s="93" t="s">
        <v>49</v>
      </c>
      <c r="E149" s="235">
        <v>7.0</v>
      </c>
      <c r="F149" s="235">
        <v>10.0</v>
      </c>
      <c r="G149" s="128">
        <v>0.0</v>
      </c>
      <c r="H149" s="219">
        <f t="shared" si="2"/>
        <v>1700</v>
      </c>
      <c r="I149" s="126" t="str">
        <f t="shared" si="1"/>
        <v>7 Successful Attended Concurrent SSI Appointment, 10 Completed Old Re-filed Case, 0 Completed Patient Portal Login</v>
      </c>
      <c r="J149" s="23"/>
      <c r="K149" s="23"/>
    </row>
    <row r="150" hidden="1">
      <c r="A150" s="6" t="s">
        <v>270</v>
      </c>
      <c r="B150" s="92" t="s">
        <v>419</v>
      </c>
      <c r="C150" s="93" t="s">
        <v>420</v>
      </c>
      <c r="D150" s="93" t="s">
        <v>421</v>
      </c>
      <c r="E150" s="235">
        <v>7.0</v>
      </c>
      <c r="F150" s="235">
        <v>11.0</v>
      </c>
      <c r="G150" s="128">
        <v>0.0</v>
      </c>
      <c r="H150" s="219">
        <f t="shared" si="2"/>
        <v>1800</v>
      </c>
      <c r="I150" s="126" t="str">
        <f t="shared" si="1"/>
        <v>7 Successful Attended Concurrent SSI Appointment, 11 Completed Old Re-filed Case, 0 Completed Patient Portal Login</v>
      </c>
      <c r="J150" s="23"/>
      <c r="K150" s="23"/>
    </row>
    <row r="151" hidden="1">
      <c r="A151" s="6" t="s">
        <v>297</v>
      </c>
      <c r="B151" s="92" t="s">
        <v>50</v>
      </c>
      <c r="C151" s="93" t="s">
        <v>51</v>
      </c>
      <c r="D151" s="93" t="s">
        <v>52</v>
      </c>
      <c r="E151" s="236">
        <v>0.0</v>
      </c>
      <c r="F151" s="235">
        <v>9.0</v>
      </c>
      <c r="G151" s="128">
        <v>0.0</v>
      </c>
      <c r="H151" s="219">
        <f t="shared" si="2"/>
        <v>900</v>
      </c>
      <c r="I151" s="126" t="str">
        <f t="shared" si="1"/>
        <v>0 Successful Attended Concurrent SSI Appointment, 9 Completed Old Re-filed Case, 0 Completed Patient Portal Login</v>
      </c>
      <c r="J151" s="23"/>
      <c r="K151" s="23"/>
    </row>
    <row r="152" hidden="1">
      <c r="A152" s="6" t="s">
        <v>297</v>
      </c>
      <c r="B152" s="92" t="s">
        <v>44</v>
      </c>
      <c r="C152" s="93" t="s">
        <v>45</v>
      </c>
      <c r="D152" s="93" t="s">
        <v>46</v>
      </c>
      <c r="E152" s="235">
        <v>1.0</v>
      </c>
      <c r="F152" s="235">
        <v>7.0</v>
      </c>
      <c r="G152" s="128">
        <v>0.0</v>
      </c>
      <c r="H152" s="219">
        <f t="shared" si="2"/>
        <v>800</v>
      </c>
      <c r="I152" s="126" t="str">
        <f t="shared" si="1"/>
        <v>1 Successful Attended Concurrent SSI Appointment, 7 Completed Old Re-filed Case, 0 Completed Patient Portal Login</v>
      </c>
      <c r="J152" s="23"/>
      <c r="K152" s="23"/>
    </row>
    <row r="153" hidden="1">
      <c r="A153" s="6" t="s">
        <v>297</v>
      </c>
      <c r="B153" s="92" t="s">
        <v>41</v>
      </c>
      <c r="C153" s="93" t="s">
        <v>42</v>
      </c>
      <c r="D153" s="93" t="s">
        <v>43</v>
      </c>
      <c r="E153" s="235">
        <v>3.0</v>
      </c>
      <c r="F153" s="235">
        <v>11.0</v>
      </c>
      <c r="G153" s="128">
        <v>57.0</v>
      </c>
      <c r="H153" s="219">
        <f t="shared" si="2"/>
        <v>15650</v>
      </c>
      <c r="I153" s="126" t="str">
        <f t="shared" si="1"/>
        <v>3 Successful Attended Concurrent SSI Appointment, 11 Completed Old Re-filed Case, 57 Completed Patient Portal Login</v>
      </c>
      <c r="J153" s="23"/>
      <c r="K153" s="23"/>
    </row>
    <row r="154" hidden="1">
      <c r="A154" s="6" t="s">
        <v>297</v>
      </c>
      <c r="B154" s="92" t="s">
        <v>35</v>
      </c>
      <c r="C154" s="93" t="s">
        <v>36</v>
      </c>
      <c r="D154" s="93" t="s">
        <v>37</v>
      </c>
      <c r="E154" s="235">
        <v>1.0</v>
      </c>
      <c r="F154" s="235">
        <v>23.0</v>
      </c>
      <c r="G154" s="128">
        <v>0.0</v>
      </c>
      <c r="H154" s="219">
        <f t="shared" si="2"/>
        <v>2400</v>
      </c>
      <c r="I154" s="126" t="str">
        <f t="shared" si="1"/>
        <v>1 Successful Attended Concurrent SSI Appointment, 23 Completed Old Re-filed Case, 0 Completed Patient Portal Login</v>
      </c>
      <c r="J154" s="23"/>
      <c r="K154" s="23"/>
    </row>
    <row r="155" hidden="1">
      <c r="A155" s="6" t="s">
        <v>297</v>
      </c>
      <c r="B155" s="92" t="s">
        <v>47</v>
      </c>
      <c r="C155" s="93" t="s">
        <v>48</v>
      </c>
      <c r="D155" s="93" t="s">
        <v>49</v>
      </c>
      <c r="E155" s="235">
        <v>7.0</v>
      </c>
      <c r="F155" s="235">
        <v>12.0</v>
      </c>
      <c r="G155" s="128">
        <v>0.0</v>
      </c>
      <c r="H155" s="219">
        <f t="shared" si="2"/>
        <v>1900</v>
      </c>
      <c r="I155" s="126" t="str">
        <f t="shared" si="1"/>
        <v>7 Successful Attended Concurrent SSI Appointment, 12 Completed Old Re-filed Case, 0 Completed Patient Portal Login</v>
      </c>
      <c r="J155" s="23"/>
      <c r="K155" s="23"/>
    </row>
    <row r="156" hidden="1">
      <c r="A156" s="6" t="s">
        <v>297</v>
      </c>
      <c r="B156" s="92" t="s">
        <v>419</v>
      </c>
      <c r="C156" s="93" t="s">
        <v>420</v>
      </c>
      <c r="D156" s="93" t="s">
        <v>421</v>
      </c>
      <c r="E156" s="235">
        <v>6.0</v>
      </c>
      <c r="F156" s="235">
        <v>6.0</v>
      </c>
      <c r="G156" s="128">
        <v>0.0</v>
      </c>
      <c r="H156" s="219">
        <f t="shared" si="2"/>
        <v>1200</v>
      </c>
      <c r="I156" s="126" t="str">
        <f t="shared" si="1"/>
        <v>6 Successful Attended Concurrent SSI Appointment, 6 Completed Old Re-filed Case, 0 Completed Patient Portal Login</v>
      </c>
      <c r="J156" s="23"/>
      <c r="K156" s="23"/>
    </row>
    <row r="157" hidden="1">
      <c r="A157" s="6" t="s">
        <v>298</v>
      </c>
      <c r="B157" s="91" t="s">
        <v>50</v>
      </c>
      <c r="C157" s="96" t="s">
        <v>51</v>
      </c>
      <c r="D157" s="237" t="s">
        <v>52</v>
      </c>
      <c r="E157" s="235">
        <v>0.0</v>
      </c>
      <c r="F157" s="235">
        <v>3.0</v>
      </c>
      <c r="G157" s="51">
        <v>0.0</v>
      </c>
      <c r="H157" s="238">
        <f t="shared" si="2"/>
        <v>300</v>
      </c>
      <c r="I157" s="126" t="str">
        <f t="shared" si="1"/>
        <v>0 Successful Attended Concurrent SSI Appointment, 3 Completed Old Re-filed Case, 0 Completed Patient Portal Login</v>
      </c>
      <c r="J157" s="23"/>
      <c r="K157" s="23"/>
    </row>
    <row r="158" hidden="1">
      <c r="A158" s="6" t="s">
        <v>298</v>
      </c>
      <c r="B158" s="91" t="s">
        <v>44</v>
      </c>
      <c r="C158" s="96" t="s">
        <v>45</v>
      </c>
      <c r="D158" s="237" t="s">
        <v>46</v>
      </c>
      <c r="E158" s="235">
        <v>0.0</v>
      </c>
      <c r="F158" s="235">
        <v>8.0</v>
      </c>
      <c r="G158" s="51">
        <v>0.0</v>
      </c>
      <c r="H158" s="238">
        <f t="shared" si="2"/>
        <v>800</v>
      </c>
      <c r="I158" s="126" t="str">
        <f t="shared" si="1"/>
        <v>0 Successful Attended Concurrent SSI Appointment, 8 Completed Old Re-filed Case, 0 Completed Patient Portal Login</v>
      </c>
      <c r="J158" s="23"/>
      <c r="K158" s="23"/>
    </row>
    <row r="159" hidden="1">
      <c r="A159" s="6" t="s">
        <v>298</v>
      </c>
      <c r="B159" s="92" t="s">
        <v>41</v>
      </c>
      <c r="C159" s="93" t="s">
        <v>42</v>
      </c>
      <c r="D159" s="199" t="s">
        <v>43</v>
      </c>
      <c r="E159" s="235">
        <v>0.0</v>
      </c>
      <c r="F159" s="235">
        <v>22.0</v>
      </c>
      <c r="G159" s="51">
        <v>0.0</v>
      </c>
      <c r="H159" s="239">
        <f t="shared" si="2"/>
        <v>2200</v>
      </c>
      <c r="I159" s="126" t="str">
        <f t="shared" si="1"/>
        <v>0 Successful Attended Concurrent SSI Appointment, 22 Completed Old Re-filed Case, 0 Completed Patient Portal Login</v>
      </c>
      <c r="J159" s="23"/>
      <c r="K159" s="23"/>
    </row>
    <row r="160" hidden="1">
      <c r="A160" s="6" t="s">
        <v>298</v>
      </c>
      <c r="B160" s="92" t="s">
        <v>35</v>
      </c>
      <c r="C160" s="93" t="s">
        <v>36</v>
      </c>
      <c r="D160" s="199" t="s">
        <v>37</v>
      </c>
      <c r="E160" s="235">
        <v>0.0</v>
      </c>
      <c r="F160" s="235">
        <v>9.0</v>
      </c>
      <c r="G160" s="51">
        <v>0.0</v>
      </c>
      <c r="H160" s="238">
        <f t="shared" si="2"/>
        <v>900</v>
      </c>
      <c r="I160" s="126" t="str">
        <f t="shared" si="1"/>
        <v>0 Successful Attended Concurrent SSI Appointment, 9 Completed Old Re-filed Case, 0 Completed Patient Portal Login</v>
      </c>
      <c r="J160" s="23"/>
      <c r="K160" s="23"/>
    </row>
    <row r="161" hidden="1">
      <c r="A161" s="6" t="s">
        <v>298</v>
      </c>
      <c r="B161" s="92" t="s">
        <v>47</v>
      </c>
      <c r="C161" s="93" t="s">
        <v>48</v>
      </c>
      <c r="D161" s="199" t="s">
        <v>49</v>
      </c>
      <c r="E161" s="235">
        <v>9.0</v>
      </c>
      <c r="F161" s="235">
        <v>18.0</v>
      </c>
      <c r="G161" s="51">
        <v>0.0</v>
      </c>
      <c r="H161" s="238">
        <f t="shared" si="2"/>
        <v>2700</v>
      </c>
      <c r="I161" s="126" t="str">
        <f t="shared" si="1"/>
        <v>9 Successful Attended Concurrent SSI Appointment, 18 Completed Old Re-filed Case, 0 Completed Patient Portal Login</v>
      </c>
      <c r="J161" s="23"/>
      <c r="K161" s="23"/>
    </row>
    <row r="162" hidden="1">
      <c r="A162" s="6" t="s">
        <v>298</v>
      </c>
      <c r="B162" s="92" t="s">
        <v>419</v>
      </c>
      <c r="C162" s="93" t="s">
        <v>420</v>
      </c>
      <c r="D162" s="199" t="s">
        <v>421</v>
      </c>
      <c r="E162" s="235">
        <v>2.0</v>
      </c>
      <c r="F162" s="235">
        <v>16.0</v>
      </c>
      <c r="G162" s="51">
        <v>0.0</v>
      </c>
      <c r="H162" s="238">
        <f t="shared" si="2"/>
        <v>1800</v>
      </c>
      <c r="I162" s="126" t="str">
        <f t="shared" si="1"/>
        <v>2 Successful Attended Concurrent SSI Appointment, 16 Completed Old Re-filed Case, 0 Completed Patient Portal Login</v>
      </c>
      <c r="J162" s="23"/>
      <c r="K162" s="23"/>
    </row>
    <row r="163" hidden="1">
      <c r="A163" s="6" t="s">
        <v>299</v>
      </c>
      <c r="B163" s="92" t="s">
        <v>41</v>
      </c>
      <c r="C163" s="93" t="s">
        <v>42</v>
      </c>
      <c r="D163" s="93" t="s">
        <v>43</v>
      </c>
      <c r="E163" s="235">
        <v>2.0</v>
      </c>
      <c r="F163" s="235">
        <v>30.0</v>
      </c>
      <c r="G163" s="19">
        <v>0.0</v>
      </c>
      <c r="H163" s="125">
        <f t="shared" si="2"/>
        <v>3200</v>
      </c>
      <c r="I163" s="126" t="str">
        <f t="shared" si="1"/>
        <v>2 Successful Attended Concurrent SSI Appointment, 30 Completed Old Re-filed Case, 0 Completed Patient Portal Login</v>
      </c>
      <c r="J163" s="23"/>
      <c r="K163" s="23"/>
    </row>
    <row r="164" hidden="1">
      <c r="A164" s="6" t="s">
        <v>299</v>
      </c>
      <c r="B164" s="92" t="s">
        <v>35</v>
      </c>
      <c r="C164" s="93" t="s">
        <v>36</v>
      </c>
      <c r="D164" s="93" t="s">
        <v>37</v>
      </c>
      <c r="E164" s="235">
        <v>2.0</v>
      </c>
      <c r="F164" s="235">
        <v>28.0</v>
      </c>
      <c r="G164" s="19">
        <v>0.0</v>
      </c>
      <c r="H164" s="125">
        <f t="shared" si="2"/>
        <v>3000</v>
      </c>
      <c r="I164" s="126" t="str">
        <f t="shared" si="1"/>
        <v>2 Successful Attended Concurrent SSI Appointment, 28 Completed Old Re-filed Case, 0 Completed Patient Portal Login</v>
      </c>
      <c r="J164" s="23"/>
      <c r="K164" s="23"/>
    </row>
    <row r="165" hidden="1">
      <c r="A165" s="6" t="s">
        <v>299</v>
      </c>
      <c r="B165" s="92" t="s">
        <v>47</v>
      </c>
      <c r="C165" s="93" t="s">
        <v>48</v>
      </c>
      <c r="D165" s="93" t="s">
        <v>49</v>
      </c>
      <c r="E165" s="235">
        <v>3.0</v>
      </c>
      <c r="F165" s="235">
        <v>28.0</v>
      </c>
      <c r="G165" s="19">
        <v>0.0</v>
      </c>
      <c r="H165" s="125">
        <f t="shared" si="2"/>
        <v>3100</v>
      </c>
      <c r="I165" s="126" t="str">
        <f t="shared" si="1"/>
        <v>3 Successful Attended Concurrent SSI Appointment, 28 Completed Old Re-filed Case, 0 Completed Patient Portal Login</v>
      </c>
      <c r="J165" s="23"/>
      <c r="K165" s="23"/>
    </row>
    <row r="166" hidden="1">
      <c r="A166" s="6" t="s">
        <v>299</v>
      </c>
      <c r="B166" s="92" t="s">
        <v>419</v>
      </c>
      <c r="C166" s="93" t="s">
        <v>420</v>
      </c>
      <c r="D166" s="93" t="s">
        <v>421</v>
      </c>
      <c r="E166" s="235">
        <v>3.0</v>
      </c>
      <c r="F166" s="235">
        <v>17.0</v>
      </c>
      <c r="G166" s="19">
        <v>0.0</v>
      </c>
      <c r="H166" s="125">
        <f t="shared" si="2"/>
        <v>2000</v>
      </c>
      <c r="I166" s="126" t="str">
        <f t="shared" si="1"/>
        <v>3 Successful Attended Concurrent SSI Appointment, 17 Completed Old Re-filed Case, 0 Completed Patient Portal Login</v>
      </c>
      <c r="J166" s="23"/>
      <c r="K166" s="23"/>
    </row>
    <row r="167" hidden="1">
      <c r="A167" s="6" t="s">
        <v>300</v>
      </c>
      <c r="B167" s="92" t="s">
        <v>41</v>
      </c>
      <c r="C167" s="93" t="s">
        <v>42</v>
      </c>
      <c r="D167" s="93" t="s">
        <v>43</v>
      </c>
      <c r="E167" s="235">
        <v>3.0</v>
      </c>
      <c r="F167" s="235">
        <v>0.0</v>
      </c>
      <c r="G167" s="127">
        <v>0.0</v>
      </c>
      <c r="H167" s="125">
        <f t="shared" si="2"/>
        <v>300</v>
      </c>
      <c r="I167" s="126" t="str">
        <f t="shared" si="1"/>
        <v>3 Successful Attended Concurrent SSI Appointment, 0 Completed Old Re-filed Case, 0 Completed Patient Portal Login</v>
      </c>
      <c r="J167" s="23"/>
      <c r="K167" s="23"/>
    </row>
    <row r="168" hidden="1">
      <c r="A168" s="6" t="s">
        <v>300</v>
      </c>
      <c r="B168" s="92" t="s">
        <v>35</v>
      </c>
      <c r="C168" s="93" t="s">
        <v>36</v>
      </c>
      <c r="D168" s="93" t="s">
        <v>37</v>
      </c>
      <c r="E168" s="235">
        <v>0.0</v>
      </c>
      <c r="F168" s="235">
        <v>2.0</v>
      </c>
      <c r="G168" s="128">
        <v>0.0</v>
      </c>
      <c r="H168" s="125">
        <f t="shared" si="2"/>
        <v>200</v>
      </c>
      <c r="I168" s="126" t="str">
        <f t="shared" si="1"/>
        <v>0 Successful Attended Concurrent SSI Appointment, 2 Completed Old Re-filed Case, 0 Completed Patient Portal Login</v>
      </c>
      <c r="J168" s="130"/>
      <c r="K168" s="23"/>
    </row>
    <row r="169" hidden="1">
      <c r="A169" s="6" t="s">
        <v>300</v>
      </c>
      <c r="B169" s="92" t="s">
        <v>47</v>
      </c>
      <c r="C169" s="93" t="s">
        <v>48</v>
      </c>
      <c r="D169" s="93" t="s">
        <v>49</v>
      </c>
      <c r="E169" s="235">
        <v>1.0</v>
      </c>
      <c r="F169" s="235">
        <v>2.0</v>
      </c>
      <c r="G169" s="128">
        <v>0.0</v>
      </c>
      <c r="H169" s="125">
        <f t="shared" si="2"/>
        <v>300</v>
      </c>
      <c r="I169" s="126" t="str">
        <f t="shared" si="1"/>
        <v>1 Successful Attended Concurrent SSI Appointment, 2 Completed Old Re-filed Case, 0 Completed Patient Portal Login</v>
      </c>
      <c r="J169" s="23"/>
      <c r="K169" s="23"/>
    </row>
    <row r="170" hidden="1">
      <c r="A170" s="6" t="s">
        <v>300</v>
      </c>
      <c r="B170" s="92" t="s">
        <v>419</v>
      </c>
      <c r="C170" s="93" t="s">
        <v>420</v>
      </c>
      <c r="D170" s="93" t="s">
        <v>421</v>
      </c>
      <c r="E170" s="235">
        <v>0.0</v>
      </c>
      <c r="F170" s="235">
        <v>2.0</v>
      </c>
      <c r="G170" s="128">
        <v>0.0</v>
      </c>
      <c r="H170" s="125">
        <f t="shared" si="2"/>
        <v>200</v>
      </c>
      <c r="I170" s="126" t="str">
        <f t="shared" si="1"/>
        <v>0 Successful Attended Concurrent SSI Appointment, 2 Completed Old Re-filed Case, 0 Completed Patient Portal Login</v>
      </c>
      <c r="J170" s="130"/>
      <c r="K170" s="23"/>
    </row>
    <row r="171" hidden="1">
      <c r="A171" s="240" t="s">
        <v>301</v>
      </c>
      <c r="B171" s="200" t="s">
        <v>41</v>
      </c>
      <c r="C171" s="199" t="s">
        <v>42</v>
      </c>
      <c r="D171" s="199" t="s">
        <v>43</v>
      </c>
      <c r="E171" s="235">
        <v>0.0</v>
      </c>
      <c r="F171" s="235">
        <v>8.0</v>
      </c>
      <c r="G171" s="128">
        <v>0.0</v>
      </c>
      <c r="H171" s="241">
        <f t="shared" si="2"/>
        <v>800</v>
      </c>
      <c r="I171" s="242" t="str">
        <f t="shared" si="1"/>
        <v>0 Successful Attended Concurrent SSI Appointment, 8 Completed Old Re-filed Case, 0 Completed Patient Portal Login</v>
      </c>
      <c r="J171" s="60"/>
      <c r="K171" s="60"/>
    </row>
    <row r="172" hidden="1">
      <c r="A172" s="240" t="s">
        <v>301</v>
      </c>
      <c r="B172" s="200" t="s">
        <v>35</v>
      </c>
      <c r="C172" s="199" t="s">
        <v>36</v>
      </c>
      <c r="D172" s="199" t="s">
        <v>37</v>
      </c>
      <c r="E172" s="235">
        <v>0.0</v>
      </c>
      <c r="F172" s="235">
        <v>4.0</v>
      </c>
      <c r="G172" s="128">
        <v>3.0</v>
      </c>
      <c r="H172" s="241">
        <f t="shared" si="2"/>
        <v>1150</v>
      </c>
      <c r="I172" s="242" t="str">
        <f t="shared" si="1"/>
        <v>0 Successful Attended Concurrent SSI Appointment, 4 Completed Old Re-filed Case, 3 Completed Patient Portal Login</v>
      </c>
      <c r="J172" s="205">
        <v>400.0</v>
      </c>
      <c r="K172" s="60"/>
    </row>
    <row r="173" hidden="1">
      <c r="A173" s="240" t="s">
        <v>301</v>
      </c>
      <c r="B173" s="200" t="s">
        <v>47</v>
      </c>
      <c r="C173" s="199" t="s">
        <v>48</v>
      </c>
      <c r="D173" s="199" t="s">
        <v>49</v>
      </c>
      <c r="E173" s="243">
        <v>1.0</v>
      </c>
      <c r="F173" s="243">
        <v>11.0</v>
      </c>
      <c r="G173" s="128">
        <v>0.0</v>
      </c>
      <c r="H173" s="241">
        <f t="shared" si="2"/>
        <v>1200</v>
      </c>
      <c r="I173" s="242" t="str">
        <f t="shared" si="1"/>
        <v>1 Successful Attended Concurrent SSI Appointment, 11 Completed Old Re-filed Case, 0 Completed Patient Portal Login</v>
      </c>
      <c r="J173" s="60"/>
      <c r="K173" s="60"/>
    </row>
    <row r="174" hidden="1">
      <c r="A174" s="240" t="s">
        <v>301</v>
      </c>
      <c r="B174" s="200" t="s">
        <v>419</v>
      </c>
      <c r="C174" s="199" t="s">
        <v>420</v>
      </c>
      <c r="D174" s="199" t="s">
        <v>421</v>
      </c>
      <c r="E174" s="235">
        <v>0.0</v>
      </c>
      <c r="F174" s="235">
        <v>2.0</v>
      </c>
      <c r="G174" s="128">
        <v>0.0</v>
      </c>
      <c r="H174" s="241">
        <f t="shared" si="2"/>
        <v>200</v>
      </c>
      <c r="I174" s="242" t="str">
        <f t="shared" si="1"/>
        <v>0 Successful Attended Concurrent SSI Appointment, 2 Completed Old Re-filed Case, 0 Completed Patient Portal Login</v>
      </c>
      <c r="J174" s="205">
        <v>50.0</v>
      </c>
      <c r="K174" s="60"/>
    </row>
    <row r="175" hidden="1">
      <c r="A175" s="54" t="s">
        <v>302</v>
      </c>
      <c r="B175" s="131" t="s">
        <v>398</v>
      </c>
      <c r="C175" s="132" t="s">
        <v>399</v>
      </c>
      <c r="D175" s="132" t="s">
        <v>400</v>
      </c>
      <c r="E175" s="133">
        <v>40.0</v>
      </c>
      <c r="F175" s="134">
        <v>0.0</v>
      </c>
      <c r="G175" s="135"/>
      <c r="H175" s="135">
        <f t="shared" ref="H175:H255" si="3">IF(E175&gt;=75,100*E175,IF(E175&gt;=65,75*E175,IF(E175&gt;=50,50*E175,0))) + (250*F175)</f>
        <v>0</v>
      </c>
      <c r="I175" s="136" t="str">
        <f t="shared" ref="I175:I255" si="4">E175 &amp; " Total Filings, " &amp; F175 &amp; " Patient Portal Logins"</f>
        <v>40 Total Filings, 0 Patient Portal Logins</v>
      </c>
      <c r="J175" s="137"/>
      <c r="K175" s="137"/>
    </row>
    <row r="176" hidden="1">
      <c r="A176" s="54" t="s">
        <v>302</v>
      </c>
      <c r="B176" s="131" t="s">
        <v>401</v>
      </c>
      <c r="C176" s="132" t="s">
        <v>402</v>
      </c>
      <c r="D176" s="132" t="s">
        <v>403</v>
      </c>
      <c r="E176" s="133">
        <v>15.0</v>
      </c>
      <c r="F176" s="134">
        <v>0.0</v>
      </c>
      <c r="G176" s="135"/>
      <c r="H176" s="135">
        <f t="shared" si="3"/>
        <v>0</v>
      </c>
      <c r="I176" s="136" t="str">
        <f t="shared" si="4"/>
        <v>15 Total Filings, 0 Patient Portal Logins</v>
      </c>
      <c r="J176" s="137"/>
      <c r="K176" s="137"/>
    </row>
    <row r="177" hidden="1">
      <c r="A177" s="54" t="s">
        <v>302</v>
      </c>
      <c r="B177" s="131" t="s">
        <v>404</v>
      </c>
      <c r="C177" s="132" t="s">
        <v>405</v>
      </c>
      <c r="D177" s="132" t="s">
        <v>406</v>
      </c>
      <c r="E177" s="133">
        <v>25.0</v>
      </c>
      <c r="F177" s="134">
        <v>0.0</v>
      </c>
      <c r="G177" s="135"/>
      <c r="H177" s="135">
        <f t="shared" si="3"/>
        <v>0</v>
      </c>
      <c r="I177" s="136" t="str">
        <f t="shared" si="4"/>
        <v>25 Total Filings, 0 Patient Portal Logins</v>
      </c>
      <c r="J177" s="137"/>
      <c r="K177" s="137"/>
    </row>
    <row r="178" hidden="1">
      <c r="A178" s="54" t="s">
        <v>302</v>
      </c>
      <c r="B178" s="131" t="s">
        <v>407</v>
      </c>
      <c r="C178" s="132" t="s">
        <v>408</v>
      </c>
      <c r="D178" s="132" t="s">
        <v>409</v>
      </c>
      <c r="E178" s="133">
        <v>21.0</v>
      </c>
      <c r="F178" s="134">
        <v>0.0</v>
      </c>
      <c r="G178" s="135"/>
      <c r="H178" s="135">
        <f t="shared" si="3"/>
        <v>0</v>
      </c>
      <c r="I178" s="136" t="str">
        <f t="shared" si="4"/>
        <v>21 Total Filings, 0 Patient Portal Logins</v>
      </c>
      <c r="J178" s="137"/>
      <c r="K178" s="137"/>
    </row>
    <row r="179" hidden="1">
      <c r="A179" s="54" t="s">
        <v>302</v>
      </c>
      <c r="B179" s="131" t="s">
        <v>410</v>
      </c>
      <c r="C179" s="132" t="s">
        <v>411</v>
      </c>
      <c r="D179" s="132" t="s">
        <v>412</v>
      </c>
      <c r="E179" s="133">
        <v>12.0</v>
      </c>
      <c r="F179" s="134">
        <v>0.0</v>
      </c>
      <c r="G179" s="135"/>
      <c r="H179" s="135">
        <f t="shared" si="3"/>
        <v>0</v>
      </c>
      <c r="I179" s="136" t="str">
        <f t="shared" si="4"/>
        <v>12 Total Filings, 0 Patient Portal Logins</v>
      </c>
      <c r="J179" s="137"/>
      <c r="K179" s="137"/>
    </row>
    <row r="180" hidden="1">
      <c r="A180" s="54" t="s">
        <v>302</v>
      </c>
      <c r="B180" s="131" t="s">
        <v>413</v>
      </c>
      <c r="C180" s="132" t="s">
        <v>414</v>
      </c>
      <c r="D180" s="132" t="s">
        <v>415</v>
      </c>
      <c r="E180" s="133">
        <v>28.0</v>
      </c>
      <c r="F180" s="134">
        <v>0.0</v>
      </c>
      <c r="G180" s="135"/>
      <c r="H180" s="135">
        <f t="shared" si="3"/>
        <v>0</v>
      </c>
      <c r="I180" s="136" t="str">
        <f t="shared" si="4"/>
        <v>28 Total Filings, 0 Patient Portal Logins</v>
      </c>
      <c r="J180" s="137"/>
      <c r="K180" s="137"/>
    </row>
    <row r="181" hidden="1">
      <c r="A181" s="54" t="s">
        <v>302</v>
      </c>
      <c r="B181" s="131" t="s">
        <v>416</v>
      </c>
      <c r="C181" s="132" t="s">
        <v>417</v>
      </c>
      <c r="D181" s="132" t="s">
        <v>418</v>
      </c>
      <c r="E181" s="133">
        <v>50.0</v>
      </c>
      <c r="F181" s="134">
        <v>0.0</v>
      </c>
      <c r="G181" s="135"/>
      <c r="H181" s="135">
        <f t="shared" si="3"/>
        <v>2500</v>
      </c>
      <c r="I181" s="136" t="str">
        <f t="shared" si="4"/>
        <v>50 Total Filings, 0 Patient Portal Logins</v>
      </c>
      <c r="J181" s="137"/>
      <c r="K181" s="137"/>
    </row>
    <row r="182" hidden="1">
      <c r="A182" s="54" t="s">
        <v>302</v>
      </c>
      <c r="B182" s="138" t="s">
        <v>41</v>
      </c>
      <c r="C182" s="139" t="s">
        <v>42</v>
      </c>
      <c r="D182" s="139" t="s">
        <v>43</v>
      </c>
      <c r="E182" s="133">
        <v>23.0</v>
      </c>
      <c r="F182" s="134">
        <v>0.0</v>
      </c>
      <c r="G182" s="135"/>
      <c r="H182" s="135">
        <f t="shared" si="3"/>
        <v>0</v>
      </c>
      <c r="I182" s="136" t="str">
        <f t="shared" si="4"/>
        <v>23 Total Filings, 0 Patient Portal Logins</v>
      </c>
      <c r="J182" s="137"/>
      <c r="K182" s="137"/>
    </row>
    <row r="183" hidden="1">
      <c r="A183" s="54" t="s">
        <v>302</v>
      </c>
      <c r="B183" s="131" t="s">
        <v>35</v>
      </c>
      <c r="C183" s="132" t="s">
        <v>36</v>
      </c>
      <c r="D183" s="132" t="s">
        <v>37</v>
      </c>
      <c r="E183" s="133">
        <v>10.0</v>
      </c>
      <c r="F183" s="134">
        <v>2.0</v>
      </c>
      <c r="G183" s="135"/>
      <c r="H183" s="135">
        <f t="shared" si="3"/>
        <v>500</v>
      </c>
      <c r="I183" s="136" t="str">
        <f t="shared" si="4"/>
        <v>10 Total Filings, 2 Patient Portal Logins</v>
      </c>
      <c r="J183" s="137"/>
      <c r="K183" s="137"/>
    </row>
    <row r="184" hidden="1">
      <c r="A184" s="54" t="s">
        <v>302</v>
      </c>
      <c r="B184" s="131" t="s">
        <v>47</v>
      </c>
      <c r="C184" s="132" t="s">
        <v>48</v>
      </c>
      <c r="D184" s="132" t="s">
        <v>49</v>
      </c>
      <c r="E184" s="133">
        <v>24.0</v>
      </c>
      <c r="F184" s="134"/>
      <c r="G184" s="135"/>
      <c r="H184" s="135">
        <f t="shared" si="3"/>
        <v>0</v>
      </c>
      <c r="I184" s="136" t="str">
        <f t="shared" si="4"/>
        <v>24 Total Filings,  Patient Portal Logins</v>
      </c>
      <c r="J184" s="137"/>
      <c r="K184" s="137"/>
    </row>
    <row r="185" hidden="1">
      <c r="A185" s="54" t="s">
        <v>302</v>
      </c>
      <c r="B185" s="131" t="s">
        <v>419</v>
      </c>
      <c r="C185" s="132" t="s">
        <v>420</v>
      </c>
      <c r="D185" s="132" t="s">
        <v>421</v>
      </c>
      <c r="E185" s="133">
        <v>17.0</v>
      </c>
      <c r="F185" s="134">
        <v>0.0</v>
      </c>
      <c r="G185" s="135"/>
      <c r="H185" s="135">
        <f t="shared" si="3"/>
        <v>0</v>
      </c>
      <c r="I185" s="136" t="str">
        <f t="shared" si="4"/>
        <v>17 Total Filings, 0 Patient Portal Logins</v>
      </c>
      <c r="J185" s="137"/>
      <c r="K185" s="137"/>
    </row>
    <row r="186" hidden="1">
      <c r="A186" s="54" t="s">
        <v>302</v>
      </c>
      <c r="B186" s="138" t="s">
        <v>422</v>
      </c>
      <c r="C186" s="139" t="s">
        <v>423</v>
      </c>
      <c r="D186" s="139" t="s">
        <v>424</v>
      </c>
      <c r="E186" s="133">
        <v>100.0</v>
      </c>
      <c r="F186" s="134">
        <v>0.0</v>
      </c>
      <c r="G186" s="135"/>
      <c r="H186" s="135">
        <f t="shared" si="3"/>
        <v>10000</v>
      </c>
      <c r="I186" s="136" t="str">
        <f t="shared" si="4"/>
        <v>100 Total Filings, 0 Patient Portal Logins</v>
      </c>
      <c r="J186" s="137"/>
      <c r="K186" s="137"/>
    </row>
    <row r="187" hidden="1">
      <c r="A187" s="54" t="s">
        <v>302</v>
      </c>
      <c r="B187" s="138" t="s">
        <v>425</v>
      </c>
      <c r="C187" s="139" t="s">
        <v>426</v>
      </c>
      <c r="D187" s="139" t="s">
        <v>427</v>
      </c>
      <c r="E187" s="133">
        <v>50.0</v>
      </c>
      <c r="F187" s="134">
        <v>3.0</v>
      </c>
      <c r="G187" s="135"/>
      <c r="H187" s="135">
        <f t="shared" si="3"/>
        <v>3250</v>
      </c>
      <c r="I187" s="136" t="str">
        <f t="shared" si="4"/>
        <v>50 Total Filings, 3 Patient Portal Logins</v>
      </c>
      <c r="J187" s="137"/>
      <c r="K187" s="137"/>
    </row>
    <row r="188" hidden="1">
      <c r="A188" s="54" t="s">
        <v>302</v>
      </c>
      <c r="B188" s="138" t="s">
        <v>428</v>
      </c>
      <c r="C188" s="139" t="s">
        <v>429</v>
      </c>
      <c r="D188" s="139" t="s">
        <v>430</v>
      </c>
      <c r="E188" s="133">
        <v>75.0</v>
      </c>
      <c r="F188" s="134">
        <v>15.0</v>
      </c>
      <c r="G188" s="135"/>
      <c r="H188" s="135">
        <f t="shared" si="3"/>
        <v>11250</v>
      </c>
      <c r="I188" s="136" t="str">
        <f t="shared" si="4"/>
        <v>75 Total Filings, 15 Patient Portal Logins</v>
      </c>
      <c r="J188" s="137"/>
      <c r="K188" s="137"/>
    </row>
    <row r="189" hidden="1">
      <c r="A189" s="54" t="s">
        <v>302</v>
      </c>
      <c r="B189" s="138" t="s">
        <v>431</v>
      </c>
      <c r="C189" s="139" t="s">
        <v>432</v>
      </c>
      <c r="D189" s="139" t="s">
        <v>433</v>
      </c>
      <c r="E189" s="133">
        <v>80.0</v>
      </c>
      <c r="F189" s="134">
        <v>15.0</v>
      </c>
      <c r="G189" s="135"/>
      <c r="H189" s="135">
        <f t="shared" si="3"/>
        <v>11750</v>
      </c>
      <c r="I189" s="136" t="str">
        <f t="shared" si="4"/>
        <v>80 Total Filings, 15 Patient Portal Logins</v>
      </c>
      <c r="J189" s="137"/>
      <c r="K189" s="137"/>
    </row>
    <row r="190" hidden="1">
      <c r="A190" s="54" t="s">
        <v>302</v>
      </c>
      <c r="B190" s="138" t="s">
        <v>434</v>
      </c>
      <c r="C190" s="139" t="s">
        <v>435</v>
      </c>
      <c r="D190" s="139" t="s">
        <v>436</v>
      </c>
      <c r="E190" s="133">
        <v>65.0</v>
      </c>
      <c r="F190" s="134">
        <v>0.0</v>
      </c>
      <c r="G190" s="135"/>
      <c r="H190" s="135">
        <f t="shared" si="3"/>
        <v>4875</v>
      </c>
      <c r="I190" s="136" t="str">
        <f t="shared" si="4"/>
        <v>65 Total Filings, 0 Patient Portal Logins</v>
      </c>
      <c r="J190" s="137"/>
      <c r="K190" s="137"/>
    </row>
    <row r="191" hidden="1">
      <c r="A191" s="54" t="s">
        <v>302</v>
      </c>
      <c r="B191" s="138" t="s">
        <v>437</v>
      </c>
      <c r="C191" s="139" t="s">
        <v>438</v>
      </c>
      <c r="D191" s="139" t="s">
        <v>439</v>
      </c>
      <c r="E191" s="133">
        <v>76.0</v>
      </c>
      <c r="F191" s="134">
        <v>0.0</v>
      </c>
      <c r="G191" s="135"/>
      <c r="H191" s="135">
        <f t="shared" si="3"/>
        <v>7600</v>
      </c>
      <c r="I191" s="136" t="str">
        <f t="shared" si="4"/>
        <v>76 Total Filings, 0 Patient Portal Logins</v>
      </c>
      <c r="J191" s="137"/>
      <c r="K191" s="137"/>
    </row>
    <row r="192" hidden="1">
      <c r="A192" s="54" t="s">
        <v>302</v>
      </c>
      <c r="B192" s="138" t="s">
        <v>440</v>
      </c>
      <c r="C192" s="139" t="s">
        <v>441</v>
      </c>
      <c r="D192" s="139" t="s">
        <v>442</v>
      </c>
      <c r="E192" s="133">
        <v>56.0</v>
      </c>
      <c r="F192" s="134">
        <v>7.0</v>
      </c>
      <c r="G192" s="135"/>
      <c r="H192" s="135">
        <f t="shared" si="3"/>
        <v>4550</v>
      </c>
      <c r="I192" s="136" t="str">
        <f t="shared" si="4"/>
        <v>56 Total Filings, 7 Patient Portal Logins</v>
      </c>
      <c r="J192" s="137"/>
      <c r="K192" s="137"/>
    </row>
    <row r="193" hidden="1">
      <c r="A193" s="54" t="s">
        <v>302</v>
      </c>
      <c r="B193" s="140" t="s">
        <v>443</v>
      </c>
      <c r="C193" s="141" t="s">
        <v>444</v>
      </c>
      <c r="D193" s="141" t="s">
        <v>445</v>
      </c>
      <c r="E193" s="133">
        <v>54.0</v>
      </c>
      <c r="F193" s="134">
        <v>0.0</v>
      </c>
      <c r="G193" s="135"/>
      <c r="H193" s="135">
        <f t="shared" si="3"/>
        <v>2700</v>
      </c>
      <c r="I193" s="136" t="str">
        <f t="shared" si="4"/>
        <v>54 Total Filings, 0 Patient Portal Logins</v>
      </c>
      <c r="J193" s="137"/>
      <c r="K193" s="137"/>
    </row>
    <row r="194" hidden="1">
      <c r="A194" s="54" t="s">
        <v>302</v>
      </c>
      <c r="B194" s="140" t="s">
        <v>446</v>
      </c>
      <c r="C194" s="141" t="s">
        <v>447</v>
      </c>
      <c r="D194" s="141" t="s">
        <v>448</v>
      </c>
      <c r="E194" s="133">
        <v>76.0</v>
      </c>
      <c r="F194" s="134">
        <v>2.0</v>
      </c>
      <c r="G194" s="135"/>
      <c r="H194" s="135">
        <f t="shared" si="3"/>
        <v>8100</v>
      </c>
      <c r="I194" s="136" t="str">
        <f t="shared" si="4"/>
        <v>76 Total Filings, 2 Patient Portal Logins</v>
      </c>
      <c r="J194" s="137"/>
      <c r="K194" s="137"/>
    </row>
    <row r="195" hidden="1">
      <c r="A195" s="54" t="s">
        <v>302</v>
      </c>
      <c r="B195" s="140" t="s">
        <v>449</v>
      </c>
      <c r="C195" s="141" t="s">
        <v>450</v>
      </c>
      <c r="D195" s="141" t="s">
        <v>451</v>
      </c>
      <c r="E195" s="133">
        <v>43.0</v>
      </c>
      <c r="F195" s="134">
        <v>1.0</v>
      </c>
      <c r="G195" s="135"/>
      <c r="H195" s="135">
        <f t="shared" si="3"/>
        <v>250</v>
      </c>
      <c r="I195" s="136" t="str">
        <f t="shared" si="4"/>
        <v>43 Total Filings, 1 Patient Portal Logins</v>
      </c>
      <c r="J195" s="137"/>
      <c r="K195" s="137"/>
    </row>
    <row r="196" hidden="1">
      <c r="A196" s="54" t="s">
        <v>302</v>
      </c>
      <c r="B196" s="141" t="s">
        <v>452</v>
      </c>
      <c r="C196" s="141" t="s">
        <v>453</v>
      </c>
      <c r="D196" s="141" t="s">
        <v>454</v>
      </c>
      <c r="E196" s="133">
        <v>65.0</v>
      </c>
      <c r="F196" s="134">
        <v>17.0</v>
      </c>
      <c r="G196" s="135"/>
      <c r="H196" s="135">
        <f t="shared" si="3"/>
        <v>9125</v>
      </c>
      <c r="I196" s="136" t="str">
        <f t="shared" si="4"/>
        <v>65 Total Filings, 17 Patient Portal Logins</v>
      </c>
      <c r="J196" s="137"/>
      <c r="K196" s="137"/>
    </row>
    <row r="197" hidden="1">
      <c r="A197" s="54" t="s">
        <v>302</v>
      </c>
      <c r="B197" s="141" t="s">
        <v>455</v>
      </c>
      <c r="C197" s="141" t="s">
        <v>456</v>
      </c>
      <c r="D197" s="141" t="s">
        <v>457</v>
      </c>
      <c r="E197" s="133">
        <v>50.0</v>
      </c>
      <c r="F197" s="134">
        <v>0.0</v>
      </c>
      <c r="G197" s="135"/>
      <c r="H197" s="135">
        <f t="shared" si="3"/>
        <v>2500</v>
      </c>
      <c r="I197" s="136" t="str">
        <f t="shared" si="4"/>
        <v>50 Total Filings, 0 Patient Portal Logins</v>
      </c>
      <c r="J197" s="137"/>
      <c r="K197" s="137"/>
    </row>
    <row r="198" hidden="1">
      <c r="A198" s="54" t="s">
        <v>302</v>
      </c>
      <c r="B198" s="141" t="s">
        <v>458</v>
      </c>
      <c r="C198" s="141" t="s">
        <v>459</v>
      </c>
      <c r="D198" s="141" t="s">
        <v>460</v>
      </c>
      <c r="E198" s="133">
        <v>65.0</v>
      </c>
      <c r="F198" s="134">
        <v>0.0</v>
      </c>
      <c r="G198" s="135"/>
      <c r="H198" s="135">
        <f t="shared" si="3"/>
        <v>4875</v>
      </c>
      <c r="I198" s="136" t="str">
        <f t="shared" si="4"/>
        <v>65 Total Filings, 0 Patient Portal Logins</v>
      </c>
      <c r="J198" s="137"/>
      <c r="K198" s="137"/>
    </row>
    <row r="199" hidden="1">
      <c r="A199" s="88" t="s">
        <v>306</v>
      </c>
      <c r="B199" s="138" t="s">
        <v>41</v>
      </c>
      <c r="C199" s="139" t="s">
        <v>42</v>
      </c>
      <c r="D199" s="139" t="s">
        <v>43</v>
      </c>
      <c r="E199" s="133">
        <v>26.0</v>
      </c>
      <c r="F199" s="134">
        <v>0.0</v>
      </c>
      <c r="G199" s="135"/>
      <c r="H199" s="135">
        <f t="shared" si="3"/>
        <v>0</v>
      </c>
      <c r="I199" s="136" t="str">
        <f t="shared" si="4"/>
        <v>26 Total Filings, 0 Patient Portal Logins</v>
      </c>
      <c r="J199" s="137"/>
      <c r="K199" s="137"/>
    </row>
    <row r="200" hidden="1">
      <c r="A200" s="88" t="s">
        <v>306</v>
      </c>
      <c r="B200" s="131" t="s">
        <v>35</v>
      </c>
      <c r="C200" s="132" t="s">
        <v>36</v>
      </c>
      <c r="D200" s="132" t="s">
        <v>37</v>
      </c>
      <c r="E200" s="133">
        <v>3.0</v>
      </c>
      <c r="F200" s="134">
        <v>2.0</v>
      </c>
      <c r="G200" s="135"/>
      <c r="H200" s="135">
        <f t="shared" si="3"/>
        <v>500</v>
      </c>
      <c r="I200" s="136" t="str">
        <f t="shared" si="4"/>
        <v>3 Total Filings, 2 Patient Portal Logins</v>
      </c>
      <c r="J200" s="137"/>
      <c r="K200" s="137"/>
    </row>
    <row r="201" hidden="1">
      <c r="A201" s="88" t="s">
        <v>306</v>
      </c>
      <c r="B201" s="131" t="s">
        <v>47</v>
      </c>
      <c r="C201" s="132" t="s">
        <v>48</v>
      </c>
      <c r="D201" s="132" t="s">
        <v>49</v>
      </c>
      <c r="E201" s="133">
        <v>12.0</v>
      </c>
      <c r="F201" s="134">
        <v>1.0</v>
      </c>
      <c r="G201" s="135"/>
      <c r="H201" s="135">
        <f t="shared" si="3"/>
        <v>250</v>
      </c>
      <c r="I201" s="136" t="str">
        <f t="shared" si="4"/>
        <v>12 Total Filings, 1 Patient Portal Logins</v>
      </c>
      <c r="J201" s="137"/>
      <c r="K201" s="137"/>
    </row>
    <row r="202" hidden="1">
      <c r="A202" s="88" t="s">
        <v>306</v>
      </c>
      <c r="B202" s="131" t="s">
        <v>419</v>
      </c>
      <c r="C202" s="132" t="s">
        <v>420</v>
      </c>
      <c r="D202" s="132" t="s">
        <v>421</v>
      </c>
      <c r="E202" s="133">
        <v>17.0</v>
      </c>
      <c r="F202" s="134">
        <v>0.0</v>
      </c>
      <c r="G202" s="135"/>
      <c r="H202" s="135">
        <f t="shared" si="3"/>
        <v>0</v>
      </c>
      <c r="I202" s="136" t="str">
        <f t="shared" si="4"/>
        <v>17 Total Filings, 0 Patient Portal Logins</v>
      </c>
      <c r="J202" s="137"/>
      <c r="K202" s="137"/>
    </row>
    <row r="203" hidden="1">
      <c r="A203" s="88" t="s">
        <v>306</v>
      </c>
      <c r="B203" s="138" t="s">
        <v>422</v>
      </c>
      <c r="C203" s="139" t="s">
        <v>423</v>
      </c>
      <c r="D203" s="139" t="s">
        <v>424</v>
      </c>
      <c r="E203" s="133">
        <v>99.0</v>
      </c>
      <c r="F203" s="134">
        <v>0.0</v>
      </c>
      <c r="G203" s="135"/>
      <c r="H203" s="135">
        <f t="shared" si="3"/>
        <v>9900</v>
      </c>
      <c r="I203" s="136" t="str">
        <f t="shared" si="4"/>
        <v>99 Total Filings, 0 Patient Portal Logins</v>
      </c>
      <c r="J203" s="137"/>
      <c r="K203" s="137"/>
    </row>
    <row r="204" hidden="1">
      <c r="A204" s="88" t="s">
        <v>306</v>
      </c>
      <c r="B204" s="138" t="s">
        <v>425</v>
      </c>
      <c r="C204" s="139" t="s">
        <v>426</v>
      </c>
      <c r="D204" s="139" t="s">
        <v>427</v>
      </c>
      <c r="E204" s="133">
        <v>50.0</v>
      </c>
      <c r="F204" s="134">
        <v>0.0</v>
      </c>
      <c r="G204" s="135"/>
      <c r="H204" s="135">
        <f t="shared" si="3"/>
        <v>2500</v>
      </c>
      <c r="I204" s="136" t="str">
        <f t="shared" si="4"/>
        <v>50 Total Filings, 0 Patient Portal Logins</v>
      </c>
      <c r="J204" s="137"/>
      <c r="K204" s="137"/>
    </row>
    <row r="205" hidden="1">
      <c r="A205" s="88" t="s">
        <v>306</v>
      </c>
      <c r="B205" s="138" t="s">
        <v>428</v>
      </c>
      <c r="C205" s="139" t="s">
        <v>429</v>
      </c>
      <c r="D205" s="139" t="s">
        <v>430</v>
      </c>
      <c r="E205" s="133">
        <v>50.0</v>
      </c>
      <c r="F205" s="134">
        <v>20.0</v>
      </c>
      <c r="G205" s="135"/>
      <c r="H205" s="135">
        <f t="shared" si="3"/>
        <v>7500</v>
      </c>
      <c r="I205" s="136" t="str">
        <f t="shared" si="4"/>
        <v>50 Total Filings, 20 Patient Portal Logins</v>
      </c>
      <c r="J205" s="137"/>
      <c r="K205" s="137"/>
    </row>
    <row r="206" hidden="1">
      <c r="A206" s="88" t="s">
        <v>306</v>
      </c>
      <c r="B206" s="138" t="s">
        <v>431</v>
      </c>
      <c r="C206" s="139" t="s">
        <v>432</v>
      </c>
      <c r="D206" s="139" t="s">
        <v>433</v>
      </c>
      <c r="E206" s="133">
        <v>75.0</v>
      </c>
      <c r="F206" s="134">
        <v>2.0</v>
      </c>
      <c r="G206" s="135"/>
      <c r="H206" s="135">
        <f t="shared" si="3"/>
        <v>8000</v>
      </c>
      <c r="I206" s="136" t="str">
        <f t="shared" si="4"/>
        <v>75 Total Filings, 2 Patient Portal Logins</v>
      </c>
      <c r="J206" s="137"/>
      <c r="K206" s="137"/>
    </row>
    <row r="207" hidden="1">
      <c r="A207" s="88" t="s">
        <v>306</v>
      </c>
      <c r="B207" s="138" t="s">
        <v>434</v>
      </c>
      <c r="C207" s="139" t="s">
        <v>435</v>
      </c>
      <c r="D207" s="139" t="s">
        <v>436</v>
      </c>
      <c r="E207" s="133">
        <v>53.0</v>
      </c>
      <c r="F207" s="134">
        <v>0.0</v>
      </c>
      <c r="G207" s="135"/>
      <c r="H207" s="135">
        <f t="shared" si="3"/>
        <v>2650</v>
      </c>
      <c r="I207" s="136" t="str">
        <f t="shared" si="4"/>
        <v>53 Total Filings, 0 Patient Portal Logins</v>
      </c>
      <c r="J207" s="137"/>
      <c r="K207" s="137"/>
    </row>
    <row r="208" hidden="1">
      <c r="A208" s="88" t="s">
        <v>306</v>
      </c>
      <c r="B208" s="138" t="s">
        <v>437</v>
      </c>
      <c r="C208" s="139" t="s">
        <v>438</v>
      </c>
      <c r="D208" s="139" t="s">
        <v>439</v>
      </c>
      <c r="E208" s="133">
        <v>78.0</v>
      </c>
      <c r="F208" s="134">
        <v>0.0</v>
      </c>
      <c r="G208" s="135"/>
      <c r="H208" s="135">
        <f t="shared" si="3"/>
        <v>7800</v>
      </c>
      <c r="I208" s="136" t="str">
        <f t="shared" si="4"/>
        <v>78 Total Filings, 0 Patient Portal Logins</v>
      </c>
      <c r="J208" s="137"/>
      <c r="K208" s="137"/>
    </row>
    <row r="209" hidden="1">
      <c r="A209" s="88" t="s">
        <v>306</v>
      </c>
      <c r="B209" s="138" t="s">
        <v>440</v>
      </c>
      <c r="C209" s="139" t="s">
        <v>441</v>
      </c>
      <c r="D209" s="139" t="s">
        <v>442</v>
      </c>
      <c r="E209" s="133">
        <v>75.0</v>
      </c>
      <c r="F209" s="134">
        <v>0.0</v>
      </c>
      <c r="G209" s="135"/>
      <c r="H209" s="135">
        <f t="shared" si="3"/>
        <v>7500</v>
      </c>
      <c r="I209" s="136" t="str">
        <f t="shared" si="4"/>
        <v>75 Total Filings, 0 Patient Portal Logins</v>
      </c>
      <c r="J209" s="137"/>
      <c r="K209" s="137"/>
    </row>
    <row r="210" hidden="1">
      <c r="A210" s="88" t="s">
        <v>306</v>
      </c>
      <c r="B210" s="140" t="s">
        <v>443</v>
      </c>
      <c r="C210" s="141" t="s">
        <v>444</v>
      </c>
      <c r="D210" s="141" t="s">
        <v>445</v>
      </c>
      <c r="E210" s="133">
        <v>40.0</v>
      </c>
      <c r="F210" s="134">
        <v>0.0</v>
      </c>
      <c r="G210" s="135"/>
      <c r="H210" s="135">
        <f t="shared" si="3"/>
        <v>0</v>
      </c>
      <c r="I210" s="136" t="str">
        <f t="shared" si="4"/>
        <v>40 Total Filings, 0 Patient Portal Logins</v>
      </c>
      <c r="J210" s="137"/>
      <c r="K210" s="137"/>
    </row>
    <row r="211" hidden="1">
      <c r="A211" s="88" t="s">
        <v>306</v>
      </c>
      <c r="B211" s="140" t="s">
        <v>446</v>
      </c>
      <c r="C211" s="141" t="s">
        <v>447</v>
      </c>
      <c r="D211" s="141" t="s">
        <v>448</v>
      </c>
      <c r="E211" s="133">
        <v>60.0</v>
      </c>
      <c r="F211" s="134">
        <v>0.0</v>
      </c>
      <c r="G211" s="135"/>
      <c r="H211" s="135">
        <f t="shared" si="3"/>
        <v>3000</v>
      </c>
      <c r="I211" s="136" t="str">
        <f t="shared" si="4"/>
        <v>60 Total Filings, 0 Patient Portal Logins</v>
      </c>
      <c r="J211" s="137"/>
      <c r="K211" s="137"/>
    </row>
    <row r="212" hidden="1">
      <c r="A212" s="88" t="s">
        <v>306</v>
      </c>
      <c r="B212" s="140" t="s">
        <v>449</v>
      </c>
      <c r="C212" s="141" t="s">
        <v>450</v>
      </c>
      <c r="D212" s="141" t="s">
        <v>451</v>
      </c>
      <c r="E212" s="133">
        <v>65.0</v>
      </c>
      <c r="F212" s="134">
        <v>0.0</v>
      </c>
      <c r="G212" s="135"/>
      <c r="H212" s="135">
        <f t="shared" si="3"/>
        <v>4875</v>
      </c>
      <c r="I212" s="136" t="str">
        <f t="shared" si="4"/>
        <v>65 Total Filings, 0 Patient Portal Logins</v>
      </c>
      <c r="J212" s="137"/>
      <c r="K212" s="137"/>
    </row>
    <row r="213" hidden="1">
      <c r="A213" s="88" t="s">
        <v>306</v>
      </c>
      <c r="B213" s="141" t="s">
        <v>452</v>
      </c>
      <c r="C213" s="141" t="s">
        <v>453</v>
      </c>
      <c r="D213" s="141" t="s">
        <v>454</v>
      </c>
      <c r="E213" s="133">
        <v>65.0</v>
      </c>
      <c r="F213" s="134">
        <v>7.0</v>
      </c>
      <c r="G213" s="135"/>
      <c r="H213" s="135">
        <f t="shared" si="3"/>
        <v>6625</v>
      </c>
      <c r="I213" s="136" t="str">
        <f t="shared" si="4"/>
        <v>65 Total Filings, 7 Patient Portal Logins</v>
      </c>
      <c r="J213" s="137"/>
      <c r="K213" s="137"/>
    </row>
    <row r="214" hidden="1">
      <c r="A214" s="88" t="s">
        <v>306</v>
      </c>
      <c r="B214" s="141" t="s">
        <v>455</v>
      </c>
      <c r="C214" s="141" t="s">
        <v>456</v>
      </c>
      <c r="D214" s="141" t="s">
        <v>457</v>
      </c>
      <c r="E214" s="133">
        <v>50.0</v>
      </c>
      <c r="F214" s="134">
        <v>0.0</v>
      </c>
      <c r="G214" s="135"/>
      <c r="H214" s="135">
        <f t="shared" si="3"/>
        <v>2500</v>
      </c>
      <c r="I214" s="136" t="str">
        <f t="shared" si="4"/>
        <v>50 Total Filings, 0 Patient Portal Logins</v>
      </c>
      <c r="J214" s="137"/>
      <c r="K214" s="137"/>
    </row>
    <row r="215" hidden="1">
      <c r="A215" s="88" t="s">
        <v>306</v>
      </c>
      <c r="B215" s="141" t="s">
        <v>458</v>
      </c>
      <c r="C215" s="141" t="s">
        <v>459</v>
      </c>
      <c r="D215" s="141" t="s">
        <v>460</v>
      </c>
      <c r="E215" s="133">
        <v>50.0</v>
      </c>
      <c r="F215" s="134">
        <v>1.0</v>
      </c>
      <c r="G215" s="135"/>
      <c r="H215" s="135">
        <f t="shared" si="3"/>
        <v>2750</v>
      </c>
      <c r="I215" s="136" t="str">
        <f t="shared" si="4"/>
        <v>50 Total Filings, 1 Patient Portal Logins</v>
      </c>
      <c r="J215" s="137"/>
      <c r="K215" s="137"/>
    </row>
    <row r="216" hidden="1">
      <c r="A216" s="89" t="s">
        <v>307</v>
      </c>
      <c r="B216" s="138" t="s">
        <v>41</v>
      </c>
      <c r="C216" s="139" t="s">
        <v>42</v>
      </c>
      <c r="D216" s="139" t="s">
        <v>43</v>
      </c>
      <c r="E216" s="133">
        <v>27.0</v>
      </c>
      <c r="F216" s="134">
        <v>0.0</v>
      </c>
      <c r="G216" s="135"/>
      <c r="H216" s="135">
        <f t="shared" si="3"/>
        <v>0</v>
      </c>
      <c r="I216" s="136" t="str">
        <f t="shared" si="4"/>
        <v>27 Total Filings, 0 Patient Portal Logins</v>
      </c>
      <c r="J216" s="137"/>
      <c r="K216" s="137"/>
    </row>
    <row r="217" hidden="1">
      <c r="A217" s="89" t="s">
        <v>307</v>
      </c>
      <c r="B217" s="131" t="s">
        <v>35</v>
      </c>
      <c r="C217" s="132" t="s">
        <v>36</v>
      </c>
      <c r="D217" s="132" t="s">
        <v>37</v>
      </c>
      <c r="E217" s="133">
        <v>18.0</v>
      </c>
      <c r="F217" s="134">
        <v>10.0</v>
      </c>
      <c r="G217" s="135"/>
      <c r="H217" s="135">
        <f t="shared" si="3"/>
        <v>2500</v>
      </c>
      <c r="I217" s="136" t="str">
        <f t="shared" si="4"/>
        <v>18 Total Filings, 10 Patient Portal Logins</v>
      </c>
      <c r="J217" s="137"/>
      <c r="K217" s="137"/>
    </row>
    <row r="218" hidden="1">
      <c r="A218" s="89" t="s">
        <v>307</v>
      </c>
      <c r="B218" s="131" t="s">
        <v>47</v>
      </c>
      <c r="C218" s="132" t="s">
        <v>48</v>
      </c>
      <c r="D218" s="132" t="s">
        <v>49</v>
      </c>
      <c r="E218" s="133">
        <v>16.0</v>
      </c>
      <c r="F218" s="134">
        <v>0.0</v>
      </c>
      <c r="G218" s="135"/>
      <c r="H218" s="135">
        <f t="shared" si="3"/>
        <v>0</v>
      </c>
      <c r="I218" s="136" t="str">
        <f t="shared" si="4"/>
        <v>16 Total Filings, 0 Patient Portal Logins</v>
      </c>
      <c r="J218" s="137"/>
      <c r="K218" s="137"/>
    </row>
    <row r="219" hidden="1">
      <c r="A219" s="89" t="s">
        <v>307</v>
      </c>
      <c r="B219" s="131" t="s">
        <v>419</v>
      </c>
      <c r="C219" s="132" t="s">
        <v>420</v>
      </c>
      <c r="D219" s="132" t="s">
        <v>421</v>
      </c>
      <c r="E219" s="133">
        <v>13.0</v>
      </c>
      <c r="F219" s="134">
        <v>11.0</v>
      </c>
      <c r="G219" s="135"/>
      <c r="H219" s="135">
        <f t="shared" si="3"/>
        <v>2750</v>
      </c>
      <c r="I219" s="136" t="str">
        <f t="shared" si="4"/>
        <v>13 Total Filings, 11 Patient Portal Logins</v>
      </c>
      <c r="J219" s="137"/>
      <c r="K219" s="137"/>
    </row>
    <row r="220" hidden="1">
      <c r="A220" s="89" t="s">
        <v>307</v>
      </c>
      <c r="B220" s="138" t="s">
        <v>422</v>
      </c>
      <c r="C220" s="139" t="s">
        <v>423</v>
      </c>
      <c r="D220" s="139" t="s">
        <v>424</v>
      </c>
      <c r="E220" s="133">
        <v>85.0</v>
      </c>
      <c r="F220" s="134">
        <v>0.0</v>
      </c>
      <c r="G220" s="135"/>
      <c r="H220" s="135">
        <f t="shared" si="3"/>
        <v>8500</v>
      </c>
      <c r="I220" s="136" t="str">
        <f t="shared" si="4"/>
        <v>85 Total Filings, 0 Patient Portal Logins</v>
      </c>
      <c r="J220" s="137"/>
      <c r="K220" s="137"/>
    </row>
    <row r="221" hidden="1">
      <c r="A221" s="89" t="s">
        <v>307</v>
      </c>
      <c r="B221" s="138" t="s">
        <v>425</v>
      </c>
      <c r="C221" s="139" t="s">
        <v>426</v>
      </c>
      <c r="D221" s="139" t="s">
        <v>427</v>
      </c>
      <c r="E221" s="133">
        <v>57.0</v>
      </c>
      <c r="F221" s="134">
        <v>0.0</v>
      </c>
      <c r="G221" s="135"/>
      <c r="H221" s="135">
        <f t="shared" si="3"/>
        <v>2850</v>
      </c>
      <c r="I221" s="136" t="str">
        <f t="shared" si="4"/>
        <v>57 Total Filings, 0 Patient Portal Logins</v>
      </c>
      <c r="J221" s="137"/>
      <c r="K221" s="137"/>
    </row>
    <row r="222" hidden="1">
      <c r="A222" s="89" t="s">
        <v>307</v>
      </c>
      <c r="B222" s="138" t="s">
        <v>428</v>
      </c>
      <c r="C222" s="139" t="s">
        <v>429</v>
      </c>
      <c r="D222" s="139" t="s">
        <v>430</v>
      </c>
      <c r="E222" s="133">
        <v>76.0</v>
      </c>
      <c r="F222" s="134">
        <v>13.0</v>
      </c>
      <c r="G222" s="135"/>
      <c r="H222" s="135">
        <f t="shared" si="3"/>
        <v>10850</v>
      </c>
      <c r="I222" s="136" t="str">
        <f t="shared" si="4"/>
        <v>76 Total Filings, 13 Patient Portal Logins</v>
      </c>
      <c r="J222" s="137"/>
      <c r="K222" s="137"/>
    </row>
    <row r="223" hidden="1">
      <c r="A223" s="89" t="s">
        <v>307</v>
      </c>
      <c r="B223" s="138" t="s">
        <v>431</v>
      </c>
      <c r="C223" s="139" t="s">
        <v>432</v>
      </c>
      <c r="D223" s="139" t="s">
        <v>433</v>
      </c>
      <c r="E223" s="133">
        <v>90.0</v>
      </c>
      <c r="F223" s="134">
        <v>0.0</v>
      </c>
      <c r="G223" s="135"/>
      <c r="H223" s="135">
        <f t="shared" si="3"/>
        <v>9000</v>
      </c>
      <c r="I223" s="136" t="str">
        <f t="shared" si="4"/>
        <v>90 Total Filings, 0 Patient Portal Logins</v>
      </c>
      <c r="J223" s="137"/>
      <c r="K223" s="137"/>
    </row>
    <row r="224" hidden="1">
      <c r="A224" s="89" t="s">
        <v>307</v>
      </c>
      <c r="B224" s="138" t="s">
        <v>434</v>
      </c>
      <c r="C224" s="139" t="s">
        <v>435</v>
      </c>
      <c r="D224" s="139" t="s">
        <v>436</v>
      </c>
      <c r="E224" s="133">
        <v>65.0</v>
      </c>
      <c r="F224" s="134">
        <v>1.0</v>
      </c>
      <c r="G224" s="135"/>
      <c r="H224" s="135">
        <f t="shared" si="3"/>
        <v>5125</v>
      </c>
      <c r="I224" s="136" t="str">
        <f t="shared" si="4"/>
        <v>65 Total Filings, 1 Patient Portal Logins</v>
      </c>
      <c r="J224" s="137"/>
      <c r="K224" s="137"/>
    </row>
    <row r="225" hidden="1">
      <c r="A225" s="89" t="s">
        <v>307</v>
      </c>
      <c r="B225" s="138" t="s">
        <v>437</v>
      </c>
      <c r="C225" s="139" t="s">
        <v>438</v>
      </c>
      <c r="D225" s="139" t="s">
        <v>439</v>
      </c>
      <c r="E225" s="133">
        <v>65.0</v>
      </c>
      <c r="F225" s="134">
        <v>4.0</v>
      </c>
      <c r="G225" s="135"/>
      <c r="H225" s="135">
        <f t="shared" si="3"/>
        <v>5875</v>
      </c>
      <c r="I225" s="136" t="str">
        <f t="shared" si="4"/>
        <v>65 Total Filings, 4 Patient Portal Logins</v>
      </c>
      <c r="J225" s="137"/>
      <c r="K225" s="137"/>
    </row>
    <row r="226" hidden="1">
      <c r="A226" s="89" t="s">
        <v>307</v>
      </c>
      <c r="B226" s="138" t="s">
        <v>440</v>
      </c>
      <c r="C226" s="139" t="s">
        <v>441</v>
      </c>
      <c r="D226" s="139" t="s">
        <v>442</v>
      </c>
      <c r="E226" s="133">
        <v>65.0</v>
      </c>
      <c r="F226" s="134">
        <v>3.0</v>
      </c>
      <c r="G226" s="135"/>
      <c r="H226" s="135">
        <f t="shared" si="3"/>
        <v>5625</v>
      </c>
      <c r="I226" s="136" t="str">
        <f t="shared" si="4"/>
        <v>65 Total Filings, 3 Patient Portal Logins</v>
      </c>
      <c r="J226" s="137"/>
      <c r="K226" s="137"/>
    </row>
    <row r="227" hidden="1">
      <c r="A227" s="89" t="s">
        <v>307</v>
      </c>
      <c r="B227" s="140" t="s">
        <v>443</v>
      </c>
      <c r="C227" s="141" t="s">
        <v>444</v>
      </c>
      <c r="D227" s="141" t="s">
        <v>445</v>
      </c>
      <c r="E227" s="133">
        <v>56.0</v>
      </c>
      <c r="F227" s="134">
        <v>0.0</v>
      </c>
      <c r="G227" s="135"/>
      <c r="H227" s="135">
        <f t="shared" si="3"/>
        <v>2800</v>
      </c>
      <c r="I227" s="136" t="str">
        <f t="shared" si="4"/>
        <v>56 Total Filings, 0 Patient Portal Logins</v>
      </c>
      <c r="J227" s="142"/>
      <c r="K227" s="142"/>
    </row>
    <row r="228" hidden="1">
      <c r="A228" s="89" t="s">
        <v>307</v>
      </c>
      <c r="B228" s="140" t="s">
        <v>446</v>
      </c>
      <c r="C228" s="141" t="s">
        <v>447</v>
      </c>
      <c r="D228" s="141" t="s">
        <v>448</v>
      </c>
      <c r="E228" s="133">
        <v>52.0</v>
      </c>
      <c r="F228" s="134">
        <v>1.0</v>
      </c>
      <c r="G228" s="135"/>
      <c r="H228" s="135">
        <f t="shared" si="3"/>
        <v>2850</v>
      </c>
      <c r="I228" s="136" t="str">
        <f t="shared" si="4"/>
        <v>52 Total Filings, 1 Patient Portal Logins</v>
      </c>
      <c r="J228" s="142"/>
      <c r="K228" s="142"/>
    </row>
    <row r="229" hidden="1">
      <c r="A229" s="89" t="s">
        <v>307</v>
      </c>
      <c r="B229" s="140" t="s">
        <v>449</v>
      </c>
      <c r="C229" s="141" t="s">
        <v>450</v>
      </c>
      <c r="D229" s="141" t="s">
        <v>451</v>
      </c>
      <c r="E229" s="133">
        <v>52.0</v>
      </c>
      <c r="F229" s="134">
        <v>2.0</v>
      </c>
      <c r="G229" s="135"/>
      <c r="H229" s="135">
        <f t="shared" si="3"/>
        <v>3100</v>
      </c>
      <c r="I229" s="136" t="str">
        <f t="shared" si="4"/>
        <v>52 Total Filings, 2 Patient Portal Logins</v>
      </c>
      <c r="J229" s="142"/>
      <c r="K229" s="142"/>
    </row>
    <row r="230" hidden="1">
      <c r="A230" s="89" t="s">
        <v>307</v>
      </c>
      <c r="B230" s="141" t="s">
        <v>452</v>
      </c>
      <c r="C230" s="141" t="s">
        <v>453</v>
      </c>
      <c r="D230" s="141" t="s">
        <v>454</v>
      </c>
      <c r="E230" s="133">
        <v>50.0</v>
      </c>
      <c r="F230" s="134">
        <v>13.0</v>
      </c>
      <c r="G230" s="135"/>
      <c r="H230" s="135">
        <f t="shared" si="3"/>
        <v>5750</v>
      </c>
      <c r="I230" s="136" t="str">
        <f t="shared" si="4"/>
        <v>50 Total Filings, 13 Patient Portal Logins</v>
      </c>
      <c r="J230" s="142"/>
      <c r="K230" s="142"/>
    </row>
    <row r="231" hidden="1">
      <c r="A231" s="89" t="s">
        <v>307</v>
      </c>
      <c r="B231" s="141" t="s">
        <v>455</v>
      </c>
      <c r="C231" s="141" t="s">
        <v>456</v>
      </c>
      <c r="D231" s="141" t="s">
        <v>457</v>
      </c>
      <c r="E231" s="133">
        <v>52.0</v>
      </c>
      <c r="F231" s="134">
        <v>2.0</v>
      </c>
      <c r="G231" s="135"/>
      <c r="H231" s="135">
        <f t="shared" si="3"/>
        <v>3100</v>
      </c>
      <c r="I231" s="136" t="str">
        <f t="shared" si="4"/>
        <v>52 Total Filings, 2 Patient Portal Logins</v>
      </c>
      <c r="J231" s="142"/>
      <c r="K231" s="142"/>
    </row>
    <row r="232" hidden="1">
      <c r="A232" s="89" t="s">
        <v>307</v>
      </c>
      <c r="B232" s="141" t="s">
        <v>458</v>
      </c>
      <c r="C232" s="141" t="s">
        <v>459</v>
      </c>
      <c r="D232" s="141" t="s">
        <v>460</v>
      </c>
      <c r="E232" s="133">
        <v>56.0</v>
      </c>
      <c r="F232" s="134">
        <v>0.0</v>
      </c>
      <c r="G232" s="135"/>
      <c r="H232" s="135">
        <f t="shared" si="3"/>
        <v>2800</v>
      </c>
      <c r="I232" s="136" t="str">
        <f t="shared" si="4"/>
        <v>56 Total Filings, 0 Patient Portal Logins</v>
      </c>
      <c r="J232" s="142"/>
      <c r="K232" s="142"/>
    </row>
    <row r="233" hidden="1">
      <c r="A233" s="88" t="s">
        <v>308</v>
      </c>
      <c r="B233" s="91" t="s">
        <v>41</v>
      </c>
      <c r="C233" s="96" t="s">
        <v>42</v>
      </c>
      <c r="D233" s="96" t="s">
        <v>43</v>
      </c>
      <c r="E233" s="143">
        <v>23.0</v>
      </c>
      <c r="F233" s="144"/>
      <c r="G233" s="144"/>
      <c r="H233" s="144">
        <f t="shared" si="3"/>
        <v>0</v>
      </c>
      <c r="I233" s="126" t="str">
        <f t="shared" si="4"/>
        <v>23 Total Filings,  Patient Portal Logins</v>
      </c>
      <c r="J233" s="23"/>
      <c r="K233" s="23"/>
    </row>
    <row r="234" hidden="1">
      <c r="A234" s="88" t="s">
        <v>308</v>
      </c>
      <c r="B234" s="92" t="s">
        <v>422</v>
      </c>
      <c r="C234" s="93" t="s">
        <v>423</v>
      </c>
      <c r="D234" s="93" t="s">
        <v>424</v>
      </c>
      <c r="E234" s="143">
        <v>92.0</v>
      </c>
      <c r="F234" s="144"/>
      <c r="G234" s="144"/>
      <c r="H234" s="144">
        <f t="shared" si="3"/>
        <v>9200</v>
      </c>
      <c r="I234" s="126" t="str">
        <f t="shared" si="4"/>
        <v>92 Total Filings,  Patient Portal Logins</v>
      </c>
      <c r="J234" s="23"/>
      <c r="K234" s="23"/>
    </row>
    <row r="235" hidden="1">
      <c r="A235" s="88" t="s">
        <v>308</v>
      </c>
      <c r="B235" s="92" t="s">
        <v>425</v>
      </c>
      <c r="C235" s="93" t="s">
        <v>426</v>
      </c>
      <c r="D235" s="93" t="s">
        <v>427</v>
      </c>
      <c r="E235" s="143">
        <v>65.0</v>
      </c>
      <c r="F235" s="144"/>
      <c r="G235" s="144"/>
      <c r="H235" s="144">
        <f t="shared" si="3"/>
        <v>4875</v>
      </c>
      <c r="I235" s="126" t="str">
        <f t="shared" si="4"/>
        <v>65 Total Filings,  Patient Portal Logins</v>
      </c>
      <c r="J235" s="23"/>
      <c r="K235" s="23"/>
    </row>
    <row r="236" hidden="1">
      <c r="A236" s="88" t="s">
        <v>308</v>
      </c>
      <c r="B236" s="92" t="s">
        <v>428</v>
      </c>
      <c r="C236" s="93" t="s">
        <v>429</v>
      </c>
      <c r="D236" s="93" t="s">
        <v>430</v>
      </c>
      <c r="E236" s="143">
        <v>77.0</v>
      </c>
      <c r="F236" s="144"/>
      <c r="G236" s="144"/>
      <c r="H236" s="144">
        <f t="shared" si="3"/>
        <v>7700</v>
      </c>
      <c r="I236" s="126" t="str">
        <f t="shared" si="4"/>
        <v>77 Total Filings,  Patient Portal Logins</v>
      </c>
      <c r="J236" s="23"/>
      <c r="K236" s="23"/>
    </row>
    <row r="237" hidden="1">
      <c r="A237" s="88" t="s">
        <v>308</v>
      </c>
      <c r="B237" s="92" t="s">
        <v>431</v>
      </c>
      <c r="C237" s="93" t="s">
        <v>432</v>
      </c>
      <c r="D237" s="93" t="s">
        <v>433</v>
      </c>
      <c r="E237" s="143">
        <v>80.0</v>
      </c>
      <c r="F237" s="144"/>
      <c r="G237" s="144"/>
      <c r="H237" s="144">
        <f t="shared" si="3"/>
        <v>8000</v>
      </c>
      <c r="I237" s="126" t="str">
        <f t="shared" si="4"/>
        <v>80 Total Filings,  Patient Portal Logins</v>
      </c>
      <c r="J237" s="23"/>
      <c r="K237" s="23"/>
    </row>
    <row r="238" hidden="1">
      <c r="A238" s="88" t="s">
        <v>308</v>
      </c>
      <c r="B238" s="92" t="s">
        <v>434</v>
      </c>
      <c r="C238" s="93" t="s">
        <v>435</v>
      </c>
      <c r="D238" s="93" t="s">
        <v>436</v>
      </c>
      <c r="E238" s="143">
        <v>75.0</v>
      </c>
      <c r="F238" s="144"/>
      <c r="G238" s="144"/>
      <c r="H238" s="144">
        <f t="shared" si="3"/>
        <v>7500</v>
      </c>
      <c r="I238" s="126" t="str">
        <f t="shared" si="4"/>
        <v>75 Total Filings,  Patient Portal Logins</v>
      </c>
      <c r="J238" s="23"/>
      <c r="K238" s="23"/>
    </row>
    <row r="239" hidden="1">
      <c r="A239" s="88" t="s">
        <v>308</v>
      </c>
      <c r="B239" s="92" t="s">
        <v>437</v>
      </c>
      <c r="C239" s="93" t="s">
        <v>438</v>
      </c>
      <c r="D239" s="93" t="s">
        <v>439</v>
      </c>
      <c r="E239" s="143">
        <v>75.0</v>
      </c>
      <c r="F239" s="144"/>
      <c r="G239" s="144"/>
      <c r="H239" s="144">
        <f t="shared" si="3"/>
        <v>7500</v>
      </c>
      <c r="I239" s="126" t="str">
        <f t="shared" si="4"/>
        <v>75 Total Filings,  Patient Portal Logins</v>
      </c>
      <c r="J239" s="23"/>
      <c r="K239" s="23"/>
    </row>
    <row r="240" hidden="1">
      <c r="A240" s="88" t="s">
        <v>308</v>
      </c>
      <c r="B240" s="92" t="s">
        <v>440</v>
      </c>
      <c r="C240" s="93" t="s">
        <v>441</v>
      </c>
      <c r="D240" s="93" t="s">
        <v>442</v>
      </c>
      <c r="E240" s="143">
        <v>75.0</v>
      </c>
      <c r="F240" s="144"/>
      <c r="G240" s="144"/>
      <c r="H240" s="144">
        <f t="shared" si="3"/>
        <v>7500</v>
      </c>
      <c r="I240" s="126" t="str">
        <f t="shared" si="4"/>
        <v>75 Total Filings,  Patient Portal Logins</v>
      </c>
      <c r="J240" s="23"/>
      <c r="K240" s="23"/>
    </row>
    <row r="241" hidden="1">
      <c r="A241" s="88" t="s">
        <v>308</v>
      </c>
      <c r="B241" s="95" t="s">
        <v>443</v>
      </c>
      <c r="C241" s="94" t="s">
        <v>444</v>
      </c>
      <c r="D241" s="94" t="s">
        <v>445</v>
      </c>
      <c r="E241" s="143">
        <v>50.0</v>
      </c>
      <c r="F241" s="144"/>
      <c r="G241" s="144"/>
      <c r="H241" s="144">
        <f t="shared" si="3"/>
        <v>2500</v>
      </c>
      <c r="I241" s="126" t="str">
        <f t="shared" si="4"/>
        <v>50 Total Filings,  Patient Portal Logins</v>
      </c>
      <c r="J241" s="14"/>
      <c r="K241" s="14"/>
    </row>
    <row r="242" hidden="1">
      <c r="A242" s="88" t="s">
        <v>308</v>
      </c>
      <c r="B242" s="95" t="s">
        <v>446</v>
      </c>
      <c r="C242" s="94" t="s">
        <v>447</v>
      </c>
      <c r="D242" s="94" t="s">
        <v>448</v>
      </c>
      <c r="E242" s="143">
        <v>60.0</v>
      </c>
      <c r="F242" s="144"/>
      <c r="G242" s="144"/>
      <c r="H242" s="144">
        <f t="shared" si="3"/>
        <v>3000</v>
      </c>
      <c r="I242" s="126" t="str">
        <f t="shared" si="4"/>
        <v>60 Total Filings,  Patient Portal Logins</v>
      </c>
      <c r="J242" s="14"/>
      <c r="K242" s="14"/>
    </row>
    <row r="243" hidden="1">
      <c r="A243" s="88" t="s">
        <v>308</v>
      </c>
      <c r="B243" s="95" t="s">
        <v>449</v>
      </c>
      <c r="C243" s="94" t="s">
        <v>450</v>
      </c>
      <c r="D243" s="94" t="s">
        <v>451</v>
      </c>
      <c r="E243" s="143">
        <v>65.0</v>
      </c>
      <c r="F243" s="144"/>
      <c r="G243" s="144"/>
      <c r="H243" s="144">
        <f t="shared" si="3"/>
        <v>4875</v>
      </c>
      <c r="I243" s="126" t="str">
        <f t="shared" si="4"/>
        <v>65 Total Filings,  Patient Portal Logins</v>
      </c>
      <c r="J243" s="14"/>
      <c r="K243" s="14"/>
    </row>
    <row r="244" hidden="1">
      <c r="A244" s="88" t="s">
        <v>308</v>
      </c>
      <c r="B244" s="95" t="s">
        <v>461</v>
      </c>
      <c r="C244" s="94" t="s">
        <v>462</v>
      </c>
      <c r="D244" s="94" t="s">
        <v>463</v>
      </c>
      <c r="E244" s="143">
        <v>51.0</v>
      </c>
      <c r="F244" s="144"/>
      <c r="G244" s="144"/>
      <c r="H244" s="144">
        <f t="shared" si="3"/>
        <v>2550</v>
      </c>
      <c r="I244" s="126" t="str">
        <f t="shared" si="4"/>
        <v>51 Total Filings,  Patient Portal Logins</v>
      </c>
      <c r="J244" s="14"/>
      <c r="K244" s="14"/>
    </row>
    <row r="245" hidden="1">
      <c r="A245" s="88" t="s">
        <v>308</v>
      </c>
      <c r="B245" s="94" t="s">
        <v>464</v>
      </c>
      <c r="C245" s="94" t="s">
        <v>465</v>
      </c>
      <c r="D245" s="94" t="s">
        <v>466</v>
      </c>
      <c r="E245" s="126"/>
      <c r="F245" s="144"/>
      <c r="G245" s="144"/>
      <c r="H245" s="144">
        <f t="shared" si="3"/>
        <v>0</v>
      </c>
      <c r="I245" s="126" t="str">
        <f t="shared" si="4"/>
        <v> Total Filings,  Patient Portal Logins</v>
      </c>
      <c r="J245" s="14"/>
      <c r="K245" s="14"/>
    </row>
    <row r="246" hidden="1">
      <c r="A246" s="88" t="s">
        <v>308</v>
      </c>
      <c r="B246" s="94" t="s">
        <v>86</v>
      </c>
      <c r="C246" s="94" t="s">
        <v>87</v>
      </c>
      <c r="D246" s="94" t="s">
        <v>88</v>
      </c>
      <c r="E246" s="126"/>
      <c r="F246" s="144"/>
      <c r="G246" s="144"/>
      <c r="H246" s="144">
        <f t="shared" si="3"/>
        <v>0</v>
      </c>
      <c r="I246" s="126" t="str">
        <f t="shared" si="4"/>
        <v> Total Filings,  Patient Portal Logins</v>
      </c>
      <c r="J246" s="14"/>
      <c r="K246" s="14"/>
    </row>
    <row r="247" hidden="1">
      <c r="A247" s="88" t="s">
        <v>308</v>
      </c>
      <c r="B247" s="94" t="s">
        <v>62</v>
      </c>
      <c r="C247" s="94" t="s">
        <v>63</v>
      </c>
      <c r="D247" s="94" t="s">
        <v>64</v>
      </c>
      <c r="E247" s="143">
        <v>50.0</v>
      </c>
      <c r="F247" s="144"/>
      <c r="G247" s="144"/>
      <c r="H247" s="144">
        <f t="shared" si="3"/>
        <v>2500</v>
      </c>
      <c r="I247" s="126" t="str">
        <f t="shared" si="4"/>
        <v>50 Total Filings,  Patient Portal Logins</v>
      </c>
      <c r="J247" s="14"/>
      <c r="K247" s="14"/>
    </row>
    <row r="248" hidden="1">
      <c r="A248" s="88" t="s">
        <v>308</v>
      </c>
      <c r="B248" s="94" t="s">
        <v>89</v>
      </c>
      <c r="C248" s="94" t="s">
        <v>90</v>
      </c>
      <c r="D248" s="94" t="s">
        <v>91</v>
      </c>
      <c r="E248" s="143"/>
      <c r="F248" s="144"/>
      <c r="G248" s="144"/>
      <c r="H248" s="144">
        <f t="shared" si="3"/>
        <v>0</v>
      </c>
      <c r="I248" s="126" t="str">
        <f t="shared" si="4"/>
        <v> Total Filings,  Patient Portal Logins</v>
      </c>
      <c r="J248" s="14"/>
      <c r="K248" s="14"/>
    </row>
    <row r="249" hidden="1">
      <c r="A249" s="88" t="s">
        <v>308</v>
      </c>
      <c r="B249" s="94" t="s">
        <v>251</v>
      </c>
      <c r="C249" s="94" t="s">
        <v>252</v>
      </c>
      <c r="D249" s="94" t="s">
        <v>253</v>
      </c>
      <c r="E249" s="126"/>
      <c r="F249" s="144"/>
      <c r="G249" s="144"/>
      <c r="H249" s="144">
        <f t="shared" si="3"/>
        <v>0</v>
      </c>
      <c r="I249" s="126" t="str">
        <f t="shared" si="4"/>
        <v> Total Filings,  Patient Portal Logins</v>
      </c>
      <c r="J249" s="14"/>
      <c r="K249" s="14"/>
    </row>
    <row r="250" hidden="1">
      <c r="A250" s="88" t="s">
        <v>308</v>
      </c>
      <c r="B250" s="94" t="s">
        <v>59</v>
      </c>
      <c r="C250" s="94" t="s">
        <v>60</v>
      </c>
      <c r="D250" s="94" t="s">
        <v>61</v>
      </c>
      <c r="E250" s="126"/>
      <c r="F250" s="144"/>
      <c r="G250" s="144"/>
      <c r="H250" s="144">
        <f t="shared" si="3"/>
        <v>0</v>
      </c>
      <c r="I250" s="126" t="str">
        <f t="shared" si="4"/>
        <v> Total Filings,  Patient Portal Logins</v>
      </c>
      <c r="J250" s="14"/>
      <c r="K250" s="14"/>
    </row>
    <row r="251" hidden="1">
      <c r="A251" s="88" t="s">
        <v>308</v>
      </c>
      <c r="B251" s="94" t="s">
        <v>467</v>
      </c>
      <c r="C251" s="94" t="s">
        <v>468</v>
      </c>
      <c r="D251" s="94" t="s">
        <v>469</v>
      </c>
      <c r="E251" s="126"/>
      <c r="F251" s="144"/>
      <c r="G251" s="144"/>
      <c r="H251" s="144">
        <f t="shared" si="3"/>
        <v>0</v>
      </c>
      <c r="I251" s="126" t="str">
        <f t="shared" si="4"/>
        <v> Total Filings,  Patient Portal Logins</v>
      </c>
      <c r="J251" s="14"/>
      <c r="K251" s="14"/>
    </row>
    <row r="252" hidden="1">
      <c r="A252" s="88" t="s">
        <v>308</v>
      </c>
      <c r="B252" s="94" t="s">
        <v>452</v>
      </c>
      <c r="C252" s="94" t="s">
        <v>453</v>
      </c>
      <c r="D252" s="94" t="s">
        <v>454</v>
      </c>
      <c r="E252" s="143">
        <v>50.0</v>
      </c>
      <c r="F252" s="144"/>
      <c r="G252" s="144"/>
      <c r="H252" s="144">
        <f t="shared" si="3"/>
        <v>2500</v>
      </c>
      <c r="I252" s="126" t="str">
        <f t="shared" si="4"/>
        <v>50 Total Filings,  Patient Portal Logins</v>
      </c>
      <c r="J252" s="14"/>
      <c r="K252" s="14"/>
    </row>
    <row r="253" hidden="1">
      <c r="A253" s="88" t="s">
        <v>308</v>
      </c>
      <c r="B253" s="94" t="s">
        <v>455</v>
      </c>
      <c r="C253" s="94" t="s">
        <v>456</v>
      </c>
      <c r="D253" s="94" t="s">
        <v>457</v>
      </c>
      <c r="E253" s="143">
        <v>50.0</v>
      </c>
      <c r="F253" s="144"/>
      <c r="G253" s="144"/>
      <c r="H253" s="144">
        <f t="shared" si="3"/>
        <v>2500</v>
      </c>
      <c r="I253" s="126" t="str">
        <f t="shared" si="4"/>
        <v>50 Total Filings,  Patient Portal Logins</v>
      </c>
      <c r="J253" s="14"/>
      <c r="K253" s="14"/>
    </row>
    <row r="254" hidden="1">
      <c r="A254" s="88" t="s">
        <v>308</v>
      </c>
      <c r="B254" s="94" t="s">
        <v>458</v>
      </c>
      <c r="C254" s="94" t="s">
        <v>459</v>
      </c>
      <c r="D254" s="94" t="s">
        <v>460</v>
      </c>
      <c r="E254" s="143">
        <v>65.0</v>
      </c>
      <c r="F254" s="144"/>
      <c r="G254" s="144"/>
      <c r="H254" s="144">
        <f t="shared" si="3"/>
        <v>4875</v>
      </c>
      <c r="I254" s="126" t="str">
        <f t="shared" si="4"/>
        <v>65 Total Filings,  Patient Portal Logins</v>
      </c>
      <c r="J254" s="14"/>
      <c r="K254" s="14"/>
    </row>
    <row r="255" hidden="1">
      <c r="A255" s="88" t="s">
        <v>308</v>
      </c>
      <c r="B255" s="94" t="s">
        <v>65</v>
      </c>
      <c r="C255" s="94" t="s">
        <v>470</v>
      </c>
      <c r="D255" s="94" t="s">
        <v>67</v>
      </c>
      <c r="E255" s="126"/>
      <c r="F255" s="144"/>
      <c r="G255" s="144"/>
      <c r="H255" s="144">
        <f t="shared" si="3"/>
        <v>0</v>
      </c>
      <c r="I255" s="126" t="str">
        <f t="shared" si="4"/>
        <v> Total Filings,  Patient Portal Logins</v>
      </c>
      <c r="J255" s="14"/>
      <c r="K255" s="14"/>
    </row>
    <row r="256" hidden="1">
      <c r="A256" s="88" t="s">
        <v>309</v>
      </c>
      <c r="B256" s="92" t="s">
        <v>422</v>
      </c>
      <c r="C256" s="93" t="s">
        <v>423</v>
      </c>
      <c r="D256" s="93" t="s">
        <v>424</v>
      </c>
      <c r="E256" s="143">
        <v>88.0</v>
      </c>
      <c r="F256" s="144"/>
      <c r="G256" s="144"/>
      <c r="H256" s="144">
        <f t="shared" ref="H256:H556" si="5">IF(E256&gt;=75,100*E256,IF(E256&gt;=65,75*E256,IF(E256&gt;=50,50*E256,0)))</f>
        <v>8800</v>
      </c>
      <c r="I256" s="126" t="str">
        <f t="shared" ref="I256:I277" si="6">E256 &amp; " Total Filings"
</f>
        <v>88 Total Filings</v>
      </c>
      <c r="J256" s="23"/>
      <c r="K256" s="23"/>
    </row>
    <row r="257" hidden="1">
      <c r="A257" s="88" t="s">
        <v>309</v>
      </c>
      <c r="B257" s="92" t="s">
        <v>425</v>
      </c>
      <c r="C257" s="93" t="s">
        <v>426</v>
      </c>
      <c r="D257" s="93" t="s">
        <v>427</v>
      </c>
      <c r="E257" s="143">
        <v>50.0</v>
      </c>
      <c r="F257" s="144"/>
      <c r="G257" s="144"/>
      <c r="H257" s="144">
        <f t="shared" si="5"/>
        <v>2500</v>
      </c>
      <c r="I257" s="126" t="str">
        <f t="shared" si="6"/>
        <v>50 Total Filings</v>
      </c>
      <c r="J257" s="23"/>
      <c r="K257" s="23"/>
    </row>
    <row r="258" hidden="1">
      <c r="A258" s="88" t="s">
        <v>309</v>
      </c>
      <c r="B258" s="92" t="s">
        <v>428</v>
      </c>
      <c r="C258" s="93" t="s">
        <v>429</v>
      </c>
      <c r="D258" s="93" t="s">
        <v>430</v>
      </c>
      <c r="E258" s="143">
        <v>82.0</v>
      </c>
      <c r="F258" s="144"/>
      <c r="G258" s="144"/>
      <c r="H258" s="144">
        <f t="shared" si="5"/>
        <v>8200</v>
      </c>
      <c r="I258" s="126" t="str">
        <f t="shared" si="6"/>
        <v>82 Total Filings</v>
      </c>
      <c r="J258" s="23"/>
      <c r="K258" s="23"/>
    </row>
    <row r="259" hidden="1">
      <c r="A259" s="88" t="s">
        <v>309</v>
      </c>
      <c r="B259" s="92" t="s">
        <v>431</v>
      </c>
      <c r="C259" s="93" t="s">
        <v>432</v>
      </c>
      <c r="D259" s="93" t="s">
        <v>433</v>
      </c>
      <c r="E259" s="143">
        <v>80.0</v>
      </c>
      <c r="F259" s="144"/>
      <c r="G259" s="144"/>
      <c r="H259" s="144">
        <f t="shared" si="5"/>
        <v>8000</v>
      </c>
      <c r="I259" s="126" t="str">
        <f t="shared" si="6"/>
        <v>80 Total Filings</v>
      </c>
      <c r="J259" s="23"/>
      <c r="K259" s="23"/>
    </row>
    <row r="260" hidden="1">
      <c r="A260" s="88" t="s">
        <v>309</v>
      </c>
      <c r="B260" s="92" t="s">
        <v>434</v>
      </c>
      <c r="C260" s="93" t="s">
        <v>435</v>
      </c>
      <c r="D260" s="93" t="s">
        <v>436</v>
      </c>
      <c r="E260" s="143">
        <v>75.0</v>
      </c>
      <c r="F260" s="144"/>
      <c r="G260" s="144"/>
      <c r="H260" s="144">
        <f t="shared" si="5"/>
        <v>7500</v>
      </c>
      <c r="I260" s="126" t="str">
        <f t="shared" si="6"/>
        <v>75 Total Filings</v>
      </c>
      <c r="J260" s="23"/>
      <c r="K260" s="23"/>
    </row>
    <row r="261" hidden="1">
      <c r="A261" s="88" t="s">
        <v>309</v>
      </c>
      <c r="B261" s="92" t="s">
        <v>437</v>
      </c>
      <c r="C261" s="93" t="s">
        <v>438</v>
      </c>
      <c r="D261" s="93" t="s">
        <v>439</v>
      </c>
      <c r="E261" s="143">
        <v>75.0</v>
      </c>
      <c r="F261" s="144"/>
      <c r="G261" s="144"/>
      <c r="H261" s="144">
        <f t="shared" si="5"/>
        <v>7500</v>
      </c>
      <c r="I261" s="126" t="str">
        <f t="shared" si="6"/>
        <v>75 Total Filings</v>
      </c>
      <c r="J261" s="23"/>
      <c r="K261" s="23"/>
    </row>
    <row r="262" hidden="1">
      <c r="A262" s="88" t="s">
        <v>309</v>
      </c>
      <c r="B262" s="92" t="s">
        <v>440</v>
      </c>
      <c r="C262" s="93" t="s">
        <v>441</v>
      </c>
      <c r="D262" s="93" t="s">
        <v>442</v>
      </c>
      <c r="E262" s="143">
        <v>65.0</v>
      </c>
      <c r="F262" s="144"/>
      <c r="G262" s="144"/>
      <c r="H262" s="144">
        <f t="shared" si="5"/>
        <v>4875</v>
      </c>
      <c r="I262" s="126" t="str">
        <f t="shared" si="6"/>
        <v>65 Total Filings</v>
      </c>
      <c r="J262" s="23"/>
      <c r="K262" s="23"/>
    </row>
    <row r="263" hidden="1">
      <c r="A263" s="88" t="s">
        <v>309</v>
      </c>
      <c r="B263" s="95" t="s">
        <v>443</v>
      </c>
      <c r="C263" s="94" t="s">
        <v>444</v>
      </c>
      <c r="D263" s="94" t="s">
        <v>445</v>
      </c>
      <c r="E263" s="143">
        <v>33.0</v>
      </c>
      <c r="F263" s="144"/>
      <c r="G263" s="144"/>
      <c r="H263" s="144">
        <f t="shared" si="5"/>
        <v>0</v>
      </c>
      <c r="I263" s="126" t="str">
        <f t="shared" si="6"/>
        <v>33 Total Filings</v>
      </c>
      <c r="J263" s="14"/>
      <c r="K263" s="14"/>
    </row>
    <row r="264" hidden="1">
      <c r="A264" s="88" t="s">
        <v>309</v>
      </c>
      <c r="B264" s="95" t="s">
        <v>446</v>
      </c>
      <c r="C264" s="94" t="s">
        <v>447</v>
      </c>
      <c r="D264" s="94" t="s">
        <v>448</v>
      </c>
      <c r="E264" s="143">
        <v>50.0</v>
      </c>
      <c r="F264" s="144"/>
      <c r="G264" s="144"/>
      <c r="H264" s="144">
        <f t="shared" si="5"/>
        <v>2500</v>
      </c>
      <c r="I264" s="126" t="str">
        <f t="shared" si="6"/>
        <v>50 Total Filings</v>
      </c>
      <c r="J264" s="14"/>
      <c r="K264" s="14"/>
    </row>
    <row r="265" hidden="1">
      <c r="A265" s="88" t="s">
        <v>309</v>
      </c>
      <c r="B265" s="95" t="s">
        <v>449</v>
      </c>
      <c r="C265" s="94" t="s">
        <v>450</v>
      </c>
      <c r="D265" s="94" t="s">
        <v>451</v>
      </c>
      <c r="E265" s="143">
        <v>60.0</v>
      </c>
      <c r="F265" s="144"/>
      <c r="G265" s="144"/>
      <c r="H265" s="144">
        <f t="shared" si="5"/>
        <v>3000</v>
      </c>
      <c r="I265" s="126" t="str">
        <f t="shared" si="6"/>
        <v>60 Total Filings</v>
      </c>
      <c r="J265" s="14"/>
      <c r="K265" s="14"/>
    </row>
    <row r="266" hidden="1">
      <c r="A266" s="88" t="s">
        <v>309</v>
      </c>
      <c r="B266" s="95" t="s">
        <v>461</v>
      </c>
      <c r="C266" s="94" t="s">
        <v>462</v>
      </c>
      <c r="D266" s="94" t="s">
        <v>463</v>
      </c>
      <c r="E266" s="143">
        <v>24.0</v>
      </c>
      <c r="F266" s="144"/>
      <c r="G266" s="144"/>
      <c r="H266" s="144">
        <f t="shared" si="5"/>
        <v>0</v>
      </c>
      <c r="I266" s="126" t="str">
        <f t="shared" si="6"/>
        <v>24 Total Filings</v>
      </c>
      <c r="J266" s="14"/>
      <c r="K266" s="14"/>
    </row>
    <row r="267" hidden="1">
      <c r="A267" s="88" t="s">
        <v>309</v>
      </c>
      <c r="B267" s="94" t="s">
        <v>464</v>
      </c>
      <c r="C267" s="94" t="s">
        <v>465</v>
      </c>
      <c r="D267" s="94" t="s">
        <v>466</v>
      </c>
      <c r="E267" s="143">
        <v>0.0</v>
      </c>
      <c r="F267" s="144"/>
      <c r="G267" s="144"/>
      <c r="H267" s="144">
        <f t="shared" si="5"/>
        <v>0</v>
      </c>
      <c r="I267" s="126" t="str">
        <f t="shared" si="6"/>
        <v>0 Total Filings</v>
      </c>
      <c r="J267" s="14"/>
      <c r="K267" s="14"/>
    </row>
    <row r="268" hidden="1">
      <c r="A268" s="88" t="s">
        <v>309</v>
      </c>
      <c r="B268" s="94" t="s">
        <v>86</v>
      </c>
      <c r="C268" s="94" t="s">
        <v>87</v>
      </c>
      <c r="D268" s="94" t="s">
        <v>88</v>
      </c>
      <c r="E268" s="143">
        <v>0.0</v>
      </c>
      <c r="F268" s="144"/>
      <c r="G268" s="144"/>
      <c r="H268" s="144">
        <f t="shared" si="5"/>
        <v>0</v>
      </c>
      <c r="I268" s="126" t="str">
        <f t="shared" si="6"/>
        <v>0 Total Filings</v>
      </c>
      <c r="J268" s="14"/>
      <c r="K268" s="14"/>
    </row>
    <row r="269" hidden="1">
      <c r="A269" s="88" t="s">
        <v>309</v>
      </c>
      <c r="B269" s="94" t="s">
        <v>62</v>
      </c>
      <c r="C269" s="94" t="s">
        <v>63</v>
      </c>
      <c r="D269" s="94" t="s">
        <v>64</v>
      </c>
      <c r="E269" s="143">
        <v>37.0</v>
      </c>
      <c r="F269" s="144"/>
      <c r="G269" s="144"/>
      <c r="H269" s="144">
        <f t="shared" si="5"/>
        <v>0</v>
      </c>
      <c r="I269" s="126" t="str">
        <f t="shared" si="6"/>
        <v>37 Total Filings</v>
      </c>
      <c r="J269" s="14"/>
      <c r="K269" s="14"/>
    </row>
    <row r="270" hidden="1">
      <c r="A270" s="88" t="s">
        <v>309</v>
      </c>
      <c r="B270" s="94" t="s">
        <v>89</v>
      </c>
      <c r="C270" s="94" t="s">
        <v>90</v>
      </c>
      <c r="D270" s="94" t="s">
        <v>91</v>
      </c>
      <c r="E270" s="143">
        <v>0.0</v>
      </c>
      <c r="F270" s="144"/>
      <c r="G270" s="144"/>
      <c r="H270" s="144">
        <f t="shared" si="5"/>
        <v>0</v>
      </c>
      <c r="I270" s="126" t="str">
        <f t="shared" si="6"/>
        <v>0 Total Filings</v>
      </c>
      <c r="J270" s="14"/>
      <c r="K270" s="14"/>
    </row>
    <row r="271" hidden="1">
      <c r="A271" s="88" t="s">
        <v>309</v>
      </c>
      <c r="B271" s="94" t="s">
        <v>251</v>
      </c>
      <c r="C271" s="94" t="s">
        <v>252</v>
      </c>
      <c r="D271" s="94" t="s">
        <v>253</v>
      </c>
      <c r="E271" s="143">
        <v>0.0</v>
      </c>
      <c r="F271" s="144"/>
      <c r="G271" s="144"/>
      <c r="H271" s="144">
        <f t="shared" si="5"/>
        <v>0</v>
      </c>
      <c r="I271" s="126" t="str">
        <f t="shared" si="6"/>
        <v>0 Total Filings</v>
      </c>
      <c r="J271" s="14"/>
      <c r="K271" s="14"/>
    </row>
    <row r="272" hidden="1">
      <c r="A272" s="88" t="s">
        <v>309</v>
      </c>
      <c r="B272" s="94" t="s">
        <v>59</v>
      </c>
      <c r="C272" s="94" t="s">
        <v>60</v>
      </c>
      <c r="D272" s="94" t="s">
        <v>61</v>
      </c>
      <c r="E272" s="143">
        <v>0.0</v>
      </c>
      <c r="F272" s="144"/>
      <c r="G272" s="144"/>
      <c r="H272" s="144">
        <f t="shared" si="5"/>
        <v>0</v>
      </c>
      <c r="I272" s="126" t="str">
        <f t="shared" si="6"/>
        <v>0 Total Filings</v>
      </c>
      <c r="J272" s="14"/>
      <c r="K272" s="14"/>
    </row>
    <row r="273" hidden="1">
      <c r="A273" s="88" t="s">
        <v>309</v>
      </c>
      <c r="B273" s="94" t="s">
        <v>467</v>
      </c>
      <c r="C273" s="94" t="s">
        <v>468</v>
      </c>
      <c r="D273" s="94" t="s">
        <v>469</v>
      </c>
      <c r="E273" s="143">
        <v>0.0</v>
      </c>
      <c r="F273" s="144"/>
      <c r="G273" s="144"/>
      <c r="H273" s="144">
        <f t="shared" si="5"/>
        <v>0</v>
      </c>
      <c r="I273" s="126" t="str">
        <f t="shared" si="6"/>
        <v>0 Total Filings</v>
      </c>
      <c r="J273" s="14"/>
      <c r="K273" s="14"/>
    </row>
    <row r="274" hidden="1">
      <c r="A274" s="88" t="s">
        <v>309</v>
      </c>
      <c r="B274" s="94" t="s">
        <v>452</v>
      </c>
      <c r="C274" s="94" t="s">
        <v>453</v>
      </c>
      <c r="D274" s="94" t="s">
        <v>454</v>
      </c>
      <c r="E274" s="143">
        <v>50.0</v>
      </c>
      <c r="F274" s="144"/>
      <c r="G274" s="144"/>
      <c r="H274" s="144">
        <f t="shared" si="5"/>
        <v>2500</v>
      </c>
      <c r="I274" s="126" t="str">
        <f t="shared" si="6"/>
        <v>50 Total Filings</v>
      </c>
      <c r="J274" s="14"/>
      <c r="K274" s="14"/>
    </row>
    <row r="275" hidden="1">
      <c r="A275" s="88" t="s">
        <v>309</v>
      </c>
      <c r="B275" s="94" t="s">
        <v>455</v>
      </c>
      <c r="C275" s="94" t="s">
        <v>456</v>
      </c>
      <c r="D275" s="94" t="s">
        <v>457</v>
      </c>
      <c r="E275" s="143">
        <v>50.0</v>
      </c>
      <c r="F275" s="144"/>
      <c r="G275" s="144"/>
      <c r="H275" s="144">
        <f t="shared" si="5"/>
        <v>2500</v>
      </c>
      <c r="I275" s="126" t="str">
        <f t="shared" si="6"/>
        <v>50 Total Filings</v>
      </c>
      <c r="J275" s="14"/>
      <c r="K275" s="14"/>
    </row>
    <row r="276" hidden="1">
      <c r="A276" s="88" t="s">
        <v>309</v>
      </c>
      <c r="B276" s="94" t="s">
        <v>458</v>
      </c>
      <c r="C276" s="94" t="s">
        <v>459</v>
      </c>
      <c r="D276" s="94" t="s">
        <v>460</v>
      </c>
      <c r="E276" s="143">
        <v>50.0</v>
      </c>
      <c r="F276" s="144"/>
      <c r="G276" s="144"/>
      <c r="H276" s="144">
        <f t="shared" si="5"/>
        <v>2500</v>
      </c>
      <c r="I276" s="126" t="str">
        <f t="shared" si="6"/>
        <v>50 Total Filings</v>
      </c>
      <c r="J276" s="14"/>
      <c r="K276" s="14"/>
    </row>
    <row r="277" hidden="1">
      <c r="A277" s="88" t="s">
        <v>309</v>
      </c>
      <c r="B277" s="94" t="s">
        <v>65</v>
      </c>
      <c r="C277" s="94" t="s">
        <v>470</v>
      </c>
      <c r="D277" s="94" t="s">
        <v>67</v>
      </c>
      <c r="E277" s="143">
        <v>0.0</v>
      </c>
      <c r="F277" s="144"/>
      <c r="G277" s="144"/>
      <c r="H277" s="144">
        <f t="shared" si="5"/>
        <v>0</v>
      </c>
      <c r="I277" s="126" t="str">
        <f t="shared" si="6"/>
        <v>0 Total Filings</v>
      </c>
      <c r="J277" s="14"/>
      <c r="K277" s="14"/>
    </row>
    <row r="278" hidden="1">
      <c r="A278" s="88" t="s">
        <v>310</v>
      </c>
      <c r="B278" s="92" t="s">
        <v>422</v>
      </c>
      <c r="C278" s="96" t="s">
        <v>423</v>
      </c>
      <c r="D278" s="93" t="s">
        <v>424</v>
      </c>
      <c r="E278" s="143">
        <v>96.0</v>
      </c>
      <c r="F278" s="144"/>
      <c r="G278" s="144"/>
      <c r="H278" s="144">
        <f t="shared" si="5"/>
        <v>9600</v>
      </c>
      <c r="I278" s="143" t="s">
        <v>471</v>
      </c>
      <c r="J278" s="23"/>
      <c r="K278" s="23"/>
    </row>
    <row r="279" hidden="1">
      <c r="A279" s="88" t="s">
        <v>310</v>
      </c>
      <c r="B279" s="92" t="s">
        <v>425</v>
      </c>
      <c r="C279" s="96" t="s">
        <v>426</v>
      </c>
      <c r="D279" s="93" t="s">
        <v>427</v>
      </c>
      <c r="E279" s="143">
        <v>52.0</v>
      </c>
      <c r="F279" s="144"/>
      <c r="G279" s="144"/>
      <c r="H279" s="144">
        <f t="shared" si="5"/>
        <v>2600</v>
      </c>
      <c r="I279" s="143" t="s">
        <v>472</v>
      </c>
      <c r="J279" s="23"/>
      <c r="K279" s="23"/>
    </row>
    <row r="280" hidden="1">
      <c r="A280" s="88" t="s">
        <v>310</v>
      </c>
      <c r="B280" s="92" t="s">
        <v>428</v>
      </c>
      <c r="C280" s="96" t="s">
        <v>429</v>
      </c>
      <c r="D280" s="93" t="s">
        <v>430</v>
      </c>
      <c r="E280" s="143">
        <v>93.0</v>
      </c>
      <c r="F280" s="144"/>
      <c r="G280" s="144"/>
      <c r="H280" s="144">
        <f t="shared" si="5"/>
        <v>9300</v>
      </c>
      <c r="I280" s="143" t="s">
        <v>473</v>
      </c>
      <c r="J280" s="23"/>
      <c r="K280" s="23"/>
    </row>
    <row r="281" hidden="1">
      <c r="A281" s="88" t="s">
        <v>310</v>
      </c>
      <c r="B281" s="92" t="s">
        <v>431</v>
      </c>
      <c r="C281" s="96" t="s">
        <v>432</v>
      </c>
      <c r="D281" s="93" t="s">
        <v>433</v>
      </c>
      <c r="E281" s="143">
        <v>75.0</v>
      </c>
      <c r="F281" s="144"/>
      <c r="G281" s="144"/>
      <c r="H281" s="144">
        <f t="shared" si="5"/>
        <v>7500</v>
      </c>
      <c r="I281" s="143" t="s">
        <v>474</v>
      </c>
      <c r="J281" s="23"/>
      <c r="K281" s="23"/>
    </row>
    <row r="282" hidden="1">
      <c r="A282" s="88" t="s">
        <v>310</v>
      </c>
      <c r="B282" s="92" t="s">
        <v>434</v>
      </c>
      <c r="C282" s="96" t="s">
        <v>435</v>
      </c>
      <c r="D282" s="93" t="s">
        <v>436</v>
      </c>
      <c r="E282" s="143">
        <v>75.0</v>
      </c>
      <c r="F282" s="144"/>
      <c r="G282" s="144"/>
      <c r="H282" s="144">
        <f t="shared" si="5"/>
        <v>7500</v>
      </c>
      <c r="I282" s="143" t="s">
        <v>474</v>
      </c>
      <c r="J282" s="23"/>
      <c r="K282" s="23"/>
    </row>
    <row r="283" hidden="1">
      <c r="A283" s="88" t="s">
        <v>310</v>
      </c>
      <c r="B283" s="92" t="s">
        <v>437</v>
      </c>
      <c r="C283" s="96" t="s">
        <v>438</v>
      </c>
      <c r="D283" s="93" t="s">
        <v>439</v>
      </c>
      <c r="E283" s="143">
        <v>75.0</v>
      </c>
      <c r="F283" s="144"/>
      <c r="G283" s="144"/>
      <c r="H283" s="144">
        <f t="shared" si="5"/>
        <v>7500</v>
      </c>
      <c r="I283" s="143" t="s">
        <v>474</v>
      </c>
      <c r="J283" s="23"/>
      <c r="K283" s="23"/>
    </row>
    <row r="284" hidden="1">
      <c r="A284" s="88" t="s">
        <v>310</v>
      </c>
      <c r="B284" s="92" t="s">
        <v>440</v>
      </c>
      <c r="C284" s="96" t="s">
        <v>441</v>
      </c>
      <c r="D284" s="93" t="s">
        <v>442</v>
      </c>
      <c r="E284" s="143">
        <v>75.0</v>
      </c>
      <c r="F284" s="144"/>
      <c r="G284" s="144"/>
      <c r="H284" s="144">
        <f t="shared" si="5"/>
        <v>7500</v>
      </c>
      <c r="I284" s="143" t="s">
        <v>474</v>
      </c>
      <c r="J284" s="23"/>
      <c r="K284" s="23"/>
    </row>
    <row r="285" hidden="1">
      <c r="A285" s="88" t="s">
        <v>310</v>
      </c>
      <c r="B285" s="95" t="s">
        <v>443</v>
      </c>
      <c r="C285" s="95" t="s">
        <v>444</v>
      </c>
      <c r="D285" s="94" t="s">
        <v>445</v>
      </c>
      <c r="E285" s="143">
        <v>40.0</v>
      </c>
      <c r="F285" s="144"/>
      <c r="G285" s="144"/>
      <c r="H285" s="144">
        <f t="shared" si="5"/>
        <v>0</v>
      </c>
      <c r="I285" s="143" t="s">
        <v>475</v>
      </c>
      <c r="J285" s="14"/>
      <c r="K285" s="14"/>
    </row>
    <row r="286" hidden="1">
      <c r="A286" s="88" t="s">
        <v>310</v>
      </c>
      <c r="B286" s="95" t="s">
        <v>446</v>
      </c>
      <c r="C286" s="95" t="s">
        <v>447</v>
      </c>
      <c r="D286" s="94" t="s">
        <v>448</v>
      </c>
      <c r="E286" s="143">
        <v>59.0</v>
      </c>
      <c r="F286" s="144"/>
      <c r="G286" s="144"/>
      <c r="H286" s="144">
        <f t="shared" si="5"/>
        <v>2950</v>
      </c>
      <c r="I286" s="143" t="s">
        <v>476</v>
      </c>
      <c r="J286" s="14"/>
      <c r="K286" s="14"/>
    </row>
    <row r="287" hidden="1">
      <c r="A287" s="88" t="s">
        <v>310</v>
      </c>
      <c r="B287" s="95" t="s">
        <v>449</v>
      </c>
      <c r="C287" s="95" t="s">
        <v>450</v>
      </c>
      <c r="D287" s="94" t="s">
        <v>451</v>
      </c>
      <c r="E287" s="143">
        <v>51.0</v>
      </c>
      <c r="F287" s="144"/>
      <c r="G287" s="144"/>
      <c r="H287" s="144">
        <f t="shared" si="5"/>
        <v>2550</v>
      </c>
      <c r="I287" s="143" t="s">
        <v>477</v>
      </c>
      <c r="J287" s="14"/>
      <c r="K287" s="14"/>
    </row>
    <row r="288" hidden="1">
      <c r="A288" s="88" t="s">
        <v>310</v>
      </c>
      <c r="B288" s="95" t="s">
        <v>461</v>
      </c>
      <c r="C288" s="95" t="s">
        <v>462</v>
      </c>
      <c r="D288" s="94" t="s">
        <v>463</v>
      </c>
      <c r="E288" s="143">
        <v>41.0</v>
      </c>
      <c r="F288" s="144"/>
      <c r="G288" s="144"/>
      <c r="H288" s="144">
        <f t="shared" si="5"/>
        <v>0</v>
      </c>
      <c r="I288" s="143" t="s">
        <v>478</v>
      </c>
      <c r="J288" s="14"/>
      <c r="K288" s="14"/>
    </row>
    <row r="289" hidden="1">
      <c r="A289" s="88" t="s">
        <v>310</v>
      </c>
      <c r="B289" s="95" t="s">
        <v>464</v>
      </c>
      <c r="C289" s="95" t="s">
        <v>465</v>
      </c>
      <c r="D289" s="95" t="s">
        <v>466</v>
      </c>
      <c r="E289" s="143">
        <v>23.0</v>
      </c>
      <c r="F289" s="144"/>
      <c r="G289" s="144"/>
      <c r="H289" s="144">
        <f t="shared" si="5"/>
        <v>0</v>
      </c>
      <c r="I289" s="143" t="s">
        <v>479</v>
      </c>
      <c r="J289" s="14"/>
      <c r="K289" s="14"/>
    </row>
    <row r="290" hidden="1">
      <c r="A290" s="88" t="s">
        <v>310</v>
      </c>
      <c r="B290" s="94" t="s">
        <v>86</v>
      </c>
      <c r="C290" s="95" t="s">
        <v>87</v>
      </c>
      <c r="D290" s="94" t="s">
        <v>88</v>
      </c>
      <c r="E290" s="143">
        <v>34.0</v>
      </c>
      <c r="F290" s="144"/>
      <c r="G290" s="144"/>
      <c r="H290" s="144">
        <f t="shared" si="5"/>
        <v>0</v>
      </c>
      <c r="I290" s="143" t="s">
        <v>480</v>
      </c>
      <c r="J290" s="14"/>
      <c r="K290" s="14"/>
    </row>
    <row r="291" hidden="1">
      <c r="A291" s="88" t="s">
        <v>310</v>
      </c>
      <c r="B291" s="95" t="s">
        <v>62</v>
      </c>
      <c r="C291" s="95" t="s">
        <v>63</v>
      </c>
      <c r="D291" s="94" t="s">
        <v>64</v>
      </c>
      <c r="E291" s="143">
        <v>50.0</v>
      </c>
      <c r="F291" s="144"/>
      <c r="G291" s="144"/>
      <c r="H291" s="144">
        <f t="shared" si="5"/>
        <v>2500</v>
      </c>
      <c r="I291" s="143" t="s">
        <v>481</v>
      </c>
      <c r="J291" s="14"/>
      <c r="K291" s="14"/>
    </row>
    <row r="292" hidden="1">
      <c r="A292" s="88" t="s">
        <v>310</v>
      </c>
      <c r="B292" s="94" t="s">
        <v>89</v>
      </c>
      <c r="C292" s="95" t="s">
        <v>90</v>
      </c>
      <c r="D292" s="94" t="s">
        <v>91</v>
      </c>
      <c r="E292" s="143">
        <v>27.0</v>
      </c>
      <c r="F292" s="144"/>
      <c r="G292" s="144"/>
      <c r="H292" s="144">
        <f t="shared" si="5"/>
        <v>0</v>
      </c>
      <c r="I292" s="143" t="s">
        <v>482</v>
      </c>
      <c r="J292" s="14"/>
      <c r="K292" s="14"/>
    </row>
    <row r="293" hidden="1">
      <c r="A293" s="88" t="s">
        <v>310</v>
      </c>
      <c r="B293" s="94" t="s">
        <v>251</v>
      </c>
      <c r="C293" s="95" t="s">
        <v>252</v>
      </c>
      <c r="D293" s="94" t="s">
        <v>253</v>
      </c>
      <c r="E293" s="143">
        <v>26.0</v>
      </c>
      <c r="F293" s="144"/>
      <c r="G293" s="144"/>
      <c r="H293" s="144">
        <f t="shared" si="5"/>
        <v>0</v>
      </c>
      <c r="I293" s="143" t="s">
        <v>483</v>
      </c>
      <c r="J293" s="14"/>
      <c r="K293" s="14"/>
    </row>
    <row r="294" hidden="1">
      <c r="A294" s="88" t="s">
        <v>310</v>
      </c>
      <c r="B294" s="94" t="s">
        <v>59</v>
      </c>
      <c r="C294" s="95" t="s">
        <v>60</v>
      </c>
      <c r="D294" s="94" t="s">
        <v>61</v>
      </c>
      <c r="E294" s="143">
        <v>19.0</v>
      </c>
      <c r="F294" s="144"/>
      <c r="G294" s="144"/>
      <c r="H294" s="144">
        <f t="shared" si="5"/>
        <v>0</v>
      </c>
      <c r="I294" s="143" t="s">
        <v>484</v>
      </c>
      <c r="J294" s="14"/>
      <c r="K294" s="14"/>
    </row>
    <row r="295" hidden="1">
      <c r="A295" s="88" t="s">
        <v>310</v>
      </c>
      <c r="B295" s="94" t="s">
        <v>467</v>
      </c>
      <c r="C295" s="95" t="s">
        <v>468</v>
      </c>
      <c r="D295" s="94" t="s">
        <v>469</v>
      </c>
      <c r="E295" s="143">
        <v>25.0</v>
      </c>
      <c r="F295" s="144"/>
      <c r="G295" s="144"/>
      <c r="H295" s="144">
        <f t="shared" si="5"/>
        <v>0</v>
      </c>
      <c r="I295" s="143" t="s">
        <v>485</v>
      </c>
      <c r="J295" s="14"/>
      <c r="K295" s="14"/>
    </row>
    <row r="296" hidden="1">
      <c r="A296" s="88" t="s">
        <v>310</v>
      </c>
      <c r="B296" s="94" t="s">
        <v>452</v>
      </c>
      <c r="C296" s="95" t="s">
        <v>453</v>
      </c>
      <c r="D296" s="94" t="s">
        <v>454</v>
      </c>
      <c r="E296" s="143">
        <v>45.0</v>
      </c>
      <c r="F296" s="144"/>
      <c r="G296" s="144"/>
      <c r="H296" s="144">
        <f t="shared" si="5"/>
        <v>0</v>
      </c>
      <c r="I296" s="143" t="s">
        <v>486</v>
      </c>
      <c r="J296" s="14"/>
      <c r="K296" s="14"/>
    </row>
    <row r="297" hidden="1">
      <c r="A297" s="88" t="s">
        <v>310</v>
      </c>
      <c r="B297" s="94" t="s">
        <v>455</v>
      </c>
      <c r="C297" s="95" t="s">
        <v>456</v>
      </c>
      <c r="D297" s="94" t="s">
        <v>457</v>
      </c>
      <c r="E297" s="143">
        <v>38.0</v>
      </c>
      <c r="F297" s="144"/>
      <c r="G297" s="144"/>
      <c r="H297" s="144">
        <f t="shared" si="5"/>
        <v>0</v>
      </c>
      <c r="I297" s="143" t="s">
        <v>487</v>
      </c>
    </row>
    <row r="298" hidden="1">
      <c r="A298" s="88" t="s">
        <v>310</v>
      </c>
      <c r="B298" s="94" t="s">
        <v>458</v>
      </c>
      <c r="C298" s="95" t="s">
        <v>459</v>
      </c>
      <c r="D298" s="94" t="s">
        <v>460</v>
      </c>
      <c r="E298" s="143">
        <v>33.0</v>
      </c>
      <c r="F298" s="144"/>
      <c r="G298" s="144"/>
      <c r="H298" s="144">
        <f t="shared" si="5"/>
        <v>0</v>
      </c>
      <c r="I298" s="143" t="s">
        <v>488</v>
      </c>
    </row>
    <row r="299" hidden="1">
      <c r="A299" s="88" t="s">
        <v>310</v>
      </c>
      <c r="B299" s="94" t="s">
        <v>65</v>
      </c>
      <c r="C299" s="95" t="s">
        <v>470</v>
      </c>
      <c r="D299" s="94" t="s">
        <v>67</v>
      </c>
      <c r="E299" s="143">
        <v>32.0</v>
      </c>
      <c r="F299" s="144"/>
      <c r="G299" s="144"/>
      <c r="H299" s="144">
        <f t="shared" si="5"/>
        <v>0</v>
      </c>
      <c r="I299" s="143" t="s">
        <v>489</v>
      </c>
    </row>
    <row r="300" hidden="1">
      <c r="A300" s="88" t="s">
        <v>332</v>
      </c>
      <c r="B300" s="92" t="s">
        <v>422</v>
      </c>
      <c r="C300" s="93"/>
      <c r="D300" s="93" t="s">
        <v>424</v>
      </c>
      <c r="E300" s="143">
        <v>108.0</v>
      </c>
      <c r="F300" s="144"/>
      <c r="G300" s="144"/>
      <c r="H300" s="144">
        <f t="shared" si="5"/>
        <v>10800</v>
      </c>
      <c r="I300" s="144"/>
      <c r="J300" s="23"/>
      <c r="K300" s="23"/>
    </row>
    <row r="301" hidden="1">
      <c r="A301" s="88" t="s">
        <v>332</v>
      </c>
      <c r="B301" s="92" t="s">
        <v>425</v>
      </c>
      <c r="C301" s="93"/>
      <c r="D301" s="93" t="s">
        <v>427</v>
      </c>
      <c r="E301" s="143">
        <v>83.0</v>
      </c>
      <c r="F301" s="144"/>
      <c r="G301" s="144"/>
      <c r="H301" s="144">
        <f t="shared" si="5"/>
        <v>8300</v>
      </c>
      <c r="I301" s="144"/>
      <c r="J301" s="23"/>
      <c r="K301" s="23"/>
    </row>
    <row r="302" hidden="1">
      <c r="A302" s="88" t="s">
        <v>332</v>
      </c>
      <c r="B302" s="92" t="s">
        <v>428</v>
      </c>
      <c r="C302" s="93"/>
      <c r="D302" s="93" t="s">
        <v>430</v>
      </c>
      <c r="E302" s="143">
        <v>92.0</v>
      </c>
      <c r="F302" s="144"/>
      <c r="G302" s="144"/>
      <c r="H302" s="144">
        <f t="shared" si="5"/>
        <v>9200</v>
      </c>
      <c r="I302" s="144"/>
      <c r="J302" s="23"/>
      <c r="K302" s="23"/>
    </row>
    <row r="303" hidden="1">
      <c r="A303" s="88" t="s">
        <v>332</v>
      </c>
      <c r="B303" s="92" t="s">
        <v>431</v>
      </c>
      <c r="C303" s="93"/>
      <c r="D303" s="93" t="s">
        <v>433</v>
      </c>
      <c r="E303" s="143">
        <v>102.0</v>
      </c>
      <c r="F303" s="144"/>
      <c r="G303" s="144"/>
      <c r="H303" s="144">
        <f t="shared" si="5"/>
        <v>10200</v>
      </c>
      <c r="I303" s="144"/>
      <c r="J303" s="23"/>
      <c r="K303" s="23"/>
    </row>
    <row r="304" hidden="1">
      <c r="A304" s="88" t="s">
        <v>332</v>
      </c>
      <c r="B304" s="92" t="s">
        <v>434</v>
      </c>
      <c r="C304" s="93"/>
      <c r="D304" s="93" t="s">
        <v>436</v>
      </c>
      <c r="E304" s="143">
        <v>78.0</v>
      </c>
      <c r="F304" s="144"/>
      <c r="G304" s="144"/>
      <c r="H304" s="144">
        <f t="shared" si="5"/>
        <v>7800</v>
      </c>
      <c r="I304" s="144"/>
      <c r="J304" s="23"/>
      <c r="K304" s="23"/>
    </row>
    <row r="305" hidden="1">
      <c r="A305" s="88" t="s">
        <v>332</v>
      </c>
      <c r="B305" s="92" t="s">
        <v>437</v>
      </c>
      <c r="C305" s="93"/>
      <c r="D305" s="93" t="s">
        <v>439</v>
      </c>
      <c r="E305" s="143">
        <v>90.0</v>
      </c>
      <c r="F305" s="144"/>
      <c r="G305" s="144"/>
      <c r="H305" s="144">
        <f t="shared" si="5"/>
        <v>9000</v>
      </c>
      <c r="I305" s="144"/>
      <c r="J305" s="23"/>
      <c r="K305" s="23"/>
    </row>
    <row r="306" hidden="1">
      <c r="A306" s="88" t="s">
        <v>332</v>
      </c>
      <c r="B306" s="92" t="s">
        <v>440</v>
      </c>
      <c r="C306" s="93"/>
      <c r="D306" s="93" t="s">
        <v>442</v>
      </c>
      <c r="E306" s="143">
        <v>86.0</v>
      </c>
      <c r="F306" s="144"/>
      <c r="G306" s="144"/>
      <c r="H306" s="144">
        <f t="shared" si="5"/>
        <v>8600</v>
      </c>
      <c r="I306" s="144"/>
      <c r="J306" s="23"/>
      <c r="K306" s="23"/>
    </row>
    <row r="307" hidden="1">
      <c r="A307" s="88" t="s">
        <v>332</v>
      </c>
      <c r="B307" s="95" t="s">
        <v>443</v>
      </c>
      <c r="C307" s="94"/>
      <c r="D307" s="94" t="s">
        <v>445</v>
      </c>
      <c r="E307" s="143">
        <v>50.0</v>
      </c>
      <c r="F307" s="144"/>
      <c r="G307" s="144"/>
      <c r="H307" s="144">
        <f t="shared" si="5"/>
        <v>2500</v>
      </c>
      <c r="I307" s="144"/>
      <c r="J307" s="14"/>
      <c r="K307" s="14"/>
    </row>
    <row r="308" hidden="1">
      <c r="A308" s="88" t="s">
        <v>332</v>
      </c>
      <c r="B308" s="95" t="s">
        <v>446</v>
      </c>
      <c r="C308" s="94"/>
      <c r="D308" s="94" t="s">
        <v>448</v>
      </c>
      <c r="E308" s="143">
        <v>58.0</v>
      </c>
      <c r="F308" s="144"/>
      <c r="G308" s="144"/>
      <c r="H308" s="144">
        <f t="shared" si="5"/>
        <v>2900</v>
      </c>
      <c r="I308" s="144"/>
      <c r="J308" s="14"/>
      <c r="K308" s="14"/>
    </row>
    <row r="309" hidden="1">
      <c r="A309" s="88" t="s">
        <v>332</v>
      </c>
      <c r="B309" s="95" t="s">
        <v>449</v>
      </c>
      <c r="C309" s="94"/>
      <c r="D309" s="94" t="s">
        <v>451</v>
      </c>
      <c r="E309" s="143">
        <v>75.0</v>
      </c>
      <c r="F309" s="144"/>
      <c r="G309" s="144"/>
      <c r="H309" s="144">
        <f t="shared" si="5"/>
        <v>7500</v>
      </c>
      <c r="I309" s="144"/>
      <c r="J309" s="14"/>
      <c r="K309" s="14"/>
    </row>
    <row r="310" hidden="1">
      <c r="A310" s="88" t="s">
        <v>332</v>
      </c>
      <c r="B310" s="95" t="s">
        <v>461</v>
      </c>
      <c r="C310" s="94"/>
      <c r="D310" s="94" t="s">
        <v>463</v>
      </c>
      <c r="E310" s="143">
        <v>50.0</v>
      </c>
      <c r="F310" s="144"/>
      <c r="G310" s="144"/>
      <c r="H310" s="144">
        <f t="shared" si="5"/>
        <v>2500</v>
      </c>
      <c r="I310" s="144"/>
      <c r="J310" s="14"/>
      <c r="K310" s="14"/>
    </row>
    <row r="311" hidden="1">
      <c r="A311" s="88" t="s">
        <v>336</v>
      </c>
      <c r="B311" s="92" t="s">
        <v>422</v>
      </c>
      <c r="C311" s="93"/>
      <c r="D311" s="93" t="s">
        <v>424</v>
      </c>
      <c r="E311" s="143">
        <v>118.0</v>
      </c>
      <c r="F311" s="144"/>
      <c r="G311" s="144"/>
      <c r="H311" s="144">
        <f t="shared" si="5"/>
        <v>11800</v>
      </c>
      <c r="I311" s="144"/>
      <c r="J311" s="23"/>
      <c r="K311" s="23"/>
    </row>
    <row r="312" hidden="1">
      <c r="A312" s="88" t="s">
        <v>336</v>
      </c>
      <c r="B312" s="92" t="s">
        <v>425</v>
      </c>
      <c r="C312" s="93"/>
      <c r="D312" s="93" t="s">
        <v>427</v>
      </c>
      <c r="E312" s="143">
        <v>98.0</v>
      </c>
      <c r="F312" s="144"/>
      <c r="G312" s="144"/>
      <c r="H312" s="144">
        <f t="shared" si="5"/>
        <v>9800</v>
      </c>
      <c r="I312" s="144"/>
      <c r="J312" s="23"/>
      <c r="K312" s="23"/>
    </row>
    <row r="313" hidden="1">
      <c r="A313" s="88" t="s">
        <v>336</v>
      </c>
      <c r="B313" s="92" t="s">
        <v>428</v>
      </c>
      <c r="C313" s="93"/>
      <c r="D313" s="93" t="s">
        <v>430</v>
      </c>
      <c r="E313" s="143">
        <v>99.0</v>
      </c>
      <c r="F313" s="144"/>
      <c r="G313" s="144"/>
      <c r="H313" s="144">
        <f t="shared" si="5"/>
        <v>9900</v>
      </c>
      <c r="I313" s="144"/>
      <c r="J313" s="23"/>
      <c r="K313" s="23"/>
    </row>
    <row r="314" hidden="1">
      <c r="A314" s="88" t="s">
        <v>336</v>
      </c>
      <c r="B314" s="92" t="s">
        <v>431</v>
      </c>
      <c r="C314" s="93"/>
      <c r="D314" s="93" t="s">
        <v>433</v>
      </c>
      <c r="E314" s="143">
        <v>116.0</v>
      </c>
      <c r="F314" s="144"/>
      <c r="G314" s="144"/>
      <c r="H314" s="144">
        <f t="shared" si="5"/>
        <v>11600</v>
      </c>
      <c r="I314" s="144"/>
      <c r="J314" s="23"/>
      <c r="K314" s="23"/>
    </row>
    <row r="315" hidden="1">
      <c r="A315" s="88" t="s">
        <v>336</v>
      </c>
      <c r="B315" s="92" t="s">
        <v>434</v>
      </c>
      <c r="C315" s="93"/>
      <c r="D315" s="93" t="s">
        <v>436</v>
      </c>
      <c r="E315" s="143">
        <v>101.0</v>
      </c>
      <c r="F315" s="144"/>
      <c r="G315" s="144"/>
      <c r="H315" s="144">
        <f t="shared" si="5"/>
        <v>10100</v>
      </c>
      <c r="I315" s="144"/>
      <c r="J315" s="23"/>
      <c r="K315" s="23"/>
    </row>
    <row r="316" hidden="1">
      <c r="A316" s="88" t="s">
        <v>336</v>
      </c>
      <c r="B316" s="92" t="s">
        <v>437</v>
      </c>
      <c r="C316" s="93"/>
      <c r="D316" s="93" t="s">
        <v>439</v>
      </c>
      <c r="E316" s="143">
        <v>93.0</v>
      </c>
      <c r="F316" s="144"/>
      <c r="G316" s="144"/>
      <c r="H316" s="144">
        <f t="shared" si="5"/>
        <v>9300</v>
      </c>
      <c r="I316" s="144"/>
      <c r="J316" s="23"/>
      <c r="K316" s="23"/>
    </row>
    <row r="317" hidden="1">
      <c r="A317" s="88" t="s">
        <v>336</v>
      </c>
      <c r="B317" s="92" t="s">
        <v>440</v>
      </c>
      <c r="C317" s="93"/>
      <c r="D317" s="93" t="s">
        <v>442</v>
      </c>
      <c r="E317" s="143">
        <v>91.0</v>
      </c>
      <c r="F317" s="144"/>
      <c r="G317" s="144"/>
      <c r="H317" s="144">
        <f t="shared" si="5"/>
        <v>9100</v>
      </c>
      <c r="I317" s="144"/>
      <c r="J317" s="23"/>
      <c r="K317" s="23"/>
    </row>
    <row r="318" hidden="1">
      <c r="A318" s="88" t="s">
        <v>336</v>
      </c>
      <c r="B318" s="95" t="s">
        <v>443</v>
      </c>
      <c r="C318" s="94"/>
      <c r="D318" s="94" t="s">
        <v>445</v>
      </c>
      <c r="E318" s="143">
        <v>23.0</v>
      </c>
      <c r="F318" s="144"/>
      <c r="G318" s="144"/>
      <c r="H318" s="144">
        <f t="shared" si="5"/>
        <v>0</v>
      </c>
      <c r="I318" s="144"/>
      <c r="J318" s="14"/>
      <c r="K318" s="14"/>
    </row>
    <row r="319" hidden="1">
      <c r="A319" s="88" t="s">
        <v>336</v>
      </c>
      <c r="B319" s="95" t="s">
        <v>200</v>
      </c>
      <c r="C319" s="94"/>
      <c r="D319" s="94" t="s">
        <v>490</v>
      </c>
      <c r="E319" s="143">
        <v>12.0</v>
      </c>
      <c r="F319" s="144"/>
      <c r="G319" s="144"/>
      <c r="H319" s="144">
        <f t="shared" si="5"/>
        <v>0</v>
      </c>
      <c r="I319" s="144"/>
      <c r="J319" s="14"/>
      <c r="K319" s="14"/>
    </row>
    <row r="320" hidden="1">
      <c r="A320" s="88" t="s">
        <v>336</v>
      </c>
      <c r="B320" s="95" t="s">
        <v>303</v>
      </c>
      <c r="C320" s="94"/>
      <c r="D320" s="94" t="s">
        <v>305</v>
      </c>
      <c r="E320" s="143">
        <v>25.0</v>
      </c>
      <c r="F320" s="144"/>
      <c r="G320" s="144"/>
      <c r="H320" s="144">
        <f t="shared" si="5"/>
        <v>0</v>
      </c>
      <c r="I320" s="144"/>
      <c r="J320" s="14"/>
      <c r="K320" s="14"/>
    </row>
    <row r="321" hidden="1">
      <c r="A321" s="88" t="s">
        <v>336</v>
      </c>
      <c r="B321" s="95" t="s">
        <v>446</v>
      </c>
      <c r="C321" s="94"/>
      <c r="D321" s="94" t="s">
        <v>448</v>
      </c>
      <c r="E321" s="143">
        <v>50.0</v>
      </c>
      <c r="F321" s="144"/>
      <c r="G321" s="144"/>
      <c r="H321" s="144">
        <f t="shared" si="5"/>
        <v>2500</v>
      </c>
      <c r="I321" s="144"/>
      <c r="J321" s="14"/>
      <c r="K321" s="14"/>
    </row>
    <row r="322" hidden="1">
      <c r="A322" s="88" t="s">
        <v>336</v>
      </c>
      <c r="B322" s="95" t="s">
        <v>449</v>
      </c>
      <c r="C322" s="94"/>
      <c r="D322" s="94" t="s">
        <v>451</v>
      </c>
      <c r="E322" s="143">
        <v>50.0</v>
      </c>
      <c r="F322" s="144"/>
      <c r="G322" s="144"/>
      <c r="H322" s="144">
        <f t="shared" si="5"/>
        <v>2500</v>
      </c>
      <c r="I322" s="144"/>
      <c r="J322" s="14"/>
      <c r="K322" s="14"/>
    </row>
    <row r="323" hidden="1">
      <c r="A323" s="88" t="s">
        <v>336</v>
      </c>
      <c r="B323" s="95" t="s">
        <v>197</v>
      </c>
      <c r="C323" s="94"/>
      <c r="D323" s="94" t="s">
        <v>199</v>
      </c>
      <c r="E323" s="143">
        <v>29.0</v>
      </c>
      <c r="F323" s="144"/>
      <c r="G323" s="144"/>
      <c r="H323" s="144">
        <f t="shared" si="5"/>
        <v>0</v>
      </c>
      <c r="I323" s="144"/>
      <c r="J323" s="14"/>
      <c r="K323" s="14"/>
    </row>
    <row r="324" hidden="1">
      <c r="A324" s="88" t="s">
        <v>336</v>
      </c>
      <c r="B324" s="94" t="s">
        <v>191</v>
      </c>
      <c r="C324" s="94"/>
      <c r="D324" s="94" t="s">
        <v>193</v>
      </c>
      <c r="E324" s="143">
        <v>32.0</v>
      </c>
      <c r="F324" s="144"/>
      <c r="G324" s="144"/>
      <c r="H324" s="144">
        <f t="shared" si="5"/>
        <v>0</v>
      </c>
      <c r="I324" s="144"/>
      <c r="J324" s="14"/>
      <c r="K324" s="14"/>
    </row>
    <row r="325" hidden="1">
      <c r="A325" s="88" t="s">
        <v>336</v>
      </c>
      <c r="B325" s="94" t="s">
        <v>491</v>
      </c>
      <c r="C325" s="94"/>
      <c r="D325" s="94" t="s">
        <v>492</v>
      </c>
      <c r="E325" s="143">
        <v>0.0</v>
      </c>
      <c r="F325" s="144"/>
      <c r="G325" s="144"/>
      <c r="H325" s="144">
        <f t="shared" si="5"/>
        <v>0</v>
      </c>
      <c r="I325" s="144"/>
      <c r="J325" s="14"/>
      <c r="K325" s="14"/>
    </row>
    <row r="326" hidden="1">
      <c r="A326" s="88" t="s">
        <v>336</v>
      </c>
      <c r="B326" s="95" t="s">
        <v>194</v>
      </c>
      <c r="C326" s="94"/>
      <c r="D326" s="94" t="s">
        <v>196</v>
      </c>
      <c r="E326" s="143">
        <v>51.0</v>
      </c>
      <c r="F326" s="144"/>
      <c r="G326" s="144"/>
      <c r="H326" s="144">
        <f t="shared" si="5"/>
        <v>2550</v>
      </c>
      <c r="I326" s="144"/>
      <c r="J326" s="14"/>
      <c r="K326" s="14"/>
    </row>
    <row r="327" hidden="1">
      <c r="A327" s="88" t="s">
        <v>336</v>
      </c>
      <c r="B327" s="95" t="s">
        <v>461</v>
      </c>
      <c r="C327" s="94"/>
      <c r="D327" s="94" t="s">
        <v>463</v>
      </c>
      <c r="E327" s="143">
        <v>27.0</v>
      </c>
      <c r="F327" s="144"/>
      <c r="G327" s="144"/>
      <c r="H327" s="144">
        <f t="shared" si="5"/>
        <v>0</v>
      </c>
      <c r="I327" s="144"/>
      <c r="J327" s="14"/>
      <c r="K327" s="14"/>
    </row>
    <row r="328" hidden="1">
      <c r="A328" s="88" t="s">
        <v>337</v>
      </c>
      <c r="B328" s="92" t="s">
        <v>422</v>
      </c>
      <c r="C328" s="93"/>
      <c r="D328" s="93" t="s">
        <v>424</v>
      </c>
      <c r="E328" s="143">
        <v>84.0</v>
      </c>
      <c r="F328" s="144"/>
      <c r="G328" s="144"/>
      <c r="H328" s="144">
        <f t="shared" si="5"/>
        <v>8400</v>
      </c>
      <c r="I328" s="144"/>
      <c r="J328" s="23"/>
      <c r="K328" s="23"/>
    </row>
    <row r="329" hidden="1">
      <c r="A329" s="88" t="s">
        <v>337</v>
      </c>
      <c r="B329" s="92" t="s">
        <v>425</v>
      </c>
      <c r="C329" s="93"/>
      <c r="D329" s="93" t="s">
        <v>427</v>
      </c>
      <c r="E329" s="143">
        <v>75.0</v>
      </c>
      <c r="F329" s="144"/>
      <c r="G329" s="144"/>
      <c r="H329" s="144">
        <f t="shared" si="5"/>
        <v>7500</v>
      </c>
      <c r="I329" s="144"/>
      <c r="J329" s="23"/>
      <c r="K329" s="23"/>
    </row>
    <row r="330" hidden="1">
      <c r="A330" s="88" t="s">
        <v>337</v>
      </c>
      <c r="B330" s="92" t="s">
        <v>428</v>
      </c>
      <c r="C330" s="93"/>
      <c r="D330" s="93" t="s">
        <v>430</v>
      </c>
      <c r="E330" s="143">
        <v>81.0</v>
      </c>
      <c r="F330" s="144"/>
      <c r="G330" s="144"/>
      <c r="H330" s="144">
        <f t="shared" si="5"/>
        <v>8100</v>
      </c>
      <c r="I330" s="144"/>
      <c r="J330" s="23"/>
      <c r="K330" s="23"/>
    </row>
    <row r="331" hidden="1">
      <c r="A331" s="88" t="s">
        <v>337</v>
      </c>
      <c r="B331" s="92" t="s">
        <v>431</v>
      </c>
      <c r="C331" s="93"/>
      <c r="D331" s="93" t="s">
        <v>433</v>
      </c>
      <c r="E331" s="143">
        <v>77.0</v>
      </c>
      <c r="F331" s="144"/>
      <c r="G331" s="144"/>
      <c r="H331" s="144">
        <f t="shared" si="5"/>
        <v>7700</v>
      </c>
      <c r="I331" s="144"/>
      <c r="J331" s="23"/>
      <c r="K331" s="23"/>
    </row>
    <row r="332" hidden="1">
      <c r="A332" s="88" t="s">
        <v>337</v>
      </c>
      <c r="B332" s="92" t="s">
        <v>434</v>
      </c>
      <c r="C332" s="93"/>
      <c r="D332" s="93" t="s">
        <v>436</v>
      </c>
      <c r="E332" s="143">
        <v>83.0</v>
      </c>
      <c r="F332" s="144"/>
      <c r="G332" s="144"/>
      <c r="H332" s="144">
        <f t="shared" si="5"/>
        <v>8300</v>
      </c>
      <c r="I332" s="144"/>
      <c r="J332" s="23"/>
      <c r="K332" s="23"/>
    </row>
    <row r="333" hidden="1">
      <c r="A333" s="88" t="s">
        <v>337</v>
      </c>
      <c r="B333" s="92" t="s">
        <v>437</v>
      </c>
      <c r="C333" s="93"/>
      <c r="D333" s="93" t="s">
        <v>439</v>
      </c>
      <c r="E333" s="143">
        <v>80.0</v>
      </c>
      <c r="F333" s="144"/>
      <c r="G333" s="144"/>
      <c r="H333" s="144">
        <f t="shared" si="5"/>
        <v>8000</v>
      </c>
      <c r="I333" s="144"/>
      <c r="J333" s="23"/>
      <c r="K333" s="23"/>
    </row>
    <row r="334" hidden="1">
      <c r="A334" s="88" t="s">
        <v>337</v>
      </c>
      <c r="B334" s="92" t="s">
        <v>440</v>
      </c>
      <c r="C334" s="93"/>
      <c r="D334" s="93" t="s">
        <v>442</v>
      </c>
      <c r="E334" s="143">
        <v>80.0</v>
      </c>
      <c r="F334" s="144"/>
      <c r="G334" s="144"/>
      <c r="H334" s="144">
        <f t="shared" si="5"/>
        <v>8000</v>
      </c>
      <c r="I334" s="144"/>
      <c r="J334" s="23"/>
      <c r="K334" s="23"/>
    </row>
    <row r="335" hidden="1">
      <c r="A335" s="88" t="s">
        <v>337</v>
      </c>
      <c r="B335" s="95" t="s">
        <v>443</v>
      </c>
      <c r="C335" s="94"/>
      <c r="D335" s="94" t="s">
        <v>445</v>
      </c>
      <c r="E335" s="143">
        <v>7.0</v>
      </c>
      <c r="F335" s="144"/>
      <c r="G335" s="144"/>
      <c r="H335" s="144">
        <f t="shared" si="5"/>
        <v>0</v>
      </c>
      <c r="I335" s="144"/>
      <c r="J335" s="14"/>
      <c r="K335" s="14"/>
    </row>
    <row r="336" hidden="1">
      <c r="A336" s="88" t="s">
        <v>337</v>
      </c>
      <c r="B336" s="95" t="s">
        <v>200</v>
      </c>
      <c r="C336" s="94"/>
      <c r="D336" s="94" t="s">
        <v>490</v>
      </c>
      <c r="E336" s="143">
        <v>7.0</v>
      </c>
      <c r="F336" s="144"/>
      <c r="G336" s="144"/>
      <c r="H336" s="144">
        <f t="shared" si="5"/>
        <v>0</v>
      </c>
      <c r="I336" s="144"/>
      <c r="J336" s="14"/>
      <c r="K336" s="14"/>
    </row>
    <row r="337" hidden="1">
      <c r="A337" s="88" t="s">
        <v>337</v>
      </c>
      <c r="B337" s="95" t="s">
        <v>303</v>
      </c>
      <c r="C337" s="94"/>
      <c r="D337" s="94" t="s">
        <v>305</v>
      </c>
      <c r="E337" s="143">
        <v>11.0</v>
      </c>
      <c r="F337" s="144"/>
      <c r="G337" s="144"/>
      <c r="H337" s="144">
        <f t="shared" si="5"/>
        <v>0</v>
      </c>
      <c r="I337" s="144"/>
      <c r="J337" s="14"/>
      <c r="K337" s="14"/>
    </row>
    <row r="338" hidden="1">
      <c r="A338" s="88" t="s">
        <v>337</v>
      </c>
      <c r="B338" s="95" t="s">
        <v>446</v>
      </c>
      <c r="C338" s="94"/>
      <c r="D338" s="94" t="s">
        <v>448</v>
      </c>
      <c r="E338" s="143">
        <v>22.0</v>
      </c>
      <c r="F338" s="144"/>
      <c r="G338" s="144"/>
      <c r="H338" s="144">
        <f t="shared" si="5"/>
        <v>0</v>
      </c>
      <c r="I338" s="144"/>
      <c r="J338" s="14"/>
      <c r="K338" s="14"/>
    </row>
    <row r="339" hidden="1">
      <c r="A339" s="88" t="s">
        <v>337</v>
      </c>
      <c r="B339" s="95" t="s">
        <v>449</v>
      </c>
      <c r="C339" s="94"/>
      <c r="D339" s="94" t="s">
        <v>451</v>
      </c>
      <c r="E339" s="143">
        <v>25.0</v>
      </c>
      <c r="F339" s="144"/>
      <c r="G339" s="144"/>
      <c r="H339" s="144">
        <f t="shared" si="5"/>
        <v>0</v>
      </c>
      <c r="I339" s="144"/>
      <c r="J339" s="14"/>
      <c r="K339" s="14"/>
    </row>
    <row r="340" hidden="1">
      <c r="A340" s="88" t="s">
        <v>337</v>
      </c>
      <c r="B340" s="95" t="s">
        <v>197</v>
      </c>
      <c r="C340" s="94"/>
      <c r="D340" s="94" t="s">
        <v>199</v>
      </c>
      <c r="E340" s="143">
        <v>12.0</v>
      </c>
      <c r="F340" s="144"/>
      <c r="G340" s="144"/>
      <c r="H340" s="144">
        <f t="shared" si="5"/>
        <v>0</v>
      </c>
      <c r="I340" s="144"/>
      <c r="J340" s="14"/>
      <c r="K340" s="14"/>
    </row>
    <row r="341" hidden="1">
      <c r="A341" s="88" t="s">
        <v>337</v>
      </c>
      <c r="B341" s="94" t="s">
        <v>191</v>
      </c>
      <c r="C341" s="94"/>
      <c r="D341" s="94" t="s">
        <v>193</v>
      </c>
      <c r="E341" s="143">
        <v>10.0</v>
      </c>
      <c r="F341" s="144"/>
      <c r="G341" s="144"/>
      <c r="H341" s="144">
        <f t="shared" si="5"/>
        <v>0</v>
      </c>
      <c r="I341" s="144"/>
      <c r="J341" s="14"/>
      <c r="K341" s="14"/>
    </row>
    <row r="342" hidden="1">
      <c r="A342" s="88" t="s">
        <v>337</v>
      </c>
      <c r="B342" s="94" t="s">
        <v>491</v>
      </c>
      <c r="C342" s="94"/>
      <c r="D342" s="94" t="s">
        <v>492</v>
      </c>
      <c r="E342" s="143">
        <v>0.0</v>
      </c>
      <c r="F342" s="144"/>
      <c r="G342" s="144"/>
      <c r="H342" s="144">
        <f t="shared" si="5"/>
        <v>0</v>
      </c>
      <c r="I342" s="144"/>
      <c r="J342" s="14"/>
      <c r="K342" s="14"/>
    </row>
    <row r="343" hidden="1">
      <c r="A343" s="88" t="s">
        <v>337</v>
      </c>
      <c r="B343" s="95" t="s">
        <v>194</v>
      </c>
      <c r="C343" s="95"/>
      <c r="D343" s="95" t="s">
        <v>196</v>
      </c>
      <c r="E343" s="143">
        <v>22.0</v>
      </c>
      <c r="F343" s="144"/>
      <c r="G343" s="144"/>
      <c r="H343" s="144">
        <f t="shared" si="5"/>
        <v>0</v>
      </c>
      <c r="I343" s="144"/>
      <c r="J343" s="14"/>
      <c r="K343" s="14"/>
    </row>
    <row r="344" hidden="1">
      <c r="A344" s="88" t="s">
        <v>337</v>
      </c>
      <c r="B344" s="95" t="s">
        <v>461</v>
      </c>
      <c r="C344" s="95"/>
      <c r="D344" s="95" t="s">
        <v>463</v>
      </c>
      <c r="E344" s="143">
        <v>15.0</v>
      </c>
      <c r="F344" s="144"/>
      <c r="G344" s="144"/>
      <c r="H344" s="144">
        <f t="shared" si="5"/>
        <v>0</v>
      </c>
      <c r="I344" s="144"/>
      <c r="J344" s="14"/>
      <c r="K344" s="14"/>
    </row>
    <row r="345" hidden="1">
      <c r="A345" s="88" t="s">
        <v>338</v>
      </c>
      <c r="B345" s="92" t="s">
        <v>422</v>
      </c>
      <c r="C345" s="93"/>
      <c r="D345" s="93" t="s">
        <v>424</v>
      </c>
      <c r="E345" s="143">
        <v>123.0</v>
      </c>
      <c r="F345" s="144"/>
      <c r="G345" s="144"/>
      <c r="H345" s="144">
        <f t="shared" si="5"/>
        <v>12300</v>
      </c>
      <c r="I345" s="144"/>
      <c r="J345" s="23"/>
      <c r="K345" s="23"/>
    </row>
    <row r="346" hidden="1">
      <c r="A346" s="88" t="s">
        <v>338</v>
      </c>
      <c r="B346" s="92" t="s">
        <v>493</v>
      </c>
      <c r="C346" s="93"/>
      <c r="D346" s="93" t="s">
        <v>494</v>
      </c>
      <c r="E346" s="143">
        <v>110.0</v>
      </c>
      <c r="F346" s="144"/>
      <c r="G346" s="144"/>
      <c r="H346" s="144">
        <f t="shared" si="5"/>
        <v>11000</v>
      </c>
      <c r="I346" s="144"/>
      <c r="J346" s="23"/>
      <c r="K346" s="23"/>
    </row>
    <row r="347" hidden="1">
      <c r="A347" s="88" t="s">
        <v>338</v>
      </c>
      <c r="B347" s="92" t="s">
        <v>425</v>
      </c>
      <c r="C347" s="93"/>
      <c r="D347" s="93" t="s">
        <v>427</v>
      </c>
      <c r="E347" s="143">
        <v>100.0</v>
      </c>
      <c r="F347" s="144"/>
      <c r="G347" s="144"/>
      <c r="H347" s="144">
        <f t="shared" si="5"/>
        <v>10000</v>
      </c>
      <c r="I347" s="144"/>
      <c r="J347" s="23"/>
      <c r="K347" s="23"/>
    </row>
    <row r="348" hidden="1">
      <c r="A348" s="88" t="s">
        <v>338</v>
      </c>
      <c r="B348" s="92" t="s">
        <v>428</v>
      </c>
      <c r="C348" s="93"/>
      <c r="D348" s="93" t="s">
        <v>430</v>
      </c>
      <c r="E348" s="143">
        <v>111.0</v>
      </c>
      <c r="F348" s="144"/>
      <c r="G348" s="144"/>
      <c r="H348" s="144">
        <f t="shared" si="5"/>
        <v>11100</v>
      </c>
      <c r="I348" s="144"/>
      <c r="J348" s="23"/>
      <c r="K348" s="23"/>
    </row>
    <row r="349" hidden="1">
      <c r="A349" s="88" t="s">
        <v>338</v>
      </c>
      <c r="B349" s="92" t="s">
        <v>431</v>
      </c>
      <c r="C349" s="93"/>
      <c r="D349" s="93" t="s">
        <v>433</v>
      </c>
      <c r="E349" s="143">
        <v>135.0</v>
      </c>
      <c r="F349" s="144"/>
      <c r="G349" s="144"/>
      <c r="H349" s="144">
        <f t="shared" si="5"/>
        <v>13500</v>
      </c>
      <c r="I349" s="144"/>
      <c r="J349" s="23"/>
      <c r="K349" s="23"/>
    </row>
    <row r="350" hidden="1">
      <c r="A350" s="88" t="s">
        <v>338</v>
      </c>
      <c r="B350" s="92" t="s">
        <v>434</v>
      </c>
      <c r="C350" s="93"/>
      <c r="D350" s="93" t="s">
        <v>436</v>
      </c>
      <c r="E350" s="143">
        <v>100.0</v>
      </c>
      <c r="F350" s="144"/>
      <c r="G350" s="144"/>
      <c r="H350" s="144">
        <f t="shared" si="5"/>
        <v>10000</v>
      </c>
      <c r="I350" s="144"/>
      <c r="J350" s="23"/>
      <c r="K350" s="23"/>
    </row>
    <row r="351" hidden="1">
      <c r="A351" s="88" t="s">
        <v>338</v>
      </c>
      <c r="B351" s="92" t="s">
        <v>437</v>
      </c>
      <c r="C351" s="93"/>
      <c r="D351" s="93" t="s">
        <v>439</v>
      </c>
      <c r="E351" s="143">
        <v>100.0</v>
      </c>
      <c r="F351" s="144"/>
      <c r="G351" s="144"/>
      <c r="H351" s="144">
        <f t="shared" si="5"/>
        <v>10000</v>
      </c>
      <c r="I351" s="144"/>
      <c r="J351" s="23"/>
      <c r="K351" s="23"/>
    </row>
    <row r="352" hidden="1">
      <c r="A352" s="88" t="s">
        <v>338</v>
      </c>
      <c r="B352" s="92" t="s">
        <v>440</v>
      </c>
      <c r="C352" s="93"/>
      <c r="D352" s="93" t="s">
        <v>442</v>
      </c>
      <c r="E352" s="143">
        <v>100.0</v>
      </c>
      <c r="F352" s="144"/>
      <c r="G352" s="144"/>
      <c r="H352" s="144">
        <f t="shared" si="5"/>
        <v>10000</v>
      </c>
      <c r="I352" s="144"/>
      <c r="J352" s="23"/>
      <c r="K352" s="23"/>
    </row>
    <row r="353" hidden="1">
      <c r="A353" s="88" t="s">
        <v>338</v>
      </c>
      <c r="B353" s="95" t="s">
        <v>443</v>
      </c>
      <c r="C353" s="94"/>
      <c r="D353" s="94" t="s">
        <v>445</v>
      </c>
      <c r="E353" s="143">
        <v>0.0</v>
      </c>
      <c r="F353" s="144"/>
      <c r="G353" s="144"/>
      <c r="H353" s="144">
        <f t="shared" si="5"/>
        <v>0</v>
      </c>
      <c r="I353" s="144"/>
      <c r="J353" s="14"/>
      <c r="K353" s="14"/>
    </row>
    <row r="354" hidden="1">
      <c r="A354" s="88" t="s">
        <v>338</v>
      </c>
      <c r="B354" s="95" t="s">
        <v>200</v>
      </c>
      <c r="C354" s="94"/>
      <c r="D354" s="94" t="s">
        <v>490</v>
      </c>
      <c r="E354" s="143">
        <v>0.0</v>
      </c>
      <c r="F354" s="144"/>
      <c r="G354" s="144"/>
      <c r="H354" s="144">
        <f t="shared" si="5"/>
        <v>0</v>
      </c>
      <c r="I354" s="144"/>
      <c r="J354" s="14"/>
      <c r="K354" s="14"/>
    </row>
    <row r="355" hidden="1">
      <c r="A355" s="88" t="s">
        <v>338</v>
      </c>
      <c r="B355" s="95" t="s">
        <v>303</v>
      </c>
      <c r="C355" s="94"/>
      <c r="D355" s="94" t="s">
        <v>305</v>
      </c>
      <c r="E355" s="143">
        <v>0.0</v>
      </c>
      <c r="F355" s="144"/>
      <c r="G355" s="144"/>
      <c r="H355" s="144">
        <f t="shared" si="5"/>
        <v>0</v>
      </c>
      <c r="I355" s="144"/>
      <c r="J355" s="14"/>
      <c r="K355" s="14"/>
    </row>
    <row r="356" hidden="1">
      <c r="A356" s="88" t="s">
        <v>338</v>
      </c>
      <c r="B356" s="95" t="s">
        <v>446</v>
      </c>
      <c r="C356" s="94"/>
      <c r="D356" s="94" t="s">
        <v>448</v>
      </c>
      <c r="E356" s="143">
        <v>0.0</v>
      </c>
      <c r="F356" s="144"/>
      <c r="G356" s="144"/>
      <c r="H356" s="144">
        <f t="shared" si="5"/>
        <v>0</v>
      </c>
      <c r="I356" s="144"/>
      <c r="J356" s="14"/>
      <c r="K356" s="14"/>
    </row>
    <row r="357" hidden="1">
      <c r="A357" s="88" t="s">
        <v>338</v>
      </c>
      <c r="B357" s="95" t="s">
        <v>449</v>
      </c>
      <c r="C357" s="94"/>
      <c r="D357" s="94" t="s">
        <v>451</v>
      </c>
      <c r="E357" s="143">
        <v>0.0</v>
      </c>
      <c r="F357" s="144"/>
      <c r="G357" s="144"/>
      <c r="H357" s="144">
        <f t="shared" si="5"/>
        <v>0</v>
      </c>
      <c r="I357" s="144"/>
      <c r="J357" s="14"/>
      <c r="K357" s="14"/>
    </row>
    <row r="358" hidden="1">
      <c r="A358" s="88" t="s">
        <v>338</v>
      </c>
      <c r="B358" s="95" t="s">
        <v>197</v>
      </c>
      <c r="C358" s="94"/>
      <c r="D358" s="94" t="s">
        <v>199</v>
      </c>
      <c r="E358" s="143">
        <v>0.0</v>
      </c>
      <c r="F358" s="144"/>
      <c r="G358" s="144"/>
      <c r="H358" s="144">
        <f t="shared" si="5"/>
        <v>0</v>
      </c>
      <c r="I358" s="144"/>
      <c r="J358" s="14"/>
      <c r="K358" s="14"/>
    </row>
    <row r="359" hidden="1">
      <c r="A359" s="88" t="s">
        <v>338</v>
      </c>
      <c r="B359" s="94" t="s">
        <v>191</v>
      </c>
      <c r="C359" s="94"/>
      <c r="D359" s="94" t="s">
        <v>193</v>
      </c>
      <c r="E359" s="143">
        <v>0.0</v>
      </c>
      <c r="F359" s="144"/>
      <c r="G359" s="144"/>
      <c r="H359" s="144">
        <f t="shared" si="5"/>
        <v>0</v>
      </c>
      <c r="I359" s="144"/>
      <c r="J359" s="14"/>
      <c r="K359" s="14"/>
    </row>
    <row r="360" hidden="1">
      <c r="A360" s="88" t="s">
        <v>338</v>
      </c>
      <c r="B360" s="94" t="s">
        <v>491</v>
      </c>
      <c r="C360" s="94"/>
      <c r="D360" s="94" t="s">
        <v>492</v>
      </c>
      <c r="E360" s="143">
        <v>0.0</v>
      </c>
      <c r="F360" s="144"/>
      <c r="G360" s="144"/>
      <c r="H360" s="144">
        <f t="shared" si="5"/>
        <v>0</v>
      </c>
      <c r="I360" s="144"/>
      <c r="J360" s="14"/>
      <c r="K360" s="14"/>
    </row>
    <row r="361" hidden="1">
      <c r="A361" s="76" t="s">
        <v>338</v>
      </c>
      <c r="B361" s="92" t="s">
        <v>422</v>
      </c>
      <c r="C361" s="93"/>
      <c r="D361" s="93" t="s">
        <v>424</v>
      </c>
      <c r="E361" s="126">
        <v>123.0</v>
      </c>
      <c r="F361" s="144"/>
      <c r="G361" s="144"/>
      <c r="H361" s="144">
        <f t="shared" si="5"/>
        <v>12300</v>
      </c>
      <c r="I361" s="144"/>
      <c r="J361" s="23"/>
      <c r="K361" s="23"/>
    </row>
    <row r="362" hidden="1">
      <c r="A362" s="76" t="s">
        <v>338</v>
      </c>
      <c r="B362" s="92" t="s">
        <v>493</v>
      </c>
      <c r="C362" s="93"/>
      <c r="D362" s="93" t="s">
        <v>494</v>
      </c>
      <c r="E362" s="126">
        <v>110.0</v>
      </c>
      <c r="F362" s="144"/>
      <c r="G362" s="144"/>
      <c r="H362" s="144">
        <f t="shared" si="5"/>
        <v>11000</v>
      </c>
      <c r="I362" s="144"/>
      <c r="J362" s="23"/>
      <c r="K362" s="23"/>
    </row>
    <row r="363" hidden="1">
      <c r="A363" s="76" t="s">
        <v>338</v>
      </c>
      <c r="B363" s="92" t="s">
        <v>425</v>
      </c>
      <c r="C363" s="93"/>
      <c r="D363" s="93" t="s">
        <v>427</v>
      </c>
      <c r="E363" s="126">
        <v>100.0</v>
      </c>
      <c r="F363" s="144"/>
      <c r="G363" s="144"/>
      <c r="H363" s="144">
        <f t="shared" si="5"/>
        <v>10000</v>
      </c>
      <c r="I363" s="144"/>
      <c r="J363" s="23"/>
      <c r="K363" s="23"/>
    </row>
    <row r="364" hidden="1">
      <c r="A364" s="76" t="s">
        <v>338</v>
      </c>
      <c r="B364" s="92" t="s">
        <v>428</v>
      </c>
      <c r="C364" s="93"/>
      <c r="D364" s="93" t="s">
        <v>430</v>
      </c>
      <c r="E364" s="126">
        <v>111.0</v>
      </c>
      <c r="F364" s="144"/>
      <c r="G364" s="144"/>
      <c r="H364" s="144">
        <f t="shared" si="5"/>
        <v>11100</v>
      </c>
      <c r="I364" s="144"/>
      <c r="J364" s="23"/>
      <c r="K364" s="23"/>
    </row>
    <row r="365" hidden="1">
      <c r="A365" s="76" t="s">
        <v>338</v>
      </c>
      <c r="B365" s="92" t="s">
        <v>431</v>
      </c>
      <c r="C365" s="93"/>
      <c r="D365" s="93" t="s">
        <v>433</v>
      </c>
      <c r="E365" s="126">
        <v>135.0</v>
      </c>
      <c r="F365" s="144"/>
      <c r="G365" s="144"/>
      <c r="H365" s="144">
        <f t="shared" si="5"/>
        <v>13500</v>
      </c>
      <c r="I365" s="144"/>
      <c r="J365" s="23"/>
      <c r="K365" s="23"/>
    </row>
    <row r="366" hidden="1">
      <c r="A366" s="76" t="s">
        <v>338</v>
      </c>
      <c r="B366" s="92" t="s">
        <v>434</v>
      </c>
      <c r="C366" s="93"/>
      <c r="D366" s="93" t="s">
        <v>436</v>
      </c>
      <c r="E366" s="126">
        <v>100.0</v>
      </c>
      <c r="F366" s="144"/>
      <c r="G366" s="144"/>
      <c r="H366" s="144">
        <f t="shared" si="5"/>
        <v>10000</v>
      </c>
      <c r="I366" s="144"/>
      <c r="J366" s="23"/>
      <c r="K366" s="23"/>
    </row>
    <row r="367" hidden="1">
      <c r="A367" s="76" t="s">
        <v>338</v>
      </c>
      <c r="B367" s="92" t="s">
        <v>437</v>
      </c>
      <c r="C367" s="93"/>
      <c r="D367" s="93" t="s">
        <v>439</v>
      </c>
      <c r="E367" s="126">
        <v>100.0</v>
      </c>
      <c r="F367" s="144"/>
      <c r="G367" s="144"/>
      <c r="H367" s="144">
        <f t="shared" si="5"/>
        <v>10000</v>
      </c>
      <c r="I367" s="144"/>
      <c r="J367" s="23"/>
      <c r="K367" s="23"/>
    </row>
    <row r="368" hidden="1">
      <c r="A368" s="76" t="s">
        <v>338</v>
      </c>
      <c r="B368" s="92" t="s">
        <v>440</v>
      </c>
      <c r="C368" s="93"/>
      <c r="D368" s="93" t="s">
        <v>442</v>
      </c>
      <c r="E368" s="126">
        <v>100.0</v>
      </c>
      <c r="F368" s="144"/>
      <c r="G368" s="144"/>
      <c r="H368" s="144">
        <f t="shared" si="5"/>
        <v>10000</v>
      </c>
      <c r="I368" s="144"/>
      <c r="J368" s="23"/>
      <c r="K368" s="23"/>
    </row>
    <row r="369" hidden="1">
      <c r="A369" s="76" t="s">
        <v>338</v>
      </c>
      <c r="B369" s="95" t="s">
        <v>443</v>
      </c>
      <c r="C369" s="94"/>
      <c r="D369" s="94" t="s">
        <v>445</v>
      </c>
      <c r="E369" s="126">
        <v>0.0</v>
      </c>
      <c r="F369" s="144"/>
      <c r="G369" s="144"/>
      <c r="H369" s="144">
        <f t="shared" si="5"/>
        <v>0</v>
      </c>
      <c r="I369" s="144"/>
      <c r="J369" s="14"/>
      <c r="K369" s="14"/>
    </row>
    <row r="370" hidden="1">
      <c r="A370" s="76" t="s">
        <v>338</v>
      </c>
      <c r="B370" s="95" t="s">
        <v>200</v>
      </c>
      <c r="C370" s="94"/>
      <c r="D370" s="94" t="s">
        <v>490</v>
      </c>
      <c r="E370" s="126">
        <v>0.0</v>
      </c>
      <c r="F370" s="144"/>
      <c r="G370" s="144"/>
      <c r="H370" s="144">
        <f t="shared" si="5"/>
        <v>0</v>
      </c>
      <c r="I370" s="144"/>
      <c r="J370" s="14"/>
      <c r="K370" s="14"/>
    </row>
    <row r="371" hidden="1">
      <c r="A371" s="76" t="s">
        <v>338</v>
      </c>
      <c r="B371" s="95" t="s">
        <v>303</v>
      </c>
      <c r="C371" s="94"/>
      <c r="D371" s="94" t="s">
        <v>305</v>
      </c>
      <c r="E371" s="126">
        <v>0.0</v>
      </c>
      <c r="F371" s="144"/>
      <c r="G371" s="144"/>
      <c r="H371" s="144">
        <f t="shared" si="5"/>
        <v>0</v>
      </c>
      <c r="I371" s="144"/>
      <c r="J371" s="14"/>
      <c r="K371" s="14"/>
    </row>
    <row r="372" hidden="1">
      <c r="A372" s="76" t="s">
        <v>338</v>
      </c>
      <c r="B372" s="95" t="s">
        <v>446</v>
      </c>
      <c r="C372" s="94"/>
      <c r="D372" s="94" t="s">
        <v>448</v>
      </c>
      <c r="E372" s="126">
        <v>0.0</v>
      </c>
      <c r="F372" s="144"/>
      <c r="G372" s="144"/>
      <c r="H372" s="144">
        <f t="shared" si="5"/>
        <v>0</v>
      </c>
      <c r="I372" s="144"/>
      <c r="J372" s="14"/>
      <c r="K372" s="14"/>
    </row>
    <row r="373" hidden="1">
      <c r="A373" s="76" t="s">
        <v>338</v>
      </c>
      <c r="B373" s="95" t="s">
        <v>449</v>
      </c>
      <c r="C373" s="94"/>
      <c r="D373" s="94" t="s">
        <v>451</v>
      </c>
      <c r="E373" s="126">
        <v>0.0</v>
      </c>
      <c r="F373" s="144"/>
      <c r="G373" s="144"/>
      <c r="H373" s="144">
        <f t="shared" si="5"/>
        <v>0</v>
      </c>
      <c r="I373" s="144"/>
      <c r="J373" s="14"/>
      <c r="K373" s="14"/>
    </row>
    <row r="374" hidden="1">
      <c r="A374" s="76" t="s">
        <v>338</v>
      </c>
      <c r="B374" s="95" t="s">
        <v>197</v>
      </c>
      <c r="C374" s="94"/>
      <c r="D374" s="94" t="s">
        <v>199</v>
      </c>
      <c r="E374" s="126">
        <v>0.0</v>
      </c>
      <c r="F374" s="144"/>
      <c r="G374" s="144"/>
      <c r="H374" s="144">
        <f t="shared" si="5"/>
        <v>0</v>
      </c>
      <c r="I374" s="144"/>
      <c r="J374" s="14"/>
      <c r="K374" s="14"/>
    </row>
    <row r="375" hidden="1">
      <c r="A375" s="76" t="s">
        <v>338</v>
      </c>
      <c r="B375" s="94" t="s">
        <v>191</v>
      </c>
      <c r="C375" s="94"/>
      <c r="D375" s="94" t="s">
        <v>193</v>
      </c>
      <c r="E375" s="126">
        <v>0.0</v>
      </c>
      <c r="F375" s="144"/>
      <c r="G375" s="144"/>
      <c r="H375" s="144">
        <f t="shared" si="5"/>
        <v>0</v>
      </c>
      <c r="I375" s="144"/>
      <c r="J375" s="14"/>
      <c r="K375" s="14"/>
    </row>
    <row r="376" hidden="1">
      <c r="A376" s="76" t="s">
        <v>338</v>
      </c>
      <c r="B376" s="94" t="s">
        <v>491</v>
      </c>
      <c r="C376" s="94"/>
      <c r="D376" s="94" t="s">
        <v>492</v>
      </c>
      <c r="E376" s="126">
        <v>0.0</v>
      </c>
      <c r="F376" s="144"/>
      <c r="G376" s="144"/>
      <c r="H376" s="144">
        <f t="shared" si="5"/>
        <v>0</v>
      </c>
      <c r="I376" s="144"/>
      <c r="J376" s="14"/>
      <c r="K376" s="14"/>
    </row>
    <row r="377" hidden="1">
      <c r="A377" s="88" t="s">
        <v>338</v>
      </c>
      <c r="B377" s="92" t="s">
        <v>422</v>
      </c>
      <c r="C377" s="93"/>
      <c r="D377" s="93" t="s">
        <v>424</v>
      </c>
      <c r="E377" s="143">
        <v>123.0</v>
      </c>
      <c r="F377" s="144"/>
      <c r="G377" s="144"/>
      <c r="H377" s="144">
        <f t="shared" si="5"/>
        <v>12300</v>
      </c>
      <c r="I377" s="144"/>
      <c r="J377" s="23"/>
      <c r="K377" s="23"/>
    </row>
    <row r="378" hidden="1">
      <c r="A378" s="88" t="s">
        <v>338</v>
      </c>
      <c r="B378" s="92" t="s">
        <v>493</v>
      </c>
      <c r="C378" s="93"/>
      <c r="D378" s="93" t="s">
        <v>494</v>
      </c>
      <c r="E378" s="143">
        <v>110.0</v>
      </c>
      <c r="F378" s="144"/>
      <c r="G378" s="144"/>
      <c r="H378" s="144">
        <f t="shared" si="5"/>
        <v>11000</v>
      </c>
      <c r="I378" s="144"/>
      <c r="J378" s="23"/>
      <c r="K378" s="23"/>
    </row>
    <row r="379" hidden="1">
      <c r="A379" s="88" t="s">
        <v>338</v>
      </c>
      <c r="B379" s="92" t="s">
        <v>425</v>
      </c>
      <c r="C379" s="96"/>
      <c r="D379" s="96" t="s">
        <v>427</v>
      </c>
      <c r="E379" s="143">
        <v>100.0</v>
      </c>
      <c r="F379" s="144"/>
      <c r="G379" s="144"/>
      <c r="H379" s="144">
        <f t="shared" si="5"/>
        <v>10000</v>
      </c>
      <c r="I379" s="144"/>
      <c r="J379" s="23"/>
      <c r="K379" s="23"/>
    </row>
    <row r="380" hidden="1">
      <c r="A380" s="88" t="s">
        <v>338</v>
      </c>
      <c r="B380" s="92" t="s">
        <v>428</v>
      </c>
      <c r="C380" s="93"/>
      <c r="D380" s="93" t="s">
        <v>430</v>
      </c>
      <c r="E380" s="143">
        <v>111.0</v>
      </c>
      <c r="F380" s="144"/>
      <c r="G380" s="144"/>
      <c r="H380" s="144">
        <f t="shared" si="5"/>
        <v>11100</v>
      </c>
      <c r="I380" s="144"/>
      <c r="J380" s="23"/>
      <c r="K380" s="23"/>
    </row>
    <row r="381" hidden="1">
      <c r="A381" s="88" t="s">
        <v>338</v>
      </c>
      <c r="B381" s="92" t="s">
        <v>431</v>
      </c>
      <c r="C381" s="93"/>
      <c r="D381" s="93" t="s">
        <v>433</v>
      </c>
      <c r="E381" s="143">
        <v>135.0</v>
      </c>
      <c r="F381" s="144"/>
      <c r="G381" s="144"/>
      <c r="H381" s="144">
        <f t="shared" si="5"/>
        <v>13500</v>
      </c>
      <c r="I381" s="144"/>
      <c r="J381" s="23"/>
      <c r="K381" s="23"/>
    </row>
    <row r="382" hidden="1">
      <c r="A382" s="88" t="s">
        <v>338</v>
      </c>
      <c r="B382" s="92" t="s">
        <v>434</v>
      </c>
      <c r="C382" s="93"/>
      <c r="D382" s="93" t="s">
        <v>436</v>
      </c>
      <c r="E382" s="143">
        <v>100.0</v>
      </c>
      <c r="F382" s="144"/>
      <c r="G382" s="144"/>
      <c r="H382" s="144">
        <f t="shared" si="5"/>
        <v>10000</v>
      </c>
      <c r="I382" s="144"/>
      <c r="J382" s="23"/>
      <c r="K382" s="23"/>
    </row>
    <row r="383" hidden="1">
      <c r="A383" s="88" t="s">
        <v>338</v>
      </c>
      <c r="B383" s="92" t="s">
        <v>437</v>
      </c>
      <c r="C383" s="93"/>
      <c r="D383" s="93" t="s">
        <v>439</v>
      </c>
      <c r="E383" s="143">
        <v>100.0</v>
      </c>
      <c r="F383" s="144"/>
      <c r="G383" s="144"/>
      <c r="H383" s="144">
        <f t="shared" si="5"/>
        <v>10000</v>
      </c>
      <c r="I383" s="144"/>
      <c r="J383" s="23"/>
      <c r="K383" s="23"/>
    </row>
    <row r="384" hidden="1">
      <c r="A384" s="88" t="s">
        <v>338</v>
      </c>
      <c r="B384" s="92" t="s">
        <v>440</v>
      </c>
      <c r="C384" s="93"/>
      <c r="D384" s="93" t="s">
        <v>442</v>
      </c>
      <c r="E384" s="143">
        <v>100.0</v>
      </c>
      <c r="F384" s="144"/>
      <c r="G384" s="144"/>
      <c r="H384" s="144">
        <f t="shared" si="5"/>
        <v>10000</v>
      </c>
      <c r="I384" s="144"/>
      <c r="J384" s="23"/>
      <c r="K384" s="23"/>
    </row>
    <row r="385" hidden="1">
      <c r="A385" s="88" t="s">
        <v>338</v>
      </c>
      <c r="B385" s="95" t="s">
        <v>443</v>
      </c>
      <c r="C385" s="95"/>
      <c r="D385" s="95" t="s">
        <v>445</v>
      </c>
      <c r="E385" s="143">
        <v>0.0</v>
      </c>
      <c r="F385" s="144"/>
      <c r="G385" s="144"/>
      <c r="H385" s="144">
        <f t="shared" si="5"/>
        <v>0</v>
      </c>
      <c r="I385" s="144"/>
      <c r="J385" s="14"/>
      <c r="K385" s="14"/>
    </row>
    <row r="386" hidden="1">
      <c r="A386" s="88" t="s">
        <v>338</v>
      </c>
      <c r="B386" s="95" t="s">
        <v>200</v>
      </c>
      <c r="C386" s="95"/>
      <c r="D386" s="95" t="s">
        <v>490</v>
      </c>
      <c r="E386" s="143">
        <v>0.0</v>
      </c>
      <c r="F386" s="144"/>
      <c r="G386" s="144"/>
      <c r="H386" s="144">
        <f t="shared" si="5"/>
        <v>0</v>
      </c>
      <c r="I386" s="144"/>
      <c r="J386" s="14"/>
      <c r="K386" s="14"/>
    </row>
    <row r="387" hidden="1">
      <c r="A387" s="88" t="s">
        <v>338</v>
      </c>
      <c r="B387" s="95" t="s">
        <v>303</v>
      </c>
      <c r="C387" s="95"/>
      <c r="D387" s="95" t="s">
        <v>305</v>
      </c>
      <c r="E387" s="143">
        <v>0.0</v>
      </c>
      <c r="F387" s="144"/>
      <c r="G387" s="144"/>
      <c r="H387" s="144">
        <f t="shared" si="5"/>
        <v>0</v>
      </c>
      <c r="I387" s="144"/>
      <c r="J387" s="14"/>
      <c r="K387" s="14"/>
    </row>
    <row r="388" hidden="1">
      <c r="A388" s="88" t="s">
        <v>338</v>
      </c>
      <c r="B388" s="95" t="s">
        <v>446</v>
      </c>
      <c r="C388" s="95"/>
      <c r="D388" s="95" t="s">
        <v>448</v>
      </c>
      <c r="E388" s="143">
        <v>0.0</v>
      </c>
      <c r="F388" s="144"/>
      <c r="G388" s="144"/>
      <c r="H388" s="144">
        <f t="shared" si="5"/>
        <v>0</v>
      </c>
      <c r="I388" s="144"/>
      <c r="J388" s="14"/>
      <c r="K388" s="14"/>
    </row>
    <row r="389" hidden="1">
      <c r="A389" s="88" t="s">
        <v>338</v>
      </c>
      <c r="B389" s="95" t="s">
        <v>449</v>
      </c>
      <c r="C389" s="95"/>
      <c r="D389" s="95" t="s">
        <v>451</v>
      </c>
      <c r="E389" s="143">
        <v>0.0</v>
      </c>
      <c r="F389" s="144"/>
      <c r="G389" s="144"/>
      <c r="H389" s="144">
        <f t="shared" si="5"/>
        <v>0</v>
      </c>
      <c r="I389" s="144"/>
      <c r="J389" s="14"/>
      <c r="K389" s="14"/>
    </row>
    <row r="390" hidden="1">
      <c r="A390" s="88" t="s">
        <v>338</v>
      </c>
      <c r="B390" s="95" t="s">
        <v>197</v>
      </c>
      <c r="C390" s="95"/>
      <c r="D390" s="95" t="s">
        <v>199</v>
      </c>
      <c r="E390" s="143">
        <v>0.0</v>
      </c>
      <c r="F390" s="144"/>
      <c r="G390" s="144"/>
      <c r="H390" s="144">
        <f t="shared" si="5"/>
        <v>0</v>
      </c>
      <c r="I390" s="144"/>
      <c r="J390" s="14"/>
      <c r="K390" s="14"/>
    </row>
    <row r="391" hidden="1">
      <c r="A391" s="88" t="s">
        <v>338</v>
      </c>
      <c r="B391" s="95" t="s">
        <v>191</v>
      </c>
      <c r="C391" s="95"/>
      <c r="D391" s="95" t="s">
        <v>193</v>
      </c>
      <c r="E391" s="143">
        <v>0.0</v>
      </c>
      <c r="F391" s="144"/>
      <c r="G391" s="144"/>
      <c r="H391" s="144">
        <f t="shared" si="5"/>
        <v>0</v>
      </c>
      <c r="I391" s="144"/>
      <c r="J391" s="14"/>
      <c r="K391" s="14"/>
    </row>
    <row r="392" hidden="1">
      <c r="A392" s="88" t="s">
        <v>338</v>
      </c>
      <c r="B392" s="95" t="s">
        <v>491</v>
      </c>
      <c r="C392" s="95"/>
      <c r="D392" s="95" t="s">
        <v>492</v>
      </c>
      <c r="E392" s="143">
        <v>0.0</v>
      </c>
      <c r="F392" s="144"/>
      <c r="G392" s="144"/>
      <c r="H392" s="144">
        <f t="shared" si="5"/>
        <v>0</v>
      </c>
      <c r="I392" s="144"/>
      <c r="J392" s="14"/>
      <c r="K392" s="14"/>
    </row>
    <row r="393" hidden="1">
      <c r="A393" s="88" t="s">
        <v>340</v>
      </c>
      <c r="B393" s="92" t="s">
        <v>422</v>
      </c>
      <c r="C393" s="93"/>
      <c r="D393" s="93" t="s">
        <v>424</v>
      </c>
      <c r="E393" s="143">
        <v>76.0</v>
      </c>
      <c r="F393" s="144"/>
      <c r="G393" s="144"/>
      <c r="H393" s="144">
        <f t="shared" si="5"/>
        <v>7600</v>
      </c>
      <c r="I393" s="144"/>
      <c r="J393" s="23"/>
      <c r="K393" s="23"/>
    </row>
    <row r="394" hidden="1">
      <c r="A394" s="88" t="s">
        <v>340</v>
      </c>
      <c r="B394" s="92" t="s">
        <v>493</v>
      </c>
      <c r="C394" s="93"/>
      <c r="D394" s="93" t="s">
        <v>494</v>
      </c>
      <c r="E394" s="143">
        <v>75.0</v>
      </c>
      <c r="F394" s="144"/>
      <c r="G394" s="144"/>
      <c r="H394" s="144">
        <f t="shared" si="5"/>
        <v>7500</v>
      </c>
      <c r="I394" s="144"/>
      <c r="J394" s="23"/>
      <c r="K394" s="23"/>
    </row>
    <row r="395" hidden="1">
      <c r="A395" s="88" t="s">
        <v>340</v>
      </c>
      <c r="B395" s="92" t="s">
        <v>425</v>
      </c>
      <c r="C395" s="93"/>
      <c r="D395" s="93" t="s">
        <v>495</v>
      </c>
      <c r="E395" s="143">
        <v>75.0</v>
      </c>
      <c r="F395" s="144"/>
      <c r="G395" s="144"/>
      <c r="H395" s="144">
        <f t="shared" si="5"/>
        <v>7500</v>
      </c>
      <c r="I395" s="144"/>
      <c r="J395" s="23"/>
      <c r="K395" s="23"/>
    </row>
    <row r="396" hidden="1">
      <c r="A396" s="88" t="s">
        <v>340</v>
      </c>
      <c r="B396" s="92" t="s">
        <v>428</v>
      </c>
      <c r="C396" s="93"/>
      <c r="D396" s="93" t="s">
        <v>430</v>
      </c>
      <c r="E396" s="143">
        <v>79.0</v>
      </c>
      <c r="F396" s="144"/>
      <c r="G396" s="144"/>
      <c r="H396" s="144">
        <f t="shared" si="5"/>
        <v>7900</v>
      </c>
      <c r="I396" s="144"/>
      <c r="J396" s="23"/>
      <c r="K396" s="23"/>
    </row>
    <row r="397" hidden="1">
      <c r="A397" s="88" t="s">
        <v>340</v>
      </c>
      <c r="B397" s="92" t="s">
        <v>431</v>
      </c>
      <c r="C397" s="93"/>
      <c r="D397" s="93" t="s">
        <v>433</v>
      </c>
      <c r="E397" s="143">
        <v>75.0</v>
      </c>
      <c r="F397" s="144"/>
      <c r="G397" s="144"/>
      <c r="H397" s="144">
        <f t="shared" si="5"/>
        <v>7500</v>
      </c>
      <c r="I397" s="144"/>
      <c r="J397" s="23"/>
      <c r="K397" s="23"/>
    </row>
    <row r="398" hidden="1">
      <c r="A398" s="88" t="s">
        <v>340</v>
      </c>
      <c r="B398" s="92" t="s">
        <v>434</v>
      </c>
      <c r="C398" s="93"/>
      <c r="D398" s="93" t="s">
        <v>436</v>
      </c>
      <c r="E398" s="143">
        <v>75.0</v>
      </c>
      <c r="F398" s="144"/>
      <c r="G398" s="144"/>
      <c r="H398" s="144">
        <f t="shared" si="5"/>
        <v>7500</v>
      </c>
      <c r="I398" s="144"/>
      <c r="J398" s="23"/>
      <c r="K398" s="23"/>
    </row>
    <row r="399" hidden="1">
      <c r="A399" s="88" t="s">
        <v>340</v>
      </c>
      <c r="B399" s="92" t="s">
        <v>437</v>
      </c>
      <c r="C399" s="93"/>
      <c r="D399" s="93" t="s">
        <v>439</v>
      </c>
      <c r="E399" s="143">
        <v>76.0</v>
      </c>
      <c r="F399" s="144"/>
      <c r="G399" s="144"/>
      <c r="H399" s="144">
        <f t="shared" si="5"/>
        <v>7600</v>
      </c>
      <c r="I399" s="144"/>
      <c r="J399" s="23"/>
      <c r="K399" s="23"/>
    </row>
    <row r="400" hidden="1">
      <c r="A400" s="88" t="s">
        <v>340</v>
      </c>
      <c r="B400" s="92" t="s">
        <v>440</v>
      </c>
      <c r="C400" s="93"/>
      <c r="D400" s="93" t="s">
        <v>442</v>
      </c>
      <c r="E400" s="143">
        <v>76.0</v>
      </c>
      <c r="F400" s="144"/>
      <c r="G400" s="144"/>
      <c r="H400" s="144">
        <f t="shared" si="5"/>
        <v>7600</v>
      </c>
      <c r="I400" s="144"/>
      <c r="J400" s="23"/>
      <c r="K400" s="23"/>
    </row>
    <row r="401" hidden="1">
      <c r="A401" s="88" t="s">
        <v>340</v>
      </c>
      <c r="B401" s="92" t="s">
        <v>262</v>
      </c>
      <c r="C401" s="93"/>
      <c r="D401" s="93" t="s">
        <v>264</v>
      </c>
      <c r="E401" s="143">
        <v>44.0</v>
      </c>
      <c r="F401" s="144"/>
      <c r="G401" s="144"/>
      <c r="H401" s="144">
        <f t="shared" si="5"/>
        <v>0</v>
      </c>
      <c r="I401" s="144"/>
      <c r="J401" s="23"/>
      <c r="K401" s="23"/>
    </row>
    <row r="402" hidden="1">
      <c r="A402" s="88" t="s">
        <v>340</v>
      </c>
      <c r="B402" s="95" t="s">
        <v>258</v>
      </c>
      <c r="C402" s="94"/>
      <c r="D402" s="94" t="s">
        <v>496</v>
      </c>
      <c r="E402" s="143">
        <v>22.0</v>
      </c>
      <c r="F402" s="144"/>
      <c r="G402" s="144"/>
      <c r="H402" s="144">
        <f t="shared" si="5"/>
        <v>0</v>
      </c>
      <c r="I402" s="144"/>
      <c r="J402" s="14"/>
      <c r="K402" s="14"/>
    </row>
    <row r="403" hidden="1">
      <c r="A403" s="88" t="s">
        <v>340</v>
      </c>
      <c r="B403" s="94" t="s">
        <v>182</v>
      </c>
      <c r="C403" s="94"/>
      <c r="D403" s="94" t="s">
        <v>497</v>
      </c>
      <c r="E403" s="143">
        <v>37.0</v>
      </c>
      <c r="F403" s="144"/>
      <c r="G403" s="144"/>
      <c r="H403" s="144">
        <f t="shared" si="5"/>
        <v>0</v>
      </c>
      <c r="I403" s="144"/>
      <c r="J403" s="14"/>
      <c r="K403" s="14"/>
    </row>
    <row r="404" hidden="1">
      <c r="A404" s="88" t="s">
        <v>340</v>
      </c>
      <c r="B404" s="94" t="s">
        <v>185</v>
      </c>
      <c r="C404" s="94"/>
      <c r="D404" s="94" t="s">
        <v>187</v>
      </c>
      <c r="E404" s="143">
        <v>29.0</v>
      </c>
      <c r="F404" s="144"/>
      <c r="G404" s="144"/>
      <c r="H404" s="144">
        <f t="shared" si="5"/>
        <v>0</v>
      </c>
      <c r="I404" s="144"/>
      <c r="J404" s="14"/>
      <c r="K404" s="14"/>
    </row>
    <row r="405" hidden="1">
      <c r="A405" s="88" t="s">
        <v>340</v>
      </c>
      <c r="B405" s="94" t="s">
        <v>188</v>
      </c>
      <c r="C405" s="94"/>
      <c r="D405" s="94" t="s">
        <v>190</v>
      </c>
      <c r="E405" s="143">
        <v>26.0</v>
      </c>
      <c r="F405" s="144"/>
      <c r="G405" s="144"/>
      <c r="H405" s="144">
        <f t="shared" si="5"/>
        <v>0</v>
      </c>
      <c r="I405" s="144"/>
      <c r="J405" s="14"/>
      <c r="K405" s="14"/>
    </row>
    <row r="406" hidden="1">
      <c r="A406" s="88" t="s">
        <v>341</v>
      </c>
      <c r="B406" s="92" t="s">
        <v>422</v>
      </c>
      <c r="C406" s="93"/>
      <c r="D406" s="93" t="s">
        <v>424</v>
      </c>
      <c r="E406" s="143">
        <v>77.0</v>
      </c>
      <c r="F406" s="144"/>
      <c r="G406" s="144"/>
      <c r="H406" s="144">
        <f t="shared" si="5"/>
        <v>7700</v>
      </c>
      <c r="I406" s="144"/>
      <c r="J406" s="23"/>
      <c r="K406" s="23"/>
    </row>
    <row r="407" hidden="1">
      <c r="A407" s="88" t="s">
        <v>341</v>
      </c>
      <c r="B407" s="92" t="s">
        <v>493</v>
      </c>
      <c r="C407" s="93"/>
      <c r="D407" s="93" t="s">
        <v>494</v>
      </c>
      <c r="E407" s="143">
        <v>75.0</v>
      </c>
      <c r="F407" s="144"/>
      <c r="G407" s="144"/>
      <c r="H407" s="144">
        <f t="shared" si="5"/>
        <v>7500</v>
      </c>
      <c r="I407" s="144"/>
      <c r="J407" s="23"/>
      <c r="K407" s="23"/>
    </row>
    <row r="408" hidden="1">
      <c r="A408" s="88" t="s">
        <v>341</v>
      </c>
      <c r="B408" s="92" t="s">
        <v>425</v>
      </c>
      <c r="C408" s="93"/>
      <c r="D408" s="93" t="s">
        <v>495</v>
      </c>
      <c r="E408" s="143">
        <v>75.0</v>
      </c>
      <c r="F408" s="144"/>
      <c r="G408" s="144"/>
      <c r="H408" s="144">
        <f t="shared" si="5"/>
        <v>7500</v>
      </c>
      <c r="I408" s="144"/>
      <c r="J408" s="23"/>
      <c r="K408" s="23"/>
    </row>
    <row r="409" hidden="1">
      <c r="A409" s="88" t="s">
        <v>341</v>
      </c>
      <c r="B409" s="92" t="s">
        <v>428</v>
      </c>
      <c r="C409" s="93"/>
      <c r="D409" s="93" t="s">
        <v>430</v>
      </c>
      <c r="E409" s="143">
        <v>80.0</v>
      </c>
      <c r="F409" s="144"/>
      <c r="G409" s="144"/>
      <c r="H409" s="144">
        <f t="shared" si="5"/>
        <v>8000</v>
      </c>
      <c r="I409" s="144"/>
      <c r="J409" s="23"/>
      <c r="K409" s="23"/>
    </row>
    <row r="410" hidden="1">
      <c r="A410" s="88" t="s">
        <v>341</v>
      </c>
      <c r="B410" s="92" t="s">
        <v>431</v>
      </c>
      <c r="C410" s="93"/>
      <c r="D410" s="93" t="s">
        <v>433</v>
      </c>
      <c r="E410" s="143">
        <v>80.0</v>
      </c>
      <c r="F410" s="144"/>
      <c r="G410" s="144"/>
      <c r="H410" s="144">
        <f t="shared" si="5"/>
        <v>8000</v>
      </c>
      <c r="I410" s="144"/>
      <c r="J410" s="23"/>
      <c r="K410" s="23"/>
    </row>
    <row r="411" hidden="1">
      <c r="A411" s="88" t="s">
        <v>341</v>
      </c>
      <c r="B411" s="92" t="s">
        <v>434</v>
      </c>
      <c r="C411" s="93"/>
      <c r="D411" s="93" t="s">
        <v>436</v>
      </c>
      <c r="E411" s="143">
        <v>75.0</v>
      </c>
      <c r="F411" s="144"/>
      <c r="G411" s="144"/>
      <c r="H411" s="144">
        <f t="shared" si="5"/>
        <v>7500</v>
      </c>
      <c r="I411" s="144"/>
      <c r="J411" s="23"/>
      <c r="K411" s="23"/>
    </row>
    <row r="412" hidden="1">
      <c r="A412" s="88" t="s">
        <v>341</v>
      </c>
      <c r="B412" s="92" t="s">
        <v>437</v>
      </c>
      <c r="C412" s="93"/>
      <c r="D412" s="93" t="s">
        <v>439</v>
      </c>
      <c r="E412" s="143">
        <v>65.0</v>
      </c>
      <c r="F412" s="144"/>
      <c r="G412" s="144"/>
      <c r="H412" s="144">
        <f t="shared" si="5"/>
        <v>4875</v>
      </c>
      <c r="I412" s="144"/>
      <c r="J412" s="23"/>
      <c r="K412" s="23"/>
    </row>
    <row r="413" hidden="1">
      <c r="A413" s="88" t="s">
        <v>341</v>
      </c>
      <c r="B413" s="92" t="s">
        <v>440</v>
      </c>
      <c r="C413" s="93"/>
      <c r="D413" s="93" t="s">
        <v>442</v>
      </c>
      <c r="E413" s="143">
        <v>54.0</v>
      </c>
      <c r="F413" s="144"/>
      <c r="G413" s="144"/>
      <c r="H413" s="144">
        <f t="shared" si="5"/>
        <v>2700</v>
      </c>
      <c r="I413" s="144"/>
      <c r="J413" s="23"/>
      <c r="K413" s="23"/>
    </row>
    <row r="414" hidden="1">
      <c r="A414" s="88" t="s">
        <v>341</v>
      </c>
      <c r="B414" s="92" t="s">
        <v>262</v>
      </c>
      <c r="C414" s="93"/>
      <c r="D414" s="93" t="s">
        <v>264</v>
      </c>
      <c r="E414" s="143">
        <v>60.0</v>
      </c>
      <c r="F414" s="144"/>
      <c r="G414" s="144"/>
      <c r="H414" s="144">
        <f t="shared" si="5"/>
        <v>3000</v>
      </c>
      <c r="I414" s="144"/>
      <c r="J414" s="23"/>
      <c r="K414" s="23"/>
    </row>
    <row r="415" hidden="1">
      <c r="A415" s="88" t="s">
        <v>341</v>
      </c>
      <c r="B415" s="95" t="s">
        <v>258</v>
      </c>
      <c r="C415" s="94"/>
      <c r="D415" s="94" t="s">
        <v>496</v>
      </c>
      <c r="E415" s="143">
        <v>10.0</v>
      </c>
      <c r="F415" s="144"/>
      <c r="G415" s="144"/>
      <c r="H415" s="144">
        <f t="shared" si="5"/>
        <v>0</v>
      </c>
      <c r="I415" s="144"/>
      <c r="J415" s="14"/>
      <c r="K415" s="14"/>
    </row>
    <row r="416" hidden="1">
      <c r="A416" s="88" t="s">
        <v>341</v>
      </c>
      <c r="B416" s="94" t="s">
        <v>182</v>
      </c>
      <c r="C416" s="94"/>
      <c r="D416" s="94" t="s">
        <v>497</v>
      </c>
      <c r="E416" s="143">
        <v>26.0</v>
      </c>
      <c r="F416" s="144"/>
      <c r="G416" s="144"/>
      <c r="H416" s="144">
        <f t="shared" si="5"/>
        <v>0</v>
      </c>
      <c r="I416" s="144"/>
      <c r="J416" s="14"/>
      <c r="K416" s="14"/>
    </row>
    <row r="417" hidden="1">
      <c r="A417" s="88" t="s">
        <v>341</v>
      </c>
      <c r="B417" s="94" t="s">
        <v>185</v>
      </c>
      <c r="C417" s="94"/>
      <c r="D417" s="94" t="s">
        <v>187</v>
      </c>
      <c r="E417" s="143">
        <v>31.0</v>
      </c>
      <c r="F417" s="144"/>
      <c r="G417" s="144"/>
      <c r="H417" s="144">
        <f t="shared" si="5"/>
        <v>0</v>
      </c>
      <c r="I417" s="144"/>
      <c r="J417" s="14"/>
      <c r="K417" s="14"/>
    </row>
    <row r="418" hidden="1">
      <c r="A418" s="88" t="s">
        <v>341</v>
      </c>
      <c r="B418" s="94" t="s">
        <v>188</v>
      </c>
      <c r="C418" s="94"/>
      <c r="D418" s="94" t="s">
        <v>190</v>
      </c>
      <c r="E418" s="143">
        <v>21.0</v>
      </c>
      <c r="F418" s="144"/>
      <c r="G418" s="144"/>
      <c r="H418" s="144">
        <f t="shared" si="5"/>
        <v>0</v>
      </c>
      <c r="I418" s="144"/>
      <c r="J418" s="14"/>
      <c r="K418" s="14"/>
    </row>
    <row r="419" hidden="1">
      <c r="A419" s="88" t="s">
        <v>341</v>
      </c>
      <c r="B419" s="94" t="s">
        <v>491</v>
      </c>
      <c r="C419" s="94"/>
      <c r="D419" s="94" t="s">
        <v>498</v>
      </c>
      <c r="E419" s="126"/>
      <c r="F419" s="144"/>
      <c r="G419" s="144"/>
      <c r="H419" s="144">
        <f t="shared" si="5"/>
        <v>0</v>
      </c>
      <c r="I419" s="144"/>
      <c r="J419" s="14"/>
      <c r="K419" s="14"/>
    </row>
    <row r="420" hidden="1">
      <c r="A420" s="88" t="s">
        <v>342</v>
      </c>
      <c r="B420" s="92" t="s">
        <v>422</v>
      </c>
      <c r="C420" s="93"/>
      <c r="D420" s="93" t="s">
        <v>424</v>
      </c>
      <c r="E420" s="143">
        <v>78.0</v>
      </c>
      <c r="F420" s="144"/>
      <c r="G420" s="144"/>
      <c r="H420" s="144">
        <f t="shared" si="5"/>
        <v>7800</v>
      </c>
      <c r="I420" s="144"/>
      <c r="J420" s="23"/>
      <c r="K420" s="23"/>
    </row>
    <row r="421" hidden="1">
      <c r="A421" s="88" t="s">
        <v>342</v>
      </c>
      <c r="B421" s="92" t="s">
        <v>493</v>
      </c>
      <c r="C421" s="93"/>
      <c r="D421" s="93" t="s">
        <v>494</v>
      </c>
      <c r="E421" s="143">
        <v>75.0</v>
      </c>
      <c r="F421" s="144"/>
      <c r="G421" s="144"/>
      <c r="H421" s="144">
        <f t="shared" si="5"/>
        <v>7500</v>
      </c>
      <c r="I421" s="144"/>
      <c r="J421" s="23"/>
      <c r="K421" s="23"/>
    </row>
    <row r="422" hidden="1">
      <c r="A422" s="88" t="s">
        <v>342</v>
      </c>
      <c r="B422" s="92" t="s">
        <v>425</v>
      </c>
      <c r="C422" s="93"/>
      <c r="D422" s="93" t="s">
        <v>495</v>
      </c>
      <c r="E422" s="143">
        <v>75.0</v>
      </c>
      <c r="F422" s="144"/>
      <c r="G422" s="144"/>
      <c r="H422" s="144">
        <f t="shared" si="5"/>
        <v>7500</v>
      </c>
      <c r="I422" s="144"/>
      <c r="J422" s="23"/>
      <c r="K422" s="23"/>
    </row>
    <row r="423" hidden="1">
      <c r="A423" s="88" t="s">
        <v>342</v>
      </c>
      <c r="B423" s="92" t="s">
        <v>428</v>
      </c>
      <c r="C423" s="93"/>
      <c r="D423" s="93" t="s">
        <v>430</v>
      </c>
      <c r="E423" s="143">
        <v>76.0</v>
      </c>
      <c r="F423" s="144"/>
      <c r="G423" s="144"/>
      <c r="H423" s="144">
        <f t="shared" si="5"/>
        <v>7600</v>
      </c>
      <c r="I423" s="144"/>
      <c r="J423" s="23"/>
      <c r="K423" s="23"/>
    </row>
    <row r="424" hidden="1">
      <c r="A424" s="88" t="s">
        <v>342</v>
      </c>
      <c r="B424" s="92" t="s">
        <v>431</v>
      </c>
      <c r="C424" s="93"/>
      <c r="D424" s="93" t="s">
        <v>433</v>
      </c>
      <c r="E424" s="143">
        <v>66.0</v>
      </c>
      <c r="F424" s="144"/>
      <c r="G424" s="144"/>
      <c r="H424" s="144">
        <f t="shared" si="5"/>
        <v>4950</v>
      </c>
      <c r="I424" s="144"/>
      <c r="J424" s="23"/>
      <c r="K424" s="23"/>
    </row>
    <row r="425" hidden="1">
      <c r="A425" s="88" t="s">
        <v>342</v>
      </c>
      <c r="B425" s="92" t="s">
        <v>434</v>
      </c>
      <c r="C425" s="93"/>
      <c r="D425" s="93" t="s">
        <v>436</v>
      </c>
      <c r="E425" s="143">
        <v>75.0</v>
      </c>
      <c r="F425" s="144"/>
      <c r="G425" s="144"/>
      <c r="H425" s="144">
        <f t="shared" si="5"/>
        <v>7500</v>
      </c>
      <c r="I425" s="144"/>
      <c r="J425" s="23"/>
      <c r="K425" s="23"/>
    </row>
    <row r="426" hidden="1">
      <c r="A426" s="88" t="s">
        <v>342</v>
      </c>
      <c r="B426" s="92" t="s">
        <v>437</v>
      </c>
      <c r="C426" s="93"/>
      <c r="D426" s="93" t="s">
        <v>439</v>
      </c>
      <c r="E426" s="143">
        <v>65.0</v>
      </c>
      <c r="F426" s="144"/>
      <c r="G426" s="144"/>
      <c r="H426" s="144">
        <f t="shared" si="5"/>
        <v>4875</v>
      </c>
      <c r="I426" s="144"/>
      <c r="J426" s="23"/>
      <c r="K426" s="23"/>
    </row>
    <row r="427" hidden="1">
      <c r="A427" s="88" t="s">
        <v>342</v>
      </c>
      <c r="B427" s="92" t="s">
        <v>440</v>
      </c>
      <c r="C427" s="93"/>
      <c r="D427" s="93" t="s">
        <v>442</v>
      </c>
      <c r="E427" s="143">
        <v>58.0</v>
      </c>
      <c r="F427" s="144"/>
      <c r="G427" s="144"/>
      <c r="H427" s="144">
        <f t="shared" si="5"/>
        <v>2900</v>
      </c>
      <c r="I427" s="144"/>
      <c r="J427" s="23"/>
      <c r="K427" s="23"/>
    </row>
    <row r="428" hidden="1">
      <c r="A428" s="88" t="s">
        <v>342</v>
      </c>
      <c r="B428" s="92" t="s">
        <v>262</v>
      </c>
      <c r="C428" s="93"/>
      <c r="D428" s="93" t="s">
        <v>264</v>
      </c>
      <c r="E428" s="143">
        <v>51.0</v>
      </c>
      <c r="F428" s="144"/>
      <c r="G428" s="144"/>
      <c r="H428" s="144">
        <f t="shared" si="5"/>
        <v>2550</v>
      </c>
      <c r="I428" s="144"/>
      <c r="J428" s="23"/>
      <c r="K428" s="23"/>
    </row>
    <row r="429" hidden="1">
      <c r="A429" s="88" t="s">
        <v>342</v>
      </c>
      <c r="B429" s="95" t="s">
        <v>258</v>
      </c>
      <c r="C429" s="95"/>
      <c r="D429" s="95" t="s">
        <v>496</v>
      </c>
      <c r="E429" s="143">
        <v>0.0</v>
      </c>
      <c r="F429" s="144"/>
      <c r="G429" s="144"/>
      <c r="H429" s="144">
        <f t="shared" si="5"/>
        <v>0</v>
      </c>
      <c r="I429" s="144"/>
      <c r="J429" s="14"/>
      <c r="K429" s="14"/>
    </row>
    <row r="430" hidden="1">
      <c r="A430" s="88" t="s">
        <v>342</v>
      </c>
      <c r="B430" s="94" t="s">
        <v>182</v>
      </c>
      <c r="C430" s="95"/>
      <c r="D430" s="95" t="s">
        <v>497</v>
      </c>
      <c r="E430" s="143">
        <v>0.0</v>
      </c>
      <c r="F430" s="144"/>
      <c r="G430" s="144"/>
      <c r="H430" s="144">
        <f t="shared" si="5"/>
        <v>0</v>
      </c>
      <c r="I430" s="144"/>
      <c r="J430" s="14"/>
      <c r="K430" s="14"/>
    </row>
    <row r="431" hidden="1">
      <c r="A431" s="88" t="s">
        <v>342</v>
      </c>
      <c r="B431" s="94" t="s">
        <v>185</v>
      </c>
      <c r="C431" s="95"/>
      <c r="D431" s="95" t="s">
        <v>187</v>
      </c>
      <c r="E431" s="143">
        <v>0.0</v>
      </c>
      <c r="F431" s="144"/>
      <c r="G431" s="144"/>
      <c r="H431" s="144">
        <f t="shared" si="5"/>
        <v>0</v>
      </c>
      <c r="I431" s="144"/>
      <c r="J431" s="14"/>
      <c r="K431" s="14"/>
    </row>
    <row r="432" hidden="1">
      <c r="A432" s="88" t="s">
        <v>342</v>
      </c>
      <c r="B432" s="94" t="s">
        <v>188</v>
      </c>
      <c r="C432" s="95"/>
      <c r="D432" s="95" t="s">
        <v>190</v>
      </c>
      <c r="E432" s="143">
        <v>0.0</v>
      </c>
      <c r="F432" s="144"/>
      <c r="G432" s="144"/>
      <c r="H432" s="144">
        <f t="shared" si="5"/>
        <v>0</v>
      </c>
      <c r="I432" s="144"/>
      <c r="J432" s="14"/>
      <c r="K432" s="14"/>
    </row>
    <row r="433" hidden="1">
      <c r="A433" s="88" t="s">
        <v>342</v>
      </c>
      <c r="B433" s="94" t="s">
        <v>113</v>
      </c>
      <c r="C433" s="78"/>
      <c r="D433" s="78"/>
      <c r="E433" s="126"/>
      <c r="F433" s="144"/>
      <c r="G433" s="144"/>
      <c r="H433" s="144">
        <f t="shared" si="5"/>
        <v>0</v>
      </c>
      <c r="I433" s="144"/>
      <c r="J433" s="14"/>
      <c r="K433" s="14"/>
    </row>
    <row r="434" hidden="1">
      <c r="A434" s="88" t="s">
        <v>342</v>
      </c>
      <c r="B434" s="94" t="s">
        <v>499</v>
      </c>
      <c r="C434" s="78"/>
      <c r="D434" s="78"/>
      <c r="E434" s="126"/>
      <c r="F434" s="144"/>
      <c r="G434" s="144"/>
      <c r="H434" s="144">
        <f t="shared" si="5"/>
        <v>0</v>
      </c>
      <c r="I434" s="144"/>
      <c r="J434" s="14"/>
      <c r="K434" s="14"/>
    </row>
    <row r="435" hidden="1">
      <c r="A435" s="88" t="s">
        <v>342</v>
      </c>
      <c r="B435" s="94" t="s">
        <v>107</v>
      </c>
      <c r="C435" s="78"/>
      <c r="D435" s="78"/>
      <c r="E435" s="126"/>
      <c r="F435" s="144"/>
      <c r="G435" s="144"/>
      <c r="H435" s="144">
        <f t="shared" si="5"/>
        <v>0</v>
      </c>
      <c r="I435" s="144"/>
      <c r="J435" s="14"/>
      <c r="K435" s="14"/>
    </row>
    <row r="436" hidden="1">
      <c r="A436" s="88" t="s">
        <v>342</v>
      </c>
      <c r="B436" s="95" t="s">
        <v>95</v>
      </c>
      <c r="C436" s="78"/>
      <c r="D436" s="78"/>
      <c r="E436" s="126"/>
      <c r="F436" s="144"/>
      <c r="G436" s="144"/>
      <c r="H436" s="144">
        <f t="shared" si="5"/>
        <v>0</v>
      </c>
      <c r="I436" s="144"/>
      <c r="J436" s="14"/>
      <c r="K436" s="14"/>
    </row>
    <row r="437" hidden="1">
      <c r="A437" s="88" t="s">
        <v>342</v>
      </c>
      <c r="B437" s="94" t="s">
        <v>104</v>
      </c>
      <c r="C437" s="78"/>
      <c r="D437" s="78"/>
      <c r="E437" s="126"/>
      <c r="F437" s="144"/>
      <c r="G437" s="144"/>
      <c r="H437" s="144">
        <f t="shared" si="5"/>
        <v>0</v>
      </c>
      <c r="I437" s="144"/>
      <c r="J437" s="14"/>
      <c r="K437" s="14"/>
    </row>
    <row r="438" hidden="1">
      <c r="A438" s="88" t="s">
        <v>342</v>
      </c>
      <c r="B438" s="95" t="s">
        <v>116</v>
      </c>
      <c r="C438" s="78"/>
      <c r="D438" s="78"/>
      <c r="E438" s="126"/>
      <c r="F438" s="144"/>
      <c r="G438" s="144"/>
      <c r="H438" s="144">
        <f t="shared" si="5"/>
        <v>0</v>
      </c>
      <c r="I438" s="144"/>
      <c r="J438" s="14"/>
      <c r="K438" s="14"/>
    </row>
    <row r="439" hidden="1">
      <c r="A439" s="88" t="s">
        <v>342</v>
      </c>
      <c r="B439" s="95" t="s">
        <v>491</v>
      </c>
      <c r="C439" s="95"/>
      <c r="D439" s="95" t="s">
        <v>498</v>
      </c>
      <c r="E439" s="143">
        <v>1.0</v>
      </c>
      <c r="F439" s="144"/>
      <c r="G439" s="144"/>
      <c r="H439" s="144">
        <f t="shared" si="5"/>
        <v>0</v>
      </c>
      <c r="I439" s="144"/>
      <c r="J439" s="14"/>
      <c r="K439" s="14"/>
    </row>
    <row r="440" hidden="1">
      <c r="A440" s="88" t="s">
        <v>347</v>
      </c>
      <c r="B440" s="92" t="s">
        <v>422</v>
      </c>
      <c r="C440" s="93"/>
      <c r="D440" s="93" t="s">
        <v>424</v>
      </c>
      <c r="E440" s="143">
        <v>65.0</v>
      </c>
      <c r="F440" s="144"/>
      <c r="G440" s="144"/>
      <c r="H440" s="144">
        <f t="shared" si="5"/>
        <v>4875</v>
      </c>
      <c r="I440" s="144"/>
      <c r="J440" s="144"/>
      <c r="K440" s="144"/>
    </row>
    <row r="441" hidden="1">
      <c r="A441" s="88" t="s">
        <v>347</v>
      </c>
      <c r="B441" s="92" t="s">
        <v>493</v>
      </c>
      <c r="C441" s="93"/>
      <c r="D441" s="93" t="s">
        <v>494</v>
      </c>
      <c r="E441" s="143">
        <v>65.0</v>
      </c>
      <c r="F441" s="144"/>
      <c r="G441" s="144"/>
      <c r="H441" s="144">
        <f t="shared" si="5"/>
        <v>4875</v>
      </c>
      <c r="I441" s="144"/>
      <c r="J441" s="144"/>
      <c r="K441" s="144"/>
    </row>
    <row r="442" hidden="1">
      <c r="A442" s="88" t="s">
        <v>347</v>
      </c>
      <c r="B442" s="92" t="s">
        <v>425</v>
      </c>
      <c r="C442" s="93"/>
      <c r="D442" s="93" t="s">
        <v>495</v>
      </c>
      <c r="E442" s="143">
        <v>65.0</v>
      </c>
      <c r="F442" s="144"/>
      <c r="G442" s="144"/>
      <c r="H442" s="144">
        <f t="shared" si="5"/>
        <v>4875</v>
      </c>
      <c r="I442" s="144"/>
      <c r="J442" s="144"/>
      <c r="K442" s="144"/>
    </row>
    <row r="443" hidden="1">
      <c r="A443" s="88" t="s">
        <v>347</v>
      </c>
      <c r="B443" s="92" t="s">
        <v>428</v>
      </c>
      <c r="C443" s="93"/>
      <c r="D443" s="93" t="s">
        <v>430</v>
      </c>
      <c r="E443" s="143">
        <v>50.0</v>
      </c>
      <c r="F443" s="144"/>
      <c r="G443" s="144"/>
      <c r="H443" s="144">
        <f t="shared" si="5"/>
        <v>2500</v>
      </c>
      <c r="I443" s="144"/>
      <c r="J443" s="144"/>
      <c r="K443" s="144"/>
    </row>
    <row r="444" hidden="1">
      <c r="A444" s="88" t="s">
        <v>347</v>
      </c>
      <c r="B444" s="92" t="s">
        <v>431</v>
      </c>
      <c r="C444" s="93"/>
      <c r="D444" s="93" t="s">
        <v>433</v>
      </c>
      <c r="E444" s="143">
        <v>36.0</v>
      </c>
      <c r="F444" s="144"/>
      <c r="G444" s="144"/>
      <c r="H444" s="144">
        <f t="shared" si="5"/>
        <v>0</v>
      </c>
      <c r="I444" s="144"/>
      <c r="J444" s="144"/>
      <c r="K444" s="144"/>
    </row>
    <row r="445" hidden="1">
      <c r="A445" s="88" t="s">
        <v>347</v>
      </c>
      <c r="B445" s="92" t="s">
        <v>434</v>
      </c>
      <c r="C445" s="93"/>
      <c r="D445" s="93" t="s">
        <v>436</v>
      </c>
      <c r="E445" s="143">
        <v>59.0</v>
      </c>
      <c r="F445" s="144"/>
      <c r="G445" s="144"/>
      <c r="H445" s="144">
        <f t="shared" si="5"/>
        <v>2950</v>
      </c>
      <c r="I445" s="144"/>
      <c r="J445" s="144"/>
      <c r="K445" s="144"/>
    </row>
    <row r="446" hidden="1">
      <c r="A446" s="88" t="s">
        <v>347</v>
      </c>
      <c r="B446" s="92" t="s">
        <v>437</v>
      </c>
      <c r="C446" s="93"/>
      <c r="D446" s="93" t="s">
        <v>439</v>
      </c>
      <c r="E446" s="143">
        <v>50.0</v>
      </c>
      <c r="F446" s="144"/>
      <c r="G446" s="144"/>
      <c r="H446" s="144">
        <f t="shared" si="5"/>
        <v>2500</v>
      </c>
      <c r="I446" s="144"/>
      <c r="J446" s="144"/>
      <c r="K446" s="144"/>
    </row>
    <row r="447" hidden="1">
      <c r="A447" s="88" t="s">
        <v>347</v>
      </c>
      <c r="B447" s="92" t="s">
        <v>440</v>
      </c>
      <c r="C447" s="93"/>
      <c r="D447" s="93" t="s">
        <v>442</v>
      </c>
      <c r="E447" s="143">
        <v>44.0</v>
      </c>
      <c r="F447" s="144"/>
      <c r="G447" s="144"/>
      <c r="H447" s="144">
        <f t="shared" si="5"/>
        <v>0</v>
      </c>
      <c r="I447" s="144"/>
      <c r="J447" s="144"/>
      <c r="K447" s="144"/>
    </row>
    <row r="448" hidden="1">
      <c r="A448" s="88" t="s">
        <v>347</v>
      </c>
      <c r="B448" s="92" t="s">
        <v>262</v>
      </c>
      <c r="C448" s="93"/>
      <c r="D448" s="93" t="s">
        <v>264</v>
      </c>
      <c r="E448" s="143">
        <v>39.0</v>
      </c>
      <c r="F448" s="144"/>
      <c r="G448" s="144"/>
      <c r="H448" s="144">
        <f t="shared" si="5"/>
        <v>0</v>
      </c>
      <c r="I448" s="144"/>
      <c r="J448" s="144"/>
      <c r="K448" s="144"/>
    </row>
    <row r="449" hidden="1">
      <c r="A449" s="88" t="s">
        <v>347</v>
      </c>
      <c r="B449" s="94" t="s">
        <v>291</v>
      </c>
      <c r="C449" s="93"/>
      <c r="D449" s="93" t="s">
        <v>293</v>
      </c>
      <c r="E449" s="143">
        <v>0.0</v>
      </c>
      <c r="F449" s="144"/>
      <c r="G449" s="144"/>
      <c r="H449" s="144">
        <f t="shared" si="5"/>
        <v>0</v>
      </c>
      <c r="I449" s="144"/>
      <c r="J449" s="144"/>
      <c r="K449" s="144"/>
    </row>
    <row r="450" hidden="1">
      <c r="A450" s="88" t="s">
        <v>347</v>
      </c>
      <c r="B450" s="99" t="s">
        <v>258</v>
      </c>
      <c r="C450" s="101"/>
      <c r="D450" s="101" t="s">
        <v>500</v>
      </c>
      <c r="E450" s="143">
        <v>0.0</v>
      </c>
      <c r="F450" s="144"/>
      <c r="G450" s="144"/>
      <c r="H450" s="144">
        <f t="shared" si="5"/>
        <v>0</v>
      </c>
      <c r="I450" s="144"/>
    </row>
    <row r="451" hidden="1">
      <c r="A451" s="88" t="s">
        <v>347</v>
      </c>
      <c r="B451" s="101" t="s">
        <v>182</v>
      </c>
      <c r="C451" s="101"/>
      <c r="D451" s="101" t="s">
        <v>501</v>
      </c>
      <c r="E451" s="143">
        <v>0.0</v>
      </c>
      <c r="F451" s="144"/>
      <c r="G451" s="144"/>
      <c r="H451" s="144">
        <f t="shared" si="5"/>
        <v>0</v>
      </c>
      <c r="I451" s="144"/>
    </row>
    <row r="452" hidden="1">
      <c r="A452" s="88" t="s">
        <v>347</v>
      </c>
      <c r="B452" s="101" t="s">
        <v>185</v>
      </c>
      <c r="C452" s="101"/>
      <c r="D452" s="101" t="s">
        <v>502</v>
      </c>
      <c r="E452" s="143">
        <v>0.0</v>
      </c>
      <c r="F452" s="144"/>
      <c r="G452" s="144"/>
      <c r="H452" s="144">
        <f t="shared" si="5"/>
        <v>0</v>
      </c>
      <c r="I452" s="144"/>
    </row>
    <row r="453" hidden="1">
      <c r="A453" s="88" t="s">
        <v>347</v>
      </c>
      <c r="B453" s="101" t="s">
        <v>188</v>
      </c>
      <c r="C453" s="101"/>
      <c r="D453" s="101" t="s">
        <v>503</v>
      </c>
      <c r="E453" s="143">
        <v>0.0</v>
      </c>
      <c r="F453" s="144"/>
      <c r="G453" s="144"/>
      <c r="H453" s="144">
        <f t="shared" si="5"/>
        <v>0</v>
      </c>
      <c r="I453" s="144"/>
    </row>
    <row r="454" hidden="1">
      <c r="A454" s="88" t="s">
        <v>347</v>
      </c>
      <c r="B454" s="101" t="s">
        <v>113</v>
      </c>
      <c r="E454" s="143">
        <v>0.0</v>
      </c>
      <c r="F454" s="144"/>
      <c r="G454" s="144"/>
      <c r="H454" s="144">
        <f t="shared" si="5"/>
        <v>0</v>
      </c>
      <c r="I454" s="144"/>
    </row>
    <row r="455" hidden="1">
      <c r="A455" s="88" t="s">
        <v>347</v>
      </c>
      <c r="B455" s="101" t="s">
        <v>499</v>
      </c>
      <c r="E455" s="143">
        <v>0.0</v>
      </c>
      <c r="F455" s="144"/>
      <c r="G455" s="144"/>
      <c r="H455" s="144">
        <f t="shared" si="5"/>
        <v>0</v>
      </c>
      <c r="I455" s="144"/>
    </row>
    <row r="456" hidden="1">
      <c r="A456" s="88" t="s">
        <v>347</v>
      </c>
      <c r="B456" s="101" t="s">
        <v>107</v>
      </c>
      <c r="E456" s="143">
        <v>0.0</v>
      </c>
      <c r="F456" s="144"/>
      <c r="G456" s="144"/>
      <c r="H456" s="144">
        <f t="shared" si="5"/>
        <v>0</v>
      </c>
      <c r="I456" s="144"/>
    </row>
    <row r="457" hidden="1">
      <c r="A457" s="88" t="s">
        <v>347</v>
      </c>
      <c r="B457" s="99" t="s">
        <v>95</v>
      </c>
      <c r="E457" s="143">
        <v>0.0</v>
      </c>
      <c r="F457" s="144"/>
      <c r="G457" s="144"/>
      <c r="H457" s="144">
        <f t="shared" si="5"/>
        <v>0</v>
      </c>
      <c r="I457" s="144"/>
    </row>
    <row r="458" hidden="1">
      <c r="A458" s="88" t="s">
        <v>347</v>
      </c>
      <c r="B458" s="101" t="s">
        <v>104</v>
      </c>
      <c r="E458" s="143">
        <v>0.0</v>
      </c>
      <c r="F458" s="144"/>
      <c r="G458" s="144"/>
      <c r="H458" s="144">
        <f t="shared" si="5"/>
        <v>0</v>
      </c>
      <c r="I458" s="144"/>
    </row>
    <row r="459" hidden="1">
      <c r="A459" s="88" t="s">
        <v>347</v>
      </c>
      <c r="B459" s="99" t="s">
        <v>116</v>
      </c>
      <c r="E459" s="143">
        <v>0.0</v>
      </c>
      <c r="F459" s="144"/>
      <c r="G459" s="144"/>
      <c r="H459" s="144">
        <f t="shared" si="5"/>
        <v>0</v>
      </c>
      <c r="I459" s="144"/>
    </row>
    <row r="460" hidden="1">
      <c r="A460" s="88" t="s">
        <v>348</v>
      </c>
      <c r="B460" s="92" t="s">
        <v>422</v>
      </c>
      <c r="C460" s="93"/>
      <c r="D460" s="93" t="s">
        <v>424</v>
      </c>
      <c r="E460" s="143">
        <v>65.0</v>
      </c>
      <c r="F460" s="144"/>
      <c r="G460" s="144"/>
      <c r="H460" s="144">
        <f t="shared" si="5"/>
        <v>4875</v>
      </c>
      <c r="I460" s="144"/>
      <c r="J460" s="144">
        <v>8000.0</v>
      </c>
      <c r="K460" s="144">
        <f t="shared" ref="K460:K474" si="7">MINUS(H460,J460)</f>
        <v>-3125</v>
      </c>
    </row>
    <row r="461" hidden="1">
      <c r="A461" s="88" t="s">
        <v>348</v>
      </c>
      <c r="B461" s="92" t="s">
        <v>493</v>
      </c>
      <c r="C461" s="93"/>
      <c r="D461" s="93" t="s">
        <v>494</v>
      </c>
      <c r="E461" s="143">
        <v>55.0</v>
      </c>
      <c r="F461" s="144"/>
      <c r="G461" s="144"/>
      <c r="H461" s="144">
        <f t="shared" si="5"/>
        <v>2750</v>
      </c>
      <c r="I461" s="144"/>
      <c r="J461" s="144">
        <v>7500.0</v>
      </c>
      <c r="K461" s="144">
        <f t="shared" si="7"/>
        <v>-4750</v>
      </c>
    </row>
    <row r="462" hidden="1">
      <c r="A462" s="88" t="s">
        <v>348</v>
      </c>
      <c r="B462" s="92" t="s">
        <v>425</v>
      </c>
      <c r="C462" s="93"/>
      <c r="D462" s="93" t="s">
        <v>495</v>
      </c>
      <c r="E462" s="143">
        <v>54.0</v>
      </c>
      <c r="F462" s="144"/>
      <c r="G462" s="144"/>
      <c r="H462" s="144">
        <f t="shared" si="5"/>
        <v>2700</v>
      </c>
      <c r="I462" s="144"/>
      <c r="J462" s="144">
        <v>7700.0</v>
      </c>
      <c r="K462" s="144">
        <f t="shared" si="7"/>
        <v>-5000</v>
      </c>
    </row>
    <row r="463" hidden="1">
      <c r="A463" s="88" t="s">
        <v>348</v>
      </c>
      <c r="B463" s="92" t="s">
        <v>428</v>
      </c>
      <c r="C463" s="93"/>
      <c r="D463" s="93" t="s">
        <v>430</v>
      </c>
      <c r="E463" s="143">
        <v>53.0</v>
      </c>
      <c r="F463" s="144"/>
      <c r="G463" s="144"/>
      <c r="H463" s="144">
        <f t="shared" si="5"/>
        <v>2650</v>
      </c>
      <c r="I463" s="144"/>
      <c r="J463" s="144">
        <v>7500.0</v>
      </c>
      <c r="K463" s="144">
        <f t="shared" si="7"/>
        <v>-4850</v>
      </c>
    </row>
    <row r="464" hidden="1">
      <c r="A464" s="88" t="s">
        <v>348</v>
      </c>
      <c r="B464" s="92" t="s">
        <v>431</v>
      </c>
      <c r="C464" s="93"/>
      <c r="D464" s="93" t="s">
        <v>433</v>
      </c>
      <c r="E464" s="143">
        <v>51.0</v>
      </c>
      <c r="F464" s="144"/>
      <c r="G464" s="144"/>
      <c r="H464" s="144">
        <f t="shared" si="5"/>
        <v>2550</v>
      </c>
      <c r="I464" s="144"/>
      <c r="J464" s="144">
        <v>7500.0</v>
      </c>
      <c r="K464" s="144">
        <f t="shared" si="7"/>
        <v>-4950</v>
      </c>
    </row>
    <row r="465" hidden="1">
      <c r="A465" s="88" t="s">
        <v>348</v>
      </c>
      <c r="B465" s="92" t="s">
        <v>434</v>
      </c>
      <c r="C465" s="93"/>
      <c r="D465" s="93" t="s">
        <v>436</v>
      </c>
      <c r="E465" s="143">
        <v>51.0</v>
      </c>
      <c r="F465" s="144"/>
      <c r="G465" s="144"/>
      <c r="H465" s="144">
        <f t="shared" si="5"/>
        <v>2550</v>
      </c>
      <c r="I465" s="144"/>
      <c r="J465" s="144">
        <v>7500.0</v>
      </c>
      <c r="K465" s="144">
        <f t="shared" si="7"/>
        <v>-4950</v>
      </c>
    </row>
    <row r="466" hidden="1">
      <c r="A466" s="88" t="s">
        <v>348</v>
      </c>
      <c r="B466" s="92" t="s">
        <v>437</v>
      </c>
      <c r="C466" s="93"/>
      <c r="D466" s="93" t="s">
        <v>439</v>
      </c>
      <c r="E466" s="143">
        <v>49.0</v>
      </c>
      <c r="F466" s="144"/>
      <c r="G466" s="144"/>
      <c r="H466" s="144">
        <f t="shared" si="5"/>
        <v>0</v>
      </c>
      <c r="I466" s="144"/>
      <c r="J466" s="144">
        <v>4875.0</v>
      </c>
      <c r="K466" s="144">
        <f t="shared" si="7"/>
        <v>-4875</v>
      </c>
    </row>
    <row r="467" hidden="1">
      <c r="A467" s="88" t="s">
        <v>348</v>
      </c>
      <c r="B467" s="92" t="s">
        <v>440</v>
      </c>
      <c r="C467" s="93"/>
      <c r="D467" s="93" t="s">
        <v>442</v>
      </c>
      <c r="E467" s="143">
        <v>42.0</v>
      </c>
      <c r="F467" s="144"/>
      <c r="G467" s="144"/>
      <c r="H467" s="144">
        <f t="shared" si="5"/>
        <v>0</v>
      </c>
      <c r="I467" s="144"/>
      <c r="J467" s="144">
        <v>2700.0</v>
      </c>
      <c r="K467" s="144">
        <f t="shared" si="7"/>
        <v>-2700</v>
      </c>
    </row>
    <row r="468" hidden="1">
      <c r="A468" s="88" t="s">
        <v>348</v>
      </c>
      <c r="B468" s="92" t="s">
        <v>262</v>
      </c>
      <c r="C468" s="93"/>
      <c r="D468" s="93" t="s">
        <v>264</v>
      </c>
      <c r="E468" s="143">
        <v>36.0</v>
      </c>
      <c r="F468" s="144"/>
      <c r="G468" s="144"/>
      <c r="H468" s="144">
        <f t="shared" si="5"/>
        <v>0</v>
      </c>
      <c r="I468" s="144"/>
      <c r="J468" s="144">
        <v>2900.0</v>
      </c>
      <c r="K468" s="144">
        <f t="shared" si="7"/>
        <v>-2900</v>
      </c>
    </row>
    <row r="469" hidden="1">
      <c r="A469" s="88" t="s">
        <v>348</v>
      </c>
      <c r="B469" s="92" t="s">
        <v>234</v>
      </c>
      <c r="C469" s="93"/>
      <c r="D469" s="93" t="s">
        <v>504</v>
      </c>
      <c r="E469" s="143">
        <v>1.0</v>
      </c>
      <c r="F469" s="144"/>
      <c r="G469" s="144"/>
      <c r="H469" s="144">
        <f t="shared" si="5"/>
        <v>0</v>
      </c>
      <c r="I469" s="144"/>
      <c r="J469" s="144">
        <v>0.0</v>
      </c>
      <c r="K469" s="144">
        <f t="shared" si="7"/>
        <v>0</v>
      </c>
    </row>
    <row r="470" hidden="1">
      <c r="A470" s="88" t="s">
        <v>348</v>
      </c>
      <c r="B470" s="145" t="s">
        <v>333</v>
      </c>
      <c r="C470" s="93"/>
      <c r="D470" s="93" t="s">
        <v>334</v>
      </c>
      <c r="E470" s="143">
        <v>4.0</v>
      </c>
      <c r="F470" s="144"/>
      <c r="G470" s="144"/>
      <c r="H470" s="144">
        <f t="shared" si="5"/>
        <v>0</v>
      </c>
      <c r="I470" s="144"/>
      <c r="J470" s="144">
        <v>0.0</v>
      </c>
      <c r="K470" s="144">
        <f t="shared" si="7"/>
        <v>0</v>
      </c>
    </row>
    <row r="471" hidden="1">
      <c r="A471" s="88" t="s">
        <v>348</v>
      </c>
      <c r="B471" s="94" t="s">
        <v>294</v>
      </c>
      <c r="C471" s="96"/>
      <c r="D471" s="96" t="s">
        <v>296</v>
      </c>
      <c r="E471" s="143">
        <v>9.0</v>
      </c>
      <c r="F471" s="144"/>
      <c r="G471" s="144"/>
      <c r="H471" s="144">
        <f t="shared" si="5"/>
        <v>0</v>
      </c>
      <c r="I471" s="144"/>
      <c r="J471" s="144">
        <v>0.0</v>
      </c>
      <c r="K471" s="144">
        <f t="shared" si="7"/>
        <v>0</v>
      </c>
    </row>
    <row r="472" hidden="1">
      <c r="A472" s="88" t="s">
        <v>348</v>
      </c>
      <c r="B472" s="94" t="s">
        <v>291</v>
      </c>
      <c r="C472" s="93"/>
      <c r="D472" s="93" t="s">
        <v>293</v>
      </c>
      <c r="E472" s="143">
        <v>7.0</v>
      </c>
      <c r="F472" s="144"/>
      <c r="G472" s="144"/>
      <c r="H472" s="144">
        <f t="shared" si="5"/>
        <v>0</v>
      </c>
      <c r="I472" s="144"/>
      <c r="J472" s="144">
        <v>0.0</v>
      </c>
      <c r="K472" s="144">
        <f t="shared" si="7"/>
        <v>0</v>
      </c>
    </row>
    <row r="473" hidden="1">
      <c r="A473" s="88" t="s">
        <v>348</v>
      </c>
      <c r="B473" s="78"/>
      <c r="C473" s="93"/>
      <c r="D473" s="93" t="s">
        <v>178</v>
      </c>
      <c r="E473" s="126"/>
      <c r="F473" s="144"/>
      <c r="G473" s="144"/>
      <c r="H473" s="144">
        <f t="shared" si="5"/>
        <v>0</v>
      </c>
      <c r="I473" s="144"/>
      <c r="J473" s="144">
        <v>0.0</v>
      </c>
      <c r="K473" s="144">
        <f t="shared" si="7"/>
        <v>0</v>
      </c>
    </row>
    <row r="474" hidden="1">
      <c r="A474" s="88" t="s">
        <v>348</v>
      </c>
      <c r="B474" s="78"/>
      <c r="C474" s="93"/>
      <c r="D474" s="93" t="s">
        <v>175</v>
      </c>
      <c r="E474" s="126"/>
      <c r="F474" s="144"/>
      <c r="G474" s="144"/>
      <c r="H474" s="144">
        <f t="shared" si="5"/>
        <v>0</v>
      </c>
      <c r="I474" s="144"/>
      <c r="J474" s="144">
        <v>0.0</v>
      </c>
      <c r="K474" s="144">
        <f t="shared" si="7"/>
        <v>0</v>
      </c>
    </row>
    <row r="475" hidden="1">
      <c r="A475" s="88" t="s">
        <v>350</v>
      </c>
      <c r="B475" s="92" t="s">
        <v>422</v>
      </c>
      <c r="C475" s="93"/>
      <c r="D475" s="93" t="s">
        <v>424</v>
      </c>
      <c r="E475" s="143">
        <v>80.0</v>
      </c>
      <c r="F475" s="144"/>
      <c r="G475" s="144"/>
      <c r="H475" s="144">
        <f t="shared" si="5"/>
        <v>8000</v>
      </c>
      <c r="I475" s="144"/>
      <c r="J475" s="144"/>
      <c r="K475" s="144"/>
    </row>
    <row r="476" hidden="1">
      <c r="A476" s="88" t="s">
        <v>350</v>
      </c>
      <c r="B476" s="92" t="s">
        <v>493</v>
      </c>
      <c r="C476" s="93"/>
      <c r="D476" s="93" t="s">
        <v>494</v>
      </c>
      <c r="E476" s="143">
        <v>75.0</v>
      </c>
      <c r="F476" s="144"/>
      <c r="G476" s="144"/>
      <c r="H476" s="144">
        <f t="shared" si="5"/>
        <v>7500</v>
      </c>
      <c r="I476" s="144"/>
      <c r="J476" s="144"/>
      <c r="K476" s="144"/>
    </row>
    <row r="477" hidden="1">
      <c r="A477" s="88" t="s">
        <v>350</v>
      </c>
      <c r="B477" s="92" t="s">
        <v>425</v>
      </c>
      <c r="C477" s="93"/>
      <c r="D477" s="93" t="s">
        <v>495</v>
      </c>
      <c r="E477" s="143">
        <v>77.0</v>
      </c>
      <c r="F477" s="144"/>
      <c r="G477" s="144"/>
      <c r="H477" s="144">
        <f t="shared" si="5"/>
        <v>7700</v>
      </c>
      <c r="I477" s="144"/>
      <c r="J477" s="144"/>
      <c r="K477" s="144"/>
    </row>
    <row r="478" hidden="1">
      <c r="A478" s="88" t="s">
        <v>350</v>
      </c>
      <c r="B478" s="92" t="s">
        <v>428</v>
      </c>
      <c r="C478" s="93"/>
      <c r="D478" s="93" t="s">
        <v>430</v>
      </c>
      <c r="E478" s="143">
        <v>75.0</v>
      </c>
      <c r="F478" s="144"/>
      <c r="G478" s="144"/>
      <c r="H478" s="144">
        <f t="shared" si="5"/>
        <v>7500</v>
      </c>
      <c r="I478" s="144"/>
      <c r="J478" s="144"/>
      <c r="K478" s="144"/>
    </row>
    <row r="479" hidden="1">
      <c r="A479" s="88" t="s">
        <v>350</v>
      </c>
      <c r="B479" s="92" t="s">
        <v>431</v>
      </c>
      <c r="C479" s="93"/>
      <c r="D479" s="93" t="s">
        <v>433</v>
      </c>
      <c r="E479" s="143">
        <v>75.0</v>
      </c>
      <c r="F479" s="144"/>
      <c r="G479" s="144"/>
      <c r="H479" s="144">
        <f t="shared" si="5"/>
        <v>7500</v>
      </c>
      <c r="I479" s="144"/>
      <c r="J479" s="144"/>
      <c r="K479" s="144"/>
    </row>
    <row r="480" hidden="1">
      <c r="A480" s="88" t="s">
        <v>350</v>
      </c>
      <c r="B480" s="92" t="s">
        <v>434</v>
      </c>
      <c r="C480" s="93"/>
      <c r="D480" s="93" t="s">
        <v>436</v>
      </c>
      <c r="E480" s="143">
        <v>75.0</v>
      </c>
      <c r="F480" s="144"/>
      <c r="G480" s="144"/>
      <c r="H480" s="144">
        <f t="shared" si="5"/>
        <v>7500</v>
      </c>
      <c r="I480" s="144"/>
      <c r="J480" s="144"/>
      <c r="K480" s="144"/>
    </row>
    <row r="481" hidden="1">
      <c r="A481" s="88" t="s">
        <v>350</v>
      </c>
      <c r="B481" s="92" t="s">
        <v>437</v>
      </c>
      <c r="C481" s="93"/>
      <c r="D481" s="93" t="s">
        <v>439</v>
      </c>
      <c r="E481" s="143">
        <v>65.0</v>
      </c>
      <c r="F481" s="144"/>
      <c r="G481" s="144"/>
      <c r="H481" s="144">
        <f t="shared" si="5"/>
        <v>4875</v>
      </c>
      <c r="I481" s="144"/>
      <c r="J481" s="144"/>
      <c r="K481" s="144"/>
    </row>
    <row r="482" hidden="1">
      <c r="A482" s="88" t="s">
        <v>350</v>
      </c>
      <c r="B482" s="92" t="s">
        <v>440</v>
      </c>
      <c r="C482" s="93"/>
      <c r="D482" s="93" t="s">
        <v>442</v>
      </c>
      <c r="E482" s="143">
        <v>54.0</v>
      </c>
      <c r="F482" s="144"/>
      <c r="G482" s="144"/>
      <c r="H482" s="144">
        <f t="shared" si="5"/>
        <v>2700</v>
      </c>
      <c r="I482" s="144"/>
      <c r="J482" s="144"/>
      <c r="K482" s="144"/>
    </row>
    <row r="483" hidden="1">
      <c r="A483" s="88" t="s">
        <v>350</v>
      </c>
      <c r="B483" s="92" t="s">
        <v>262</v>
      </c>
      <c r="C483" s="93"/>
      <c r="D483" s="93" t="s">
        <v>264</v>
      </c>
      <c r="E483" s="143">
        <v>58.0</v>
      </c>
      <c r="F483" s="144"/>
      <c r="G483" s="144"/>
      <c r="H483" s="144">
        <f t="shared" si="5"/>
        <v>2900</v>
      </c>
      <c r="I483" s="144"/>
      <c r="J483" s="144"/>
      <c r="K483" s="144"/>
    </row>
    <row r="484" hidden="1">
      <c r="A484" s="88" t="s">
        <v>350</v>
      </c>
      <c r="B484" s="92" t="s">
        <v>234</v>
      </c>
      <c r="C484" s="93"/>
      <c r="D484" s="93" t="s">
        <v>504</v>
      </c>
      <c r="E484" s="143">
        <v>1.0</v>
      </c>
      <c r="F484" s="144"/>
      <c r="G484" s="144"/>
      <c r="H484" s="144">
        <f t="shared" si="5"/>
        <v>0</v>
      </c>
      <c r="I484" s="144"/>
      <c r="J484" s="144"/>
      <c r="K484" s="144"/>
    </row>
    <row r="485" hidden="1">
      <c r="A485" s="88" t="s">
        <v>350</v>
      </c>
      <c r="B485" s="146" t="s">
        <v>333</v>
      </c>
      <c r="C485" s="96"/>
      <c r="D485" s="96" t="s">
        <v>334</v>
      </c>
      <c r="E485" s="147">
        <v>10.0</v>
      </c>
      <c r="F485" s="144"/>
      <c r="G485" s="144"/>
      <c r="H485" s="144">
        <f t="shared" si="5"/>
        <v>0</v>
      </c>
      <c r="I485" s="144"/>
      <c r="J485" s="144"/>
      <c r="K485" s="144"/>
    </row>
    <row r="486" hidden="1">
      <c r="A486" s="88" t="s">
        <v>350</v>
      </c>
      <c r="B486" s="99" t="s">
        <v>294</v>
      </c>
      <c r="C486" s="96"/>
      <c r="D486" s="96" t="s">
        <v>505</v>
      </c>
      <c r="E486" s="147">
        <v>10.0</v>
      </c>
      <c r="F486" s="144"/>
      <c r="G486" s="144"/>
      <c r="H486" s="144">
        <f t="shared" si="5"/>
        <v>0</v>
      </c>
      <c r="I486" s="144"/>
      <c r="J486" s="144"/>
      <c r="K486" s="144"/>
    </row>
    <row r="487" hidden="1">
      <c r="A487" s="88" t="s">
        <v>350</v>
      </c>
      <c r="B487" s="99" t="s">
        <v>291</v>
      </c>
      <c r="C487" s="96"/>
      <c r="D487" s="96" t="s">
        <v>293</v>
      </c>
      <c r="E487" s="147">
        <v>4.0</v>
      </c>
      <c r="F487" s="144"/>
      <c r="G487" s="144"/>
      <c r="H487" s="144">
        <f t="shared" si="5"/>
        <v>0</v>
      </c>
      <c r="I487" s="144"/>
      <c r="J487" s="144"/>
      <c r="K487" s="144"/>
    </row>
    <row r="488" hidden="1">
      <c r="A488" s="88" t="s">
        <v>350</v>
      </c>
      <c r="B488" s="99"/>
      <c r="C488" s="96"/>
      <c r="D488" s="96" t="s">
        <v>178</v>
      </c>
      <c r="E488" s="147">
        <v>55.0</v>
      </c>
      <c r="F488" s="144"/>
      <c r="G488" s="144"/>
      <c r="H488" s="144">
        <f t="shared" si="5"/>
        <v>2750</v>
      </c>
      <c r="I488" s="144"/>
      <c r="J488" s="144"/>
      <c r="K488" s="144"/>
    </row>
    <row r="489" hidden="1">
      <c r="A489" s="88" t="s">
        <v>350</v>
      </c>
      <c r="B489" s="99"/>
      <c r="C489" s="96"/>
      <c r="D489" s="96" t="s">
        <v>175</v>
      </c>
      <c r="E489" s="147">
        <v>60.0</v>
      </c>
      <c r="F489" s="144"/>
      <c r="G489" s="144"/>
      <c r="H489" s="144">
        <f t="shared" si="5"/>
        <v>3000</v>
      </c>
      <c r="I489" s="144"/>
      <c r="J489" s="144"/>
      <c r="K489" s="144"/>
    </row>
    <row r="490" hidden="1">
      <c r="A490" s="88" t="s">
        <v>351</v>
      </c>
      <c r="B490" s="92" t="s">
        <v>422</v>
      </c>
      <c r="C490" s="93"/>
      <c r="D490" s="93" t="s">
        <v>424</v>
      </c>
      <c r="E490" s="143">
        <v>86.0</v>
      </c>
      <c r="F490" s="144"/>
      <c r="G490" s="144"/>
      <c r="H490" s="144">
        <f t="shared" si="5"/>
        <v>8600</v>
      </c>
      <c r="I490" s="144"/>
      <c r="J490" s="144"/>
      <c r="K490" s="144"/>
    </row>
    <row r="491" hidden="1">
      <c r="A491" s="88" t="s">
        <v>351</v>
      </c>
      <c r="B491" s="92" t="s">
        <v>493</v>
      </c>
      <c r="C491" s="93"/>
      <c r="D491" s="93" t="s">
        <v>494</v>
      </c>
      <c r="E491" s="143">
        <v>85.0</v>
      </c>
      <c r="F491" s="144"/>
      <c r="G491" s="144"/>
      <c r="H491" s="144">
        <f t="shared" si="5"/>
        <v>8500</v>
      </c>
      <c r="I491" s="144"/>
      <c r="J491" s="144"/>
      <c r="K491" s="144"/>
    </row>
    <row r="492" hidden="1">
      <c r="A492" s="88" t="s">
        <v>351</v>
      </c>
      <c r="B492" s="92" t="s">
        <v>425</v>
      </c>
      <c r="C492" s="93"/>
      <c r="D492" s="93" t="s">
        <v>495</v>
      </c>
      <c r="E492" s="143">
        <v>81.0</v>
      </c>
      <c r="F492" s="144"/>
      <c r="G492" s="144"/>
      <c r="H492" s="144">
        <f t="shared" si="5"/>
        <v>8100</v>
      </c>
      <c r="I492" s="144"/>
      <c r="J492" s="144"/>
      <c r="K492" s="144"/>
    </row>
    <row r="493" hidden="1">
      <c r="A493" s="88" t="s">
        <v>351</v>
      </c>
      <c r="B493" s="92" t="s">
        <v>428</v>
      </c>
      <c r="C493" s="93"/>
      <c r="D493" s="93" t="s">
        <v>430</v>
      </c>
      <c r="E493" s="143">
        <v>81.0</v>
      </c>
      <c r="F493" s="144"/>
      <c r="G493" s="144"/>
      <c r="H493" s="144">
        <f t="shared" si="5"/>
        <v>8100</v>
      </c>
      <c r="I493" s="144"/>
      <c r="J493" s="144"/>
      <c r="K493" s="144"/>
    </row>
    <row r="494" hidden="1">
      <c r="A494" s="88" t="s">
        <v>351</v>
      </c>
      <c r="B494" s="92" t="s">
        <v>431</v>
      </c>
      <c r="C494" s="93"/>
      <c r="D494" s="93" t="s">
        <v>433</v>
      </c>
      <c r="E494" s="143">
        <v>80.0</v>
      </c>
      <c r="F494" s="144"/>
      <c r="G494" s="144"/>
      <c r="H494" s="144">
        <f t="shared" si="5"/>
        <v>8000</v>
      </c>
      <c r="I494" s="144"/>
      <c r="J494" s="144"/>
      <c r="K494" s="144"/>
    </row>
    <row r="495" hidden="1">
      <c r="A495" s="88" t="s">
        <v>351</v>
      </c>
      <c r="B495" s="92" t="s">
        <v>434</v>
      </c>
      <c r="C495" s="93"/>
      <c r="D495" s="93" t="s">
        <v>436</v>
      </c>
      <c r="E495" s="143">
        <v>77.0</v>
      </c>
      <c r="F495" s="144"/>
      <c r="G495" s="144"/>
      <c r="H495" s="144">
        <f t="shared" si="5"/>
        <v>7700</v>
      </c>
      <c r="I495" s="144"/>
      <c r="J495" s="144"/>
      <c r="K495" s="144"/>
    </row>
    <row r="496" hidden="1">
      <c r="A496" s="88" t="s">
        <v>351</v>
      </c>
      <c r="B496" s="92" t="s">
        <v>437</v>
      </c>
      <c r="C496" s="93"/>
      <c r="D496" s="93" t="s">
        <v>439</v>
      </c>
      <c r="E496" s="143">
        <v>75.0</v>
      </c>
      <c r="F496" s="144"/>
      <c r="G496" s="144"/>
      <c r="H496" s="144">
        <f t="shared" si="5"/>
        <v>7500</v>
      </c>
      <c r="I496" s="144"/>
      <c r="J496" s="144"/>
      <c r="K496" s="144"/>
    </row>
    <row r="497" hidden="1">
      <c r="A497" s="88" t="s">
        <v>351</v>
      </c>
      <c r="B497" s="92" t="s">
        <v>506</v>
      </c>
      <c r="C497" s="93"/>
      <c r="D497" s="93" t="s">
        <v>507</v>
      </c>
      <c r="E497" s="143">
        <v>65.0</v>
      </c>
      <c r="F497" s="144"/>
      <c r="G497" s="144"/>
      <c r="H497" s="144">
        <f t="shared" si="5"/>
        <v>4875</v>
      </c>
      <c r="I497" s="144"/>
      <c r="J497" s="144"/>
      <c r="K497" s="144"/>
    </row>
    <row r="498" hidden="1">
      <c r="A498" s="88" t="s">
        <v>351</v>
      </c>
      <c r="B498" s="91" t="s">
        <v>440</v>
      </c>
      <c r="C498" s="96"/>
      <c r="D498" s="96" t="s">
        <v>442</v>
      </c>
      <c r="E498" s="143">
        <v>39.0</v>
      </c>
      <c r="F498" s="144"/>
      <c r="G498" s="144"/>
      <c r="H498" s="144">
        <f t="shared" si="5"/>
        <v>0</v>
      </c>
      <c r="I498" s="144"/>
      <c r="J498" s="144"/>
      <c r="K498" s="144"/>
    </row>
    <row r="499" hidden="1">
      <c r="A499" s="88" t="s">
        <v>351</v>
      </c>
      <c r="B499" s="91" t="s">
        <v>262</v>
      </c>
      <c r="C499" s="96"/>
      <c r="D499" s="96" t="s">
        <v>264</v>
      </c>
      <c r="E499" s="143">
        <v>31.0</v>
      </c>
      <c r="F499" s="144"/>
      <c r="G499" s="144"/>
      <c r="H499" s="144">
        <f t="shared" si="5"/>
        <v>0</v>
      </c>
      <c r="I499" s="144"/>
      <c r="J499" s="144"/>
      <c r="K499" s="144"/>
    </row>
    <row r="500" hidden="1">
      <c r="A500" s="88" t="s">
        <v>351</v>
      </c>
      <c r="B500" s="91" t="s">
        <v>234</v>
      </c>
      <c r="C500" s="96"/>
      <c r="D500" s="96" t="s">
        <v>504</v>
      </c>
      <c r="E500" s="143">
        <v>7.0</v>
      </c>
      <c r="F500" s="144"/>
      <c r="G500" s="144"/>
      <c r="H500" s="144">
        <f t="shared" si="5"/>
        <v>0</v>
      </c>
      <c r="I500" s="144"/>
      <c r="J500" s="144"/>
      <c r="K500" s="144"/>
    </row>
    <row r="501" hidden="1">
      <c r="A501" s="88" t="s">
        <v>351</v>
      </c>
      <c r="B501" s="92" t="s">
        <v>508</v>
      </c>
      <c r="C501" s="93"/>
      <c r="D501" s="93" t="s">
        <v>509</v>
      </c>
      <c r="E501" s="126"/>
      <c r="F501" s="144"/>
      <c r="G501" s="144"/>
      <c r="H501" s="144">
        <f t="shared" si="5"/>
        <v>0</v>
      </c>
      <c r="I501" s="144"/>
      <c r="J501" s="144"/>
      <c r="K501" s="144"/>
    </row>
    <row r="502" hidden="1">
      <c r="A502" s="76" t="s">
        <v>352</v>
      </c>
      <c r="B502" s="92" t="s">
        <v>428</v>
      </c>
      <c r="C502" s="93"/>
      <c r="D502" s="93" t="s">
        <v>430</v>
      </c>
      <c r="E502" s="126">
        <v>65.0</v>
      </c>
      <c r="F502" s="144"/>
      <c r="G502" s="144"/>
      <c r="H502" s="144">
        <f t="shared" si="5"/>
        <v>4875</v>
      </c>
      <c r="I502" s="144"/>
      <c r="J502" s="144"/>
      <c r="K502" s="144"/>
    </row>
    <row r="503" hidden="1">
      <c r="A503" s="76" t="s">
        <v>352</v>
      </c>
      <c r="B503" s="92" t="s">
        <v>425</v>
      </c>
      <c r="C503" s="93"/>
      <c r="D503" s="93" t="s">
        <v>495</v>
      </c>
      <c r="E503" s="126">
        <v>66.0</v>
      </c>
      <c r="F503" s="144"/>
      <c r="G503" s="144"/>
      <c r="H503" s="144">
        <f t="shared" si="5"/>
        <v>4950</v>
      </c>
      <c r="I503" s="144"/>
      <c r="J503" s="144"/>
      <c r="K503" s="144"/>
    </row>
    <row r="504" hidden="1">
      <c r="A504" s="76" t="s">
        <v>352</v>
      </c>
      <c r="B504" s="92" t="s">
        <v>506</v>
      </c>
      <c r="C504" s="93"/>
      <c r="D504" s="93" t="s">
        <v>507</v>
      </c>
      <c r="E504" s="126">
        <v>65.0</v>
      </c>
      <c r="F504" s="144"/>
      <c r="G504" s="144"/>
      <c r="H504" s="144">
        <f t="shared" si="5"/>
        <v>4875</v>
      </c>
      <c r="I504" s="144"/>
      <c r="J504" s="144"/>
      <c r="K504" s="144"/>
    </row>
    <row r="505" hidden="1">
      <c r="A505" s="76" t="s">
        <v>352</v>
      </c>
      <c r="B505" s="92" t="s">
        <v>434</v>
      </c>
      <c r="C505" s="93"/>
      <c r="D505" s="93" t="s">
        <v>436</v>
      </c>
      <c r="E505" s="126">
        <v>53.0</v>
      </c>
      <c r="F505" s="144"/>
      <c r="G505" s="144"/>
      <c r="H505" s="144">
        <f t="shared" si="5"/>
        <v>2650</v>
      </c>
      <c r="I505" s="144"/>
      <c r="J505" s="144"/>
      <c r="K505" s="144"/>
    </row>
    <row r="506" hidden="1">
      <c r="A506" s="76" t="s">
        <v>352</v>
      </c>
      <c r="B506" s="92" t="s">
        <v>422</v>
      </c>
      <c r="C506" s="93"/>
      <c r="D506" s="93" t="s">
        <v>424</v>
      </c>
      <c r="E506" s="126">
        <v>75.0</v>
      </c>
      <c r="F506" s="144"/>
      <c r="G506" s="144"/>
      <c r="H506" s="144">
        <f t="shared" si="5"/>
        <v>7500</v>
      </c>
      <c r="I506" s="144"/>
      <c r="J506" s="144"/>
      <c r="K506" s="144"/>
    </row>
    <row r="507" hidden="1">
      <c r="A507" s="76" t="s">
        <v>352</v>
      </c>
      <c r="B507" s="92" t="s">
        <v>431</v>
      </c>
      <c r="C507" s="93"/>
      <c r="D507" s="93" t="s">
        <v>433</v>
      </c>
      <c r="E507" s="126">
        <v>65.0</v>
      </c>
      <c r="F507" s="144"/>
      <c r="G507" s="144"/>
      <c r="H507" s="144">
        <f t="shared" si="5"/>
        <v>4875</v>
      </c>
      <c r="I507" s="144"/>
      <c r="J507" s="144"/>
      <c r="K507" s="144"/>
    </row>
    <row r="508" hidden="1">
      <c r="A508" s="76" t="s">
        <v>352</v>
      </c>
      <c r="B508" s="92" t="s">
        <v>437</v>
      </c>
      <c r="C508" s="93"/>
      <c r="D508" s="93" t="s">
        <v>439</v>
      </c>
      <c r="E508" s="126">
        <v>51.0</v>
      </c>
      <c r="F508" s="144"/>
      <c r="G508" s="144"/>
      <c r="H508" s="144">
        <f t="shared" si="5"/>
        <v>2550</v>
      </c>
      <c r="I508" s="144"/>
      <c r="J508" s="144"/>
      <c r="K508" s="144"/>
    </row>
    <row r="509" hidden="1">
      <c r="A509" s="76" t="s">
        <v>352</v>
      </c>
      <c r="B509" s="92" t="s">
        <v>508</v>
      </c>
      <c r="C509" s="93"/>
      <c r="D509" s="93" t="s">
        <v>509</v>
      </c>
      <c r="E509" s="126">
        <v>45.0</v>
      </c>
      <c r="F509" s="144"/>
      <c r="G509" s="144"/>
      <c r="H509" s="144">
        <f t="shared" si="5"/>
        <v>0</v>
      </c>
      <c r="I509" s="144"/>
      <c r="J509" s="144"/>
      <c r="K509" s="144"/>
    </row>
    <row r="510" hidden="1">
      <c r="A510" s="76" t="s">
        <v>352</v>
      </c>
      <c r="B510" s="92" t="s">
        <v>493</v>
      </c>
      <c r="C510" s="93"/>
      <c r="D510" s="93" t="s">
        <v>494</v>
      </c>
      <c r="E510" s="126">
        <v>65.0</v>
      </c>
      <c r="F510" s="144"/>
      <c r="G510" s="144"/>
      <c r="H510" s="144">
        <f t="shared" si="5"/>
        <v>4875</v>
      </c>
      <c r="I510" s="144"/>
      <c r="J510" s="144"/>
      <c r="K510" s="144"/>
    </row>
    <row r="511" hidden="1">
      <c r="A511" s="88" t="s">
        <v>352</v>
      </c>
      <c r="B511" s="148" t="s">
        <v>428</v>
      </c>
      <c r="C511" s="93"/>
      <c r="D511" s="93" t="s">
        <v>430</v>
      </c>
      <c r="E511" s="143">
        <v>65.0</v>
      </c>
      <c r="F511" s="144"/>
      <c r="G511" s="144"/>
      <c r="H511" s="144">
        <f t="shared" si="5"/>
        <v>4875</v>
      </c>
      <c r="I511" s="144"/>
      <c r="J511" s="144"/>
      <c r="K511" s="144"/>
    </row>
    <row r="512" hidden="1">
      <c r="A512" s="88" t="s">
        <v>352</v>
      </c>
      <c r="B512" s="92" t="s">
        <v>425</v>
      </c>
      <c r="C512" s="93"/>
      <c r="D512" s="93" t="s">
        <v>495</v>
      </c>
      <c r="E512" s="143">
        <v>66.0</v>
      </c>
      <c r="F512" s="144"/>
      <c r="G512" s="144"/>
      <c r="H512" s="144">
        <f t="shared" si="5"/>
        <v>4950</v>
      </c>
      <c r="I512" s="144"/>
      <c r="J512" s="144"/>
      <c r="K512" s="144"/>
    </row>
    <row r="513" hidden="1">
      <c r="A513" s="88" t="s">
        <v>352</v>
      </c>
      <c r="B513" s="92" t="s">
        <v>506</v>
      </c>
      <c r="C513" s="93"/>
      <c r="D513" s="93" t="s">
        <v>507</v>
      </c>
      <c r="E513" s="143">
        <v>65.0</v>
      </c>
      <c r="F513" s="144"/>
      <c r="G513" s="144"/>
      <c r="H513" s="144">
        <f t="shared" si="5"/>
        <v>4875</v>
      </c>
      <c r="I513" s="144"/>
      <c r="J513" s="144"/>
      <c r="K513" s="144"/>
    </row>
    <row r="514" hidden="1">
      <c r="A514" s="88" t="s">
        <v>352</v>
      </c>
      <c r="B514" s="92" t="s">
        <v>434</v>
      </c>
      <c r="C514" s="93"/>
      <c r="D514" s="93" t="s">
        <v>436</v>
      </c>
      <c r="E514" s="143">
        <v>53.0</v>
      </c>
      <c r="F514" s="144"/>
      <c r="G514" s="144"/>
      <c r="H514" s="144">
        <f t="shared" si="5"/>
        <v>2650</v>
      </c>
      <c r="I514" s="144"/>
      <c r="J514" s="144"/>
      <c r="K514" s="144"/>
    </row>
    <row r="515" hidden="1">
      <c r="A515" s="88" t="s">
        <v>352</v>
      </c>
      <c r="B515" s="92" t="s">
        <v>422</v>
      </c>
      <c r="C515" s="93"/>
      <c r="D515" s="93" t="s">
        <v>424</v>
      </c>
      <c r="E515" s="143">
        <v>75.0</v>
      </c>
      <c r="F515" s="144"/>
      <c r="G515" s="144"/>
      <c r="H515" s="144">
        <f t="shared" si="5"/>
        <v>7500</v>
      </c>
      <c r="I515" s="144"/>
      <c r="J515" s="144"/>
      <c r="K515" s="144"/>
    </row>
    <row r="516" hidden="1">
      <c r="A516" s="88" t="s">
        <v>352</v>
      </c>
      <c r="B516" s="92" t="s">
        <v>431</v>
      </c>
      <c r="C516" s="93"/>
      <c r="D516" s="93" t="s">
        <v>433</v>
      </c>
      <c r="E516" s="143">
        <v>65.0</v>
      </c>
      <c r="F516" s="144"/>
      <c r="G516" s="144"/>
      <c r="H516" s="144">
        <f t="shared" si="5"/>
        <v>4875</v>
      </c>
      <c r="I516" s="144"/>
      <c r="J516" s="144"/>
      <c r="K516" s="144"/>
    </row>
    <row r="517" hidden="1">
      <c r="A517" s="88" t="s">
        <v>352</v>
      </c>
      <c r="B517" s="92" t="s">
        <v>437</v>
      </c>
      <c r="C517" s="93"/>
      <c r="D517" s="93" t="s">
        <v>439</v>
      </c>
      <c r="E517" s="143">
        <v>51.0</v>
      </c>
      <c r="F517" s="144"/>
      <c r="G517" s="144"/>
      <c r="H517" s="144">
        <f t="shared" si="5"/>
        <v>2550</v>
      </c>
      <c r="I517" s="144"/>
      <c r="J517" s="144"/>
      <c r="K517" s="144"/>
    </row>
    <row r="518" hidden="1">
      <c r="A518" s="88" t="s">
        <v>352</v>
      </c>
      <c r="B518" s="92" t="s">
        <v>508</v>
      </c>
      <c r="C518" s="93"/>
      <c r="D518" s="93" t="s">
        <v>509</v>
      </c>
      <c r="E518" s="143">
        <v>45.0</v>
      </c>
      <c r="F518" s="144"/>
      <c r="G518" s="144"/>
      <c r="H518" s="144">
        <f t="shared" si="5"/>
        <v>0</v>
      </c>
      <c r="I518" s="144"/>
      <c r="J518" s="144"/>
      <c r="K518" s="144"/>
    </row>
    <row r="519" hidden="1">
      <c r="A519" s="88" t="s">
        <v>352</v>
      </c>
      <c r="B519" s="92" t="s">
        <v>493</v>
      </c>
      <c r="C519" s="93"/>
      <c r="D519" s="93" t="s">
        <v>494</v>
      </c>
      <c r="E519" s="143">
        <v>65.0</v>
      </c>
      <c r="F519" s="144"/>
      <c r="G519" s="144"/>
      <c r="H519" s="144">
        <f t="shared" si="5"/>
        <v>4875</v>
      </c>
      <c r="I519" s="144"/>
      <c r="J519" s="144"/>
      <c r="K519" s="144"/>
    </row>
    <row r="520" hidden="1">
      <c r="A520" s="34" t="s">
        <v>353</v>
      </c>
      <c r="B520" s="99" t="s">
        <v>428</v>
      </c>
      <c r="C520" s="149"/>
      <c r="D520" s="149" t="s">
        <v>430</v>
      </c>
      <c r="E520" s="143">
        <v>75.0</v>
      </c>
      <c r="F520" s="144"/>
      <c r="G520" s="144"/>
      <c r="H520" s="144">
        <f t="shared" si="5"/>
        <v>7500</v>
      </c>
      <c r="I520" s="144"/>
      <c r="J520" s="144"/>
      <c r="K520" s="144"/>
    </row>
    <row r="521" hidden="1">
      <c r="A521" s="34" t="s">
        <v>353</v>
      </c>
      <c r="B521" s="91" t="s">
        <v>425</v>
      </c>
      <c r="C521" s="149"/>
      <c r="D521" s="149" t="s">
        <v>495</v>
      </c>
      <c r="E521" s="143">
        <v>75.0</v>
      </c>
      <c r="F521" s="144"/>
      <c r="G521" s="144"/>
      <c r="H521" s="144">
        <f t="shared" si="5"/>
        <v>7500</v>
      </c>
      <c r="I521" s="144"/>
      <c r="J521" s="144"/>
      <c r="K521" s="144"/>
    </row>
    <row r="522" hidden="1">
      <c r="A522" s="34" t="s">
        <v>353</v>
      </c>
      <c r="B522" s="91" t="s">
        <v>506</v>
      </c>
      <c r="C522" s="149"/>
      <c r="D522" s="149" t="s">
        <v>507</v>
      </c>
      <c r="E522" s="143">
        <v>77.0</v>
      </c>
      <c r="F522" s="144"/>
      <c r="G522" s="144"/>
      <c r="H522" s="144">
        <f t="shared" si="5"/>
        <v>7700</v>
      </c>
      <c r="I522" s="144"/>
      <c r="J522" s="144"/>
      <c r="K522" s="144"/>
    </row>
    <row r="523" hidden="1">
      <c r="A523" s="34" t="s">
        <v>353</v>
      </c>
      <c r="B523" s="91" t="s">
        <v>434</v>
      </c>
      <c r="C523" s="149"/>
      <c r="D523" s="149" t="s">
        <v>436</v>
      </c>
      <c r="E523" s="143">
        <v>75.0</v>
      </c>
      <c r="F523" s="144"/>
      <c r="G523" s="144"/>
      <c r="H523" s="144">
        <f t="shared" si="5"/>
        <v>7500</v>
      </c>
      <c r="I523" s="144"/>
      <c r="J523" s="144"/>
      <c r="K523" s="144"/>
    </row>
    <row r="524" hidden="1">
      <c r="A524" s="34" t="s">
        <v>353</v>
      </c>
      <c r="B524" s="91" t="s">
        <v>422</v>
      </c>
      <c r="C524" s="149"/>
      <c r="D524" s="149" t="s">
        <v>424</v>
      </c>
      <c r="E524" s="143">
        <v>77.0</v>
      </c>
      <c r="F524" s="144"/>
      <c r="G524" s="144"/>
      <c r="H524" s="144">
        <f t="shared" si="5"/>
        <v>7700</v>
      </c>
      <c r="I524" s="144"/>
      <c r="J524" s="144"/>
      <c r="K524" s="144"/>
    </row>
    <row r="525" hidden="1">
      <c r="A525" s="34" t="s">
        <v>353</v>
      </c>
      <c r="B525" s="91" t="s">
        <v>431</v>
      </c>
      <c r="C525" s="149"/>
      <c r="D525" s="149" t="s">
        <v>433</v>
      </c>
      <c r="E525" s="143">
        <v>75.0</v>
      </c>
      <c r="F525" s="144"/>
      <c r="G525" s="144"/>
      <c r="H525" s="144">
        <f t="shared" si="5"/>
        <v>7500</v>
      </c>
      <c r="I525" s="144"/>
      <c r="J525" s="144"/>
      <c r="K525" s="144"/>
    </row>
    <row r="526" hidden="1">
      <c r="A526" s="34" t="s">
        <v>353</v>
      </c>
      <c r="B526" s="91" t="s">
        <v>437</v>
      </c>
      <c r="C526" s="149"/>
      <c r="D526" s="149" t="s">
        <v>439</v>
      </c>
      <c r="E526" s="143">
        <v>55.0</v>
      </c>
      <c r="F526" s="144"/>
      <c r="G526" s="144"/>
      <c r="H526" s="144">
        <f t="shared" si="5"/>
        <v>2750</v>
      </c>
      <c r="I526" s="144"/>
      <c r="J526" s="144"/>
      <c r="K526" s="144"/>
    </row>
    <row r="527" hidden="1">
      <c r="A527" s="34" t="s">
        <v>353</v>
      </c>
      <c r="B527" s="91" t="s">
        <v>508</v>
      </c>
      <c r="C527" s="149"/>
      <c r="D527" s="149" t="s">
        <v>509</v>
      </c>
      <c r="E527" s="143">
        <v>35.0</v>
      </c>
      <c r="F527" s="144"/>
      <c r="G527" s="144"/>
      <c r="H527" s="144">
        <f t="shared" si="5"/>
        <v>0</v>
      </c>
      <c r="I527" s="144"/>
      <c r="J527" s="144"/>
      <c r="K527" s="144"/>
    </row>
    <row r="528" hidden="1">
      <c r="A528" s="34" t="s">
        <v>353</v>
      </c>
      <c r="B528" s="91" t="s">
        <v>493</v>
      </c>
      <c r="C528" s="149"/>
      <c r="D528" s="149" t="s">
        <v>494</v>
      </c>
      <c r="E528" s="143">
        <v>61.0</v>
      </c>
      <c r="F528" s="144"/>
      <c r="G528" s="144"/>
      <c r="H528" s="144">
        <f t="shared" si="5"/>
        <v>3050</v>
      </c>
      <c r="I528" s="144"/>
      <c r="J528" s="144"/>
      <c r="K528" s="144"/>
    </row>
    <row r="529" hidden="1">
      <c r="A529" s="34" t="s">
        <v>354</v>
      </c>
      <c r="B529" s="150"/>
      <c r="C529" s="150"/>
      <c r="D529" s="150" t="s">
        <v>430</v>
      </c>
      <c r="E529" s="143">
        <v>78.0</v>
      </c>
      <c r="F529" s="144"/>
      <c r="G529" s="144"/>
      <c r="H529" s="144">
        <f t="shared" si="5"/>
        <v>7800</v>
      </c>
      <c r="I529" s="144"/>
      <c r="J529" s="144"/>
      <c r="K529" s="144"/>
    </row>
    <row r="530" hidden="1">
      <c r="A530" s="34" t="s">
        <v>354</v>
      </c>
      <c r="B530" s="150"/>
      <c r="C530" s="150"/>
      <c r="D530" s="150" t="s">
        <v>495</v>
      </c>
      <c r="E530" s="143">
        <v>77.0</v>
      </c>
      <c r="F530" s="144"/>
      <c r="G530" s="144"/>
      <c r="H530" s="144">
        <f t="shared" si="5"/>
        <v>7700</v>
      </c>
      <c r="I530" s="144"/>
      <c r="J530" s="144"/>
      <c r="K530" s="144"/>
    </row>
    <row r="531" hidden="1">
      <c r="A531" s="34" t="s">
        <v>354</v>
      </c>
      <c r="B531" s="150"/>
      <c r="C531" s="150"/>
      <c r="D531" s="150" t="s">
        <v>507</v>
      </c>
      <c r="E531" s="143">
        <v>77.0</v>
      </c>
      <c r="F531" s="144"/>
      <c r="G531" s="144"/>
      <c r="H531" s="144">
        <f t="shared" si="5"/>
        <v>7700</v>
      </c>
      <c r="I531" s="144"/>
      <c r="J531" s="144"/>
      <c r="K531" s="144"/>
    </row>
    <row r="532" hidden="1">
      <c r="A532" s="34" t="s">
        <v>354</v>
      </c>
      <c r="B532" s="150"/>
      <c r="C532" s="150"/>
      <c r="D532" s="150" t="s">
        <v>436</v>
      </c>
      <c r="E532" s="143">
        <v>76.0</v>
      </c>
      <c r="F532" s="144"/>
      <c r="G532" s="144"/>
      <c r="H532" s="144">
        <f t="shared" si="5"/>
        <v>7600</v>
      </c>
      <c r="I532" s="144"/>
      <c r="J532" s="144"/>
      <c r="K532" s="144"/>
    </row>
    <row r="533" hidden="1">
      <c r="A533" s="34" t="s">
        <v>354</v>
      </c>
      <c r="B533" s="150"/>
      <c r="C533" s="150"/>
      <c r="D533" s="150" t="s">
        <v>424</v>
      </c>
      <c r="E533" s="143">
        <v>80.0</v>
      </c>
      <c r="F533" s="144"/>
      <c r="G533" s="144"/>
      <c r="H533" s="144">
        <f t="shared" si="5"/>
        <v>8000</v>
      </c>
      <c r="I533" s="144"/>
      <c r="J533" s="144"/>
      <c r="K533" s="144"/>
    </row>
    <row r="534" hidden="1">
      <c r="A534" s="34" t="s">
        <v>354</v>
      </c>
      <c r="B534" s="150"/>
      <c r="C534" s="150"/>
      <c r="D534" s="150" t="s">
        <v>433</v>
      </c>
      <c r="E534" s="143">
        <v>76.0</v>
      </c>
      <c r="F534" s="144"/>
      <c r="G534" s="144"/>
      <c r="H534" s="144">
        <f t="shared" si="5"/>
        <v>7600</v>
      </c>
      <c r="I534" s="144"/>
      <c r="J534" s="144"/>
      <c r="K534" s="144"/>
    </row>
    <row r="535" hidden="1">
      <c r="A535" s="34" t="s">
        <v>354</v>
      </c>
      <c r="B535" s="150"/>
      <c r="C535" s="150"/>
      <c r="D535" s="150" t="s">
        <v>439</v>
      </c>
      <c r="E535" s="143">
        <v>66.0</v>
      </c>
      <c r="F535" s="144"/>
      <c r="G535" s="144"/>
      <c r="H535" s="144">
        <f t="shared" si="5"/>
        <v>4950</v>
      </c>
      <c r="I535" s="144"/>
      <c r="J535" s="144"/>
      <c r="K535" s="144"/>
    </row>
    <row r="536" hidden="1">
      <c r="A536" s="34" t="s">
        <v>354</v>
      </c>
      <c r="B536" s="150"/>
      <c r="C536" s="150"/>
      <c r="D536" s="150" t="s">
        <v>509</v>
      </c>
      <c r="E536" s="143">
        <v>10.0</v>
      </c>
      <c r="F536" s="144"/>
      <c r="G536" s="144"/>
      <c r="H536" s="144">
        <f t="shared" si="5"/>
        <v>0</v>
      </c>
      <c r="I536" s="144"/>
      <c r="J536" s="144"/>
      <c r="K536" s="144"/>
    </row>
    <row r="537" hidden="1">
      <c r="A537" s="34" t="s">
        <v>354</v>
      </c>
      <c r="B537" s="150"/>
      <c r="C537" s="150"/>
      <c r="D537" s="150" t="s">
        <v>169</v>
      </c>
      <c r="E537" s="143">
        <v>6.0</v>
      </c>
      <c r="F537" s="144"/>
      <c r="G537" s="144"/>
      <c r="H537" s="144">
        <f t="shared" si="5"/>
        <v>0</v>
      </c>
      <c r="I537" s="144"/>
      <c r="J537" s="144"/>
      <c r="K537" s="144"/>
    </row>
    <row r="538" hidden="1">
      <c r="A538" s="34" t="s">
        <v>354</v>
      </c>
      <c r="B538" s="150"/>
      <c r="C538" s="150"/>
      <c r="D538" s="150" t="s">
        <v>166</v>
      </c>
      <c r="E538" s="143">
        <v>2.0</v>
      </c>
      <c r="F538" s="144"/>
      <c r="G538" s="144"/>
      <c r="H538" s="144">
        <f t="shared" si="5"/>
        <v>0</v>
      </c>
      <c r="I538" s="144"/>
      <c r="J538" s="144"/>
      <c r="K538" s="144"/>
    </row>
    <row r="539" hidden="1">
      <c r="A539" s="34" t="s">
        <v>354</v>
      </c>
      <c r="B539" s="150"/>
      <c r="C539" s="150"/>
      <c r="D539" s="150" t="s">
        <v>163</v>
      </c>
      <c r="E539" s="143">
        <v>4.0</v>
      </c>
      <c r="F539" s="144"/>
      <c r="G539" s="144"/>
      <c r="H539" s="144">
        <f t="shared" si="5"/>
        <v>0</v>
      </c>
      <c r="I539" s="144"/>
      <c r="J539" s="144"/>
      <c r="K539" s="144"/>
    </row>
    <row r="540" hidden="1">
      <c r="A540" s="34" t="s">
        <v>354</v>
      </c>
      <c r="B540" s="150"/>
      <c r="C540" s="150"/>
      <c r="D540" s="150" t="s">
        <v>494</v>
      </c>
      <c r="E540" s="143">
        <v>6.0</v>
      </c>
      <c r="F540" s="144"/>
      <c r="G540" s="144"/>
      <c r="H540" s="144">
        <f t="shared" si="5"/>
        <v>0</v>
      </c>
      <c r="I540" s="144"/>
      <c r="J540" s="144"/>
      <c r="K540" s="144"/>
    </row>
    <row r="541" hidden="1">
      <c r="A541" s="34" t="s">
        <v>354</v>
      </c>
      <c r="B541" s="150"/>
      <c r="C541" s="150"/>
      <c r="D541" s="150" t="s">
        <v>172</v>
      </c>
      <c r="E541" s="143">
        <v>6.0</v>
      </c>
      <c r="F541" s="144"/>
      <c r="G541" s="144"/>
      <c r="H541" s="144">
        <f t="shared" si="5"/>
        <v>0</v>
      </c>
      <c r="I541" s="144"/>
      <c r="J541" s="144"/>
      <c r="K541" s="144"/>
    </row>
    <row r="542" hidden="1">
      <c r="A542" s="34" t="s">
        <v>354</v>
      </c>
      <c r="B542" s="150"/>
      <c r="C542" s="150"/>
      <c r="D542" s="150" t="s">
        <v>492</v>
      </c>
      <c r="E542" s="143">
        <v>0.0</v>
      </c>
      <c r="F542" s="144"/>
      <c r="G542" s="144"/>
      <c r="H542" s="144">
        <f t="shared" si="5"/>
        <v>0</v>
      </c>
      <c r="I542" s="144"/>
      <c r="J542" s="144"/>
      <c r="K542" s="144"/>
    </row>
    <row r="543" hidden="1">
      <c r="A543" s="104" t="s">
        <v>355</v>
      </c>
      <c r="B543" s="151"/>
      <c r="C543" s="151"/>
      <c r="D543" s="151" t="s">
        <v>510</v>
      </c>
      <c r="E543" s="147">
        <v>76.0</v>
      </c>
      <c r="F543" s="144"/>
      <c r="G543" s="144"/>
      <c r="H543" s="144">
        <f t="shared" si="5"/>
        <v>7600</v>
      </c>
      <c r="I543" s="144"/>
      <c r="J543" s="144"/>
      <c r="K543" s="144"/>
    </row>
    <row r="544" hidden="1">
      <c r="A544" s="104" t="s">
        <v>355</v>
      </c>
      <c r="B544" s="151"/>
      <c r="C544" s="151"/>
      <c r="D544" s="151" t="s">
        <v>511</v>
      </c>
      <c r="E544" s="147">
        <v>75.0</v>
      </c>
      <c r="F544" s="144"/>
      <c r="G544" s="144"/>
      <c r="H544" s="144">
        <f t="shared" si="5"/>
        <v>7500</v>
      </c>
      <c r="I544" s="144"/>
      <c r="J544" s="144"/>
      <c r="K544" s="144"/>
    </row>
    <row r="545" hidden="1">
      <c r="A545" s="104" t="s">
        <v>355</v>
      </c>
      <c r="B545" s="151"/>
      <c r="C545" s="151"/>
      <c r="D545" s="151" t="s">
        <v>512</v>
      </c>
      <c r="E545" s="147">
        <v>75.0</v>
      </c>
      <c r="F545" s="144"/>
      <c r="G545" s="144"/>
      <c r="H545" s="144">
        <f t="shared" si="5"/>
        <v>7500</v>
      </c>
      <c r="I545" s="144"/>
      <c r="J545" s="144"/>
      <c r="K545" s="144"/>
    </row>
    <row r="546" hidden="1">
      <c r="A546" s="104" t="s">
        <v>355</v>
      </c>
      <c r="B546" s="151"/>
      <c r="C546" s="151"/>
      <c r="D546" s="151" t="s">
        <v>513</v>
      </c>
      <c r="E546" s="147">
        <v>75.0</v>
      </c>
      <c r="F546" s="144"/>
      <c r="G546" s="144"/>
      <c r="H546" s="144">
        <f t="shared" si="5"/>
        <v>7500</v>
      </c>
      <c r="I546" s="144"/>
      <c r="J546" s="144"/>
      <c r="K546" s="144"/>
    </row>
    <row r="547" hidden="1">
      <c r="A547" s="104" t="s">
        <v>355</v>
      </c>
      <c r="B547" s="151"/>
      <c r="C547" s="151"/>
      <c r="D547" s="151" t="s">
        <v>514</v>
      </c>
      <c r="E547" s="147">
        <v>75.0</v>
      </c>
      <c r="F547" s="144"/>
      <c r="G547" s="144"/>
      <c r="H547" s="144">
        <f t="shared" si="5"/>
        <v>7500</v>
      </c>
      <c r="I547" s="144"/>
      <c r="J547" s="144"/>
      <c r="K547" s="144"/>
    </row>
    <row r="548" hidden="1">
      <c r="A548" s="104" t="s">
        <v>355</v>
      </c>
      <c r="B548" s="151"/>
      <c r="C548" s="151"/>
      <c r="D548" s="151" t="s">
        <v>515</v>
      </c>
      <c r="E548" s="147">
        <v>66.0</v>
      </c>
      <c r="F548" s="144"/>
      <c r="G548" s="144"/>
      <c r="H548" s="144">
        <f t="shared" si="5"/>
        <v>4950</v>
      </c>
      <c r="I548" s="144"/>
      <c r="J548" s="144"/>
      <c r="K548" s="144"/>
    </row>
    <row r="549" hidden="1">
      <c r="A549" s="104" t="s">
        <v>355</v>
      </c>
      <c r="B549" s="151"/>
      <c r="C549" s="151"/>
      <c r="D549" s="151" t="s">
        <v>516</v>
      </c>
      <c r="E549" s="147">
        <v>65.0</v>
      </c>
      <c r="F549" s="144"/>
      <c r="G549" s="144"/>
      <c r="H549" s="144">
        <f t="shared" si="5"/>
        <v>4875</v>
      </c>
      <c r="I549" s="144"/>
      <c r="J549" s="144"/>
      <c r="K549" s="144"/>
    </row>
    <row r="550" hidden="1">
      <c r="A550" s="104" t="s">
        <v>355</v>
      </c>
      <c r="B550" s="151"/>
      <c r="C550" s="151"/>
      <c r="D550" s="151" t="s">
        <v>517</v>
      </c>
      <c r="E550" s="147">
        <v>54.0</v>
      </c>
      <c r="F550" s="144"/>
      <c r="G550" s="144"/>
      <c r="H550" s="144">
        <f t="shared" si="5"/>
        <v>2700</v>
      </c>
      <c r="I550" s="144"/>
      <c r="J550" s="144"/>
      <c r="K550" s="144"/>
    </row>
    <row r="551" hidden="1">
      <c r="A551" s="104" t="s">
        <v>355</v>
      </c>
      <c r="B551" s="151"/>
      <c r="C551" s="151"/>
      <c r="D551" s="151" t="s">
        <v>518</v>
      </c>
      <c r="E551" s="147">
        <v>33.0</v>
      </c>
      <c r="F551" s="144"/>
      <c r="G551" s="144"/>
      <c r="H551" s="144">
        <f t="shared" si="5"/>
        <v>0</v>
      </c>
      <c r="I551" s="144"/>
      <c r="J551" s="144"/>
      <c r="K551" s="144"/>
    </row>
    <row r="552" hidden="1">
      <c r="A552" s="104" t="s">
        <v>355</v>
      </c>
      <c r="B552" s="151"/>
      <c r="C552" s="151"/>
      <c r="D552" s="151" t="s">
        <v>519</v>
      </c>
      <c r="E552" s="147">
        <v>30.0</v>
      </c>
      <c r="F552" s="144"/>
      <c r="G552" s="144"/>
      <c r="H552" s="144">
        <f t="shared" si="5"/>
        <v>0</v>
      </c>
      <c r="I552" s="144"/>
      <c r="J552" s="144"/>
      <c r="K552" s="144"/>
    </row>
    <row r="553" hidden="1">
      <c r="A553" s="104" t="s">
        <v>355</v>
      </c>
      <c r="B553" s="151"/>
      <c r="C553" s="151"/>
      <c r="D553" s="151" t="s">
        <v>520</v>
      </c>
      <c r="E553" s="147">
        <v>26.0</v>
      </c>
      <c r="F553" s="144"/>
      <c r="G553" s="144"/>
      <c r="H553" s="144">
        <f t="shared" si="5"/>
        <v>0</v>
      </c>
      <c r="I553" s="144"/>
      <c r="J553" s="144"/>
      <c r="K553" s="144"/>
    </row>
    <row r="554" hidden="1">
      <c r="A554" s="104" t="s">
        <v>355</v>
      </c>
      <c r="B554" s="151"/>
      <c r="C554" s="151"/>
      <c r="D554" s="151" t="s">
        <v>521</v>
      </c>
      <c r="E554" s="147">
        <v>25.0</v>
      </c>
      <c r="F554" s="144"/>
      <c r="G554" s="144"/>
      <c r="H554" s="144">
        <f t="shared" si="5"/>
        <v>0</v>
      </c>
      <c r="I554" s="144"/>
      <c r="J554" s="144"/>
      <c r="K554" s="144"/>
    </row>
    <row r="555" hidden="1">
      <c r="A555" s="104" t="s">
        <v>355</v>
      </c>
      <c r="B555" s="151"/>
      <c r="C555" s="151"/>
      <c r="D555" s="151" t="s">
        <v>522</v>
      </c>
      <c r="E555" s="147">
        <v>31.0</v>
      </c>
      <c r="F555" s="144"/>
      <c r="G555" s="144"/>
      <c r="H555" s="144">
        <f t="shared" si="5"/>
        <v>0</v>
      </c>
      <c r="I555" s="144"/>
      <c r="J555" s="144"/>
      <c r="K555" s="144"/>
    </row>
    <row r="556" hidden="1">
      <c r="A556" s="104" t="s">
        <v>355</v>
      </c>
      <c r="B556" s="151"/>
      <c r="C556" s="151"/>
      <c r="D556" s="151" t="s">
        <v>523</v>
      </c>
      <c r="E556" s="147">
        <v>0.0</v>
      </c>
      <c r="F556" s="144"/>
      <c r="G556" s="144"/>
      <c r="H556" s="144">
        <f t="shared" si="5"/>
        <v>0</v>
      </c>
      <c r="I556" s="144"/>
      <c r="J556" s="144"/>
      <c r="K556" s="144"/>
    </row>
    <row r="557" hidden="1">
      <c r="A557" s="104" t="s">
        <v>382</v>
      </c>
      <c r="B557" s="152"/>
      <c r="C557" s="152"/>
      <c r="D557" s="152" t="s">
        <v>511</v>
      </c>
      <c r="E557" s="147">
        <v>77.0</v>
      </c>
      <c r="F557" s="144"/>
      <c r="G557" s="144"/>
      <c r="H557" s="144">
        <f t="shared" ref="H557:H559" si="8">IF(E557&gt;75,100*E557,IF(E557&gt;=65,75*E557,IF(E557&gt;=50,50*E557,0)))</f>
        <v>7700</v>
      </c>
      <c r="I557" s="144"/>
      <c r="J557" s="144"/>
      <c r="K557" s="144"/>
    </row>
    <row r="558" hidden="1">
      <c r="A558" s="104" t="s">
        <v>382</v>
      </c>
      <c r="B558" s="152"/>
      <c r="C558" s="152"/>
      <c r="D558" s="152" t="s">
        <v>512</v>
      </c>
      <c r="E558" s="147">
        <v>76.0</v>
      </c>
      <c r="F558" s="144"/>
      <c r="G558" s="144"/>
      <c r="H558" s="144">
        <f t="shared" si="8"/>
        <v>7600</v>
      </c>
      <c r="I558" s="144"/>
      <c r="J558" s="144"/>
      <c r="K558" s="144"/>
    </row>
    <row r="559" hidden="1">
      <c r="A559" s="104" t="s">
        <v>382</v>
      </c>
      <c r="B559" s="152"/>
      <c r="C559" s="152"/>
      <c r="D559" s="152" t="s">
        <v>510</v>
      </c>
      <c r="E559" s="147">
        <v>76.0</v>
      </c>
      <c r="F559" s="144"/>
      <c r="G559" s="144"/>
      <c r="H559" s="144">
        <f t="shared" si="8"/>
        <v>7600</v>
      </c>
      <c r="I559" s="144"/>
      <c r="J559" s="144"/>
      <c r="K559" s="144"/>
    </row>
    <row r="560" hidden="1">
      <c r="A560" s="104" t="s">
        <v>382</v>
      </c>
      <c r="B560" s="152"/>
      <c r="C560" s="152"/>
      <c r="D560" s="152" t="s">
        <v>521</v>
      </c>
      <c r="E560" s="147">
        <v>75.0</v>
      </c>
      <c r="F560" s="144"/>
      <c r="G560" s="144"/>
      <c r="H560" s="144">
        <f t="shared" ref="H560:H570" si="9">IF(E560&gt;=75,100*E560,IF(E560&gt;=65,75*E560,IF(E560&gt;=50,50*E560,0)))</f>
        <v>7500</v>
      </c>
      <c r="I560" s="144"/>
      <c r="J560" s="144"/>
      <c r="K560" s="144"/>
    </row>
    <row r="561" hidden="1">
      <c r="A561" s="104" t="s">
        <v>382</v>
      </c>
      <c r="B561" s="152"/>
      <c r="C561" s="152"/>
      <c r="D561" s="152" t="s">
        <v>513</v>
      </c>
      <c r="E561" s="147">
        <v>75.0</v>
      </c>
      <c r="F561" s="144"/>
      <c r="G561" s="144"/>
      <c r="H561" s="144">
        <f t="shared" si="9"/>
        <v>7500</v>
      </c>
      <c r="I561" s="144"/>
      <c r="J561" s="144"/>
      <c r="K561" s="144"/>
    </row>
    <row r="562" hidden="1">
      <c r="A562" s="104" t="s">
        <v>382</v>
      </c>
      <c r="B562" s="152"/>
      <c r="C562" s="152"/>
      <c r="D562" s="152" t="s">
        <v>514</v>
      </c>
      <c r="E562" s="147">
        <v>75.0</v>
      </c>
      <c r="F562" s="144"/>
      <c r="G562" s="144"/>
      <c r="H562" s="144">
        <f t="shared" si="9"/>
        <v>7500</v>
      </c>
      <c r="I562" s="144"/>
      <c r="J562" s="144"/>
      <c r="K562" s="144"/>
    </row>
    <row r="563" hidden="1">
      <c r="A563" s="104" t="s">
        <v>382</v>
      </c>
      <c r="B563" s="152"/>
      <c r="C563" s="152"/>
      <c r="D563" s="152" t="s">
        <v>515</v>
      </c>
      <c r="E563" s="147">
        <v>71.0</v>
      </c>
      <c r="F563" s="144"/>
      <c r="G563" s="144"/>
      <c r="H563" s="144">
        <f t="shared" si="9"/>
        <v>5325</v>
      </c>
      <c r="I563" s="144"/>
      <c r="J563" s="144"/>
      <c r="K563" s="144"/>
    </row>
    <row r="564" hidden="1">
      <c r="A564" s="104" t="s">
        <v>382</v>
      </c>
      <c r="B564" s="152"/>
      <c r="C564" s="152"/>
      <c r="D564" s="152" t="s">
        <v>516</v>
      </c>
      <c r="E564" s="147">
        <v>65.0</v>
      </c>
      <c r="F564" s="144"/>
      <c r="G564" s="144"/>
      <c r="H564" s="144">
        <f t="shared" si="9"/>
        <v>4875</v>
      </c>
      <c r="I564" s="144"/>
      <c r="J564" s="144"/>
      <c r="K564" s="144"/>
    </row>
    <row r="565" hidden="1">
      <c r="A565" s="104" t="s">
        <v>382</v>
      </c>
      <c r="B565" s="152"/>
      <c r="C565" s="152"/>
      <c r="D565" s="152" t="s">
        <v>517</v>
      </c>
      <c r="E565" s="147">
        <v>58.0</v>
      </c>
      <c r="F565" s="144"/>
      <c r="G565" s="144"/>
      <c r="H565" s="144">
        <f t="shared" si="9"/>
        <v>2900</v>
      </c>
      <c r="I565" s="144"/>
      <c r="J565" s="144"/>
      <c r="K565" s="144"/>
    </row>
    <row r="566" hidden="1">
      <c r="A566" s="104" t="s">
        <v>382</v>
      </c>
      <c r="B566" s="153"/>
      <c r="C566" s="153"/>
      <c r="D566" s="153" t="s">
        <v>518</v>
      </c>
      <c r="E566" s="147">
        <v>3.0</v>
      </c>
      <c r="F566" s="144"/>
      <c r="G566" s="144"/>
      <c r="H566" s="144">
        <f t="shared" si="9"/>
        <v>0</v>
      </c>
      <c r="I566" s="144"/>
      <c r="J566" s="144"/>
      <c r="K566" s="144"/>
    </row>
    <row r="567" hidden="1">
      <c r="A567" s="104" t="s">
        <v>382</v>
      </c>
      <c r="B567" s="153"/>
      <c r="C567" s="153"/>
      <c r="D567" s="153" t="s">
        <v>519</v>
      </c>
      <c r="E567" s="147">
        <v>3.0</v>
      </c>
      <c r="F567" s="144"/>
      <c r="G567" s="144"/>
      <c r="H567" s="144">
        <f t="shared" si="9"/>
        <v>0</v>
      </c>
      <c r="I567" s="144"/>
      <c r="J567" s="144"/>
      <c r="K567" s="144"/>
    </row>
    <row r="568" hidden="1">
      <c r="A568" s="104" t="s">
        <v>382</v>
      </c>
      <c r="B568" s="153"/>
      <c r="C568" s="153"/>
      <c r="D568" s="153" t="s">
        <v>520</v>
      </c>
      <c r="E568" s="147">
        <v>3.0</v>
      </c>
      <c r="F568" s="144"/>
      <c r="G568" s="144"/>
      <c r="H568" s="144">
        <f t="shared" si="9"/>
        <v>0</v>
      </c>
      <c r="I568" s="144"/>
      <c r="J568" s="144"/>
      <c r="K568" s="144"/>
    </row>
    <row r="569" hidden="1">
      <c r="A569" s="104" t="s">
        <v>382</v>
      </c>
      <c r="B569" s="153"/>
      <c r="C569" s="153"/>
      <c r="D569" s="153" t="s">
        <v>522</v>
      </c>
      <c r="E569" s="147">
        <v>2.0</v>
      </c>
      <c r="F569" s="144"/>
      <c r="G569" s="144"/>
      <c r="H569" s="144">
        <f t="shared" si="9"/>
        <v>0</v>
      </c>
      <c r="I569" s="144"/>
      <c r="J569" s="144"/>
      <c r="K569" s="144"/>
    </row>
    <row r="570" hidden="1">
      <c r="A570" s="104" t="s">
        <v>382</v>
      </c>
      <c r="B570" s="152"/>
      <c r="C570" s="152"/>
      <c r="D570" s="152" t="s">
        <v>523</v>
      </c>
      <c r="E570" s="147">
        <v>0.0</v>
      </c>
      <c r="F570" s="144"/>
      <c r="G570" s="144"/>
      <c r="H570" s="144">
        <f t="shared" si="9"/>
        <v>0</v>
      </c>
      <c r="I570" s="144"/>
      <c r="J570" s="144"/>
      <c r="K570" s="144"/>
    </row>
    <row r="571">
      <c r="A571" s="100"/>
      <c r="B571" s="152"/>
      <c r="C571" s="152"/>
      <c r="D571" s="152"/>
      <c r="E571" s="154"/>
      <c r="F571" s="144"/>
      <c r="G571" s="144"/>
      <c r="H571" s="144"/>
      <c r="I571" s="144"/>
      <c r="J571" s="144"/>
      <c r="K571" s="144"/>
    </row>
    <row r="572">
      <c r="A572" s="100"/>
      <c r="B572" s="152"/>
      <c r="C572" s="152"/>
      <c r="D572" s="152"/>
      <c r="E572" s="154"/>
      <c r="F572" s="144"/>
      <c r="G572" s="144"/>
      <c r="H572" s="144"/>
      <c r="I572" s="144"/>
      <c r="J572" s="144"/>
      <c r="K572" s="144"/>
    </row>
  </sheetData>
  <autoFilter ref="$A$4:$K$570">
    <filterColumn colId="0">
      <filters>
        <filter val="Week 2/9/26 - 2/15/26"/>
      </filters>
    </filterColumn>
  </autoFilter>
  <mergeCells count="1">
    <mergeCell ref="A1:H2"/>
  </mergeCells>
  <dataValidations>
    <dataValidation type="list" allowBlank="1" showErrorMessage="1" sqref="A171:A174">
      <formula1>"Week 9/1/25 - 9/7/25"</formula1>
    </dataValidation>
    <dataValidation type="list" allowBlank="1" showErrorMessage="1" sqref="A138:A144">
      <formula1>"Week 10/13/25 - 10/19/25"</formula1>
    </dataValidation>
    <dataValidation type="list" allowBlank="1" showErrorMessage="1" sqref="A216:A232">
      <formula1>"Week 8/11/25 - 8/17/25 "</formula1>
    </dataValidation>
    <dataValidation type="list" allowBlank="1" showErrorMessage="1" sqref="A256:A277">
      <formula1>"Week 7/28/25 - 8/3/25"</formula1>
    </dataValidation>
    <dataValidation type="list" allowBlank="1" showErrorMessage="1" sqref="A42:A52">
      <formula1>"Week 1/19/26 - 1/25/26"</formula1>
    </dataValidation>
    <dataValidation type="list" allowBlank="1" showErrorMessage="1" sqref="A145:A150">
      <formula1>"Week 10/6/25 - 10/12/25"</formula1>
    </dataValidation>
    <dataValidation type="list" allowBlank="1" showErrorMessage="1" sqref="A87:A92">
      <formula1>"Week 12/15/25 - 12/21/25"</formula1>
    </dataValidation>
    <dataValidation type="list" allowBlank="1" showErrorMessage="1" sqref="A8:A19">
      <formula1>"Week 2/9/26 - 2/15/26"</formula1>
    </dataValidation>
    <dataValidation type="list" allowBlank="1" showErrorMessage="1" sqref="A64:A74">
      <formula1>"Week 1/5/26 - 1/11/26"</formula1>
    </dataValidation>
    <dataValidation type="list" allowBlank="1" showErrorMessage="1" sqref="A233:A255">
      <formula1>"Week 8/4/25 - 8/10/25"</formula1>
    </dataValidation>
    <dataValidation type="list" allowBlank="1" showErrorMessage="1" sqref="A93:A98">
      <formula1>"Week 12/8/25 - 12/14/25"</formula1>
    </dataValidation>
    <dataValidation type="list" allowBlank="1" showErrorMessage="1" sqref="A5:A7 A111:A115">
      <formula1>"Week 11/17/25 - 11/23/25"</formula1>
    </dataValidation>
    <dataValidation type="list" allowBlank="1" showErrorMessage="1" sqref="A199:A215">
      <formula1>"Week 8/18/25 - 8/24/25 "</formula1>
    </dataValidation>
    <dataValidation type="list" allowBlank="1" showErrorMessage="1" sqref="A53:A63">
      <formula1>"Week 1/12/26 - 1/18/26"</formula1>
    </dataValidation>
    <dataValidation type="list" allowBlank="1" showErrorMessage="1" sqref="A557:A570">
      <formula1>"Week 3/31/25 - 4/6/25"</formula1>
    </dataValidation>
    <dataValidation type="list" allowBlank="1" showErrorMessage="1" sqref="A75:A80">
      <formula1>"Week 12/29/25 - 1/4/26"</formula1>
    </dataValidation>
    <dataValidation type="list" allowBlank="1" showErrorMessage="1" sqref="A151:A156">
      <formula1>"Week 9/29/25 - 10/5/25"</formula1>
    </dataValidation>
    <dataValidation type="list" allowBlank="1" showErrorMessage="1" sqref="A99:A104">
      <formula1>"Week 12/1/25 - 12/7/25"</formula1>
    </dataValidation>
    <dataValidation type="list" allowBlank="1" showErrorMessage="1" sqref="A132:A137">
      <formula1>"Week 10/20/25 - 10/26/25"</formula1>
    </dataValidation>
    <dataValidation type="list" allowBlank="1" showErrorMessage="1" sqref="A116:A121">
      <formula1>"Week 11/10/25 - 11/16/25"</formula1>
    </dataValidation>
    <dataValidation type="list" allowBlank="1" showErrorMessage="1" sqref="A127:A131">
      <formula1>"Week 10/27/25 - 11/2/25"</formula1>
    </dataValidation>
    <dataValidation type="list" allowBlank="1" showErrorMessage="1" sqref="A157:A162">
      <formula1>"Week 9/22/25 - 9/28/25"</formula1>
    </dataValidation>
    <dataValidation type="list" allowBlank="1" showErrorMessage="1" sqref="A32:A41">
      <formula1>"Week 1/26/26 - 2/1/26"</formula1>
    </dataValidation>
    <dataValidation type="list" allowBlank="1" showErrorMessage="1" sqref="A122:A126">
      <formula1>"Week 11/3/25 - 11/9/25"</formula1>
    </dataValidation>
    <dataValidation type="list" allowBlank="1" showErrorMessage="1" sqref="A167:A170">
      <formula1>"Week 9/08/25 - 9/14/25"</formula1>
    </dataValidation>
    <dataValidation type="list" allowBlank="1" showErrorMessage="1" sqref="A175:A198">
      <formula1>"Week 8/25/25 - 8/31/25"</formula1>
    </dataValidation>
    <dataValidation type="list" allowBlank="1" showErrorMessage="1" sqref="A105:A110">
      <formula1>"Week 11/24/25 - 11/30/25"</formula1>
    </dataValidation>
    <dataValidation type="list" allowBlank="1" showErrorMessage="1" sqref="A278:A556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163:A166">
      <formula1>"Week 9/15/25 - 9/21/25"</formula1>
    </dataValidation>
    <dataValidation type="list" allowBlank="1" showErrorMessage="1" sqref="A20:A31">
      <formula1>"Week 2/2/26 - 2/8/26"</formula1>
    </dataValidation>
    <dataValidation type="list" allowBlank="1" showErrorMessage="1" sqref="A81:A86">
      <formula1>"Week 12/22/25 - 12/28/25"</formula1>
    </dataValidation>
  </dataValidations>
  <hyperlinks>
    <hyperlink r:id="rId2" location="gid=68380012" ref="A3"/>
  </hyperlinks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7.13"/>
    <col customWidth="1" min="2" max="2" width="23.75"/>
    <col customWidth="1" min="3" max="3" width="26.88"/>
    <col customWidth="1" min="4" max="4" width="30.5"/>
    <col customWidth="1" min="5" max="5" width="21.5"/>
    <col customWidth="1" min="8" max="8" width="38.88"/>
    <col hidden="1" min="9" max="10" width="12.63"/>
  </cols>
  <sheetData>
    <row r="1">
      <c r="A1" s="244" t="s">
        <v>607</v>
      </c>
      <c r="H1" s="244"/>
      <c r="I1" s="244"/>
      <c r="J1" s="244"/>
    </row>
    <row r="2">
      <c r="A2" s="2" t="s">
        <v>608</v>
      </c>
      <c r="B2" s="3"/>
      <c r="C2" s="245"/>
      <c r="D2" s="245"/>
      <c r="E2" s="4"/>
      <c r="F2" s="246"/>
      <c r="G2" s="245"/>
      <c r="H2" s="3"/>
      <c r="I2" s="247"/>
      <c r="J2" s="247"/>
    </row>
    <row r="3">
      <c r="A3" s="248" t="s">
        <v>609</v>
      </c>
      <c r="B3" s="249"/>
      <c r="C3" s="250"/>
      <c r="D3" s="250"/>
      <c r="E3" s="251"/>
      <c r="F3" s="252"/>
      <c r="G3" s="250"/>
      <c r="H3" s="249"/>
      <c r="I3" s="253"/>
      <c r="J3" s="253"/>
    </row>
    <row r="4">
      <c r="A4" s="3" t="s">
        <v>2</v>
      </c>
      <c r="B4" s="3" t="s">
        <v>3</v>
      </c>
      <c r="C4" s="245" t="s">
        <v>4</v>
      </c>
      <c r="D4" s="245" t="s">
        <v>5</v>
      </c>
      <c r="E4" s="4" t="s">
        <v>610</v>
      </c>
      <c r="F4" s="246" t="s">
        <v>611</v>
      </c>
      <c r="G4" s="245" t="s">
        <v>12</v>
      </c>
      <c r="H4" s="3"/>
      <c r="I4" s="247"/>
      <c r="J4" s="247"/>
    </row>
    <row r="5" hidden="1">
      <c r="A5" s="6" t="s">
        <v>265</v>
      </c>
      <c r="B5" s="254" t="s">
        <v>612</v>
      </c>
      <c r="C5" s="254" t="s">
        <v>613</v>
      </c>
      <c r="D5" s="254" t="s">
        <v>614</v>
      </c>
      <c r="E5" s="236">
        <v>0.0</v>
      </c>
      <c r="F5" s="243">
        <v>0.0</v>
      </c>
      <c r="G5" s="39">
        <f t="shared" ref="G5:G1221" si="1">sum(E5*250)+(F5*100)</f>
        <v>0</v>
      </c>
      <c r="H5" s="13" t="str">
        <f t="shared" ref="H5:H1221" si="2">E5 &amp; " Signed Rep + " &amp; F5 &amp; " 5-Star Review"</f>
        <v>0 Signed Rep + 0 5-Star Review</v>
      </c>
      <c r="I5" s="14"/>
      <c r="J5" s="14"/>
    </row>
    <row r="6" hidden="1">
      <c r="A6" s="6" t="s">
        <v>205</v>
      </c>
      <c r="B6" s="255" t="s">
        <v>615</v>
      </c>
      <c r="C6" s="255" t="s">
        <v>616</v>
      </c>
      <c r="D6" s="255" t="s">
        <v>617</v>
      </c>
      <c r="E6" s="256">
        <v>3.0</v>
      </c>
      <c r="F6" s="256">
        <v>0.0</v>
      </c>
      <c r="G6" s="39">
        <f t="shared" si="1"/>
        <v>750</v>
      </c>
      <c r="H6" s="13" t="str">
        <f t="shared" si="2"/>
        <v>3 Signed Rep + 0 5-Star Review</v>
      </c>
      <c r="I6" s="14"/>
      <c r="J6" s="14"/>
    </row>
    <row r="7" hidden="1">
      <c r="A7" s="6" t="s">
        <v>205</v>
      </c>
      <c r="B7" s="255" t="s">
        <v>618</v>
      </c>
      <c r="C7" s="255" t="s">
        <v>619</v>
      </c>
      <c r="D7" s="255" t="s">
        <v>620</v>
      </c>
      <c r="E7" s="256">
        <v>9.0</v>
      </c>
      <c r="F7" s="256">
        <v>0.0</v>
      </c>
      <c r="G7" s="39">
        <f t="shared" si="1"/>
        <v>2250</v>
      </c>
      <c r="H7" s="13" t="str">
        <f t="shared" si="2"/>
        <v>9 Signed Rep + 0 5-Star Review</v>
      </c>
      <c r="I7" s="14"/>
      <c r="J7" s="14"/>
    </row>
    <row r="8" hidden="1">
      <c r="A8" s="6" t="s">
        <v>205</v>
      </c>
      <c r="B8" s="255" t="s">
        <v>621</v>
      </c>
      <c r="C8" s="255" t="s">
        <v>622</v>
      </c>
      <c r="D8" s="255" t="s">
        <v>623</v>
      </c>
      <c r="E8" s="256">
        <v>0.0</v>
      </c>
      <c r="F8" s="256">
        <v>0.0</v>
      </c>
      <c r="G8" s="39">
        <f t="shared" si="1"/>
        <v>0</v>
      </c>
      <c r="H8" s="13" t="str">
        <f t="shared" si="2"/>
        <v>0 Signed Rep + 0 5-Star Review</v>
      </c>
      <c r="I8" s="14"/>
      <c r="J8" s="14"/>
    </row>
    <row r="9" hidden="1">
      <c r="A9" s="6" t="s">
        <v>205</v>
      </c>
      <c r="B9" s="255" t="s">
        <v>624</v>
      </c>
      <c r="C9" s="255" t="s">
        <v>625</v>
      </c>
      <c r="D9" s="255" t="s">
        <v>626</v>
      </c>
      <c r="E9" s="256">
        <v>8.0</v>
      </c>
      <c r="F9" s="256">
        <v>0.0</v>
      </c>
      <c r="G9" s="39">
        <f t="shared" si="1"/>
        <v>2000</v>
      </c>
      <c r="H9" s="13" t="str">
        <f t="shared" si="2"/>
        <v>8 Signed Rep + 0 5-Star Review</v>
      </c>
      <c r="I9" s="14"/>
      <c r="J9" s="14"/>
    </row>
    <row r="10" hidden="1">
      <c r="A10" s="6" t="s">
        <v>205</v>
      </c>
      <c r="B10" s="255" t="s">
        <v>627</v>
      </c>
      <c r="C10" s="255" t="s">
        <v>628</v>
      </c>
      <c r="D10" s="255" t="s">
        <v>629</v>
      </c>
      <c r="E10" s="256">
        <v>9.0</v>
      </c>
      <c r="F10" s="256">
        <v>0.0</v>
      </c>
      <c r="G10" s="39">
        <f t="shared" si="1"/>
        <v>2250</v>
      </c>
      <c r="H10" s="13" t="str">
        <f t="shared" si="2"/>
        <v>9 Signed Rep + 0 5-Star Review</v>
      </c>
      <c r="I10" s="14"/>
      <c r="J10" s="14"/>
    </row>
    <row r="11" hidden="1">
      <c r="A11" s="6" t="s">
        <v>205</v>
      </c>
      <c r="B11" s="255" t="s">
        <v>630</v>
      </c>
      <c r="C11" s="255" t="s">
        <v>631</v>
      </c>
      <c r="D11" s="255" t="s">
        <v>632</v>
      </c>
      <c r="E11" s="256">
        <v>5.0</v>
      </c>
      <c r="F11" s="256">
        <v>3.0</v>
      </c>
      <c r="G11" s="39">
        <f t="shared" si="1"/>
        <v>1550</v>
      </c>
      <c r="H11" s="13" t="str">
        <f t="shared" si="2"/>
        <v>5 Signed Rep + 3 5-Star Review</v>
      </c>
      <c r="I11" s="14"/>
      <c r="J11" s="14"/>
    </row>
    <row r="12" hidden="1">
      <c r="A12" s="6" t="s">
        <v>205</v>
      </c>
      <c r="B12" s="255" t="s">
        <v>633</v>
      </c>
      <c r="C12" s="255" t="s">
        <v>634</v>
      </c>
      <c r="D12" s="255" t="s">
        <v>635</v>
      </c>
      <c r="E12" s="256">
        <v>2.0</v>
      </c>
      <c r="F12" s="256">
        <v>0.0</v>
      </c>
      <c r="G12" s="39">
        <f t="shared" si="1"/>
        <v>500</v>
      </c>
      <c r="H12" s="13" t="str">
        <f t="shared" si="2"/>
        <v>2 Signed Rep + 0 5-Star Review</v>
      </c>
      <c r="I12" s="14"/>
      <c r="J12" s="14"/>
    </row>
    <row r="13" hidden="1">
      <c r="A13" s="6" t="s">
        <v>205</v>
      </c>
      <c r="B13" s="255" t="s">
        <v>636</v>
      </c>
      <c r="C13" s="255" t="s">
        <v>637</v>
      </c>
      <c r="D13" s="255" t="s">
        <v>638</v>
      </c>
      <c r="E13" s="256">
        <v>0.0</v>
      </c>
      <c r="F13" s="256">
        <v>0.0</v>
      </c>
      <c r="G13" s="39">
        <f t="shared" si="1"/>
        <v>0</v>
      </c>
      <c r="H13" s="13" t="str">
        <f t="shared" si="2"/>
        <v>0 Signed Rep + 0 5-Star Review</v>
      </c>
      <c r="I13" s="14"/>
      <c r="J13" s="14"/>
    </row>
    <row r="14" hidden="1">
      <c r="A14" s="6" t="s">
        <v>205</v>
      </c>
      <c r="B14" s="255" t="s">
        <v>639</v>
      </c>
      <c r="C14" s="255" t="s">
        <v>640</v>
      </c>
      <c r="D14" s="255" t="s">
        <v>641</v>
      </c>
      <c r="E14" s="256">
        <v>0.0</v>
      </c>
      <c r="F14" s="256">
        <v>0.0</v>
      </c>
      <c r="G14" s="39">
        <f t="shared" si="1"/>
        <v>0</v>
      </c>
      <c r="H14" s="13" t="str">
        <f t="shared" si="2"/>
        <v>0 Signed Rep + 0 5-Star Review</v>
      </c>
      <c r="I14" s="14"/>
      <c r="J14" s="14"/>
    </row>
    <row r="15" hidden="1">
      <c r="A15" s="6" t="s">
        <v>205</v>
      </c>
      <c r="B15" s="255" t="s">
        <v>642</v>
      </c>
      <c r="C15" s="255" t="s">
        <v>643</v>
      </c>
      <c r="D15" s="255" t="s">
        <v>644</v>
      </c>
      <c r="E15" s="256">
        <v>10.0</v>
      </c>
      <c r="F15" s="256">
        <v>0.0</v>
      </c>
      <c r="G15" s="39">
        <f t="shared" si="1"/>
        <v>2500</v>
      </c>
      <c r="H15" s="13" t="str">
        <f t="shared" si="2"/>
        <v>10 Signed Rep + 0 5-Star Review</v>
      </c>
      <c r="I15" s="14"/>
      <c r="J15" s="14"/>
    </row>
    <row r="16" hidden="1">
      <c r="A16" s="6" t="s">
        <v>205</v>
      </c>
      <c r="B16" s="255" t="s">
        <v>645</v>
      </c>
      <c r="C16" s="255" t="s">
        <v>646</v>
      </c>
      <c r="D16" s="255" t="s">
        <v>647</v>
      </c>
      <c r="E16" s="256">
        <v>5.0</v>
      </c>
      <c r="F16" s="256">
        <v>0.0</v>
      </c>
      <c r="G16" s="39">
        <f t="shared" si="1"/>
        <v>1250</v>
      </c>
      <c r="H16" s="13" t="str">
        <f t="shared" si="2"/>
        <v>5 Signed Rep + 0 5-Star Review</v>
      </c>
      <c r="I16" s="14"/>
      <c r="J16" s="14"/>
    </row>
    <row r="17" hidden="1">
      <c r="A17" s="6" t="s">
        <v>205</v>
      </c>
      <c r="B17" s="255" t="s">
        <v>648</v>
      </c>
      <c r="C17" s="255" t="s">
        <v>649</v>
      </c>
      <c r="D17" s="255" t="s">
        <v>650</v>
      </c>
      <c r="E17" s="256">
        <v>8.0</v>
      </c>
      <c r="F17" s="256">
        <v>0.0</v>
      </c>
      <c r="G17" s="39">
        <f t="shared" si="1"/>
        <v>2000</v>
      </c>
      <c r="H17" s="13" t="str">
        <f t="shared" si="2"/>
        <v>8 Signed Rep + 0 5-Star Review</v>
      </c>
      <c r="I17" s="14"/>
      <c r="J17" s="14"/>
    </row>
    <row r="18" hidden="1">
      <c r="A18" s="6" t="s">
        <v>205</v>
      </c>
      <c r="B18" s="255" t="s">
        <v>651</v>
      </c>
      <c r="C18" s="255" t="s">
        <v>652</v>
      </c>
      <c r="D18" s="255" t="s">
        <v>653</v>
      </c>
      <c r="E18" s="256">
        <v>5.0</v>
      </c>
      <c r="F18" s="256">
        <v>0.0</v>
      </c>
      <c r="G18" s="39">
        <f t="shared" si="1"/>
        <v>1250</v>
      </c>
      <c r="H18" s="13" t="str">
        <f t="shared" si="2"/>
        <v>5 Signed Rep + 0 5-Star Review</v>
      </c>
      <c r="I18" s="14"/>
      <c r="J18" s="14"/>
    </row>
    <row r="19" hidden="1">
      <c r="A19" s="6" t="s">
        <v>205</v>
      </c>
      <c r="B19" s="255" t="s">
        <v>654</v>
      </c>
      <c r="C19" s="255" t="s">
        <v>655</v>
      </c>
      <c r="D19" s="255" t="s">
        <v>656</v>
      </c>
      <c r="E19" s="256">
        <v>10.0</v>
      </c>
      <c r="F19" s="256">
        <v>0.0</v>
      </c>
      <c r="G19" s="39">
        <f t="shared" si="1"/>
        <v>2500</v>
      </c>
      <c r="H19" s="13" t="str">
        <f t="shared" si="2"/>
        <v>10 Signed Rep + 0 5-Star Review</v>
      </c>
      <c r="I19" s="14"/>
      <c r="J19" s="14"/>
    </row>
    <row r="20" hidden="1">
      <c r="A20" s="6" t="s">
        <v>205</v>
      </c>
      <c r="B20" s="255" t="s">
        <v>657</v>
      </c>
      <c r="C20" s="255" t="s">
        <v>658</v>
      </c>
      <c r="D20" s="255" t="s">
        <v>659</v>
      </c>
      <c r="E20" s="256">
        <v>14.0</v>
      </c>
      <c r="F20" s="256">
        <v>0.0</v>
      </c>
      <c r="G20" s="39">
        <f t="shared" si="1"/>
        <v>3500</v>
      </c>
      <c r="H20" s="13" t="str">
        <f t="shared" si="2"/>
        <v>14 Signed Rep + 0 5-Star Review</v>
      </c>
      <c r="I20" s="14"/>
      <c r="J20" s="14"/>
    </row>
    <row r="21" hidden="1">
      <c r="A21" s="6" t="s">
        <v>205</v>
      </c>
      <c r="B21" s="255" t="s">
        <v>213</v>
      </c>
      <c r="C21" s="255" t="s">
        <v>214</v>
      </c>
      <c r="D21" s="255" t="s">
        <v>660</v>
      </c>
      <c r="E21" s="256">
        <v>5.0</v>
      </c>
      <c r="F21" s="256">
        <v>0.0</v>
      </c>
      <c r="G21" s="39">
        <f t="shared" si="1"/>
        <v>1250</v>
      </c>
      <c r="H21" s="13" t="str">
        <f t="shared" si="2"/>
        <v>5 Signed Rep + 0 5-Star Review</v>
      </c>
      <c r="I21" s="14"/>
      <c r="J21" s="14"/>
    </row>
    <row r="22" hidden="1">
      <c r="A22" s="6" t="s">
        <v>205</v>
      </c>
      <c r="B22" s="255" t="s">
        <v>661</v>
      </c>
      <c r="C22" s="255" t="s">
        <v>662</v>
      </c>
      <c r="D22" s="255" t="s">
        <v>663</v>
      </c>
      <c r="E22" s="256">
        <v>16.0</v>
      </c>
      <c r="F22" s="256">
        <v>0.0</v>
      </c>
      <c r="G22" s="39">
        <f t="shared" si="1"/>
        <v>4000</v>
      </c>
      <c r="H22" s="13" t="str">
        <f t="shared" si="2"/>
        <v>16 Signed Rep + 0 5-Star Review</v>
      </c>
      <c r="I22" s="14"/>
      <c r="J22" s="14"/>
    </row>
    <row r="23" hidden="1">
      <c r="A23" s="6" t="s">
        <v>205</v>
      </c>
      <c r="B23" s="255" t="s">
        <v>664</v>
      </c>
      <c r="C23" s="255" t="s">
        <v>665</v>
      </c>
      <c r="D23" s="255" t="s">
        <v>666</v>
      </c>
      <c r="E23" s="256">
        <v>25.0</v>
      </c>
      <c r="F23" s="256">
        <v>0.0</v>
      </c>
      <c r="G23" s="39">
        <f t="shared" si="1"/>
        <v>6250</v>
      </c>
      <c r="H23" s="13" t="str">
        <f t="shared" si="2"/>
        <v>25 Signed Rep + 0 5-Star Review</v>
      </c>
      <c r="I23" s="14"/>
      <c r="J23" s="14"/>
    </row>
    <row r="24" hidden="1">
      <c r="A24" s="6" t="s">
        <v>205</v>
      </c>
      <c r="B24" s="255" t="s">
        <v>667</v>
      </c>
      <c r="C24" s="255" t="s">
        <v>668</v>
      </c>
      <c r="D24" s="255" t="s">
        <v>669</v>
      </c>
      <c r="E24" s="256">
        <v>11.0</v>
      </c>
      <c r="F24" s="256">
        <v>1.0</v>
      </c>
      <c r="G24" s="39">
        <f t="shared" si="1"/>
        <v>2850</v>
      </c>
      <c r="H24" s="13" t="str">
        <f t="shared" si="2"/>
        <v>11 Signed Rep + 1 5-Star Review</v>
      </c>
      <c r="I24" s="14"/>
      <c r="J24" s="14"/>
    </row>
    <row r="25" hidden="1">
      <c r="A25" s="6" t="s">
        <v>205</v>
      </c>
      <c r="B25" s="255" t="s">
        <v>670</v>
      </c>
      <c r="C25" s="255" t="s">
        <v>671</v>
      </c>
      <c r="D25" s="255" t="s">
        <v>672</v>
      </c>
      <c r="E25" s="256">
        <v>7.0</v>
      </c>
      <c r="F25" s="256">
        <v>0.0</v>
      </c>
      <c r="G25" s="39">
        <f t="shared" si="1"/>
        <v>1750</v>
      </c>
      <c r="H25" s="13" t="str">
        <f t="shared" si="2"/>
        <v>7 Signed Rep + 0 5-Star Review</v>
      </c>
      <c r="I25" s="14"/>
      <c r="J25" s="14"/>
    </row>
    <row r="26" hidden="1">
      <c r="A26" s="6" t="s">
        <v>205</v>
      </c>
      <c r="B26" s="255" t="s">
        <v>673</v>
      </c>
      <c r="C26" s="255" t="s">
        <v>674</v>
      </c>
      <c r="D26" s="255" t="s">
        <v>675</v>
      </c>
      <c r="E26" s="256">
        <v>12.0</v>
      </c>
      <c r="F26" s="256">
        <v>0.0</v>
      </c>
      <c r="G26" s="39">
        <f t="shared" si="1"/>
        <v>3000</v>
      </c>
      <c r="H26" s="13" t="str">
        <f t="shared" si="2"/>
        <v>12 Signed Rep + 0 5-Star Review</v>
      </c>
      <c r="I26" s="14"/>
      <c r="J26" s="14"/>
    </row>
    <row r="27" hidden="1">
      <c r="A27" s="6" t="s">
        <v>205</v>
      </c>
      <c r="B27" s="255" t="s">
        <v>676</v>
      </c>
      <c r="C27" s="255" t="s">
        <v>677</v>
      </c>
      <c r="D27" s="255" t="s">
        <v>678</v>
      </c>
      <c r="E27" s="256">
        <v>9.0</v>
      </c>
      <c r="F27" s="256">
        <v>0.0</v>
      </c>
      <c r="G27" s="39">
        <f t="shared" si="1"/>
        <v>2250</v>
      </c>
      <c r="H27" s="13" t="str">
        <f t="shared" si="2"/>
        <v>9 Signed Rep + 0 5-Star Review</v>
      </c>
      <c r="I27" s="14"/>
      <c r="J27" s="14"/>
    </row>
    <row r="28" hidden="1">
      <c r="A28" s="6" t="s">
        <v>205</v>
      </c>
      <c r="B28" s="255" t="s">
        <v>679</v>
      </c>
      <c r="C28" s="255" t="s">
        <v>680</v>
      </c>
      <c r="D28" s="255" t="s">
        <v>681</v>
      </c>
      <c r="E28" s="256">
        <v>7.0</v>
      </c>
      <c r="F28" s="256">
        <v>3.0</v>
      </c>
      <c r="G28" s="39">
        <f t="shared" si="1"/>
        <v>2050</v>
      </c>
      <c r="H28" s="13" t="str">
        <f t="shared" si="2"/>
        <v>7 Signed Rep + 3 5-Star Review</v>
      </c>
      <c r="I28" s="14"/>
      <c r="J28" s="14"/>
    </row>
    <row r="29" hidden="1">
      <c r="A29" s="6" t="s">
        <v>205</v>
      </c>
      <c r="B29" s="255" t="s">
        <v>682</v>
      </c>
      <c r="C29" s="255" t="s">
        <v>683</v>
      </c>
      <c r="D29" s="255" t="s">
        <v>684</v>
      </c>
      <c r="E29" s="256">
        <v>7.0</v>
      </c>
      <c r="F29" s="256">
        <v>0.0</v>
      </c>
      <c r="G29" s="39">
        <f t="shared" si="1"/>
        <v>1750</v>
      </c>
      <c r="H29" s="13" t="str">
        <f t="shared" si="2"/>
        <v>7 Signed Rep + 0 5-Star Review</v>
      </c>
      <c r="I29" s="14"/>
      <c r="J29" s="14"/>
    </row>
    <row r="30" hidden="1">
      <c r="A30" s="6" t="s">
        <v>205</v>
      </c>
      <c r="B30" s="255" t="s">
        <v>685</v>
      </c>
      <c r="C30" s="255" t="s">
        <v>686</v>
      </c>
      <c r="D30" s="255" t="s">
        <v>687</v>
      </c>
      <c r="E30" s="256">
        <v>11.0</v>
      </c>
      <c r="F30" s="256">
        <v>0.0</v>
      </c>
      <c r="G30" s="39">
        <f t="shared" si="1"/>
        <v>2750</v>
      </c>
      <c r="H30" s="13" t="str">
        <f t="shared" si="2"/>
        <v>11 Signed Rep + 0 5-Star Review</v>
      </c>
      <c r="I30" s="14"/>
      <c r="J30" s="14"/>
    </row>
    <row r="31" hidden="1">
      <c r="A31" s="6" t="s">
        <v>205</v>
      </c>
      <c r="B31" s="255" t="s">
        <v>688</v>
      </c>
      <c r="C31" s="255" t="s">
        <v>689</v>
      </c>
      <c r="D31" s="255" t="s">
        <v>690</v>
      </c>
      <c r="E31" s="256">
        <v>13.0</v>
      </c>
      <c r="F31" s="256">
        <v>0.0</v>
      </c>
      <c r="G31" s="39">
        <f t="shared" si="1"/>
        <v>3250</v>
      </c>
      <c r="H31" s="13" t="str">
        <f t="shared" si="2"/>
        <v>13 Signed Rep + 0 5-Star Review</v>
      </c>
      <c r="I31" s="14"/>
      <c r="J31" s="14"/>
    </row>
    <row r="32" hidden="1">
      <c r="A32" s="6" t="s">
        <v>205</v>
      </c>
      <c r="B32" s="255" t="s">
        <v>691</v>
      </c>
      <c r="C32" s="255" t="s">
        <v>692</v>
      </c>
      <c r="D32" s="255" t="s">
        <v>693</v>
      </c>
      <c r="E32" s="256">
        <v>0.0</v>
      </c>
      <c r="F32" s="256">
        <v>0.0</v>
      </c>
      <c r="G32" s="39">
        <f t="shared" si="1"/>
        <v>0</v>
      </c>
      <c r="H32" s="13" t="str">
        <f t="shared" si="2"/>
        <v>0 Signed Rep + 0 5-Star Review</v>
      </c>
      <c r="I32" s="14"/>
      <c r="J32" s="14"/>
    </row>
    <row r="33" hidden="1">
      <c r="A33" s="6" t="s">
        <v>205</v>
      </c>
      <c r="B33" s="255" t="s">
        <v>694</v>
      </c>
      <c r="C33" s="255" t="s">
        <v>695</v>
      </c>
      <c r="D33" s="255" t="s">
        <v>696</v>
      </c>
      <c r="E33" s="256">
        <v>9.0</v>
      </c>
      <c r="F33" s="256">
        <v>0.0</v>
      </c>
      <c r="G33" s="39">
        <f t="shared" si="1"/>
        <v>2250</v>
      </c>
      <c r="H33" s="13" t="str">
        <f t="shared" si="2"/>
        <v>9 Signed Rep + 0 5-Star Review</v>
      </c>
      <c r="I33" s="14"/>
      <c r="J33" s="14"/>
    </row>
    <row r="34" hidden="1">
      <c r="A34" s="6" t="s">
        <v>205</v>
      </c>
      <c r="B34" s="255" t="s">
        <v>697</v>
      </c>
      <c r="C34" s="255" t="s">
        <v>698</v>
      </c>
      <c r="D34" s="255" t="s">
        <v>699</v>
      </c>
      <c r="E34" s="256">
        <v>9.0</v>
      </c>
      <c r="F34" s="256">
        <v>0.0</v>
      </c>
      <c r="G34" s="39">
        <f t="shared" si="1"/>
        <v>2250</v>
      </c>
      <c r="H34" s="13" t="str">
        <f t="shared" si="2"/>
        <v>9 Signed Rep + 0 5-Star Review</v>
      </c>
      <c r="I34" s="14"/>
      <c r="J34" s="14"/>
    </row>
    <row r="35" hidden="1">
      <c r="A35" s="6" t="s">
        <v>205</v>
      </c>
      <c r="B35" s="255" t="s">
        <v>700</v>
      </c>
      <c r="C35" s="255" t="s">
        <v>701</v>
      </c>
      <c r="D35" s="255" t="s">
        <v>702</v>
      </c>
      <c r="E35" s="256">
        <v>7.0</v>
      </c>
      <c r="F35" s="256">
        <v>0.0</v>
      </c>
      <c r="G35" s="39">
        <f t="shared" si="1"/>
        <v>1750</v>
      </c>
      <c r="H35" s="13" t="str">
        <f t="shared" si="2"/>
        <v>7 Signed Rep + 0 5-Star Review</v>
      </c>
      <c r="I35" s="14"/>
      <c r="J35" s="14"/>
    </row>
    <row r="36" hidden="1">
      <c r="A36" s="6" t="s">
        <v>205</v>
      </c>
      <c r="B36" s="255" t="s">
        <v>703</v>
      </c>
      <c r="C36" s="255" t="s">
        <v>704</v>
      </c>
      <c r="D36" s="255" t="s">
        <v>705</v>
      </c>
      <c r="E36" s="256">
        <v>10.0</v>
      </c>
      <c r="F36" s="256">
        <v>0.0</v>
      </c>
      <c r="G36" s="39">
        <f t="shared" si="1"/>
        <v>2500</v>
      </c>
      <c r="H36" s="13" t="str">
        <f t="shared" si="2"/>
        <v>10 Signed Rep + 0 5-Star Review</v>
      </c>
      <c r="I36" s="14"/>
      <c r="J36" s="14"/>
    </row>
    <row r="37" hidden="1">
      <c r="A37" s="6" t="s">
        <v>205</v>
      </c>
      <c r="B37" s="255" t="s">
        <v>706</v>
      </c>
      <c r="C37" s="255" t="s">
        <v>707</v>
      </c>
      <c r="D37" s="255" t="s">
        <v>708</v>
      </c>
      <c r="E37" s="256">
        <v>4.0</v>
      </c>
      <c r="F37" s="256">
        <v>0.0</v>
      </c>
      <c r="G37" s="39">
        <f t="shared" si="1"/>
        <v>1000</v>
      </c>
      <c r="H37" s="13" t="str">
        <f t="shared" si="2"/>
        <v>4 Signed Rep + 0 5-Star Review</v>
      </c>
      <c r="I37" s="14"/>
      <c r="J37" s="14"/>
    </row>
    <row r="38" hidden="1">
      <c r="A38" s="6" t="s">
        <v>205</v>
      </c>
      <c r="B38" s="255" t="s">
        <v>709</v>
      </c>
      <c r="C38" s="255" t="s">
        <v>710</v>
      </c>
      <c r="D38" s="255" t="s">
        <v>711</v>
      </c>
      <c r="E38" s="256">
        <v>7.0</v>
      </c>
      <c r="F38" s="256">
        <v>0.0</v>
      </c>
      <c r="G38" s="39">
        <f t="shared" si="1"/>
        <v>1750</v>
      </c>
      <c r="H38" s="13" t="str">
        <f t="shared" si="2"/>
        <v>7 Signed Rep + 0 5-Star Review</v>
      </c>
      <c r="I38" s="14"/>
      <c r="J38" s="14"/>
    </row>
    <row r="39" hidden="1">
      <c r="A39" s="6" t="s">
        <v>205</v>
      </c>
      <c r="B39" s="255" t="s">
        <v>712</v>
      </c>
      <c r="C39" s="255" t="s">
        <v>713</v>
      </c>
      <c r="D39" s="255" t="s">
        <v>714</v>
      </c>
      <c r="E39" s="256">
        <v>10.0</v>
      </c>
      <c r="F39" s="256">
        <v>0.0</v>
      </c>
      <c r="G39" s="39">
        <f t="shared" si="1"/>
        <v>2500</v>
      </c>
      <c r="H39" s="13" t="str">
        <f t="shared" si="2"/>
        <v>10 Signed Rep + 0 5-Star Review</v>
      </c>
      <c r="I39" s="14"/>
      <c r="J39" s="14"/>
    </row>
    <row r="40" hidden="1">
      <c r="A40" s="6" t="s">
        <v>205</v>
      </c>
      <c r="B40" s="255" t="s">
        <v>715</v>
      </c>
      <c r="C40" s="255" t="s">
        <v>716</v>
      </c>
      <c r="D40" s="255" t="s">
        <v>717</v>
      </c>
      <c r="E40" s="256">
        <v>8.0</v>
      </c>
      <c r="F40" s="256">
        <v>2.0</v>
      </c>
      <c r="G40" s="39">
        <f t="shared" si="1"/>
        <v>2200</v>
      </c>
      <c r="H40" s="13" t="str">
        <f t="shared" si="2"/>
        <v>8 Signed Rep + 2 5-Star Review</v>
      </c>
      <c r="I40" s="14"/>
      <c r="J40" s="14"/>
    </row>
    <row r="41" hidden="1">
      <c r="A41" s="6" t="s">
        <v>205</v>
      </c>
      <c r="B41" s="255" t="s">
        <v>718</v>
      </c>
      <c r="C41" s="255" t="s">
        <v>719</v>
      </c>
      <c r="D41" s="255" t="s">
        <v>720</v>
      </c>
      <c r="E41" s="256">
        <v>6.0</v>
      </c>
      <c r="F41" s="256">
        <v>0.0</v>
      </c>
      <c r="G41" s="39">
        <f t="shared" si="1"/>
        <v>1500</v>
      </c>
      <c r="H41" s="13" t="str">
        <f t="shared" si="2"/>
        <v>6 Signed Rep + 0 5-Star Review</v>
      </c>
      <c r="I41" s="14"/>
      <c r="J41" s="14"/>
    </row>
    <row r="42" hidden="1">
      <c r="A42" s="6" t="s">
        <v>205</v>
      </c>
      <c r="B42" s="255" t="s">
        <v>721</v>
      </c>
      <c r="C42" s="255" t="s">
        <v>722</v>
      </c>
      <c r="D42" s="255" t="s">
        <v>723</v>
      </c>
      <c r="E42" s="256">
        <v>10.0</v>
      </c>
      <c r="F42" s="256">
        <v>4.0</v>
      </c>
      <c r="G42" s="39">
        <f t="shared" si="1"/>
        <v>2900</v>
      </c>
      <c r="H42" s="13" t="str">
        <f t="shared" si="2"/>
        <v>10 Signed Rep + 4 5-Star Review</v>
      </c>
      <c r="I42" s="14"/>
      <c r="J42" s="14"/>
    </row>
    <row r="43" hidden="1">
      <c r="A43" s="6" t="s">
        <v>205</v>
      </c>
      <c r="B43" s="257" t="s">
        <v>724</v>
      </c>
      <c r="C43" s="255" t="s">
        <v>725</v>
      </c>
      <c r="D43" s="255" t="s">
        <v>726</v>
      </c>
      <c r="E43" s="256">
        <v>3.0</v>
      </c>
      <c r="F43" s="256">
        <v>0.0</v>
      </c>
      <c r="G43" s="39">
        <f t="shared" si="1"/>
        <v>750</v>
      </c>
      <c r="H43" s="13" t="str">
        <f t="shared" si="2"/>
        <v>3 Signed Rep + 0 5-Star Review</v>
      </c>
      <c r="I43" s="14"/>
      <c r="J43" s="14"/>
    </row>
    <row r="44" hidden="1">
      <c r="A44" s="6" t="s">
        <v>205</v>
      </c>
      <c r="B44" s="255" t="s">
        <v>727</v>
      </c>
      <c r="C44" s="255" t="s">
        <v>728</v>
      </c>
      <c r="D44" s="255" t="s">
        <v>729</v>
      </c>
      <c r="E44" s="256">
        <v>7.0</v>
      </c>
      <c r="F44" s="256">
        <v>0.0</v>
      </c>
      <c r="G44" s="39">
        <f t="shared" si="1"/>
        <v>1750</v>
      </c>
      <c r="H44" s="13" t="str">
        <f t="shared" si="2"/>
        <v>7 Signed Rep + 0 5-Star Review</v>
      </c>
      <c r="I44" s="14"/>
      <c r="J44" s="14"/>
    </row>
    <row r="45" hidden="1">
      <c r="A45" s="6" t="s">
        <v>205</v>
      </c>
      <c r="B45" s="255" t="s">
        <v>730</v>
      </c>
      <c r="C45" s="255" t="s">
        <v>731</v>
      </c>
      <c r="D45" s="255" t="s">
        <v>732</v>
      </c>
      <c r="E45" s="256">
        <v>7.0</v>
      </c>
      <c r="F45" s="256">
        <v>0.0</v>
      </c>
      <c r="G45" s="39">
        <f t="shared" si="1"/>
        <v>1750</v>
      </c>
      <c r="H45" s="13" t="str">
        <f t="shared" si="2"/>
        <v>7 Signed Rep + 0 5-Star Review</v>
      </c>
      <c r="I45" s="14"/>
      <c r="J45" s="14"/>
    </row>
    <row r="46" hidden="1">
      <c r="A46" s="6" t="s">
        <v>205</v>
      </c>
      <c r="B46" s="255" t="s">
        <v>733</v>
      </c>
      <c r="C46" s="255" t="s">
        <v>734</v>
      </c>
      <c r="D46" s="255" t="s">
        <v>735</v>
      </c>
      <c r="E46" s="256">
        <v>10.0</v>
      </c>
      <c r="F46" s="256">
        <v>0.0</v>
      </c>
      <c r="G46" s="39">
        <f t="shared" si="1"/>
        <v>2500</v>
      </c>
      <c r="H46" s="13" t="str">
        <f t="shared" si="2"/>
        <v>10 Signed Rep + 0 5-Star Review</v>
      </c>
      <c r="I46" s="14"/>
      <c r="J46" s="14"/>
    </row>
    <row r="47" hidden="1">
      <c r="A47" s="6" t="s">
        <v>205</v>
      </c>
      <c r="B47" s="255" t="s">
        <v>736</v>
      </c>
      <c r="C47" s="255" t="s">
        <v>737</v>
      </c>
      <c r="D47" s="255" t="s">
        <v>738</v>
      </c>
      <c r="E47" s="256">
        <v>13.0</v>
      </c>
      <c r="F47" s="256">
        <v>0.0</v>
      </c>
      <c r="G47" s="39">
        <f t="shared" si="1"/>
        <v>3250</v>
      </c>
      <c r="H47" s="13" t="str">
        <f t="shared" si="2"/>
        <v>13 Signed Rep + 0 5-Star Review</v>
      </c>
      <c r="I47" s="14"/>
      <c r="J47" s="14"/>
    </row>
    <row r="48" hidden="1">
      <c r="A48" s="6" t="s">
        <v>205</v>
      </c>
      <c r="B48" s="255" t="s">
        <v>739</v>
      </c>
      <c r="C48" s="255" t="s">
        <v>740</v>
      </c>
      <c r="D48" s="255" t="s">
        <v>741</v>
      </c>
      <c r="E48" s="256">
        <v>13.0</v>
      </c>
      <c r="F48" s="256">
        <v>0.0</v>
      </c>
      <c r="G48" s="39">
        <f t="shared" si="1"/>
        <v>3250</v>
      </c>
      <c r="H48" s="13" t="str">
        <f t="shared" si="2"/>
        <v>13 Signed Rep + 0 5-Star Review</v>
      </c>
      <c r="I48" s="14"/>
      <c r="J48" s="14"/>
    </row>
    <row r="49" hidden="1">
      <c r="A49" s="6" t="s">
        <v>205</v>
      </c>
      <c r="B49" s="255" t="s">
        <v>742</v>
      </c>
      <c r="C49" s="255" t="s">
        <v>743</v>
      </c>
      <c r="D49" s="255" t="s">
        <v>744</v>
      </c>
      <c r="E49" s="256">
        <v>1.0</v>
      </c>
      <c r="F49" s="256">
        <v>0.0</v>
      </c>
      <c r="G49" s="39">
        <f t="shared" si="1"/>
        <v>250</v>
      </c>
      <c r="H49" s="13" t="str">
        <f t="shared" si="2"/>
        <v>1 Signed Rep + 0 5-Star Review</v>
      </c>
      <c r="I49" s="14"/>
      <c r="J49" s="14"/>
    </row>
    <row r="50" hidden="1">
      <c r="A50" s="6" t="s">
        <v>205</v>
      </c>
      <c r="B50" s="254" t="s">
        <v>745</v>
      </c>
      <c r="C50" s="255" t="s">
        <v>746</v>
      </c>
      <c r="D50" s="255" t="s">
        <v>747</v>
      </c>
      <c r="E50" s="256">
        <v>7.0</v>
      </c>
      <c r="F50" s="256">
        <v>0.0</v>
      </c>
      <c r="G50" s="39">
        <f t="shared" si="1"/>
        <v>1750</v>
      </c>
      <c r="H50" s="13" t="str">
        <f t="shared" si="2"/>
        <v>7 Signed Rep + 0 5-Star Review</v>
      </c>
      <c r="I50" s="14"/>
      <c r="J50" s="14"/>
    </row>
    <row r="51" hidden="1">
      <c r="A51" s="6" t="s">
        <v>205</v>
      </c>
      <c r="B51" s="255" t="s">
        <v>748</v>
      </c>
      <c r="C51" s="255" t="s">
        <v>749</v>
      </c>
      <c r="D51" s="255" t="s">
        <v>750</v>
      </c>
      <c r="E51" s="256">
        <v>5.0</v>
      </c>
      <c r="F51" s="256">
        <v>0.0</v>
      </c>
      <c r="G51" s="39">
        <f t="shared" si="1"/>
        <v>1250</v>
      </c>
      <c r="H51" s="13" t="str">
        <f t="shared" si="2"/>
        <v>5 Signed Rep + 0 5-Star Review</v>
      </c>
      <c r="I51" s="14"/>
      <c r="J51" s="14"/>
    </row>
    <row r="52" hidden="1">
      <c r="A52" s="6" t="s">
        <v>205</v>
      </c>
      <c r="B52" s="255" t="s">
        <v>751</v>
      </c>
      <c r="C52" s="255" t="s">
        <v>752</v>
      </c>
      <c r="D52" s="255" t="s">
        <v>753</v>
      </c>
      <c r="E52" s="256">
        <v>10.0</v>
      </c>
      <c r="F52" s="256">
        <v>0.0</v>
      </c>
      <c r="G52" s="39">
        <f t="shared" si="1"/>
        <v>2500</v>
      </c>
      <c r="H52" s="13" t="str">
        <f t="shared" si="2"/>
        <v>10 Signed Rep + 0 5-Star Review</v>
      </c>
      <c r="I52" s="14"/>
      <c r="J52" s="14"/>
    </row>
    <row r="53" hidden="1">
      <c r="A53" s="6" t="s">
        <v>205</v>
      </c>
      <c r="B53" s="255" t="s">
        <v>754</v>
      </c>
      <c r="C53" s="255" t="s">
        <v>755</v>
      </c>
      <c r="D53" s="255" t="s">
        <v>756</v>
      </c>
      <c r="E53" s="256">
        <v>9.0</v>
      </c>
      <c r="F53" s="256">
        <v>1.0</v>
      </c>
      <c r="G53" s="39">
        <f t="shared" si="1"/>
        <v>2350</v>
      </c>
      <c r="H53" s="13" t="str">
        <f t="shared" si="2"/>
        <v>9 Signed Rep + 1 5-Star Review</v>
      </c>
      <c r="I53" s="14"/>
      <c r="J53" s="14"/>
    </row>
    <row r="54" hidden="1">
      <c r="A54" s="6" t="s">
        <v>205</v>
      </c>
      <c r="B54" s="254" t="s">
        <v>757</v>
      </c>
      <c r="C54" s="255" t="s">
        <v>758</v>
      </c>
      <c r="D54" s="255" t="s">
        <v>759</v>
      </c>
      <c r="E54" s="256">
        <v>21.0</v>
      </c>
      <c r="F54" s="256">
        <v>0.0</v>
      </c>
      <c r="G54" s="39">
        <f t="shared" si="1"/>
        <v>5250</v>
      </c>
      <c r="H54" s="13" t="str">
        <f t="shared" si="2"/>
        <v>21 Signed Rep + 0 5-Star Review</v>
      </c>
      <c r="I54" s="23"/>
      <c r="J54" s="23"/>
    </row>
    <row r="55" hidden="1">
      <c r="A55" s="6" t="s">
        <v>205</v>
      </c>
      <c r="B55" s="255" t="s">
        <v>219</v>
      </c>
      <c r="C55" s="255" t="s">
        <v>220</v>
      </c>
      <c r="D55" s="255" t="s">
        <v>760</v>
      </c>
      <c r="E55" s="256">
        <v>5.0</v>
      </c>
      <c r="F55" s="256">
        <v>0.0</v>
      </c>
      <c r="G55" s="39">
        <f t="shared" si="1"/>
        <v>1250</v>
      </c>
      <c r="H55" s="13" t="str">
        <f t="shared" si="2"/>
        <v>5 Signed Rep + 0 5-Star Review</v>
      </c>
      <c r="I55" s="14"/>
      <c r="J55" s="14"/>
    </row>
    <row r="56">
      <c r="A56" s="6" t="s">
        <v>206</v>
      </c>
      <c r="B56" s="255" t="s">
        <v>657</v>
      </c>
      <c r="C56" s="255" t="s">
        <v>658</v>
      </c>
      <c r="D56" s="255" t="s">
        <v>659</v>
      </c>
      <c r="E56" s="258">
        <v>20.0</v>
      </c>
      <c r="F56" s="175">
        <v>0.0</v>
      </c>
      <c r="G56" s="39">
        <f t="shared" si="1"/>
        <v>5000</v>
      </c>
      <c r="H56" s="13" t="str">
        <f t="shared" si="2"/>
        <v>20 Signed Rep + 0 5-Star Review</v>
      </c>
      <c r="I56" s="14"/>
      <c r="J56" s="14"/>
    </row>
    <row r="57">
      <c r="A57" s="6" t="s">
        <v>206</v>
      </c>
      <c r="B57" s="255" t="s">
        <v>661</v>
      </c>
      <c r="C57" s="255" t="s">
        <v>662</v>
      </c>
      <c r="D57" s="255" t="s">
        <v>663</v>
      </c>
      <c r="E57" s="259">
        <v>32.0</v>
      </c>
      <c r="F57" s="260">
        <v>0.0</v>
      </c>
      <c r="G57" s="39">
        <f t="shared" si="1"/>
        <v>8000</v>
      </c>
      <c r="H57" s="13" t="str">
        <f t="shared" si="2"/>
        <v>32 Signed Rep + 0 5-Star Review</v>
      </c>
      <c r="I57" s="14"/>
      <c r="J57" s="14"/>
    </row>
    <row r="58">
      <c r="A58" s="6" t="s">
        <v>206</v>
      </c>
      <c r="B58" s="255" t="s">
        <v>664</v>
      </c>
      <c r="C58" s="255" t="s">
        <v>665</v>
      </c>
      <c r="D58" s="255" t="s">
        <v>666</v>
      </c>
      <c r="E58" s="258">
        <v>34.0</v>
      </c>
      <c r="F58" s="260">
        <v>0.0</v>
      </c>
      <c r="G58" s="39">
        <f t="shared" si="1"/>
        <v>8500</v>
      </c>
      <c r="H58" s="13" t="str">
        <f t="shared" si="2"/>
        <v>34 Signed Rep + 0 5-Star Review</v>
      </c>
      <c r="I58" s="14"/>
      <c r="J58" s="14"/>
    </row>
    <row r="59">
      <c r="A59" s="6" t="s">
        <v>206</v>
      </c>
      <c r="B59" s="255" t="s">
        <v>736</v>
      </c>
      <c r="C59" s="255" t="s">
        <v>737</v>
      </c>
      <c r="D59" s="255" t="s">
        <v>738</v>
      </c>
      <c r="E59" s="258">
        <v>28.0</v>
      </c>
      <c r="F59" s="260">
        <v>0.0</v>
      </c>
      <c r="G59" s="39">
        <f t="shared" si="1"/>
        <v>7000</v>
      </c>
      <c r="H59" s="13" t="str">
        <f t="shared" si="2"/>
        <v>28 Signed Rep + 0 5-Star Review</v>
      </c>
      <c r="I59" s="14"/>
      <c r="J59" s="14"/>
    </row>
    <row r="60" hidden="1">
      <c r="A60" s="6" t="s">
        <v>223</v>
      </c>
      <c r="B60" s="255" t="s">
        <v>657</v>
      </c>
      <c r="C60" s="255" t="s">
        <v>658</v>
      </c>
      <c r="D60" s="255" t="s">
        <v>659</v>
      </c>
      <c r="E60" s="258">
        <v>22.0</v>
      </c>
      <c r="F60" s="175">
        <v>0.0</v>
      </c>
      <c r="G60" s="39">
        <f t="shared" si="1"/>
        <v>5500</v>
      </c>
      <c r="H60" s="13" t="str">
        <f t="shared" si="2"/>
        <v>22 Signed Rep + 0 5-Star Review</v>
      </c>
      <c r="I60" s="14"/>
      <c r="J60" s="14"/>
    </row>
    <row r="61" hidden="1">
      <c r="A61" s="6" t="s">
        <v>223</v>
      </c>
      <c r="B61" s="255" t="s">
        <v>661</v>
      </c>
      <c r="C61" s="255" t="s">
        <v>662</v>
      </c>
      <c r="D61" s="255" t="s">
        <v>663</v>
      </c>
      <c r="E61" s="258">
        <v>24.0</v>
      </c>
      <c r="F61" s="175">
        <v>0.0</v>
      </c>
      <c r="G61" s="39">
        <f t="shared" si="1"/>
        <v>6000</v>
      </c>
      <c r="H61" s="13" t="str">
        <f t="shared" si="2"/>
        <v>24 Signed Rep + 0 5-Star Review</v>
      </c>
      <c r="I61" s="14"/>
      <c r="J61" s="14"/>
    </row>
    <row r="62" hidden="1">
      <c r="A62" s="6" t="s">
        <v>223</v>
      </c>
      <c r="B62" s="255" t="s">
        <v>664</v>
      </c>
      <c r="C62" s="255" t="s">
        <v>665</v>
      </c>
      <c r="D62" s="255" t="s">
        <v>666</v>
      </c>
      <c r="E62" s="258">
        <v>30.0</v>
      </c>
      <c r="F62" s="260">
        <v>0.0</v>
      </c>
      <c r="G62" s="39">
        <f t="shared" si="1"/>
        <v>7500</v>
      </c>
      <c r="H62" s="13" t="str">
        <f t="shared" si="2"/>
        <v>30 Signed Rep + 0 5-Star Review</v>
      </c>
      <c r="I62" s="14"/>
      <c r="J62" s="14"/>
    </row>
    <row r="63" hidden="1">
      <c r="A63" s="6" t="s">
        <v>223</v>
      </c>
      <c r="B63" s="255" t="s">
        <v>736</v>
      </c>
      <c r="C63" s="255" t="s">
        <v>737</v>
      </c>
      <c r="D63" s="255" t="s">
        <v>738</v>
      </c>
      <c r="E63" s="258">
        <v>25.0</v>
      </c>
      <c r="F63" s="175">
        <v>0.0</v>
      </c>
      <c r="G63" s="39">
        <f t="shared" si="1"/>
        <v>6250</v>
      </c>
      <c r="H63" s="13" t="str">
        <f t="shared" si="2"/>
        <v>25 Signed Rep + 0 5-Star Review</v>
      </c>
      <c r="I63" s="14"/>
      <c r="J63" s="14"/>
    </row>
    <row r="64" hidden="1">
      <c r="A64" s="6" t="s">
        <v>224</v>
      </c>
      <c r="B64" s="255" t="s">
        <v>657</v>
      </c>
      <c r="C64" s="255" t="s">
        <v>658</v>
      </c>
      <c r="D64" s="255" t="s">
        <v>659</v>
      </c>
      <c r="E64" s="258">
        <v>25.0</v>
      </c>
      <c r="F64" s="260">
        <v>0.0</v>
      </c>
      <c r="G64" s="39">
        <f t="shared" si="1"/>
        <v>6250</v>
      </c>
      <c r="H64" s="13" t="str">
        <f t="shared" si="2"/>
        <v>25 Signed Rep + 0 5-Star Review</v>
      </c>
      <c r="I64" s="14"/>
      <c r="J64" s="14"/>
    </row>
    <row r="65" hidden="1">
      <c r="A65" s="6" t="s">
        <v>224</v>
      </c>
      <c r="B65" s="255" t="s">
        <v>661</v>
      </c>
      <c r="C65" s="255" t="s">
        <v>662</v>
      </c>
      <c r="D65" s="255" t="s">
        <v>663</v>
      </c>
      <c r="E65" s="258">
        <v>39.0</v>
      </c>
      <c r="F65" s="260">
        <v>0.0</v>
      </c>
      <c r="G65" s="39">
        <f t="shared" si="1"/>
        <v>9750</v>
      </c>
      <c r="H65" s="13" t="str">
        <f t="shared" si="2"/>
        <v>39 Signed Rep + 0 5-Star Review</v>
      </c>
      <c r="I65" s="14"/>
      <c r="J65" s="14"/>
    </row>
    <row r="66" hidden="1">
      <c r="A66" s="6" t="s">
        <v>224</v>
      </c>
      <c r="B66" s="255" t="s">
        <v>664</v>
      </c>
      <c r="C66" s="255" t="s">
        <v>665</v>
      </c>
      <c r="D66" s="255" t="s">
        <v>666</v>
      </c>
      <c r="E66" s="258">
        <v>32.0</v>
      </c>
      <c r="F66" s="260">
        <v>0.0</v>
      </c>
      <c r="G66" s="39">
        <f t="shared" si="1"/>
        <v>8000</v>
      </c>
      <c r="H66" s="13" t="str">
        <f t="shared" si="2"/>
        <v>32 Signed Rep + 0 5-Star Review</v>
      </c>
      <c r="I66" s="14"/>
      <c r="J66" s="14"/>
    </row>
    <row r="67" hidden="1">
      <c r="A67" s="6" t="s">
        <v>224</v>
      </c>
      <c r="B67" s="255" t="s">
        <v>736</v>
      </c>
      <c r="C67" s="255" t="s">
        <v>737</v>
      </c>
      <c r="D67" s="255" t="s">
        <v>738</v>
      </c>
      <c r="E67" s="258">
        <v>34.0</v>
      </c>
      <c r="F67" s="260">
        <v>0.0</v>
      </c>
      <c r="G67" s="39">
        <f t="shared" si="1"/>
        <v>8500</v>
      </c>
      <c r="H67" s="13" t="str">
        <f t="shared" si="2"/>
        <v>34 Signed Rep + 0 5-Star Review</v>
      </c>
      <c r="I67" s="14"/>
      <c r="J67" s="14"/>
    </row>
    <row r="68" hidden="1">
      <c r="A68" s="6" t="s">
        <v>225</v>
      </c>
      <c r="B68" s="255" t="s">
        <v>657</v>
      </c>
      <c r="C68" s="255" t="s">
        <v>658</v>
      </c>
      <c r="D68" s="255" t="s">
        <v>659</v>
      </c>
      <c r="E68" s="258">
        <v>23.0</v>
      </c>
      <c r="F68" s="260">
        <v>0.0</v>
      </c>
      <c r="G68" s="39">
        <f t="shared" si="1"/>
        <v>5750</v>
      </c>
      <c r="H68" s="13" t="str">
        <f t="shared" si="2"/>
        <v>23 Signed Rep + 0 5-Star Review</v>
      </c>
      <c r="I68" s="14"/>
      <c r="J68" s="14"/>
    </row>
    <row r="69" hidden="1">
      <c r="A69" s="6" t="s">
        <v>225</v>
      </c>
      <c r="B69" s="255" t="s">
        <v>661</v>
      </c>
      <c r="C69" s="255" t="s">
        <v>662</v>
      </c>
      <c r="D69" s="255" t="s">
        <v>663</v>
      </c>
      <c r="E69" s="258">
        <v>23.0</v>
      </c>
      <c r="F69" s="260">
        <v>0.0</v>
      </c>
      <c r="G69" s="39">
        <f t="shared" si="1"/>
        <v>5750</v>
      </c>
      <c r="H69" s="13" t="str">
        <f t="shared" si="2"/>
        <v>23 Signed Rep + 0 5-Star Review</v>
      </c>
      <c r="I69" s="14"/>
      <c r="J69" s="14"/>
    </row>
    <row r="70" hidden="1">
      <c r="A70" s="6" t="s">
        <v>225</v>
      </c>
      <c r="B70" s="255" t="s">
        <v>664</v>
      </c>
      <c r="C70" s="255" t="s">
        <v>665</v>
      </c>
      <c r="D70" s="255" t="s">
        <v>666</v>
      </c>
      <c r="E70" s="258">
        <v>28.0</v>
      </c>
      <c r="F70" s="260">
        <v>0.0</v>
      </c>
      <c r="G70" s="39">
        <f t="shared" si="1"/>
        <v>7000</v>
      </c>
      <c r="H70" s="13" t="str">
        <f t="shared" si="2"/>
        <v>28 Signed Rep + 0 5-Star Review</v>
      </c>
      <c r="I70" s="14"/>
      <c r="J70" s="14"/>
    </row>
    <row r="71" hidden="1">
      <c r="A71" s="6" t="s">
        <v>225</v>
      </c>
      <c r="B71" s="255" t="s">
        <v>736</v>
      </c>
      <c r="C71" s="255" t="s">
        <v>737</v>
      </c>
      <c r="D71" s="255" t="s">
        <v>738</v>
      </c>
      <c r="E71" s="258">
        <v>24.0</v>
      </c>
      <c r="F71" s="260">
        <v>0.0</v>
      </c>
      <c r="G71" s="39">
        <f t="shared" si="1"/>
        <v>6000</v>
      </c>
      <c r="H71" s="13" t="str">
        <f t="shared" si="2"/>
        <v>24 Signed Rep + 0 5-Star Review</v>
      </c>
      <c r="I71" s="14"/>
      <c r="J71" s="14"/>
    </row>
    <row r="72" hidden="1">
      <c r="A72" s="6" t="s">
        <v>226</v>
      </c>
      <c r="B72" s="255" t="s">
        <v>657</v>
      </c>
      <c r="C72" s="255" t="s">
        <v>658</v>
      </c>
      <c r="D72" s="255" t="s">
        <v>659</v>
      </c>
      <c r="E72" s="258">
        <v>20.0</v>
      </c>
      <c r="F72" s="260">
        <v>0.0</v>
      </c>
      <c r="G72" s="39">
        <f t="shared" si="1"/>
        <v>5000</v>
      </c>
      <c r="H72" s="13" t="str">
        <f t="shared" si="2"/>
        <v>20 Signed Rep + 0 5-Star Review</v>
      </c>
      <c r="I72" s="14"/>
      <c r="J72" s="14"/>
    </row>
    <row r="73" hidden="1">
      <c r="A73" s="6" t="s">
        <v>226</v>
      </c>
      <c r="B73" s="255" t="s">
        <v>661</v>
      </c>
      <c r="C73" s="255" t="s">
        <v>662</v>
      </c>
      <c r="D73" s="255" t="s">
        <v>663</v>
      </c>
      <c r="E73" s="258">
        <v>27.0</v>
      </c>
      <c r="F73" s="260">
        <v>0.0</v>
      </c>
      <c r="G73" s="39">
        <f t="shared" si="1"/>
        <v>6750</v>
      </c>
      <c r="H73" s="13" t="str">
        <f t="shared" si="2"/>
        <v>27 Signed Rep + 0 5-Star Review</v>
      </c>
      <c r="I73" s="14"/>
      <c r="J73" s="14"/>
    </row>
    <row r="74" hidden="1">
      <c r="A74" s="6" t="s">
        <v>226</v>
      </c>
      <c r="B74" s="255" t="s">
        <v>664</v>
      </c>
      <c r="C74" s="255" t="s">
        <v>665</v>
      </c>
      <c r="D74" s="255" t="s">
        <v>666</v>
      </c>
      <c r="E74" s="258">
        <v>31.0</v>
      </c>
      <c r="F74" s="260">
        <v>0.0</v>
      </c>
      <c r="G74" s="39">
        <f t="shared" si="1"/>
        <v>7750</v>
      </c>
      <c r="H74" s="13" t="str">
        <f t="shared" si="2"/>
        <v>31 Signed Rep + 0 5-Star Review</v>
      </c>
      <c r="I74" s="14"/>
      <c r="J74" s="14"/>
    </row>
    <row r="75" hidden="1">
      <c r="A75" s="6" t="s">
        <v>226</v>
      </c>
      <c r="B75" s="255" t="s">
        <v>736</v>
      </c>
      <c r="C75" s="255" t="s">
        <v>737</v>
      </c>
      <c r="D75" s="255" t="s">
        <v>738</v>
      </c>
      <c r="E75" s="258">
        <v>22.0</v>
      </c>
      <c r="F75" s="260">
        <v>0.0</v>
      </c>
      <c r="G75" s="39">
        <f t="shared" si="1"/>
        <v>5500</v>
      </c>
      <c r="H75" s="13" t="str">
        <f t="shared" si="2"/>
        <v>22 Signed Rep + 0 5-Star Review</v>
      </c>
      <c r="I75" s="14"/>
      <c r="J75" s="14"/>
    </row>
    <row r="76" hidden="1">
      <c r="A76" s="6" t="s">
        <v>237</v>
      </c>
      <c r="B76" s="255" t="s">
        <v>657</v>
      </c>
      <c r="C76" s="255" t="s">
        <v>658</v>
      </c>
      <c r="D76" s="255" t="s">
        <v>659</v>
      </c>
      <c r="E76" s="258">
        <v>14.0</v>
      </c>
      <c r="F76" s="260">
        <v>0.0</v>
      </c>
      <c r="G76" s="39">
        <f t="shared" si="1"/>
        <v>3500</v>
      </c>
      <c r="H76" s="13" t="str">
        <f t="shared" si="2"/>
        <v>14 Signed Rep + 0 5-Star Review</v>
      </c>
      <c r="I76" s="14"/>
      <c r="J76" s="14"/>
    </row>
    <row r="77" hidden="1">
      <c r="A77" s="6" t="s">
        <v>237</v>
      </c>
      <c r="B77" s="255" t="s">
        <v>661</v>
      </c>
      <c r="C77" s="255" t="s">
        <v>662</v>
      </c>
      <c r="D77" s="255" t="s">
        <v>663</v>
      </c>
      <c r="E77" s="258">
        <v>34.0</v>
      </c>
      <c r="F77" s="260">
        <v>0.0</v>
      </c>
      <c r="G77" s="39">
        <f t="shared" si="1"/>
        <v>8500</v>
      </c>
      <c r="H77" s="13" t="str">
        <f t="shared" si="2"/>
        <v>34 Signed Rep + 0 5-Star Review</v>
      </c>
      <c r="I77" s="14"/>
      <c r="J77" s="14"/>
    </row>
    <row r="78" hidden="1">
      <c r="A78" s="6" t="s">
        <v>237</v>
      </c>
      <c r="B78" s="255" t="s">
        <v>664</v>
      </c>
      <c r="C78" s="255" t="s">
        <v>665</v>
      </c>
      <c r="D78" s="255" t="s">
        <v>666</v>
      </c>
      <c r="E78" s="258">
        <v>31.0</v>
      </c>
      <c r="F78" s="260">
        <v>0.0</v>
      </c>
      <c r="G78" s="39">
        <f t="shared" si="1"/>
        <v>7750</v>
      </c>
      <c r="H78" s="13" t="str">
        <f t="shared" si="2"/>
        <v>31 Signed Rep + 0 5-Star Review</v>
      </c>
      <c r="I78" s="14"/>
      <c r="J78" s="14"/>
    </row>
    <row r="79" hidden="1">
      <c r="A79" s="6" t="s">
        <v>237</v>
      </c>
      <c r="B79" s="255" t="s">
        <v>736</v>
      </c>
      <c r="C79" s="255" t="s">
        <v>737</v>
      </c>
      <c r="D79" s="255" t="s">
        <v>738</v>
      </c>
      <c r="E79" s="258">
        <v>22.0</v>
      </c>
      <c r="F79" s="260">
        <v>0.0</v>
      </c>
      <c r="G79" s="39">
        <f t="shared" si="1"/>
        <v>5500</v>
      </c>
      <c r="H79" s="13" t="str">
        <f t="shared" si="2"/>
        <v>22 Signed Rep + 0 5-Star Review</v>
      </c>
      <c r="I79" s="14"/>
      <c r="J79" s="14"/>
    </row>
    <row r="80" hidden="1">
      <c r="A80" s="6" t="s">
        <v>238</v>
      </c>
      <c r="B80" s="255" t="s">
        <v>761</v>
      </c>
      <c r="C80" s="255" t="s">
        <v>762</v>
      </c>
      <c r="D80" s="255" t="s">
        <v>763</v>
      </c>
      <c r="E80" s="76"/>
      <c r="F80" s="76"/>
      <c r="G80" s="39">
        <f t="shared" si="1"/>
        <v>0</v>
      </c>
      <c r="H80" s="13" t="str">
        <f t="shared" si="2"/>
        <v> Signed Rep +  5-Star Review</v>
      </c>
      <c r="I80" s="14"/>
      <c r="J80" s="14"/>
    </row>
    <row r="81" hidden="1">
      <c r="A81" s="6" t="s">
        <v>238</v>
      </c>
      <c r="B81" s="255" t="s">
        <v>764</v>
      </c>
      <c r="C81" s="255" t="s">
        <v>765</v>
      </c>
      <c r="D81" s="255" t="s">
        <v>766</v>
      </c>
      <c r="E81" s="76"/>
      <c r="F81" s="76"/>
      <c r="G81" s="39">
        <f t="shared" si="1"/>
        <v>0</v>
      </c>
      <c r="H81" s="13" t="str">
        <f t="shared" si="2"/>
        <v> Signed Rep +  5-Star Review</v>
      </c>
      <c r="I81" s="14"/>
      <c r="J81" s="14"/>
    </row>
    <row r="82" hidden="1">
      <c r="A82" s="6" t="s">
        <v>238</v>
      </c>
      <c r="B82" s="255" t="s">
        <v>767</v>
      </c>
      <c r="C82" s="255" t="s">
        <v>768</v>
      </c>
      <c r="D82" s="255" t="s">
        <v>769</v>
      </c>
      <c r="E82" s="76"/>
      <c r="F82" s="76"/>
      <c r="G82" s="39">
        <f t="shared" si="1"/>
        <v>0</v>
      </c>
      <c r="H82" s="13" t="str">
        <f t="shared" si="2"/>
        <v> Signed Rep +  5-Star Review</v>
      </c>
      <c r="I82" s="14"/>
      <c r="J82" s="14"/>
    </row>
    <row r="83" hidden="1">
      <c r="A83" s="6" t="s">
        <v>238</v>
      </c>
      <c r="B83" s="255" t="s">
        <v>770</v>
      </c>
      <c r="C83" s="255" t="s">
        <v>771</v>
      </c>
      <c r="D83" s="255" t="s">
        <v>772</v>
      </c>
      <c r="E83" s="76"/>
      <c r="F83" s="76"/>
      <c r="G83" s="39">
        <f t="shared" si="1"/>
        <v>0</v>
      </c>
      <c r="H83" s="13" t="str">
        <f t="shared" si="2"/>
        <v> Signed Rep +  5-Star Review</v>
      </c>
      <c r="I83" s="14"/>
      <c r="J83" s="14"/>
    </row>
    <row r="84" hidden="1">
      <c r="A84" s="6" t="s">
        <v>238</v>
      </c>
      <c r="B84" s="255" t="s">
        <v>258</v>
      </c>
      <c r="C84" s="255" t="s">
        <v>773</v>
      </c>
      <c r="D84" s="255" t="s">
        <v>774</v>
      </c>
      <c r="E84" s="76"/>
      <c r="F84" s="76"/>
      <c r="G84" s="39">
        <f t="shared" si="1"/>
        <v>0</v>
      </c>
      <c r="H84" s="13" t="str">
        <f t="shared" si="2"/>
        <v> Signed Rep +  5-Star Review</v>
      </c>
      <c r="I84" s="14"/>
      <c r="J84" s="14"/>
    </row>
    <row r="85" hidden="1">
      <c r="A85" s="6" t="s">
        <v>238</v>
      </c>
      <c r="B85" s="255" t="s">
        <v>775</v>
      </c>
      <c r="C85" s="255" t="s">
        <v>776</v>
      </c>
      <c r="D85" s="255" t="s">
        <v>777</v>
      </c>
      <c r="E85" s="76"/>
      <c r="F85" s="76"/>
      <c r="G85" s="39">
        <f t="shared" si="1"/>
        <v>0</v>
      </c>
      <c r="H85" s="13" t="str">
        <f t="shared" si="2"/>
        <v> Signed Rep +  5-Star Review</v>
      </c>
      <c r="I85" s="14"/>
      <c r="J85" s="14"/>
    </row>
    <row r="86" hidden="1">
      <c r="A86" s="6" t="s">
        <v>238</v>
      </c>
      <c r="B86" s="255" t="s">
        <v>615</v>
      </c>
      <c r="C86" s="255" t="s">
        <v>616</v>
      </c>
      <c r="D86" s="255" t="s">
        <v>617</v>
      </c>
      <c r="E86" s="76"/>
      <c r="F86" s="76"/>
      <c r="G86" s="39">
        <f t="shared" si="1"/>
        <v>0</v>
      </c>
      <c r="H86" s="13" t="str">
        <f t="shared" si="2"/>
        <v> Signed Rep +  5-Star Review</v>
      </c>
      <c r="I86" s="14"/>
      <c r="J86" s="14"/>
    </row>
    <row r="87" hidden="1">
      <c r="A87" s="6" t="s">
        <v>238</v>
      </c>
      <c r="B87" s="255" t="s">
        <v>618</v>
      </c>
      <c r="C87" s="255" t="s">
        <v>619</v>
      </c>
      <c r="D87" s="255" t="s">
        <v>620</v>
      </c>
      <c r="E87" s="76"/>
      <c r="F87" s="76"/>
      <c r="G87" s="39">
        <f t="shared" si="1"/>
        <v>0</v>
      </c>
      <c r="H87" s="13" t="str">
        <f t="shared" si="2"/>
        <v> Signed Rep +  5-Star Review</v>
      </c>
      <c r="I87" s="14"/>
      <c r="J87" s="14"/>
    </row>
    <row r="88" hidden="1">
      <c r="A88" s="6" t="s">
        <v>238</v>
      </c>
      <c r="B88" s="255" t="s">
        <v>624</v>
      </c>
      <c r="C88" s="255" t="s">
        <v>625</v>
      </c>
      <c r="D88" s="255" t="s">
        <v>626</v>
      </c>
      <c r="E88" s="76"/>
      <c r="F88" s="76"/>
      <c r="G88" s="39">
        <f t="shared" si="1"/>
        <v>0</v>
      </c>
      <c r="H88" s="13" t="str">
        <f t="shared" si="2"/>
        <v> Signed Rep +  5-Star Review</v>
      </c>
      <c r="I88" s="14"/>
      <c r="J88" s="14"/>
    </row>
    <row r="89" hidden="1">
      <c r="A89" s="6" t="s">
        <v>238</v>
      </c>
      <c r="B89" s="255" t="s">
        <v>627</v>
      </c>
      <c r="C89" s="255" t="s">
        <v>628</v>
      </c>
      <c r="D89" s="255" t="s">
        <v>629</v>
      </c>
      <c r="E89" s="76"/>
      <c r="F89" s="76"/>
      <c r="G89" s="39">
        <f t="shared" si="1"/>
        <v>0</v>
      </c>
      <c r="H89" s="13" t="str">
        <f t="shared" si="2"/>
        <v> Signed Rep +  5-Star Review</v>
      </c>
      <c r="I89" s="14"/>
      <c r="J89" s="14"/>
    </row>
    <row r="90" hidden="1">
      <c r="A90" s="6" t="s">
        <v>238</v>
      </c>
      <c r="B90" s="255" t="s">
        <v>630</v>
      </c>
      <c r="C90" s="255" t="s">
        <v>631</v>
      </c>
      <c r="D90" s="255" t="s">
        <v>632</v>
      </c>
      <c r="E90" s="76"/>
      <c r="F90" s="76"/>
      <c r="G90" s="39">
        <f t="shared" si="1"/>
        <v>0</v>
      </c>
      <c r="H90" s="13" t="str">
        <f t="shared" si="2"/>
        <v> Signed Rep +  5-Star Review</v>
      </c>
      <c r="I90" s="14"/>
      <c r="J90" s="14"/>
    </row>
    <row r="91" hidden="1">
      <c r="A91" s="6" t="s">
        <v>238</v>
      </c>
      <c r="B91" s="255" t="s">
        <v>639</v>
      </c>
      <c r="C91" s="255" t="s">
        <v>640</v>
      </c>
      <c r="D91" s="255" t="s">
        <v>641</v>
      </c>
      <c r="E91" s="76"/>
      <c r="F91" s="76"/>
      <c r="G91" s="39">
        <f t="shared" si="1"/>
        <v>0</v>
      </c>
      <c r="H91" s="13" t="str">
        <f t="shared" si="2"/>
        <v> Signed Rep +  5-Star Review</v>
      </c>
      <c r="I91" s="14"/>
      <c r="J91" s="14"/>
    </row>
    <row r="92" hidden="1">
      <c r="A92" s="6" t="s">
        <v>238</v>
      </c>
      <c r="B92" s="255" t="s">
        <v>642</v>
      </c>
      <c r="C92" s="255" t="s">
        <v>643</v>
      </c>
      <c r="D92" s="255" t="s">
        <v>644</v>
      </c>
      <c r="E92" s="76"/>
      <c r="F92" s="76"/>
      <c r="G92" s="39">
        <f t="shared" si="1"/>
        <v>0</v>
      </c>
      <c r="H92" s="13" t="str">
        <f t="shared" si="2"/>
        <v> Signed Rep +  5-Star Review</v>
      </c>
      <c r="I92" s="14"/>
      <c r="J92" s="14"/>
    </row>
    <row r="93" hidden="1">
      <c r="A93" s="6" t="s">
        <v>238</v>
      </c>
      <c r="B93" s="255" t="s">
        <v>645</v>
      </c>
      <c r="C93" s="255" t="s">
        <v>646</v>
      </c>
      <c r="D93" s="255" t="s">
        <v>647</v>
      </c>
      <c r="E93" s="76"/>
      <c r="F93" s="76"/>
      <c r="G93" s="39">
        <f t="shared" si="1"/>
        <v>0</v>
      </c>
      <c r="H93" s="13" t="str">
        <f t="shared" si="2"/>
        <v> Signed Rep +  5-Star Review</v>
      </c>
      <c r="I93" s="14"/>
      <c r="J93" s="14"/>
    </row>
    <row r="94" hidden="1">
      <c r="A94" s="6" t="s">
        <v>238</v>
      </c>
      <c r="B94" s="255" t="s">
        <v>648</v>
      </c>
      <c r="C94" s="255" t="s">
        <v>649</v>
      </c>
      <c r="D94" s="255" t="s">
        <v>650</v>
      </c>
      <c r="E94" s="76"/>
      <c r="F94" s="76"/>
      <c r="G94" s="39">
        <f t="shared" si="1"/>
        <v>0</v>
      </c>
      <c r="H94" s="13" t="str">
        <f t="shared" si="2"/>
        <v> Signed Rep +  5-Star Review</v>
      </c>
      <c r="I94" s="14"/>
      <c r="J94" s="14"/>
    </row>
    <row r="95" hidden="1">
      <c r="A95" s="6" t="s">
        <v>238</v>
      </c>
      <c r="B95" s="255" t="s">
        <v>651</v>
      </c>
      <c r="C95" s="255" t="s">
        <v>652</v>
      </c>
      <c r="D95" s="255" t="s">
        <v>653</v>
      </c>
      <c r="E95" s="76"/>
      <c r="F95" s="76"/>
      <c r="G95" s="39">
        <f t="shared" si="1"/>
        <v>0</v>
      </c>
      <c r="H95" s="13" t="str">
        <f t="shared" si="2"/>
        <v> Signed Rep +  5-Star Review</v>
      </c>
      <c r="I95" s="14"/>
      <c r="J95" s="14"/>
    </row>
    <row r="96" hidden="1">
      <c r="A96" s="6" t="s">
        <v>238</v>
      </c>
      <c r="B96" s="255" t="s">
        <v>654</v>
      </c>
      <c r="C96" s="255" t="s">
        <v>655</v>
      </c>
      <c r="D96" s="255" t="s">
        <v>656</v>
      </c>
      <c r="E96" s="76"/>
      <c r="F96" s="76"/>
      <c r="G96" s="39">
        <f t="shared" si="1"/>
        <v>0</v>
      </c>
      <c r="H96" s="13" t="str">
        <f t="shared" si="2"/>
        <v> Signed Rep +  5-Star Review</v>
      </c>
      <c r="I96" s="14"/>
      <c r="J96" s="14"/>
    </row>
    <row r="97" hidden="1">
      <c r="A97" s="6" t="s">
        <v>238</v>
      </c>
      <c r="B97" s="255" t="s">
        <v>657</v>
      </c>
      <c r="C97" s="255" t="s">
        <v>658</v>
      </c>
      <c r="D97" s="255" t="s">
        <v>659</v>
      </c>
      <c r="E97" s="258">
        <v>23.0</v>
      </c>
      <c r="F97" s="260">
        <v>0.0</v>
      </c>
      <c r="G97" s="39">
        <f t="shared" si="1"/>
        <v>5750</v>
      </c>
      <c r="H97" s="13" t="str">
        <f t="shared" si="2"/>
        <v>23 Signed Rep + 0 5-Star Review</v>
      </c>
      <c r="I97" s="14"/>
      <c r="J97" s="14"/>
    </row>
    <row r="98" hidden="1">
      <c r="A98" s="6" t="s">
        <v>238</v>
      </c>
      <c r="B98" s="255" t="s">
        <v>213</v>
      </c>
      <c r="C98" s="255" t="s">
        <v>214</v>
      </c>
      <c r="D98" s="255" t="s">
        <v>660</v>
      </c>
      <c r="E98" s="76"/>
      <c r="F98" s="76"/>
      <c r="G98" s="39">
        <f t="shared" si="1"/>
        <v>0</v>
      </c>
      <c r="H98" s="13" t="str">
        <f t="shared" si="2"/>
        <v> Signed Rep +  5-Star Review</v>
      </c>
      <c r="I98" s="14"/>
      <c r="J98" s="14"/>
    </row>
    <row r="99" hidden="1">
      <c r="A99" s="6" t="s">
        <v>238</v>
      </c>
      <c r="B99" s="255" t="s">
        <v>661</v>
      </c>
      <c r="C99" s="255" t="s">
        <v>662</v>
      </c>
      <c r="D99" s="255" t="s">
        <v>663</v>
      </c>
      <c r="E99" s="258">
        <v>33.0</v>
      </c>
      <c r="F99" s="260">
        <v>0.0</v>
      </c>
      <c r="G99" s="39">
        <f t="shared" si="1"/>
        <v>8250</v>
      </c>
      <c r="H99" s="13" t="str">
        <f t="shared" si="2"/>
        <v>33 Signed Rep + 0 5-Star Review</v>
      </c>
      <c r="I99" s="14"/>
      <c r="J99" s="14"/>
    </row>
    <row r="100" hidden="1">
      <c r="A100" s="6" t="s">
        <v>238</v>
      </c>
      <c r="B100" s="255" t="s">
        <v>664</v>
      </c>
      <c r="C100" s="255" t="s">
        <v>665</v>
      </c>
      <c r="D100" s="255" t="s">
        <v>666</v>
      </c>
      <c r="E100" s="258">
        <v>20.0</v>
      </c>
      <c r="F100" s="260">
        <v>0.0</v>
      </c>
      <c r="G100" s="39">
        <f t="shared" si="1"/>
        <v>5000</v>
      </c>
      <c r="H100" s="13" t="str">
        <f t="shared" si="2"/>
        <v>20 Signed Rep + 0 5-Star Review</v>
      </c>
      <c r="I100" s="14"/>
      <c r="J100" s="14"/>
    </row>
    <row r="101" hidden="1">
      <c r="A101" s="6" t="s">
        <v>238</v>
      </c>
      <c r="B101" s="255" t="s">
        <v>667</v>
      </c>
      <c r="C101" s="255" t="s">
        <v>668</v>
      </c>
      <c r="D101" s="255" t="s">
        <v>669</v>
      </c>
      <c r="E101" s="76"/>
      <c r="F101" s="76"/>
      <c r="G101" s="39">
        <f t="shared" si="1"/>
        <v>0</v>
      </c>
      <c r="H101" s="13" t="str">
        <f t="shared" si="2"/>
        <v> Signed Rep +  5-Star Review</v>
      </c>
      <c r="I101" s="14"/>
      <c r="J101" s="14"/>
    </row>
    <row r="102" hidden="1">
      <c r="A102" s="6" t="s">
        <v>238</v>
      </c>
      <c r="B102" s="255" t="s">
        <v>670</v>
      </c>
      <c r="C102" s="255" t="s">
        <v>671</v>
      </c>
      <c r="D102" s="255" t="s">
        <v>672</v>
      </c>
      <c r="E102" s="76"/>
      <c r="F102" s="76"/>
      <c r="G102" s="39">
        <f t="shared" si="1"/>
        <v>0</v>
      </c>
      <c r="H102" s="13" t="str">
        <f t="shared" si="2"/>
        <v> Signed Rep +  5-Star Review</v>
      </c>
      <c r="I102" s="14"/>
      <c r="J102" s="14"/>
    </row>
    <row r="103" hidden="1">
      <c r="A103" s="6" t="s">
        <v>238</v>
      </c>
      <c r="B103" s="255" t="s">
        <v>673</v>
      </c>
      <c r="C103" s="255" t="s">
        <v>674</v>
      </c>
      <c r="D103" s="255" t="s">
        <v>675</v>
      </c>
      <c r="E103" s="76"/>
      <c r="F103" s="76"/>
      <c r="G103" s="39">
        <f t="shared" si="1"/>
        <v>0</v>
      </c>
      <c r="H103" s="13" t="str">
        <f t="shared" si="2"/>
        <v> Signed Rep +  5-Star Review</v>
      </c>
      <c r="I103" s="14"/>
      <c r="J103" s="14"/>
    </row>
    <row r="104" hidden="1">
      <c r="A104" s="6" t="s">
        <v>238</v>
      </c>
      <c r="B104" s="255" t="s">
        <v>676</v>
      </c>
      <c r="C104" s="255" t="s">
        <v>677</v>
      </c>
      <c r="D104" s="255" t="s">
        <v>678</v>
      </c>
      <c r="E104" s="76"/>
      <c r="F104" s="76"/>
      <c r="G104" s="39">
        <f t="shared" si="1"/>
        <v>0</v>
      </c>
      <c r="H104" s="13" t="str">
        <f t="shared" si="2"/>
        <v> Signed Rep +  5-Star Review</v>
      </c>
      <c r="I104" s="14"/>
      <c r="J104" s="14"/>
    </row>
    <row r="105" hidden="1">
      <c r="A105" s="6" t="s">
        <v>238</v>
      </c>
      <c r="B105" s="255" t="s">
        <v>679</v>
      </c>
      <c r="C105" s="255" t="s">
        <v>680</v>
      </c>
      <c r="D105" s="255" t="s">
        <v>778</v>
      </c>
      <c r="E105" s="76"/>
      <c r="F105" s="76"/>
      <c r="G105" s="39">
        <f t="shared" si="1"/>
        <v>0</v>
      </c>
      <c r="H105" s="13" t="str">
        <f t="shared" si="2"/>
        <v> Signed Rep +  5-Star Review</v>
      </c>
      <c r="I105" s="14"/>
      <c r="J105" s="14"/>
    </row>
    <row r="106" hidden="1">
      <c r="A106" s="6" t="s">
        <v>238</v>
      </c>
      <c r="B106" s="255" t="s">
        <v>682</v>
      </c>
      <c r="C106" s="255" t="s">
        <v>683</v>
      </c>
      <c r="D106" s="255" t="s">
        <v>684</v>
      </c>
      <c r="E106" s="76"/>
      <c r="F106" s="76"/>
      <c r="G106" s="39">
        <f t="shared" si="1"/>
        <v>0</v>
      </c>
      <c r="H106" s="13" t="str">
        <f t="shared" si="2"/>
        <v> Signed Rep +  5-Star Review</v>
      </c>
      <c r="I106" s="14"/>
      <c r="J106" s="14"/>
    </row>
    <row r="107" hidden="1">
      <c r="A107" s="6" t="s">
        <v>238</v>
      </c>
      <c r="B107" s="255" t="s">
        <v>685</v>
      </c>
      <c r="C107" s="255" t="s">
        <v>686</v>
      </c>
      <c r="D107" s="255" t="s">
        <v>687</v>
      </c>
      <c r="E107" s="76"/>
      <c r="F107" s="76"/>
      <c r="G107" s="39">
        <f t="shared" si="1"/>
        <v>0</v>
      </c>
      <c r="H107" s="13" t="str">
        <f t="shared" si="2"/>
        <v> Signed Rep +  5-Star Review</v>
      </c>
      <c r="I107" s="14"/>
      <c r="J107" s="14"/>
    </row>
    <row r="108" hidden="1">
      <c r="A108" s="6" t="s">
        <v>238</v>
      </c>
      <c r="B108" s="255" t="s">
        <v>688</v>
      </c>
      <c r="C108" s="255" t="s">
        <v>689</v>
      </c>
      <c r="D108" s="255" t="s">
        <v>690</v>
      </c>
      <c r="E108" s="76"/>
      <c r="F108" s="76"/>
      <c r="G108" s="39">
        <f t="shared" si="1"/>
        <v>0</v>
      </c>
      <c r="H108" s="13" t="str">
        <f t="shared" si="2"/>
        <v> Signed Rep +  5-Star Review</v>
      </c>
      <c r="I108" s="14"/>
      <c r="J108" s="14"/>
    </row>
    <row r="109" hidden="1">
      <c r="A109" s="6" t="s">
        <v>238</v>
      </c>
      <c r="B109" s="255" t="s">
        <v>691</v>
      </c>
      <c r="C109" s="255" t="s">
        <v>692</v>
      </c>
      <c r="D109" s="255" t="s">
        <v>693</v>
      </c>
      <c r="E109" s="76"/>
      <c r="F109" s="76"/>
      <c r="G109" s="39">
        <f t="shared" si="1"/>
        <v>0</v>
      </c>
      <c r="H109" s="13" t="str">
        <f t="shared" si="2"/>
        <v> Signed Rep +  5-Star Review</v>
      </c>
      <c r="I109" s="14"/>
      <c r="J109" s="14"/>
    </row>
    <row r="110" hidden="1">
      <c r="A110" s="6" t="s">
        <v>238</v>
      </c>
      <c r="B110" s="255" t="s">
        <v>694</v>
      </c>
      <c r="C110" s="255" t="s">
        <v>695</v>
      </c>
      <c r="D110" s="255" t="s">
        <v>696</v>
      </c>
      <c r="E110" s="76"/>
      <c r="F110" s="76"/>
      <c r="G110" s="39">
        <f t="shared" si="1"/>
        <v>0</v>
      </c>
      <c r="H110" s="13" t="str">
        <f t="shared" si="2"/>
        <v> Signed Rep +  5-Star Review</v>
      </c>
      <c r="I110" s="14"/>
      <c r="J110" s="14"/>
    </row>
    <row r="111" hidden="1">
      <c r="A111" s="6" t="s">
        <v>238</v>
      </c>
      <c r="B111" s="255" t="s">
        <v>697</v>
      </c>
      <c r="C111" s="255" t="s">
        <v>698</v>
      </c>
      <c r="D111" s="255" t="s">
        <v>699</v>
      </c>
      <c r="E111" s="76"/>
      <c r="F111" s="76"/>
      <c r="G111" s="39">
        <f t="shared" si="1"/>
        <v>0</v>
      </c>
      <c r="H111" s="13" t="str">
        <f t="shared" si="2"/>
        <v> Signed Rep +  5-Star Review</v>
      </c>
      <c r="I111" s="14"/>
      <c r="J111" s="14"/>
    </row>
    <row r="112" hidden="1">
      <c r="A112" s="6" t="s">
        <v>238</v>
      </c>
      <c r="B112" s="255" t="s">
        <v>700</v>
      </c>
      <c r="C112" s="255" t="s">
        <v>701</v>
      </c>
      <c r="D112" s="255" t="s">
        <v>702</v>
      </c>
      <c r="E112" s="76"/>
      <c r="F112" s="76"/>
      <c r="G112" s="39">
        <f t="shared" si="1"/>
        <v>0</v>
      </c>
      <c r="H112" s="13" t="str">
        <f t="shared" si="2"/>
        <v> Signed Rep +  5-Star Review</v>
      </c>
      <c r="I112" s="14"/>
      <c r="J112" s="14"/>
    </row>
    <row r="113" hidden="1">
      <c r="A113" s="6" t="s">
        <v>238</v>
      </c>
      <c r="B113" s="255" t="s">
        <v>703</v>
      </c>
      <c r="C113" s="255" t="s">
        <v>704</v>
      </c>
      <c r="D113" s="255" t="s">
        <v>705</v>
      </c>
      <c r="E113" s="76"/>
      <c r="F113" s="76"/>
      <c r="G113" s="39">
        <f t="shared" si="1"/>
        <v>0</v>
      </c>
      <c r="H113" s="13" t="str">
        <f t="shared" si="2"/>
        <v> Signed Rep +  5-Star Review</v>
      </c>
      <c r="I113" s="14"/>
      <c r="J113" s="14"/>
    </row>
    <row r="114" hidden="1">
      <c r="A114" s="6" t="s">
        <v>238</v>
      </c>
      <c r="B114" s="255" t="s">
        <v>706</v>
      </c>
      <c r="C114" s="255" t="s">
        <v>707</v>
      </c>
      <c r="D114" s="255" t="s">
        <v>708</v>
      </c>
      <c r="E114" s="76"/>
      <c r="F114" s="76"/>
      <c r="G114" s="39">
        <f t="shared" si="1"/>
        <v>0</v>
      </c>
      <c r="H114" s="13" t="str">
        <f t="shared" si="2"/>
        <v> Signed Rep +  5-Star Review</v>
      </c>
      <c r="I114" s="14"/>
      <c r="J114" s="14"/>
    </row>
    <row r="115" hidden="1">
      <c r="A115" s="6" t="s">
        <v>238</v>
      </c>
      <c r="B115" s="255" t="s">
        <v>709</v>
      </c>
      <c r="C115" s="255" t="s">
        <v>710</v>
      </c>
      <c r="D115" s="255" t="s">
        <v>711</v>
      </c>
      <c r="E115" s="76"/>
      <c r="F115" s="76"/>
      <c r="G115" s="39">
        <f t="shared" si="1"/>
        <v>0</v>
      </c>
      <c r="H115" s="13" t="str">
        <f t="shared" si="2"/>
        <v> Signed Rep +  5-Star Review</v>
      </c>
      <c r="I115" s="14"/>
      <c r="J115" s="14"/>
    </row>
    <row r="116" hidden="1">
      <c r="A116" s="6" t="s">
        <v>238</v>
      </c>
      <c r="B116" s="255" t="s">
        <v>712</v>
      </c>
      <c r="C116" s="255" t="s">
        <v>713</v>
      </c>
      <c r="D116" s="255" t="s">
        <v>714</v>
      </c>
      <c r="E116" s="76"/>
      <c r="F116" s="76"/>
      <c r="G116" s="39">
        <f t="shared" si="1"/>
        <v>0</v>
      </c>
      <c r="H116" s="13" t="str">
        <f t="shared" si="2"/>
        <v> Signed Rep +  5-Star Review</v>
      </c>
      <c r="I116" s="14"/>
      <c r="J116" s="14"/>
    </row>
    <row r="117" hidden="1">
      <c r="A117" s="6" t="s">
        <v>238</v>
      </c>
      <c r="B117" s="255" t="s">
        <v>715</v>
      </c>
      <c r="C117" s="255" t="s">
        <v>716</v>
      </c>
      <c r="D117" s="255" t="s">
        <v>717</v>
      </c>
      <c r="E117" s="76"/>
      <c r="F117" s="76"/>
      <c r="G117" s="39">
        <f t="shared" si="1"/>
        <v>0</v>
      </c>
      <c r="H117" s="13" t="str">
        <f t="shared" si="2"/>
        <v> Signed Rep +  5-Star Review</v>
      </c>
      <c r="I117" s="14"/>
      <c r="J117" s="14"/>
    </row>
    <row r="118" hidden="1">
      <c r="A118" s="6" t="s">
        <v>238</v>
      </c>
      <c r="B118" s="255" t="s">
        <v>718</v>
      </c>
      <c r="C118" s="255" t="s">
        <v>719</v>
      </c>
      <c r="D118" s="255" t="s">
        <v>720</v>
      </c>
      <c r="E118" s="76"/>
      <c r="F118" s="76"/>
      <c r="G118" s="39">
        <f t="shared" si="1"/>
        <v>0</v>
      </c>
      <c r="H118" s="13" t="str">
        <f t="shared" si="2"/>
        <v> Signed Rep +  5-Star Review</v>
      </c>
      <c r="I118" s="14"/>
      <c r="J118" s="14"/>
    </row>
    <row r="119" hidden="1">
      <c r="A119" s="6" t="s">
        <v>238</v>
      </c>
      <c r="B119" s="255" t="s">
        <v>721</v>
      </c>
      <c r="C119" s="255" t="s">
        <v>722</v>
      </c>
      <c r="D119" s="255" t="s">
        <v>723</v>
      </c>
      <c r="E119" s="76"/>
      <c r="F119" s="76"/>
      <c r="G119" s="39">
        <f t="shared" si="1"/>
        <v>0</v>
      </c>
      <c r="H119" s="13" t="str">
        <f t="shared" si="2"/>
        <v> Signed Rep +  5-Star Review</v>
      </c>
      <c r="I119" s="14"/>
      <c r="J119" s="14"/>
    </row>
    <row r="120" hidden="1">
      <c r="A120" s="6" t="s">
        <v>238</v>
      </c>
      <c r="B120" s="257" t="s">
        <v>724</v>
      </c>
      <c r="C120" s="255" t="s">
        <v>725</v>
      </c>
      <c r="D120" s="255" t="s">
        <v>726</v>
      </c>
      <c r="E120" s="76"/>
      <c r="F120" s="76"/>
      <c r="G120" s="39">
        <f t="shared" si="1"/>
        <v>0</v>
      </c>
      <c r="H120" s="13" t="str">
        <f t="shared" si="2"/>
        <v> Signed Rep +  5-Star Review</v>
      </c>
      <c r="I120" s="14"/>
      <c r="J120" s="14"/>
    </row>
    <row r="121" hidden="1">
      <c r="A121" s="6" t="s">
        <v>238</v>
      </c>
      <c r="B121" s="255" t="s">
        <v>727</v>
      </c>
      <c r="C121" s="255" t="s">
        <v>728</v>
      </c>
      <c r="D121" s="255" t="s">
        <v>729</v>
      </c>
      <c r="E121" s="76"/>
      <c r="F121" s="76"/>
      <c r="G121" s="39">
        <f t="shared" si="1"/>
        <v>0</v>
      </c>
      <c r="H121" s="13" t="str">
        <f t="shared" si="2"/>
        <v> Signed Rep +  5-Star Review</v>
      </c>
      <c r="I121" s="14"/>
      <c r="J121" s="14"/>
    </row>
    <row r="122" hidden="1">
      <c r="A122" s="6" t="s">
        <v>238</v>
      </c>
      <c r="B122" s="255" t="s">
        <v>730</v>
      </c>
      <c r="C122" s="255" t="s">
        <v>731</v>
      </c>
      <c r="D122" s="255" t="s">
        <v>732</v>
      </c>
      <c r="E122" s="76"/>
      <c r="F122" s="76"/>
      <c r="G122" s="39">
        <f t="shared" si="1"/>
        <v>0</v>
      </c>
      <c r="H122" s="13" t="str">
        <f t="shared" si="2"/>
        <v> Signed Rep +  5-Star Review</v>
      </c>
      <c r="I122" s="14"/>
      <c r="J122" s="14"/>
    </row>
    <row r="123" hidden="1">
      <c r="A123" s="6" t="s">
        <v>238</v>
      </c>
      <c r="B123" s="255" t="s">
        <v>733</v>
      </c>
      <c r="C123" s="255" t="s">
        <v>734</v>
      </c>
      <c r="D123" s="255" t="s">
        <v>735</v>
      </c>
      <c r="E123" s="76"/>
      <c r="F123" s="76"/>
      <c r="G123" s="39">
        <f t="shared" si="1"/>
        <v>0</v>
      </c>
      <c r="H123" s="13" t="str">
        <f t="shared" si="2"/>
        <v> Signed Rep +  5-Star Review</v>
      </c>
      <c r="I123" s="14"/>
      <c r="J123" s="14"/>
    </row>
    <row r="124" hidden="1">
      <c r="A124" s="6" t="s">
        <v>238</v>
      </c>
      <c r="B124" s="255" t="s">
        <v>736</v>
      </c>
      <c r="C124" s="255" t="s">
        <v>737</v>
      </c>
      <c r="D124" s="255" t="s">
        <v>738</v>
      </c>
      <c r="E124" s="258">
        <v>20.0</v>
      </c>
      <c r="F124" s="260">
        <v>0.0</v>
      </c>
      <c r="G124" s="39">
        <f t="shared" si="1"/>
        <v>5000</v>
      </c>
      <c r="H124" s="13" t="str">
        <f t="shared" si="2"/>
        <v>20 Signed Rep + 0 5-Star Review</v>
      </c>
      <c r="I124" s="14"/>
      <c r="J124" s="14"/>
    </row>
    <row r="125" hidden="1">
      <c r="A125" s="6" t="s">
        <v>238</v>
      </c>
      <c r="B125" s="255" t="s">
        <v>739</v>
      </c>
      <c r="C125" s="255" t="s">
        <v>740</v>
      </c>
      <c r="D125" s="255" t="s">
        <v>741</v>
      </c>
      <c r="E125" s="76"/>
      <c r="F125" s="76"/>
      <c r="G125" s="39">
        <f t="shared" si="1"/>
        <v>0</v>
      </c>
      <c r="H125" s="13" t="str">
        <f t="shared" si="2"/>
        <v> Signed Rep +  5-Star Review</v>
      </c>
      <c r="I125" s="14"/>
      <c r="J125" s="14"/>
    </row>
    <row r="126" hidden="1">
      <c r="A126" s="6" t="s">
        <v>238</v>
      </c>
      <c r="B126" s="255" t="s">
        <v>742</v>
      </c>
      <c r="C126" s="255" t="s">
        <v>743</v>
      </c>
      <c r="D126" s="255" t="s">
        <v>744</v>
      </c>
      <c r="E126" s="76"/>
      <c r="F126" s="76"/>
      <c r="G126" s="39">
        <f t="shared" si="1"/>
        <v>0</v>
      </c>
      <c r="H126" s="13" t="str">
        <f t="shared" si="2"/>
        <v> Signed Rep +  5-Star Review</v>
      </c>
      <c r="I126" s="14"/>
      <c r="J126" s="14"/>
    </row>
    <row r="127" hidden="1">
      <c r="A127" s="6" t="s">
        <v>238</v>
      </c>
      <c r="B127" s="255" t="s">
        <v>745</v>
      </c>
      <c r="C127" s="255" t="s">
        <v>746</v>
      </c>
      <c r="D127" s="255" t="s">
        <v>747</v>
      </c>
      <c r="E127" s="76"/>
      <c r="F127" s="76"/>
      <c r="G127" s="39">
        <f t="shared" si="1"/>
        <v>0</v>
      </c>
      <c r="H127" s="13" t="str">
        <f t="shared" si="2"/>
        <v> Signed Rep +  5-Star Review</v>
      </c>
      <c r="I127" s="14"/>
      <c r="J127" s="14"/>
    </row>
    <row r="128" hidden="1">
      <c r="A128" s="6" t="s">
        <v>238</v>
      </c>
      <c r="B128" s="255" t="s">
        <v>748</v>
      </c>
      <c r="C128" s="255" t="s">
        <v>749</v>
      </c>
      <c r="D128" s="255" t="s">
        <v>750</v>
      </c>
      <c r="E128" s="76"/>
      <c r="F128" s="76"/>
      <c r="G128" s="39">
        <f t="shared" si="1"/>
        <v>0</v>
      </c>
      <c r="H128" s="13" t="str">
        <f t="shared" si="2"/>
        <v> Signed Rep +  5-Star Review</v>
      </c>
      <c r="I128" s="14"/>
      <c r="J128" s="14"/>
    </row>
    <row r="129" hidden="1">
      <c r="A129" s="6" t="s">
        <v>238</v>
      </c>
      <c r="B129" s="255" t="s">
        <v>751</v>
      </c>
      <c r="C129" s="255" t="s">
        <v>752</v>
      </c>
      <c r="D129" s="255" t="s">
        <v>753</v>
      </c>
      <c r="E129" s="76"/>
      <c r="F129" s="76"/>
      <c r="G129" s="39">
        <f t="shared" si="1"/>
        <v>0</v>
      </c>
      <c r="H129" s="13" t="str">
        <f t="shared" si="2"/>
        <v> Signed Rep +  5-Star Review</v>
      </c>
      <c r="I129" s="14"/>
      <c r="J129" s="14"/>
    </row>
    <row r="130" hidden="1">
      <c r="A130" s="6" t="s">
        <v>238</v>
      </c>
      <c r="B130" s="255" t="s">
        <v>754</v>
      </c>
      <c r="C130" s="255" t="s">
        <v>755</v>
      </c>
      <c r="D130" s="255" t="s">
        <v>756</v>
      </c>
      <c r="E130" s="76"/>
      <c r="F130" s="76"/>
      <c r="G130" s="39">
        <f t="shared" si="1"/>
        <v>0</v>
      </c>
      <c r="H130" s="13" t="str">
        <f t="shared" si="2"/>
        <v> Signed Rep +  5-Star Review</v>
      </c>
      <c r="I130" s="14"/>
      <c r="J130" s="14"/>
    </row>
    <row r="131" hidden="1">
      <c r="A131" s="6" t="s">
        <v>238</v>
      </c>
      <c r="B131" s="255" t="s">
        <v>757</v>
      </c>
      <c r="C131" s="255" t="s">
        <v>758</v>
      </c>
      <c r="D131" s="255" t="s">
        <v>759</v>
      </c>
      <c r="E131" s="16"/>
      <c r="F131" s="16"/>
      <c r="G131" s="39">
        <f t="shared" si="1"/>
        <v>0</v>
      </c>
      <c r="H131" s="13" t="str">
        <f t="shared" si="2"/>
        <v> Signed Rep +  5-Star Review</v>
      </c>
      <c r="I131" s="23"/>
      <c r="J131" s="23"/>
    </row>
    <row r="132" hidden="1">
      <c r="A132" s="6" t="s">
        <v>238</v>
      </c>
      <c r="B132" s="255" t="s">
        <v>219</v>
      </c>
      <c r="C132" s="255" t="s">
        <v>220</v>
      </c>
      <c r="D132" s="255" t="s">
        <v>760</v>
      </c>
      <c r="E132" s="76"/>
      <c r="F132" s="76"/>
      <c r="G132" s="39">
        <f t="shared" si="1"/>
        <v>0</v>
      </c>
      <c r="H132" s="13" t="str">
        <f t="shared" si="2"/>
        <v> Signed Rep +  5-Star Review</v>
      </c>
      <c r="I132" s="14"/>
      <c r="J132" s="14"/>
    </row>
    <row r="133" hidden="1">
      <c r="A133" s="6" t="s">
        <v>239</v>
      </c>
      <c r="B133" s="255" t="s">
        <v>761</v>
      </c>
      <c r="C133" s="255" t="s">
        <v>762</v>
      </c>
      <c r="D133" s="255" t="s">
        <v>763</v>
      </c>
      <c r="E133" s="76"/>
      <c r="F133" s="76"/>
      <c r="G133" s="39">
        <f t="shared" si="1"/>
        <v>0</v>
      </c>
      <c r="H133" s="13" t="str">
        <f t="shared" si="2"/>
        <v> Signed Rep +  5-Star Review</v>
      </c>
      <c r="I133" s="14"/>
      <c r="J133" s="14"/>
    </row>
    <row r="134" hidden="1">
      <c r="A134" s="6" t="s">
        <v>239</v>
      </c>
      <c r="B134" s="255" t="s">
        <v>764</v>
      </c>
      <c r="C134" s="255" t="s">
        <v>765</v>
      </c>
      <c r="D134" s="255" t="s">
        <v>766</v>
      </c>
      <c r="E134" s="76"/>
      <c r="F134" s="76"/>
      <c r="G134" s="39">
        <f t="shared" si="1"/>
        <v>0</v>
      </c>
      <c r="H134" s="13" t="str">
        <f t="shared" si="2"/>
        <v> Signed Rep +  5-Star Review</v>
      </c>
      <c r="I134" s="14"/>
      <c r="J134" s="14"/>
    </row>
    <row r="135" hidden="1">
      <c r="A135" s="6" t="s">
        <v>239</v>
      </c>
      <c r="B135" s="255" t="s">
        <v>767</v>
      </c>
      <c r="C135" s="255" t="s">
        <v>768</v>
      </c>
      <c r="D135" s="255" t="s">
        <v>769</v>
      </c>
      <c r="E135" s="76"/>
      <c r="F135" s="76"/>
      <c r="G135" s="39">
        <f t="shared" si="1"/>
        <v>0</v>
      </c>
      <c r="H135" s="13" t="str">
        <f t="shared" si="2"/>
        <v> Signed Rep +  5-Star Review</v>
      </c>
      <c r="I135" s="14"/>
      <c r="J135" s="14"/>
    </row>
    <row r="136" hidden="1">
      <c r="A136" s="6" t="s">
        <v>239</v>
      </c>
      <c r="B136" s="255" t="s">
        <v>770</v>
      </c>
      <c r="C136" s="255" t="s">
        <v>771</v>
      </c>
      <c r="D136" s="255" t="s">
        <v>772</v>
      </c>
      <c r="E136" s="76"/>
      <c r="F136" s="76"/>
      <c r="G136" s="39">
        <f t="shared" si="1"/>
        <v>0</v>
      </c>
      <c r="H136" s="13" t="str">
        <f t="shared" si="2"/>
        <v> Signed Rep +  5-Star Review</v>
      </c>
      <c r="I136" s="14"/>
      <c r="J136" s="14"/>
    </row>
    <row r="137" hidden="1">
      <c r="A137" s="6" t="s">
        <v>239</v>
      </c>
      <c r="B137" s="255" t="s">
        <v>258</v>
      </c>
      <c r="C137" s="255" t="s">
        <v>773</v>
      </c>
      <c r="D137" s="255" t="s">
        <v>774</v>
      </c>
      <c r="E137" s="76"/>
      <c r="F137" s="76"/>
      <c r="G137" s="39">
        <f t="shared" si="1"/>
        <v>0</v>
      </c>
      <c r="H137" s="13" t="str">
        <f t="shared" si="2"/>
        <v> Signed Rep +  5-Star Review</v>
      </c>
      <c r="I137" s="14"/>
      <c r="J137" s="14"/>
    </row>
    <row r="138" hidden="1">
      <c r="A138" s="6" t="s">
        <v>239</v>
      </c>
      <c r="B138" s="255" t="s">
        <v>775</v>
      </c>
      <c r="C138" s="255" t="s">
        <v>776</v>
      </c>
      <c r="D138" s="255" t="s">
        <v>777</v>
      </c>
      <c r="E138" s="76"/>
      <c r="F138" s="76"/>
      <c r="G138" s="39">
        <f t="shared" si="1"/>
        <v>0</v>
      </c>
      <c r="H138" s="13" t="str">
        <f t="shared" si="2"/>
        <v> Signed Rep +  5-Star Review</v>
      </c>
      <c r="I138" s="14"/>
      <c r="J138" s="14"/>
    </row>
    <row r="139" hidden="1">
      <c r="A139" s="6" t="s">
        <v>239</v>
      </c>
      <c r="B139" s="255" t="s">
        <v>615</v>
      </c>
      <c r="C139" s="255" t="s">
        <v>616</v>
      </c>
      <c r="D139" s="255" t="s">
        <v>617</v>
      </c>
      <c r="E139" s="76"/>
      <c r="F139" s="76"/>
      <c r="G139" s="39">
        <f t="shared" si="1"/>
        <v>0</v>
      </c>
      <c r="H139" s="13" t="str">
        <f t="shared" si="2"/>
        <v> Signed Rep +  5-Star Review</v>
      </c>
      <c r="I139" s="14"/>
      <c r="J139" s="14"/>
    </row>
    <row r="140" hidden="1">
      <c r="A140" s="6" t="s">
        <v>239</v>
      </c>
      <c r="B140" s="255" t="s">
        <v>618</v>
      </c>
      <c r="C140" s="255" t="s">
        <v>619</v>
      </c>
      <c r="D140" s="255" t="s">
        <v>620</v>
      </c>
      <c r="E140" s="76"/>
      <c r="F140" s="76"/>
      <c r="G140" s="39">
        <f t="shared" si="1"/>
        <v>0</v>
      </c>
      <c r="H140" s="13" t="str">
        <f t="shared" si="2"/>
        <v> Signed Rep +  5-Star Review</v>
      </c>
      <c r="I140" s="14"/>
      <c r="J140" s="14"/>
    </row>
    <row r="141" hidden="1">
      <c r="A141" s="6" t="s">
        <v>239</v>
      </c>
      <c r="B141" s="255" t="s">
        <v>624</v>
      </c>
      <c r="C141" s="255" t="s">
        <v>625</v>
      </c>
      <c r="D141" s="255" t="s">
        <v>626</v>
      </c>
      <c r="E141" s="76"/>
      <c r="F141" s="76"/>
      <c r="G141" s="39">
        <f t="shared" si="1"/>
        <v>0</v>
      </c>
      <c r="H141" s="13" t="str">
        <f t="shared" si="2"/>
        <v> Signed Rep +  5-Star Review</v>
      </c>
      <c r="I141" s="14"/>
      <c r="J141" s="14"/>
    </row>
    <row r="142" hidden="1">
      <c r="A142" s="6" t="s">
        <v>239</v>
      </c>
      <c r="B142" s="255" t="s">
        <v>627</v>
      </c>
      <c r="C142" s="255" t="s">
        <v>628</v>
      </c>
      <c r="D142" s="255" t="s">
        <v>629</v>
      </c>
      <c r="E142" s="76"/>
      <c r="F142" s="76"/>
      <c r="G142" s="39">
        <f t="shared" si="1"/>
        <v>0</v>
      </c>
      <c r="H142" s="13" t="str">
        <f t="shared" si="2"/>
        <v> Signed Rep +  5-Star Review</v>
      </c>
      <c r="I142" s="14"/>
      <c r="J142" s="14"/>
    </row>
    <row r="143" hidden="1">
      <c r="A143" s="6" t="s">
        <v>239</v>
      </c>
      <c r="B143" s="255" t="s">
        <v>630</v>
      </c>
      <c r="C143" s="255" t="s">
        <v>631</v>
      </c>
      <c r="D143" s="255" t="s">
        <v>632</v>
      </c>
      <c r="E143" s="76"/>
      <c r="F143" s="76"/>
      <c r="G143" s="39">
        <f t="shared" si="1"/>
        <v>0</v>
      </c>
      <c r="H143" s="13" t="str">
        <f t="shared" si="2"/>
        <v> Signed Rep +  5-Star Review</v>
      </c>
      <c r="I143" s="14"/>
      <c r="J143" s="14"/>
    </row>
    <row r="144" hidden="1">
      <c r="A144" s="6" t="s">
        <v>239</v>
      </c>
      <c r="B144" s="255" t="s">
        <v>639</v>
      </c>
      <c r="C144" s="255" t="s">
        <v>640</v>
      </c>
      <c r="D144" s="255" t="s">
        <v>641</v>
      </c>
      <c r="E144" s="76"/>
      <c r="F144" s="76"/>
      <c r="G144" s="39">
        <f t="shared" si="1"/>
        <v>0</v>
      </c>
      <c r="H144" s="13" t="str">
        <f t="shared" si="2"/>
        <v> Signed Rep +  5-Star Review</v>
      </c>
      <c r="I144" s="14"/>
      <c r="J144" s="14"/>
    </row>
    <row r="145" hidden="1">
      <c r="A145" s="6" t="s">
        <v>239</v>
      </c>
      <c r="B145" s="255" t="s">
        <v>642</v>
      </c>
      <c r="C145" s="255" t="s">
        <v>643</v>
      </c>
      <c r="D145" s="255" t="s">
        <v>644</v>
      </c>
      <c r="E145" s="76"/>
      <c r="F145" s="76"/>
      <c r="G145" s="39">
        <f t="shared" si="1"/>
        <v>0</v>
      </c>
      <c r="H145" s="13" t="str">
        <f t="shared" si="2"/>
        <v> Signed Rep +  5-Star Review</v>
      </c>
      <c r="I145" s="14"/>
      <c r="J145" s="14"/>
    </row>
    <row r="146" hidden="1">
      <c r="A146" s="6" t="s">
        <v>239</v>
      </c>
      <c r="B146" s="255" t="s">
        <v>645</v>
      </c>
      <c r="C146" s="255" t="s">
        <v>646</v>
      </c>
      <c r="D146" s="255" t="s">
        <v>647</v>
      </c>
      <c r="E146" s="76"/>
      <c r="F146" s="76"/>
      <c r="G146" s="39">
        <f t="shared" si="1"/>
        <v>0</v>
      </c>
      <c r="H146" s="13" t="str">
        <f t="shared" si="2"/>
        <v> Signed Rep +  5-Star Review</v>
      </c>
      <c r="I146" s="14"/>
      <c r="J146" s="14"/>
    </row>
    <row r="147" hidden="1">
      <c r="A147" s="6" t="s">
        <v>239</v>
      </c>
      <c r="B147" s="255" t="s">
        <v>648</v>
      </c>
      <c r="C147" s="255" t="s">
        <v>649</v>
      </c>
      <c r="D147" s="255" t="s">
        <v>650</v>
      </c>
      <c r="E147" s="76"/>
      <c r="F147" s="76"/>
      <c r="G147" s="39">
        <f t="shared" si="1"/>
        <v>0</v>
      </c>
      <c r="H147" s="13" t="str">
        <f t="shared" si="2"/>
        <v> Signed Rep +  5-Star Review</v>
      </c>
      <c r="I147" s="14"/>
      <c r="J147" s="14"/>
    </row>
    <row r="148" hidden="1">
      <c r="A148" s="6" t="s">
        <v>239</v>
      </c>
      <c r="B148" s="255" t="s">
        <v>651</v>
      </c>
      <c r="C148" s="255" t="s">
        <v>652</v>
      </c>
      <c r="D148" s="255" t="s">
        <v>653</v>
      </c>
      <c r="E148" s="76"/>
      <c r="F148" s="76"/>
      <c r="G148" s="39">
        <f t="shared" si="1"/>
        <v>0</v>
      </c>
      <c r="H148" s="13" t="str">
        <f t="shared" si="2"/>
        <v> Signed Rep +  5-Star Review</v>
      </c>
      <c r="I148" s="14"/>
      <c r="J148" s="14"/>
    </row>
    <row r="149" hidden="1">
      <c r="A149" s="6" t="s">
        <v>239</v>
      </c>
      <c r="B149" s="255" t="s">
        <v>654</v>
      </c>
      <c r="C149" s="255" t="s">
        <v>655</v>
      </c>
      <c r="D149" s="255" t="s">
        <v>656</v>
      </c>
      <c r="E149" s="76"/>
      <c r="F149" s="76"/>
      <c r="G149" s="39">
        <f t="shared" si="1"/>
        <v>0</v>
      </c>
      <c r="H149" s="13" t="str">
        <f t="shared" si="2"/>
        <v> Signed Rep +  5-Star Review</v>
      </c>
      <c r="I149" s="14"/>
      <c r="J149" s="14"/>
    </row>
    <row r="150" hidden="1">
      <c r="A150" s="6" t="s">
        <v>239</v>
      </c>
      <c r="B150" s="255" t="s">
        <v>657</v>
      </c>
      <c r="C150" s="255" t="s">
        <v>658</v>
      </c>
      <c r="D150" s="255" t="s">
        <v>659</v>
      </c>
      <c r="E150" s="261">
        <v>23.0</v>
      </c>
      <c r="F150" s="57">
        <v>0.0</v>
      </c>
      <c r="G150" s="39">
        <f t="shared" si="1"/>
        <v>5750</v>
      </c>
      <c r="H150" s="13" t="str">
        <f t="shared" si="2"/>
        <v>23 Signed Rep + 0 5-Star Review</v>
      </c>
      <c r="I150" s="14"/>
      <c r="J150" s="14"/>
    </row>
    <row r="151" hidden="1">
      <c r="A151" s="6" t="s">
        <v>239</v>
      </c>
      <c r="B151" s="255" t="s">
        <v>213</v>
      </c>
      <c r="C151" s="255" t="s">
        <v>214</v>
      </c>
      <c r="D151" s="255" t="s">
        <v>660</v>
      </c>
      <c r="E151" s="76"/>
      <c r="F151" s="76"/>
      <c r="G151" s="39">
        <f t="shared" si="1"/>
        <v>0</v>
      </c>
      <c r="H151" s="13" t="str">
        <f t="shared" si="2"/>
        <v> Signed Rep +  5-Star Review</v>
      </c>
      <c r="I151" s="14"/>
      <c r="J151" s="14"/>
    </row>
    <row r="152" hidden="1">
      <c r="A152" s="6" t="s">
        <v>239</v>
      </c>
      <c r="B152" s="255" t="s">
        <v>661</v>
      </c>
      <c r="C152" s="255" t="s">
        <v>662</v>
      </c>
      <c r="D152" s="255" t="s">
        <v>663</v>
      </c>
      <c r="E152" s="261">
        <v>34.0</v>
      </c>
      <c r="F152" s="57">
        <v>0.0</v>
      </c>
      <c r="G152" s="39">
        <f t="shared" si="1"/>
        <v>8500</v>
      </c>
      <c r="H152" s="13" t="str">
        <f t="shared" si="2"/>
        <v>34 Signed Rep + 0 5-Star Review</v>
      </c>
      <c r="I152" s="14"/>
      <c r="J152" s="14"/>
    </row>
    <row r="153" hidden="1">
      <c r="A153" s="6" t="s">
        <v>239</v>
      </c>
      <c r="B153" s="255" t="s">
        <v>664</v>
      </c>
      <c r="C153" s="255" t="s">
        <v>665</v>
      </c>
      <c r="D153" s="255" t="s">
        <v>666</v>
      </c>
      <c r="E153" s="261">
        <v>28.0</v>
      </c>
      <c r="F153" s="57">
        <v>0.0</v>
      </c>
      <c r="G153" s="39">
        <f t="shared" si="1"/>
        <v>7000</v>
      </c>
      <c r="H153" s="13" t="str">
        <f t="shared" si="2"/>
        <v>28 Signed Rep + 0 5-Star Review</v>
      </c>
      <c r="I153" s="14"/>
      <c r="J153" s="14"/>
    </row>
    <row r="154" hidden="1">
      <c r="A154" s="6" t="s">
        <v>239</v>
      </c>
      <c r="B154" s="255" t="s">
        <v>667</v>
      </c>
      <c r="C154" s="255" t="s">
        <v>668</v>
      </c>
      <c r="D154" s="255" t="s">
        <v>669</v>
      </c>
      <c r="E154" s="76"/>
      <c r="F154" s="76"/>
      <c r="G154" s="39">
        <f t="shared" si="1"/>
        <v>0</v>
      </c>
      <c r="H154" s="13" t="str">
        <f t="shared" si="2"/>
        <v> Signed Rep +  5-Star Review</v>
      </c>
      <c r="I154" s="14"/>
      <c r="J154" s="14"/>
    </row>
    <row r="155" hidden="1">
      <c r="A155" s="6" t="s">
        <v>239</v>
      </c>
      <c r="B155" s="255" t="s">
        <v>670</v>
      </c>
      <c r="C155" s="255" t="s">
        <v>671</v>
      </c>
      <c r="D155" s="255" t="s">
        <v>672</v>
      </c>
      <c r="E155" s="76"/>
      <c r="F155" s="76"/>
      <c r="G155" s="39">
        <f t="shared" si="1"/>
        <v>0</v>
      </c>
      <c r="H155" s="13" t="str">
        <f t="shared" si="2"/>
        <v> Signed Rep +  5-Star Review</v>
      </c>
      <c r="I155" s="14"/>
      <c r="J155" s="14"/>
    </row>
    <row r="156" hidden="1">
      <c r="A156" s="6" t="s">
        <v>239</v>
      </c>
      <c r="B156" s="255" t="s">
        <v>673</v>
      </c>
      <c r="C156" s="255" t="s">
        <v>674</v>
      </c>
      <c r="D156" s="255" t="s">
        <v>675</v>
      </c>
      <c r="E156" s="76"/>
      <c r="F156" s="76"/>
      <c r="G156" s="39">
        <f t="shared" si="1"/>
        <v>0</v>
      </c>
      <c r="H156" s="13" t="str">
        <f t="shared" si="2"/>
        <v> Signed Rep +  5-Star Review</v>
      </c>
      <c r="I156" s="14"/>
      <c r="J156" s="14"/>
    </row>
    <row r="157" hidden="1">
      <c r="A157" s="6" t="s">
        <v>239</v>
      </c>
      <c r="B157" s="255" t="s">
        <v>676</v>
      </c>
      <c r="C157" s="255" t="s">
        <v>677</v>
      </c>
      <c r="D157" s="255" t="s">
        <v>678</v>
      </c>
      <c r="E157" s="76"/>
      <c r="F157" s="76"/>
      <c r="G157" s="39">
        <f t="shared" si="1"/>
        <v>0</v>
      </c>
      <c r="H157" s="13" t="str">
        <f t="shared" si="2"/>
        <v> Signed Rep +  5-Star Review</v>
      </c>
      <c r="I157" s="14"/>
      <c r="J157" s="14"/>
    </row>
    <row r="158" hidden="1">
      <c r="A158" s="6" t="s">
        <v>239</v>
      </c>
      <c r="B158" s="255" t="s">
        <v>679</v>
      </c>
      <c r="C158" s="255" t="s">
        <v>680</v>
      </c>
      <c r="D158" s="255" t="s">
        <v>779</v>
      </c>
      <c r="E158" s="76"/>
      <c r="F158" s="76"/>
      <c r="G158" s="39">
        <f t="shared" si="1"/>
        <v>0</v>
      </c>
      <c r="H158" s="13" t="str">
        <f t="shared" si="2"/>
        <v> Signed Rep +  5-Star Review</v>
      </c>
      <c r="I158" s="14"/>
      <c r="J158" s="14"/>
    </row>
    <row r="159" hidden="1">
      <c r="A159" s="6" t="s">
        <v>239</v>
      </c>
      <c r="B159" s="255" t="s">
        <v>682</v>
      </c>
      <c r="C159" s="255" t="s">
        <v>683</v>
      </c>
      <c r="D159" s="255" t="s">
        <v>684</v>
      </c>
      <c r="E159" s="76"/>
      <c r="F159" s="76"/>
      <c r="G159" s="39">
        <f t="shared" si="1"/>
        <v>0</v>
      </c>
      <c r="H159" s="13" t="str">
        <f t="shared" si="2"/>
        <v> Signed Rep +  5-Star Review</v>
      </c>
      <c r="I159" s="14"/>
      <c r="J159" s="14"/>
    </row>
    <row r="160" hidden="1">
      <c r="A160" s="6" t="s">
        <v>239</v>
      </c>
      <c r="B160" s="255" t="s">
        <v>685</v>
      </c>
      <c r="C160" s="255" t="s">
        <v>686</v>
      </c>
      <c r="D160" s="255" t="s">
        <v>687</v>
      </c>
      <c r="E160" s="76"/>
      <c r="F160" s="76"/>
      <c r="G160" s="39">
        <f t="shared" si="1"/>
        <v>0</v>
      </c>
      <c r="H160" s="13" t="str">
        <f t="shared" si="2"/>
        <v> Signed Rep +  5-Star Review</v>
      </c>
      <c r="I160" s="14"/>
      <c r="J160" s="14"/>
    </row>
    <row r="161" hidden="1">
      <c r="A161" s="6" t="s">
        <v>239</v>
      </c>
      <c r="B161" s="255" t="s">
        <v>688</v>
      </c>
      <c r="C161" s="255" t="s">
        <v>689</v>
      </c>
      <c r="D161" s="255" t="s">
        <v>690</v>
      </c>
      <c r="E161" s="76"/>
      <c r="F161" s="76"/>
      <c r="G161" s="39">
        <f t="shared" si="1"/>
        <v>0</v>
      </c>
      <c r="H161" s="13" t="str">
        <f t="shared" si="2"/>
        <v> Signed Rep +  5-Star Review</v>
      </c>
      <c r="I161" s="14"/>
      <c r="J161" s="14"/>
    </row>
    <row r="162" hidden="1">
      <c r="A162" s="6" t="s">
        <v>239</v>
      </c>
      <c r="B162" s="255" t="s">
        <v>691</v>
      </c>
      <c r="C162" s="255" t="s">
        <v>692</v>
      </c>
      <c r="D162" s="255" t="s">
        <v>693</v>
      </c>
      <c r="E162" s="76"/>
      <c r="F162" s="76"/>
      <c r="G162" s="39">
        <f t="shared" si="1"/>
        <v>0</v>
      </c>
      <c r="H162" s="13" t="str">
        <f t="shared" si="2"/>
        <v> Signed Rep +  5-Star Review</v>
      </c>
      <c r="I162" s="14"/>
      <c r="J162" s="14"/>
    </row>
    <row r="163" hidden="1">
      <c r="A163" s="6" t="s">
        <v>239</v>
      </c>
      <c r="B163" s="255" t="s">
        <v>694</v>
      </c>
      <c r="C163" s="255" t="s">
        <v>695</v>
      </c>
      <c r="D163" s="255" t="s">
        <v>696</v>
      </c>
      <c r="E163" s="76"/>
      <c r="F163" s="76"/>
      <c r="G163" s="39">
        <f t="shared" si="1"/>
        <v>0</v>
      </c>
      <c r="H163" s="13" t="str">
        <f t="shared" si="2"/>
        <v> Signed Rep +  5-Star Review</v>
      </c>
      <c r="I163" s="14"/>
      <c r="J163" s="14"/>
    </row>
    <row r="164" hidden="1">
      <c r="A164" s="6" t="s">
        <v>239</v>
      </c>
      <c r="B164" s="255" t="s">
        <v>697</v>
      </c>
      <c r="C164" s="255" t="s">
        <v>698</v>
      </c>
      <c r="D164" s="255" t="s">
        <v>699</v>
      </c>
      <c r="E164" s="76"/>
      <c r="F164" s="76"/>
      <c r="G164" s="39">
        <f t="shared" si="1"/>
        <v>0</v>
      </c>
      <c r="H164" s="13" t="str">
        <f t="shared" si="2"/>
        <v> Signed Rep +  5-Star Review</v>
      </c>
      <c r="I164" s="14"/>
      <c r="J164" s="14"/>
    </row>
    <row r="165" hidden="1">
      <c r="A165" s="6" t="s">
        <v>239</v>
      </c>
      <c r="B165" s="255" t="s">
        <v>700</v>
      </c>
      <c r="C165" s="255" t="s">
        <v>701</v>
      </c>
      <c r="D165" s="255" t="s">
        <v>702</v>
      </c>
      <c r="E165" s="76"/>
      <c r="F165" s="76"/>
      <c r="G165" s="39">
        <f t="shared" si="1"/>
        <v>0</v>
      </c>
      <c r="H165" s="13" t="str">
        <f t="shared" si="2"/>
        <v> Signed Rep +  5-Star Review</v>
      </c>
      <c r="I165" s="14"/>
      <c r="J165" s="14"/>
    </row>
    <row r="166" hidden="1">
      <c r="A166" s="6" t="s">
        <v>239</v>
      </c>
      <c r="B166" s="255" t="s">
        <v>703</v>
      </c>
      <c r="C166" s="255" t="s">
        <v>704</v>
      </c>
      <c r="D166" s="255" t="s">
        <v>705</v>
      </c>
      <c r="E166" s="76"/>
      <c r="F166" s="76"/>
      <c r="G166" s="39">
        <f t="shared" si="1"/>
        <v>0</v>
      </c>
      <c r="H166" s="13" t="str">
        <f t="shared" si="2"/>
        <v> Signed Rep +  5-Star Review</v>
      </c>
      <c r="I166" s="14"/>
      <c r="J166" s="14"/>
    </row>
    <row r="167" hidden="1">
      <c r="A167" s="6" t="s">
        <v>239</v>
      </c>
      <c r="B167" s="255" t="s">
        <v>706</v>
      </c>
      <c r="C167" s="255" t="s">
        <v>707</v>
      </c>
      <c r="D167" s="255" t="s">
        <v>708</v>
      </c>
      <c r="E167" s="76"/>
      <c r="F167" s="76"/>
      <c r="G167" s="39">
        <f t="shared" si="1"/>
        <v>0</v>
      </c>
      <c r="H167" s="13" t="str">
        <f t="shared" si="2"/>
        <v> Signed Rep +  5-Star Review</v>
      </c>
      <c r="I167" s="14"/>
      <c r="J167" s="14"/>
    </row>
    <row r="168" hidden="1">
      <c r="A168" s="6" t="s">
        <v>239</v>
      </c>
      <c r="B168" s="255" t="s">
        <v>709</v>
      </c>
      <c r="C168" s="255" t="s">
        <v>710</v>
      </c>
      <c r="D168" s="255" t="s">
        <v>711</v>
      </c>
      <c r="E168" s="76"/>
      <c r="F168" s="76"/>
      <c r="G168" s="39">
        <f t="shared" si="1"/>
        <v>0</v>
      </c>
      <c r="H168" s="13" t="str">
        <f t="shared" si="2"/>
        <v> Signed Rep +  5-Star Review</v>
      </c>
      <c r="I168" s="14"/>
      <c r="J168" s="14"/>
    </row>
    <row r="169" hidden="1">
      <c r="A169" s="6" t="s">
        <v>239</v>
      </c>
      <c r="B169" s="255" t="s">
        <v>712</v>
      </c>
      <c r="C169" s="255" t="s">
        <v>713</v>
      </c>
      <c r="D169" s="255" t="s">
        <v>714</v>
      </c>
      <c r="E169" s="76"/>
      <c r="F169" s="76"/>
      <c r="G169" s="39">
        <f t="shared" si="1"/>
        <v>0</v>
      </c>
      <c r="H169" s="13" t="str">
        <f t="shared" si="2"/>
        <v> Signed Rep +  5-Star Review</v>
      </c>
      <c r="I169" s="14"/>
      <c r="J169" s="14"/>
    </row>
    <row r="170" hidden="1">
      <c r="A170" s="6" t="s">
        <v>239</v>
      </c>
      <c r="B170" s="255" t="s">
        <v>715</v>
      </c>
      <c r="C170" s="255" t="s">
        <v>716</v>
      </c>
      <c r="D170" s="255" t="s">
        <v>717</v>
      </c>
      <c r="E170" s="76"/>
      <c r="F170" s="76"/>
      <c r="G170" s="39">
        <f t="shared" si="1"/>
        <v>0</v>
      </c>
      <c r="H170" s="13" t="str">
        <f t="shared" si="2"/>
        <v> Signed Rep +  5-Star Review</v>
      </c>
      <c r="I170" s="14"/>
      <c r="J170" s="14"/>
    </row>
    <row r="171" hidden="1">
      <c r="A171" s="6" t="s">
        <v>239</v>
      </c>
      <c r="B171" s="255" t="s">
        <v>718</v>
      </c>
      <c r="C171" s="255" t="s">
        <v>719</v>
      </c>
      <c r="D171" s="255" t="s">
        <v>720</v>
      </c>
      <c r="E171" s="76"/>
      <c r="F171" s="76"/>
      <c r="G171" s="39">
        <f t="shared" si="1"/>
        <v>0</v>
      </c>
      <c r="H171" s="13" t="str">
        <f t="shared" si="2"/>
        <v> Signed Rep +  5-Star Review</v>
      </c>
      <c r="I171" s="14"/>
      <c r="J171" s="14"/>
    </row>
    <row r="172" hidden="1">
      <c r="A172" s="6" t="s">
        <v>239</v>
      </c>
      <c r="B172" s="255" t="s">
        <v>721</v>
      </c>
      <c r="C172" s="255" t="s">
        <v>722</v>
      </c>
      <c r="D172" s="255" t="s">
        <v>723</v>
      </c>
      <c r="E172" s="76"/>
      <c r="F172" s="76"/>
      <c r="G172" s="39">
        <f t="shared" si="1"/>
        <v>0</v>
      </c>
      <c r="H172" s="13" t="str">
        <f t="shared" si="2"/>
        <v> Signed Rep +  5-Star Review</v>
      </c>
      <c r="I172" s="14"/>
      <c r="J172" s="14"/>
    </row>
    <row r="173" hidden="1">
      <c r="A173" s="6" t="s">
        <v>239</v>
      </c>
      <c r="B173" s="257" t="s">
        <v>724</v>
      </c>
      <c r="C173" s="255" t="s">
        <v>725</v>
      </c>
      <c r="D173" s="255" t="s">
        <v>726</v>
      </c>
      <c r="E173" s="76"/>
      <c r="F173" s="76"/>
      <c r="G173" s="39">
        <f t="shared" si="1"/>
        <v>0</v>
      </c>
      <c r="H173" s="13" t="str">
        <f t="shared" si="2"/>
        <v> Signed Rep +  5-Star Review</v>
      </c>
      <c r="I173" s="14"/>
      <c r="J173" s="14"/>
    </row>
    <row r="174" hidden="1">
      <c r="A174" s="6" t="s">
        <v>239</v>
      </c>
      <c r="B174" s="255" t="s">
        <v>727</v>
      </c>
      <c r="C174" s="255" t="s">
        <v>728</v>
      </c>
      <c r="D174" s="255" t="s">
        <v>729</v>
      </c>
      <c r="E174" s="76"/>
      <c r="F174" s="76"/>
      <c r="G174" s="39">
        <f t="shared" si="1"/>
        <v>0</v>
      </c>
      <c r="H174" s="13" t="str">
        <f t="shared" si="2"/>
        <v> Signed Rep +  5-Star Review</v>
      </c>
      <c r="I174" s="14"/>
      <c r="J174" s="14"/>
    </row>
    <row r="175" hidden="1">
      <c r="A175" s="6" t="s">
        <v>239</v>
      </c>
      <c r="B175" s="255" t="s">
        <v>730</v>
      </c>
      <c r="C175" s="255" t="s">
        <v>731</v>
      </c>
      <c r="D175" s="255" t="s">
        <v>732</v>
      </c>
      <c r="E175" s="76"/>
      <c r="F175" s="76"/>
      <c r="G175" s="39">
        <f t="shared" si="1"/>
        <v>0</v>
      </c>
      <c r="H175" s="13" t="str">
        <f t="shared" si="2"/>
        <v> Signed Rep +  5-Star Review</v>
      </c>
      <c r="I175" s="14"/>
      <c r="J175" s="14"/>
    </row>
    <row r="176" hidden="1">
      <c r="A176" s="6" t="s">
        <v>239</v>
      </c>
      <c r="B176" s="255" t="s">
        <v>733</v>
      </c>
      <c r="C176" s="255" t="s">
        <v>734</v>
      </c>
      <c r="D176" s="255" t="s">
        <v>735</v>
      </c>
      <c r="E176" s="76"/>
      <c r="F176" s="76"/>
      <c r="G176" s="39">
        <f t="shared" si="1"/>
        <v>0</v>
      </c>
      <c r="H176" s="13" t="str">
        <f t="shared" si="2"/>
        <v> Signed Rep +  5-Star Review</v>
      </c>
      <c r="I176" s="14"/>
      <c r="J176" s="14"/>
    </row>
    <row r="177" hidden="1">
      <c r="A177" s="6" t="s">
        <v>239</v>
      </c>
      <c r="B177" s="255" t="s">
        <v>736</v>
      </c>
      <c r="C177" s="255" t="s">
        <v>737</v>
      </c>
      <c r="D177" s="255" t="s">
        <v>738</v>
      </c>
      <c r="E177" s="76"/>
      <c r="F177" s="76"/>
      <c r="G177" s="39">
        <f t="shared" si="1"/>
        <v>0</v>
      </c>
      <c r="H177" s="13" t="str">
        <f t="shared" si="2"/>
        <v> Signed Rep +  5-Star Review</v>
      </c>
      <c r="I177" s="14"/>
      <c r="J177" s="14"/>
    </row>
    <row r="178" hidden="1">
      <c r="A178" s="6" t="s">
        <v>239</v>
      </c>
      <c r="B178" s="255" t="s">
        <v>739</v>
      </c>
      <c r="C178" s="255" t="s">
        <v>740</v>
      </c>
      <c r="D178" s="255" t="s">
        <v>741</v>
      </c>
      <c r="E178" s="76"/>
      <c r="F178" s="76"/>
      <c r="G178" s="39">
        <f t="shared" si="1"/>
        <v>0</v>
      </c>
      <c r="H178" s="13" t="str">
        <f t="shared" si="2"/>
        <v> Signed Rep +  5-Star Review</v>
      </c>
      <c r="I178" s="14"/>
      <c r="J178" s="14"/>
    </row>
    <row r="179" hidden="1">
      <c r="A179" s="6" t="s">
        <v>239</v>
      </c>
      <c r="B179" s="255" t="s">
        <v>742</v>
      </c>
      <c r="C179" s="255" t="s">
        <v>743</v>
      </c>
      <c r="D179" s="255" t="s">
        <v>744</v>
      </c>
      <c r="E179" s="76"/>
      <c r="F179" s="76"/>
      <c r="G179" s="39">
        <f t="shared" si="1"/>
        <v>0</v>
      </c>
      <c r="H179" s="13" t="str">
        <f t="shared" si="2"/>
        <v> Signed Rep +  5-Star Review</v>
      </c>
      <c r="I179" s="14"/>
      <c r="J179" s="14"/>
    </row>
    <row r="180" hidden="1">
      <c r="A180" s="6" t="s">
        <v>239</v>
      </c>
      <c r="B180" s="254" t="s">
        <v>745</v>
      </c>
      <c r="C180" s="255" t="s">
        <v>746</v>
      </c>
      <c r="D180" s="255" t="s">
        <v>747</v>
      </c>
      <c r="E180" s="76"/>
      <c r="F180" s="76"/>
      <c r="G180" s="39">
        <f t="shared" si="1"/>
        <v>0</v>
      </c>
      <c r="H180" s="13" t="str">
        <f t="shared" si="2"/>
        <v> Signed Rep +  5-Star Review</v>
      </c>
      <c r="I180" s="14"/>
      <c r="J180" s="14"/>
    </row>
    <row r="181" hidden="1">
      <c r="A181" s="6" t="s">
        <v>239</v>
      </c>
      <c r="B181" s="255" t="s">
        <v>748</v>
      </c>
      <c r="C181" s="255" t="s">
        <v>749</v>
      </c>
      <c r="D181" s="255" t="s">
        <v>750</v>
      </c>
      <c r="E181" s="76"/>
      <c r="F181" s="76"/>
      <c r="G181" s="39">
        <f t="shared" si="1"/>
        <v>0</v>
      </c>
      <c r="H181" s="13" t="str">
        <f t="shared" si="2"/>
        <v> Signed Rep +  5-Star Review</v>
      </c>
      <c r="I181" s="14"/>
      <c r="J181" s="14"/>
    </row>
    <row r="182" hidden="1">
      <c r="A182" s="6" t="s">
        <v>239</v>
      </c>
      <c r="B182" s="255" t="s">
        <v>751</v>
      </c>
      <c r="C182" s="255" t="s">
        <v>752</v>
      </c>
      <c r="D182" s="255" t="s">
        <v>753</v>
      </c>
      <c r="E182" s="76"/>
      <c r="F182" s="76"/>
      <c r="G182" s="39">
        <f t="shared" si="1"/>
        <v>0</v>
      </c>
      <c r="H182" s="13" t="str">
        <f t="shared" si="2"/>
        <v> Signed Rep +  5-Star Review</v>
      </c>
      <c r="I182" s="14"/>
      <c r="J182" s="14"/>
    </row>
    <row r="183" hidden="1">
      <c r="A183" s="6" t="s">
        <v>239</v>
      </c>
      <c r="B183" s="255" t="s">
        <v>754</v>
      </c>
      <c r="C183" s="255" t="s">
        <v>755</v>
      </c>
      <c r="D183" s="255" t="s">
        <v>756</v>
      </c>
      <c r="E183" s="76"/>
      <c r="F183" s="76"/>
      <c r="G183" s="39">
        <f t="shared" si="1"/>
        <v>0</v>
      </c>
      <c r="H183" s="13" t="str">
        <f t="shared" si="2"/>
        <v> Signed Rep +  5-Star Review</v>
      </c>
      <c r="I183" s="14"/>
      <c r="J183" s="14"/>
    </row>
    <row r="184" hidden="1">
      <c r="A184" s="6" t="s">
        <v>239</v>
      </c>
      <c r="B184" s="254" t="s">
        <v>757</v>
      </c>
      <c r="C184" s="255" t="s">
        <v>758</v>
      </c>
      <c r="D184" s="255" t="s">
        <v>759</v>
      </c>
      <c r="E184" s="261">
        <v>21.0</v>
      </c>
      <c r="F184" s="57">
        <v>0.0</v>
      </c>
      <c r="G184" s="39">
        <f t="shared" si="1"/>
        <v>5250</v>
      </c>
      <c r="H184" s="13" t="str">
        <f t="shared" si="2"/>
        <v>21 Signed Rep + 0 5-Star Review</v>
      </c>
      <c r="I184" s="23"/>
      <c r="J184" s="23"/>
    </row>
    <row r="185" hidden="1">
      <c r="A185" s="6" t="s">
        <v>239</v>
      </c>
      <c r="B185" s="255" t="s">
        <v>219</v>
      </c>
      <c r="C185" s="255" t="s">
        <v>220</v>
      </c>
      <c r="D185" s="255" t="s">
        <v>760</v>
      </c>
      <c r="E185" s="76"/>
      <c r="F185" s="76"/>
      <c r="G185" s="39">
        <f t="shared" si="1"/>
        <v>0</v>
      </c>
      <c r="H185" s="13" t="str">
        <f t="shared" si="2"/>
        <v> Signed Rep +  5-Star Review</v>
      </c>
      <c r="I185" s="14"/>
      <c r="J185" s="14"/>
    </row>
    <row r="186" hidden="1">
      <c r="A186" s="6" t="s">
        <v>240</v>
      </c>
      <c r="B186" s="255" t="s">
        <v>761</v>
      </c>
      <c r="C186" s="255" t="s">
        <v>762</v>
      </c>
      <c r="D186" s="255" t="s">
        <v>763</v>
      </c>
      <c r="E186" s="257"/>
      <c r="F186" s="257"/>
      <c r="G186" s="39">
        <f t="shared" si="1"/>
        <v>0</v>
      </c>
      <c r="H186" s="13" t="str">
        <f t="shared" si="2"/>
        <v> Signed Rep +  5-Star Review</v>
      </c>
      <c r="I186" s="14"/>
      <c r="J186" s="14"/>
    </row>
    <row r="187" hidden="1">
      <c r="A187" s="6" t="s">
        <v>240</v>
      </c>
      <c r="B187" s="255" t="s">
        <v>764</v>
      </c>
      <c r="C187" s="255" t="s">
        <v>765</v>
      </c>
      <c r="D187" s="255" t="s">
        <v>766</v>
      </c>
      <c r="E187" s="257"/>
      <c r="F187" s="87"/>
      <c r="G187" s="39">
        <f t="shared" si="1"/>
        <v>0</v>
      </c>
      <c r="H187" s="13" t="str">
        <f t="shared" si="2"/>
        <v> Signed Rep +  5-Star Review</v>
      </c>
      <c r="I187" s="14"/>
      <c r="J187" s="14"/>
    </row>
    <row r="188" hidden="1">
      <c r="A188" s="6" t="s">
        <v>240</v>
      </c>
      <c r="B188" s="255" t="s">
        <v>767</v>
      </c>
      <c r="C188" s="255" t="s">
        <v>768</v>
      </c>
      <c r="D188" s="255" t="s">
        <v>769</v>
      </c>
      <c r="E188" s="257"/>
      <c r="F188" s="87"/>
      <c r="G188" s="39">
        <f t="shared" si="1"/>
        <v>0</v>
      </c>
      <c r="H188" s="13" t="str">
        <f t="shared" si="2"/>
        <v> Signed Rep +  5-Star Review</v>
      </c>
      <c r="I188" s="14"/>
      <c r="J188" s="14"/>
    </row>
    <row r="189" hidden="1">
      <c r="A189" s="6" t="s">
        <v>240</v>
      </c>
      <c r="B189" s="255" t="s">
        <v>770</v>
      </c>
      <c r="C189" s="255" t="s">
        <v>771</v>
      </c>
      <c r="D189" s="255" t="s">
        <v>772</v>
      </c>
      <c r="E189" s="6"/>
      <c r="F189" s="6"/>
      <c r="G189" s="39">
        <f t="shared" si="1"/>
        <v>0</v>
      </c>
      <c r="H189" s="13" t="str">
        <f t="shared" si="2"/>
        <v> Signed Rep +  5-Star Review</v>
      </c>
      <c r="I189" s="14"/>
      <c r="J189" s="14"/>
    </row>
    <row r="190" hidden="1">
      <c r="A190" s="6" t="s">
        <v>240</v>
      </c>
      <c r="B190" s="255" t="s">
        <v>258</v>
      </c>
      <c r="C190" s="255" t="s">
        <v>773</v>
      </c>
      <c r="D190" s="255" t="s">
        <v>774</v>
      </c>
      <c r="E190" s="6"/>
      <c r="F190" s="6"/>
      <c r="G190" s="39">
        <f t="shared" si="1"/>
        <v>0</v>
      </c>
      <c r="H190" s="13" t="str">
        <f t="shared" si="2"/>
        <v> Signed Rep +  5-Star Review</v>
      </c>
      <c r="I190" s="14"/>
      <c r="J190" s="14"/>
    </row>
    <row r="191" hidden="1">
      <c r="A191" s="6" t="s">
        <v>240</v>
      </c>
      <c r="B191" s="255" t="s">
        <v>775</v>
      </c>
      <c r="C191" s="255" t="s">
        <v>776</v>
      </c>
      <c r="D191" s="255" t="s">
        <v>777</v>
      </c>
      <c r="E191" s="6"/>
      <c r="F191" s="6"/>
      <c r="G191" s="39">
        <f t="shared" si="1"/>
        <v>0</v>
      </c>
      <c r="H191" s="13" t="str">
        <f t="shared" si="2"/>
        <v> Signed Rep +  5-Star Review</v>
      </c>
      <c r="I191" s="14"/>
      <c r="J191" s="14"/>
    </row>
    <row r="192" hidden="1">
      <c r="A192" s="6" t="s">
        <v>240</v>
      </c>
      <c r="B192" s="255" t="s">
        <v>615</v>
      </c>
      <c r="C192" s="255" t="s">
        <v>616</v>
      </c>
      <c r="D192" s="255" t="s">
        <v>617</v>
      </c>
      <c r="E192" s="6"/>
      <c r="F192" s="6"/>
      <c r="G192" s="39">
        <f t="shared" si="1"/>
        <v>0</v>
      </c>
      <c r="H192" s="13" t="str">
        <f t="shared" si="2"/>
        <v> Signed Rep +  5-Star Review</v>
      </c>
      <c r="I192" s="14"/>
      <c r="J192" s="14"/>
    </row>
    <row r="193" hidden="1">
      <c r="A193" s="6" t="s">
        <v>240</v>
      </c>
      <c r="B193" s="255" t="s">
        <v>618</v>
      </c>
      <c r="C193" s="255" t="s">
        <v>619</v>
      </c>
      <c r="D193" s="255" t="s">
        <v>620</v>
      </c>
      <c r="E193" s="6"/>
      <c r="F193" s="6"/>
      <c r="G193" s="39">
        <f t="shared" si="1"/>
        <v>0</v>
      </c>
      <c r="H193" s="13" t="str">
        <f t="shared" si="2"/>
        <v> Signed Rep +  5-Star Review</v>
      </c>
      <c r="I193" s="14"/>
      <c r="J193" s="14"/>
    </row>
    <row r="194" hidden="1">
      <c r="A194" s="6" t="s">
        <v>240</v>
      </c>
      <c r="B194" s="255" t="s">
        <v>624</v>
      </c>
      <c r="C194" s="255" t="s">
        <v>625</v>
      </c>
      <c r="D194" s="255" t="s">
        <v>626</v>
      </c>
      <c r="E194" s="6"/>
      <c r="F194" s="6"/>
      <c r="G194" s="39">
        <f t="shared" si="1"/>
        <v>0</v>
      </c>
      <c r="H194" s="13" t="str">
        <f t="shared" si="2"/>
        <v> Signed Rep +  5-Star Review</v>
      </c>
      <c r="I194" s="14"/>
      <c r="J194" s="14"/>
    </row>
    <row r="195" hidden="1">
      <c r="A195" s="6" t="s">
        <v>240</v>
      </c>
      <c r="B195" s="255" t="s">
        <v>627</v>
      </c>
      <c r="C195" s="255" t="s">
        <v>628</v>
      </c>
      <c r="D195" s="255" t="s">
        <v>629</v>
      </c>
      <c r="E195" s="257"/>
      <c r="F195" s="6"/>
      <c r="G195" s="39">
        <f t="shared" si="1"/>
        <v>0</v>
      </c>
      <c r="H195" s="13" t="str">
        <f t="shared" si="2"/>
        <v> Signed Rep +  5-Star Review</v>
      </c>
      <c r="I195" s="14"/>
      <c r="J195" s="14"/>
    </row>
    <row r="196" hidden="1">
      <c r="A196" s="6" t="s">
        <v>240</v>
      </c>
      <c r="B196" s="255" t="s">
        <v>630</v>
      </c>
      <c r="C196" s="255" t="s">
        <v>631</v>
      </c>
      <c r="D196" s="255" t="s">
        <v>632</v>
      </c>
      <c r="E196" s="6"/>
      <c r="F196" s="6"/>
      <c r="G196" s="39">
        <f t="shared" si="1"/>
        <v>0</v>
      </c>
      <c r="H196" s="13" t="str">
        <f t="shared" si="2"/>
        <v> Signed Rep +  5-Star Review</v>
      </c>
      <c r="I196" s="14"/>
      <c r="J196" s="14"/>
    </row>
    <row r="197" hidden="1">
      <c r="A197" s="6" t="s">
        <v>240</v>
      </c>
      <c r="B197" s="255" t="s">
        <v>639</v>
      </c>
      <c r="C197" s="255" t="s">
        <v>640</v>
      </c>
      <c r="D197" s="255" t="s">
        <v>641</v>
      </c>
      <c r="E197" s="6"/>
      <c r="F197" s="6"/>
      <c r="G197" s="39">
        <f t="shared" si="1"/>
        <v>0</v>
      </c>
      <c r="H197" s="13" t="str">
        <f t="shared" si="2"/>
        <v> Signed Rep +  5-Star Review</v>
      </c>
      <c r="I197" s="14"/>
      <c r="J197" s="14"/>
    </row>
    <row r="198" hidden="1">
      <c r="A198" s="6" t="s">
        <v>240</v>
      </c>
      <c r="B198" s="255" t="s">
        <v>642</v>
      </c>
      <c r="C198" s="255" t="s">
        <v>643</v>
      </c>
      <c r="D198" s="255" t="s">
        <v>644</v>
      </c>
      <c r="E198" s="6"/>
      <c r="F198" s="6"/>
      <c r="G198" s="39">
        <f t="shared" si="1"/>
        <v>0</v>
      </c>
      <c r="H198" s="13" t="str">
        <f t="shared" si="2"/>
        <v> Signed Rep +  5-Star Review</v>
      </c>
      <c r="I198" s="14"/>
      <c r="J198" s="14"/>
    </row>
    <row r="199" hidden="1">
      <c r="A199" s="6" t="s">
        <v>240</v>
      </c>
      <c r="B199" s="255" t="s">
        <v>645</v>
      </c>
      <c r="C199" s="255" t="s">
        <v>646</v>
      </c>
      <c r="D199" s="255" t="s">
        <v>647</v>
      </c>
      <c r="E199" s="6"/>
      <c r="F199" s="6"/>
      <c r="G199" s="39">
        <f t="shared" si="1"/>
        <v>0</v>
      </c>
      <c r="H199" s="13" t="str">
        <f t="shared" si="2"/>
        <v> Signed Rep +  5-Star Review</v>
      </c>
      <c r="I199" s="14"/>
      <c r="J199" s="14"/>
    </row>
    <row r="200" hidden="1">
      <c r="A200" s="6" t="s">
        <v>240</v>
      </c>
      <c r="B200" s="255" t="s">
        <v>648</v>
      </c>
      <c r="C200" s="255" t="s">
        <v>649</v>
      </c>
      <c r="D200" s="255" t="s">
        <v>650</v>
      </c>
      <c r="E200" s="6"/>
      <c r="F200" s="6"/>
      <c r="G200" s="39">
        <f t="shared" si="1"/>
        <v>0</v>
      </c>
      <c r="H200" s="13" t="str">
        <f t="shared" si="2"/>
        <v> Signed Rep +  5-Star Review</v>
      </c>
      <c r="I200" s="14"/>
      <c r="J200" s="14"/>
    </row>
    <row r="201" hidden="1">
      <c r="A201" s="6" t="s">
        <v>240</v>
      </c>
      <c r="B201" s="255" t="s">
        <v>651</v>
      </c>
      <c r="C201" s="255" t="s">
        <v>652</v>
      </c>
      <c r="D201" s="255" t="s">
        <v>653</v>
      </c>
      <c r="E201" s="6"/>
      <c r="F201" s="6"/>
      <c r="G201" s="39">
        <f t="shared" si="1"/>
        <v>0</v>
      </c>
      <c r="H201" s="13" t="str">
        <f t="shared" si="2"/>
        <v> Signed Rep +  5-Star Review</v>
      </c>
      <c r="I201" s="14"/>
      <c r="J201" s="14"/>
    </row>
    <row r="202" hidden="1">
      <c r="A202" s="6" t="s">
        <v>240</v>
      </c>
      <c r="B202" s="255" t="s">
        <v>654</v>
      </c>
      <c r="C202" s="255" t="s">
        <v>655</v>
      </c>
      <c r="D202" s="255" t="s">
        <v>656</v>
      </c>
      <c r="E202" s="6"/>
      <c r="F202" s="6"/>
      <c r="G202" s="39">
        <f t="shared" si="1"/>
        <v>0</v>
      </c>
      <c r="H202" s="13" t="str">
        <f t="shared" si="2"/>
        <v> Signed Rep +  5-Star Review</v>
      </c>
      <c r="I202" s="14"/>
      <c r="J202" s="14"/>
    </row>
    <row r="203" hidden="1">
      <c r="A203" s="6" t="s">
        <v>240</v>
      </c>
      <c r="B203" s="255" t="s">
        <v>657</v>
      </c>
      <c r="C203" s="255" t="s">
        <v>658</v>
      </c>
      <c r="D203" s="255" t="s">
        <v>659</v>
      </c>
      <c r="E203" s="262">
        <v>23.0</v>
      </c>
      <c r="F203" s="57">
        <v>0.0</v>
      </c>
      <c r="G203" s="39">
        <f t="shared" si="1"/>
        <v>5750</v>
      </c>
      <c r="H203" s="13" t="str">
        <f t="shared" si="2"/>
        <v>23 Signed Rep + 0 5-Star Review</v>
      </c>
      <c r="I203" s="14"/>
      <c r="J203" s="14"/>
    </row>
    <row r="204" hidden="1">
      <c r="A204" s="6" t="s">
        <v>240</v>
      </c>
      <c r="B204" s="255" t="s">
        <v>213</v>
      </c>
      <c r="C204" s="255" t="s">
        <v>214</v>
      </c>
      <c r="D204" s="255" t="s">
        <v>660</v>
      </c>
      <c r="E204" s="6"/>
      <c r="F204" s="6"/>
      <c r="G204" s="39">
        <f t="shared" si="1"/>
        <v>0</v>
      </c>
      <c r="H204" s="13" t="str">
        <f t="shared" si="2"/>
        <v> Signed Rep +  5-Star Review</v>
      </c>
      <c r="I204" s="14"/>
      <c r="J204" s="14"/>
    </row>
    <row r="205" hidden="1">
      <c r="A205" s="6" t="s">
        <v>240</v>
      </c>
      <c r="B205" s="255" t="s">
        <v>661</v>
      </c>
      <c r="C205" s="255" t="s">
        <v>662</v>
      </c>
      <c r="D205" s="255" t="s">
        <v>663</v>
      </c>
      <c r="E205" s="262">
        <v>34.0</v>
      </c>
      <c r="F205" s="57">
        <v>0.0</v>
      </c>
      <c r="G205" s="39">
        <f t="shared" si="1"/>
        <v>8500</v>
      </c>
      <c r="H205" s="13" t="str">
        <f t="shared" si="2"/>
        <v>34 Signed Rep + 0 5-Star Review</v>
      </c>
      <c r="I205" s="14"/>
      <c r="J205" s="14"/>
    </row>
    <row r="206" hidden="1">
      <c r="A206" s="6" t="s">
        <v>240</v>
      </c>
      <c r="B206" s="255" t="s">
        <v>664</v>
      </c>
      <c r="C206" s="255" t="s">
        <v>665</v>
      </c>
      <c r="D206" s="255" t="s">
        <v>666</v>
      </c>
      <c r="E206" s="261">
        <v>28.0</v>
      </c>
      <c r="F206" s="57">
        <v>0.0</v>
      </c>
      <c r="G206" s="39">
        <f t="shared" si="1"/>
        <v>7000</v>
      </c>
      <c r="H206" s="13" t="str">
        <f t="shared" si="2"/>
        <v>28 Signed Rep + 0 5-Star Review</v>
      </c>
      <c r="I206" s="14"/>
      <c r="J206" s="14"/>
    </row>
    <row r="207" hidden="1">
      <c r="A207" s="6" t="s">
        <v>240</v>
      </c>
      <c r="B207" s="255" t="s">
        <v>667</v>
      </c>
      <c r="C207" s="255" t="s">
        <v>668</v>
      </c>
      <c r="D207" s="255" t="s">
        <v>669</v>
      </c>
      <c r="E207" s="257"/>
      <c r="F207" s="87"/>
      <c r="G207" s="39">
        <f t="shared" si="1"/>
        <v>0</v>
      </c>
      <c r="H207" s="13" t="str">
        <f t="shared" si="2"/>
        <v> Signed Rep +  5-Star Review</v>
      </c>
      <c r="I207" s="14"/>
      <c r="J207" s="14"/>
    </row>
    <row r="208" hidden="1">
      <c r="A208" s="6" t="s">
        <v>240</v>
      </c>
      <c r="B208" s="255" t="s">
        <v>670</v>
      </c>
      <c r="C208" s="255" t="s">
        <v>671</v>
      </c>
      <c r="D208" s="255" t="s">
        <v>672</v>
      </c>
      <c r="E208" s="257"/>
      <c r="F208" s="6"/>
      <c r="G208" s="39">
        <f t="shared" si="1"/>
        <v>0</v>
      </c>
      <c r="H208" s="13" t="str">
        <f t="shared" si="2"/>
        <v> Signed Rep +  5-Star Review</v>
      </c>
      <c r="I208" s="14"/>
      <c r="J208" s="14"/>
    </row>
    <row r="209" hidden="1">
      <c r="A209" s="6" t="s">
        <v>240</v>
      </c>
      <c r="B209" s="255" t="s">
        <v>673</v>
      </c>
      <c r="C209" s="255" t="s">
        <v>674</v>
      </c>
      <c r="D209" s="255" t="s">
        <v>675</v>
      </c>
      <c r="E209" s="257"/>
      <c r="F209" s="257"/>
      <c r="G209" s="39">
        <f t="shared" si="1"/>
        <v>0</v>
      </c>
      <c r="H209" s="13" t="str">
        <f t="shared" si="2"/>
        <v> Signed Rep +  5-Star Review</v>
      </c>
      <c r="I209" s="14"/>
      <c r="J209" s="14"/>
    </row>
    <row r="210" hidden="1">
      <c r="A210" s="6" t="s">
        <v>240</v>
      </c>
      <c r="B210" s="255" t="s">
        <v>676</v>
      </c>
      <c r="C210" s="255" t="s">
        <v>677</v>
      </c>
      <c r="D210" s="255" t="s">
        <v>678</v>
      </c>
      <c r="E210" s="6"/>
      <c r="F210" s="6"/>
      <c r="G210" s="39">
        <f t="shared" si="1"/>
        <v>0</v>
      </c>
      <c r="H210" s="13" t="str">
        <f t="shared" si="2"/>
        <v> Signed Rep +  5-Star Review</v>
      </c>
      <c r="I210" s="14"/>
      <c r="J210" s="14"/>
    </row>
    <row r="211" hidden="1">
      <c r="A211" s="6" t="s">
        <v>240</v>
      </c>
      <c r="B211" s="255" t="s">
        <v>679</v>
      </c>
      <c r="C211" s="255" t="s">
        <v>680</v>
      </c>
      <c r="D211" s="255" t="s">
        <v>780</v>
      </c>
      <c r="E211" s="6"/>
      <c r="F211" s="6"/>
      <c r="G211" s="39">
        <f t="shared" si="1"/>
        <v>0</v>
      </c>
      <c r="H211" s="13" t="str">
        <f t="shared" si="2"/>
        <v> Signed Rep +  5-Star Review</v>
      </c>
      <c r="I211" s="14"/>
      <c r="J211" s="14"/>
    </row>
    <row r="212" hidden="1">
      <c r="A212" s="6" t="s">
        <v>240</v>
      </c>
      <c r="B212" s="255" t="s">
        <v>682</v>
      </c>
      <c r="C212" s="255" t="s">
        <v>683</v>
      </c>
      <c r="D212" s="255" t="s">
        <v>684</v>
      </c>
      <c r="E212" s="6"/>
      <c r="F212" s="6"/>
      <c r="G212" s="39">
        <f t="shared" si="1"/>
        <v>0</v>
      </c>
      <c r="H212" s="13" t="str">
        <f t="shared" si="2"/>
        <v> Signed Rep +  5-Star Review</v>
      </c>
      <c r="I212" s="14"/>
      <c r="J212" s="14"/>
    </row>
    <row r="213" hidden="1">
      <c r="A213" s="6" t="s">
        <v>240</v>
      </c>
      <c r="B213" s="255" t="s">
        <v>685</v>
      </c>
      <c r="C213" s="255" t="s">
        <v>686</v>
      </c>
      <c r="D213" s="255" t="s">
        <v>687</v>
      </c>
      <c r="E213" s="6"/>
      <c r="F213" s="6"/>
      <c r="G213" s="39">
        <f t="shared" si="1"/>
        <v>0</v>
      </c>
      <c r="H213" s="13" t="str">
        <f t="shared" si="2"/>
        <v> Signed Rep +  5-Star Review</v>
      </c>
      <c r="I213" s="14"/>
      <c r="J213" s="14"/>
    </row>
    <row r="214" hidden="1">
      <c r="A214" s="6" t="s">
        <v>240</v>
      </c>
      <c r="B214" s="255" t="s">
        <v>688</v>
      </c>
      <c r="C214" s="255" t="s">
        <v>689</v>
      </c>
      <c r="D214" s="255" t="s">
        <v>690</v>
      </c>
      <c r="E214" s="257"/>
      <c r="F214" s="87"/>
      <c r="G214" s="39">
        <f t="shared" si="1"/>
        <v>0</v>
      </c>
      <c r="H214" s="13" t="str">
        <f t="shared" si="2"/>
        <v> Signed Rep +  5-Star Review</v>
      </c>
      <c r="I214" s="14"/>
      <c r="J214" s="14"/>
    </row>
    <row r="215" hidden="1">
      <c r="A215" s="6" t="s">
        <v>240</v>
      </c>
      <c r="B215" s="255" t="s">
        <v>691</v>
      </c>
      <c r="C215" s="255" t="s">
        <v>692</v>
      </c>
      <c r="D215" s="255" t="s">
        <v>693</v>
      </c>
      <c r="E215" s="257"/>
      <c r="F215" s="6"/>
      <c r="G215" s="39">
        <f t="shared" si="1"/>
        <v>0</v>
      </c>
      <c r="H215" s="13" t="str">
        <f t="shared" si="2"/>
        <v> Signed Rep +  5-Star Review</v>
      </c>
      <c r="I215" s="14"/>
      <c r="J215" s="14"/>
    </row>
    <row r="216" hidden="1">
      <c r="A216" s="6" t="s">
        <v>240</v>
      </c>
      <c r="B216" s="255" t="s">
        <v>694</v>
      </c>
      <c r="C216" s="255" t="s">
        <v>695</v>
      </c>
      <c r="D216" s="255" t="s">
        <v>696</v>
      </c>
      <c r="E216" s="6"/>
      <c r="F216" s="6"/>
      <c r="G216" s="39">
        <f t="shared" si="1"/>
        <v>0</v>
      </c>
      <c r="H216" s="13" t="str">
        <f t="shared" si="2"/>
        <v> Signed Rep +  5-Star Review</v>
      </c>
      <c r="I216" s="14"/>
      <c r="J216" s="14"/>
    </row>
    <row r="217" hidden="1">
      <c r="A217" s="6" t="s">
        <v>240</v>
      </c>
      <c r="B217" s="255" t="s">
        <v>697</v>
      </c>
      <c r="C217" s="255" t="s">
        <v>698</v>
      </c>
      <c r="D217" s="255" t="s">
        <v>699</v>
      </c>
      <c r="E217" s="257"/>
      <c r="F217" s="257"/>
      <c r="G217" s="39">
        <f t="shared" si="1"/>
        <v>0</v>
      </c>
      <c r="H217" s="13" t="str">
        <f t="shared" si="2"/>
        <v> Signed Rep +  5-Star Review</v>
      </c>
      <c r="I217" s="14"/>
      <c r="J217" s="14"/>
    </row>
    <row r="218" hidden="1">
      <c r="A218" s="6" t="s">
        <v>240</v>
      </c>
      <c r="B218" s="255" t="s">
        <v>700</v>
      </c>
      <c r="C218" s="255" t="s">
        <v>701</v>
      </c>
      <c r="D218" s="255" t="s">
        <v>702</v>
      </c>
      <c r="E218" s="6"/>
      <c r="F218" s="6"/>
      <c r="G218" s="39">
        <f t="shared" si="1"/>
        <v>0</v>
      </c>
      <c r="H218" s="13" t="str">
        <f t="shared" si="2"/>
        <v> Signed Rep +  5-Star Review</v>
      </c>
      <c r="I218" s="14"/>
      <c r="J218" s="14"/>
    </row>
    <row r="219" hidden="1">
      <c r="A219" s="6" t="s">
        <v>240</v>
      </c>
      <c r="B219" s="255" t="s">
        <v>703</v>
      </c>
      <c r="C219" s="255" t="s">
        <v>704</v>
      </c>
      <c r="D219" s="255" t="s">
        <v>705</v>
      </c>
      <c r="E219" s="6"/>
      <c r="F219" s="6"/>
      <c r="G219" s="39">
        <f t="shared" si="1"/>
        <v>0</v>
      </c>
      <c r="H219" s="13" t="str">
        <f t="shared" si="2"/>
        <v> Signed Rep +  5-Star Review</v>
      </c>
      <c r="I219" s="14"/>
      <c r="J219" s="14"/>
    </row>
    <row r="220" hidden="1">
      <c r="A220" s="6" t="s">
        <v>240</v>
      </c>
      <c r="B220" s="255" t="s">
        <v>706</v>
      </c>
      <c r="C220" s="255" t="s">
        <v>707</v>
      </c>
      <c r="D220" s="255" t="s">
        <v>708</v>
      </c>
      <c r="E220" s="257"/>
      <c r="F220" s="257"/>
      <c r="G220" s="39">
        <f t="shared" si="1"/>
        <v>0</v>
      </c>
      <c r="H220" s="13" t="str">
        <f t="shared" si="2"/>
        <v> Signed Rep +  5-Star Review</v>
      </c>
      <c r="I220" s="14"/>
      <c r="J220" s="14"/>
    </row>
    <row r="221" hidden="1">
      <c r="A221" s="6" t="s">
        <v>240</v>
      </c>
      <c r="B221" s="255" t="s">
        <v>709</v>
      </c>
      <c r="C221" s="255" t="s">
        <v>710</v>
      </c>
      <c r="D221" s="255" t="s">
        <v>711</v>
      </c>
      <c r="E221" s="6"/>
      <c r="F221" s="6"/>
      <c r="G221" s="39">
        <f t="shared" si="1"/>
        <v>0</v>
      </c>
      <c r="H221" s="13" t="str">
        <f t="shared" si="2"/>
        <v> Signed Rep +  5-Star Review</v>
      </c>
      <c r="I221" s="14"/>
      <c r="J221" s="14"/>
    </row>
    <row r="222" hidden="1">
      <c r="A222" s="6" t="s">
        <v>240</v>
      </c>
      <c r="B222" s="255" t="s">
        <v>712</v>
      </c>
      <c r="C222" s="255" t="s">
        <v>713</v>
      </c>
      <c r="D222" s="255" t="s">
        <v>714</v>
      </c>
      <c r="E222" s="6"/>
      <c r="F222" s="6"/>
      <c r="G222" s="39">
        <f t="shared" si="1"/>
        <v>0</v>
      </c>
      <c r="H222" s="13" t="str">
        <f t="shared" si="2"/>
        <v> Signed Rep +  5-Star Review</v>
      </c>
      <c r="I222" s="14"/>
      <c r="J222" s="14"/>
    </row>
    <row r="223" hidden="1">
      <c r="A223" s="6" t="s">
        <v>240</v>
      </c>
      <c r="B223" s="255" t="s">
        <v>715</v>
      </c>
      <c r="C223" s="255" t="s">
        <v>716</v>
      </c>
      <c r="D223" s="255" t="s">
        <v>717</v>
      </c>
      <c r="E223" s="6"/>
      <c r="F223" s="6"/>
      <c r="G223" s="39">
        <f t="shared" si="1"/>
        <v>0</v>
      </c>
      <c r="H223" s="13" t="str">
        <f t="shared" si="2"/>
        <v> Signed Rep +  5-Star Review</v>
      </c>
      <c r="I223" s="14"/>
      <c r="J223" s="14"/>
    </row>
    <row r="224" hidden="1">
      <c r="A224" s="6" t="s">
        <v>240</v>
      </c>
      <c r="B224" s="255" t="s">
        <v>718</v>
      </c>
      <c r="C224" s="255" t="s">
        <v>719</v>
      </c>
      <c r="D224" s="255" t="s">
        <v>720</v>
      </c>
      <c r="E224" s="257"/>
      <c r="F224" s="6"/>
      <c r="G224" s="39">
        <f t="shared" si="1"/>
        <v>0</v>
      </c>
      <c r="H224" s="13" t="str">
        <f t="shared" si="2"/>
        <v> Signed Rep +  5-Star Review</v>
      </c>
      <c r="I224" s="14"/>
      <c r="J224" s="14"/>
    </row>
    <row r="225" hidden="1">
      <c r="A225" s="6" t="s">
        <v>240</v>
      </c>
      <c r="B225" s="255" t="s">
        <v>721</v>
      </c>
      <c r="C225" s="255" t="s">
        <v>722</v>
      </c>
      <c r="D225" s="255" t="s">
        <v>723</v>
      </c>
      <c r="E225" s="6"/>
      <c r="F225" s="6"/>
      <c r="G225" s="39">
        <f t="shared" si="1"/>
        <v>0</v>
      </c>
      <c r="H225" s="13" t="str">
        <f t="shared" si="2"/>
        <v> Signed Rep +  5-Star Review</v>
      </c>
      <c r="I225" s="14"/>
      <c r="J225" s="14"/>
    </row>
    <row r="226" hidden="1">
      <c r="A226" s="6" t="s">
        <v>240</v>
      </c>
      <c r="B226" s="257" t="s">
        <v>724</v>
      </c>
      <c r="C226" s="255" t="s">
        <v>725</v>
      </c>
      <c r="D226" s="255" t="s">
        <v>726</v>
      </c>
      <c r="E226" s="6"/>
      <c r="F226" s="6"/>
      <c r="G226" s="39">
        <f t="shared" si="1"/>
        <v>0</v>
      </c>
      <c r="H226" s="13" t="str">
        <f t="shared" si="2"/>
        <v> Signed Rep +  5-Star Review</v>
      </c>
      <c r="I226" s="14"/>
      <c r="J226" s="14"/>
    </row>
    <row r="227" hidden="1">
      <c r="A227" s="6" t="s">
        <v>240</v>
      </c>
      <c r="B227" s="255" t="s">
        <v>727</v>
      </c>
      <c r="C227" s="255" t="s">
        <v>728</v>
      </c>
      <c r="D227" s="255" t="s">
        <v>729</v>
      </c>
      <c r="E227" s="6"/>
      <c r="F227" s="6"/>
      <c r="G227" s="39">
        <f t="shared" si="1"/>
        <v>0</v>
      </c>
      <c r="H227" s="13" t="str">
        <f t="shared" si="2"/>
        <v> Signed Rep +  5-Star Review</v>
      </c>
      <c r="I227" s="14"/>
      <c r="J227" s="14"/>
    </row>
    <row r="228" hidden="1">
      <c r="A228" s="6" t="s">
        <v>240</v>
      </c>
      <c r="B228" s="255" t="s">
        <v>730</v>
      </c>
      <c r="C228" s="255" t="s">
        <v>731</v>
      </c>
      <c r="D228" s="255" t="s">
        <v>732</v>
      </c>
      <c r="E228" s="257"/>
      <c r="F228" s="6"/>
      <c r="G228" s="39">
        <f t="shared" si="1"/>
        <v>0</v>
      </c>
      <c r="H228" s="13" t="str">
        <f t="shared" si="2"/>
        <v> Signed Rep +  5-Star Review</v>
      </c>
      <c r="I228" s="14"/>
      <c r="J228" s="14"/>
    </row>
    <row r="229" hidden="1">
      <c r="A229" s="6" t="s">
        <v>240</v>
      </c>
      <c r="B229" s="255" t="s">
        <v>733</v>
      </c>
      <c r="C229" s="255" t="s">
        <v>734</v>
      </c>
      <c r="D229" s="255" t="s">
        <v>735</v>
      </c>
      <c r="E229" s="257"/>
      <c r="F229" s="6"/>
      <c r="G229" s="39">
        <f t="shared" si="1"/>
        <v>0</v>
      </c>
      <c r="H229" s="13" t="str">
        <f t="shared" si="2"/>
        <v> Signed Rep +  5-Star Review</v>
      </c>
      <c r="I229" s="14"/>
      <c r="J229" s="14"/>
    </row>
    <row r="230" hidden="1">
      <c r="A230" s="6" t="s">
        <v>240</v>
      </c>
      <c r="B230" s="255" t="s">
        <v>736</v>
      </c>
      <c r="C230" s="255" t="s">
        <v>737</v>
      </c>
      <c r="D230" s="255" t="s">
        <v>738</v>
      </c>
      <c r="E230" s="6"/>
      <c r="F230" s="6"/>
      <c r="G230" s="39">
        <f t="shared" si="1"/>
        <v>0</v>
      </c>
      <c r="H230" s="13" t="str">
        <f t="shared" si="2"/>
        <v> Signed Rep +  5-Star Review</v>
      </c>
      <c r="I230" s="14"/>
      <c r="J230" s="14"/>
    </row>
    <row r="231" hidden="1">
      <c r="A231" s="6" t="s">
        <v>240</v>
      </c>
      <c r="B231" s="255" t="s">
        <v>739</v>
      </c>
      <c r="C231" s="255" t="s">
        <v>740</v>
      </c>
      <c r="D231" s="255" t="s">
        <v>741</v>
      </c>
      <c r="E231" s="6"/>
      <c r="F231" s="6"/>
      <c r="G231" s="39">
        <f t="shared" si="1"/>
        <v>0</v>
      </c>
      <c r="H231" s="13" t="str">
        <f t="shared" si="2"/>
        <v> Signed Rep +  5-Star Review</v>
      </c>
      <c r="I231" s="14"/>
      <c r="J231" s="14"/>
    </row>
    <row r="232" hidden="1">
      <c r="A232" s="6" t="s">
        <v>240</v>
      </c>
      <c r="B232" s="255" t="s">
        <v>742</v>
      </c>
      <c r="C232" s="255" t="s">
        <v>743</v>
      </c>
      <c r="D232" s="255" t="s">
        <v>744</v>
      </c>
      <c r="E232" s="6"/>
      <c r="F232" s="6"/>
      <c r="G232" s="39">
        <f t="shared" si="1"/>
        <v>0</v>
      </c>
      <c r="H232" s="13" t="str">
        <f t="shared" si="2"/>
        <v> Signed Rep +  5-Star Review</v>
      </c>
      <c r="I232" s="14"/>
      <c r="J232" s="14"/>
    </row>
    <row r="233" hidden="1">
      <c r="A233" s="6" t="s">
        <v>240</v>
      </c>
      <c r="B233" s="254" t="s">
        <v>745</v>
      </c>
      <c r="C233" s="255" t="s">
        <v>746</v>
      </c>
      <c r="D233" s="255" t="s">
        <v>747</v>
      </c>
      <c r="E233" s="257"/>
      <c r="F233" s="6"/>
      <c r="G233" s="39">
        <f t="shared" si="1"/>
        <v>0</v>
      </c>
      <c r="H233" s="13" t="str">
        <f t="shared" si="2"/>
        <v> Signed Rep +  5-Star Review</v>
      </c>
      <c r="I233" s="14"/>
      <c r="J233" s="14"/>
    </row>
    <row r="234" hidden="1">
      <c r="A234" s="6" t="s">
        <v>240</v>
      </c>
      <c r="B234" s="255" t="s">
        <v>748</v>
      </c>
      <c r="C234" s="255" t="s">
        <v>749</v>
      </c>
      <c r="D234" s="255" t="s">
        <v>750</v>
      </c>
      <c r="E234" s="6"/>
      <c r="F234" s="6"/>
      <c r="G234" s="39">
        <f t="shared" si="1"/>
        <v>0</v>
      </c>
      <c r="H234" s="13" t="str">
        <f t="shared" si="2"/>
        <v> Signed Rep +  5-Star Review</v>
      </c>
      <c r="I234" s="14"/>
      <c r="J234" s="14"/>
    </row>
    <row r="235" hidden="1">
      <c r="A235" s="6" t="s">
        <v>240</v>
      </c>
      <c r="B235" s="255" t="s">
        <v>751</v>
      </c>
      <c r="C235" s="255" t="s">
        <v>752</v>
      </c>
      <c r="D235" s="255" t="s">
        <v>753</v>
      </c>
      <c r="E235" s="257"/>
      <c r="F235" s="6"/>
      <c r="G235" s="39">
        <f t="shared" si="1"/>
        <v>0</v>
      </c>
      <c r="H235" s="13" t="str">
        <f t="shared" si="2"/>
        <v> Signed Rep +  5-Star Review</v>
      </c>
      <c r="I235" s="14"/>
      <c r="J235" s="14"/>
    </row>
    <row r="236" hidden="1">
      <c r="A236" s="6" t="s">
        <v>240</v>
      </c>
      <c r="B236" s="255" t="s">
        <v>754</v>
      </c>
      <c r="C236" s="255" t="s">
        <v>755</v>
      </c>
      <c r="D236" s="255" t="s">
        <v>756</v>
      </c>
      <c r="E236" s="6"/>
      <c r="F236" s="6"/>
      <c r="G236" s="39">
        <f t="shared" si="1"/>
        <v>0</v>
      </c>
      <c r="H236" s="13" t="str">
        <f t="shared" si="2"/>
        <v> Signed Rep +  5-Star Review</v>
      </c>
      <c r="I236" s="14"/>
      <c r="J236" s="14"/>
    </row>
    <row r="237" hidden="1">
      <c r="A237" s="6" t="s">
        <v>240</v>
      </c>
      <c r="B237" s="254" t="s">
        <v>757</v>
      </c>
      <c r="C237" s="255" t="s">
        <v>758</v>
      </c>
      <c r="D237" s="255" t="s">
        <v>759</v>
      </c>
      <c r="E237" s="261">
        <v>21.0</v>
      </c>
      <c r="F237" s="57">
        <v>0.0</v>
      </c>
      <c r="G237" s="39">
        <f t="shared" si="1"/>
        <v>5250</v>
      </c>
      <c r="H237" s="13" t="str">
        <f t="shared" si="2"/>
        <v>21 Signed Rep + 0 5-Star Review</v>
      </c>
      <c r="I237" s="23"/>
      <c r="J237" s="23"/>
    </row>
    <row r="238" hidden="1">
      <c r="A238" s="6" t="s">
        <v>240</v>
      </c>
      <c r="B238" s="255" t="s">
        <v>219</v>
      </c>
      <c r="C238" s="255" t="s">
        <v>220</v>
      </c>
      <c r="D238" s="255" t="s">
        <v>760</v>
      </c>
      <c r="E238" s="257"/>
      <c r="F238" s="6"/>
      <c r="G238" s="39">
        <f t="shared" si="1"/>
        <v>0</v>
      </c>
      <c r="H238" s="13" t="str">
        <f t="shared" si="2"/>
        <v> Signed Rep +  5-Star Review</v>
      </c>
      <c r="I238" s="14"/>
      <c r="J238" s="14"/>
    </row>
    <row r="239" hidden="1">
      <c r="A239" s="54" t="s">
        <v>241</v>
      </c>
      <c r="B239" s="254" t="s">
        <v>761</v>
      </c>
      <c r="C239" s="254" t="s">
        <v>762</v>
      </c>
      <c r="D239" s="254" t="s">
        <v>763</v>
      </c>
      <c r="E239" s="256">
        <v>13.0</v>
      </c>
      <c r="F239" s="256">
        <v>1.0</v>
      </c>
      <c r="G239" s="39">
        <f t="shared" si="1"/>
        <v>3350</v>
      </c>
      <c r="H239" s="13" t="str">
        <f t="shared" si="2"/>
        <v>13 Signed Rep + 1 5-Star Review</v>
      </c>
      <c r="I239" s="14"/>
      <c r="J239" s="14"/>
    </row>
    <row r="240" hidden="1">
      <c r="A240" s="54" t="s">
        <v>241</v>
      </c>
      <c r="B240" s="254" t="s">
        <v>764</v>
      </c>
      <c r="C240" s="254" t="s">
        <v>765</v>
      </c>
      <c r="D240" s="254" t="s">
        <v>766</v>
      </c>
      <c r="E240" s="256">
        <v>8.0</v>
      </c>
      <c r="F240" s="88">
        <v>0.0</v>
      </c>
      <c r="G240" s="39">
        <f t="shared" si="1"/>
        <v>2000</v>
      </c>
      <c r="H240" s="13" t="str">
        <f t="shared" si="2"/>
        <v>8 Signed Rep + 0 5-Star Review</v>
      </c>
      <c r="I240" s="14"/>
      <c r="J240" s="14"/>
    </row>
    <row r="241" hidden="1">
      <c r="A241" s="6" t="s">
        <v>241</v>
      </c>
      <c r="B241" s="254" t="s">
        <v>767</v>
      </c>
      <c r="C241" s="254" t="s">
        <v>768</v>
      </c>
      <c r="D241" s="254" t="s">
        <v>769</v>
      </c>
      <c r="E241" s="256">
        <v>1.0</v>
      </c>
      <c r="F241" s="88">
        <v>0.0</v>
      </c>
      <c r="G241" s="55">
        <f t="shared" si="1"/>
        <v>250</v>
      </c>
      <c r="H241" s="13" t="str">
        <f t="shared" si="2"/>
        <v>1 Signed Rep + 0 5-Star Review</v>
      </c>
      <c r="I241" s="14"/>
      <c r="J241" s="14"/>
    </row>
    <row r="242" hidden="1">
      <c r="A242" s="6" t="s">
        <v>241</v>
      </c>
      <c r="B242" s="255" t="s">
        <v>770</v>
      </c>
      <c r="C242" s="255" t="s">
        <v>771</v>
      </c>
      <c r="D242" s="255" t="s">
        <v>772</v>
      </c>
      <c r="E242" s="257"/>
      <c r="F242" s="76"/>
      <c r="G242" s="39">
        <f t="shared" si="1"/>
        <v>0</v>
      </c>
      <c r="H242" s="13" t="str">
        <f t="shared" si="2"/>
        <v> Signed Rep +  5-Star Review</v>
      </c>
      <c r="I242" s="14"/>
      <c r="J242" s="14"/>
    </row>
    <row r="243" hidden="1">
      <c r="A243" s="6" t="s">
        <v>241</v>
      </c>
      <c r="B243" s="255" t="s">
        <v>258</v>
      </c>
      <c r="C243" s="255" t="s">
        <v>773</v>
      </c>
      <c r="D243" s="255" t="s">
        <v>774</v>
      </c>
      <c r="E243" s="257"/>
      <c r="F243" s="257"/>
      <c r="G243" s="39">
        <f t="shared" si="1"/>
        <v>0</v>
      </c>
      <c r="H243" s="13" t="str">
        <f t="shared" si="2"/>
        <v> Signed Rep +  5-Star Review</v>
      </c>
      <c r="I243" s="14"/>
      <c r="J243" s="14"/>
    </row>
    <row r="244" hidden="1">
      <c r="A244" s="6" t="s">
        <v>241</v>
      </c>
      <c r="B244" s="255" t="s">
        <v>775</v>
      </c>
      <c r="C244" s="255" t="s">
        <v>776</v>
      </c>
      <c r="D244" s="255" t="s">
        <v>777</v>
      </c>
      <c r="E244" s="257"/>
      <c r="F244" s="257"/>
      <c r="G244" s="39">
        <f t="shared" si="1"/>
        <v>0</v>
      </c>
      <c r="H244" s="13" t="str">
        <f t="shared" si="2"/>
        <v> Signed Rep +  5-Star Review</v>
      </c>
      <c r="I244" s="14"/>
      <c r="J244" s="14"/>
    </row>
    <row r="245" hidden="1">
      <c r="A245" s="6" t="s">
        <v>241</v>
      </c>
      <c r="B245" s="255" t="s">
        <v>615</v>
      </c>
      <c r="C245" s="255" t="s">
        <v>616</v>
      </c>
      <c r="D245" s="255" t="s">
        <v>617</v>
      </c>
      <c r="E245" s="257"/>
      <c r="F245" s="76"/>
      <c r="G245" s="39">
        <f t="shared" si="1"/>
        <v>0</v>
      </c>
      <c r="H245" s="13" t="str">
        <f t="shared" si="2"/>
        <v> Signed Rep +  5-Star Review</v>
      </c>
      <c r="I245" s="14"/>
      <c r="J245" s="14"/>
    </row>
    <row r="246" hidden="1">
      <c r="A246" s="6" t="s">
        <v>241</v>
      </c>
      <c r="B246" s="255" t="s">
        <v>618</v>
      </c>
      <c r="C246" s="255" t="s">
        <v>619</v>
      </c>
      <c r="D246" s="255" t="s">
        <v>620</v>
      </c>
      <c r="E246" s="257"/>
      <c r="F246" s="257"/>
      <c r="G246" s="39">
        <f t="shared" si="1"/>
        <v>0</v>
      </c>
      <c r="H246" s="13" t="str">
        <f t="shared" si="2"/>
        <v> Signed Rep +  5-Star Review</v>
      </c>
      <c r="I246" s="14"/>
      <c r="J246" s="14"/>
    </row>
    <row r="247" hidden="1">
      <c r="A247" s="6" t="s">
        <v>241</v>
      </c>
      <c r="B247" s="255" t="s">
        <v>624</v>
      </c>
      <c r="C247" s="255" t="s">
        <v>625</v>
      </c>
      <c r="D247" s="255" t="s">
        <v>626</v>
      </c>
      <c r="E247" s="257"/>
      <c r="F247" s="76"/>
      <c r="G247" s="39">
        <f t="shared" si="1"/>
        <v>0</v>
      </c>
      <c r="H247" s="13" t="str">
        <f t="shared" si="2"/>
        <v> Signed Rep +  5-Star Review</v>
      </c>
      <c r="I247" s="14"/>
      <c r="J247" s="14"/>
    </row>
    <row r="248" hidden="1">
      <c r="A248" s="6" t="s">
        <v>241</v>
      </c>
      <c r="B248" s="255" t="s">
        <v>627</v>
      </c>
      <c r="C248" s="255" t="s">
        <v>628</v>
      </c>
      <c r="D248" s="255" t="s">
        <v>629</v>
      </c>
      <c r="E248" s="256">
        <v>1.0</v>
      </c>
      <c r="F248" s="257"/>
      <c r="G248" s="39">
        <f t="shared" si="1"/>
        <v>250</v>
      </c>
      <c r="H248" s="13" t="str">
        <f t="shared" si="2"/>
        <v>1 Signed Rep +  5-Star Review</v>
      </c>
      <c r="I248" s="14"/>
      <c r="J248" s="14"/>
    </row>
    <row r="249" hidden="1">
      <c r="A249" s="6" t="s">
        <v>241</v>
      </c>
      <c r="B249" s="255" t="s">
        <v>630</v>
      </c>
      <c r="C249" s="255" t="s">
        <v>631</v>
      </c>
      <c r="D249" s="255" t="s">
        <v>632</v>
      </c>
      <c r="E249" s="257"/>
      <c r="F249" s="257"/>
      <c r="G249" s="39">
        <f t="shared" si="1"/>
        <v>0</v>
      </c>
      <c r="H249" s="13" t="str">
        <f t="shared" si="2"/>
        <v> Signed Rep +  5-Star Review</v>
      </c>
      <c r="I249" s="14"/>
      <c r="J249" s="14"/>
    </row>
    <row r="250" hidden="1">
      <c r="A250" s="6" t="s">
        <v>241</v>
      </c>
      <c r="B250" s="255" t="s">
        <v>639</v>
      </c>
      <c r="C250" s="255" t="s">
        <v>640</v>
      </c>
      <c r="D250" s="255" t="s">
        <v>641</v>
      </c>
      <c r="E250" s="257"/>
      <c r="F250" s="76"/>
      <c r="G250" s="39">
        <f t="shared" si="1"/>
        <v>0</v>
      </c>
      <c r="H250" s="13" t="str">
        <f t="shared" si="2"/>
        <v> Signed Rep +  5-Star Review</v>
      </c>
      <c r="I250" s="14"/>
      <c r="J250" s="14"/>
    </row>
    <row r="251" hidden="1">
      <c r="A251" s="6" t="s">
        <v>241</v>
      </c>
      <c r="B251" s="255" t="s">
        <v>642</v>
      </c>
      <c r="C251" s="255" t="s">
        <v>643</v>
      </c>
      <c r="D251" s="255" t="s">
        <v>644</v>
      </c>
      <c r="E251" s="257"/>
      <c r="F251" s="76"/>
      <c r="G251" s="39">
        <f t="shared" si="1"/>
        <v>0</v>
      </c>
      <c r="H251" s="13" t="str">
        <f t="shared" si="2"/>
        <v> Signed Rep +  5-Star Review</v>
      </c>
      <c r="I251" s="14"/>
      <c r="J251" s="14"/>
    </row>
    <row r="252" hidden="1">
      <c r="A252" s="6" t="s">
        <v>241</v>
      </c>
      <c r="B252" s="255" t="s">
        <v>645</v>
      </c>
      <c r="C252" s="255" t="s">
        <v>646</v>
      </c>
      <c r="D252" s="255" t="s">
        <v>647</v>
      </c>
      <c r="E252" s="257"/>
      <c r="F252" s="76"/>
      <c r="G252" s="39">
        <f t="shared" si="1"/>
        <v>0</v>
      </c>
      <c r="H252" s="13" t="str">
        <f t="shared" si="2"/>
        <v> Signed Rep +  5-Star Review</v>
      </c>
      <c r="I252" s="14"/>
      <c r="J252" s="14"/>
    </row>
    <row r="253" hidden="1">
      <c r="A253" s="6" t="s">
        <v>241</v>
      </c>
      <c r="B253" s="255" t="s">
        <v>648</v>
      </c>
      <c r="C253" s="255" t="s">
        <v>649</v>
      </c>
      <c r="D253" s="255" t="s">
        <v>650</v>
      </c>
      <c r="E253" s="257"/>
      <c r="F253" s="76"/>
      <c r="G253" s="39">
        <f t="shared" si="1"/>
        <v>0</v>
      </c>
      <c r="H253" s="13" t="str">
        <f t="shared" si="2"/>
        <v> Signed Rep +  5-Star Review</v>
      </c>
      <c r="I253" s="14"/>
      <c r="J253" s="14"/>
    </row>
    <row r="254" hidden="1">
      <c r="A254" s="6" t="s">
        <v>241</v>
      </c>
      <c r="B254" s="255" t="s">
        <v>651</v>
      </c>
      <c r="C254" s="255" t="s">
        <v>652</v>
      </c>
      <c r="D254" s="255" t="s">
        <v>653</v>
      </c>
      <c r="E254" s="257"/>
      <c r="F254" s="76"/>
      <c r="G254" s="39">
        <f t="shared" si="1"/>
        <v>0</v>
      </c>
      <c r="H254" s="13" t="str">
        <f t="shared" si="2"/>
        <v> Signed Rep +  5-Star Review</v>
      </c>
      <c r="I254" s="14"/>
      <c r="J254" s="14"/>
    </row>
    <row r="255" hidden="1">
      <c r="A255" s="6" t="s">
        <v>241</v>
      </c>
      <c r="B255" s="255" t="s">
        <v>654</v>
      </c>
      <c r="C255" s="255" t="s">
        <v>655</v>
      </c>
      <c r="D255" s="255" t="s">
        <v>656</v>
      </c>
      <c r="E255" s="257"/>
      <c r="F255" s="76"/>
      <c r="G255" s="39">
        <f t="shared" si="1"/>
        <v>0</v>
      </c>
      <c r="H255" s="13" t="str">
        <f t="shared" si="2"/>
        <v> Signed Rep +  5-Star Review</v>
      </c>
      <c r="I255" s="14"/>
      <c r="J255" s="14"/>
    </row>
    <row r="256" hidden="1">
      <c r="A256" s="6" t="s">
        <v>241</v>
      </c>
      <c r="B256" s="255" t="s">
        <v>657</v>
      </c>
      <c r="C256" s="255" t="s">
        <v>658</v>
      </c>
      <c r="D256" s="255" t="s">
        <v>659</v>
      </c>
      <c r="E256" s="256">
        <v>7.0</v>
      </c>
      <c r="F256" s="256">
        <v>0.0</v>
      </c>
      <c r="G256" s="39">
        <f t="shared" si="1"/>
        <v>1750</v>
      </c>
      <c r="H256" s="13" t="str">
        <f t="shared" si="2"/>
        <v>7 Signed Rep + 0 5-Star Review</v>
      </c>
      <c r="I256" s="14"/>
      <c r="J256" s="14"/>
    </row>
    <row r="257" hidden="1">
      <c r="A257" s="6" t="s">
        <v>241</v>
      </c>
      <c r="B257" s="255" t="s">
        <v>213</v>
      </c>
      <c r="C257" s="255" t="s">
        <v>214</v>
      </c>
      <c r="D257" s="255" t="s">
        <v>660</v>
      </c>
      <c r="E257" s="257"/>
      <c r="F257" s="76"/>
      <c r="G257" s="39">
        <f t="shared" si="1"/>
        <v>0</v>
      </c>
      <c r="H257" s="13" t="str">
        <f t="shared" si="2"/>
        <v> Signed Rep +  5-Star Review</v>
      </c>
      <c r="I257" s="14"/>
      <c r="J257" s="14"/>
    </row>
    <row r="258" hidden="1">
      <c r="A258" s="6" t="s">
        <v>241</v>
      </c>
      <c r="B258" s="255" t="s">
        <v>661</v>
      </c>
      <c r="C258" s="255" t="s">
        <v>662</v>
      </c>
      <c r="D258" s="255" t="s">
        <v>663</v>
      </c>
      <c r="E258" s="256">
        <v>11.0</v>
      </c>
      <c r="F258" s="88">
        <v>0.0</v>
      </c>
      <c r="G258" s="39">
        <f t="shared" si="1"/>
        <v>2750</v>
      </c>
      <c r="H258" s="13" t="str">
        <f t="shared" si="2"/>
        <v>11 Signed Rep + 0 5-Star Review</v>
      </c>
      <c r="I258" s="14"/>
      <c r="J258" s="14"/>
    </row>
    <row r="259" hidden="1">
      <c r="A259" s="6" t="s">
        <v>241</v>
      </c>
      <c r="B259" s="255" t="s">
        <v>664</v>
      </c>
      <c r="C259" s="255" t="s">
        <v>665</v>
      </c>
      <c r="D259" s="255" t="s">
        <v>666</v>
      </c>
      <c r="E259" s="256">
        <v>11.0</v>
      </c>
      <c r="F259" s="88">
        <v>0.0</v>
      </c>
      <c r="G259" s="39">
        <f t="shared" si="1"/>
        <v>2750</v>
      </c>
      <c r="H259" s="13" t="str">
        <f t="shared" si="2"/>
        <v>11 Signed Rep + 0 5-Star Review</v>
      </c>
      <c r="I259" s="14"/>
      <c r="J259" s="14"/>
    </row>
    <row r="260" hidden="1">
      <c r="A260" s="6" t="s">
        <v>241</v>
      </c>
      <c r="B260" s="255" t="s">
        <v>667</v>
      </c>
      <c r="C260" s="255" t="s">
        <v>668</v>
      </c>
      <c r="D260" s="255" t="s">
        <v>669</v>
      </c>
      <c r="E260" s="256">
        <v>7.0</v>
      </c>
      <c r="F260" s="88">
        <v>0.0</v>
      </c>
      <c r="G260" s="39">
        <f t="shared" si="1"/>
        <v>1750</v>
      </c>
      <c r="H260" s="13" t="str">
        <f t="shared" si="2"/>
        <v>7 Signed Rep + 0 5-Star Review</v>
      </c>
      <c r="I260" s="14"/>
      <c r="J260" s="14"/>
    </row>
    <row r="261" hidden="1">
      <c r="A261" s="6" t="s">
        <v>241</v>
      </c>
      <c r="B261" s="255" t="s">
        <v>670</v>
      </c>
      <c r="C261" s="255" t="s">
        <v>671</v>
      </c>
      <c r="D261" s="255" t="s">
        <v>672</v>
      </c>
      <c r="E261" s="256">
        <v>2.0</v>
      </c>
      <c r="F261" s="76"/>
      <c r="G261" s="39">
        <f t="shared" si="1"/>
        <v>500</v>
      </c>
      <c r="H261" s="13" t="str">
        <f t="shared" si="2"/>
        <v>2 Signed Rep +  5-Star Review</v>
      </c>
      <c r="I261" s="14"/>
      <c r="J261" s="14"/>
    </row>
    <row r="262" hidden="1">
      <c r="A262" s="6" t="s">
        <v>241</v>
      </c>
      <c r="B262" s="255" t="s">
        <v>673</v>
      </c>
      <c r="C262" s="255" t="s">
        <v>674</v>
      </c>
      <c r="D262" s="255" t="s">
        <v>675</v>
      </c>
      <c r="E262" s="256">
        <v>9.0</v>
      </c>
      <c r="F262" s="256">
        <v>0.0</v>
      </c>
      <c r="G262" s="39">
        <f t="shared" si="1"/>
        <v>2250</v>
      </c>
      <c r="H262" s="13" t="str">
        <f t="shared" si="2"/>
        <v>9 Signed Rep + 0 5-Star Review</v>
      </c>
      <c r="I262" s="14"/>
      <c r="J262" s="14"/>
    </row>
    <row r="263" hidden="1">
      <c r="A263" s="6" t="s">
        <v>241</v>
      </c>
      <c r="B263" s="255" t="s">
        <v>676</v>
      </c>
      <c r="C263" s="255" t="s">
        <v>677</v>
      </c>
      <c r="D263" s="255" t="s">
        <v>678</v>
      </c>
      <c r="E263" s="257"/>
      <c r="F263" s="76"/>
      <c r="G263" s="39">
        <f t="shared" si="1"/>
        <v>0</v>
      </c>
      <c r="H263" s="13" t="str">
        <f t="shared" si="2"/>
        <v> Signed Rep +  5-Star Review</v>
      </c>
      <c r="I263" s="14"/>
      <c r="J263" s="14"/>
    </row>
    <row r="264" hidden="1">
      <c r="A264" s="6" t="s">
        <v>241</v>
      </c>
      <c r="B264" s="255" t="s">
        <v>679</v>
      </c>
      <c r="C264" s="255" t="s">
        <v>680</v>
      </c>
      <c r="D264" s="255" t="s">
        <v>781</v>
      </c>
      <c r="E264" s="257"/>
      <c r="F264" s="257"/>
      <c r="G264" s="39">
        <f t="shared" si="1"/>
        <v>0</v>
      </c>
      <c r="H264" s="13" t="str">
        <f t="shared" si="2"/>
        <v> Signed Rep +  5-Star Review</v>
      </c>
      <c r="I264" s="14"/>
      <c r="J264" s="14"/>
    </row>
    <row r="265" hidden="1">
      <c r="A265" s="6" t="s">
        <v>241</v>
      </c>
      <c r="B265" s="255" t="s">
        <v>682</v>
      </c>
      <c r="C265" s="255" t="s">
        <v>683</v>
      </c>
      <c r="D265" s="255" t="s">
        <v>684</v>
      </c>
      <c r="E265" s="257"/>
      <c r="F265" s="76"/>
      <c r="G265" s="39">
        <f t="shared" si="1"/>
        <v>0</v>
      </c>
      <c r="H265" s="13" t="str">
        <f t="shared" si="2"/>
        <v> Signed Rep +  5-Star Review</v>
      </c>
      <c r="I265" s="14"/>
      <c r="J265" s="14"/>
    </row>
    <row r="266" hidden="1">
      <c r="A266" s="6" t="s">
        <v>241</v>
      </c>
      <c r="B266" s="255" t="s">
        <v>685</v>
      </c>
      <c r="C266" s="255" t="s">
        <v>686</v>
      </c>
      <c r="D266" s="255" t="s">
        <v>687</v>
      </c>
      <c r="E266" s="257"/>
      <c r="F266" s="76"/>
      <c r="G266" s="39">
        <f t="shared" si="1"/>
        <v>0</v>
      </c>
      <c r="H266" s="13" t="str">
        <f t="shared" si="2"/>
        <v> Signed Rep +  5-Star Review</v>
      </c>
      <c r="I266" s="14"/>
      <c r="J266" s="14"/>
    </row>
    <row r="267" hidden="1">
      <c r="A267" s="6" t="s">
        <v>241</v>
      </c>
      <c r="B267" s="255" t="s">
        <v>688</v>
      </c>
      <c r="C267" s="255" t="s">
        <v>689</v>
      </c>
      <c r="D267" s="255" t="s">
        <v>690</v>
      </c>
      <c r="E267" s="256">
        <v>9.0</v>
      </c>
      <c r="F267" s="88">
        <v>0.0</v>
      </c>
      <c r="G267" s="39">
        <f t="shared" si="1"/>
        <v>2250</v>
      </c>
      <c r="H267" s="13" t="str">
        <f t="shared" si="2"/>
        <v>9 Signed Rep + 0 5-Star Review</v>
      </c>
      <c r="I267" s="14"/>
      <c r="J267" s="14"/>
    </row>
    <row r="268" hidden="1">
      <c r="A268" s="6" t="s">
        <v>241</v>
      </c>
      <c r="B268" s="255" t="s">
        <v>691</v>
      </c>
      <c r="C268" s="255" t="s">
        <v>692</v>
      </c>
      <c r="D268" s="255" t="s">
        <v>693</v>
      </c>
      <c r="E268" s="256">
        <v>2.0</v>
      </c>
      <c r="F268" s="76"/>
      <c r="G268" s="39">
        <f t="shared" si="1"/>
        <v>500</v>
      </c>
      <c r="H268" s="13" t="str">
        <f t="shared" si="2"/>
        <v>2 Signed Rep +  5-Star Review</v>
      </c>
      <c r="I268" s="14"/>
      <c r="J268" s="14"/>
    </row>
    <row r="269" hidden="1">
      <c r="A269" s="6" t="s">
        <v>241</v>
      </c>
      <c r="B269" s="255" t="s">
        <v>694</v>
      </c>
      <c r="C269" s="255" t="s">
        <v>695</v>
      </c>
      <c r="D269" s="255" t="s">
        <v>696</v>
      </c>
      <c r="E269" s="257"/>
      <c r="F269" s="76"/>
      <c r="G269" s="39">
        <f t="shared" si="1"/>
        <v>0</v>
      </c>
      <c r="H269" s="13" t="str">
        <f t="shared" si="2"/>
        <v> Signed Rep +  5-Star Review</v>
      </c>
      <c r="I269" s="14"/>
      <c r="J269" s="14"/>
    </row>
    <row r="270" hidden="1">
      <c r="A270" s="6" t="s">
        <v>241</v>
      </c>
      <c r="B270" s="255" t="s">
        <v>697</v>
      </c>
      <c r="C270" s="255" t="s">
        <v>698</v>
      </c>
      <c r="D270" s="255" t="s">
        <v>699</v>
      </c>
      <c r="E270" s="256">
        <v>5.0</v>
      </c>
      <c r="F270" s="256">
        <v>3.0</v>
      </c>
      <c r="G270" s="39">
        <f t="shared" si="1"/>
        <v>1550</v>
      </c>
      <c r="H270" s="13" t="str">
        <f t="shared" si="2"/>
        <v>5 Signed Rep + 3 5-Star Review</v>
      </c>
      <c r="I270" s="14"/>
      <c r="J270" s="14"/>
    </row>
    <row r="271" hidden="1">
      <c r="A271" s="6" t="s">
        <v>241</v>
      </c>
      <c r="B271" s="255" t="s">
        <v>700</v>
      </c>
      <c r="C271" s="255" t="s">
        <v>701</v>
      </c>
      <c r="D271" s="255" t="s">
        <v>702</v>
      </c>
      <c r="E271" s="257"/>
      <c r="F271" s="76"/>
      <c r="G271" s="39">
        <f t="shared" si="1"/>
        <v>0</v>
      </c>
      <c r="H271" s="13" t="str">
        <f t="shared" si="2"/>
        <v> Signed Rep +  5-Star Review</v>
      </c>
      <c r="I271" s="14"/>
      <c r="J271" s="14"/>
    </row>
    <row r="272" hidden="1">
      <c r="A272" s="6" t="s">
        <v>241</v>
      </c>
      <c r="B272" s="255" t="s">
        <v>703</v>
      </c>
      <c r="C272" s="255" t="s">
        <v>704</v>
      </c>
      <c r="D272" s="255" t="s">
        <v>705</v>
      </c>
      <c r="E272" s="257"/>
      <c r="F272" s="257"/>
      <c r="G272" s="39">
        <f t="shared" si="1"/>
        <v>0</v>
      </c>
      <c r="H272" s="13" t="str">
        <f t="shared" si="2"/>
        <v> Signed Rep +  5-Star Review</v>
      </c>
      <c r="I272" s="14"/>
      <c r="J272" s="14"/>
    </row>
    <row r="273" hidden="1">
      <c r="A273" s="6" t="s">
        <v>241</v>
      </c>
      <c r="B273" s="255" t="s">
        <v>706</v>
      </c>
      <c r="C273" s="255" t="s">
        <v>707</v>
      </c>
      <c r="D273" s="255" t="s">
        <v>708</v>
      </c>
      <c r="E273" s="256">
        <v>2.0</v>
      </c>
      <c r="F273" s="256">
        <v>1.0</v>
      </c>
      <c r="G273" s="39">
        <f t="shared" si="1"/>
        <v>600</v>
      </c>
      <c r="H273" s="13" t="str">
        <f t="shared" si="2"/>
        <v>2 Signed Rep + 1 5-Star Review</v>
      </c>
      <c r="I273" s="14"/>
      <c r="J273" s="14"/>
    </row>
    <row r="274" hidden="1">
      <c r="A274" s="6" t="s">
        <v>241</v>
      </c>
      <c r="B274" s="255" t="s">
        <v>709</v>
      </c>
      <c r="C274" s="255" t="s">
        <v>710</v>
      </c>
      <c r="D274" s="255" t="s">
        <v>711</v>
      </c>
      <c r="E274" s="257"/>
      <c r="F274" s="76"/>
      <c r="G274" s="39">
        <f t="shared" si="1"/>
        <v>0</v>
      </c>
      <c r="H274" s="13" t="str">
        <f t="shared" si="2"/>
        <v> Signed Rep +  5-Star Review</v>
      </c>
      <c r="I274" s="14"/>
      <c r="J274" s="14"/>
    </row>
    <row r="275" hidden="1">
      <c r="A275" s="6" t="s">
        <v>241</v>
      </c>
      <c r="B275" s="255" t="s">
        <v>712</v>
      </c>
      <c r="C275" s="255" t="s">
        <v>713</v>
      </c>
      <c r="D275" s="255" t="s">
        <v>714</v>
      </c>
      <c r="E275" s="257"/>
      <c r="F275" s="76"/>
      <c r="G275" s="39">
        <f t="shared" si="1"/>
        <v>0</v>
      </c>
      <c r="H275" s="13" t="str">
        <f t="shared" si="2"/>
        <v> Signed Rep +  5-Star Review</v>
      </c>
      <c r="I275" s="14"/>
      <c r="J275" s="14"/>
    </row>
    <row r="276" hidden="1">
      <c r="A276" s="6" t="s">
        <v>241</v>
      </c>
      <c r="B276" s="255" t="s">
        <v>715</v>
      </c>
      <c r="C276" s="255" t="s">
        <v>716</v>
      </c>
      <c r="D276" s="255" t="s">
        <v>717</v>
      </c>
      <c r="E276" s="257"/>
      <c r="F276" s="76"/>
      <c r="G276" s="39">
        <f t="shared" si="1"/>
        <v>0</v>
      </c>
      <c r="H276" s="13" t="str">
        <f t="shared" si="2"/>
        <v> Signed Rep +  5-Star Review</v>
      </c>
      <c r="I276" s="14"/>
      <c r="J276" s="14"/>
    </row>
    <row r="277" hidden="1">
      <c r="A277" s="6" t="s">
        <v>241</v>
      </c>
      <c r="B277" s="255" t="s">
        <v>718</v>
      </c>
      <c r="C277" s="255" t="s">
        <v>719</v>
      </c>
      <c r="D277" s="255" t="s">
        <v>720</v>
      </c>
      <c r="E277" s="256">
        <v>2.0</v>
      </c>
      <c r="F277" s="76"/>
      <c r="G277" s="39">
        <f t="shared" si="1"/>
        <v>500</v>
      </c>
      <c r="H277" s="13" t="str">
        <f t="shared" si="2"/>
        <v>2 Signed Rep +  5-Star Review</v>
      </c>
      <c r="I277" s="14"/>
      <c r="J277" s="14"/>
    </row>
    <row r="278" hidden="1">
      <c r="A278" s="6" t="s">
        <v>241</v>
      </c>
      <c r="B278" s="255" t="s">
        <v>721</v>
      </c>
      <c r="C278" s="255" t="s">
        <v>722</v>
      </c>
      <c r="D278" s="255" t="s">
        <v>723</v>
      </c>
      <c r="E278" s="257"/>
      <c r="F278" s="257"/>
      <c r="G278" s="39">
        <f t="shared" si="1"/>
        <v>0</v>
      </c>
      <c r="H278" s="13" t="str">
        <f t="shared" si="2"/>
        <v> Signed Rep +  5-Star Review</v>
      </c>
      <c r="I278" s="14"/>
      <c r="J278" s="14"/>
    </row>
    <row r="279" hidden="1">
      <c r="A279" s="6" t="s">
        <v>241</v>
      </c>
      <c r="B279" s="257" t="s">
        <v>724</v>
      </c>
      <c r="C279" s="255" t="s">
        <v>725</v>
      </c>
      <c r="D279" s="255" t="s">
        <v>726</v>
      </c>
      <c r="E279" s="257"/>
      <c r="F279" s="76"/>
      <c r="G279" s="39">
        <f t="shared" si="1"/>
        <v>0</v>
      </c>
      <c r="H279" s="13" t="str">
        <f t="shared" si="2"/>
        <v> Signed Rep +  5-Star Review</v>
      </c>
      <c r="I279" s="14"/>
      <c r="J279" s="14"/>
    </row>
    <row r="280" hidden="1">
      <c r="A280" s="6" t="s">
        <v>241</v>
      </c>
      <c r="B280" s="255" t="s">
        <v>727</v>
      </c>
      <c r="C280" s="255" t="s">
        <v>728</v>
      </c>
      <c r="D280" s="255" t="s">
        <v>729</v>
      </c>
      <c r="E280" s="257"/>
      <c r="F280" s="76"/>
      <c r="G280" s="39">
        <f t="shared" si="1"/>
        <v>0</v>
      </c>
      <c r="H280" s="13" t="str">
        <f t="shared" si="2"/>
        <v> Signed Rep +  5-Star Review</v>
      </c>
      <c r="I280" s="14"/>
      <c r="J280" s="14"/>
    </row>
    <row r="281" hidden="1">
      <c r="A281" s="6" t="s">
        <v>241</v>
      </c>
      <c r="B281" s="255" t="s">
        <v>730</v>
      </c>
      <c r="C281" s="255" t="s">
        <v>731</v>
      </c>
      <c r="D281" s="255" t="s">
        <v>732</v>
      </c>
      <c r="E281" s="256">
        <v>1.0</v>
      </c>
      <c r="F281" s="76"/>
      <c r="G281" s="39">
        <f t="shared" si="1"/>
        <v>250</v>
      </c>
      <c r="H281" s="13" t="str">
        <f t="shared" si="2"/>
        <v>1 Signed Rep +  5-Star Review</v>
      </c>
      <c r="I281" s="14"/>
      <c r="J281" s="14"/>
    </row>
    <row r="282" hidden="1">
      <c r="A282" s="6" t="s">
        <v>241</v>
      </c>
      <c r="B282" s="255" t="s">
        <v>733</v>
      </c>
      <c r="C282" s="255" t="s">
        <v>734</v>
      </c>
      <c r="D282" s="255" t="s">
        <v>735</v>
      </c>
      <c r="E282" s="256">
        <v>2.0</v>
      </c>
      <c r="F282" s="76"/>
      <c r="G282" s="39">
        <f t="shared" si="1"/>
        <v>500</v>
      </c>
      <c r="H282" s="13" t="str">
        <f t="shared" si="2"/>
        <v>2 Signed Rep +  5-Star Review</v>
      </c>
      <c r="I282" s="14"/>
      <c r="J282" s="14"/>
    </row>
    <row r="283" hidden="1">
      <c r="A283" s="6" t="s">
        <v>241</v>
      </c>
      <c r="B283" s="255" t="s">
        <v>736</v>
      </c>
      <c r="C283" s="255" t="s">
        <v>737</v>
      </c>
      <c r="D283" s="255" t="s">
        <v>738</v>
      </c>
      <c r="E283" s="257"/>
      <c r="F283" s="257"/>
      <c r="G283" s="39">
        <f t="shared" si="1"/>
        <v>0</v>
      </c>
      <c r="H283" s="13" t="str">
        <f t="shared" si="2"/>
        <v> Signed Rep +  5-Star Review</v>
      </c>
      <c r="I283" s="14"/>
      <c r="J283" s="14"/>
    </row>
    <row r="284" hidden="1">
      <c r="A284" s="6" t="s">
        <v>241</v>
      </c>
      <c r="B284" s="255" t="s">
        <v>739</v>
      </c>
      <c r="C284" s="255" t="s">
        <v>740</v>
      </c>
      <c r="D284" s="255" t="s">
        <v>741</v>
      </c>
      <c r="E284" s="257"/>
      <c r="F284" s="76"/>
      <c r="G284" s="39">
        <f t="shared" si="1"/>
        <v>0</v>
      </c>
      <c r="H284" s="13" t="str">
        <f t="shared" si="2"/>
        <v> Signed Rep +  5-Star Review</v>
      </c>
      <c r="I284" s="14"/>
      <c r="J284" s="14"/>
    </row>
    <row r="285" hidden="1">
      <c r="A285" s="6" t="s">
        <v>241</v>
      </c>
      <c r="B285" s="255" t="s">
        <v>742</v>
      </c>
      <c r="C285" s="255" t="s">
        <v>743</v>
      </c>
      <c r="D285" s="255" t="s">
        <v>744</v>
      </c>
      <c r="E285" s="257"/>
      <c r="F285" s="76"/>
      <c r="G285" s="39">
        <f t="shared" si="1"/>
        <v>0</v>
      </c>
      <c r="H285" s="13" t="str">
        <f t="shared" si="2"/>
        <v> Signed Rep +  5-Star Review</v>
      </c>
      <c r="I285" s="14"/>
      <c r="J285" s="14"/>
    </row>
    <row r="286" hidden="1">
      <c r="A286" s="6" t="s">
        <v>241</v>
      </c>
      <c r="B286" s="254" t="s">
        <v>745</v>
      </c>
      <c r="C286" s="255" t="s">
        <v>746</v>
      </c>
      <c r="D286" s="255" t="s">
        <v>747</v>
      </c>
      <c r="E286" s="256">
        <v>1.0</v>
      </c>
      <c r="F286" s="76"/>
      <c r="G286" s="39">
        <f t="shared" si="1"/>
        <v>250</v>
      </c>
      <c r="H286" s="13" t="str">
        <f t="shared" si="2"/>
        <v>1 Signed Rep +  5-Star Review</v>
      </c>
      <c r="I286" s="14"/>
      <c r="J286" s="14"/>
    </row>
    <row r="287" hidden="1">
      <c r="A287" s="6" t="s">
        <v>241</v>
      </c>
      <c r="B287" s="255" t="s">
        <v>748</v>
      </c>
      <c r="C287" s="255" t="s">
        <v>749</v>
      </c>
      <c r="D287" s="255" t="s">
        <v>750</v>
      </c>
      <c r="E287" s="257"/>
      <c r="F287" s="76"/>
      <c r="G287" s="39">
        <f t="shared" si="1"/>
        <v>0</v>
      </c>
      <c r="H287" s="13" t="str">
        <f t="shared" si="2"/>
        <v> Signed Rep +  5-Star Review</v>
      </c>
      <c r="I287" s="14"/>
      <c r="J287" s="14"/>
    </row>
    <row r="288" hidden="1">
      <c r="A288" s="6" t="s">
        <v>241</v>
      </c>
      <c r="B288" s="255" t="s">
        <v>751</v>
      </c>
      <c r="C288" s="255" t="s">
        <v>752</v>
      </c>
      <c r="D288" s="255" t="s">
        <v>753</v>
      </c>
      <c r="E288" s="256">
        <v>1.0</v>
      </c>
      <c r="F288" s="256"/>
      <c r="G288" s="39">
        <f t="shared" si="1"/>
        <v>250</v>
      </c>
      <c r="H288" s="13" t="str">
        <f t="shared" si="2"/>
        <v>1 Signed Rep +  5-Star Review</v>
      </c>
      <c r="I288" s="14"/>
      <c r="J288" s="14"/>
    </row>
    <row r="289" hidden="1">
      <c r="A289" s="6" t="s">
        <v>241</v>
      </c>
      <c r="B289" s="255" t="s">
        <v>754</v>
      </c>
      <c r="C289" s="255" t="s">
        <v>755</v>
      </c>
      <c r="D289" s="255" t="s">
        <v>756</v>
      </c>
      <c r="E289" s="257"/>
      <c r="F289" s="257"/>
      <c r="G289" s="39">
        <f t="shared" si="1"/>
        <v>0</v>
      </c>
      <c r="H289" s="13" t="str">
        <f t="shared" si="2"/>
        <v> Signed Rep +  5-Star Review</v>
      </c>
      <c r="I289" s="14"/>
      <c r="J289" s="14"/>
    </row>
    <row r="290" hidden="1">
      <c r="A290" s="6" t="s">
        <v>241</v>
      </c>
      <c r="B290" s="254" t="s">
        <v>757</v>
      </c>
      <c r="C290" s="255" t="s">
        <v>758</v>
      </c>
      <c r="D290" s="255" t="s">
        <v>759</v>
      </c>
      <c r="E290" s="256">
        <v>12.0</v>
      </c>
      <c r="F290" s="88">
        <v>0.0</v>
      </c>
      <c r="G290" s="39">
        <f t="shared" si="1"/>
        <v>3000</v>
      </c>
      <c r="H290" s="13" t="str">
        <f t="shared" si="2"/>
        <v>12 Signed Rep + 0 5-Star Review</v>
      </c>
      <c r="I290" s="23"/>
      <c r="J290" s="23"/>
    </row>
    <row r="291" hidden="1">
      <c r="A291" s="6" t="s">
        <v>241</v>
      </c>
      <c r="B291" s="255" t="s">
        <v>219</v>
      </c>
      <c r="C291" s="255" t="s">
        <v>220</v>
      </c>
      <c r="D291" s="255" t="s">
        <v>760</v>
      </c>
      <c r="E291" s="256">
        <v>1.0</v>
      </c>
      <c r="F291" s="76"/>
      <c r="G291" s="39">
        <f t="shared" si="1"/>
        <v>250</v>
      </c>
      <c r="H291" s="13" t="str">
        <f t="shared" si="2"/>
        <v>1 Signed Rep +  5-Star Review</v>
      </c>
      <c r="I291" s="14"/>
      <c r="J291" s="14"/>
    </row>
    <row r="292" hidden="1">
      <c r="A292" s="6" t="s">
        <v>242</v>
      </c>
      <c r="B292" s="255" t="s">
        <v>770</v>
      </c>
      <c r="C292" s="255" t="s">
        <v>771</v>
      </c>
      <c r="D292" s="255" t="s">
        <v>772</v>
      </c>
      <c r="E292" s="256">
        <v>5.0</v>
      </c>
      <c r="F292" s="257"/>
      <c r="G292" s="39">
        <f t="shared" si="1"/>
        <v>1250</v>
      </c>
      <c r="H292" s="13" t="str">
        <f t="shared" si="2"/>
        <v>5 Signed Rep +  5-Star Review</v>
      </c>
      <c r="I292" s="14"/>
      <c r="J292" s="14"/>
    </row>
    <row r="293" hidden="1">
      <c r="A293" s="6" t="s">
        <v>242</v>
      </c>
      <c r="B293" s="255" t="s">
        <v>258</v>
      </c>
      <c r="C293" s="255" t="s">
        <v>773</v>
      </c>
      <c r="D293" s="255" t="s">
        <v>774</v>
      </c>
      <c r="E293" s="256">
        <v>3.0</v>
      </c>
      <c r="F293" s="256">
        <v>2.0</v>
      </c>
      <c r="G293" s="39">
        <f t="shared" si="1"/>
        <v>950</v>
      </c>
      <c r="H293" s="13" t="str">
        <f t="shared" si="2"/>
        <v>3 Signed Rep + 2 5-Star Review</v>
      </c>
      <c r="I293" s="14"/>
      <c r="J293" s="14"/>
    </row>
    <row r="294" hidden="1">
      <c r="A294" s="6" t="s">
        <v>242</v>
      </c>
      <c r="B294" s="255" t="s">
        <v>775</v>
      </c>
      <c r="C294" s="255" t="s">
        <v>776</v>
      </c>
      <c r="D294" s="255" t="s">
        <v>777</v>
      </c>
      <c r="E294" s="256">
        <v>6.0</v>
      </c>
      <c r="F294" s="256">
        <v>1.0</v>
      </c>
      <c r="G294" s="39">
        <f t="shared" si="1"/>
        <v>1600</v>
      </c>
      <c r="H294" s="13" t="str">
        <f t="shared" si="2"/>
        <v>6 Signed Rep + 1 5-Star Review</v>
      </c>
      <c r="I294" s="14"/>
      <c r="J294" s="14"/>
    </row>
    <row r="295" hidden="1">
      <c r="A295" s="6" t="s">
        <v>242</v>
      </c>
      <c r="B295" s="255" t="s">
        <v>615</v>
      </c>
      <c r="C295" s="255" t="s">
        <v>616</v>
      </c>
      <c r="D295" s="255" t="s">
        <v>617</v>
      </c>
      <c r="E295" s="256">
        <v>4.0</v>
      </c>
      <c r="F295" s="257"/>
      <c r="G295" s="39">
        <f t="shared" si="1"/>
        <v>1000</v>
      </c>
      <c r="H295" s="13" t="str">
        <f t="shared" si="2"/>
        <v>4 Signed Rep +  5-Star Review</v>
      </c>
      <c r="I295" s="14"/>
      <c r="J295" s="14"/>
    </row>
    <row r="296" hidden="1">
      <c r="A296" s="6" t="s">
        <v>242</v>
      </c>
      <c r="B296" s="255" t="s">
        <v>618</v>
      </c>
      <c r="C296" s="255" t="s">
        <v>619</v>
      </c>
      <c r="D296" s="255" t="s">
        <v>620</v>
      </c>
      <c r="E296" s="256">
        <v>8.0</v>
      </c>
      <c r="F296" s="256">
        <v>1.0</v>
      </c>
      <c r="G296" s="39">
        <f t="shared" si="1"/>
        <v>2100</v>
      </c>
      <c r="H296" s="13" t="str">
        <f t="shared" si="2"/>
        <v>8 Signed Rep + 1 5-Star Review</v>
      </c>
      <c r="I296" s="14"/>
      <c r="J296" s="14"/>
    </row>
    <row r="297" hidden="1">
      <c r="A297" s="6" t="s">
        <v>242</v>
      </c>
      <c r="B297" s="255" t="s">
        <v>624</v>
      </c>
      <c r="C297" s="255" t="s">
        <v>625</v>
      </c>
      <c r="D297" s="255" t="s">
        <v>626</v>
      </c>
      <c r="E297" s="256">
        <v>11.0</v>
      </c>
      <c r="F297" s="257"/>
      <c r="G297" s="39">
        <f t="shared" si="1"/>
        <v>2750</v>
      </c>
      <c r="H297" s="13" t="str">
        <f t="shared" si="2"/>
        <v>11 Signed Rep +  5-Star Review</v>
      </c>
      <c r="I297" s="14"/>
      <c r="J297" s="14"/>
    </row>
    <row r="298" hidden="1">
      <c r="A298" s="6" t="s">
        <v>242</v>
      </c>
      <c r="B298" s="255" t="s">
        <v>627</v>
      </c>
      <c r="C298" s="255" t="s">
        <v>628</v>
      </c>
      <c r="D298" s="255" t="s">
        <v>629</v>
      </c>
      <c r="E298" s="256">
        <v>10.0</v>
      </c>
      <c r="F298" s="256">
        <v>2.0</v>
      </c>
      <c r="G298" s="39">
        <f t="shared" si="1"/>
        <v>2700</v>
      </c>
      <c r="H298" s="13" t="str">
        <f t="shared" si="2"/>
        <v>10 Signed Rep + 2 5-Star Review</v>
      </c>
      <c r="I298" s="14"/>
      <c r="J298" s="14"/>
    </row>
    <row r="299" hidden="1">
      <c r="A299" s="6" t="s">
        <v>242</v>
      </c>
      <c r="B299" s="255" t="s">
        <v>630</v>
      </c>
      <c r="C299" s="255" t="s">
        <v>631</v>
      </c>
      <c r="D299" s="255" t="s">
        <v>632</v>
      </c>
      <c r="E299" s="256">
        <v>7.0</v>
      </c>
      <c r="F299" s="256">
        <v>3.0</v>
      </c>
      <c r="G299" s="39">
        <f t="shared" si="1"/>
        <v>2050</v>
      </c>
      <c r="H299" s="13" t="str">
        <f t="shared" si="2"/>
        <v>7 Signed Rep + 3 5-Star Review</v>
      </c>
      <c r="I299" s="14"/>
      <c r="J299" s="14"/>
    </row>
    <row r="300" hidden="1">
      <c r="A300" s="6" t="s">
        <v>242</v>
      </c>
      <c r="B300" s="255" t="s">
        <v>639</v>
      </c>
      <c r="C300" s="255" t="s">
        <v>640</v>
      </c>
      <c r="D300" s="255" t="s">
        <v>641</v>
      </c>
      <c r="E300" s="256">
        <v>5.0</v>
      </c>
      <c r="F300" s="257"/>
      <c r="G300" s="39">
        <f t="shared" si="1"/>
        <v>1250</v>
      </c>
      <c r="H300" s="13" t="str">
        <f t="shared" si="2"/>
        <v>5 Signed Rep +  5-Star Review</v>
      </c>
      <c r="I300" s="14"/>
      <c r="J300" s="14"/>
    </row>
    <row r="301" hidden="1">
      <c r="A301" s="6" t="s">
        <v>242</v>
      </c>
      <c r="B301" s="255" t="s">
        <v>642</v>
      </c>
      <c r="C301" s="255" t="s">
        <v>643</v>
      </c>
      <c r="D301" s="255" t="s">
        <v>644</v>
      </c>
      <c r="E301" s="256">
        <v>5.0</v>
      </c>
      <c r="F301" s="257"/>
      <c r="G301" s="39">
        <f t="shared" si="1"/>
        <v>1250</v>
      </c>
      <c r="H301" s="13" t="str">
        <f t="shared" si="2"/>
        <v>5 Signed Rep +  5-Star Review</v>
      </c>
      <c r="I301" s="14"/>
      <c r="J301" s="14"/>
    </row>
    <row r="302" hidden="1">
      <c r="A302" s="6" t="s">
        <v>242</v>
      </c>
      <c r="B302" s="255" t="s">
        <v>645</v>
      </c>
      <c r="C302" s="255" t="s">
        <v>646</v>
      </c>
      <c r="D302" s="255" t="s">
        <v>647</v>
      </c>
      <c r="E302" s="256">
        <v>10.0</v>
      </c>
      <c r="F302" s="257"/>
      <c r="G302" s="39">
        <f t="shared" si="1"/>
        <v>2500</v>
      </c>
      <c r="H302" s="13" t="str">
        <f t="shared" si="2"/>
        <v>10 Signed Rep +  5-Star Review</v>
      </c>
      <c r="I302" s="14"/>
      <c r="J302" s="14"/>
    </row>
    <row r="303" hidden="1">
      <c r="A303" s="6" t="s">
        <v>242</v>
      </c>
      <c r="B303" s="255" t="s">
        <v>648</v>
      </c>
      <c r="C303" s="255" t="s">
        <v>649</v>
      </c>
      <c r="D303" s="255" t="s">
        <v>650</v>
      </c>
      <c r="E303" s="256">
        <v>5.0</v>
      </c>
      <c r="F303" s="257"/>
      <c r="G303" s="39">
        <f t="shared" si="1"/>
        <v>1250</v>
      </c>
      <c r="H303" s="13" t="str">
        <f t="shared" si="2"/>
        <v>5 Signed Rep +  5-Star Review</v>
      </c>
      <c r="I303" s="14"/>
      <c r="J303" s="14"/>
    </row>
    <row r="304" hidden="1">
      <c r="A304" s="6" t="s">
        <v>242</v>
      </c>
      <c r="B304" s="255" t="s">
        <v>651</v>
      </c>
      <c r="C304" s="255" t="s">
        <v>652</v>
      </c>
      <c r="D304" s="255" t="s">
        <v>653</v>
      </c>
      <c r="E304" s="256">
        <v>5.0</v>
      </c>
      <c r="F304" s="257"/>
      <c r="G304" s="39">
        <f t="shared" si="1"/>
        <v>1250</v>
      </c>
      <c r="H304" s="13" t="str">
        <f t="shared" si="2"/>
        <v>5 Signed Rep +  5-Star Review</v>
      </c>
      <c r="I304" s="14"/>
      <c r="J304" s="14"/>
    </row>
    <row r="305" hidden="1">
      <c r="A305" s="6" t="s">
        <v>242</v>
      </c>
      <c r="B305" s="255" t="s">
        <v>654</v>
      </c>
      <c r="C305" s="255" t="s">
        <v>655</v>
      </c>
      <c r="D305" s="255" t="s">
        <v>656</v>
      </c>
      <c r="E305" s="256">
        <v>5.0</v>
      </c>
      <c r="F305" s="257"/>
      <c r="G305" s="39">
        <f t="shared" si="1"/>
        <v>1250</v>
      </c>
      <c r="H305" s="13" t="str">
        <f t="shared" si="2"/>
        <v>5 Signed Rep +  5-Star Review</v>
      </c>
      <c r="I305" s="14"/>
      <c r="J305" s="14"/>
    </row>
    <row r="306" hidden="1">
      <c r="A306" s="6" t="s">
        <v>242</v>
      </c>
      <c r="B306" s="255" t="s">
        <v>657</v>
      </c>
      <c r="C306" s="255" t="s">
        <v>658</v>
      </c>
      <c r="D306" s="255" t="s">
        <v>659</v>
      </c>
      <c r="E306" s="256">
        <v>13.0</v>
      </c>
      <c r="F306" s="256">
        <v>1.0</v>
      </c>
      <c r="G306" s="39">
        <f t="shared" si="1"/>
        <v>3350</v>
      </c>
      <c r="H306" s="13" t="str">
        <f t="shared" si="2"/>
        <v>13 Signed Rep + 1 5-Star Review</v>
      </c>
      <c r="I306" s="14"/>
      <c r="J306" s="14"/>
    </row>
    <row r="307" hidden="1">
      <c r="A307" s="6" t="s">
        <v>242</v>
      </c>
      <c r="B307" s="255" t="s">
        <v>213</v>
      </c>
      <c r="C307" s="255" t="s">
        <v>214</v>
      </c>
      <c r="D307" s="255" t="s">
        <v>660</v>
      </c>
      <c r="E307" s="256">
        <v>8.0</v>
      </c>
      <c r="F307" s="257"/>
      <c r="G307" s="39">
        <f t="shared" si="1"/>
        <v>2000</v>
      </c>
      <c r="H307" s="13" t="str">
        <f t="shared" si="2"/>
        <v>8 Signed Rep +  5-Star Review</v>
      </c>
      <c r="I307" s="14"/>
      <c r="J307" s="14"/>
    </row>
    <row r="308" hidden="1">
      <c r="A308" s="6" t="s">
        <v>242</v>
      </c>
      <c r="B308" s="255" t="s">
        <v>661</v>
      </c>
      <c r="C308" s="255" t="s">
        <v>662</v>
      </c>
      <c r="D308" s="255" t="s">
        <v>663</v>
      </c>
      <c r="E308" s="256">
        <v>21.0</v>
      </c>
      <c r="F308" s="257"/>
      <c r="G308" s="39">
        <f t="shared" si="1"/>
        <v>5250</v>
      </c>
      <c r="H308" s="13" t="str">
        <f t="shared" si="2"/>
        <v>21 Signed Rep +  5-Star Review</v>
      </c>
      <c r="I308" s="14"/>
      <c r="J308" s="14"/>
    </row>
    <row r="309" hidden="1">
      <c r="A309" s="6" t="s">
        <v>242</v>
      </c>
      <c r="B309" s="255" t="s">
        <v>664</v>
      </c>
      <c r="C309" s="255" t="s">
        <v>665</v>
      </c>
      <c r="D309" s="255" t="s">
        <v>666</v>
      </c>
      <c r="E309" s="256">
        <v>24.0</v>
      </c>
      <c r="F309" s="257"/>
      <c r="G309" s="39">
        <f t="shared" si="1"/>
        <v>6000</v>
      </c>
      <c r="H309" s="13" t="str">
        <f t="shared" si="2"/>
        <v>24 Signed Rep +  5-Star Review</v>
      </c>
      <c r="I309" s="14"/>
      <c r="J309" s="14"/>
    </row>
    <row r="310" hidden="1">
      <c r="A310" s="6" t="s">
        <v>242</v>
      </c>
      <c r="B310" s="255" t="s">
        <v>667</v>
      </c>
      <c r="C310" s="255" t="s">
        <v>668</v>
      </c>
      <c r="D310" s="255" t="s">
        <v>669</v>
      </c>
      <c r="E310" s="256">
        <v>17.0</v>
      </c>
      <c r="F310" s="257"/>
      <c r="G310" s="39">
        <f t="shared" si="1"/>
        <v>4250</v>
      </c>
      <c r="H310" s="13" t="str">
        <f t="shared" si="2"/>
        <v>17 Signed Rep +  5-Star Review</v>
      </c>
      <c r="I310" s="14"/>
      <c r="J310" s="14"/>
    </row>
    <row r="311" hidden="1">
      <c r="A311" s="6" t="s">
        <v>242</v>
      </c>
      <c r="B311" s="255" t="s">
        <v>670</v>
      </c>
      <c r="C311" s="255" t="s">
        <v>671</v>
      </c>
      <c r="D311" s="255" t="s">
        <v>672</v>
      </c>
      <c r="E311" s="256">
        <v>6.0</v>
      </c>
      <c r="F311" s="257"/>
      <c r="G311" s="39">
        <f t="shared" si="1"/>
        <v>1500</v>
      </c>
      <c r="H311" s="13" t="str">
        <f t="shared" si="2"/>
        <v>6 Signed Rep +  5-Star Review</v>
      </c>
      <c r="I311" s="14"/>
      <c r="J311" s="14"/>
    </row>
    <row r="312" hidden="1">
      <c r="A312" s="6" t="s">
        <v>242</v>
      </c>
      <c r="B312" s="255" t="s">
        <v>673</v>
      </c>
      <c r="C312" s="255" t="s">
        <v>674</v>
      </c>
      <c r="D312" s="255" t="s">
        <v>675</v>
      </c>
      <c r="E312" s="256">
        <v>12.0</v>
      </c>
      <c r="F312" s="256">
        <v>3.0</v>
      </c>
      <c r="G312" s="39">
        <f t="shared" si="1"/>
        <v>3300</v>
      </c>
      <c r="H312" s="13" t="str">
        <f t="shared" si="2"/>
        <v>12 Signed Rep + 3 5-Star Review</v>
      </c>
      <c r="I312" s="14"/>
      <c r="J312" s="14"/>
    </row>
    <row r="313" hidden="1">
      <c r="A313" s="6" t="s">
        <v>242</v>
      </c>
      <c r="B313" s="255" t="s">
        <v>676</v>
      </c>
      <c r="C313" s="255" t="s">
        <v>677</v>
      </c>
      <c r="D313" s="255" t="s">
        <v>678</v>
      </c>
      <c r="E313" s="256">
        <v>9.0</v>
      </c>
      <c r="F313" s="257"/>
      <c r="G313" s="39">
        <f t="shared" si="1"/>
        <v>2250</v>
      </c>
      <c r="H313" s="13" t="str">
        <f t="shared" si="2"/>
        <v>9 Signed Rep +  5-Star Review</v>
      </c>
      <c r="I313" s="14"/>
      <c r="J313" s="14"/>
    </row>
    <row r="314" hidden="1">
      <c r="A314" s="6" t="s">
        <v>242</v>
      </c>
      <c r="B314" s="255" t="s">
        <v>679</v>
      </c>
      <c r="C314" s="255" t="s">
        <v>680</v>
      </c>
      <c r="D314" s="255" t="s">
        <v>782</v>
      </c>
      <c r="E314" s="256">
        <v>7.0</v>
      </c>
      <c r="F314" s="256">
        <v>3.0</v>
      </c>
      <c r="G314" s="39">
        <f t="shared" si="1"/>
        <v>2050</v>
      </c>
      <c r="H314" s="13" t="str">
        <f t="shared" si="2"/>
        <v>7 Signed Rep + 3 5-Star Review</v>
      </c>
      <c r="I314" s="14"/>
      <c r="J314" s="14"/>
    </row>
    <row r="315" hidden="1">
      <c r="A315" s="6" t="s">
        <v>242</v>
      </c>
      <c r="B315" s="255" t="s">
        <v>682</v>
      </c>
      <c r="C315" s="255" t="s">
        <v>683</v>
      </c>
      <c r="D315" s="255" t="s">
        <v>684</v>
      </c>
      <c r="E315" s="256">
        <v>7.0</v>
      </c>
      <c r="F315" s="257"/>
      <c r="G315" s="39">
        <f t="shared" si="1"/>
        <v>1750</v>
      </c>
      <c r="H315" s="13" t="str">
        <f t="shared" si="2"/>
        <v>7 Signed Rep +  5-Star Review</v>
      </c>
      <c r="I315" s="14"/>
      <c r="J315" s="14"/>
    </row>
    <row r="316" hidden="1">
      <c r="A316" s="6" t="s">
        <v>242</v>
      </c>
      <c r="B316" s="255" t="s">
        <v>685</v>
      </c>
      <c r="C316" s="255" t="s">
        <v>686</v>
      </c>
      <c r="D316" s="255" t="s">
        <v>687</v>
      </c>
      <c r="E316" s="256">
        <v>9.0</v>
      </c>
      <c r="F316" s="257"/>
      <c r="G316" s="39">
        <f t="shared" si="1"/>
        <v>2250</v>
      </c>
      <c r="H316" s="13" t="str">
        <f t="shared" si="2"/>
        <v>9 Signed Rep +  5-Star Review</v>
      </c>
      <c r="I316" s="14"/>
      <c r="J316" s="14"/>
    </row>
    <row r="317" hidden="1">
      <c r="A317" s="6" t="s">
        <v>242</v>
      </c>
      <c r="B317" s="255" t="s">
        <v>688</v>
      </c>
      <c r="C317" s="255" t="s">
        <v>689</v>
      </c>
      <c r="D317" s="255" t="s">
        <v>690</v>
      </c>
      <c r="E317" s="256">
        <v>15.0</v>
      </c>
      <c r="F317" s="257"/>
      <c r="G317" s="39">
        <f t="shared" si="1"/>
        <v>3750</v>
      </c>
      <c r="H317" s="13" t="str">
        <f t="shared" si="2"/>
        <v>15 Signed Rep +  5-Star Review</v>
      </c>
      <c r="I317" s="14"/>
      <c r="J317" s="14"/>
    </row>
    <row r="318" hidden="1">
      <c r="A318" s="6" t="s">
        <v>242</v>
      </c>
      <c r="B318" s="255" t="s">
        <v>691</v>
      </c>
      <c r="C318" s="255" t="s">
        <v>692</v>
      </c>
      <c r="D318" s="255" t="s">
        <v>693</v>
      </c>
      <c r="E318" s="256">
        <v>3.0</v>
      </c>
      <c r="F318" s="257"/>
      <c r="G318" s="39">
        <f t="shared" si="1"/>
        <v>750</v>
      </c>
      <c r="H318" s="13" t="str">
        <f t="shared" si="2"/>
        <v>3 Signed Rep +  5-Star Review</v>
      </c>
      <c r="I318" s="14"/>
      <c r="J318" s="14"/>
    </row>
    <row r="319" hidden="1">
      <c r="A319" s="6" t="s">
        <v>242</v>
      </c>
      <c r="B319" s="255" t="s">
        <v>694</v>
      </c>
      <c r="C319" s="255" t="s">
        <v>695</v>
      </c>
      <c r="D319" s="255" t="s">
        <v>696</v>
      </c>
      <c r="E319" s="256">
        <v>10.0</v>
      </c>
      <c r="F319" s="257"/>
      <c r="G319" s="39">
        <f t="shared" si="1"/>
        <v>2500</v>
      </c>
      <c r="H319" s="13" t="str">
        <f t="shared" si="2"/>
        <v>10 Signed Rep +  5-Star Review</v>
      </c>
      <c r="I319" s="14"/>
      <c r="J319" s="14"/>
    </row>
    <row r="320" hidden="1">
      <c r="A320" s="6" t="s">
        <v>242</v>
      </c>
      <c r="B320" s="255" t="s">
        <v>697</v>
      </c>
      <c r="C320" s="255" t="s">
        <v>698</v>
      </c>
      <c r="D320" s="255" t="s">
        <v>699</v>
      </c>
      <c r="E320" s="256">
        <v>12.0</v>
      </c>
      <c r="F320" s="256">
        <v>5.0</v>
      </c>
      <c r="G320" s="39">
        <f t="shared" si="1"/>
        <v>3500</v>
      </c>
      <c r="H320" s="13" t="str">
        <f t="shared" si="2"/>
        <v>12 Signed Rep + 5 5-Star Review</v>
      </c>
      <c r="I320" s="14"/>
      <c r="J320" s="14"/>
    </row>
    <row r="321" hidden="1">
      <c r="A321" s="6" t="s">
        <v>242</v>
      </c>
      <c r="B321" s="255" t="s">
        <v>700</v>
      </c>
      <c r="C321" s="255" t="s">
        <v>701</v>
      </c>
      <c r="D321" s="255" t="s">
        <v>702</v>
      </c>
      <c r="E321" s="256">
        <v>9.0</v>
      </c>
      <c r="F321" s="257"/>
      <c r="G321" s="39">
        <f t="shared" si="1"/>
        <v>2250</v>
      </c>
      <c r="H321" s="13" t="str">
        <f t="shared" si="2"/>
        <v>9 Signed Rep +  5-Star Review</v>
      </c>
      <c r="I321" s="14"/>
      <c r="J321" s="14"/>
    </row>
    <row r="322" hidden="1">
      <c r="A322" s="6" t="s">
        <v>242</v>
      </c>
      <c r="B322" s="255" t="s">
        <v>703</v>
      </c>
      <c r="C322" s="255" t="s">
        <v>704</v>
      </c>
      <c r="D322" s="255" t="s">
        <v>705</v>
      </c>
      <c r="E322" s="256">
        <v>8.0</v>
      </c>
      <c r="F322" s="256">
        <v>2.0</v>
      </c>
      <c r="G322" s="39">
        <f t="shared" si="1"/>
        <v>2200</v>
      </c>
      <c r="H322" s="13" t="str">
        <f t="shared" si="2"/>
        <v>8 Signed Rep + 2 5-Star Review</v>
      </c>
      <c r="I322" s="14"/>
      <c r="J322" s="14"/>
    </row>
    <row r="323" hidden="1">
      <c r="A323" s="6" t="s">
        <v>242</v>
      </c>
      <c r="B323" s="255" t="s">
        <v>706</v>
      </c>
      <c r="C323" s="255" t="s">
        <v>707</v>
      </c>
      <c r="D323" s="255" t="s">
        <v>708</v>
      </c>
      <c r="E323" s="256">
        <v>6.0</v>
      </c>
      <c r="F323" s="256">
        <v>1.0</v>
      </c>
      <c r="G323" s="39">
        <f t="shared" si="1"/>
        <v>1600</v>
      </c>
      <c r="H323" s="13" t="str">
        <f t="shared" si="2"/>
        <v>6 Signed Rep + 1 5-Star Review</v>
      </c>
      <c r="I323" s="14"/>
      <c r="J323" s="14"/>
    </row>
    <row r="324" hidden="1">
      <c r="A324" s="6" t="s">
        <v>242</v>
      </c>
      <c r="B324" s="255" t="s">
        <v>709</v>
      </c>
      <c r="C324" s="255" t="s">
        <v>710</v>
      </c>
      <c r="D324" s="255" t="s">
        <v>711</v>
      </c>
      <c r="E324" s="256">
        <v>7.0</v>
      </c>
      <c r="F324" s="257"/>
      <c r="G324" s="39">
        <f t="shared" si="1"/>
        <v>1750</v>
      </c>
      <c r="H324" s="13" t="str">
        <f t="shared" si="2"/>
        <v>7 Signed Rep +  5-Star Review</v>
      </c>
      <c r="I324" s="14"/>
      <c r="J324" s="14"/>
    </row>
    <row r="325" hidden="1">
      <c r="A325" s="6" t="s">
        <v>242</v>
      </c>
      <c r="B325" s="255" t="s">
        <v>712</v>
      </c>
      <c r="C325" s="255" t="s">
        <v>713</v>
      </c>
      <c r="D325" s="255" t="s">
        <v>714</v>
      </c>
      <c r="E325" s="256">
        <v>6.0</v>
      </c>
      <c r="F325" s="257"/>
      <c r="G325" s="39">
        <f t="shared" si="1"/>
        <v>1500</v>
      </c>
      <c r="H325" s="13" t="str">
        <f t="shared" si="2"/>
        <v>6 Signed Rep +  5-Star Review</v>
      </c>
      <c r="I325" s="14"/>
      <c r="J325" s="14"/>
    </row>
    <row r="326" hidden="1">
      <c r="A326" s="6" t="s">
        <v>242</v>
      </c>
      <c r="B326" s="255" t="s">
        <v>715</v>
      </c>
      <c r="C326" s="255" t="s">
        <v>716</v>
      </c>
      <c r="D326" s="255" t="s">
        <v>717</v>
      </c>
      <c r="E326" s="256">
        <v>7.0</v>
      </c>
      <c r="F326" s="257"/>
      <c r="G326" s="39">
        <f t="shared" si="1"/>
        <v>1750</v>
      </c>
      <c r="H326" s="13" t="str">
        <f t="shared" si="2"/>
        <v>7 Signed Rep +  5-Star Review</v>
      </c>
      <c r="I326" s="14"/>
      <c r="J326" s="14"/>
    </row>
    <row r="327" hidden="1">
      <c r="A327" s="6" t="s">
        <v>242</v>
      </c>
      <c r="B327" s="255" t="s">
        <v>718</v>
      </c>
      <c r="C327" s="255" t="s">
        <v>719</v>
      </c>
      <c r="D327" s="255" t="s">
        <v>720</v>
      </c>
      <c r="E327" s="256">
        <v>7.0</v>
      </c>
      <c r="F327" s="257"/>
      <c r="G327" s="39">
        <f t="shared" si="1"/>
        <v>1750</v>
      </c>
      <c r="H327" s="13" t="str">
        <f t="shared" si="2"/>
        <v>7 Signed Rep +  5-Star Review</v>
      </c>
      <c r="I327" s="14"/>
      <c r="J327" s="14"/>
    </row>
    <row r="328" hidden="1">
      <c r="A328" s="6" t="s">
        <v>242</v>
      </c>
      <c r="B328" s="255" t="s">
        <v>721</v>
      </c>
      <c r="C328" s="255" t="s">
        <v>722</v>
      </c>
      <c r="D328" s="255" t="s">
        <v>723</v>
      </c>
      <c r="E328" s="256">
        <v>8.0</v>
      </c>
      <c r="F328" s="256">
        <v>2.0</v>
      </c>
      <c r="G328" s="39">
        <f t="shared" si="1"/>
        <v>2200</v>
      </c>
      <c r="H328" s="13" t="str">
        <f t="shared" si="2"/>
        <v>8 Signed Rep + 2 5-Star Review</v>
      </c>
      <c r="I328" s="14"/>
      <c r="J328" s="14"/>
    </row>
    <row r="329" hidden="1">
      <c r="A329" s="6" t="s">
        <v>242</v>
      </c>
      <c r="B329" s="257" t="s">
        <v>724</v>
      </c>
      <c r="C329" s="255" t="s">
        <v>725</v>
      </c>
      <c r="D329" s="255" t="s">
        <v>726</v>
      </c>
      <c r="E329" s="256">
        <v>4.0</v>
      </c>
      <c r="F329" s="257"/>
      <c r="G329" s="39">
        <f t="shared" si="1"/>
        <v>1000</v>
      </c>
      <c r="H329" s="13" t="str">
        <f t="shared" si="2"/>
        <v>4 Signed Rep +  5-Star Review</v>
      </c>
      <c r="I329" s="14"/>
      <c r="J329" s="14"/>
    </row>
    <row r="330" hidden="1">
      <c r="A330" s="6" t="s">
        <v>242</v>
      </c>
      <c r="B330" s="255" t="s">
        <v>727</v>
      </c>
      <c r="C330" s="255" t="s">
        <v>728</v>
      </c>
      <c r="D330" s="255" t="s">
        <v>729</v>
      </c>
      <c r="E330" s="256">
        <v>8.0</v>
      </c>
      <c r="F330" s="257"/>
      <c r="G330" s="39">
        <f t="shared" si="1"/>
        <v>2000</v>
      </c>
      <c r="H330" s="13" t="str">
        <f t="shared" si="2"/>
        <v>8 Signed Rep +  5-Star Review</v>
      </c>
      <c r="I330" s="14"/>
      <c r="J330" s="14"/>
    </row>
    <row r="331" hidden="1">
      <c r="A331" s="6" t="s">
        <v>242</v>
      </c>
      <c r="B331" s="255" t="s">
        <v>730</v>
      </c>
      <c r="C331" s="255" t="s">
        <v>731</v>
      </c>
      <c r="D331" s="255" t="s">
        <v>732</v>
      </c>
      <c r="E331" s="256">
        <v>11.0</v>
      </c>
      <c r="F331" s="257"/>
      <c r="G331" s="39">
        <f t="shared" si="1"/>
        <v>2750</v>
      </c>
      <c r="H331" s="13" t="str">
        <f t="shared" si="2"/>
        <v>11 Signed Rep +  5-Star Review</v>
      </c>
      <c r="I331" s="14"/>
      <c r="J331" s="14"/>
    </row>
    <row r="332" hidden="1">
      <c r="A332" s="6" t="s">
        <v>242</v>
      </c>
      <c r="B332" s="255" t="s">
        <v>733</v>
      </c>
      <c r="C332" s="255" t="s">
        <v>734</v>
      </c>
      <c r="D332" s="255" t="s">
        <v>735</v>
      </c>
      <c r="E332" s="256">
        <v>13.0</v>
      </c>
      <c r="F332" s="257"/>
      <c r="G332" s="39">
        <f t="shared" si="1"/>
        <v>3250</v>
      </c>
      <c r="H332" s="13" t="str">
        <f t="shared" si="2"/>
        <v>13 Signed Rep +  5-Star Review</v>
      </c>
      <c r="I332" s="14"/>
      <c r="J332" s="14"/>
    </row>
    <row r="333" hidden="1">
      <c r="A333" s="6" t="s">
        <v>242</v>
      </c>
      <c r="B333" s="255" t="s">
        <v>736</v>
      </c>
      <c r="C333" s="255" t="s">
        <v>737</v>
      </c>
      <c r="D333" s="255" t="s">
        <v>738</v>
      </c>
      <c r="E333" s="256">
        <v>11.0</v>
      </c>
      <c r="F333" s="256">
        <v>1.0</v>
      </c>
      <c r="G333" s="39">
        <f t="shared" si="1"/>
        <v>2850</v>
      </c>
      <c r="H333" s="13" t="str">
        <f t="shared" si="2"/>
        <v>11 Signed Rep + 1 5-Star Review</v>
      </c>
      <c r="I333" s="14"/>
      <c r="J333" s="14"/>
    </row>
    <row r="334" hidden="1">
      <c r="A334" s="6" t="s">
        <v>242</v>
      </c>
      <c r="B334" s="255" t="s">
        <v>739</v>
      </c>
      <c r="C334" s="255" t="s">
        <v>740</v>
      </c>
      <c r="D334" s="255" t="s">
        <v>741</v>
      </c>
      <c r="E334" s="256">
        <v>11.0</v>
      </c>
      <c r="F334" s="257"/>
      <c r="G334" s="39">
        <f t="shared" si="1"/>
        <v>2750</v>
      </c>
      <c r="H334" s="13" t="str">
        <f t="shared" si="2"/>
        <v>11 Signed Rep +  5-Star Review</v>
      </c>
      <c r="I334" s="14"/>
      <c r="J334" s="14"/>
    </row>
    <row r="335" hidden="1">
      <c r="A335" s="6" t="s">
        <v>242</v>
      </c>
      <c r="B335" s="255" t="s">
        <v>742</v>
      </c>
      <c r="C335" s="255" t="s">
        <v>743</v>
      </c>
      <c r="D335" s="255" t="s">
        <v>744</v>
      </c>
      <c r="E335" s="256">
        <v>5.0</v>
      </c>
      <c r="F335" s="257"/>
      <c r="G335" s="39">
        <f t="shared" si="1"/>
        <v>1250</v>
      </c>
      <c r="H335" s="13" t="str">
        <f t="shared" si="2"/>
        <v>5 Signed Rep +  5-Star Review</v>
      </c>
      <c r="I335" s="14"/>
      <c r="J335" s="14"/>
    </row>
    <row r="336" hidden="1">
      <c r="A336" s="6" t="s">
        <v>242</v>
      </c>
      <c r="B336" s="254" t="s">
        <v>745</v>
      </c>
      <c r="C336" s="255" t="s">
        <v>746</v>
      </c>
      <c r="D336" s="255" t="s">
        <v>747</v>
      </c>
      <c r="E336" s="256">
        <v>6.0</v>
      </c>
      <c r="F336" s="257"/>
      <c r="G336" s="39">
        <f t="shared" si="1"/>
        <v>1500</v>
      </c>
      <c r="H336" s="13" t="str">
        <f t="shared" si="2"/>
        <v>6 Signed Rep +  5-Star Review</v>
      </c>
      <c r="I336" s="14"/>
      <c r="J336" s="14"/>
    </row>
    <row r="337" hidden="1">
      <c r="A337" s="6" t="s">
        <v>242</v>
      </c>
      <c r="B337" s="255" t="s">
        <v>748</v>
      </c>
      <c r="C337" s="255" t="s">
        <v>749</v>
      </c>
      <c r="D337" s="255" t="s">
        <v>750</v>
      </c>
      <c r="E337" s="256">
        <v>6.0</v>
      </c>
      <c r="F337" s="257"/>
      <c r="G337" s="39">
        <f t="shared" si="1"/>
        <v>1500</v>
      </c>
      <c r="H337" s="13" t="str">
        <f t="shared" si="2"/>
        <v>6 Signed Rep +  5-Star Review</v>
      </c>
      <c r="I337" s="14"/>
      <c r="J337" s="14"/>
    </row>
    <row r="338" hidden="1">
      <c r="A338" s="6" t="s">
        <v>242</v>
      </c>
      <c r="B338" s="255" t="s">
        <v>751</v>
      </c>
      <c r="C338" s="255" t="s">
        <v>752</v>
      </c>
      <c r="D338" s="255" t="s">
        <v>753</v>
      </c>
      <c r="E338" s="256">
        <v>7.0</v>
      </c>
      <c r="F338" s="256">
        <v>0.0</v>
      </c>
      <c r="G338" s="39">
        <f t="shared" si="1"/>
        <v>1750</v>
      </c>
      <c r="H338" s="13" t="str">
        <f t="shared" si="2"/>
        <v>7 Signed Rep + 0 5-Star Review</v>
      </c>
      <c r="I338" s="14"/>
      <c r="J338" s="14"/>
    </row>
    <row r="339" hidden="1">
      <c r="A339" s="6" t="s">
        <v>242</v>
      </c>
      <c r="B339" s="255" t="s">
        <v>754</v>
      </c>
      <c r="C339" s="255" t="s">
        <v>755</v>
      </c>
      <c r="D339" s="255" t="s">
        <v>756</v>
      </c>
      <c r="E339" s="256">
        <v>8.0</v>
      </c>
      <c r="F339" s="256">
        <v>4.0</v>
      </c>
      <c r="G339" s="39">
        <f t="shared" si="1"/>
        <v>2400</v>
      </c>
      <c r="H339" s="13" t="str">
        <f t="shared" si="2"/>
        <v>8 Signed Rep + 4 5-Star Review</v>
      </c>
      <c r="I339" s="14"/>
      <c r="J339" s="14"/>
    </row>
    <row r="340" hidden="1">
      <c r="A340" s="6" t="s">
        <v>242</v>
      </c>
      <c r="B340" s="254" t="s">
        <v>757</v>
      </c>
      <c r="C340" s="255" t="s">
        <v>758</v>
      </c>
      <c r="D340" s="255" t="s">
        <v>759</v>
      </c>
      <c r="E340" s="256">
        <v>22.0</v>
      </c>
      <c r="F340" s="257"/>
      <c r="G340" s="39">
        <f t="shared" si="1"/>
        <v>5500</v>
      </c>
      <c r="H340" s="13" t="str">
        <f t="shared" si="2"/>
        <v>22 Signed Rep +  5-Star Review</v>
      </c>
      <c r="I340" s="23"/>
      <c r="J340" s="23"/>
    </row>
    <row r="341" hidden="1">
      <c r="A341" s="6" t="s">
        <v>242</v>
      </c>
      <c r="B341" s="255" t="s">
        <v>219</v>
      </c>
      <c r="C341" s="255" t="s">
        <v>220</v>
      </c>
      <c r="D341" s="255" t="s">
        <v>760</v>
      </c>
      <c r="E341" s="256">
        <v>6.0</v>
      </c>
      <c r="F341" s="257"/>
      <c r="G341" s="39">
        <f t="shared" si="1"/>
        <v>1500</v>
      </c>
      <c r="H341" s="13" t="str">
        <f t="shared" si="2"/>
        <v>6 Signed Rep +  5-Star Review</v>
      </c>
      <c r="I341" s="14"/>
      <c r="J341" s="14"/>
    </row>
    <row r="342" hidden="1">
      <c r="A342" s="6" t="s">
        <v>13</v>
      </c>
      <c r="B342" s="254" t="s">
        <v>770</v>
      </c>
      <c r="C342" s="254" t="s">
        <v>771</v>
      </c>
      <c r="D342" s="254" t="s">
        <v>772</v>
      </c>
      <c r="E342" s="256">
        <v>2.0</v>
      </c>
      <c r="F342" s="256">
        <v>0.0</v>
      </c>
      <c r="G342" s="39">
        <f t="shared" si="1"/>
        <v>500</v>
      </c>
      <c r="H342" s="13" t="str">
        <f t="shared" si="2"/>
        <v>2 Signed Rep + 0 5-Star Review</v>
      </c>
      <c r="I342" s="14"/>
      <c r="J342" s="14"/>
    </row>
    <row r="343" hidden="1">
      <c r="A343" s="6" t="s">
        <v>13</v>
      </c>
      <c r="B343" s="254" t="s">
        <v>258</v>
      </c>
      <c r="C343" s="254" t="s">
        <v>773</v>
      </c>
      <c r="D343" s="254" t="s">
        <v>774</v>
      </c>
      <c r="E343" s="256">
        <v>4.0</v>
      </c>
      <c r="F343" s="256">
        <v>5.0</v>
      </c>
      <c r="G343" s="39">
        <f t="shared" si="1"/>
        <v>1500</v>
      </c>
      <c r="H343" s="13" t="str">
        <f t="shared" si="2"/>
        <v>4 Signed Rep + 5 5-Star Review</v>
      </c>
      <c r="I343" s="14"/>
      <c r="J343" s="14"/>
    </row>
    <row r="344" hidden="1">
      <c r="A344" s="6" t="s">
        <v>13</v>
      </c>
      <c r="B344" s="254" t="s">
        <v>775</v>
      </c>
      <c r="C344" s="254" t="s">
        <v>776</v>
      </c>
      <c r="D344" s="254" t="s">
        <v>777</v>
      </c>
      <c r="E344" s="256">
        <v>5.0</v>
      </c>
      <c r="F344" s="256">
        <v>0.0</v>
      </c>
      <c r="G344" s="39">
        <f t="shared" si="1"/>
        <v>1250</v>
      </c>
      <c r="H344" s="13" t="str">
        <f t="shared" si="2"/>
        <v>5 Signed Rep + 0 5-Star Review</v>
      </c>
      <c r="I344" s="14"/>
      <c r="J344" s="14"/>
    </row>
    <row r="345" hidden="1">
      <c r="A345" s="6" t="s">
        <v>13</v>
      </c>
      <c r="B345" s="255" t="s">
        <v>615</v>
      </c>
      <c r="C345" s="255" t="s">
        <v>616</v>
      </c>
      <c r="D345" s="255" t="s">
        <v>617</v>
      </c>
      <c r="E345" s="256">
        <v>8.0</v>
      </c>
      <c r="F345" s="256">
        <v>0.0</v>
      </c>
      <c r="G345" s="39">
        <f t="shared" si="1"/>
        <v>2000</v>
      </c>
      <c r="H345" s="13" t="str">
        <f t="shared" si="2"/>
        <v>8 Signed Rep + 0 5-Star Review</v>
      </c>
      <c r="I345" s="14"/>
      <c r="J345" s="14"/>
    </row>
    <row r="346" hidden="1">
      <c r="A346" s="6" t="s">
        <v>13</v>
      </c>
      <c r="B346" s="255" t="s">
        <v>618</v>
      </c>
      <c r="C346" s="255" t="s">
        <v>619</v>
      </c>
      <c r="D346" s="255" t="s">
        <v>620</v>
      </c>
      <c r="E346" s="256">
        <v>0.0</v>
      </c>
      <c r="F346" s="256">
        <v>0.0</v>
      </c>
      <c r="G346" s="39">
        <f t="shared" si="1"/>
        <v>0</v>
      </c>
      <c r="H346" s="13" t="str">
        <f t="shared" si="2"/>
        <v>0 Signed Rep + 0 5-Star Review</v>
      </c>
      <c r="I346" s="14"/>
      <c r="J346" s="14"/>
    </row>
    <row r="347" hidden="1">
      <c r="A347" s="6" t="s">
        <v>13</v>
      </c>
      <c r="B347" s="255" t="s">
        <v>624</v>
      </c>
      <c r="C347" s="255" t="s">
        <v>625</v>
      </c>
      <c r="D347" s="255" t="s">
        <v>626</v>
      </c>
      <c r="E347" s="256">
        <v>9.0</v>
      </c>
      <c r="F347" s="256">
        <v>0.0</v>
      </c>
      <c r="G347" s="39">
        <f t="shared" si="1"/>
        <v>2250</v>
      </c>
      <c r="H347" s="13" t="str">
        <f t="shared" si="2"/>
        <v>9 Signed Rep + 0 5-Star Review</v>
      </c>
      <c r="I347" s="14"/>
      <c r="J347" s="14"/>
    </row>
    <row r="348" hidden="1">
      <c r="A348" s="6" t="s">
        <v>13</v>
      </c>
      <c r="B348" s="255" t="s">
        <v>627</v>
      </c>
      <c r="C348" s="255" t="s">
        <v>628</v>
      </c>
      <c r="D348" s="255" t="s">
        <v>629</v>
      </c>
      <c r="E348" s="256">
        <v>5.0</v>
      </c>
      <c r="F348" s="256">
        <v>0.0</v>
      </c>
      <c r="G348" s="39">
        <f t="shared" si="1"/>
        <v>1250</v>
      </c>
      <c r="H348" s="13" t="str">
        <f t="shared" si="2"/>
        <v>5 Signed Rep + 0 5-Star Review</v>
      </c>
      <c r="I348" s="14"/>
      <c r="J348" s="14"/>
    </row>
    <row r="349" hidden="1">
      <c r="A349" s="6" t="s">
        <v>13</v>
      </c>
      <c r="B349" s="255" t="s">
        <v>630</v>
      </c>
      <c r="C349" s="255" t="s">
        <v>631</v>
      </c>
      <c r="D349" s="255" t="s">
        <v>632</v>
      </c>
      <c r="E349" s="256">
        <v>2.0</v>
      </c>
      <c r="F349" s="256">
        <v>3.0</v>
      </c>
      <c r="G349" s="39">
        <f t="shared" si="1"/>
        <v>800</v>
      </c>
      <c r="H349" s="13" t="str">
        <f t="shared" si="2"/>
        <v>2 Signed Rep + 3 5-Star Review</v>
      </c>
      <c r="I349" s="14"/>
      <c r="J349" s="14"/>
    </row>
    <row r="350" hidden="1">
      <c r="A350" s="6" t="s">
        <v>13</v>
      </c>
      <c r="B350" s="255" t="s">
        <v>639</v>
      </c>
      <c r="C350" s="255" t="s">
        <v>640</v>
      </c>
      <c r="D350" s="255" t="s">
        <v>641</v>
      </c>
      <c r="E350" s="256">
        <v>4.0</v>
      </c>
      <c r="F350" s="256">
        <v>0.0</v>
      </c>
      <c r="G350" s="39">
        <f t="shared" si="1"/>
        <v>1000</v>
      </c>
      <c r="H350" s="13" t="str">
        <f t="shared" si="2"/>
        <v>4 Signed Rep + 0 5-Star Review</v>
      </c>
      <c r="I350" s="14"/>
      <c r="J350" s="14"/>
    </row>
    <row r="351" hidden="1">
      <c r="A351" s="6" t="s">
        <v>13</v>
      </c>
      <c r="B351" s="255" t="s">
        <v>642</v>
      </c>
      <c r="C351" s="255" t="s">
        <v>643</v>
      </c>
      <c r="D351" s="255" t="s">
        <v>644</v>
      </c>
      <c r="E351" s="256">
        <v>7.0</v>
      </c>
      <c r="F351" s="256">
        <v>0.0</v>
      </c>
      <c r="G351" s="39">
        <f t="shared" si="1"/>
        <v>1750</v>
      </c>
      <c r="H351" s="13" t="str">
        <f t="shared" si="2"/>
        <v>7 Signed Rep + 0 5-Star Review</v>
      </c>
      <c r="I351" s="14"/>
      <c r="J351" s="14"/>
    </row>
    <row r="352" hidden="1">
      <c r="A352" s="6" t="s">
        <v>13</v>
      </c>
      <c r="B352" s="255" t="s">
        <v>645</v>
      </c>
      <c r="C352" s="255" t="s">
        <v>646</v>
      </c>
      <c r="D352" s="255" t="s">
        <v>647</v>
      </c>
      <c r="E352" s="256">
        <v>6.0</v>
      </c>
      <c r="F352" s="256">
        <v>1.0</v>
      </c>
      <c r="G352" s="39">
        <f t="shared" si="1"/>
        <v>1600</v>
      </c>
      <c r="H352" s="13" t="str">
        <f t="shared" si="2"/>
        <v>6 Signed Rep + 1 5-Star Review</v>
      </c>
      <c r="I352" s="14"/>
      <c r="J352" s="14"/>
    </row>
    <row r="353" hidden="1">
      <c r="A353" s="6" t="s">
        <v>13</v>
      </c>
      <c r="B353" s="255" t="s">
        <v>648</v>
      </c>
      <c r="C353" s="255" t="s">
        <v>649</v>
      </c>
      <c r="D353" s="255" t="s">
        <v>650</v>
      </c>
      <c r="E353" s="256">
        <v>9.0</v>
      </c>
      <c r="F353" s="256">
        <v>0.0</v>
      </c>
      <c r="G353" s="39">
        <f t="shared" si="1"/>
        <v>2250</v>
      </c>
      <c r="H353" s="13" t="str">
        <f t="shared" si="2"/>
        <v>9 Signed Rep + 0 5-Star Review</v>
      </c>
      <c r="I353" s="14"/>
      <c r="J353" s="14"/>
    </row>
    <row r="354" hidden="1">
      <c r="A354" s="6" t="s">
        <v>13</v>
      </c>
      <c r="B354" s="255" t="s">
        <v>651</v>
      </c>
      <c r="C354" s="255" t="s">
        <v>652</v>
      </c>
      <c r="D354" s="255" t="s">
        <v>653</v>
      </c>
      <c r="E354" s="256">
        <v>4.0</v>
      </c>
      <c r="F354" s="256">
        <v>0.0</v>
      </c>
      <c r="G354" s="39">
        <f t="shared" si="1"/>
        <v>1000</v>
      </c>
      <c r="H354" s="13" t="str">
        <f t="shared" si="2"/>
        <v>4 Signed Rep + 0 5-Star Review</v>
      </c>
      <c r="I354" s="14"/>
      <c r="J354" s="14"/>
    </row>
    <row r="355" hidden="1">
      <c r="A355" s="6" t="s">
        <v>13</v>
      </c>
      <c r="B355" s="255" t="s">
        <v>654</v>
      </c>
      <c r="C355" s="255" t="s">
        <v>655</v>
      </c>
      <c r="D355" s="255" t="s">
        <v>656</v>
      </c>
      <c r="E355" s="256">
        <v>2.0</v>
      </c>
      <c r="F355" s="256">
        <v>0.0</v>
      </c>
      <c r="G355" s="39">
        <f t="shared" si="1"/>
        <v>500</v>
      </c>
      <c r="H355" s="13" t="str">
        <f t="shared" si="2"/>
        <v>2 Signed Rep + 0 5-Star Review</v>
      </c>
      <c r="I355" s="14"/>
      <c r="J355" s="14"/>
    </row>
    <row r="356" hidden="1">
      <c r="A356" s="6" t="s">
        <v>13</v>
      </c>
      <c r="B356" s="255" t="s">
        <v>657</v>
      </c>
      <c r="C356" s="255" t="s">
        <v>658</v>
      </c>
      <c r="D356" s="255" t="s">
        <v>659</v>
      </c>
      <c r="E356" s="256">
        <v>13.0</v>
      </c>
      <c r="F356" s="256">
        <v>0.0</v>
      </c>
      <c r="G356" s="39">
        <f t="shared" si="1"/>
        <v>3250</v>
      </c>
      <c r="H356" s="13" t="str">
        <f t="shared" si="2"/>
        <v>13 Signed Rep + 0 5-Star Review</v>
      </c>
      <c r="I356" s="14"/>
      <c r="J356" s="14"/>
    </row>
    <row r="357" hidden="1">
      <c r="A357" s="6" t="s">
        <v>13</v>
      </c>
      <c r="B357" s="255" t="s">
        <v>213</v>
      </c>
      <c r="C357" s="255" t="s">
        <v>214</v>
      </c>
      <c r="D357" s="255" t="s">
        <v>660</v>
      </c>
      <c r="E357" s="256">
        <v>3.0</v>
      </c>
      <c r="F357" s="256">
        <v>0.0</v>
      </c>
      <c r="G357" s="39">
        <f t="shared" si="1"/>
        <v>750</v>
      </c>
      <c r="H357" s="13" t="str">
        <f t="shared" si="2"/>
        <v>3 Signed Rep + 0 5-Star Review</v>
      </c>
      <c r="I357" s="14"/>
      <c r="J357" s="14"/>
    </row>
    <row r="358" hidden="1">
      <c r="A358" s="6" t="s">
        <v>13</v>
      </c>
      <c r="B358" s="255" t="s">
        <v>661</v>
      </c>
      <c r="C358" s="255" t="s">
        <v>662</v>
      </c>
      <c r="D358" s="255" t="s">
        <v>663</v>
      </c>
      <c r="E358" s="256">
        <v>22.0</v>
      </c>
      <c r="F358" s="256">
        <v>0.0</v>
      </c>
      <c r="G358" s="39">
        <f t="shared" si="1"/>
        <v>5500</v>
      </c>
      <c r="H358" s="13" t="str">
        <f t="shared" si="2"/>
        <v>22 Signed Rep + 0 5-Star Review</v>
      </c>
      <c r="I358" s="14"/>
      <c r="J358" s="14"/>
    </row>
    <row r="359" hidden="1">
      <c r="A359" s="6" t="s">
        <v>13</v>
      </c>
      <c r="B359" s="255" t="s">
        <v>664</v>
      </c>
      <c r="C359" s="255" t="s">
        <v>665</v>
      </c>
      <c r="D359" s="255" t="s">
        <v>666</v>
      </c>
      <c r="E359" s="256">
        <v>25.0</v>
      </c>
      <c r="F359" s="256">
        <v>0.0</v>
      </c>
      <c r="G359" s="39">
        <f t="shared" si="1"/>
        <v>6250</v>
      </c>
      <c r="H359" s="13" t="str">
        <f t="shared" si="2"/>
        <v>25 Signed Rep + 0 5-Star Review</v>
      </c>
      <c r="I359" s="14"/>
      <c r="J359" s="14"/>
    </row>
    <row r="360" hidden="1">
      <c r="A360" s="6" t="s">
        <v>13</v>
      </c>
      <c r="B360" s="255" t="s">
        <v>667</v>
      </c>
      <c r="C360" s="255" t="s">
        <v>668</v>
      </c>
      <c r="D360" s="255" t="s">
        <v>669</v>
      </c>
      <c r="E360" s="256">
        <v>14.0</v>
      </c>
      <c r="F360" s="256">
        <v>1.0</v>
      </c>
      <c r="G360" s="39">
        <f t="shared" si="1"/>
        <v>3600</v>
      </c>
      <c r="H360" s="13" t="str">
        <f t="shared" si="2"/>
        <v>14 Signed Rep + 1 5-Star Review</v>
      </c>
      <c r="I360" s="14"/>
      <c r="J360" s="14"/>
    </row>
    <row r="361" hidden="1">
      <c r="A361" s="6" t="s">
        <v>13</v>
      </c>
      <c r="B361" s="255" t="s">
        <v>670</v>
      </c>
      <c r="C361" s="255" t="s">
        <v>671</v>
      </c>
      <c r="D361" s="255" t="s">
        <v>672</v>
      </c>
      <c r="E361" s="256">
        <v>7.0</v>
      </c>
      <c r="F361" s="256">
        <v>0.0</v>
      </c>
      <c r="G361" s="39">
        <f t="shared" si="1"/>
        <v>1750</v>
      </c>
      <c r="H361" s="13" t="str">
        <f t="shared" si="2"/>
        <v>7 Signed Rep + 0 5-Star Review</v>
      </c>
      <c r="I361" s="14"/>
      <c r="J361" s="14"/>
    </row>
    <row r="362" hidden="1">
      <c r="A362" s="6" t="s">
        <v>13</v>
      </c>
      <c r="B362" s="255" t="s">
        <v>673</v>
      </c>
      <c r="C362" s="255" t="s">
        <v>674</v>
      </c>
      <c r="D362" s="255" t="s">
        <v>675</v>
      </c>
      <c r="E362" s="256">
        <v>18.0</v>
      </c>
      <c r="F362" s="256">
        <v>3.0</v>
      </c>
      <c r="G362" s="39">
        <f t="shared" si="1"/>
        <v>4800</v>
      </c>
      <c r="H362" s="13" t="str">
        <f t="shared" si="2"/>
        <v>18 Signed Rep + 3 5-Star Review</v>
      </c>
      <c r="I362" s="14"/>
      <c r="J362" s="14"/>
    </row>
    <row r="363" hidden="1">
      <c r="A363" s="6" t="s">
        <v>13</v>
      </c>
      <c r="B363" s="255" t="s">
        <v>676</v>
      </c>
      <c r="C363" s="255" t="s">
        <v>677</v>
      </c>
      <c r="D363" s="255" t="s">
        <v>678</v>
      </c>
      <c r="E363" s="256">
        <v>8.0</v>
      </c>
      <c r="F363" s="256">
        <v>0.0</v>
      </c>
      <c r="G363" s="39">
        <f t="shared" si="1"/>
        <v>2000</v>
      </c>
      <c r="H363" s="13" t="str">
        <f t="shared" si="2"/>
        <v>8 Signed Rep + 0 5-Star Review</v>
      </c>
      <c r="I363" s="14"/>
      <c r="J363" s="14"/>
    </row>
    <row r="364" hidden="1">
      <c r="A364" s="6" t="s">
        <v>13</v>
      </c>
      <c r="B364" s="255" t="s">
        <v>679</v>
      </c>
      <c r="C364" s="255" t="s">
        <v>680</v>
      </c>
      <c r="D364" s="255" t="s">
        <v>783</v>
      </c>
      <c r="E364" s="256">
        <v>10.0</v>
      </c>
      <c r="F364" s="256">
        <v>4.0</v>
      </c>
      <c r="G364" s="39">
        <f t="shared" si="1"/>
        <v>2900</v>
      </c>
      <c r="H364" s="13" t="str">
        <f t="shared" si="2"/>
        <v>10 Signed Rep + 4 5-Star Review</v>
      </c>
      <c r="I364" s="14"/>
      <c r="J364" s="14"/>
    </row>
    <row r="365" hidden="1">
      <c r="A365" s="6" t="s">
        <v>13</v>
      </c>
      <c r="B365" s="255" t="s">
        <v>682</v>
      </c>
      <c r="C365" s="255" t="s">
        <v>683</v>
      </c>
      <c r="D365" s="255" t="s">
        <v>684</v>
      </c>
      <c r="E365" s="256">
        <v>6.0</v>
      </c>
      <c r="F365" s="256">
        <v>0.0</v>
      </c>
      <c r="G365" s="39">
        <f t="shared" si="1"/>
        <v>1500</v>
      </c>
      <c r="H365" s="13" t="str">
        <f t="shared" si="2"/>
        <v>6 Signed Rep + 0 5-Star Review</v>
      </c>
      <c r="I365" s="14"/>
      <c r="J365" s="14"/>
    </row>
    <row r="366" hidden="1">
      <c r="A366" s="6" t="s">
        <v>13</v>
      </c>
      <c r="B366" s="255" t="s">
        <v>685</v>
      </c>
      <c r="C366" s="255" t="s">
        <v>686</v>
      </c>
      <c r="D366" s="255" t="s">
        <v>687</v>
      </c>
      <c r="E366" s="256">
        <v>5.0</v>
      </c>
      <c r="F366" s="256">
        <v>0.0</v>
      </c>
      <c r="G366" s="39">
        <f t="shared" si="1"/>
        <v>1250</v>
      </c>
      <c r="H366" s="13" t="str">
        <f t="shared" si="2"/>
        <v>5 Signed Rep + 0 5-Star Review</v>
      </c>
      <c r="I366" s="14"/>
      <c r="J366" s="14"/>
    </row>
    <row r="367" hidden="1">
      <c r="A367" s="6" t="s">
        <v>13</v>
      </c>
      <c r="B367" s="255" t="s">
        <v>688</v>
      </c>
      <c r="C367" s="255" t="s">
        <v>689</v>
      </c>
      <c r="D367" s="255" t="s">
        <v>690</v>
      </c>
      <c r="E367" s="256">
        <v>16.0</v>
      </c>
      <c r="F367" s="256">
        <v>0.0</v>
      </c>
      <c r="G367" s="39">
        <f t="shared" si="1"/>
        <v>4000</v>
      </c>
      <c r="H367" s="13" t="str">
        <f t="shared" si="2"/>
        <v>16 Signed Rep + 0 5-Star Review</v>
      </c>
      <c r="I367" s="14"/>
      <c r="J367" s="14"/>
    </row>
    <row r="368" hidden="1">
      <c r="A368" s="6" t="s">
        <v>13</v>
      </c>
      <c r="B368" s="255" t="s">
        <v>691</v>
      </c>
      <c r="C368" s="255" t="s">
        <v>692</v>
      </c>
      <c r="D368" s="255" t="s">
        <v>693</v>
      </c>
      <c r="E368" s="256">
        <v>9.0</v>
      </c>
      <c r="F368" s="256">
        <v>0.0</v>
      </c>
      <c r="G368" s="39">
        <f t="shared" si="1"/>
        <v>2250</v>
      </c>
      <c r="H368" s="13" t="str">
        <f t="shared" si="2"/>
        <v>9 Signed Rep + 0 5-Star Review</v>
      </c>
      <c r="I368" s="14"/>
      <c r="J368" s="14"/>
    </row>
    <row r="369" hidden="1">
      <c r="A369" s="6" t="s">
        <v>13</v>
      </c>
      <c r="B369" s="255" t="s">
        <v>694</v>
      </c>
      <c r="C369" s="255" t="s">
        <v>695</v>
      </c>
      <c r="D369" s="255" t="s">
        <v>696</v>
      </c>
      <c r="E369" s="256">
        <v>8.0</v>
      </c>
      <c r="F369" s="256">
        <v>0.0</v>
      </c>
      <c r="G369" s="39">
        <f t="shared" si="1"/>
        <v>2000</v>
      </c>
      <c r="H369" s="13" t="str">
        <f t="shared" si="2"/>
        <v>8 Signed Rep + 0 5-Star Review</v>
      </c>
      <c r="I369" s="14"/>
      <c r="J369" s="14"/>
    </row>
    <row r="370" hidden="1">
      <c r="A370" s="6" t="s">
        <v>13</v>
      </c>
      <c r="B370" s="255" t="s">
        <v>697</v>
      </c>
      <c r="C370" s="255" t="s">
        <v>698</v>
      </c>
      <c r="D370" s="255" t="s">
        <v>699</v>
      </c>
      <c r="E370" s="256">
        <v>14.0</v>
      </c>
      <c r="F370" s="256">
        <v>4.0</v>
      </c>
      <c r="G370" s="39">
        <f t="shared" si="1"/>
        <v>3900</v>
      </c>
      <c r="H370" s="13" t="str">
        <f t="shared" si="2"/>
        <v>14 Signed Rep + 4 5-Star Review</v>
      </c>
      <c r="I370" s="14"/>
      <c r="J370" s="14"/>
    </row>
    <row r="371" hidden="1">
      <c r="A371" s="6" t="s">
        <v>13</v>
      </c>
      <c r="B371" s="255" t="s">
        <v>700</v>
      </c>
      <c r="C371" s="255" t="s">
        <v>701</v>
      </c>
      <c r="D371" s="255" t="s">
        <v>702</v>
      </c>
      <c r="E371" s="256">
        <v>3.0</v>
      </c>
      <c r="F371" s="256">
        <v>0.0</v>
      </c>
      <c r="G371" s="39">
        <f t="shared" si="1"/>
        <v>750</v>
      </c>
      <c r="H371" s="13" t="str">
        <f t="shared" si="2"/>
        <v>3 Signed Rep + 0 5-Star Review</v>
      </c>
      <c r="I371" s="14"/>
      <c r="J371" s="14"/>
    </row>
    <row r="372" hidden="1">
      <c r="A372" s="6" t="s">
        <v>13</v>
      </c>
      <c r="B372" s="255" t="s">
        <v>703</v>
      </c>
      <c r="C372" s="255" t="s">
        <v>704</v>
      </c>
      <c r="D372" s="255" t="s">
        <v>705</v>
      </c>
      <c r="E372" s="256">
        <v>9.0</v>
      </c>
      <c r="F372" s="256">
        <v>0.0</v>
      </c>
      <c r="G372" s="39">
        <f t="shared" si="1"/>
        <v>2250</v>
      </c>
      <c r="H372" s="13" t="str">
        <f t="shared" si="2"/>
        <v>9 Signed Rep + 0 5-Star Review</v>
      </c>
      <c r="I372" s="14"/>
      <c r="J372" s="14"/>
    </row>
    <row r="373" hidden="1">
      <c r="A373" s="6" t="s">
        <v>13</v>
      </c>
      <c r="B373" s="255" t="s">
        <v>706</v>
      </c>
      <c r="C373" s="255" t="s">
        <v>707</v>
      </c>
      <c r="D373" s="255" t="s">
        <v>708</v>
      </c>
      <c r="E373" s="256">
        <v>8.0</v>
      </c>
      <c r="F373" s="256">
        <v>0.0</v>
      </c>
      <c r="G373" s="39">
        <f t="shared" si="1"/>
        <v>2000</v>
      </c>
      <c r="H373" s="13" t="str">
        <f t="shared" si="2"/>
        <v>8 Signed Rep + 0 5-Star Review</v>
      </c>
      <c r="I373" s="14"/>
      <c r="J373" s="14"/>
    </row>
    <row r="374" hidden="1">
      <c r="A374" s="6" t="s">
        <v>13</v>
      </c>
      <c r="B374" s="255" t="s">
        <v>709</v>
      </c>
      <c r="C374" s="255" t="s">
        <v>710</v>
      </c>
      <c r="D374" s="255" t="s">
        <v>711</v>
      </c>
      <c r="E374" s="256">
        <v>6.0</v>
      </c>
      <c r="F374" s="256">
        <v>0.0</v>
      </c>
      <c r="G374" s="39">
        <f t="shared" si="1"/>
        <v>1500</v>
      </c>
      <c r="H374" s="13" t="str">
        <f t="shared" si="2"/>
        <v>6 Signed Rep + 0 5-Star Review</v>
      </c>
      <c r="I374" s="14"/>
      <c r="J374" s="14"/>
    </row>
    <row r="375" hidden="1">
      <c r="A375" s="6" t="s">
        <v>13</v>
      </c>
      <c r="B375" s="255" t="s">
        <v>712</v>
      </c>
      <c r="C375" s="255" t="s">
        <v>713</v>
      </c>
      <c r="D375" s="255" t="s">
        <v>714</v>
      </c>
      <c r="E375" s="256">
        <v>11.0</v>
      </c>
      <c r="F375" s="256">
        <v>0.0</v>
      </c>
      <c r="G375" s="39">
        <f t="shared" si="1"/>
        <v>2750</v>
      </c>
      <c r="H375" s="13" t="str">
        <f t="shared" si="2"/>
        <v>11 Signed Rep + 0 5-Star Review</v>
      </c>
      <c r="I375" s="14"/>
      <c r="J375" s="14"/>
    </row>
    <row r="376" hidden="1">
      <c r="A376" s="6" t="s">
        <v>13</v>
      </c>
      <c r="B376" s="255" t="s">
        <v>715</v>
      </c>
      <c r="C376" s="255" t="s">
        <v>716</v>
      </c>
      <c r="D376" s="255" t="s">
        <v>717</v>
      </c>
      <c r="E376" s="256">
        <v>4.0</v>
      </c>
      <c r="F376" s="256">
        <v>0.0</v>
      </c>
      <c r="G376" s="39">
        <f t="shared" si="1"/>
        <v>1000</v>
      </c>
      <c r="H376" s="13" t="str">
        <f t="shared" si="2"/>
        <v>4 Signed Rep + 0 5-Star Review</v>
      </c>
      <c r="I376" s="14"/>
      <c r="J376" s="14"/>
    </row>
    <row r="377" hidden="1">
      <c r="A377" s="6" t="s">
        <v>13</v>
      </c>
      <c r="B377" s="255" t="s">
        <v>718</v>
      </c>
      <c r="C377" s="255" t="s">
        <v>719</v>
      </c>
      <c r="D377" s="255" t="s">
        <v>720</v>
      </c>
      <c r="E377" s="256">
        <v>11.0</v>
      </c>
      <c r="F377" s="256">
        <v>1.0</v>
      </c>
      <c r="G377" s="39">
        <f t="shared" si="1"/>
        <v>2850</v>
      </c>
      <c r="H377" s="13" t="str">
        <f t="shared" si="2"/>
        <v>11 Signed Rep + 1 5-Star Review</v>
      </c>
      <c r="I377" s="14"/>
      <c r="J377" s="14"/>
    </row>
    <row r="378" hidden="1">
      <c r="A378" s="6" t="s">
        <v>13</v>
      </c>
      <c r="B378" s="255" t="s">
        <v>721</v>
      </c>
      <c r="C378" s="255" t="s">
        <v>722</v>
      </c>
      <c r="D378" s="255" t="s">
        <v>723</v>
      </c>
      <c r="E378" s="256">
        <v>11.0</v>
      </c>
      <c r="F378" s="256">
        <v>2.0</v>
      </c>
      <c r="G378" s="39">
        <f t="shared" si="1"/>
        <v>2950</v>
      </c>
      <c r="H378" s="13" t="str">
        <f t="shared" si="2"/>
        <v>11 Signed Rep + 2 5-Star Review</v>
      </c>
      <c r="I378" s="14"/>
      <c r="J378" s="14"/>
    </row>
    <row r="379" hidden="1">
      <c r="A379" s="6" t="s">
        <v>13</v>
      </c>
      <c r="B379" s="257" t="s">
        <v>724</v>
      </c>
      <c r="C379" s="255" t="s">
        <v>725</v>
      </c>
      <c r="D379" s="255" t="s">
        <v>726</v>
      </c>
      <c r="E379" s="256">
        <v>4.0</v>
      </c>
      <c r="F379" s="256">
        <v>0.0</v>
      </c>
      <c r="G379" s="39">
        <f t="shared" si="1"/>
        <v>1000</v>
      </c>
      <c r="H379" s="13" t="str">
        <f t="shared" si="2"/>
        <v>4 Signed Rep + 0 5-Star Review</v>
      </c>
      <c r="I379" s="14"/>
      <c r="J379" s="14"/>
    </row>
    <row r="380" hidden="1">
      <c r="A380" s="6" t="s">
        <v>13</v>
      </c>
      <c r="B380" s="255" t="s">
        <v>727</v>
      </c>
      <c r="C380" s="255" t="s">
        <v>728</v>
      </c>
      <c r="D380" s="255" t="s">
        <v>729</v>
      </c>
      <c r="E380" s="256">
        <v>5.0</v>
      </c>
      <c r="F380" s="256">
        <v>0.0</v>
      </c>
      <c r="G380" s="39">
        <f t="shared" si="1"/>
        <v>1250</v>
      </c>
      <c r="H380" s="13" t="str">
        <f t="shared" si="2"/>
        <v>5 Signed Rep + 0 5-Star Review</v>
      </c>
      <c r="I380" s="14"/>
      <c r="J380" s="14"/>
    </row>
    <row r="381" hidden="1">
      <c r="A381" s="6" t="s">
        <v>13</v>
      </c>
      <c r="B381" s="255" t="s">
        <v>730</v>
      </c>
      <c r="C381" s="255" t="s">
        <v>731</v>
      </c>
      <c r="D381" s="255" t="s">
        <v>732</v>
      </c>
      <c r="E381" s="256">
        <v>11.0</v>
      </c>
      <c r="F381" s="256">
        <v>0.0</v>
      </c>
      <c r="G381" s="39">
        <f t="shared" si="1"/>
        <v>2750</v>
      </c>
      <c r="H381" s="13" t="str">
        <f t="shared" si="2"/>
        <v>11 Signed Rep + 0 5-Star Review</v>
      </c>
      <c r="I381" s="14"/>
      <c r="J381" s="14"/>
    </row>
    <row r="382" hidden="1">
      <c r="A382" s="6" t="s">
        <v>13</v>
      </c>
      <c r="B382" s="255" t="s">
        <v>733</v>
      </c>
      <c r="C382" s="255" t="s">
        <v>734</v>
      </c>
      <c r="D382" s="255" t="s">
        <v>735</v>
      </c>
      <c r="E382" s="256">
        <v>11.0</v>
      </c>
      <c r="F382" s="256">
        <v>0.0</v>
      </c>
      <c r="G382" s="39">
        <f t="shared" si="1"/>
        <v>2750</v>
      </c>
      <c r="H382" s="13" t="str">
        <f t="shared" si="2"/>
        <v>11 Signed Rep + 0 5-Star Review</v>
      </c>
      <c r="I382" s="14"/>
      <c r="J382" s="14"/>
    </row>
    <row r="383" hidden="1">
      <c r="A383" s="6" t="s">
        <v>13</v>
      </c>
      <c r="B383" s="255" t="s">
        <v>736</v>
      </c>
      <c r="C383" s="255" t="s">
        <v>737</v>
      </c>
      <c r="D383" s="255" t="s">
        <v>738</v>
      </c>
      <c r="E383" s="256">
        <v>9.0</v>
      </c>
      <c r="F383" s="256">
        <v>0.0</v>
      </c>
      <c r="G383" s="39">
        <f t="shared" si="1"/>
        <v>2250</v>
      </c>
      <c r="H383" s="13" t="str">
        <f t="shared" si="2"/>
        <v>9 Signed Rep + 0 5-Star Review</v>
      </c>
      <c r="I383" s="14"/>
      <c r="J383" s="14"/>
    </row>
    <row r="384" hidden="1">
      <c r="A384" s="6" t="s">
        <v>13</v>
      </c>
      <c r="B384" s="255" t="s">
        <v>739</v>
      </c>
      <c r="C384" s="255" t="s">
        <v>740</v>
      </c>
      <c r="D384" s="255" t="s">
        <v>741</v>
      </c>
      <c r="E384" s="256">
        <v>12.0</v>
      </c>
      <c r="F384" s="256">
        <v>0.0</v>
      </c>
      <c r="G384" s="39">
        <f t="shared" si="1"/>
        <v>3000</v>
      </c>
      <c r="H384" s="13" t="str">
        <f t="shared" si="2"/>
        <v>12 Signed Rep + 0 5-Star Review</v>
      </c>
      <c r="I384" s="14"/>
      <c r="J384" s="14"/>
    </row>
    <row r="385" hidden="1">
      <c r="A385" s="6" t="s">
        <v>13</v>
      </c>
      <c r="B385" s="255" t="s">
        <v>742</v>
      </c>
      <c r="C385" s="255" t="s">
        <v>743</v>
      </c>
      <c r="D385" s="255" t="s">
        <v>744</v>
      </c>
      <c r="E385" s="256">
        <v>8.0</v>
      </c>
      <c r="F385" s="256">
        <v>0.0</v>
      </c>
      <c r="G385" s="39">
        <f t="shared" si="1"/>
        <v>2000</v>
      </c>
      <c r="H385" s="13" t="str">
        <f t="shared" si="2"/>
        <v>8 Signed Rep + 0 5-Star Review</v>
      </c>
      <c r="I385" s="14"/>
      <c r="J385" s="14"/>
    </row>
    <row r="386" hidden="1">
      <c r="A386" s="6" t="s">
        <v>13</v>
      </c>
      <c r="B386" s="254" t="s">
        <v>745</v>
      </c>
      <c r="C386" s="255" t="s">
        <v>746</v>
      </c>
      <c r="D386" s="255" t="s">
        <v>747</v>
      </c>
      <c r="E386" s="256">
        <v>8.0</v>
      </c>
      <c r="F386" s="256">
        <v>0.0</v>
      </c>
      <c r="G386" s="39">
        <f t="shared" si="1"/>
        <v>2000</v>
      </c>
      <c r="H386" s="13" t="str">
        <f t="shared" si="2"/>
        <v>8 Signed Rep + 0 5-Star Review</v>
      </c>
      <c r="I386" s="14"/>
      <c r="J386" s="14"/>
    </row>
    <row r="387" hidden="1">
      <c r="A387" s="6" t="s">
        <v>13</v>
      </c>
      <c r="B387" s="255" t="s">
        <v>748</v>
      </c>
      <c r="C387" s="255" t="s">
        <v>749</v>
      </c>
      <c r="D387" s="255" t="s">
        <v>750</v>
      </c>
      <c r="E387" s="256">
        <v>5.0</v>
      </c>
      <c r="F387" s="256">
        <v>0.0</v>
      </c>
      <c r="G387" s="39">
        <f t="shared" si="1"/>
        <v>1250</v>
      </c>
      <c r="H387" s="13" t="str">
        <f t="shared" si="2"/>
        <v>5 Signed Rep + 0 5-Star Review</v>
      </c>
      <c r="I387" s="14"/>
      <c r="J387" s="14"/>
    </row>
    <row r="388" hidden="1">
      <c r="A388" s="6" t="s">
        <v>13</v>
      </c>
      <c r="B388" s="255" t="s">
        <v>751</v>
      </c>
      <c r="C388" s="255" t="s">
        <v>752</v>
      </c>
      <c r="D388" s="255" t="s">
        <v>753</v>
      </c>
      <c r="E388" s="256">
        <v>8.0</v>
      </c>
      <c r="F388" s="256">
        <v>0.0</v>
      </c>
      <c r="G388" s="39">
        <f t="shared" si="1"/>
        <v>2000</v>
      </c>
      <c r="H388" s="13" t="str">
        <f t="shared" si="2"/>
        <v>8 Signed Rep + 0 5-Star Review</v>
      </c>
      <c r="I388" s="14"/>
      <c r="J388" s="14"/>
    </row>
    <row r="389" hidden="1">
      <c r="A389" s="6" t="s">
        <v>13</v>
      </c>
      <c r="B389" s="255" t="s">
        <v>754</v>
      </c>
      <c r="C389" s="255" t="s">
        <v>755</v>
      </c>
      <c r="D389" s="255" t="s">
        <v>756</v>
      </c>
      <c r="E389" s="256">
        <v>10.0</v>
      </c>
      <c r="F389" s="256">
        <v>3.0</v>
      </c>
      <c r="G389" s="39">
        <f t="shared" si="1"/>
        <v>2800</v>
      </c>
      <c r="H389" s="13" t="str">
        <f t="shared" si="2"/>
        <v>10 Signed Rep + 3 5-Star Review</v>
      </c>
      <c r="I389" s="14"/>
      <c r="J389" s="14"/>
    </row>
    <row r="390" hidden="1">
      <c r="A390" s="6" t="s">
        <v>13</v>
      </c>
      <c r="B390" s="254" t="s">
        <v>757</v>
      </c>
      <c r="C390" s="255" t="s">
        <v>758</v>
      </c>
      <c r="D390" s="255" t="s">
        <v>759</v>
      </c>
      <c r="E390" s="256">
        <v>19.0</v>
      </c>
      <c r="F390" s="256">
        <v>0.0</v>
      </c>
      <c r="G390" s="39">
        <f t="shared" si="1"/>
        <v>4750</v>
      </c>
      <c r="H390" s="13" t="str">
        <f t="shared" si="2"/>
        <v>19 Signed Rep + 0 5-Star Review</v>
      </c>
      <c r="I390" s="23"/>
      <c r="J390" s="23"/>
    </row>
    <row r="391" hidden="1">
      <c r="A391" s="6" t="s">
        <v>13</v>
      </c>
      <c r="B391" s="255" t="s">
        <v>219</v>
      </c>
      <c r="C391" s="255" t="s">
        <v>220</v>
      </c>
      <c r="D391" s="255" t="s">
        <v>760</v>
      </c>
      <c r="E391" s="256">
        <v>6.0</v>
      </c>
      <c r="F391" s="256">
        <v>0.0</v>
      </c>
      <c r="G391" s="39">
        <f t="shared" si="1"/>
        <v>1500</v>
      </c>
      <c r="H391" s="13" t="str">
        <f t="shared" si="2"/>
        <v>6 Signed Rep + 0 5-Star Review</v>
      </c>
      <c r="I391" s="14"/>
      <c r="J391" s="14"/>
    </row>
    <row r="392" hidden="1">
      <c r="A392" s="6" t="s">
        <v>203</v>
      </c>
      <c r="B392" s="255" t="s">
        <v>615</v>
      </c>
      <c r="C392" s="255" t="s">
        <v>616</v>
      </c>
      <c r="D392" s="255" t="s">
        <v>617</v>
      </c>
      <c r="E392" s="256">
        <v>4.0</v>
      </c>
      <c r="F392" s="256">
        <v>0.0</v>
      </c>
      <c r="G392" s="39">
        <f t="shared" si="1"/>
        <v>1000</v>
      </c>
      <c r="H392" s="13" t="str">
        <f t="shared" si="2"/>
        <v>4 Signed Rep + 0 5-Star Review</v>
      </c>
      <c r="I392" s="14"/>
      <c r="J392" s="14"/>
    </row>
    <row r="393" hidden="1">
      <c r="A393" s="6" t="s">
        <v>203</v>
      </c>
      <c r="B393" s="255" t="s">
        <v>618</v>
      </c>
      <c r="C393" s="255" t="s">
        <v>619</v>
      </c>
      <c r="D393" s="255" t="s">
        <v>620</v>
      </c>
      <c r="E393" s="256">
        <v>6.0</v>
      </c>
      <c r="F393" s="256">
        <v>0.0</v>
      </c>
      <c r="G393" s="39">
        <f t="shared" si="1"/>
        <v>1500</v>
      </c>
      <c r="H393" s="13" t="str">
        <f t="shared" si="2"/>
        <v>6 Signed Rep + 0 5-Star Review</v>
      </c>
      <c r="I393" s="14"/>
      <c r="J393" s="14"/>
    </row>
    <row r="394" hidden="1">
      <c r="A394" s="6" t="s">
        <v>203</v>
      </c>
      <c r="B394" s="255" t="s">
        <v>624</v>
      </c>
      <c r="C394" s="255" t="s">
        <v>625</v>
      </c>
      <c r="D394" s="255" t="s">
        <v>626</v>
      </c>
      <c r="E394" s="256">
        <v>11.0</v>
      </c>
      <c r="F394" s="256">
        <v>0.0</v>
      </c>
      <c r="G394" s="39">
        <f t="shared" si="1"/>
        <v>2750</v>
      </c>
      <c r="H394" s="13" t="str">
        <f t="shared" si="2"/>
        <v>11 Signed Rep + 0 5-Star Review</v>
      </c>
      <c r="I394" s="14"/>
      <c r="J394" s="14"/>
    </row>
    <row r="395" hidden="1">
      <c r="A395" s="6" t="s">
        <v>203</v>
      </c>
      <c r="B395" s="255" t="s">
        <v>627</v>
      </c>
      <c r="C395" s="255" t="s">
        <v>628</v>
      </c>
      <c r="D395" s="255" t="s">
        <v>629</v>
      </c>
      <c r="E395" s="256">
        <v>6.0</v>
      </c>
      <c r="F395" s="256">
        <v>0.0</v>
      </c>
      <c r="G395" s="39">
        <f t="shared" si="1"/>
        <v>1500</v>
      </c>
      <c r="H395" s="13" t="str">
        <f t="shared" si="2"/>
        <v>6 Signed Rep + 0 5-Star Review</v>
      </c>
      <c r="I395" s="14"/>
      <c r="J395" s="14"/>
    </row>
    <row r="396" hidden="1">
      <c r="A396" s="6" t="s">
        <v>203</v>
      </c>
      <c r="B396" s="255" t="s">
        <v>630</v>
      </c>
      <c r="C396" s="255" t="s">
        <v>631</v>
      </c>
      <c r="D396" s="255" t="s">
        <v>632</v>
      </c>
      <c r="E396" s="256">
        <v>8.0</v>
      </c>
      <c r="F396" s="256">
        <v>4.0</v>
      </c>
      <c r="G396" s="39">
        <f t="shared" si="1"/>
        <v>2400</v>
      </c>
      <c r="H396" s="13" t="str">
        <f t="shared" si="2"/>
        <v>8 Signed Rep + 4 5-Star Review</v>
      </c>
      <c r="I396" s="14"/>
      <c r="J396" s="14"/>
    </row>
    <row r="397" hidden="1">
      <c r="A397" s="6" t="s">
        <v>203</v>
      </c>
      <c r="B397" s="255" t="s">
        <v>639</v>
      </c>
      <c r="C397" s="255" t="s">
        <v>640</v>
      </c>
      <c r="D397" s="255" t="s">
        <v>641</v>
      </c>
      <c r="E397" s="256">
        <v>4.0</v>
      </c>
      <c r="F397" s="256">
        <v>0.0</v>
      </c>
      <c r="G397" s="39">
        <f t="shared" si="1"/>
        <v>1000</v>
      </c>
      <c r="H397" s="13" t="str">
        <f t="shared" si="2"/>
        <v>4 Signed Rep + 0 5-Star Review</v>
      </c>
      <c r="I397" s="14"/>
      <c r="J397" s="14"/>
    </row>
    <row r="398" hidden="1">
      <c r="A398" s="6" t="s">
        <v>203</v>
      </c>
      <c r="B398" s="255" t="s">
        <v>642</v>
      </c>
      <c r="C398" s="255" t="s">
        <v>643</v>
      </c>
      <c r="D398" s="255" t="s">
        <v>644</v>
      </c>
      <c r="E398" s="256">
        <v>2.0</v>
      </c>
      <c r="F398" s="256">
        <v>0.0</v>
      </c>
      <c r="G398" s="39">
        <f t="shared" si="1"/>
        <v>500</v>
      </c>
      <c r="H398" s="13" t="str">
        <f t="shared" si="2"/>
        <v>2 Signed Rep + 0 5-Star Review</v>
      </c>
      <c r="I398" s="14"/>
      <c r="J398" s="14"/>
    </row>
    <row r="399" hidden="1">
      <c r="A399" s="6" t="s">
        <v>203</v>
      </c>
      <c r="B399" s="255" t="s">
        <v>645</v>
      </c>
      <c r="C399" s="255" t="s">
        <v>646</v>
      </c>
      <c r="D399" s="255" t="s">
        <v>647</v>
      </c>
      <c r="E399" s="256">
        <v>8.0</v>
      </c>
      <c r="F399" s="256">
        <v>0.0</v>
      </c>
      <c r="G399" s="39">
        <f t="shared" si="1"/>
        <v>2000</v>
      </c>
      <c r="H399" s="13" t="str">
        <f t="shared" si="2"/>
        <v>8 Signed Rep + 0 5-Star Review</v>
      </c>
      <c r="I399" s="14"/>
      <c r="J399" s="14"/>
    </row>
    <row r="400" hidden="1">
      <c r="A400" s="6" t="s">
        <v>203</v>
      </c>
      <c r="B400" s="255" t="s">
        <v>648</v>
      </c>
      <c r="C400" s="255" t="s">
        <v>649</v>
      </c>
      <c r="D400" s="255" t="s">
        <v>650</v>
      </c>
      <c r="E400" s="256">
        <v>5.0</v>
      </c>
      <c r="F400" s="256">
        <v>0.0</v>
      </c>
      <c r="G400" s="39">
        <f t="shared" si="1"/>
        <v>1250</v>
      </c>
      <c r="H400" s="13" t="str">
        <f t="shared" si="2"/>
        <v>5 Signed Rep + 0 5-Star Review</v>
      </c>
      <c r="I400" s="14"/>
      <c r="J400" s="14"/>
    </row>
    <row r="401" hidden="1">
      <c r="A401" s="6" t="s">
        <v>203</v>
      </c>
      <c r="B401" s="255" t="s">
        <v>651</v>
      </c>
      <c r="C401" s="255" t="s">
        <v>652</v>
      </c>
      <c r="D401" s="255" t="s">
        <v>653</v>
      </c>
      <c r="E401" s="256">
        <v>4.0</v>
      </c>
      <c r="F401" s="256">
        <v>0.0</v>
      </c>
      <c r="G401" s="39">
        <f t="shared" si="1"/>
        <v>1000</v>
      </c>
      <c r="H401" s="13" t="str">
        <f t="shared" si="2"/>
        <v>4 Signed Rep + 0 5-Star Review</v>
      </c>
      <c r="I401" s="14"/>
      <c r="J401" s="14"/>
    </row>
    <row r="402" hidden="1">
      <c r="A402" s="6" t="s">
        <v>203</v>
      </c>
      <c r="B402" s="255" t="s">
        <v>654</v>
      </c>
      <c r="C402" s="255" t="s">
        <v>655</v>
      </c>
      <c r="D402" s="255" t="s">
        <v>656</v>
      </c>
      <c r="E402" s="256">
        <v>2.0</v>
      </c>
      <c r="F402" s="256">
        <v>0.0</v>
      </c>
      <c r="G402" s="39">
        <f t="shared" si="1"/>
        <v>500</v>
      </c>
      <c r="H402" s="13" t="str">
        <f t="shared" si="2"/>
        <v>2 Signed Rep + 0 5-Star Review</v>
      </c>
      <c r="I402" s="14"/>
      <c r="J402" s="14"/>
    </row>
    <row r="403" hidden="1">
      <c r="A403" s="6" t="s">
        <v>203</v>
      </c>
      <c r="B403" s="255" t="s">
        <v>657</v>
      </c>
      <c r="C403" s="255" t="s">
        <v>658</v>
      </c>
      <c r="D403" s="255" t="s">
        <v>659</v>
      </c>
      <c r="E403" s="256">
        <v>10.0</v>
      </c>
      <c r="F403" s="256">
        <v>0.0</v>
      </c>
      <c r="G403" s="39">
        <f t="shared" si="1"/>
        <v>2500</v>
      </c>
      <c r="H403" s="13" t="str">
        <f t="shared" si="2"/>
        <v>10 Signed Rep + 0 5-Star Review</v>
      </c>
      <c r="I403" s="14"/>
      <c r="J403" s="14"/>
    </row>
    <row r="404" hidden="1">
      <c r="A404" s="6" t="s">
        <v>203</v>
      </c>
      <c r="B404" s="255" t="s">
        <v>213</v>
      </c>
      <c r="C404" s="255" t="s">
        <v>214</v>
      </c>
      <c r="D404" s="255" t="s">
        <v>660</v>
      </c>
      <c r="E404" s="256">
        <v>5.0</v>
      </c>
      <c r="F404" s="256">
        <v>0.0</v>
      </c>
      <c r="G404" s="39">
        <f t="shared" si="1"/>
        <v>1250</v>
      </c>
      <c r="H404" s="13" t="str">
        <f t="shared" si="2"/>
        <v>5 Signed Rep + 0 5-Star Review</v>
      </c>
      <c r="I404" s="14"/>
      <c r="J404" s="14"/>
    </row>
    <row r="405" hidden="1">
      <c r="A405" s="6" t="s">
        <v>203</v>
      </c>
      <c r="B405" s="255" t="s">
        <v>661</v>
      </c>
      <c r="C405" s="255" t="s">
        <v>662</v>
      </c>
      <c r="D405" s="255" t="s">
        <v>663</v>
      </c>
      <c r="E405" s="256">
        <v>12.0</v>
      </c>
      <c r="F405" s="256">
        <v>0.0</v>
      </c>
      <c r="G405" s="39">
        <f t="shared" si="1"/>
        <v>3000</v>
      </c>
      <c r="H405" s="13" t="str">
        <f t="shared" si="2"/>
        <v>12 Signed Rep + 0 5-Star Review</v>
      </c>
      <c r="I405" s="14"/>
      <c r="J405" s="14"/>
    </row>
    <row r="406" hidden="1">
      <c r="A406" s="6" t="s">
        <v>203</v>
      </c>
      <c r="B406" s="255" t="s">
        <v>664</v>
      </c>
      <c r="C406" s="255" t="s">
        <v>665</v>
      </c>
      <c r="D406" s="255" t="s">
        <v>666</v>
      </c>
      <c r="E406" s="256">
        <v>18.0</v>
      </c>
      <c r="F406" s="256">
        <v>1.0</v>
      </c>
      <c r="G406" s="39">
        <f t="shared" si="1"/>
        <v>4600</v>
      </c>
      <c r="H406" s="13" t="str">
        <f t="shared" si="2"/>
        <v>18 Signed Rep + 1 5-Star Review</v>
      </c>
      <c r="I406" s="14"/>
      <c r="J406" s="14"/>
    </row>
    <row r="407" hidden="1">
      <c r="A407" s="6" t="s">
        <v>203</v>
      </c>
      <c r="B407" s="255" t="s">
        <v>667</v>
      </c>
      <c r="C407" s="255" t="s">
        <v>668</v>
      </c>
      <c r="D407" s="255" t="s">
        <v>669</v>
      </c>
      <c r="E407" s="256">
        <v>10.0</v>
      </c>
      <c r="F407" s="256">
        <v>0.0</v>
      </c>
      <c r="G407" s="39">
        <f t="shared" si="1"/>
        <v>2500</v>
      </c>
      <c r="H407" s="13" t="str">
        <f t="shared" si="2"/>
        <v>10 Signed Rep + 0 5-Star Review</v>
      </c>
      <c r="I407" s="14"/>
      <c r="J407" s="14"/>
    </row>
    <row r="408" hidden="1">
      <c r="A408" s="6" t="s">
        <v>203</v>
      </c>
      <c r="B408" s="255" t="s">
        <v>670</v>
      </c>
      <c r="C408" s="255" t="s">
        <v>671</v>
      </c>
      <c r="D408" s="255" t="s">
        <v>672</v>
      </c>
      <c r="E408" s="256">
        <v>7.0</v>
      </c>
      <c r="F408" s="256">
        <v>0.0</v>
      </c>
      <c r="G408" s="39">
        <f t="shared" si="1"/>
        <v>1750</v>
      </c>
      <c r="H408" s="13" t="str">
        <f t="shared" si="2"/>
        <v>7 Signed Rep + 0 5-Star Review</v>
      </c>
      <c r="I408" s="14"/>
      <c r="J408" s="14"/>
    </row>
    <row r="409" hidden="1">
      <c r="A409" s="6" t="s">
        <v>203</v>
      </c>
      <c r="B409" s="255" t="s">
        <v>673</v>
      </c>
      <c r="C409" s="255" t="s">
        <v>674</v>
      </c>
      <c r="D409" s="255" t="s">
        <v>675</v>
      </c>
      <c r="E409" s="256">
        <v>11.0</v>
      </c>
      <c r="F409" s="256">
        <v>1.0</v>
      </c>
      <c r="G409" s="39">
        <f t="shared" si="1"/>
        <v>2850</v>
      </c>
      <c r="H409" s="13" t="str">
        <f t="shared" si="2"/>
        <v>11 Signed Rep + 1 5-Star Review</v>
      </c>
      <c r="I409" s="14"/>
      <c r="J409" s="14"/>
    </row>
    <row r="410" hidden="1">
      <c r="A410" s="6" t="s">
        <v>203</v>
      </c>
      <c r="B410" s="255" t="s">
        <v>676</v>
      </c>
      <c r="C410" s="255" t="s">
        <v>677</v>
      </c>
      <c r="D410" s="255" t="s">
        <v>678</v>
      </c>
      <c r="E410" s="256">
        <v>8.0</v>
      </c>
      <c r="F410" s="256">
        <v>0.0</v>
      </c>
      <c r="G410" s="39">
        <f t="shared" si="1"/>
        <v>2000</v>
      </c>
      <c r="H410" s="13" t="str">
        <f t="shared" si="2"/>
        <v>8 Signed Rep + 0 5-Star Review</v>
      </c>
      <c r="I410" s="14"/>
      <c r="J410" s="14"/>
    </row>
    <row r="411" hidden="1">
      <c r="A411" s="6" t="s">
        <v>203</v>
      </c>
      <c r="B411" s="255" t="s">
        <v>679</v>
      </c>
      <c r="C411" s="255" t="s">
        <v>680</v>
      </c>
      <c r="D411" s="255" t="s">
        <v>784</v>
      </c>
      <c r="E411" s="256">
        <v>4.0</v>
      </c>
      <c r="F411" s="256">
        <v>4.0</v>
      </c>
      <c r="G411" s="39">
        <f t="shared" si="1"/>
        <v>1400</v>
      </c>
      <c r="H411" s="13" t="str">
        <f t="shared" si="2"/>
        <v>4 Signed Rep + 4 5-Star Review</v>
      </c>
      <c r="I411" s="14"/>
      <c r="J411" s="14"/>
    </row>
    <row r="412" hidden="1">
      <c r="A412" s="6" t="s">
        <v>203</v>
      </c>
      <c r="B412" s="255" t="s">
        <v>682</v>
      </c>
      <c r="C412" s="255" t="s">
        <v>683</v>
      </c>
      <c r="D412" s="255" t="s">
        <v>684</v>
      </c>
      <c r="E412" s="256">
        <v>6.0</v>
      </c>
      <c r="F412" s="256">
        <v>0.0</v>
      </c>
      <c r="G412" s="39">
        <f t="shared" si="1"/>
        <v>1500</v>
      </c>
      <c r="H412" s="13" t="str">
        <f t="shared" si="2"/>
        <v>6 Signed Rep + 0 5-Star Review</v>
      </c>
      <c r="I412" s="14"/>
      <c r="J412" s="14"/>
    </row>
    <row r="413" hidden="1">
      <c r="A413" s="6" t="s">
        <v>203</v>
      </c>
      <c r="B413" s="255" t="s">
        <v>685</v>
      </c>
      <c r="C413" s="255" t="s">
        <v>686</v>
      </c>
      <c r="D413" s="255" t="s">
        <v>687</v>
      </c>
      <c r="E413" s="256">
        <v>9.0</v>
      </c>
      <c r="F413" s="256">
        <v>0.0</v>
      </c>
      <c r="G413" s="39">
        <f t="shared" si="1"/>
        <v>2250</v>
      </c>
      <c r="H413" s="13" t="str">
        <f t="shared" si="2"/>
        <v>9 Signed Rep + 0 5-Star Review</v>
      </c>
      <c r="I413" s="14"/>
      <c r="J413" s="14"/>
    </row>
    <row r="414" hidden="1">
      <c r="A414" s="6" t="s">
        <v>203</v>
      </c>
      <c r="B414" s="255" t="s">
        <v>688</v>
      </c>
      <c r="C414" s="255" t="s">
        <v>689</v>
      </c>
      <c r="D414" s="255" t="s">
        <v>690</v>
      </c>
      <c r="E414" s="256">
        <v>14.0</v>
      </c>
      <c r="F414" s="256">
        <v>0.0</v>
      </c>
      <c r="G414" s="39">
        <f t="shared" si="1"/>
        <v>3500</v>
      </c>
      <c r="H414" s="13" t="str">
        <f t="shared" si="2"/>
        <v>14 Signed Rep + 0 5-Star Review</v>
      </c>
      <c r="I414" s="14"/>
      <c r="J414" s="14"/>
    </row>
    <row r="415" hidden="1">
      <c r="A415" s="6" t="s">
        <v>203</v>
      </c>
      <c r="B415" s="255" t="s">
        <v>691</v>
      </c>
      <c r="C415" s="255" t="s">
        <v>692</v>
      </c>
      <c r="D415" s="255" t="s">
        <v>693</v>
      </c>
      <c r="E415" s="256">
        <v>9.0</v>
      </c>
      <c r="F415" s="256">
        <v>0.0</v>
      </c>
      <c r="G415" s="39">
        <f t="shared" si="1"/>
        <v>2250</v>
      </c>
      <c r="H415" s="13" t="str">
        <f t="shared" si="2"/>
        <v>9 Signed Rep + 0 5-Star Review</v>
      </c>
      <c r="I415" s="14"/>
      <c r="J415" s="14"/>
    </row>
    <row r="416" hidden="1">
      <c r="A416" s="6" t="s">
        <v>203</v>
      </c>
      <c r="B416" s="255" t="s">
        <v>694</v>
      </c>
      <c r="C416" s="255" t="s">
        <v>695</v>
      </c>
      <c r="D416" s="255" t="s">
        <v>696</v>
      </c>
      <c r="E416" s="256">
        <v>8.0</v>
      </c>
      <c r="F416" s="256">
        <v>0.0</v>
      </c>
      <c r="G416" s="39">
        <f t="shared" si="1"/>
        <v>2000</v>
      </c>
      <c r="H416" s="13" t="str">
        <f t="shared" si="2"/>
        <v>8 Signed Rep + 0 5-Star Review</v>
      </c>
      <c r="I416" s="14"/>
      <c r="J416" s="14"/>
    </row>
    <row r="417" hidden="1">
      <c r="A417" s="6" t="s">
        <v>203</v>
      </c>
      <c r="B417" s="255" t="s">
        <v>697</v>
      </c>
      <c r="C417" s="255" t="s">
        <v>698</v>
      </c>
      <c r="D417" s="255" t="s">
        <v>699</v>
      </c>
      <c r="E417" s="256">
        <v>7.0</v>
      </c>
      <c r="F417" s="256">
        <v>0.0</v>
      </c>
      <c r="G417" s="39">
        <f t="shared" si="1"/>
        <v>1750</v>
      </c>
      <c r="H417" s="13" t="str">
        <f t="shared" si="2"/>
        <v>7 Signed Rep + 0 5-Star Review</v>
      </c>
      <c r="I417" s="14"/>
      <c r="J417" s="14"/>
    </row>
    <row r="418" hidden="1">
      <c r="A418" s="6" t="s">
        <v>203</v>
      </c>
      <c r="B418" s="255" t="s">
        <v>700</v>
      </c>
      <c r="C418" s="255" t="s">
        <v>701</v>
      </c>
      <c r="D418" s="255" t="s">
        <v>702</v>
      </c>
      <c r="E418" s="256">
        <v>8.0</v>
      </c>
      <c r="F418" s="256">
        <v>0.0</v>
      </c>
      <c r="G418" s="39">
        <f t="shared" si="1"/>
        <v>2000</v>
      </c>
      <c r="H418" s="13" t="str">
        <f t="shared" si="2"/>
        <v>8 Signed Rep + 0 5-Star Review</v>
      </c>
      <c r="I418" s="14"/>
      <c r="J418" s="14"/>
    </row>
    <row r="419" hidden="1">
      <c r="A419" s="6" t="s">
        <v>203</v>
      </c>
      <c r="B419" s="255" t="s">
        <v>703</v>
      </c>
      <c r="C419" s="255" t="s">
        <v>704</v>
      </c>
      <c r="D419" s="255" t="s">
        <v>705</v>
      </c>
      <c r="E419" s="256">
        <v>8.0</v>
      </c>
      <c r="F419" s="256">
        <v>0.0</v>
      </c>
      <c r="G419" s="39">
        <f t="shared" si="1"/>
        <v>2000</v>
      </c>
      <c r="H419" s="13" t="str">
        <f t="shared" si="2"/>
        <v>8 Signed Rep + 0 5-Star Review</v>
      </c>
      <c r="I419" s="14"/>
      <c r="J419" s="14"/>
    </row>
    <row r="420" hidden="1">
      <c r="A420" s="6" t="s">
        <v>203</v>
      </c>
      <c r="B420" s="255" t="s">
        <v>706</v>
      </c>
      <c r="C420" s="255" t="s">
        <v>707</v>
      </c>
      <c r="D420" s="255" t="s">
        <v>708</v>
      </c>
      <c r="E420" s="256">
        <v>7.0</v>
      </c>
      <c r="F420" s="256">
        <v>0.0</v>
      </c>
      <c r="G420" s="39">
        <f t="shared" si="1"/>
        <v>1750</v>
      </c>
      <c r="H420" s="13" t="str">
        <f t="shared" si="2"/>
        <v>7 Signed Rep + 0 5-Star Review</v>
      </c>
      <c r="I420" s="14"/>
      <c r="J420" s="14"/>
    </row>
    <row r="421" hidden="1">
      <c r="A421" s="6" t="s">
        <v>203</v>
      </c>
      <c r="B421" s="255" t="s">
        <v>709</v>
      </c>
      <c r="C421" s="255" t="s">
        <v>710</v>
      </c>
      <c r="D421" s="255" t="s">
        <v>711</v>
      </c>
      <c r="E421" s="256">
        <v>6.0</v>
      </c>
      <c r="F421" s="256">
        <v>0.0</v>
      </c>
      <c r="G421" s="39">
        <f t="shared" si="1"/>
        <v>1500</v>
      </c>
      <c r="H421" s="13" t="str">
        <f t="shared" si="2"/>
        <v>6 Signed Rep + 0 5-Star Review</v>
      </c>
      <c r="I421" s="14"/>
      <c r="J421" s="14"/>
    </row>
    <row r="422" hidden="1">
      <c r="A422" s="6" t="s">
        <v>203</v>
      </c>
      <c r="B422" s="255" t="s">
        <v>712</v>
      </c>
      <c r="C422" s="255" t="s">
        <v>713</v>
      </c>
      <c r="D422" s="255" t="s">
        <v>714</v>
      </c>
      <c r="E422" s="256">
        <v>2.0</v>
      </c>
      <c r="F422" s="256">
        <v>0.0</v>
      </c>
      <c r="G422" s="39">
        <f t="shared" si="1"/>
        <v>500</v>
      </c>
      <c r="H422" s="13" t="str">
        <f t="shared" si="2"/>
        <v>2 Signed Rep + 0 5-Star Review</v>
      </c>
      <c r="I422" s="14"/>
      <c r="J422" s="14"/>
    </row>
    <row r="423" hidden="1">
      <c r="A423" s="6" t="s">
        <v>203</v>
      </c>
      <c r="B423" s="255" t="s">
        <v>715</v>
      </c>
      <c r="C423" s="255" t="s">
        <v>716</v>
      </c>
      <c r="D423" s="255" t="s">
        <v>717</v>
      </c>
      <c r="E423" s="256">
        <v>2.0</v>
      </c>
      <c r="F423" s="256">
        <v>0.0</v>
      </c>
      <c r="G423" s="39">
        <f t="shared" si="1"/>
        <v>500</v>
      </c>
      <c r="H423" s="13" t="str">
        <f t="shared" si="2"/>
        <v>2 Signed Rep + 0 5-Star Review</v>
      </c>
      <c r="I423" s="14"/>
      <c r="J423" s="14"/>
    </row>
    <row r="424" hidden="1">
      <c r="A424" s="6" t="s">
        <v>203</v>
      </c>
      <c r="B424" s="255" t="s">
        <v>718</v>
      </c>
      <c r="C424" s="255" t="s">
        <v>719</v>
      </c>
      <c r="D424" s="255" t="s">
        <v>720</v>
      </c>
      <c r="E424" s="256">
        <v>7.0</v>
      </c>
      <c r="F424" s="256">
        <v>0.0</v>
      </c>
      <c r="G424" s="39">
        <f t="shared" si="1"/>
        <v>1750</v>
      </c>
      <c r="H424" s="13" t="str">
        <f t="shared" si="2"/>
        <v>7 Signed Rep + 0 5-Star Review</v>
      </c>
      <c r="I424" s="14"/>
      <c r="J424" s="14"/>
    </row>
    <row r="425" hidden="1">
      <c r="A425" s="6" t="s">
        <v>203</v>
      </c>
      <c r="B425" s="255" t="s">
        <v>721</v>
      </c>
      <c r="C425" s="255" t="s">
        <v>722</v>
      </c>
      <c r="D425" s="255" t="s">
        <v>723</v>
      </c>
      <c r="E425" s="256">
        <v>3.0</v>
      </c>
      <c r="F425" s="256">
        <v>2.0</v>
      </c>
      <c r="G425" s="39">
        <f t="shared" si="1"/>
        <v>950</v>
      </c>
      <c r="H425" s="13" t="str">
        <f t="shared" si="2"/>
        <v>3 Signed Rep + 2 5-Star Review</v>
      </c>
      <c r="I425" s="14"/>
      <c r="J425" s="14"/>
    </row>
    <row r="426" hidden="1">
      <c r="A426" s="6" t="s">
        <v>203</v>
      </c>
      <c r="B426" s="257" t="s">
        <v>724</v>
      </c>
      <c r="C426" s="255" t="s">
        <v>725</v>
      </c>
      <c r="D426" s="255" t="s">
        <v>726</v>
      </c>
      <c r="E426" s="256">
        <v>5.0</v>
      </c>
      <c r="F426" s="256">
        <v>0.0</v>
      </c>
      <c r="G426" s="39">
        <f t="shared" si="1"/>
        <v>1250</v>
      </c>
      <c r="H426" s="13" t="str">
        <f t="shared" si="2"/>
        <v>5 Signed Rep + 0 5-Star Review</v>
      </c>
      <c r="I426" s="14"/>
      <c r="J426" s="14"/>
    </row>
    <row r="427" hidden="1">
      <c r="A427" s="6" t="s">
        <v>203</v>
      </c>
      <c r="B427" s="255" t="s">
        <v>727</v>
      </c>
      <c r="C427" s="255" t="s">
        <v>728</v>
      </c>
      <c r="D427" s="255" t="s">
        <v>729</v>
      </c>
      <c r="E427" s="256">
        <v>3.0</v>
      </c>
      <c r="F427" s="256">
        <v>0.0</v>
      </c>
      <c r="G427" s="39">
        <f t="shared" si="1"/>
        <v>750</v>
      </c>
      <c r="H427" s="13" t="str">
        <f t="shared" si="2"/>
        <v>3 Signed Rep + 0 5-Star Review</v>
      </c>
      <c r="I427" s="14"/>
      <c r="J427" s="14"/>
    </row>
    <row r="428" hidden="1">
      <c r="A428" s="6" t="s">
        <v>203</v>
      </c>
      <c r="B428" s="255" t="s">
        <v>730</v>
      </c>
      <c r="C428" s="255" t="s">
        <v>731</v>
      </c>
      <c r="D428" s="255" t="s">
        <v>732</v>
      </c>
      <c r="E428" s="256">
        <v>5.0</v>
      </c>
      <c r="F428" s="256">
        <v>0.0</v>
      </c>
      <c r="G428" s="39">
        <f t="shared" si="1"/>
        <v>1250</v>
      </c>
      <c r="H428" s="13" t="str">
        <f t="shared" si="2"/>
        <v>5 Signed Rep + 0 5-Star Review</v>
      </c>
      <c r="I428" s="14"/>
      <c r="J428" s="14"/>
    </row>
    <row r="429" hidden="1">
      <c r="A429" s="6" t="s">
        <v>203</v>
      </c>
      <c r="B429" s="255" t="s">
        <v>733</v>
      </c>
      <c r="C429" s="255" t="s">
        <v>734</v>
      </c>
      <c r="D429" s="255" t="s">
        <v>735</v>
      </c>
      <c r="E429" s="256">
        <v>12.0</v>
      </c>
      <c r="F429" s="256">
        <v>0.0</v>
      </c>
      <c r="G429" s="39">
        <f t="shared" si="1"/>
        <v>3000</v>
      </c>
      <c r="H429" s="13" t="str">
        <f t="shared" si="2"/>
        <v>12 Signed Rep + 0 5-Star Review</v>
      </c>
      <c r="I429" s="14"/>
      <c r="J429" s="14"/>
    </row>
    <row r="430" hidden="1">
      <c r="A430" s="6" t="s">
        <v>203</v>
      </c>
      <c r="B430" s="255" t="s">
        <v>736</v>
      </c>
      <c r="C430" s="255" t="s">
        <v>737</v>
      </c>
      <c r="D430" s="255" t="s">
        <v>738</v>
      </c>
      <c r="E430" s="256">
        <v>10.0</v>
      </c>
      <c r="F430" s="256">
        <v>0.0</v>
      </c>
      <c r="G430" s="39">
        <f t="shared" si="1"/>
        <v>2500</v>
      </c>
      <c r="H430" s="13" t="str">
        <f t="shared" si="2"/>
        <v>10 Signed Rep + 0 5-Star Review</v>
      </c>
      <c r="I430" s="14"/>
      <c r="J430" s="14"/>
    </row>
    <row r="431" hidden="1">
      <c r="A431" s="6" t="s">
        <v>203</v>
      </c>
      <c r="B431" s="255" t="s">
        <v>739</v>
      </c>
      <c r="C431" s="255" t="s">
        <v>740</v>
      </c>
      <c r="D431" s="255" t="s">
        <v>741</v>
      </c>
      <c r="E431" s="256">
        <v>5.0</v>
      </c>
      <c r="F431" s="256">
        <v>0.0</v>
      </c>
      <c r="G431" s="39">
        <f t="shared" si="1"/>
        <v>1250</v>
      </c>
      <c r="H431" s="13" t="str">
        <f t="shared" si="2"/>
        <v>5 Signed Rep + 0 5-Star Review</v>
      </c>
      <c r="I431" s="14"/>
      <c r="J431" s="14"/>
    </row>
    <row r="432" hidden="1">
      <c r="A432" s="6" t="s">
        <v>203</v>
      </c>
      <c r="B432" s="255" t="s">
        <v>742</v>
      </c>
      <c r="C432" s="255" t="s">
        <v>743</v>
      </c>
      <c r="D432" s="255" t="s">
        <v>744</v>
      </c>
      <c r="E432" s="256">
        <v>3.0</v>
      </c>
      <c r="F432" s="256">
        <v>0.0</v>
      </c>
      <c r="G432" s="39">
        <f t="shared" si="1"/>
        <v>750</v>
      </c>
      <c r="H432" s="13" t="str">
        <f t="shared" si="2"/>
        <v>3 Signed Rep + 0 5-Star Review</v>
      </c>
      <c r="I432" s="14"/>
      <c r="J432" s="14"/>
    </row>
    <row r="433" hidden="1">
      <c r="A433" s="6" t="s">
        <v>203</v>
      </c>
      <c r="B433" s="254" t="s">
        <v>745</v>
      </c>
      <c r="C433" s="255" t="s">
        <v>746</v>
      </c>
      <c r="D433" s="255" t="s">
        <v>747</v>
      </c>
      <c r="E433" s="256">
        <v>8.0</v>
      </c>
      <c r="F433" s="256">
        <v>0.0</v>
      </c>
      <c r="G433" s="39">
        <f t="shared" si="1"/>
        <v>2000</v>
      </c>
      <c r="H433" s="13" t="str">
        <f t="shared" si="2"/>
        <v>8 Signed Rep + 0 5-Star Review</v>
      </c>
      <c r="I433" s="14"/>
      <c r="J433" s="14"/>
    </row>
    <row r="434" hidden="1">
      <c r="A434" s="6" t="s">
        <v>203</v>
      </c>
      <c r="B434" s="255" t="s">
        <v>748</v>
      </c>
      <c r="C434" s="255" t="s">
        <v>749</v>
      </c>
      <c r="D434" s="255" t="s">
        <v>750</v>
      </c>
      <c r="E434" s="256">
        <v>4.0</v>
      </c>
      <c r="F434" s="256">
        <v>0.0</v>
      </c>
      <c r="G434" s="39">
        <f t="shared" si="1"/>
        <v>1000</v>
      </c>
      <c r="H434" s="13" t="str">
        <f t="shared" si="2"/>
        <v>4 Signed Rep + 0 5-Star Review</v>
      </c>
      <c r="I434" s="14"/>
      <c r="J434" s="14"/>
    </row>
    <row r="435" hidden="1">
      <c r="A435" s="6" t="s">
        <v>203</v>
      </c>
      <c r="B435" s="255" t="s">
        <v>751</v>
      </c>
      <c r="C435" s="255" t="s">
        <v>752</v>
      </c>
      <c r="D435" s="255" t="s">
        <v>753</v>
      </c>
      <c r="E435" s="256">
        <v>6.0</v>
      </c>
      <c r="F435" s="256">
        <v>0.0</v>
      </c>
      <c r="G435" s="39">
        <f t="shared" si="1"/>
        <v>1500</v>
      </c>
      <c r="H435" s="13" t="str">
        <f t="shared" si="2"/>
        <v>6 Signed Rep + 0 5-Star Review</v>
      </c>
      <c r="I435" s="14"/>
      <c r="J435" s="14"/>
    </row>
    <row r="436" hidden="1">
      <c r="A436" s="6" t="s">
        <v>203</v>
      </c>
      <c r="B436" s="255" t="s">
        <v>754</v>
      </c>
      <c r="C436" s="255" t="s">
        <v>755</v>
      </c>
      <c r="D436" s="255" t="s">
        <v>756</v>
      </c>
      <c r="E436" s="256">
        <v>10.0</v>
      </c>
      <c r="F436" s="256">
        <v>2.0</v>
      </c>
      <c r="G436" s="39">
        <f t="shared" si="1"/>
        <v>2700</v>
      </c>
      <c r="H436" s="13" t="str">
        <f t="shared" si="2"/>
        <v>10 Signed Rep + 2 5-Star Review</v>
      </c>
      <c r="I436" s="14"/>
      <c r="J436" s="14"/>
    </row>
    <row r="437" hidden="1">
      <c r="A437" s="6" t="s">
        <v>203</v>
      </c>
      <c r="B437" s="254" t="s">
        <v>757</v>
      </c>
      <c r="C437" s="255" t="s">
        <v>758</v>
      </c>
      <c r="D437" s="255" t="s">
        <v>759</v>
      </c>
      <c r="E437" s="256">
        <v>20.0</v>
      </c>
      <c r="F437" s="256">
        <v>0.0</v>
      </c>
      <c r="G437" s="39">
        <f t="shared" si="1"/>
        <v>5000</v>
      </c>
      <c r="H437" s="13" t="str">
        <f t="shared" si="2"/>
        <v>20 Signed Rep + 0 5-Star Review</v>
      </c>
      <c r="I437" s="23"/>
      <c r="J437" s="23"/>
    </row>
    <row r="438" hidden="1">
      <c r="A438" s="6" t="s">
        <v>203</v>
      </c>
      <c r="B438" s="255" t="s">
        <v>219</v>
      </c>
      <c r="C438" s="255" t="s">
        <v>220</v>
      </c>
      <c r="D438" s="255" t="s">
        <v>760</v>
      </c>
      <c r="E438" s="256">
        <v>7.0</v>
      </c>
      <c r="F438" s="256">
        <v>0.0</v>
      </c>
      <c r="G438" s="39">
        <f t="shared" si="1"/>
        <v>1750</v>
      </c>
      <c r="H438" s="13" t="str">
        <f t="shared" si="2"/>
        <v>7 Signed Rep + 0 5-Star Review</v>
      </c>
      <c r="I438" s="14"/>
      <c r="J438" s="14"/>
    </row>
    <row r="439" hidden="1">
      <c r="A439" s="6" t="s">
        <v>204</v>
      </c>
      <c r="B439" s="255" t="s">
        <v>615</v>
      </c>
      <c r="C439" s="255" t="s">
        <v>616</v>
      </c>
      <c r="D439" s="255" t="s">
        <v>617</v>
      </c>
      <c r="E439" s="256">
        <v>4.0</v>
      </c>
      <c r="F439" s="256">
        <v>0.0</v>
      </c>
      <c r="G439" s="39">
        <f t="shared" si="1"/>
        <v>1000</v>
      </c>
      <c r="H439" s="13" t="str">
        <f t="shared" si="2"/>
        <v>4 Signed Rep + 0 5-Star Review</v>
      </c>
      <c r="I439" s="14"/>
      <c r="J439" s="14"/>
    </row>
    <row r="440" hidden="1">
      <c r="A440" s="6" t="s">
        <v>204</v>
      </c>
      <c r="B440" s="255" t="s">
        <v>618</v>
      </c>
      <c r="C440" s="255" t="s">
        <v>619</v>
      </c>
      <c r="D440" s="255" t="s">
        <v>620</v>
      </c>
      <c r="E440" s="256">
        <v>11.0</v>
      </c>
      <c r="F440" s="256">
        <v>0.0</v>
      </c>
      <c r="G440" s="39">
        <f t="shared" si="1"/>
        <v>2750</v>
      </c>
      <c r="H440" s="13" t="str">
        <f t="shared" si="2"/>
        <v>11 Signed Rep + 0 5-Star Review</v>
      </c>
      <c r="I440" s="14"/>
      <c r="J440" s="14"/>
    </row>
    <row r="441" hidden="1">
      <c r="A441" s="6" t="s">
        <v>204</v>
      </c>
      <c r="B441" s="255" t="s">
        <v>624</v>
      </c>
      <c r="C441" s="255" t="s">
        <v>625</v>
      </c>
      <c r="D441" s="255" t="s">
        <v>626</v>
      </c>
      <c r="E441" s="256">
        <v>7.0</v>
      </c>
      <c r="F441" s="256">
        <v>0.0</v>
      </c>
      <c r="G441" s="39">
        <f t="shared" si="1"/>
        <v>1750</v>
      </c>
      <c r="H441" s="13" t="str">
        <f t="shared" si="2"/>
        <v>7 Signed Rep + 0 5-Star Review</v>
      </c>
      <c r="I441" s="14"/>
      <c r="J441" s="14"/>
    </row>
    <row r="442" hidden="1">
      <c r="A442" s="6" t="s">
        <v>204</v>
      </c>
      <c r="B442" s="255" t="s">
        <v>627</v>
      </c>
      <c r="C442" s="255" t="s">
        <v>628</v>
      </c>
      <c r="D442" s="255" t="s">
        <v>629</v>
      </c>
      <c r="E442" s="256">
        <v>6.0</v>
      </c>
      <c r="F442" s="256">
        <v>0.0</v>
      </c>
      <c r="G442" s="39">
        <f t="shared" si="1"/>
        <v>1500</v>
      </c>
      <c r="H442" s="13" t="str">
        <f t="shared" si="2"/>
        <v>6 Signed Rep + 0 5-Star Review</v>
      </c>
      <c r="I442" s="14"/>
      <c r="J442" s="14"/>
    </row>
    <row r="443" hidden="1">
      <c r="A443" s="6" t="s">
        <v>204</v>
      </c>
      <c r="B443" s="255" t="s">
        <v>630</v>
      </c>
      <c r="C443" s="255" t="s">
        <v>631</v>
      </c>
      <c r="D443" s="255" t="s">
        <v>632</v>
      </c>
      <c r="E443" s="256">
        <v>6.0</v>
      </c>
      <c r="F443" s="256">
        <v>0.0</v>
      </c>
      <c r="G443" s="39">
        <f t="shared" si="1"/>
        <v>1500</v>
      </c>
      <c r="H443" s="13" t="str">
        <f t="shared" si="2"/>
        <v>6 Signed Rep + 0 5-Star Review</v>
      </c>
      <c r="I443" s="14"/>
      <c r="J443" s="14"/>
    </row>
    <row r="444" hidden="1">
      <c r="A444" s="6" t="s">
        <v>204</v>
      </c>
      <c r="B444" s="255" t="s">
        <v>639</v>
      </c>
      <c r="C444" s="255" t="s">
        <v>640</v>
      </c>
      <c r="D444" s="255" t="s">
        <v>641</v>
      </c>
      <c r="E444" s="256">
        <v>2.0</v>
      </c>
      <c r="F444" s="256">
        <v>0.0</v>
      </c>
      <c r="G444" s="39">
        <f t="shared" si="1"/>
        <v>500</v>
      </c>
      <c r="H444" s="13" t="str">
        <f t="shared" si="2"/>
        <v>2 Signed Rep + 0 5-Star Review</v>
      </c>
      <c r="I444" s="14"/>
      <c r="J444" s="14"/>
    </row>
    <row r="445" hidden="1">
      <c r="A445" s="6" t="s">
        <v>204</v>
      </c>
      <c r="B445" s="255" t="s">
        <v>642</v>
      </c>
      <c r="C445" s="255" t="s">
        <v>643</v>
      </c>
      <c r="D445" s="255" t="s">
        <v>644</v>
      </c>
      <c r="E445" s="256">
        <v>4.0</v>
      </c>
      <c r="F445" s="256">
        <v>0.0</v>
      </c>
      <c r="G445" s="39">
        <f t="shared" si="1"/>
        <v>1000</v>
      </c>
      <c r="H445" s="13" t="str">
        <f t="shared" si="2"/>
        <v>4 Signed Rep + 0 5-Star Review</v>
      </c>
      <c r="I445" s="14"/>
      <c r="J445" s="14"/>
    </row>
    <row r="446" hidden="1">
      <c r="A446" s="6" t="s">
        <v>204</v>
      </c>
      <c r="B446" s="255" t="s">
        <v>645</v>
      </c>
      <c r="C446" s="255" t="s">
        <v>646</v>
      </c>
      <c r="D446" s="255" t="s">
        <v>647</v>
      </c>
      <c r="E446" s="256">
        <v>10.0</v>
      </c>
      <c r="F446" s="256">
        <v>0.0</v>
      </c>
      <c r="G446" s="39">
        <f t="shared" si="1"/>
        <v>2500</v>
      </c>
      <c r="H446" s="13" t="str">
        <f t="shared" si="2"/>
        <v>10 Signed Rep + 0 5-Star Review</v>
      </c>
      <c r="I446" s="14"/>
      <c r="J446" s="14"/>
    </row>
    <row r="447" hidden="1">
      <c r="A447" s="6" t="s">
        <v>204</v>
      </c>
      <c r="B447" s="255" t="s">
        <v>648</v>
      </c>
      <c r="C447" s="255" t="s">
        <v>649</v>
      </c>
      <c r="D447" s="255" t="s">
        <v>650</v>
      </c>
      <c r="E447" s="256">
        <v>7.0</v>
      </c>
      <c r="F447" s="256">
        <v>0.0</v>
      </c>
      <c r="G447" s="39">
        <f t="shared" si="1"/>
        <v>1750</v>
      </c>
      <c r="H447" s="13" t="str">
        <f t="shared" si="2"/>
        <v>7 Signed Rep + 0 5-Star Review</v>
      </c>
      <c r="I447" s="14"/>
      <c r="J447" s="14"/>
    </row>
    <row r="448" hidden="1">
      <c r="A448" s="6" t="s">
        <v>204</v>
      </c>
      <c r="B448" s="255" t="s">
        <v>651</v>
      </c>
      <c r="C448" s="255" t="s">
        <v>652</v>
      </c>
      <c r="D448" s="255" t="s">
        <v>653</v>
      </c>
      <c r="E448" s="256">
        <v>4.0</v>
      </c>
      <c r="F448" s="256">
        <v>0.0</v>
      </c>
      <c r="G448" s="39">
        <f t="shared" si="1"/>
        <v>1000</v>
      </c>
      <c r="H448" s="13" t="str">
        <f t="shared" si="2"/>
        <v>4 Signed Rep + 0 5-Star Review</v>
      </c>
      <c r="I448" s="14"/>
      <c r="J448" s="14"/>
    </row>
    <row r="449" hidden="1">
      <c r="A449" s="6" t="s">
        <v>204</v>
      </c>
      <c r="B449" s="255" t="s">
        <v>654</v>
      </c>
      <c r="C449" s="255" t="s">
        <v>655</v>
      </c>
      <c r="D449" s="255" t="s">
        <v>656</v>
      </c>
      <c r="E449" s="256">
        <v>6.0</v>
      </c>
      <c r="F449" s="256">
        <v>0.0</v>
      </c>
      <c r="G449" s="39">
        <f t="shared" si="1"/>
        <v>1500</v>
      </c>
      <c r="H449" s="13" t="str">
        <f t="shared" si="2"/>
        <v>6 Signed Rep + 0 5-Star Review</v>
      </c>
      <c r="I449" s="14"/>
      <c r="J449" s="14"/>
    </row>
    <row r="450" hidden="1">
      <c r="A450" s="6" t="s">
        <v>204</v>
      </c>
      <c r="B450" s="255" t="s">
        <v>657</v>
      </c>
      <c r="C450" s="255" t="s">
        <v>658</v>
      </c>
      <c r="D450" s="255" t="s">
        <v>659</v>
      </c>
      <c r="E450" s="256">
        <v>8.0</v>
      </c>
      <c r="F450" s="256">
        <v>0.0</v>
      </c>
      <c r="G450" s="39">
        <f t="shared" si="1"/>
        <v>2000</v>
      </c>
      <c r="H450" s="13" t="str">
        <f t="shared" si="2"/>
        <v>8 Signed Rep + 0 5-Star Review</v>
      </c>
      <c r="I450" s="14"/>
      <c r="J450" s="14"/>
    </row>
    <row r="451" hidden="1">
      <c r="A451" s="6" t="s">
        <v>204</v>
      </c>
      <c r="B451" s="255" t="s">
        <v>213</v>
      </c>
      <c r="C451" s="255" t="s">
        <v>214</v>
      </c>
      <c r="D451" s="255" t="s">
        <v>660</v>
      </c>
      <c r="E451" s="256">
        <v>4.0</v>
      </c>
      <c r="F451" s="256">
        <v>0.0</v>
      </c>
      <c r="G451" s="39">
        <f t="shared" si="1"/>
        <v>1000</v>
      </c>
      <c r="H451" s="13" t="str">
        <f t="shared" si="2"/>
        <v>4 Signed Rep + 0 5-Star Review</v>
      </c>
      <c r="I451" s="14"/>
      <c r="J451" s="14"/>
    </row>
    <row r="452" hidden="1">
      <c r="A452" s="6" t="s">
        <v>204</v>
      </c>
      <c r="B452" s="255" t="s">
        <v>661</v>
      </c>
      <c r="C452" s="255" t="s">
        <v>662</v>
      </c>
      <c r="D452" s="255" t="s">
        <v>663</v>
      </c>
      <c r="E452" s="256">
        <v>8.0</v>
      </c>
      <c r="F452" s="256">
        <v>0.0</v>
      </c>
      <c r="G452" s="39">
        <f t="shared" si="1"/>
        <v>2000</v>
      </c>
      <c r="H452" s="13" t="str">
        <f t="shared" si="2"/>
        <v>8 Signed Rep + 0 5-Star Review</v>
      </c>
      <c r="I452" s="14"/>
      <c r="J452" s="14"/>
    </row>
    <row r="453" hidden="1">
      <c r="A453" s="6" t="s">
        <v>204</v>
      </c>
      <c r="B453" s="255" t="s">
        <v>664</v>
      </c>
      <c r="C453" s="255" t="s">
        <v>665</v>
      </c>
      <c r="D453" s="255" t="s">
        <v>666</v>
      </c>
      <c r="E453" s="256">
        <v>23.0</v>
      </c>
      <c r="F453" s="256">
        <v>0.0</v>
      </c>
      <c r="G453" s="39">
        <f t="shared" si="1"/>
        <v>5750</v>
      </c>
      <c r="H453" s="13" t="str">
        <f t="shared" si="2"/>
        <v>23 Signed Rep + 0 5-Star Review</v>
      </c>
      <c r="I453" s="14"/>
      <c r="J453" s="14"/>
    </row>
    <row r="454" hidden="1">
      <c r="A454" s="6" t="s">
        <v>204</v>
      </c>
      <c r="B454" s="255" t="s">
        <v>667</v>
      </c>
      <c r="C454" s="255" t="s">
        <v>668</v>
      </c>
      <c r="D454" s="255" t="s">
        <v>669</v>
      </c>
      <c r="E454" s="256">
        <v>10.0</v>
      </c>
      <c r="F454" s="256">
        <v>1.0</v>
      </c>
      <c r="G454" s="39">
        <f t="shared" si="1"/>
        <v>2600</v>
      </c>
      <c r="H454" s="13" t="str">
        <f t="shared" si="2"/>
        <v>10 Signed Rep + 1 5-Star Review</v>
      </c>
      <c r="I454" s="14"/>
      <c r="J454" s="14"/>
    </row>
    <row r="455" hidden="1">
      <c r="A455" s="6" t="s">
        <v>204</v>
      </c>
      <c r="B455" s="255" t="s">
        <v>670</v>
      </c>
      <c r="C455" s="255" t="s">
        <v>671</v>
      </c>
      <c r="D455" s="255" t="s">
        <v>672</v>
      </c>
      <c r="E455" s="256">
        <v>7.0</v>
      </c>
      <c r="F455" s="256">
        <v>0.0</v>
      </c>
      <c r="G455" s="39">
        <f t="shared" si="1"/>
        <v>1750</v>
      </c>
      <c r="H455" s="13" t="str">
        <f t="shared" si="2"/>
        <v>7 Signed Rep + 0 5-Star Review</v>
      </c>
      <c r="I455" s="14"/>
      <c r="J455" s="14"/>
    </row>
    <row r="456" hidden="1">
      <c r="A456" s="6" t="s">
        <v>204</v>
      </c>
      <c r="B456" s="255" t="s">
        <v>673</v>
      </c>
      <c r="C456" s="255" t="s">
        <v>674</v>
      </c>
      <c r="D456" s="255" t="s">
        <v>675</v>
      </c>
      <c r="E456" s="256">
        <v>11.0</v>
      </c>
      <c r="F456" s="256">
        <v>2.0</v>
      </c>
      <c r="G456" s="39">
        <f t="shared" si="1"/>
        <v>2950</v>
      </c>
      <c r="H456" s="13" t="str">
        <f t="shared" si="2"/>
        <v>11 Signed Rep + 2 5-Star Review</v>
      </c>
      <c r="I456" s="14"/>
      <c r="J456" s="14"/>
    </row>
    <row r="457" hidden="1">
      <c r="A457" s="6" t="s">
        <v>204</v>
      </c>
      <c r="B457" s="255" t="s">
        <v>676</v>
      </c>
      <c r="C457" s="255" t="s">
        <v>677</v>
      </c>
      <c r="D457" s="255" t="s">
        <v>678</v>
      </c>
      <c r="E457" s="256">
        <v>13.0</v>
      </c>
      <c r="F457" s="256">
        <v>0.0</v>
      </c>
      <c r="G457" s="39">
        <f t="shared" si="1"/>
        <v>3250</v>
      </c>
      <c r="H457" s="13" t="str">
        <f t="shared" si="2"/>
        <v>13 Signed Rep + 0 5-Star Review</v>
      </c>
      <c r="I457" s="14"/>
      <c r="J457" s="14"/>
    </row>
    <row r="458" hidden="1">
      <c r="A458" s="6" t="s">
        <v>204</v>
      </c>
      <c r="B458" s="255" t="s">
        <v>679</v>
      </c>
      <c r="C458" s="255" t="s">
        <v>680</v>
      </c>
      <c r="D458" s="255" t="s">
        <v>785</v>
      </c>
      <c r="E458" s="256">
        <v>5.0</v>
      </c>
      <c r="F458" s="256">
        <v>2.0</v>
      </c>
      <c r="G458" s="39">
        <f t="shared" si="1"/>
        <v>1450</v>
      </c>
      <c r="H458" s="13" t="str">
        <f t="shared" si="2"/>
        <v>5 Signed Rep + 2 5-Star Review</v>
      </c>
      <c r="I458" s="14"/>
      <c r="J458" s="14"/>
    </row>
    <row r="459" hidden="1">
      <c r="A459" s="6" t="s">
        <v>204</v>
      </c>
      <c r="B459" s="255" t="s">
        <v>682</v>
      </c>
      <c r="C459" s="255" t="s">
        <v>683</v>
      </c>
      <c r="D459" s="255" t="s">
        <v>684</v>
      </c>
      <c r="E459" s="256">
        <v>6.0</v>
      </c>
      <c r="F459" s="256">
        <v>0.0</v>
      </c>
      <c r="G459" s="39">
        <f t="shared" si="1"/>
        <v>1500</v>
      </c>
      <c r="H459" s="13" t="str">
        <f t="shared" si="2"/>
        <v>6 Signed Rep + 0 5-Star Review</v>
      </c>
      <c r="I459" s="14"/>
      <c r="J459" s="14"/>
    </row>
    <row r="460" hidden="1">
      <c r="A460" s="6" t="s">
        <v>204</v>
      </c>
      <c r="B460" s="255" t="s">
        <v>685</v>
      </c>
      <c r="C460" s="255" t="s">
        <v>686</v>
      </c>
      <c r="D460" s="255" t="s">
        <v>687</v>
      </c>
      <c r="E460" s="256">
        <v>10.0</v>
      </c>
      <c r="F460" s="256">
        <v>0.0</v>
      </c>
      <c r="G460" s="39">
        <f t="shared" si="1"/>
        <v>2500</v>
      </c>
      <c r="H460" s="13" t="str">
        <f t="shared" si="2"/>
        <v>10 Signed Rep + 0 5-Star Review</v>
      </c>
      <c r="I460" s="14"/>
      <c r="J460" s="14"/>
    </row>
    <row r="461" hidden="1">
      <c r="A461" s="6" t="s">
        <v>204</v>
      </c>
      <c r="B461" s="255" t="s">
        <v>688</v>
      </c>
      <c r="C461" s="255" t="s">
        <v>689</v>
      </c>
      <c r="D461" s="255" t="s">
        <v>690</v>
      </c>
      <c r="E461" s="256">
        <v>12.0</v>
      </c>
      <c r="F461" s="256">
        <v>0.0</v>
      </c>
      <c r="G461" s="39">
        <f t="shared" si="1"/>
        <v>3000</v>
      </c>
      <c r="H461" s="13" t="str">
        <f t="shared" si="2"/>
        <v>12 Signed Rep + 0 5-Star Review</v>
      </c>
      <c r="I461" s="14"/>
      <c r="J461" s="14"/>
    </row>
    <row r="462" hidden="1">
      <c r="A462" s="6" t="s">
        <v>204</v>
      </c>
      <c r="B462" s="255" t="s">
        <v>691</v>
      </c>
      <c r="C462" s="255" t="s">
        <v>692</v>
      </c>
      <c r="D462" s="255" t="s">
        <v>693</v>
      </c>
      <c r="E462" s="256">
        <v>3.0</v>
      </c>
      <c r="F462" s="256">
        <v>0.0</v>
      </c>
      <c r="G462" s="39">
        <f t="shared" si="1"/>
        <v>750</v>
      </c>
      <c r="H462" s="13" t="str">
        <f t="shared" si="2"/>
        <v>3 Signed Rep + 0 5-Star Review</v>
      </c>
      <c r="I462" s="14"/>
      <c r="J462" s="14"/>
    </row>
    <row r="463" hidden="1">
      <c r="A463" s="6" t="s">
        <v>204</v>
      </c>
      <c r="B463" s="255" t="s">
        <v>694</v>
      </c>
      <c r="C463" s="255" t="s">
        <v>695</v>
      </c>
      <c r="D463" s="255" t="s">
        <v>696</v>
      </c>
      <c r="E463" s="256">
        <v>6.0</v>
      </c>
      <c r="F463" s="256">
        <v>0.0</v>
      </c>
      <c r="G463" s="39">
        <f t="shared" si="1"/>
        <v>1500</v>
      </c>
      <c r="H463" s="13" t="str">
        <f t="shared" si="2"/>
        <v>6 Signed Rep + 0 5-Star Review</v>
      </c>
      <c r="I463" s="14"/>
      <c r="J463" s="14"/>
    </row>
    <row r="464" hidden="1">
      <c r="A464" s="6" t="s">
        <v>204</v>
      </c>
      <c r="B464" s="255" t="s">
        <v>697</v>
      </c>
      <c r="C464" s="255" t="s">
        <v>698</v>
      </c>
      <c r="D464" s="255" t="s">
        <v>699</v>
      </c>
      <c r="E464" s="256">
        <v>11.0</v>
      </c>
      <c r="F464" s="256">
        <v>0.0</v>
      </c>
      <c r="G464" s="39">
        <f t="shared" si="1"/>
        <v>2750</v>
      </c>
      <c r="H464" s="13" t="str">
        <f t="shared" si="2"/>
        <v>11 Signed Rep + 0 5-Star Review</v>
      </c>
      <c r="I464" s="14"/>
      <c r="J464" s="14"/>
    </row>
    <row r="465" hidden="1">
      <c r="A465" s="6" t="s">
        <v>204</v>
      </c>
      <c r="B465" s="255" t="s">
        <v>700</v>
      </c>
      <c r="C465" s="255" t="s">
        <v>701</v>
      </c>
      <c r="D465" s="255" t="s">
        <v>702</v>
      </c>
      <c r="E465" s="256">
        <v>2.0</v>
      </c>
      <c r="F465" s="256">
        <v>0.0</v>
      </c>
      <c r="G465" s="39">
        <f t="shared" si="1"/>
        <v>500</v>
      </c>
      <c r="H465" s="13" t="str">
        <f t="shared" si="2"/>
        <v>2 Signed Rep + 0 5-Star Review</v>
      </c>
      <c r="I465" s="14"/>
      <c r="J465" s="14"/>
    </row>
    <row r="466" hidden="1">
      <c r="A466" s="6" t="s">
        <v>204</v>
      </c>
      <c r="B466" s="255" t="s">
        <v>703</v>
      </c>
      <c r="C466" s="255" t="s">
        <v>704</v>
      </c>
      <c r="D466" s="255" t="s">
        <v>705</v>
      </c>
      <c r="E466" s="256">
        <v>5.0</v>
      </c>
      <c r="F466" s="256">
        <v>1.0</v>
      </c>
      <c r="G466" s="39">
        <f t="shared" si="1"/>
        <v>1350</v>
      </c>
      <c r="H466" s="13" t="str">
        <f t="shared" si="2"/>
        <v>5 Signed Rep + 1 5-Star Review</v>
      </c>
      <c r="I466" s="14"/>
      <c r="J466" s="14"/>
    </row>
    <row r="467" hidden="1">
      <c r="A467" s="6" t="s">
        <v>204</v>
      </c>
      <c r="B467" s="255" t="s">
        <v>706</v>
      </c>
      <c r="C467" s="255" t="s">
        <v>707</v>
      </c>
      <c r="D467" s="255" t="s">
        <v>708</v>
      </c>
      <c r="E467" s="256">
        <v>4.0</v>
      </c>
      <c r="F467" s="256">
        <v>0.0</v>
      </c>
      <c r="G467" s="39">
        <f t="shared" si="1"/>
        <v>1000</v>
      </c>
      <c r="H467" s="13" t="str">
        <f t="shared" si="2"/>
        <v>4 Signed Rep + 0 5-Star Review</v>
      </c>
      <c r="I467" s="14"/>
      <c r="J467" s="14"/>
    </row>
    <row r="468" hidden="1">
      <c r="A468" s="6" t="s">
        <v>204</v>
      </c>
      <c r="B468" s="255" t="s">
        <v>709</v>
      </c>
      <c r="C468" s="255" t="s">
        <v>710</v>
      </c>
      <c r="D468" s="255" t="s">
        <v>711</v>
      </c>
      <c r="E468" s="256">
        <v>5.0</v>
      </c>
      <c r="F468" s="256">
        <v>0.0</v>
      </c>
      <c r="G468" s="39">
        <f t="shared" si="1"/>
        <v>1250</v>
      </c>
      <c r="H468" s="13" t="str">
        <f t="shared" si="2"/>
        <v>5 Signed Rep + 0 5-Star Review</v>
      </c>
      <c r="I468" s="14"/>
      <c r="J468" s="14"/>
    </row>
    <row r="469" hidden="1">
      <c r="A469" s="6" t="s">
        <v>204</v>
      </c>
      <c r="B469" s="255" t="s">
        <v>712</v>
      </c>
      <c r="C469" s="255" t="s">
        <v>713</v>
      </c>
      <c r="D469" s="255" t="s">
        <v>714</v>
      </c>
      <c r="E469" s="256">
        <v>6.0</v>
      </c>
      <c r="F469" s="256">
        <v>1.0</v>
      </c>
      <c r="G469" s="39">
        <f t="shared" si="1"/>
        <v>1600</v>
      </c>
      <c r="H469" s="13" t="str">
        <f t="shared" si="2"/>
        <v>6 Signed Rep + 1 5-Star Review</v>
      </c>
      <c r="I469" s="14"/>
      <c r="J469" s="14"/>
    </row>
    <row r="470" hidden="1">
      <c r="A470" s="6" t="s">
        <v>204</v>
      </c>
      <c r="B470" s="255" t="s">
        <v>715</v>
      </c>
      <c r="C470" s="255" t="s">
        <v>716</v>
      </c>
      <c r="D470" s="255" t="s">
        <v>717</v>
      </c>
      <c r="E470" s="256">
        <v>1.0</v>
      </c>
      <c r="F470" s="256">
        <v>0.0</v>
      </c>
      <c r="G470" s="39">
        <f t="shared" si="1"/>
        <v>250</v>
      </c>
      <c r="H470" s="13" t="str">
        <f t="shared" si="2"/>
        <v>1 Signed Rep + 0 5-Star Review</v>
      </c>
      <c r="I470" s="14"/>
      <c r="J470" s="14"/>
    </row>
    <row r="471" hidden="1">
      <c r="A471" s="6" t="s">
        <v>204</v>
      </c>
      <c r="B471" s="255" t="s">
        <v>718</v>
      </c>
      <c r="C471" s="255" t="s">
        <v>719</v>
      </c>
      <c r="D471" s="255" t="s">
        <v>720</v>
      </c>
      <c r="E471" s="256">
        <v>9.0</v>
      </c>
      <c r="F471" s="256">
        <v>0.0</v>
      </c>
      <c r="G471" s="39">
        <f t="shared" si="1"/>
        <v>2250</v>
      </c>
      <c r="H471" s="13" t="str">
        <f t="shared" si="2"/>
        <v>9 Signed Rep + 0 5-Star Review</v>
      </c>
      <c r="I471" s="14"/>
      <c r="J471" s="14"/>
    </row>
    <row r="472" hidden="1">
      <c r="A472" s="6" t="s">
        <v>204</v>
      </c>
      <c r="B472" s="255" t="s">
        <v>721</v>
      </c>
      <c r="C472" s="255" t="s">
        <v>722</v>
      </c>
      <c r="D472" s="255" t="s">
        <v>723</v>
      </c>
      <c r="E472" s="256">
        <v>6.0</v>
      </c>
      <c r="F472" s="256">
        <v>3.0</v>
      </c>
      <c r="G472" s="39">
        <f t="shared" si="1"/>
        <v>1800</v>
      </c>
      <c r="H472" s="13" t="str">
        <f t="shared" si="2"/>
        <v>6 Signed Rep + 3 5-Star Review</v>
      </c>
      <c r="I472" s="14"/>
      <c r="J472" s="14"/>
    </row>
    <row r="473" hidden="1">
      <c r="A473" s="6" t="s">
        <v>204</v>
      </c>
      <c r="B473" s="257" t="s">
        <v>724</v>
      </c>
      <c r="C473" s="255" t="s">
        <v>725</v>
      </c>
      <c r="D473" s="255" t="s">
        <v>726</v>
      </c>
      <c r="E473" s="256">
        <v>1.0</v>
      </c>
      <c r="F473" s="256">
        <v>0.0</v>
      </c>
      <c r="G473" s="39">
        <f t="shared" si="1"/>
        <v>250</v>
      </c>
      <c r="H473" s="13" t="str">
        <f t="shared" si="2"/>
        <v>1 Signed Rep + 0 5-Star Review</v>
      </c>
      <c r="I473" s="14"/>
      <c r="J473" s="14"/>
    </row>
    <row r="474" hidden="1">
      <c r="A474" s="6" t="s">
        <v>204</v>
      </c>
      <c r="B474" s="255" t="s">
        <v>727</v>
      </c>
      <c r="C474" s="255" t="s">
        <v>728</v>
      </c>
      <c r="D474" s="255" t="s">
        <v>729</v>
      </c>
      <c r="E474" s="256">
        <v>2.0</v>
      </c>
      <c r="F474" s="256">
        <v>0.0</v>
      </c>
      <c r="G474" s="39">
        <f t="shared" si="1"/>
        <v>500</v>
      </c>
      <c r="H474" s="13" t="str">
        <f t="shared" si="2"/>
        <v>2 Signed Rep + 0 5-Star Review</v>
      </c>
      <c r="I474" s="14"/>
      <c r="J474" s="14"/>
    </row>
    <row r="475" hidden="1">
      <c r="A475" s="6" t="s">
        <v>204</v>
      </c>
      <c r="B475" s="255" t="s">
        <v>730</v>
      </c>
      <c r="C475" s="255" t="s">
        <v>731</v>
      </c>
      <c r="D475" s="255" t="s">
        <v>732</v>
      </c>
      <c r="E475" s="256">
        <v>10.0</v>
      </c>
      <c r="F475" s="256">
        <v>0.0</v>
      </c>
      <c r="G475" s="39">
        <f t="shared" si="1"/>
        <v>2500</v>
      </c>
      <c r="H475" s="13" t="str">
        <f t="shared" si="2"/>
        <v>10 Signed Rep + 0 5-Star Review</v>
      </c>
      <c r="I475" s="14"/>
      <c r="J475" s="14"/>
    </row>
    <row r="476" hidden="1">
      <c r="A476" s="6" t="s">
        <v>204</v>
      </c>
      <c r="B476" s="255" t="s">
        <v>733</v>
      </c>
      <c r="C476" s="255" t="s">
        <v>734</v>
      </c>
      <c r="D476" s="255" t="s">
        <v>735</v>
      </c>
      <c r="E476" s="256">
        <v>5.0</v>
      </c>
      <c r="F476" s="256">
        <v>0.0</v>
      </c>
      <c r="G476" s="39">
        <f t="shared" si="1"/>
        <v>1250</v>
      </c>
      <c r="H476" s="13" t="str">
        <f t="shared" si="2"/>
        <v>5 Signed Rep + 0 5-Star Review</v>
      </c>
      <c r="I476" s="14"/>
      <c r="J476" s="14"/>
    </row>
    <row r="477" hidden="1">
      <c r="A477" s="6" t="s">
        <v>204</v>
      </c>
      <c r="B477" s="255" t="s">
        <v>736</v>
      </c>
      <c r="C477" s="255" t="s">
        <v>737</v>
      </c>
      <c r="D477" s="255" t="s">
        <v>738</v>
      </c>
      <c r="E477" s="256">
        <v>2.0</v>
      </c>
      <c r="F477" s="256">
        <v>0.0</v>
      </c>
      <c r="G477" s="39">
        <f t="shared" si="1"/>
        <v>500</v>
      </c>
      <c r="H477" s="13" t="str">
        <f t="shared" si="2"/>
        <v>2 Signed Rep + 0 5-Star Review</v>
      </c>
      <c r="I477" s="14"/>
      <c r="J477" s="14"/>
    </row>
    <row r="478" hidden="1">
      <c r="A478" s="6" t="s">
        <v>204</v>
      </c>
      <c r="B478" s="255" t="s">
        <v>739</v>
      </c>
      <c r="C478" s="255" t="s">
        <v>740</v>
      </c>
      <c r="D478" s="255" t="s">
        <v>741</v>
      </c>
      <c r="E478" s="256">
        <v>8.0</v>
      </c>
      <c r="F478" s="256">
        <v>0.0</v>
      </c>
      <c r="G478" s="39">
        <f t="shared" si="1"/>
        <v>2000</v>
      </c>
      <c r="H478" s="13" t="str">
        <f t="shared" si="2"/>
        <v>8 Signed Rep + 0 5-Star Review</v>
      </c>
      <c r="I478" s="14"/>
      <c r="J478" s="14"/>
    </row>
    <row r="479" hidden="1">
      <c r="A479" s="6" t="s">
        <v>204</v>
      </c>
      <c r="B479" s="255" t="s">
        <v>742</v>
      </c>
      <c r="C479" s="255" t="s">
        <v>743</v>
      </c>
      <c r="D479" s="255" t="s">
        <v>744</v>
      </c>
      <c r="E479" s="256">
        <v>0.0</v>
      </c>
      <c r="F479" s="256">
        <v>0.0</v>
      </c>
      <c r="G479" s="39">
        <f t="shared" si="1"/>
        <v>0</v>
      </c>
      <c r="H479" s="13" t="str">
        <f t="shared" si="2"/>
        <v>0 Signed Rep + 0 5-Star Review</v>
      </c>
      <c r="I479" s="14"/>
      <c r="J479" s="14"/>
    </row>
    <row r="480" hidden="1">
      <c r="A480" s="6" t="s">
        <v>204</v>
      </c>
      <c r="B480" s="254" t="s">
        <v>745</v>
      </c>
      <c r="C480" s="255" t="s">
        <v>746</v>
      </c>
      <c r="D480" s="255" t="s">
        <v>747</v>
      </c>
      <c r="E480" s="256">
        <v>7.0</v>
      </c>
      <c r="F480" s="256">
        <v>0.0</v>
      </c>
      <c r="G480" s="39">
        <f t="shared" si="1"/>
        <v>1750</v>
      </c>
      <c r="H480" s="13" t="str">
        <f t="shared" si="2"/>
        <v>7 Signed Rep + 0 5-Star Review</v>
      </c>
      <c r="I480" s="14"/>
      <c r="J480" s="14"/>
    </row>
    <row r="481" hidden="1">
      <c r="A481" s="6" t="s">
        <v>204</v>
      </c>
      <c r="B481" s="255" t="s">
        <v>748</v>
      </c>
      <c r="C481" s="255" t="s">
        <v>749</v>
      </c>
      <c r="D481" s="255" t="s">
        <v>750</v>
      </c>
      <c r="E481" s="256">
        <v>6.0</v>
      </c>
      <c r="F481" s="256">
        <v>0.0</v>
      </c>
      <c r="G481" s="39">
        <f t="shared" si="1"/>
        <v>1500</v>
      </c>
      <c r="H481" s="13" t="str">
        <f t="shared" si="2"/>
        <v>6 Signed Rep + 0 5-Star Review</v>
      </c>
      <c r="I481" s="14"/>
      <c r="J481" s="14"/>
    </row>
    <row r="482" hidden="1">
      <c r="A482" s="6" t="s">
        <v>204</v>
      </c>
      <c r="B482" s="255" t="s">
        <v>751</v>
      </c>
      <c r="C482" s="255" t="s">
        <v>752</v>
      </c>
      <c r="D482" s="255" t="s">
        <v>753</v>
      </c>
      <c r="E482" s="256">
        <v>5.0</v>
      </c>
      <c r="F482" s="256">
        <v>0.0</v>
      </c>
      <c r="G482" s="39">
        <f t="shared" si="1"/>
        <v>1250</v>
      </c>
      <c r="H482" s="13" t="str">
        <f t="shared" si="2"/>
        <v>5 Signed Rep + 0 5-Star Review</v>
      </c>
      <c r="I482" s="14"/>
      <c r="J482" s="14"/>
    </row>
    <row r="483" hidden="1">
      <c r="A483" s="6" t="s">
        <v>204</v>
      </c>
      <c r="B483" s="255" t="s">
        <v>754</v>
      </c>
      <c r="C483" s="255" t="s">
        <v>755</v>
      </c>
      <c r="D483" s="255" t="s">
        <v>756</v>
      </c>
      <c r="E483" s="256">
        <v>6.0</v>
      </c>
      <c r="F483" s="256">
        <v>5.0</v>
      </c>
      <c r="G483" s="39">
        <f t="shared" si="1"/>
        <v>2000</v>
      </c>
      <c r="H483" s="13" t="str">
        <f t="shared" si="2"/>
        <v>6 Signed Rep + 5 5-Star Review</v>
      </c>
      <c r="I483" s="14"/>
      <c r="J483" s="14"/>
    </row>
    <row r="484" hidden="1">
      <c r="A484" s="6" t="s">
        <v>204</v>
      </c>
      <c r="B484" s="254" t="s">
        <v>757</v>
      </c>
      <c r="C484" s="255" t="s">
        <v>758</v>
      </c>
      <c r="D484" s="255" t="s">
        <v>759</v>
      </c>
      <c r="E484" s="256">
        <v>17.0</v>
      </c>
      <c r="F484" s="256">
        <v>0.0</v>
      </c>
      <c r="G484" s="39">
        <f t="shared" si="1"/>
        <v>4250</v>
      </c>
      <c r="H484" s="13" t="str">
        <f t="shared" si="2"/>
        <v>17 Signed Rep + 0 5-Star Review</v>
      </c>
      <c r="I484" s="23"/>
      <c r="J484" s="23"/>
    </row>
    <row r="485" hidden="1">
      <c r="A485" s="6" t="s">
        <v>204</v>
      </c>
      <c r="B485" s="255" t="s">
        <v>219</v>
      </c>
      <c r="C485" s="255" t="s">
        <v>220</v>
      </c>
      <c r="D485" s="255" t="s">
        <v>760</v>
      </c>
      <c r="E485" s="256">
        <v>5.0</v>
      </c>
      <c r="F485" s="256">
        <v>0.0</v>
      </c>
      <c r="G485" s="39">
        <f t="shared" si="1"/>
        <v>1250</v>
      </c>
      <c r="H485" s="13" t="str">
        <f t="shared" si="2"/>
        <v>5 Signed Rep + 0 5-Star Review</v>
      </c>
      <c r="I485" s="14"/>
      <c r="J485" s="14"/>
    </row>
    <row r="486" hidden="1">
      <c r="A486" s="54" t="s">
        <v>243</v>
      </c>
      <c r="B486" s="254" t="s">
        <v>615</v>
      </c>
      <c r="C486" s="254" t="s">
        <v>616</v>
      </c>
      <c r="D486" s="254" t="s">
        <v>617</v>
      </c>
      <c r="E486" s="256">
        <v>2.0</v>
      </c>
      <c r="F486" s="256">
        <v>0.0</v>
      </c>
      <c r="G486" s="39">
        <f t="shared" si="1"/>
        <v>500</v>
      </c>
      <c r="H486" s="13" t="str">
        <f t="shared" si="2"/>
        <v>2 Signed Rep + 0 5-Star Review</v>
      </c>
      <c r="I486" s="14"/>
      <c r="J486" s="14"/>
    </row>
    <row r="487" hidden="1">
      <c r="A487" s="6" t="s">
        <v>243</v>
      </c>
      <c r="B487" s="255" t="s">
        <v>618</v>
      </c>
      <c r="C487" s="255" t="s">
        <v>619</v>
      </c>
      <c r="D487" s="255" t="s">
        <v>620</v>
      </c>
      <c r="E487" s="256">
        <v>6.0</v>
      </c>
      <c r="F487" s="256">
        <v>1.0</v>
      </c>
      <c r="G487" s="39">
        <f t="shared" si="1"/>
        <v>1600</v>
      </c>
      <c r="H487" s="13" t="str">
        <f t="shared" si="2"/>
        <v>6 Signed Rep + 1 5-Star Review</v>
      </c>
      <c r="I487" s="14"/>
      <c r="J487" s="14"/>
    </row>
    <row r="488" hidden="1">
      <c r="A488" s="6" t="s">
        <v>243</v>
      </c>
      <c r="B488" s="255" t="s">
        <v>621</v>
      </c>
      <c r="C488" s="255" t="s">
        <v>622</v>
      </c>
      <c r="D488" s="255" t="s">
        <v>623</v>
      </c>
      <c r="E488" s="256">
        <v>0.0</v>
      </c>
      <c r="F488" s="256">
        <v>0.0</v>
      </c>
      <c r="G488" s="39">
        <f t="shared" si="1"/>
        <v>0</v>
      </c>
      <c r="H488" s="13" t="str">
        <f t="shared" si="2"/>
        <v>0 Signed Rep + 0 5-Star Review</v>
      </c>
      <c r="I488" s="14"/>
      <c r="J488" s="14"/>
    </row>
    <row r="489" hidden="1">
      <c r="A489" s="6" t="s">
        <v>243</v>
      </c>
      <c r="B489" s="255" t="s">
        <v>624</v>
      </c>
      <c r="C489" s="255" t="s">
        <v>625</v>
      </c>
      <c r="D489" s="255" t="s">
        <v>626</v>
      </c>
      <c r="E489" s="256">
        <v>14.0</v>
      </c>
      <c r="F489" s="256">
        <v>0.0</v>
      </c>
      <c r="G489" s="39">
        <f t="shared" si="1"/>
        <v>3500</v>
      </c>
      <c r="H489" s="13" t="str">
        <f t="shared" si="2"/>
        <v>14 Signed Rep + 0 5-Star Review</v>
      </c>
      <c r="I489" s="14"/>
      <c r="J489" s="14"/>
    </row>
    <row r="490" hidden="1">
      <c r="A490" s="6" t="s">
        <v>243</v>
      </c>
      <c r="B490" s="255" t="s">
        <v>627</v>
      </c>
      <c r="C490" s="255" t="s">
        <v>628</v>
      </c>
      <c r="D490" s="255" t="s">
        <v>629</v>
      </c>
      <c r="E490" s="256">
        <v>3.0</v>
      </c>
      <c r="F490" s="256">
        <v>0.0</v>
      </c>
      <c r="G490" s="39">
        <f t="shared" si="1"/>
        <v>750</v>
      </c>
      <c r="H490" s="13" t="str">
        <f t="shared" si="2"/>
        <v>3 Signed Rep + 0 5-Star Review</v>
      </c>
      <c r="I490" s="14"/>
      <c r="J490" s="14"/>
    </row>
    <row r="491" hidden="1">
      <c r="A491" s="6" t="s">
        <v>243</v>
      </c>
      <c r="B491" s="255" t="s">
        <v>630</v>
      </c>
      <c r="C491" s="255" t="s">
        <v>631</v>
      </c>
      <c r="D491" s="255" t="s">
        <v>632</v>
      </c>
      <c r="E491" s="256">
        <v>8.0</v>
      </c>
      <c r="F491" s="256">
        <v>1.0</v>
      </c>
      <c r="G491" s="39">
        <f t="shared" si="1"/>
        <v>2100</v>
      </c>
      <c r="H491" s="13" t="str">
        <f t="shared" si="2"/>
        <v>8 Signed Rep + 1 5-Star Review</v>
      </c>
      <c r="I491" s="14"/>
      <c r="J491" s="14"/>
    </row>
    <row r="492" hidden="1">
      <c r="A492" s="6" t="s">
        <v>243</v>
      </c>
      <c r="B492" s="255" t="s">
        <v>633</v>
      </c>
      <c r="C492" s="255" t="s">
        <v>634</v>
      </c>
      <c r="D492" s="255" t="s">
        <v>635</v>
      </c>
      <c r="E492" s="256">
        <v>3.0</v>
      </c>
      <c r="F492" s="256">
        <v>0.0</v>
      </c>
      <c r="G492" s="39">
        <f t="shared" si="1"/>
        <v>750</v>
      </c>
      <c r="H492" s="13" t="str">
        <f t="shared" si="2"/>
        <v>3 Signed Rep + 0 5-Star Review</v>
      </c>
      <c r="I492" s="14"/>
      <c r="J492" s="14"/>
    </row>
    <row r="493" hidden="1">
      <c r="A493" s="6" t="s">
        <v>243</v>
      </c>
      <c r="B493" s="255" t="s">
        <v>636</v>
      </c>
      <c r="C493" s="255" t="s">
        <v>637</v>
      </c>
      <c r="D493" s="255" t="s">
        <v>638</v>
      </c>
      <c r="E493" s="256">
        <v>1.0</v>
      </c>
      <c r="F493" s="256">
        <v>0.0</v>
      </c>
      <c r="G493" s="39">
        <f t="shared" si="1"/>
        <v>250</v>
      </c>
      <c r="H493" s="13" t="str">
        <f t="shared" si="2"/>
        <v>1 Signed Rep + 0 5-Star Review</v>
      </c>
      <c r="I493" s="14"/>
      <c r="J493" s="14"/>
    </row>
    <row r="494" hidden="1">
      <c r="A494" s="6" t="s">
        <v>243</v>
      </c>
      <c r="B494" s="255" t="s">
        <v>639</v>
      </c>
      <c r="C494" s="255" t="s">
        <v>640</v>
      </c>
      <c r="D494" s="255" t="s">
        <v>641</v>
      </c>
      <c r="E494" s="256">
        <v>2.0</v>
      </c>
      <c r="F494" s="256">
        <v>0.0</v>
      </c>
      <c r="G494" s="39">
        <f t="shared" si="1"/>
        <v>500</v>
      </c>
      <c r="H494" s="13" t="str">
        <f t="shared" si="2"/>
        <v>2 Signed Rep + 0 5-Star Review</v>
      </c>
      <c r="I494" s="14"/>
      <c r="J494" s="14"/>
    </row>
    <row r="495" hidden="1">
      <c r="A495" s="6" t="s">
        <v>243</v>
      </c>
      <c r="B495" s="255" t="s">
        <v>642</v>
      </c>
      <c r="C495" s="255" t="s">
        <v>643</v>
      </c>
      <c r="D495" s="255" t="s">
        <v>644</v>
      </c>
      <c r="E495" s="256">
        <v>6.0</v>
      </c>
      <c r="F495" s="256">
        <v>0.0</v>
      </c>
      <c r="G495" s="39">
        <f t="shared" si="1"/>
        <v>1500</v>
      </c>
      <c r="H495" s="13" t="str">
        <f t="shared" si="2"/>
        <v>6 Signed Rep + 0 5-Star Review</v>
      </c>
      <c r="I495" s="14"/>
      <c r="J495" s="14"/>
    </row>
    <row r="496" hidden="1">
      <c r="A496" s="6" t="s">
        <v>243</v>
      </c>
      <c r="B496" s="255" t="s">
        <v>645</v>
      </c>
      <c r="C496" s="255" t="s">
        <v>646</v>
      </c>
      <c r="D496" s="255" t="s">
        <v>647</v>
      </c>
      <c r="E496" s="256">
        <v>7.0</v>
      </c>
      <c r="F496" s="256">
        <v>0.0</v>
      </c>
      <c r="G496" s="39">
        <f t="shared" si="1"/>
        <v>1750</v>
      </c>
      <c r="H496" s="13" t="str">
        <f t="shared" si="2"/>
        <v>7 Signed Rep + 0 5-Star Review</v>
      </c>
      <c r="I496" s="14"/>
      <c r="J496" s="14"/>
    </row>
    <row r="497" hidden="1">
      <c r="A497" s="6" t="s">
        <v>243</v>
      </c>
      <c r="B497" s="255" t="s">
        <v>648</v>
      </c>
      <c r="C497" s="255" t="s">
        <v>649</v>
      </c>
      <c r="D497" s="255" t="s">
        <v>650</v>
      </c>
      <c r="E497" s="256">
        <v>11.0</v>
      </c>
      <c r="F497" s="256">
        <v>0.0</v>
      </c>
      <c r="G497" s="39">
        <f t="shared" si="1"/>
        <v>2750</v>
      </c>
      <c r="H497" s="13" t="str">
        <f t="shared" si="2"/>
        <v>11 Signed Rep + 0 5-Star Review</v>
      </c>
      <c r="I497" s="14"/>
      <c r="J497" s="14"/>
    </row>
    <row r="498" hidden="1">
      <c r="A498" s="6" t="s">
        <v>243</v>
      </c>
      <c r="B498" s="255" t="s">
        <v>651</v>
      </c>
      <c r="C498" s="255" t="s">
        <v>652</v>
      </c>
      <c r="D498" s="255" t="s">
        <v>653</v>
      </c>
      <c r="E498" s="256">
        <v>8.0</v>
      </c>
      <c r="F498" s="256">
        <v>0.0</v>
      </c>
      <c r="G498" s="39">
        <f t="shared" si="1"/>
        <v>2000</v>
      </c>
      <c r="H498" s="13" t="str">
        <f t="shared" si="2"/>
        <v>8 Signed Rep + 0 5-Star Review</v>
      </c>
      <c r="I498" s="14"/>
      <c r="J498" s="14"/>
    </row>
    <row r="499" hidden="1">
      <c r="A499" s="6" t="s">
        <v>243</v>
      </c>
      <c r="B499" s="255" t="s">
        <v>654</v>
      </c>
      <c r="C499" s="255" t="s">
        <v>655</v>
      </c>
      <c r="D499" s="255" t="s">
        <v>656</v>
      </c>
      <c r="E499" s="256">
        <v>7.0</v>
      </c>
      <c r="F499" s="256">
        <v>0.0</v>
      </c>
      <c r="G499" s="39">
        <f t="shared" si="1"/>
        <v>1750</v>
      </c>
      <c r="H499" s="13" t="str">
        <f t="shared" si="2"/>
        <v>7 Signed Rep + 0 5-Star Review</v>
      </c>
      <c r="I499" s="14"/>
      <c r="J499" s="14"/>
    </row>
    <row r="500" hidden="1">
      <c r="A500" s="6" t="s">
        <v>243</v>
      </c>
      <c r="B500" s="255" t="s">
        <v>657</v>
      </c>
      <c r="C500" s="255" t="s">
        <v>658</v>
      </c>
      <c r="D500" s="255" t="s">
        <v>659</v>
      </c>
      <c r="E500" s="256">
        <v>10.0</v>
      </c>
      <c r="F500" s="256">
        <v>0.0</v>
      </c>
      <c r="G500" s="39">
        <f t="shared" si="1"/>
        <v>2500</v>
      </c>
      <c r="H500" s="13" t="str">
        <f t="shared" si="2"/>
        <v>10 Signed Rep + 0 5-Star Review</v>
      </c>
      <c r="I500" s="14"/>
      <c r="J500" s="14"/>
    </row>
    <row r="501" hidden="1">
      <c r="A501" s="6" t="s">
        <v>243</v>
      </c>
      <c r="B501" s="255" t="s">
        <v>213</v>
      </c>
      <c r="C501" s="255" t="s">
        <v>214</v>
      </c>
      <c r="D501" s="255" t="s">
        <v>660</v>
      </c>
      <c r="E501" s="256">
        <v>9.0</v>
      </c>
      <c r="F501" s="256">
        <v>0.0</v>
      </c>
      <c r="G501" s="39">
        <f t="shared" si="1"/>
        <v>2250</v>
      </c>
      <c r="H501" s="13" t="str">
        <f t="shared" si="2"/>
        <v>9 Signed Rep + 0 5-Star Review</v>
      </c>
      <c r="I501" s="14"/>
      <c r="J501" s="14"/>
    </row>
    <row r="502" hidden="1">
      <c r="A502" s="6" t="s">
        <v>243</v>
      </c>
      <c r="B502" s="255" t="s">
        <v>661</v>
      </c>
      <c r="C502" s="255" t="s">
        <v>662</v>
      </c>
      <c r="D502" s="255" t="s">
        <v>663</v>
      </c>
      <c r="E502" s="256">
        <v>15.0</v>
      </c>
      <c r="F502" s="256">
        <v>0.0</v>
      </c>
      <c r="G502" s="39">
        <f t="shared" si="1"/>
        <v>3750</v>
      </c>
      <c r="H502" s="13" t="str">
        <f t="shared" si="2"/>
        <v>15 Signed Rep + 0 5-Star Review</v>
      </c>
      <c r="I502" s="14"/>
      <c r="J502" s="14"/>
    </row>
    <row r="503" hidden="1">
      <c r="A503" s="6" t="s">
        <v>243</v>
      </c>
      <c r="B503" s="255" t="s">
        <v>664</v>
      </c>
      <c r="C503" s="255" t="s">
        <v>665</v>
      </c>
      <c r="D503" s="255" t="s">
        <v>666</v>
      </c>
      <c r="E503" s="256">
        <v>29.0</v>
      </c>
      <c r="F503" s="256">
        <v>0.0</v>
      </c>
      <c r="G503" s="39">
        <f t="shared" si="1"/>
        <v>7250</v>
      </c>
      <c r="H503" s="13" t="str">
        <f t="shared" si="2"/>
        <v>29 Signed Rep + 0 5-Star Review</v>
      </c>
      <c r="I503" s="14"/>
      <c r="J503" s="14"/>
    </row>
    <row r="504" hidden="1">
      <c r="A504" s="6" t="s">
        <v>243</v>
      </c>
      <c r="B504" s="255" t="s">
        <v>667</v>
      </c>
      <c r="C504" s="255" t="s">
        <v>668</v>
      </c>
      <c r="D504" s="255" t="s">
        <v>669</v>
      </c>
      <c r="E504" s="256">
        <v>11.0</v>
      </c>
      <c r="F504" s="256">
        <v>0.0</v>
      </c>
      <c r="G504" s="39">
        <f t="shared" si="1"/>
        <v>2750</v>
      </c>
      <c r="H504" s="13" t="str">
        <f t="shared" si="2"/>
        <v>11 Signed Rep + 0 5-Star Review</v>
      </c>
      <c r="I504" s="14"/>
      <c r="J504" s="14"/>
    </row>
    <row r="505" hidden="1">
      <c r="A505" s="6" t="s">
        <v>243</v>
      </c>
      <c r="B505" s="255" t="s">
        <v>670</v>
      </c>
      <c r="C505" s="255" t="s">
        <v>671</v>
      </c>
      <c r="D505" s="255" t="s">
        <v>672</v>
      </c>
      <c r="E505" s="256">
        <v>7.0</v>
      </c>
      <c r="F505" s="256">
        <v>0.0</v>
      </c>
      <c r="G505" s="39">
        <f t="shared" si="1"/>
        <v>1750</v>
      </c>
      <c r="H505" s="13" t="str">
        <f t="shared" si="2"/>
        <v>7 Signed Rep + 0 5-Star Review</v>
      </c>
      <c r="I505" s="14"/>
      <c r="J505" s="14"/>
    </row>
    <row r="506" hidden="1">
      <c r="A506" s="6" t="s">
        <v>243</v>
      </c>
      <c r="B506" s="255" t="s">
        <v>673</v>
      </c>
      <c r="C506" s="255" t="s">
        <v>674</v>
      </c>
      <c r="D506" s="255" t="s">
        <v>675</v>
      </c>
      <c r="E506" s="256">
        <v>13.0</v>
      </c>
      <c r="F506" s="256">
        <v>1.0</v>
      </c>
      <c r="G506" s="39">
        <f t="shared" si="1"/>
        <v>3350</v>
      </c>
      <c r="H506" s="13" t="str">
        <f t="shared" si="2"/>
        <v>13 Signed Rep + 1 5-Star Review</v>
      </c>
      <c r="I506" s="14"/>
      <c r="J506" s="14"/>
    </row>
    <row r="507" hidden="1">
      <c r="A507" s="6" t="s">
        <v>243</v>
      </c>
      <c r="B507" s="255" t="s">
        <v>676</v>
      </c>
      <c r="C507" s="255" t="s">
        <v>677</v>
      </c>
      <c r="D507" s="255" t="s">
        <v>678</v>
      </c>
      <c r="E507" s="256">
        <v>6.0</v>
      </c>
      <c r="F507" s="256">
        <v>0.0</v>
      </c>
      <c r="G507" s="39">
        <f t="shared" si="1"/>
        <v>1500</v>
      </c>
      <c r="H507" s="13" t="str">
        <f t="shared" si="2"/>
        <v>6 Signed Rep + 0 5-Star Review</v>
      </c>
      <c r="I507" s="14"/>
      <c r="J507" s="14"/>
    </row>
    <row r="508" hidden="1">
      <c r="A508" s="6" t="s">
        <v>243</v>
      </c>
      <c r="B508" s="255" t="s">
        <v>679</v>
      </c>
      <c r="C508" s="255" t="s">
        <v>680</v>
      </c>
      <c r="D508" s="255" t="s">
        <v>786</v>
      </c>
      <c r="E508" s="256">
        <v>11.0</v>
      </c>
      <c r="F508" s="256">
        <v>3.0</v>
      </c>
      <c r="G508" s="39">
        <f t="shared" si="1"/>
        <v>3050</v>
      </c>
      <c r="H508" s="13" t="str">
        <f t="shared" si="2"/>
        <v>11 Signed Rep + 3 5-Star Review</v>
      </c>
      <c r="I508" s="14"/>
      <c r="J508" s="14"/>
    </row>
    <row r="509" hidden="1">
      <c r="A509" s="6" t="s">
        <v>243</v>
      </c>
      <c r="B509" s="255" t="s">
        <v>682</v>
      </c>
      <c r="C509" s="255" t="s">
        <v>683</v>
      </c>
      <c r="D509" s="255" t="s">
        <v>684</v>
      </c>
      <c r="E509" s="256">
        <v>7.0</v>
      </c>
      <c r="F509" s="256">
        <v>0.0</v>
      </c>
      <c r="G509" s="39">
        <f t="shared" si="1"/>
        <v>1750</v>
      </c>
      <c r="H509" s="13" t="str">
        <f t="shared" si="2"/>
        <v>7 Signed Rep + 0 5-Star Review</v>
      </c>
      <c r="I509" s="14"/>
      <c r="J509" s="14"/>
    </row>
    <row r="510" hidden="1">
      <c r="A510" s="6" t="s">
        <v>243</v>
      </c>
      <c r="B510" s="255" t="s">
        <v>685</v>
      </c>
      <c r="C510" s="255" t="s">
        <v>686</v>
      </c>
      <c r="D510" s="255" t="s">
        <v>687</v>
      </c>
      <c r="E510" s="256">
        <v>11.0</v>
      </c>
      <c r="F510" s="256">
        <v>0.0</v>
      </c>
      <c r="G510" s="39">
        <f t="shared" si="1"/>
        <v>2750</v>
      </c>
      <c r="H510" s="13" t="str">
        <f t="shared" si="2"/>
        <v>11 Signed Rep + 0 5-Star Review</v>
      </c>
      <c r="I510" s="14"/>
      <c r="J510" s="14"/>
    </row>
    <row r="511" hidden="1">
      <c r="A511" s="6" t="s">
        <v>243</v>
      </c>
      <c r="B511" s="255" t="s">
        <v>688</v>
      </c>
      <c r="C511" s="255" t="s">
        <v>689</v>
      </c>
      <c r="D511" s="255" t="s">
        <v>690</v>
      </c>
      <c r="E511" s="256">
        <v>17.0</v>
      </c>
      <c r="F511" s="256">
        <v>0.0</v>
      </c>
      <c r="G511" s="39">
        <f t="shared" si="1"/>
        <v>4250</v>
      </c>
      <c r="H511" s="13" t="str">
        <f t="shared" si="2"/>
        <v>17 Signed Rep + 0 5-Star Review</v>
      </c>
      <c r="I511" s="14"/>
      <c r="J511" s="14"/>
    </row>
    <row r="512" hidden="1">
      <c r="A512" s="6" t="s">
        <v>243</v>
      </c>
      <c r="B512" s="255" t="s">
        <v>691</v>
      </c>
      <c r="C512" s="255" t="s">
        <v>692</v>
      </c>
      <c r="D512" s="255" t="s">
        <v>693</v>
      </c>
      <c r="E512" s="256">
        <v>6.0</v>
      </c>
      <c r="F512" s="256">
        <v>0.0</v>
      </c>
      <c r="G512" s="39">
        <f t="shared" si="1"/>
        <v>1500</v>
      </c>
      <c r="H512" s="13" t="str">
        <f t="shared" si="2"/>
        <v>6 Signed Rep + 0 5-Star Review</v>
      </c>
      <c r="I512" s="14"/>
      <c r="J512" s="14"/>
    </row>
    <row r="513" hidden="1">
      <c r="A513" s="6" t="s">
        <v>243</v>
      </c>
      <c r="B513" s="255" t="s">
        <v>694</v>
      </c>
      <c r="C513" s="255" t="s">
        <v>695</v>
      </c>
      <c r="D513" s="255" t="s">
        <v>696</v>
      </c>
      <c r="E513" s="256">
        <v>9.0</v>
      </c>
      <c r="F513" s="256">
        <v>1.0</v>
      </c>
      <c r="G513" s="39">
        <f t="shared" si="1"/>
        <v>2350</v>
      </c>
      <c r="H513" s="13" t="str">
        <f t="shared" si="2"/>
        <v>9 Signed Rep + 1 5-Star Review</v>
      </c>
      <c r="I513" s="14"/>
      <c r="J513" s="14"/>
    </row>
    <row r="514" hidden="1">
      <c r="A514" s="6" t="s">
        <v>243</v>
      </c>
      <c r="B514" s="255" t="s">
        <v>697</v>
      </c>
      <c r="C514" s="255" t="s">
        <v>698</v>
      </c>
      <c r="D514" s="255" t="s">
        <v>699</v>
      </c>
      <c r="E514" s="256">
        <v>9.0</v>
      </c>
      <c r="F514" s="256">
        <v>0.0</v>
      </c>
      <c r="G514" s="39">
        <f t="shared" si="1"/>
        <v>2250</v>
      </c>
      <c r="H514" s="13" t="str">
        <f t="shared" si="2"/>
        <v>9 Signed Rep + 0 5-Star Review</v>
      </c>
      <c r="I514" s="14"/>
      <c r="J514" s="14"/>
    </row>
    <row r="515" hidden="1">
      <c r="A515" s="6" t="s">
        <v>243</v>
      </c>
      <c r="B515" s="255" t="s">
        <v>700</v>
      </c>
      <c r="C515" s="255" t="s">
        <v>701</v>
      </c>
      <c r="D515" s="255" t="s">
        <v>702</v>
      </c>
      <c r="E515" s="256">
        <v>9.0</v>
      </c>
      <c r="F515" s="256">
        <v>0.0</v>
      </c>
      <c r="G515" s="39">
        <f t="shared" si="1"/>
        <v>2250</v>
      </c>
      <c r="H515" s="13" t="str">
        <f t="shared" si="2"/>
        <v>9 Signed Rep + 0 5-Star Review</v>
      </c>
      <c r="I515" s="14"/>
      <c r="J515" s="14"/>
    </row>
    <row r="516" hidden="1">
      <c r="A516" s="6" t="s">
        <v>243</v>
      </c>
      <c r="B516" s="255" t="s">
        <v>703</v>
      </c>
      <c r="C516" s="255" t="s">
        <v>704</v>
      </c>
      <c r="D516" s="255" t="s">
        <v>705</v>
      </c>
      <c r="E516" s="256">
        <v>8.0</v>
      </c>
      <c r="F516" s="256">
        <v>0.0</v>
      </c>
      <c r="G516" s="39">
        <f t="shared" si="1"/>
        <v>2000</v>
      </c>
      <c r="H516" s="13" t="str">
        <f t="shared" si="2"/>
        <v>8 Signed Rep + 0 5-Star Review</v>
      </c>
      <c r="I516" s="14"/>
      <c r="J516" s="14"/>
    </row>
    <row r="517" hidden="1">
      <c r="A517" s="6" t="s">
        <v>243</v>
      </c>
      <c r="B517" s="255" t="s">
        <v>706</v>
      </c>
      <c r="C517" s="255" t="s">
        <v>707</v>
      </c>
      <c r="D517" s="255" t="s">
        <v>708</v>
      </c>
      <c r="E517" s="256">
        <v>6.0</v>
      </c>
      <c r="F517" s="256">
        <v>0.0</v>
      </c>
      <c r="G517" s="39">
        <f t="shared" si="1"/>
        <v>1500</v>
      </c>
      <c r="H517" s="13" t="str">
        <f t="shared" si="2"/>
        <v>6 Signed Rep + 0 5-Star Review</v>
      </c>
      <c r="I517" s="14"/>
      <c r="J517" s="14"/>
    </row>
    <row r="518" hidden="1">
      <c r="A518" s="6" t="s">
        <v>243</v>
      </c>
      <c r="B518" s="255" t="s">
        <v>709</v>
      </c>
      <c r="C518" s="255" t="s">
        <v>710</v>
      </c>
      <c r="D518" s="255" t="s">
        <v>711</v>
      </c>
      <c r="E518" s="256">
        <v>8.0</v>
      </c>
      <c r="F518" s="256">
        <v>0.0</v>
      </c>
      <c r="G518" s="39">
        <f t="shared" si="1"/>
        <v>2000</v>
      </c>
      <c r="H518" s="13" t="str">
        <f t="shared" si="2"/>
        <v>8 Signed Rep + 0 5-Star Review</v>
      </c>
      <c r="I518" s="14"/>
      <c r="J518" s="14"/>
    </row>
    <row r="519" hidden="1">
      <c r="A519" s="6" t="s">
        <v>243</v>
      </c>
      <c r="B519" s="255" t="s">
        <v>712</v>
      </c>
      <c r="C519" s="255" t="s">
        <v>713</v>
      </c>
      <c r="D519" s="255" t="s">
        <v>714</v>
      </c>
      <c r="E519" s="256">
        <v>8.0</v>
      </c>
      <c r="F519" s="256">
        <v>1.0</v>
      </c>
      <c r="G519" s="39">
        <f t="shared" si="1"/>
        <v>2100</v>
      </c>
      <c r="H519" s="13" t="str">
        <f t="shared" si="2"/>
        <v>8 Signed Rep + 1 5-Star Review</v>
      </c>
      <c r="I519" s="14"/>
      <c r="J519" s="14"/>
    </row>
    <row r="520" hidden="1">
      <c r="A520" s="6" t="s">
        <v>243</v>
      </c>
      <c r="B520" s="255" t="s">
        <v>715</v>
      </c>
      <c r="C520" s="255" t="s">
        <v>716</v>
      </c>
      <c r="D520" s="255" t="s">
        <v>717</v>
      </c>
      <c r="E520" s="256">
        <v>6.0</v>
      </c>
      <c r="F520" s="256">
        <v>0.0</v>
      </c>
      <c r="G520" s="39">
        <f t="shared" si="1"/>
        <v>1500</v>
      </c>
      <c r="H520" s="13" t="str">
        <f t="shared" si="2"/>
        <v>6 Signed Rep + 0 5-Star Review</v>
      </c>
      <c r="I520" s="14"/>
      <c r="J520" s="14"/>
    </row>
    <row r="521" hidden="1">
      <c r="A521" s="6" t="s">
        <v>243</v>
      </c>
      <c r="B521" s="255" t="s">
        <v>718</v>
      </c>
      <c r="C521" s="255" t="s">
        <v>719</v>
      </c>
      <c r="D521" s="255" t="s">
        <v>720</v>
      </c>
      <c r="E521" s="256">
        <v>6.0</v>
      </c>
      <c r="F521" s="256">
        <v>0.0</v>
      </c>
      <c r="G521" s="39">
        <f t="shared" si="1"/>
        <v>1500</v>
      </c>
      <c r="H521" s="13" t="str">
        <f t="shared" si="2"/>
        <v>6 Signed Rep + 0 5-Star Review</v>
      </c>
      <c r="I521" s="14"/>
      <c r="J521" s="14"/>
    </row>
    <row r="522" hidden="1">
      <c r="A522" s="6" t="s">
        <v>243</v>
      </c>
      <c r="B522" s="255" t="s">
        <v>721</v>
      </c>
      <c r="C522" s="255" t="s">
        <v>722</v>
      </c>
      <c r="D522" s="255" t="s">
        <v>723</v>
      </c>
      <c r="E522" s="256">
        <v>16.0</v>
      </c>
      <c r="F522" s="256">
        <v>5.0</v>
      </c>
      <c r="G522" s="39">
        <f t="shared" si="1"/>
        <v>4500</v>
      </c>
      <c r="H522" s="13" t="str">
        <f t="shared" si="2"/>
        <v>16 Signed Rep + 5 5-Star Review</v>
      </c>
      <c r="I522" s="14"/>
      <c r="J522" s="14"/>
    </row>
    <row r="523" hidden="1">
      <c r="A523" s="6" t="s">
        <v>243</v>
      </c>
      <c r="B523" s="257" t="s">
        <v>724</v>
      </c>
      <c r="C523" s="255" t="s">
        <v>725</v>
      </c>
      <c r="D523" s="255" t="s">
        <v>726</v>
      </c>
      <c r="E523" s="256">
        <v>4.0</v>
      </c>
      <c r="F523" s="256">
        <v>0.0</v>
      </c>
      <c r="G523" s="39">
        <f t="shared" si="1"/>
        <v>1000</v>
      </c>
      <c r="H523" s="13" t="str">
        <f t="shared" si="2"/>
        <v>4 Signed Rep + 0 5-Star Review</v>
      </c>
      <c r="I523" s="14"/>
      <c r="J523" s="14"/>
    </row>
    <row r="524" hidden="1">
      <c r="A524" s="6" t="s">
        <v>243</v>
      </c>
      <c r="B524" s="255" t="s">
        <v>727</v>
      </c>
      <c r="C524" s="255" t="s">
        <v>728</v>
      </c>
      <c r="D524" s="255" t="s">
        <v>729</v>
      </c>
      <c r="E524" s="256">
        <v>2.0</v>
      </c>
      <c r="F524" s="256">
        <v>0.0</v>
      </c>
      <c r="G524" s="39">
        <f t="shared" si="1"/>
        <v>500</v>
      </c>
      <c r="H524" s="13" t="str">
        <f t="shared" si="2"/>
        <v>2 Signed Rep + 0 5-Star Review</v>
      </c>
      <c r="I524" s="14"/>
      <c r="J524" s="14"/>
    </row>
    <row r="525" hidden="1">
      <c r="A525" s="6" t="s">
        <v>243</v>
      </c>
      <c r="B525" s="255" t="s">
        <v>730</v>
      </c>
      <c r="C525" s="255" t="s">
        <v>731</v>
      </c>
      <c r="D525" s="255" t="s">
        <v>732</v>
      </c>
      <c r="E525" s="256">
        <v>8.0</v>
      </c>
      <c r="F525" s="256">
        <v>0.0</v>
      </c>
      <c r="G525" s="39">
        <f t="shared" si="1"/>
        <v>2000</v>
      </c>
      <c r="H525" s="13" t="str">
        <f t="shared" si="2"/>
        <v>8 Signed Rep + 0 5-Star Review</v>
      </c>
      <c r="I525" s="14"/>
      <c r="J525" s="14"/>
    </row>
    <row r="526" hidden="1">
      <c r="A526" s="6" t="s">
        <v>243</v>
      </c>
      <c r="B526" s="255" t="s">
        <v>733</v>
      </c>
      <c r="C526" s="255" t="s">
        <v>734</v>
      </c>
      <c r="D526" s="255" t="s">
        <v>735</v>
      </c>
      <c r="E526" s="256">
        <v>5.0</v>
      </c>
      <c r="F526" s="256">
        <v>0.0</v>
      </c>
      <c r="G526" s="39">
        <f t="shared" si="1"/>
        <v>1250</v>
      </c>
      <c r="H526" s="13" t="str">
        <f t="shared" si="2"/>
        <v>5 Signed Rep + 0 5-Star Review</v>
      </c>
      <c r="I526" s="14"/>
      <c r="J526" s="14"/>
    </row>
    <row r="527" hidden="1">
      <c r="A527" s="6" t="s">
        <v>243</v>
      </c>
      <c r="B527" s="255" t="s">
        <v>736</v>
      </c>
      <c r="C527" s="255" t="s">
        <v>737</v>
      </c>
      <c r="D527" s="255" t="s">
        <v>738</v>
      </c>
      <c r="E527" s="256">
        <v>9.0</v>
      </c>
      <c r="F527" s="256">
        <v>0.0</v>
      </c>
      <c r="G527" s="39">
        <f t="shared" si="1"/>
        <v>2250</v>
      </c>
      <c r="H527" s="13" t="str">
        <f t="shared" si="2"/>
        <v>9 Signed Rep + 0 5-Star Review</v>
      </c>
      <c r="I527" s="14"/>
      <c r="J527" s="14"/>
    </row>
    <row r="528" hidden="1">
      <c r="A528" s="6" t="s">
        <v>243</v>
      </c>
      <c r="B528" s="255" t="s">
        <v>739</v>
      </c>
      <c r="C528" s="255" t="s">
        <v>740</v>
      </c>
      <c r="D528" s="255" t="s">
        <v>741</v>
      </c>
      <c r="E528" s="256">
        <v>4.0</v>
      </c>
      <c r="F528" s="256">
        <v>0.0</v>
      </c>
      <c r="G528" s="39">
        <f t="shared" si="1"/>
        <v>1000</v>
      </c>
      <c r="H528" s="13" t="str">
        <f t="shared" si="2"/>
        <v>4 Signed Rep + 0 5-Star Review</v>
      </c>
      <c r="I528" s="14"/>
      <c r="J528" s="14"/>
    </row>
    <row r="529" hidden="1">
      <c r="A529" s="6" t="s">
        <v>243</v>
      </c>
      <c r="B529" s="255" t="s">
        <v>742</v>
      </c>
      <c r="C529" s="255" t="s">
        <v>743</v>
      </c>
      <c r="D529" s="255" t="s">
        <v>744</v>
      </c>
      <c r="E529" s="256">
        <v>3.0</v>
      </c>
      <c r="F529" s="256">
        <v>0.0</v>
      </c>
      <c r="G529" s="39">
        <f t="shared" si="1"/>
        <v>750</v>
      </c>
      <c r="H529" s="13" t="str">
        <f t="shared" si="2"/>
        <v>3 Signed Rep + 0 5-Star Review</v>
      </c>
      <c r="I529" s="14"/>
      <c r="J529" s="14"/>
    </row>
    <row r="530" hidden="1">
      <c r="A530" s="6" t="s">
        <v>243</v>
      </c>
      <c r="B530" s="254" t="s">
        <v>745</v>
      </c>
      <c r="C530" s="255" t="s">
        <v>746</v>
      </c>
      <c r="D530" s="255" t="s">
        <v>747</v>
      </c>
      <c r="E530" s="256">
        <v>10.0</v>
      </c>
      <c r="F530" s="256">
        <v>0.0</v>
      </c>
      <c r="G530" s="39">
        <f t="shared" si="1"/>
        <v>2500</v>
      </c>
      <c r="H530" s="13" t="str">
        <f t="shared" si="2"/>
        <v>10 Signed Rep + 0 5-Star Review</v>
      </c>
      <c r="I530" s="14"/>
      <c r="J530" s="14"/>
    </row>
    <row r="531" hidden="1">
      <c r="A531" s="6" t="s">
        <v>243</v>
      </c>
      <c r="B531" s="255" t="s">
        <v>748</v>
      </c>
      <c r="C531" s="255" t="s">
        <v>749</v>
      </c>
      <c r="D531" s="255" t="s">
        <v>750</v>
      </c>
      <c r="E531" s="256">
        <v>7.0</v>
      </c>
      <c r="F531" s="256">
        <v>0.0</v>
      </c>
      <c r="G531" s="39">
        <f t="shared" si="1"/>
        <v>1750</v>
      </c>
      <c r="H531" s="13" t="str">
        <f t="shared" si="2"/>
        <v>7 Signed Rep + 0 5-Star Review</v>
      </c>
      <c r="I531" s="14"/>
      <c r="J531" s="14"/>
    </row>
    <row r="532" hidden="1">
      <c r="A532" s="6" t="s">
        <v>243</v>
      </c>
      <c r="B532" s="255" t="s">
        <v>751</v>
      </c>
      <c r="C532" s="255" t="s">
        <v>752</v>
      </c>
      <c r="D532" s="255" t="s">
        <v>753</v>
      </c>
      <c r="E532" s="256">
        <v>10.0</v>
      </c>
      <c r="F532" s="256">
        <v>4.0</v>
      </c>
      <c r="G532" s="39">
        <f t="shared" si="1"/>
        <v>2900</v>
      </c>
      <c r="H532" s="13" t="str">
        <f t="shared" si="2"/>
        <v>10 Signed Rep + 4 5-Star Review</v>
      </c>
      <c r="I532" s="14"/>
      <c r="J532" s="14"/>
    </row>
    <row r="533" hidden="1">
      <c r="A533" s="6" t="s">
        <v>243</v>
      </c>
      <c r="B533" s="255" t="s">
        <v>754</v>
      </c>
      <c r="C533" s="255" t="s">
        <v>755</v>
      </c>
      <c r="D533" s="255" t="s">
        <v>756</v>
      </c>
      <c r="E533" s="256">
        <v>10.0</v>
      </c>
      <c r="F533" s="256">
        <v>3.0</v>
      </c>
      <c r="G533" s="39">
        <f t="shared" si="1"/>
        <v>2800</v>
      </c>
      <c r="H533" s="13" t="str">
        <f t="shared" si="2"/>
        <v>10 Signed Rep + 3 5-Star Review</v>
      </c>
      <c r="I533" s="14"/>
      <c r="J533" s="14"/>
    </row>
    <row r="534" hidden="1">
      <c r="A534" s="6" t="s">
        <v>243</v>
      </c>
      <c r="B534" s="254" t="s">
        <v>757</v>
      </c>
      <c r="C534" s="255" t="s">
        <v>758</v>
      </c>
      <c r="D534" s="255" t="s">
        <v>759</v>
      </c>
      <c r="E534" s="256">
        <v>20.0</v>
      </c>
      <c r="F534" s="256">
        <v>0.0</v>
      </c>
      <c r="G534" s="39">
        <f t="shared" si="1"/>
        <v>5000</v>
      </c>
      <c r="H534" s="13" t="str">
        <f t="shared" si="2"/>
        <v>20 Signed Rep + 0 5-Star Review</v>
      </c>
      <c r="I534" s="23"/>
      <c r="J534" s="23"/>
    </row>
    <row r="535" hidden="1">
      <c r="A535" s="6" t="s">
        <v>243</v>
      </c>
      <c r="B535" s="255" t="s">
        <v>219</v>
      </c>
      <c r="C535" s="255" t="s">
        <v>220</v>
      </c>
      <c r="D535" s="255" t="s">
        <v>760</v>
      </c>
      <c r="E535" s="256">
        <v>8.0</v>
      </c>
      <c r="F535" s="256">
        <v>0.0</v>
      </c>
      <c r="G535" s="39">
        <f t="shared" si="1"/>
        <v>2000</v>
      </c>
      <c r="H535" s="13" t="str">
        <f t="shared" si="2"/>
        <v>8 Signed Rep + 0 5-Star Review</v>
      </c>
      <c r="I535" s="14"/>
      <c r="J535" s="14"/>
    </row>
    <row r="536" hidden="1">
      <c r="A536" s="54" t="s">
        <v>244</v>
      </c>
      <c r="B536" s="254" t="s">
        <v>618</v>
      </c>
      <c r="C536" s="254" t="s">
        <v>619</v>
      </c>
      <c r="D536" s="254" t="s">
        <v>620</v>
      </c>
      <c r="E536" s="256">
        <v>1.0</v>
      </c>
      <c r="F536" s="256">
        <v>0.0</v>
      </c>
      <c r="G536" s="39">
        <f t="shared" si="1"/>
        <v>250</v>
      </c>
      <c r="H536" s="13" t="str">
        <f t="shared" si="2"/>
        <v>1 Signed Rep + 0 5-Star Review</v>
      </c>
      <c r="I536" s="14"/>
      <c r="J536" s="14"/>
    </row>
    <row r="537" hidden="1">
      <c r="A537" s="54" t="s">
        <v>244</v>
      </c>
      <c r="B537" s="254" t="s">
        <v>621</v>
      </c>
      <c r="C537" s="254" t="s">
        <v>622</v>
      </c>
      <c r="D537" s="254" t="s">
        <v>623</v>
      </c>
      <c r="E537" s="256">
        <v>0.0</v>
      </c>
      <c r="F537" s="256">
        <v>0.0</v>
      </c>
      <c r="G537" s="39">
        <f t="shared" si="1"/>
        <v>0</v>
      </c>
      <c r="H537" s="13" t="str">
        <f t="shared" si="2"/>
        <v>0 Signed Rep + 0 5-Star Review</v>
      </c>
      <c r="I537" s="14"/>
      <c r="J537" s="14"/>
    </row>
    <row r="538" hidden="1">
      <c r="A538" s="6" t="s">
        <v>244</v>
      </c>
      <c r="B538" s="255" t="s">
        <v>624</v>
      </c>
      <c r="C538" s="255" t="s">
        <v>625</v>
      </c>
      <c r="D538" s="255" t="s">
        <v>626</v>
      </c>
      <c r="E538" s="256">
        <v>12.0</v>
      </c>
      <c r="F538" s="256">
        <v>0.0</v>
      </c>
      <c r="G538" s="39">
        <f t="shared" si="1"/>
        <v>3000</v>
      </c>
      <c r="H538" s="13" t="str">
        <f t="shared" si="2"/>
        <v>12 Signed Rep + 0 5-Star Review</v>
      </c>
      <c r="I538" s="14"/>
      <c r="J538" s="14"/>
    </row>
    <row r="539" hidden="1">
      <c r="A539" s="6" t="s">
        <v>244</v>
      </c>
      <c r="B539" s="255" t="s">
        <v>627</v>
      </c>
      <c r="C539" s="255" t="s">
        <v>628</v>
      </c>
      <c r="D539" s="255" t="s">
        <v>629</v>
      </c>
      <c r="E539" s="256">
        <v>9.0</v>
      </c>
      <c r="F539" s="256">
        <v>1.0</v>
      </c>
      <c r="G539" s="39">
        <f t="shared" si="1"/>
        <v>2350</v>
      </c>
      <c r="H539" s="13" t="str">
        <f t="shared" si="2"/>
        <v>9 Signed Rep + 1 5-Star Review</v>
      </c>
      <c r="I539" s="14"/>
      <c r="J539" s="14"/>
    </row>
    <row r="540" hidden="1">
      <c r="A540" s="6" t="s">
        <v>244</v>
      </c>
      <c r="B540" s="255" t="s">
        <v>630</v>
      </c>
      <c r="C540" s="255" t="s">
        <v>631</v>
      </c>
      <c r="D540" s="255" t="s">
        <v>632</v>
      </c>
      <c r="E540" s="256">
        <v>8.0</v>
      </c>
      <c r="F540" s="256">
        <v>1.0</v>
      </c>
      <c r="G540" s="39">
        <f t="shared" si="1"/>
        <v>2100</v>
      </c>
      <c r="H540" s="13" t="str">
        <f t="shared" si="2"/>
        <v>8 Signed Rep + 1 5-Star Review</v>
      </c>
      <c r="I540" s="14"/>
      <c r="J540" s="14"/>
    </row>
    <row r="541" hidden="1">
      <c r="A541" s="54" t="s">
        <v>244</v>
      </c>
      <c r="B541" s="254" t="s">
        <v>633</v>
      </c>
      <c r="C541" s="254" t="s">
        <v>634</v>
      </c>
      <c r="D541" s="254" t="s">
        <v>635</v>
      </c>
      <c r="E541" s="256">
        <v>3.0</v>
      </c>
      <c r="F541" s="256">
        <v>0.0</v>
      </c>
      <c r="G541" s="39">
        <f t="shared" si="1"/>
        <v>750</v>
      </c>
      <c r="H541" s="13" t="str">
        <f t="shared" si="2"/>
        <v>3 Signed Rep + 0 5-Star Review</v>
      </c>
      <c r="I541" s="14"/>
      <c r="J541" s="14"/>
    </row>
    <row r="542" hidden="1">
      <c r="A542" s="54" t="s">
        <v>244</v>
      </c>
      <c r="B542" s="254" t="s">
        <v>636</v>
      </c>
      <c r="C542" s="254" t="s">
        <v>637</v>
      </c>
      <c r="D542" s="254" t="s">
        <v>638</v>
      </c>
      <c r="E542" s="256">
        <v>0.0</v>
      </c>
      <c r="F542" s="256">
        <v>0.0</v>
      </c>
      <c r="G542" s="39">
        <f t="shared" si="1"/>
        <v>0</v>
      </c>
      <c r="H542" s="13" t="str">
        <f t="shared" si="2"/>
        <v>0 Signed Rep + 0 5-Star Review</v>
      </c>
      <c r="I542" s="14"/>
      <c r="J542" s="14"/>
    </row>
    <row r="543" hidden="1">
      <c r="A543" s="6" t="s">
        <v>244</v>
      </c>
      <c r="B543" s="255" t="s">
        <v>639</v>
      </c>
      <c r="C543" s="255" t="s">
        <v>640</v>
      </c>
      <c r="D543" s="255" t="s">
        <v>641</v>
      </c>
      <c r="E543" s="256">
        <v>4.0</v>
      </c>
      <c r="F543" s="256">
        <v>0.0</v>
      </c>
      <c r="G543" s="39">
        <f t="shared" si="1"/>
        <v>1000</v>
      </c>
      <c r="H543" s="13" t="str">
        <f t="shared" si="2"/>
        <v>4 Signed Rep + 0 5-Star Review</v>
      </c>
      <c r="I543" s="14"/>
      <c r="J543" s="14"/>
    </row>
    <row r="544" hidden="1">
      <c r="A544" s="6" t="s">
        <v>244</v>
      </c>
      <c r="B544" s="255" t="s">
        <v>642</v>
      </c>
      <c r="C544" s="255" t="s">
        <v>643</v>
      </c>
      <c r="D544" s="255" t="s">
        <v>644</v>
      </c>
      <c r="E544" s="256">
        <v>11.0</v>
      </c>
      <c r="F544" s="256">
        <v>0.0</v>
      </c>
      <c r="G544" s="39">
        <f t="shared" si="1"/>
        <v>2750</v>
      </c>
      <c r="H544" s="13" t="str">
        <f t="shared" si="2"/>
        <v>11 Signed Rep + 0 5-Star Review</v>
      </c>
      <c r="I544" s="14"/>
      <c r="J544" s="14"/>
    </row>
    <row r="545" hidden="1">
      <c r="A545" s="6" t="s">
        <v>244</v>
      </c>
      <c r="B545" s="255" t="s">
        <v>645</v>
      </c>
      <c r="C545" s="255" t="s">
        <v>646</v>
      </c>
      <c r="D545" s="255" t="s">
        <v>647</v>
      </c>
      <c r="E545" s="256">
        <v>3.0</v>
      </c>
      <c r="F545" s="256">
        <v>0.0</v>
      </c>
      <c r="G545" s="39">
        <f t="shared" si="1"/>
        <v>750</v>
      </c>
      <c r="H545" s="13" t="str">
        <f t="shared" si="2"/>
        <v>3 Signed Rep + 0 5-Star Review</v>
      </c>
      <c r="I545" s="14"/>
      <c r="J545" s="14"/>
    </row>
    <row r="546" hidden="1">
      <c r="A546" s="6" t="s">
        <v>244</v>
      </c>
      <c r="B546" s="255" t="s">
        <v>648</v>
      </c>
      <c r="C546" s="255" t="s">
        <v>649</v>
      </c>
      <c r="D546" s="255" t="s">
        <v>650</v>
      </c>
      <c r="E546" s="256">
        <v>4.0</v>
      </c>
      <c r="F546" s="256">
        <v>0.0</v>
      </c>
      <c r="G546" s="39">
        <f t="shared" si="1"/>
        <v>1000</v>
      </c>
      <c r="H546" s="13" t="str">
        <f t="shared" si="2"/>
        <v>4 Signed Rep + 0 5-Star Review</v>
      </c>
      <c r="I546" s="14"/>
      <c r="J546" s="14"/>
    </row>
    <row r="547" hidden="1">
      <c r="A547" s="6" t="s">
        <v>244</v>
      </c>
      <c r="B547" s="255" t="s">
        <v>651</v>
      </c>
      <c r="C547" s="255" t="s">
        <v>652</v>
      </c>
      <c r="D547" s="255" t="s">
        <v>653</v>
      </c>
      <c r="E547" s="256">
        <v>8.0</v>
      </c>
      <c r="F547" s="256">
        <v>0.0</v>
      </c>
      <c r="G547" s="39">
        <f t="shared" si="1"/>
        <v>2000</v>
      </c>
      <c r="H547" s="13" t="str">
        <f t="shared" si="2"/>
        <v>8 Signed Rep + 0 5-Star Review</v>
      </c>
      <c r="I547" s="14"/>
      <c r="J547" s="14"/>
    </row>
    <row r="548" hidden="1">
      <c r="A548" s="6" t="s">
        <v>244</v>
      </c>
      <c r="B548" s="255" t="s">
        <v>654</v>
      </c>
      <c r="C548" s="255" t="s">
        <v>655</v>
      </c>
      <c r="D548" s="255" t="s">
        <v>656</v>
      </c>
      <c r="E548" s="256">
        <v>5.0</v>
      </c>
      <c r="F548" s="256">
        <v>0.0</v>
      </c>
      <c r="G548" s="39">
        <f t="shared" si="1"/>
        <v>1250</v>
      </c>
      <c r="H548" s="13" t="str">
        <f t="shared" si="2"/>
        <v>5 Signed Rep + 0 5-Star Review</v>
      </c>
      <c r="I548" s="14"/>
      <c r="J548" s="14"/>
    </row>
    <row r="549" hidden="1">
      <c r="A549" s="6" t="s">
        <v>244</v>
      </c>
      <c r="B549" s="255" t="s">
        <v>657</v>
      </c>
      <c r="C549" s="255" t="s">
        <v>658</v>
      </c>
      <c r="D549" s="255" t="s">
        <v>659</v>
      </c>
      <c r="E549" s="256">
        <v>15.0</v>
      </c>
      <c r="F549" s="256">
        <v>0.0</v>
      </c>
      <c r="G549" s="39">
        <f t="shared" si="1"/>
        <v>3750</v>
      </c>
      <c r="H549" s="13" t="str">
        <f t="shared" si="2"/>
        <v>15 Signed Rep + 0 5-Star Review</v>
      </c>
      <c r="I549" s="14"/>
      <c r="J549" s="14"/>
    </row>
    <row r="550" hidden="1">
      <c r="A550" s="6" t="s">
        <v>244</v>
      </c>
      <c r="B550" s="255" t="s">
        <v>213</v>
      </c>
      <c r="C550" s="255" t="s">
        <v>214</v>
      </c>
      <c r="D550" s="255" t="s">
        <v>660</v>
      </c>
      <c r="E550" s="256">
        <v>11.0</v>
      </c>
      <c r="F550" s="256">
        <v>0.0</v>
      </c>
      <c r="G550" s="39">
        <f t="shared" si="1"/>
        <v>2750</v>
      </c>
      <c r="H550" s="13" t="str">
        <f t="shared" si="2"/>
        <v>11 Signed Rep + 0 5-Star Review</v>
      </c>
      <c r="I550" s="14"/>
      <c r="J550" s="14"/>
    </row>
    <row r="551" hidden="1">
      <c r="A551" s="6" t="s">
        <v>244</v>
      </c>
      <c r="B551" s="255" t="s">
        <v>661</v>
      </c>
      <c r="C551" s="255" t="s">
        <v>662</v>
      </c>
      <c r="D551" s="255" t="s">
        <v>663</v>
      </c>
      <c r="E551" s="256">
        <v>24.0</v>
      </c>
      <c r="F551" s="256">
        <v>0.0</v>
      </c>
      <c r="G551" s="39">
        <f t="shared" si="1"/>
        <v>6000</v>
      </c>
      <c r="H551" s="13" t="str">
        <f t="shared" si="2"/>
        <v>24 Signed Rep + 0 5-Star Review</v>
      </c>
      <c r="I551" s="14"/>
      <c r="J551" s="14"/>
    </row>
    <row r="552" hidden="1">
      <c r="A552" s="6" t="s">
        <v>244</v>
      </c>
      <c r="B552" s="255" t="s">
        <v>664</v>
      </c>
      <c r="C552" s="255" t="s">
        <v>665</v>
      </c>
      <c r="D552" s="255" t="s">
        <v>666</v>
      </c>
      <c r="E552" s="256">
        <v>25.0</v>
      </c>
      <c r="F552" s="256">
        <v>0.0</v>
      </c>
      <c r="G552" s="39">
        <f t="shared" si="1"/>
        <v>6250</v>
      </c>
      <c r="H552" s="13" t="str">
        <f t="shared" si="2"/>
        <v>25 Signed Rep + 0 5-Star Review</v>
      </c>
      <c r="I552" s="14"/>
      <c r="J552" s="14"/>
    </row>
    <row r="553" hidden="1">
      <c r="A553" s="6" t="s">
        <v>244</v>
      </c>
      <c r="B553" s="255" t="s">
        <v>667</v>
      </c>
      <c r="C553" s="255" t="s">
        <v>668</v>
      </c>
      <c r="D553" s="255" t="s">
        <v>669</v>
      </c>
      <c r="E553" s="256">
        <v>19.0</v>
      </c>
      <c r="F553" s="256">
        <v>2.0</v>
      </c>
      <c r="G553" s="39">
        <f t="shared" si="1"/>
        <v>4950</v>
      </c>
      <c r="H553" s="13" t="str">
        <f t="shared" si="2"/>
        <v>19 Signed Rep + 2 5-Star Review</v>
      </c>
      <c r="I553" s="14"/>
      <c r="J553" s="14"/>
    </row>
    <row r="554" hidden="1">
      <c r="A554" s="6" t="s">
        <v>244</v>
      </c>
      <c r="B554" s="255" t="s">
        <v>670</v>
      </c>
      <c r="C554" s="255" t="s">
        <v>671</v>
      </c>
      <c r="D554" s="255" t="s">
        <v>672</v>
      </c>
      <c r="E554" s="256">
        <v>9.0</v>
      </c>
      <c r="F554" s="256">
        <v>0.0</v>
      </c>
      <c r="G554" s="39">
        <f t="shared" si="1"/>
        <v>2250</v>
      </c>
      <c r="H554" s="13" t="str">
        <f t="shared" si="2"/>
        <v>9 Signed Rep + 0 5-Star Review</v>
      </c>
      <c r="I554" s="14"/>
      <c r="J554" s="14"/>
    </row>
    <row r="555" hidden="1">
      <c r="A555" s="6" t="s">
        <v>244</v>
      </c>
      <c r="B555" s="255" t="s">
        <v>673</v>
      </c>
      <c r="C555" s="255" t="s">
        <v>674</v>
      </c>
      <c r="D555" s="255" t="s">
        <v>675</v>
      </c>
      <c r="E555" s="256">
        <v>13.0</v>
      </c>
      <c r="F555" s="256">
        <v>1.0</v>
      </c>
      <c r="G555" s="39">
        <f t="shared" si="1"/>
        <v>3350</v>
      </c>
      <c r="H555" s="13" t="str">
        <f t="shared" si="2"/>
        <v>13 Signed Rep + 1 5-Star Review</v>
      </c>
      <c r="I555" s="14"/>
      <c r="J555" s="14"/>
    </row>
    <row r="556" hidden="1">
      <c r="A556" s="6" t="s">
        <v>244</v>
      </c>
      <c r="B556" s="255" t="s">
        <v>676</v>
      </c>
      <c r="C556" s="255" t="s">
        <v>677</v>
      </c>
      <c r="D556" s="255" t="s">
        <v>678</v>
      </c>
      <c r="E556" s="256">
        <v>10.0</v>
      </c>
      <c r="F556" s="256">
        <v>0.0</v>
      </c>
      <c r="G556" s="39">
        <f t="shared" si="1"/>
        <v>2500</v>
      </c>
      <c r="H556" s="13" t="str">
        <f t="shared" si="2"/>
        <v>10 Signed Rep + 0 5-Star Review</v>
      </c>
      <c r="I556" s="14"/>
      <c r="J556" s="14"/>
    </row>
    <row r="557" hidden="1">
      <c r="A557" s="6" t="s">
        <v>244</v>
      </c>
      <c r="B557" s="255" t="s">
        <v>679</v>
      </c>
      <c r="C557" s="255" t="s">
        <v>680</v>
      </c>
      <c r="D557" s="255" t="s">
        <v>787</v>
      </c>
      <c r="E557" s="256">
        <v>11.0</v>
      </c>
      <c r="F557" s="256">
        <v>6.0</v>
      </c>
      <c r="G557" s="39">
        <f t="shared" si="1"/>
        <v>3350</v>
      </c>
      <c r="H557" s="13" t="str">
        <f t="shared" si="2"/>
        <v>11 Signed Rep + 6 5-Star Review</v>
      </c>
      <c r="I557" s="14"/>
      <c r="J557" s="14"/>
    </row>
    <row r="558" hidden="1">
      <c r="A558" s="6" t="s">
        <v>244</v>
      </c>
      <c r="B558" s="255" t="s">
        <v>682</v>
      </c>
      <c r="C558" s="255" t="s">
        <v>683</v>
      </c>
      <c r="D558" s="255" t="s">
        <v>684</v>
      </c>
      <c r="E558" s="256">
        <v>8.0</v>
      </c>
      <c r="F558" s="256">
        <v>0.0</v>
      </c>
      <c r="G558" s="39">
        <f t="shared" si="1"/>
        <v>2000</v>
      </c>
      <c r="H558" s="13" t="str">
        <f t="shared" si="2"/>
        <v>8 Signed Rep + 0 5-Star Review</v>
      </c>
      <c r="I558" s="14"/>
      <c r="J558" s="14"/>
    </row>
    <row r="559" hidden="1">
      <c r="A559" s="6" t="s">
        <v>244</v>
      </c>
      <c r="B559" s="255" t="s">
        <v>685</v>
      </c>
      <c r="C559" s="255" t="s">
        <v>686</v>
      </c>
      <c r="D559" s="255" t="s">
        <v>687</v>
      </c>
      <c r="E559" s="256">
        <v>12.0</v>
      </c>
      <c r="F559" s="256">
        <v>0.0</v>
      </c>
      <c r="G559" s="39">
        <f t="shared" si="1"/>
        <v>3000</v>
      </c>
      <c r="H559" s="13" t="str">
        <f t="shared" si="2"/>
        <v>12 Signed Rep + 0 5-Star Review</v>
      </c>
      <c r="I559" s="14"/>
      <c r="J559" s="14"/>
    </row>
    <row r="560" hidden="1">
      <c r="A560" s="6" t="s">
        <v>244</v>
      </c>
      <c r="B560" s="255" t="s">
        <v>688</v>
      </c>
      <c r="C560" s="255" t="s">
        <v>689</v>
      </c>
      <c r="D560" s="255" t="s">
        <v>690</v>
      </c>
      <c r="E560" s="256">
        <v>18.0</v>
      </c>
      <c r="F560" s="256">
        <v>0.0</v>
      </c>
      <c r="G560" s="39">
        <f t="shared" si="1"/>
        <v>4500</v>
      </c>
      <c r="H560" s="13" t="str">
        <f t="shared" si="2"/>
        <v>18 Signed Rep + 0 5-Star Review</v>
      </c>
      <c r="I560" s="14"/>
      <c r="J560" s="14"/>
    </row>
    <row r="561" hidden="1">
      <c r="A561" s="6" t="s">
        <v>244</v>
      </c>
      <c r="B561" s="255" t="s">
        <v>691</v>
      </c>
      <c r="C561" s="255" t="s">
        <v>692</v>
      </c>
      <c r="D561" s="255" t="s">
        <v>693</v>
      </c>
      <c r="E561" s="256">
        <v>8.0</v>
      </c>
      <c r="F561" s="256">
        <v>0.0</v>
      </c>
      <c r="G561" s="39">
        <f t="shared" si="1"/>
        <v>2000</v>
      </c>
      <c r="H561" s="13" t="str">
        <f t="shared" si="2"/>
        <v>8 Signed Rep + 0 5-Star Review</v>
      </c>
      <c r="I561" s="14"/>
      <c r="J561" s="14"/>
    </row>
    <row r="562" hidden="1">
      <c r="A562" s="6" t="s">
        <v>244</v>
      </c>
      <c r="B562" s="255" t="s">
        <v>694</v>
      </c>
      <c r="C562" s="255" t="s">
        <v>695</v>
      </c>
      <c r="D562" s="255" t="s">
        <v>696</v>
      </c>
      <c r="E562" s="256">
        <v>12.0</v>
      </c>
      <c r="F562" s="256">
        <v>0.0</v>
      </c>
      <c r="G562" s="39">
        <f t="shared" si="1"/>
        <v>3000</v>
      </c>
      <c r="H562" s="13" t="str">
        <f t="shared" si="2"/>
        <v>12 Signed Rep + 0 5-Star Review</v>
      </c>
      <c r="I562" s="14"/>
      <c r="J562" s="14"/>
    </row>
    <row r="563" hidden="1">
      <c r="A563" s="6" t="s">
        <v>244</v>
      </c>
      <c r="B563" s="255" t="s">
        <v>697</v>
      </c>
      <c r="C563" s="255" t="s">
        <v>698</v>
      </c>
      <c r="D563" s="255" t="s">
        <v>699</v>
      </c>
      <c r="E563" s="256">
        <v>9.0</v>
      </c>
      <c r="F563" s="256">
        <v>0.0</v>
      </c>
      <c r="G563" s="39">
        <f t="shared" si="1"/>
        <v>2250</v>
      </c>
      <c r="H563" s="13" t="str">
        <f t="shared" si="2"/>
        <v>9 Signed Rep + 0 5-Star Review</v>
      </c>
      <c r="I563" s="14"/>
      <c r="J563" s="14"/>
    </row>
    <row r="564" hidden="1">
      <c r="A564" s="6" t="s">
        <v>244</v>
      </c>
      <c r="B564" s="255" t="s">
        <v>700</v>
      </c>
      <c r="C564" s="255" t="s">
        <v>701</v>
      </c>
      <c r="D564" s="255" t="s">
        <v>702</v>
      </c>
      <c r="E564" s="256">
        <v>4.0</v>
      </c>
      <c r="F564" s="256">
        <v>0.0</v>
      </c>
      <c r="G564" s="39">
        <f t="shared" si="1"/>
        <v>1000</v>
      </c>
      <c r="H564" s="13" t="str">
        <f t="shared" si="2"/>
        <v>4 Signed Rep + 0 5-Star Review</v>
      </c>
      <c r="I564" s="14"/>
      <c r="J564" s="14"/>
    </row>
    <row r="565" hidden="1">
      <c r="A565" s="6" t="s">
        <v>244</v>
      </c>
      <c r="B565" s="255" t="s">
        <v>703</v>
      </c>
      <c r="C565" s="255" t="s">
        <v>704</v>
      </c>
      <c r="D565" s="255" t="s">
        <v>705</v>
      </c>
      <c r="E565" s="256">
        <v>11.0</v>
      </c>
      <c r="F565" s="256">
        <v>0.0</v>
      </c>
      <c r="G565" s="39">
        <f t="shared" si="1"/>
        <v>2750</v>
      </c>
      <c r="H565" s="13" t="str">
        <f t="shared" si="2"/>
        <v>11 Signed Rep + 0 5-Star Review</v>
      </c>
      <c r="I565" s="14"/>
      <c r="J565" s="14"/>
    </row>
    <row r="566" hidden="1">
      <c r="A566" s="6" t="s">
        <v>244</v>
      </c>
      <c r="B566" s="255" t="s">
        <v>706</v>
      </c>
      <c r="C566" s="255" t="s">
        <v>707</v>
      </c>
      <c r="D566" s="255" t="s">
        <v>708</v>
      </c>
      <c r="E566" s="256">
        <v>8.0</v>
      </c>
      <c r="F566" s="256">
        <v>0.0</v>
      </c>
      <c r="G566" s="39">
        <f t="shared" si="1"/>
        <v>2000</v>
      </c>
      <c r="H566" s="13" t="str">
        <f t="shared" si="2"/>
        <v>8 Signed Rep + 0 5-Star Review</v>
      </c>
      <c r="I566" s="14"/>
      <c r="J566" s="14"/>
    </row>
    <row r="567" hidden="1">
      <c r="A567" s="6" t="s">
        <v>244</v>
      </c>
      <c r="B567" s="255" t="s">
        <v>709</v>
      </c>
      <c r="C567" s="255" t="s">
        <v>710</v>
      </c>
      <c r="D567" s="255" t="s">
        <v>711</v>
      </c>
      <c r="E567" s="256">
        <v>8.0</v>
      </c>
      <c r="F567" s="256">
        <v>0.0</v>
      </c>
      <c r="G567" s="39">
        <f t="shared" si="1"/>
        <v>2000</v>
      </c>
      <c r="H567" s="13" t="str">
        <f t="shared" si="2"/>
        <v>8 Signed Rep + 0 5-Star Review</v>
      </c>
      <c r="I567" s="14"/>
      <c r="J567" s="14"/>
    </row>
    <row r="568" hidden="1">
      <c r="A568" s="6" t="s">
        <v>244</v>
      </c>
      <c r="B568" s="255" t="s">
        <v>712</v>
      </c>
      <c r="C568" s="255" t="s">
        <v>713</v>
      </c>
      <c r="D568" s="255" t="s">
        <v>714</v>
      </c>
      <c r="E568" s="256">
        <v>9.0</v>
      </c>
      <c r="F568" s="256">
        <v>0.0</v>
      </c>
      <c r="G568" s="39">
        <f t="shared" si="1"/>
        <v>2250</v>
      </c>
      <c r="H568" s="13" t="str">
        <f t="shared" si="2"/>
        <v>9 Signed Rep + 0 5-Star Review</v>
      </c>
      <c r="I568" s="14"/>
      <c r="J568" s="14"/>
    </row>
    <row r="569" hidden="1">
      <c r="A569" s="6" t="s">
        <v>244</v>
      </c>
      <c r="B569" s="255" t="s">
        <v>715</v>
      </c>
      <c r="C569" s="255" t="s">
        <v>716</v>
      </c>
      <c r="D569" s="255" t="s">
        <v>717</v>
      </c>
      <c r="E569" s="256">
        <v>16.0</v>
      </c>
      <c r="F569" s="256">
        <v>0.0</v>
      </c>
      <c r="G569" s="39">
        <f t="shared" si="1"/>
        <v>4000</v>
      </c>
      <c r="H569" s="13" t="str">
        <f t="shared" si="2"/>
        <v>16 Signed Rep + 0 5-Star Review</v>
      </c>
      <c r="I569" s="14"/>
      <c r="J569" s="14"/>
    </row>
    <row r="570" hidden="1">
      <c r="A570" s="6" t="s">
        <v>244</v>
      </c>
      <c r="B570" s="255" t="s">
        <v>718</v>
      </c>
      <c r="C570" s="255" t="s">
        <v>719</v>
      </c>
      <c r="D570" s="255" t="s">
        <v>720</v>
      </c>
      <c r="E570" s="256">
        <v>9.0</v>
      </c>
      <c r="F570" s="256">
        <v>0.0</v>
      </c>
      <c r="G570" s="39">
        <f t="shared" si="1"/>
        <v>2250</v>
      </c>
      <c r="H570" s="13" t="str">
        <f t="shared" si="2"/>
        <v>9 Signed Rep + 0 5-Star Review</v>
      </c>
      <c r="I570" s="14"/>
      <c r="J570" s="14"/>
    </row>
    <row r="571" hidden="1">
      <c r="A571" s="6" t="s">
        <v>244</v>
      </c>
      <c r="B571" s="255" t="s">
        <v>721</v>
      </c>
      <c r="C571" s="255" t="s">
        <v>722</v>
      </c>
      <c r="D571" s="255" t="s">
        <v>723</v>
      </c>
      <c r="E571" s="256">
        <v>12.0</v>
      </c>
      <c r="F571" s="256">
        <v>6.0</v>
      </c>
      <c r="G571" s="39">
        <f t="shared" si="1"/>
        <v>3600</v>
      </c>
      <c r="H571" s="13" t="str">
        <f t="shared" si="2"/>
        <v>12 Signed Rep + 6 5-Star Review</v>
      </c>
      <c r="I571" s="14"/>
      <c r="J571" s="14"/>
    </row>
    <row r="572" hidden="1">
      <c r="A572" s="6" t="s">
        <v>244</v>
      </c>
      <c r="B572" s="257" t="s">
        <v>724</v>
      </c>
      <c r="C572" s="255" t="s">
        <v>725</v>
      </c>
      <c r="D572" s="255" t="s">
        <v>726</v>
      </c>
      <c r="E572" s="256">
        <v>6.0</v>
      </c>
      <c r="F572" s="256">
        <v>0.0</v>
      </c>
      <c r="G572" s="39">
        <f t="shared" si="1"/>
        <v>1500</v>
      </c>
      <c r="H572" s="13" t="str">
        <f t="shared" si="2"/>
        <v>6 Signed Rep + 0 5-Star Review</v>
      </c>
      <c r="I572" s="14"/>
      <c r="J572" s="14"/>
    </row>
    <row r="573" hidden="1">
      <c r="A573" s="6" t="s">
        <v>244</v>
      </c>
      <c r="B573" s="255" t="s">
        <v>727</v>
      </c>
      <c r="C573" s="255" t="s">
        <v>728</v>
      </c>
      <c r="D573" s="255" t="s">
        <v>729</v>
      </c>
      <c r="E573" s="256">
        <v>8.0</v>
      </c>
      <c r="F573" s="256">
        <v>0.0</v>
      </c>
      <c r="G573" s="39">
        <f t="shared" si="1"/>
        <v>2000</v>
      </c>
      <c r="H573" s="13" t="str">
        <f t="shared" si="2"/>
        <v>8 Signed Rep + 0 5-Star Review</v>
      </c>
      <c r="I573" s="14"/>
      <c r="J573" s="14"/>
    </row>
    <row r="574" hidden="1">
      <c r="A574" s="6" t="s">
        <v>244</v>
      </c>
      <c r="B574" s="255" t="s">
        <v>730</v>
      </c>
      <c r="C574" s="255" t="s">
        <v>731</v>
      </c>
      <c r="D574" s="255" t="s">
        <v>732</v>
      </c>
      <c r="E574" s="256">
        <v>10.0</v>
      </c>
      <c r="F574" s="256">
        <v>0.0</v>
      </c>
      <c r="G574" s="39">
        <f t="shared" si="1"/>
        <v>2500</v>
      </c>
      <c r="H574" s="13" t="str">
        <f t="shared" si="2"/>
        <v>10 Signed Rep + 0 5-Star Review</v>
      </c>
      <c r="I574" s="14"/>
      <c r="J574" s="14"/>
    </row>
    <row r="575" hidden="1">
      <c r="A575" s="6" t="s">
        <v>244</v>
      </c>
      <c r="B575" s="255" t="s">
        <v>733</v>
      </c>
      <c r="C575" s="255" t="s">
        <v>734</v>
      </c>
      <c r="D575" s="255" t="s">
        <v>735</v>
      </c>
      <c r="E575" s="256">
        <v>12.0</v>
      </c>
      <c r="F575" s="256">
        <v>0.0</v>
      </c>
      <c r="G575" s="39">
        <f t="shared" si="1"/>
        <v>3000</v>
      </c>
      <c r="H575" s="13" t="str">
        <f t="shared" si="2"/>
        <v>12 Signed Rep + 0 5-Star Review</v>
      </c>
      <c r="I575" s="14"/>
      <c r="J575" s="14"/>
    </row>
    <row r="576" hidden="1">
      <c r="A576" s="6" t="s">
        <v>244</v>
      </c>
      <c r="B576" s="255" t="s">
        <v>736</v>
      </c>
      <c r="C576" s="255" t="s">
        <v>737</v>
      </c>
      <c r="D576" s="255" t="s">
        <v>738</v>
      </c>
      <c r="E576" s="256">
        <v>12.0</v>
      </c>
      <c r="F576" s="256">
        <v>2.0</v>
      </c>
      <c r="G576" s="39">
        <f t="shared" si="1"/>
        <v>3200</v>
      </c>
      <c r="H576" s="13" t="str">
        <f t="shared" si="2"/>
        <v>12 Signed Rep + 2 5-Star Review</v>
      </c>
      <c r="I576" s="14"/>
      <c r="J576" s="14"/>
    </row>
    <row r="577" hidden="1">
      <c r="A577" s="6" t="s">
        <v>244</v>
      </c>
      <c r="B577" s="255" t="s">
        <v>739</v>
      </c>
      <c r="C577" s="255" t="s">
        <v>740</v>
      </c>
      <c r="D577" s="255" t="s">
        <v>741</v>
      </c>
      <c r="E577" s="256">
        <v>10.0</v>
      </c>
      <c r="F577" s="256">
        <v>0.0</v>
      </c>
      <c r="G577" s="39">
        <f t="shared" si="1"/>
        <v>2500</v>
      </c>
      <c r="H577" s="13" t="str">
        <f t="shared" si="2"/>
        <v>10 Signed Rep + 0 5-Star Review</v>
      </c>
      <c r="I577" s="14"/>
      <c r="J577" s="14"/>
    </row>
    <row r="578" hidden="1">
      <c r="A578" s="6" t="s">
        <v>244</v>
      </c>
      <c r="B578" s="255" t="s">
        <v>742</v>
      </c>
      <c r="C578" s="255" t="s">
        <v>743</v>
      </c>
      <c r="D578" s="255" t="s">
        <v>744</v>
      </c>
      <c r="E578" s="256">
        <v>7.0</v>
      </c>
      <c r="F578" s="256">
        <v>0.0</v>
      </c>
      <c r="G578" s="39">
        <f t="shared" si="1"/>
        <v>1750</v>
      </c>
      <c r="H578" s="13" t="str">
        <f t="shared" si="2"/>
        <v>7 Signed Rep + 0 5-Star Review</v>
      </c>
      <c r="I578" s="14"/>
      <c r="J578" s="14"/>
    </row>
    <row r="579" hidden="1">
      <c r="A579" s="6" t="s">
        <v>244</v>
      </c>
      <c r="B579" s="254" t="s">
        <v>745</v>
      </c>
      <c r="C579" s="255" t="s">
        <v>746</v>
      </c>
      <c r="D579" s="255" t="s">
        <v>747</v>
      </c>
      <c r="E579" s="256">
        <v>7.0</v>
      </c>
      <c r="F579" s="256">
        <v>0.0</v>
      </c>
      <c r="G579" s="39">
        <f t="shared" si="1"/>
        <v>1750</v>
      </c>
      <c r="H579" s="13" t="str">
        <f t="shared" si="2"/>
        <v>7 Signed Rep + 0 5-Star Review</v>
      </c>
      <c r="I579" s="14"/>
      <c r="J579" s="14"/>
    </row>
    <row r="580" hidden="1">
      <c r="A580" s="6" t="s">
        <v>244</v>
      </c>
      <c r="B580" s="255" t="s">
        <v>748</v>
      </c>
      <c r="C580" s="255" t="s">
        <v>749</v>
      </c>
      <c r="D580" s="255" t="s">
        <v>750</v>
      </c>
      <c r="E580" s="256">
        <v>11.0</v>
      </c>
      <c r="F580" s="256">
        <v>0.0</v>
      </c>
      <c r="G580" s="39">
        <f t="shared" si="1"/>
        <v>2750</v>
      </c>
      <c r="H580" s="13" t="str">
        <f t="shared" si="2"/>
        <v>11 Signed Rep + 0 5-Star Review</v>
      </c>
      <c r="I580" s="14"/>
      <c r="J580" s="14"/>
    </row>
    <row r="581" hidden="1">
      <c r="A581" s="6" t="s">
        <v>244</v>
      </c>
      <c r="B581" s="255" t="s">
        <v>788</v>
      </c>
      <c r="C581" s="255" t="s">
        <v>789</v>
      </c>
      <c r="D581" s="255" t="s">
        <v>790</v>
      </c>
      <c r="E581" s="256">
        <v>4.0</v>
      </c>
      <c r="F581" s="256">
        <v>0.0</v>
      </c>
      <c r="G581" s="39">
        <f t="shared" si="1"/>
        <v>1000</v>
      </c>
      <c r="H581" s="13" t="str">
        <f t="shared" si="2"/>
        <v>4 Signed Rep + 0 5-Star Review</v>
      </c>
      <c r="I581" s="14"/>
      <c r="J581" s="14"/>
    </row>
    <row r="582" hidden="1">
      <c r="A582" s="6" t="s">
        <v>244</v>
      </c>
      <c r="B582" s="255" t="s">
        <v>751</v>
      </c>
      <c r="C582" s="255" t="s">
        <v>752</v>
      </c>
      <c r="D582" s="255" t="s">
        <v>753</v>
      </c>
      <c r="E582" s="256">
        <v>12.0</v>
      </c>
      <c r="F582" s="256">
        <v>5.0</v>
      </c>
      <c r="G582" s="39">
        <f t="shared" si="1"/>
        <v>3500</v>
      </c>
      <c r="H582" s="13" t="str">
        <f t="shared" si="2"/>
        <v>12 Signed Rep + 5 5-Star Review</v>
      </c>
      <c r="I582" s="14"/>
      <c r="J582" s="14"/>
    </row>
    <row r="583" hidden="1">
      <c r="A583" s="6" t="s">
        <v>244</v>
      </c>
      <c r="B583" s="255" t="s">
        <v>754</v>
      </c>
      <c r="C583" s="255" t="s">
        <v>755</v>
      </c>
      <c r="D583" s="255" t="s">
        <v>756</v>
      </c>
      <c r="E583" s="256">
        <v>9.0</v>
      </c>
      <c r="F583" s="256">
        <v>4.0</v>
      </c>
      <c r="G583" s="39">
        <f t="shared" si="1"/>
        <v>2650</v>
      </c>
      <c r="H583" s="13" t="str">
        <f t="shared" si="2"/>
        <v>9 Signed Rep + 4 5-Star Review</v>
      </c>
      <c r="I583" s="14"/>
      <c r="J583" s="14"/>
    </row>
    <row r="584" hidden="1">
      <c r="A584" s="6" t="s">
        <v>244</v>
      </c>
      <c r="B584" s="254" t="s">
        <v>757</v>
      </c>
      <c r="C584" s="255" t="s">
        <v>758</v>
      </c>
      <c r="D584" s="255" t="s">
        <v>759</v>
      </c>
      <c r="E584" s="256">
        <v>17.0</v>
      </c>
      <c r="F584" s="256">
        <v>0.0</v>
      </c>
      <c r="G584" s="39">
        <f t="shared" si="1"/>
        <v>4250</v>
      </c>
      <c r="H584" s="13" t="str">
        <f t="shared" si="2"/>
        <v>17 Signed Rep + 0 5-Star Review</v>
      </c>
      <c r="I584" s="23"/>
      <c r="J584" s="23"/>
    </row>
    <row r="585" hidden="1">
      <c r="A585" s="6" t="s">
        <v>244</v>
      </c>
      <c r="B585" s="255" t="s">
        <v>219</v>
      </c>
      <c r="C585" s="255" t="s">
        <v>220</v>
      </c>
      <c r="D585" s="255" t="s">
        <v>760</v>
      </c>
      <c r="E585" s="256">
        <v>11.0</v>
      </c>
      <c r="F585" s="256">
        <v>0.0</v>
      </c>
      <c r="G585" s="39">
        <f t="shared" si="1"/>
        <v>2750</v>
      </c>
      <c r="H585" s="13" t="str">
        <f t="shared" si="2"/>
        <v>11 Signed Rep + 0 5-Star Review</v>
      </c>
      <c r="I585" s="14"/>
      <c r="J585" s="14"/>
    </row>
    <row r="586" hidden="1">
      <c r="A586" s="6" t="s">
        <v>248</v>
      </c>
      <c r="B586" s="255" t="s">
        <v>624</v>
      </c>
      <c r="C586" s="255" t="s">
        <v>625</v>
      </c>
      <c r="D586" s="255" t="s">
        <v>626</v>
      </c>
      <c r="E586" s="256">
        <v>12.0</v>
      </c>
      <c r="F586" s="256">
        <v>0.0</v>
      </c>
      <c r="G586" s="39">
        <f t="shared" si="1"/>
        <v>3000</v>
      </c>
      <c r="H586" s="13" t="str">
        <f t="shared" si="2"/>
        <v>12 Signed Rep + 0 5-Star Review</v>
      </c>
      <c r="I586" s="14"/>
      <c r="J586" s="14"/>
    </row>
    <row r="587" hidden="1">
      <c r="A587" s="6" t="s">
        <v>248</v>
      </c>
      <c r="B587" s="255" t="s">
        <v>627</v>
      </c>
      <c r="C587" s="255" t="s">
        <v>628</v>
      </c>
      <c r="D587" s="255" t="s">
        <v>629</v>
      </c>
      <c r="E587" s="256">
        <v>9.0</v>
      </c>
      <c r="F587" s="256">
        <v>0.0</v>
      </c>
      <c r="G587" s="39">
        <f t="shared" si="1"/>
        <v>2250</v>
      </c>
      <c r="H587" s="13" t="str">
        <f t="shared" si="2"/>
        <v>9 Signed Rep + 0 5-Star Review</v>
      </c>
      <c r="I587" s="14"/>
      <c r="J587" s="14"/>
    </row>
    <row r="588" hidden="1">
      <c r="A588" s="6" t="s">
        <v>248</v>
      </c>
      <c r="B588" s="255" t="s">
        <v>791</v>
      </c>
      <c r="C588" s="255" t="s">
        <v>792</v>
      </c>
      <c r="D588" s="255" t="s">
        <v>793</v>
      </c>
      <c r="E588" s="256">
        <v>2.0</v>
      </c>
      <c r="F588" s="256">
        <v>0.0</v>
      </c>
      <c r="G588" s="39">
        <f t="shared" si="1"/>
        <v>500</v>
      </c>
      <c r="H588" s="13" t="str">
        <f t="shared" si="2"/>
        <v>2 Signed Rep + 0 5-Star Review</v>
      </c>
      <c r="I588" s="14"/>
      <c r="J588" s="14"/>
    </row>
    <row r="589" hidden="1">
      <c r="A589" s="6" t="s">
        <v>248</v>
      </c>
      <c r="B589" s="255" t="s">
        <v>630</v>
      </c>
      <c r="C589" s="255" t="s">
        <v>631</v>
      </c>
      <c r="D589" s="255" t="s">
        <v>632</v>
      </c>
      <c r="E589" s="256">
        <v>7.0</v>
      </c>
      <c r="F589" s="256">
        <v>1.0</v>
      </c>
      <c r="G589" s="39">
        <f t="shared" si="1"/>
        <v>1850</v>
      </c>
      <c r="H589" s="13" t="str">
        <f t="shared" si="2"/>
        <v>7 Signed Rep + 1 5-Star Review</v>
      </c>
      <c r="I589" s="14"/>
      <c r="J589" s="14"/>
    </row>
    <row r="590" hidden="1">
      <c r="A590" s="6" t="s">
        <v>248</v>
      </c>
      <c r="B590" s="255" t="s">
        <v>639</v>
      </c>
      <c r="C590" s="255" t="s">
        <v>640</v>
      </c>
      <c r="D590" s="255" t="s">
        <v>641</v>
      </c>
      <c r="E590" s="256">
        <v>3.0</v>
      </c>
      <c r="F590" s="256">
        <v>0.0</v>
      </c>
      <c r="G590" s="39">
        <f t="shared" si="1"/>
        <v>750</v>
      </c>
      <c r="H590" s="13" t="str">
        <f t="shared" si="2"/>
        <v>3 Signed Rep + 0 5-Star Review</v>
      </c>
      <c r="I590" s="14"/>
      <c r="J590" s="14"/>
    </row>
    <row r="591" hidden="1">
      <c r="A591" s="6" t="s">
        <v>248</v>
      </c>
      <c r="B591" s="255" t="s">
        <v>642</v>
      </c>
      <c r="C591" s="255" t="s">
        <v>643</v>
      </c>
      <c r="D591" s="255" t="s">
        <v>644</v>
      </c>
      <c r="E591" s="256">
        <v>3.0</v>
      </c>
      <c r="F591" s="256">
        <v>0.0</v>
      </c>
      <c r="G591" s="39">
        <f t="shared" si="1"/>
        <v>750</v>
      </c>
      <c r="H591" s="13" t="str">
        <f t="shared" si="2"/>
        <v>3 Signed Rep + 0 5-Star Review</v>
      </c>
      <c r="I591" s="14"/>
      <c r="J591" s="14"/>
    </row>
    <row r="592" hidden="1">
      <c r="A592" s="6" t="s">
        <v>248</v>
      </c>
      <c r="B592" s="255" t="s">
        <v>645</v>
      </c>
      <c r="C592" s="255" t="s">
        <v>646</v>
      </c>
      <c r="D592" s="255" t="s">
        <v>647</v>
      </c>
      <c r="E592" s="256">
        <v>7.0</v>
      </c>
      <c r="F592" s="256">
        <v>0.0</v>
      </c>
      <c r="G592" s="39">
        <f t="shared" si="1"/>
        <v>1750</v>
      </c>
      <c r="H592" s="13" t="str">
        <f t="shared" si="2"/>
        <v>7 Signed Rep + 0 5-Star Review</v>
      </c>
      <c r="I592" s="14"/>
      <c r="J592" s="14"/>
    </row>
    <row r="593" hidden="1">
      <c r="A593" s="6" t="s">
        <v>248</v>
      </c>
      <c r="B593" s="255" t="s">
        <v>648</v>
      </c>
      <c r="C593" s="255" t="s">
        <v>649</v>
      </c>
      <c r="D593" s="255" t="s">
        <v>650</v>
      </c>
      <c r="E593" s="256">
        <v>5.0</v>
      </c>
      <c r="F593" s="256">
        <v>0.0</v>
      </c>
      <c r="G593" s="39">
        <f t="shared" si="1"/>
        <v>1250</v>
      </c>
      <c r="H593" s="13" t="str">
        <f t="shared" si="2"/>
        <v>5 Signed Rep + 0 5-Star Review</v>
      </c>
      <c r="I593" s="14"/>
      <c r="J593" s="14"/>
    </row>
    <row r="594" hidden="1">
      <c r="A594" s="6" t="s">
        <v>248</v>
      </c>
      <c r="B594" s="255" t="s">
        <v>651</v>
      </c>
      <c r="C594" s="255" t="s">
        <v>652</v>
      </c>
      <c r="D594" s="255" t="s">
        <v>653</v>
      </c>
      <c r="E594" s="256">
        <v>5.0</v>
      </c>
      <c r="F594" s="256">
        <v>0.0</v>
      </c>
      <c r="G594" s="39">
        <f t="shared" si="1"/>
        <v>1250</v>
      </c>
      <c r="H594" s="13" t="str">
        <f t="shared" si="2"/>
        <v>5 Signed Rep + 0 5-Star Review</v>
      </c>
      <c r="I594" s="14"/>
      <c r="J594" s="14"/>
    </row>
    <row r="595" hidden="1">
      <c r="A595" s="6" t="s">
        <v>248</v>
      </c>
      <c r="B595" s="255" t="s">
        <v>654</v>
      </c>
      <c r="C595" s="255" t="s">
        <v>655</v>
      </c>
      <c r="D595" s="255" t="s">
        <v>656</v>
      </c>
      <c r="E595" s="256">
        <v>5.0</v>
      </c>
      <c r="F595" s="256">
        <v>0.0</v>
      </c>
      <c r="G595" s="39">
        <f t="shared" si="1"/>
        <v>1250</v>
      </c>
      <c r="H595" s="13" t="str">
        <f t="shared" si="2"/>
        <v>5 Signed Rep + 0 5-Star Review</v>
      </c>
      <c r="I595" s="14"/>
      <c r="J595" s="14"/>
    </row>
    <row r="596" hidden="1">
      <c r="A596" s="6" t="s">
        <v>248</v>
      </c>
      <c r="B596" s="255" t="s">
        <v>657</v>
      </c>
      <c r="C596" s="255" t="s">
        <v>658</v>
      </c>
      <c r="D596" s="255" t="s">
        <v>659</v>
      </c>
      <c r="E596" s="256">
        <v>13.0</v>
      </c>
      <c r="F596" s="256">
        <v>0.0</v>
      </c>
      <c r="G596" s="39">
        <f t="shared" si="1"/>
        <v>3250</v>
      </c>
      <c r="H596" s="13" t="str">
        <f t="shared" si="2"/>
        <v>13 Signed Rep + 0 5-Star Review</v>
      </c>
      <c r="I596" s="14"/>
      <c r="J596" s="14"/>
    </row>
    <row r="597" hidden="1">
      <c r="A597" s="6" t="s">
        <v>248</v>
      </c>
      <c r="B597" s="255" t="s">
        <v>213</v>
      </c>
      <c r="C597" s="255" t="s">
        <v>214</v>
      </c>
      <c r="D597" s="255" t="s">
        <v>660</v>
      </c>
      <c r="E597" s="256">
        <v>9.0</v>
      </c>
      <c r="F597" s="256">
        <v>0.0</v>
      </c>
      <c r="G597" s="39">
        <f t="shared" si="1"/>
        <v>2250</v>
      </c>
      <c r="H597" s="13" t="str">
        <f t="shared" si="2"/>
        <v>9 Signed Rep + 0 5-Star Review</v>
      </c>
      <c r="I597" s="14"/>
      <c r="J597" s="14"/>
    </row>
    <row r="598" hidden="1">
      <c r="A598" s="6" t="s">
        <v>248</v>
      </c>
      <c r="B598" s="255" t="s">
        <v>661</v>
      </c>
      <c r="C598" s="255" t="s">
        <v>662</v>
      </c>
      <c r="D598" s="255" t="s">
        <v>663</v>
      </c>
      <c r="E598" s="256">
        <v>6.0</v>
      </c>
      <c r="F598" s="256">
        <v>0.0</v>
      </c>
      <c r="G598" s="39">
        <f t="shared" si="1"/>
        <v>1500</v>
      </c>
      <c r="H598" s="13" t="str">
        <f t="shared" si="2"/>
        <v>6 Signed Rep + 0 5-Star Review</v>
      </c>
      <c r="I598" s="14"/>
      <c r="J598" s="14"/>
    </row>
    <row r="599" hidden="1">
      <c r="A599" s="6" t="s">
        <v>248</v>
      </c>
      <c r="B599" s="255" t="s">
        <v>664</v>
      </c>
      <c r="C599" s="255" t="s">
        <v>665</v>
      </c>
      <c r="D599" s="255" t="s">
        <v>666</v>
      </c>
      <c r="E599" s="256">
        <v>22.0</v>
      </c>
      <c r="F599" s="256">
        <v>0.0</v>
      </c>
      <c r="G599" s="39">
        <f t="shared" si="1"/>
        <v>5500</v>
      </c>
      <c r="H599" s="13" t="str">
        <f t="shared" si="2"/>
        <v>22 Signed Rep + 0 5-Star Review</v>
      </c>
      <c r="I599" s="14"/>
      <c r="J599" s="14"/>
    </row>
    <row r="600" hidden="1">
      <c r="A600" s="6" t="s">
        <v>248</v>
      </c>
      <c r="B600" s="255" t="s">
        <v>667</v>
      </c>
      <c r="C600" s="255" t="s">
        <v>668</v>
      </c>
      <c r="D600" s="255" t="s">
        <v>669</v>
      </c>
      <c r="E600" s="256">
        <v>12.0</v>
      </c>
      <c r="F600" s="256">
        <v>0.0</v>
      </c>
      <c r="G600" s="39">
        <f t="shared" si="1"/>
        <v>3000</v>
      </c>
      <c r="H600" s="13" t="str">
        <f t="shared" si="2"/>
        <v>12 Signed Rep + 0 5-Star Review</v>
      </c>
      <c r="I600" s="14"/>
      <c r="J600" s="14"/>
    </row>
    <row r="601" hidden="1">
      <c r="A601" s="6" t="s">
        <v>248</v>
      </c>
      <c r="B601" s="255" t="s">
        <v>670</v>
      </c>
      <c r="C601" s="255" t="s">
        <v>671</v>
      </c>
      <c r="D601" s="255" t="s">
        <v>672</v>
      </c>
      <c r="E601" s="256">
        <v>9.0</v>
      </c>
      <c r="F601" s="256">
        <v>0.0</v>
      </c>
      <c r="G601" s="39">
        <f t="shared" si="1"/>
        <v>2250</v>
      </c>
      <c r="H601" s="13" t="str">
        <f t="shared" si="2"/>
        <v>9 Signed Rep + 0 5-Star Review</v>
      </c>
      <c r="I601" s="14"/>
      <c r="J601" s="14"/>
    </row>
    <row r="602" hidden="1">
      <c r="A602" s="6" t="s">
        <v>248</v>
      </c>
      <c r="B602" s="255" t="s">
        <v>673</v>
      </c>
      <c r="C602" s="255" t="s">
        <v>674</v>
      </c>
      <c r="D602" s="255" t="s">
        <v>675</v>
      </c>
      <c r="E602" s="256">
        <v>7.0</v>
      </c>
      <c r="F602" s="256">
        <v>0.0</v>
      </c>
      <c r="G602" s="39">
        <f t="shared" si="1"/>
        <v>1750</v>
      </c>
      <c r="H602" s="13" t="str">
        <f t="shared" si="2"/>
        <v>7 Signed Rep + 0 5-Star Review</v>
      </c>
      <c r="I602" s="14"/>
      <c r="J602" s="14"/>
    </row>
    <row r="603" hidden="1">
      <c r="A603" s="6" t="s">
        <v>248</v>
      </c>
      <c r="B603" s="255" t="s">
        <v>676</v>
      </c>
      <c r="C603" s="255" t="s">
        <v>677</v>
      </c>
      <c r="D603" s="255" t="s">
        <v>678</v>
      </c>
      <c r="E603" s="256">
        <v>8.0</v>
      </c>
      <c r="F603" s="256">
        <v>0.0</v>
      </c>
      <c r="G603" s="39">
        <f t="shared" si="1"/>
        <v>2000</v>
      </c>
      <c r="H603" s="13" t="str">
        <f t="shared" si="2"/>
        <v>8 Signed Rep + 0 5-Star Review</v>
      </c>
      <c r="I603" s="14"/>
      <c r="J603" s="14"/>
    </row>
    <row r="604" hidden="1">
      <c r="A604" s="6" t="s">
        <v>248</v>
      </c>
      <c r="B604" s="255" t="s">
        <v>679</v>
      </c>
      <c r="C604" s="255" t="s">
        <v>680</v>
      </c>
      <c r="D604" s="255" t="s">
        <v>794</v>
      </c>
      <c r="E604" s="256">
        <v>4.0</v>
      </c>
      <c r="F604" s="256">
        <v>2.0</v>
      </c>
      <c r="G604" s="39">
        <f t="shared" si="1"/>
        <v>1200</v>
      </c>
      <c r="H604" s="13" t="str">
        <f t="shared" si="2"/>
        <v>4 Signed Rep + 2 5-Star Review</v>
      </c>
      <c r="I604" s="14"/>
      <c r="J604" s="14"/>
    </row>
    <row r="605" hidden="1">
      <c r="A605" s="6" t="s">
        <v>248</v>
      </c>
      <c r="B605" s="255" t="s">
        <v>682</v>
      </c>
      <c r="C605" s="255" t="s">
        <v>683</v>
      </c>
      <c r="D605" s="255" t="s">
        <v>684</v>
      </c>
      <c r="E605" s="256">
        <v>6.0</v>
      </c>
      <c r="F605" s="256">
        <v>0.0</v>
      </c>
      <c r="G605" s="39">
        <f t="shared" si="1"/>
        <v>1500</v>
      </c>
      <c r="H605" s="13" t="str">
        <f t="shared" si="2"/>
        <v>6 Signed Rep + 0 5-Star Review</v>
      </c>
      <c r="I605" s="14"/>
      <c r="J605" s="14"/>
    </row>
    <row r="606" hidden="1">
      <c r="A606" s="6" t="s">
        <v>248</v>
      </c>
      <c r="B606" s="255" t="s">
        <v>685</v>
      </c>
      <c r="C606" s="255" t="s">
        <v>686</v>
      </c>
      <c r="D606" s="255" t="s">
        <v>687</v>
      </c>
      <c r="E606" s="256">
        <v>10.0</v>
      </c>
      <c r="F606" s="256">
        <v>0.0</v>
      </c>
      <c r="G606" s="39">
        <f t="shared" si="1"/>
        <v>2500</v>
      </c>
      <c r="H606" s="13" t="str">
        <f t="shared" si="2"/>
        <v>10 Signed Rep + 0 5-Star Review</v>
      </c>
      <c r="I606" s="14"/>
      <c r="J606" s="14"/>
    </row>
    <row r="607" hidden="1">
      <c r="A607" s="6" t="s">
        <v>248</v>
      </c>
      <c r="B607" s="255" t="s">
        <v>688</v>
      </c>
      <c r="C607" s="255" t="s">
        <v>689</v>
      </c>
      <c r="D607" s="255" t="s">
        <v>690</v>
      </c>
      <c r="E607" s="256">
        <v>13.0</v>
      </c>
      <c r="F607" s="256">
        <v>0.0</v>
      </c>
      <c r="G607" s="39">
        <f t="shared" si="1"/>
        <v>3250</v>
      </c>
      <c r="H607" s="13" t="str">
        <f t="shared" si="2"/>
        <v>13 Signed Rep + 0 5-Star Review</v>
      </c>
      <c r="I607" s="14"/>
      <c r="J607" s="14"/>
    </row>
    <row r="608" hidden="1">
      <c r="A608" s="6" t="s">
        <v>248</v>
      </c>
      <c r="B608" s="255" t="s">
        <v>691</v>
      </c>
      <c r="C608" s="255" t="s">
        <v>692</v>
      </c>
      <c r="D608" s="255" t="s">
        <v>693</v>
      </c>
      <c r="E608" s="256">
        <v>5.0</v>
      </c>
      <c r="F608" s="256">
        <v>0.0</v>
      </c>
      <c r="G608" s="39">
        <f t="shared" si="1"/>
        <v>1250</v>
      </c>
      <c r="H608" s="13" t="str">
        <f t="shared" si="2"/>
        <v>5 Signed Rep + 0 5-Star Review</v>
      </c>
      <c r="I608" s="14"/>
      <c r="J608" s="14"/>
    </row>
    <row r="609" hidden="1">
      <c r="A609" s="6" t="s">
        <v>248</v>
      </c>
      <c r="B609" s="255" t="s">
        <v>694</v>
      </c>
      <c r="C609" s="255" t="s">
        <v>695</v>
      </c>
      <c r="D609" s="255" t="s">
        <v>696</v>
      </c>
      <c r="E609" s="256">
        <v>8.0</v>
      </c>
      <c r="F609" s="256">
        <v>0.0</v>
      </c>
      <c r="G609" s="39">
        <f t="shared" si="1"/>
        <v>2000</v>
      </c>
      <c r="H609" s="13" t="str">
        <f t="shared" si="2"/>
        <v>8 Signed Rep + 0 5-Star Review</v>
      </c>
      <c r="I609" s="14"/>
      <c r="J609" s="14"/>
    </row>
    <row r="610" hidden="1">
      <c r="A610" s="6" t="s">
        <v>248</v>
      </c>
      <c r="B610" s="255" t="s">
        <v>697</v>
      </c>
      <c r="C610" s="255" t="s">
        <v>698</v>
      </c>
      <c r="D610" s="255" t="s">
        <v>699</v>
      </c>
      <c r="E610" s="256">
        <v>11.0</v>
      </c>
      <c r="F610" s="256">
        <v>0.0</v>
      </c>
      <c r="G610" s="39">
        <f t="shared" si="1"/>
        <v>2750</v>
      </c>
      <c r="H610" s="13" t="str">
        <f t="shared" si="2"/>
        <v>11 Signed Rep + 0 5-Star Review</v>
      </c>
      <c r="I610" s="14"/>
      <c r="J610" s="14"/>
    </row>
    <row r="611" hidden="1">
      <c r="A611" s="6" t="s">
        <v>248</v>
      </c>
      <c r="B611" s="255" t="s">
        <v>700</v>
      </c>
      <c r="C611" s="255" t="s">
        <v>701</v>
      </c>
      <c r="D611" s="255" t="s">
        <v>702</v>
      </c>
      <c r="E611" s="256">
        <v>10.0</v>
      </c>
      <c r="F611" s="256">
        <v>0.0</v>
      </c>
      <c r="G611" s="39">
        <f t="shared" si="1"/>
        <v>2500</v>
      </c>
      <c r="H611" s="13" t="str">
        <f t="shared" si="2"/>
        <v>10 Signed Rep + 0 5-Star Review</v>
      </c>
      <c r="I611" s="14"/>
      <c r="J611" s="14"/>
    </row>
    <row r="612" hidden="1">
      <c r="A612" s="6" t="s">
        <v>248</v>
      </c>
      <c r="B612" s="255" t="s">
        <v>703</v>
      </c>
      <c r="C612" s="255" t="s">
        <v>704</v>
      </c>
      <c r="D612" s="255" t="s">
        <v>705</v>
      </c>
      <c r="E612" s="256">
        <v>8.0</v>
      </c>
      <c r="F612" s="256">
        <v>0.0</v>
      </c>
      <c r="G612" s="39">
        <f t="shared" si="1"/>
        <v>2000</v>
      </c>
      <c r="H612" s="13" t="str">
        <f t="shared" si="2"/>
        <v>8 Signed Rep + 0 5-Star Review</v>
      </c>
      <c r="I612" s="14"/>
      <c r="J612" s="14"/>
    </row>
    <row r="613" hidden="1">
      <c r="A613" s="6" t="s">
        <v>248</v>
      </c>
      <c r="B613" s="255" t="s">
        <v>706</v>
      </c>
      <c r="C613" s="255" t="s">
        <v>707</v>
      </c>
      <c r="D613" s="255" t="s">
        <v>708</v>
      </c>
      <c r="E613" s="256">
        <v>5.0</v>
      </c>
      <c r="F613" s="256">
        <v>0.0</v>
      </c>
      <c r="G613" s="39">
        <f t="shared" si="1"/>
        <v>1250</v>
      </c>
      <c r="H613" s="13" t="str">
        <f t="shared" si="2"/>
        <v>5 Signed Rep + 0 5-Star Review</v>
      </c>
      <c r="I613" s="14"/>
      <c r="J613" s="14"/>
    </row>
    <row r="614" hidden="1">
      <c r="A614" s="6" t="s">
        <v>248</v>
      </c>
      <c r="B614" s="255" t="s">
        <v>709</v>
      </c>
      <c r="C614" s="255" t="s">
        <v>710</v>
      </c>
      <c r="D614" s="255" t="s">
        <v>711</v>
      </c>
      <c r="E614" s="256">
        <v>13.0</v>
      </c>
      <c r="F614" s="256">
        <v>0.0</v>
      </c>
      <c r="G614" s="39">
        <f t="shared" si="1"/>
        <v>3250</v>
      </c>
      <c r="H614" s="13" t="str">
        <f t="shared" si="2"/>
        <v>13 Signed Rep + 0 5-Star Review</v>
      </c>
      <c r="I614" s="14"/>
      <c r="J614" s="14"/>
    </row>
    <row r="615" hidden="1">
      <c r="A615" s="6" t="s">
        <v>248</v>
      </c>
      <c r="B615" s="255" t="s">
        <v>712</v>
      </c>
      <c r="C615" s="255" t="s">
        <v>713</v>
      </c>
      <c r="D615" s="255" t="s">
        <v>714</v>
      </c>
      <c r="E615" s="256">
        <v>9.0</v>
      </c>
      <c r="F615" s="256">
        <v>0.0</v>
      </c>
      <c r="G615" s="39">
        <f t="shared" si="1"/>
        <v>2250</v>
      </c>
      <c r="H615" s="13" t="str">
        <f t="shared" si="2"/>
        <v>9 Signed Rep + 0 5-Star Review</v>
      </c>
      <c r="I615" s="14"/>
      <c r="J615" s="14"/>
    </row>
    <row r="616" hidden="1">
      <c r="A616" s="6" t="s">
        <v>248</v>
      </c>
      <c r="B616" s="255" t="s">
        <v>795</v>
      </c>
      <c r="C616" s="255" t="s">
        <v>796</v>
      </c>
      <c r="D616" s="255" t="s">
        <v>797</v>
      </c>
      <c r="E616" s="256">
        <v>0.0</v>
      </c>
      <c r="F616" s="256">
        <v>0.0</v>
      </c>
      <c r="G616" s="39">
        <f t="shared" si="1"/>
        <v>0</v>
      </c>
      <c r="H616" s="13" t="str">
        <f t="shared" si="2"/>
        <v>0 Signed Rep + 0 5-Star Review</v>
      </c>
      <c r="I616" s="14"/>
      <c r="J616" s="14"/>
    </row>
    <row r="617" hidden="1">
      <c r="A617" s="6" t="s">
        <v>248</v>
      </c>
      <c r="B617" s="255" t="s">
        <v>715</v>
      </c>
      <c r="C617" s="255" t="s">
        <v>716</v>
      </c>
      <c r="D617" s="255" t="s">
        <v>717</v>
      </c>
      <c r="E617" s="256">
        <v>7.0</v>
      </c>
      <c r="F617" s="256">
        <v>0.0</v>
      </c>
      <c r="G617" s="39">
        <f t="shared" si="1"/>
        <v>1750</v>
      </c>
      <c r="H617" s="13" t="str">
        <f t="shared" si="2"/>
        <v>7 Signed Rep + 0 5-Star Review</v>
      </c>
      <c r="I617" s="14"/>
      <c r="J617" s="14"/>
    </row>
    <row r="618" hidden="1">
      <c r="A618" s="6" t="s">
        <v>248</v>
      </c>
      <c r="B618" s="255" t="s">
        <v>718</v>
      </c>
      <c r="C618" s="255" t="s">
        <v>719</v>
      </c>
      <c r="D618" s="255" t="s">
        <v>720</v>
      </c>
      <c r="E618" s="256">
        <v>6.0</v>
      </c>
      <c r="F618" s="256">
        <v>0.0</v>
      </c>
      <c r="G618" s="39">
        <f t="shared" si="1"/>
        <v>1500</v>
      </c>
      <c r="H618" s="13" t="str">
        <f t="shared" si="2"/>
        <v>6 Signed Rep + 0 5-Star Review</v>
      </c>
      <c r="I618" s="14"/>
      <c r="J618" s="14"/>
    </row>
    <row r="619" hidden="1">
      <c r="A619" s="6" t="s">
        <v>248</v>
      </c>
      <c r="B619" s="255" t="s">
        <v>721</v>
      </c>
      <c r="C619" s="255" t="s">
        <v>722</v>
      </c>
      <c r="D619" s="255" t="s">
        <v>723</v>
      </c>
      <c r="E619" s="256">
        <v>11.0</v>
      </c>
      <c r="F619" s="256">
        <v>5.0</v>
      </c>
      <c r="G619" s="39">
        <f t="shared" si="1"/>
        <v>3250</v>
      </c>
      <c r="H619" s="13" t="str">
        <f t="shared" si="2"/>
        <v>11 Signed Rep + 5 5-Star Review</v>
      </c>
      <c r="I619" s="14"/>
      <c r="J619" s="14"/>
    </row>
    <row r="620" hidden="1">
      <c r="A620" s="6" t="s">
        <v>248</v>
      </c>
      <c r="B620" s="257" t="s">
        <v>724</v>
      </c>
      <c r="C620" s="255" t="s">
        <v>725</v>
      </c>
      <c r="D620" s="255" t="s">
        <v>726</v>
      </c>
      <c r="E620" s="256">
        <v>5.0</v>
      </c>
      <c r="F620" s="256">
        <v>0.0</v>
      </c>
      <c r="G620" s="39">
        <f t="shared" si="1"/>
        <v>1250</v>
      </c>
      <c r="H620" s="13" t="str">
        <f t="shared" si="2"/>
        <v>5 Signed Rep + 0 5-Star Review</v>
      </c>
      <c r="I620" s="14"/>
      <c r="J620" s="14"/>
    </row>
    <row r="621" hidden="1">
      <c r="A621" s="6" t="s">
        <v>248</v>
      </c>
      <c r="B621" s="255" t="s">
        <v>727</v>
      </c>
      <c r="C621" s="255" t="s">
        <v>728</v>
      </c>
      <c r="D621" s="255" t="s">
        <v>729</v>
      </c>
      <c r="E621" s="256">
        <v>6.0</v>
      </c>
      <c r="F621" s="256">
        <v>0.0</v>
      </c>
      <c r="G621" s="39">
        <f t="shared" si="1"/>
        <v>1500</v>
      </c>
      <c r="H621" s="13" t="str">
        <f t="shared" si="2"/>
        <v>6 Signed Rep + 0 5-Star Review</v>
      </c>
      <c r="I621" s="14"/>
      <c r="J621" s="14"/>
    </row>
    <row r="622" hidden="1">
      <c r="A622" s="6" t="s">
        <v>248</v>
      </c>
      <c r="B622" s="255" t="s">
        <v>730</v>
      </c>
      <c r="C622" s="255" t="s">
        <v>731</v>
      </c>
      <c r="D622" s="255" t="s">
        <v>732</v>
      </c>
      <c r="E622" s="256">
        <v>9.0</v>
      </c>
      <c r="F622" s="256">
        <v>0.0</v>
      </c>
      <c r="G622" s="39">
        <f t="shared" si="1"/>
        <v>2250</v>
      </c>
      <c r="H622" s="13" t="str">
        <f t="shared" si="2"/>
        <v>9 Signed Rep + 0 5-Star Review</v>
      </c>
      <c r="I622" s="14"/>
      <c r="J622" s="14"/>
    </row>
    <row r="623" hidden="1">
      <c r="A623" s="6" t="s">
        <v>248</v>
      </c>
      <c r="B623" s="255" t="s">
        <v>733</v>
      </c>
      <c r="C623" s="255" t="s">
        <v>734</v>
      </c>
      <c r="D623" s="255" t="s">
        <v>735</v>
      </c>
      <c r="E623" s="256">
        <v>7.0</v>
      </c>
      <c r="F623" s="256">
        <v>0.0</v>
      </c>
      <c r="G623" s="39">
        <f t="shared" si="1"/>
        <v>1750</v>
      </c>
      <c r="H623" s="13" t="str">
        <f t="shared" si="2"/>
        <v>7 Signed Rep + 0 5-Star Review</v>
      </c>
      <c r="I623" s="14"/>
      <c r="J623" s="14"/>
    </row>
    <row r="624" hidden="1">
      <c r="A624" s="6" t="s">
        <v>248</v>
      </c>
      <c r="B624" s="255" t="s">
        <v>736</v>
      </c>
      <c r="C624" s="255" t="s">
        <v>737</v>
      </c>
      <c r="D624" s="255" t="s">
        <v>738</v>
      </c>
      <c r="E624" s="256">
        <v>8.0</v>
      </c>
      <c r="F624" s="256">
        <v>0.0</v>
      </c>
      <c r="G624" s="39">
        <f t="shared" si="1"/>
        <v>2000</v>
      </c>
      <c r="H624" s="13" t="str">
        <f t="shared" si="2"/>
        <v>8 Signed Rep + 0 5-Star Review</v>
      </c>
      <c r="I624" s="14"/>
      <c r="J624" s="14"/>
    </row>
    <row r="625" hidden="1">
      <c r="A625" s="6" t="s">
        <v>248</v>
      </c>
      <c r="B625" s="255" t="s">
        <v>739</v>
      </c>
      <c r="C625" s="255" t="s">
        <v>740</v>
      </c>
      <c r="D625" s="255" t="s">
        <v>741</v>
      </c>
      <c r="E625" s="256">
        <v>5.0</v>
      </c>
      <c r="F625" s="256">
        <v>0.0</v>
      </c>
      <c r="G625" s="39">
        <f t="shared" si="1"/>
        <v>1250</v>
      </c>
      <c r="H625" s="13" t="str">
        <f t="shared" si="2"/>
        <v>5 Signed Rep + 0 5-Star Review</v>
      </c>
      <c r="I625" s="14"/>
      <c r="J625" s="14"/>
    </row>
    <row r="626" hidden="1">
      <c r="A626" s="6" t="s">
        <v>248</v>
      </c>
      <c r="B626" s="255" t="s">
        <v>742</v>
      </c>
      <c r="C626" s="255" t="s">
        <v>743</v>
      </c>
      <c r="D626" s="255" t="s">
        <v>744</v>
      </c>
      <c r="E626" s="256">
        <v>2.0</v>
      </c>
      <c r="F626" s="256">
        <v>0.0</v>
      </c>
      <c r="G626" s="39">
        <f t="shared" si="1"/>
        <v>500</v>
      </c>
      <c r="H626" s="13" t="str">
        <f t="shared" si="2"/>
        <v>2 Signed Rep + 0 5-Star Review</v>
      </c>
      <c r="I626" s="14"/>
      <c r="J626" s="14"/>
    </row>
    <row r="627" hidden="1">
      <c r="A627" s="6" t="s">
        <v>248</v>
      </c>
      <c r="B627" s="254" t="s">
        <v>745</v>
      </c>
      <c r="C627" s="255" t="s">
        <v>746</v>
      </c>
      <c r="D627" s="255" t="s">
        <v>747</v>
      </c>
      <c r="E627" s="256">
        <v>12.0</v>
      </c>
      <c r="F627" s="256">
        <v>0.0</v>
      </c>
      <c r="G627" s="39">
        <f t="shared" si="1"/>
        <v>3000</v>
      </c>
      <c r="H627" s="13" t="str">
        <f t="shared" si="2"/>
        <v>12 Signed Rep + 0 5-Star Review</v>
      </c>
      <c r="I627" s="14"/>
      <c r="J627" s="14"/>
    </row>
    <row r="628" hidden="1">
      <c r="A628" s="6" t="s">
        <v>248</v>
      </c>
      <c r="B628" s="255" t="s">
        <v>748</v>
      </c>
      <c r="C628" s="255" t="s">
        <v>749</v>
      </c>
      <c r="D628" s="255" t="s">
        <v>750</v>
      </c>
      <c r="E628" s="256">
        <v>6.0</v>
      </c>
      <c r="F628" s="256">
        <v>0.0</v>
      </c>
      <c r="G628" s="39">
        <f t="shared" si="1"/>
        <v>1500</v>
      </c>
      <c r="H628" s="13" t="str">
        <f t="shared" si="2"/>
        <v>6 Signed Rep + 0 5-Star Review</v>
      </c>
      <c r="I628" s="14"/>
      <c r="J628" s="14"/>
    </row>
    <row r="629" hidden="1">
      <c r="A629" s="6" t="s">
        <v>248</v>
      </c>
      <c r="B629" s="255" t="s">
        <v>788</v>
      </c>
      <c r="C629" s="255" t="s">
        <v>789</v>
      </c>
      <c r="D629" s="255" t="s">
        <v>790</v>
      </c>
      <c r="E629" s="256">
        <v>0.0</v>
      </c>
      <c r="F629" s="256">
        <v>0.0</v>
      </c>
      <c r="G629" s="39">
        <f t="shared" si="1"/>
        <v>0</v>
      </c>
      <c r="H629" s="13" t="str">
        <f t="shared" si="2"/>
        <v>0 Signed Rep + 0 5-Star Review</v>
      </c>
      <c r="I629" s="14"/>
      <c r="J629" s="14"/>
    </row>
    <row r="630" hidden="1">
      <c r="A630" s="6" t="s">
        <v>248</v>
      </c>
      <c r="B630" s="255" t="s">
        <v>751</v>
      </c>
      <c r="C630" s="255" t="s">
        <v>752</v>
      </c>
      <c r="D630" s="255" t="s">
        <v>753</v>
      </c>
      <c r="E630" s="256">
        <v>9.0</v>
      </c>
      <c r="F630" s="256">
        <v>0.0</v>
      </c>
      <c r="G630" s="39">
        <f t="shared" si="1"/>
        <v>2250</v>
      </c>
      <c r="H630" s="13" t="str">
        <f t="shared" si="2"/>
        <v>9 Signed Rep + 0 5-Star Review</v>
      </c>
      <c r="I630" s="14"/>
      <c r="J630" s="14"/>
    </row>
    <row r="631" hidden="1">
      <c r="A631" s="6" t="s">
        <v>248</v>
      </c>
      <c r="B631" s="255" t="s">
        <v>754</v>
      </c>
      <c r="C631" s="255" t="s">
        <v>755</v>
      </c>
      <c r="D631" s="255" t="s">
        <v>756</v>
      </c>
      <c r="E631" s="256">
        <v>5.0</v>
      </c>
      <c r="F631" s="256">
        <v>0.0</v>
      </c>
      <c r="G631" s="39">
        <f t="shared" si="1"/>
        <v>1250</v>
      </c>
      <c r="H631" s="13" t="str">
        <f t="shared" si="2"/>
        <v>5 Signed Rep + 0 5-Star Review</v>
      </c>
      <c r="I631" s="14"/>
      <c r="J631" s="14"/>
    </row>
    <row r="632" hidden="1">
      <c r="A632" s="6" t="s">
        <v>248</v>
      </c>
      <c r="B632" s="254" t="s">
        <v>757</v>
      </c>
      <c r="C632" s="255" t="s">
        <v>758</v>
      </c>
      <c r="D632" s="255" t="s">
        <v>759</v>
      </c>
      <c r="E632" s="256">
        <v>18.0</v>
      </c>
      <c r="F632" s="256">
        <v>0.0</v>
      </c>
      <c r="G632" s="39">
        <f t="shared" si="1"/>
        <v>4500</v>
      </c>
      <c r="H632" s="13" t="str">
        <f t="shared" si="2"/>
        <v>18 Signed Rep + 0 5-Star Review</v>
      </c>
      <c r="I632" s="23"/>
      <c r="J632" s="23"/>
    </row>
    <row r="633" hidden="1">
      <c r="A633" s="6" t="s">
        <v>248</v>
      </c>
      <c r="B633" s="255" t="s">
        <v>219</v>
      </c>
      <c r="C633" s="255" t="s">
        <v>220</v>
      </c>
      <c r="D633" s="255" t="s">
        <v>760</v>
      </c>
      <c r="E633" s="256">
        <v>6.0</v>
      </c>
      <c r="F633" s="256">
        <v>0.0</v>
      </c>
      <c r="G633" s="39">
        <f t="shared" si="1"/>
        <v>1500</v>
      </c>
      <c r="H633" s="13" t="str">
        <f t="shared" si="2"/>
        <v>6 Signed Rep + 0 5-Star Review</v>
      </c>
      <c r="I633" s="14"/>
      <c r="J633" s="14"/>
    </row>
    <row r="634" hidden="1">
      <c r="A634" s="6" t="s">
        <v>249</v>
      </c>
      <c r="B634" s="254" t="s">
        <v>624</v>
      </c>
      <c r="C634" s="254" t="s">
        <v>625</v>
      </c>
      <c r="D634" s="254" t="s">
        <v>626</v>
      </c>
      <c r="E634" s="256">
        <v>2.0</v>
      </c>
      <c r="F634" s="256">
        <v>0.0</v>
      </c>
      <c r="G634" s="39">
        <f t="shared" si="1"/>
        <v>500</v>
      </c>
      <c r="H634" s="13" t="str">
        <f t="shared" si="2"/>
        <v>2 Signed Rep + 0 5-Star Review</v>
      </c>
      <c r="I634" s="14"/>
      <c r="J634" s="14"/>
    </row>
    <row r="635" hidden="1">
      <c r="A635" s="6" t="s">
        <v>249</v>
      </c>
      <c r="B635" s="254" t="s">
        <v>627</v>
      </c>
      <c r="C635" s="254" t="s">
        <v>628</v>
      </c>
      <c r="D635" s="254" t="s">
        <v>629</v>
      </c>
      <c r="E635" s="256">
        <v>7.0</v>
      </c>
      <c r="F635" s="256">
        <v>0.0</v>
      </c>
      <c r="G635" s="39">
        <f t="shared" si="1"/>
        <v>1750</v>
      </c>
      <c r="H635" s="13" t="str">
        <f t="shared" si="2"/>
        <v>7 Signed Rep + 0 5-Star Review</v>
      </c>
      <c r="I635" s="14"/>
      <c r="J635" s="14"/>
    </row>
    <row r="636" hidden="1">
      <c r="A636" s="6" t="s">
        <v>249</v>
      </c>
      <c r="B636" s="254" t="s">
        <v>791</v>
      </c>
      <c r="C636" s="254" t="s">
        <v>792</v>
      </c>
      <c r="D636" s="254" t="s">
        <v>793</v>
      </c>
      <c r="E636" s="256">
        <v>3.0</v>
      </c>
      <c r="F636" s="256">
        <v>0.0</v>
      </c>
      <c r="G636" s="39">
        <f t="shared" si="1"/>
        <v>750</v>
      </c>
      <c r="H636" s="13" t="str">
        <f t="shared" si="2"/>
        <v>3 Signed Rep + 0 5-Star Review</v>
      </c>
      <c r="I636" s="14"/>
      <c r="J636" s="14"/>
    </row>
    <row r="637" hidden="1">
      <c r="A637" s="6" t="s">
        <v>249</v>
      </c>
      <c r="B637" s="255" t="s">
        <v>630</v>
      </c>
      <c r="C637" s="255" t="s">
        <v>631</v>
      </c>
      <c r="D637" s="255" t="s">
        <v>632</v>
      </c>
      <c r="E637" s="256">
        <v>6.0</v>
      </c>
      <c r="F637" s="256">
        <v>0.0</v>
      </c>
      <c r="G637" s="39">
        <f t="shared" si="1"/>
        <v>1500</v>
      </c>
      <c r="H637" s="13" t="str">
        <f t="shared" si="2"/>
        <v>6 Signed Rep + 0 5-Star Review</v>
      </c>
      <c r="I637" s="14"/>
      <c r="J637" s="14"/>
    </row>
    <row r="638" hidden="1">
      <c r="A638" s="6" t="s">
        <v>249</v>
      </c>
      <c r="B638" s="255" t="s">
        <v>639</v>
      </c>
      <c r="C638" s="255" t="s">
        <v>640</v>
      </c>
      <c r="D638" s="255" t="s">
        <v>641</v>
      </c>
      <c r="E638" s="256">
        <v>7.0</v>
      </c>
      <c r="F638" s="256">
        <v>0.0</v>
      </c>
      <c r="G638" s="39">
        <f t="shared" si="1"/>
        <v>1750</v>
      </c>
      <c r="H638" s="13" t="str">
        <f t="shared" si="2"/>
        <v>7 Signed Rep + 0 5-Star Review</v>
      </c>
      <c r="I638" s="14"/>
      <c r="J638" s="14"/>
    </row>
    <row r="639" hidden="1">
      <c r="A639" s="6" t="s">
        <v>249</v>
      </c>
      <c r="B639" s="255" t="s">
        <v>642</v>
      </c>
      <c r="C639" s="255" t="s">
        <v>643</v>
      </c>
      <c r="D639" s="255" t="s">
        <v>644</v>
      </c>
      <c r="E639" s="256">
        <v>10.0</v>
      </c>
      <c r="F639" s="256">
        <v>0.0</v>
      </c>
      <c r="G639" s="39">
        <f t="shared" si="1"/>
        <v>2500</v>
      </c>
      <c r="H639" s="13" t="str">
        <f t="shared" si="2"/>
        <v>10 Signed Rep + 0 5-Star Review</v>
      </c>
      <c r="I639" s="14"/>
      <c r="J639" s="14"/>
    </row>
    <row r="640" hidden="1">
      <c r="A640" s="6" t="s">
        <v>249</v>
      </c>
      <c r="B640" s="255" t="s">
        <v>645</v>
      </c>
      <c r="C640" s="255" t="s">
        <v>646</v>
      </c>
      <c r="D640" s="255" t="s">
        <v>647</v>
      </c>
      <c r="E640" s="256">
        <v>8.0</v>
      </c>
      <c r="F640" s="256">
        <v>0.0</v>
      </c>
      <c r="G640" s="39">
        <f t="shared" si="1"/>
        <v>2000</v>
      </c>
      <c r="H640" s="13" t="str">
        <f t="shared" si="2"/>
        <v>8 Signed Rep + 0 5-Star Review</v>
      </c>
      <c r="I640" s="14"/>
      <c r="J640" s="14"/>
    </row>
    <row r="641" hidden="1">
      <c r="A641" s="6" t="s">
        <v>249</v>
      </c>
      <c r="B641" s="255" t="s">
        <v>648</v>
      </c>
      <c r="C641" s="255" t="s">
        <v>649</v>
      </c>
      <c r="D641" s="255" t="s">
        <v>650</v>
      </c>
      <c r="E641" s="256">
        <v>10.0</v>
      </c>
      <c r="F641" s="256">
        <v>0.0</v>
      </c>
      <c r="G641" s="39">
        <f t="shared" si="1"/>
        <v>2500</v>
      </c>
      <c r="H641" s="13" t="str">
        <f t="shared" si="2"/>
        <v>10 Signed Rep + 0 5-Star Review</v>
      </c>
      <c r="I641" s="14"/>
      <c r="J641" s="14"/>
    </row>
    <row r="642" hidden="1">
      <c r="A642" s="6" t="s">
        <v>249</v>
      </c>
      <c r="B642" s="255" t="s">
        <v>651</v>
      </c>
      <c r="C642" s="255" t="s">
        <v>652</v>
      </c>
      <c r="D642" s="255" t="s">
        <v>653</v>
      </c>
      <c r="E642" s="256">
        <v>8.0</v>
      </c>
      <c r="F642" s="256">
        <v>0.0</v>
      </c>
      <c r="G642" s="39">
        <f t="shared" si="1"/>
        <v>2000</v>
      </c>
      <c r="H642" s="13" t="str">
        <f t="shared" si="2"/>
        <v>8 Signed Rep + 0 5-Star Review</v>
      </c>
      <c r="I642" s="14"/>
      <c r="J642" s="14"/>
    </row>
    <row r="643" hidden="1">
      <c r="A643" s="6" t="s">
        <v>249</v>
      </c>
      <c r="B643" s="255" t="s">
        <v>654</v>
      </c>
      <c r="C643" s="255" t="s">
        <v>655</v>
      </c>
      <c r="D643" s="255" t="s">
        <v>656</v>
      </c>
      <c r="E643" s="256">
        <v>2.0</v>
      </c>
      <c r="F643" s="256">
        <v>0.0</v>
      </c>
      <c r="G643" s="39">
        <f t="shared" si="1"/>
        <v>500</v>
      </c>
      <c r="H643" s="13" t="str">
        <f t="shared" si="2"/>
        <v>2 Signed Rep + 0 5-Star Review</v>
      </c>
      <c r="I643" s="14"/>
      <c r="J643" s="14"/>
    </row>
    <row r="644" hidden="1">
      <c r="A644" s="6" t="s">
        <v>249</v>
      </c>
      <c r="B644" s="255" t="s">
        <v>657</v>
      </c>
      <c r="C644" s="255" t="s">
        <v>658</v>
      </c>
      <c r="D644" s="255" t="s">
        <v>659</v>
      </c>
      <c r="E644" s="256">
        <v>11.0</v>
      </c>
      <c r="F644" s="256">
        <v>0.0</v>
      </c>
      <c r="G644" s="39">
        <f t="shared" si="1"/>
        <v>2750</v>
      </c>
      <c r="H644" s="13" t="str">
        <f t="shared" si="2"/>
        <v>11 Signed Rep + 0 5-Star Review</v>
      </c>
      <c r="I644" s="14"/>
      <c r="J644" s="14"/>
    </row>
    <row r="645" hidden="1">
      <c r="A645" s="6" t="s">
        <v>249</v>
      </c>
      <c r="B645" s="255" t="s">
        <v>213</v>
      </c>
      <c r="C645" s="255" t="s">
        <v>214</v>
      </c>
      <c r="D645" s="255" t="s">
        <v>660</v>
      </c>
      <c r="E645" s="256">
        <v>12.0</v>
      </c>
      <c r="F645" s="256">
        <v>0.0</v>
      </c>
      <c r="G645" s="39">
        <f t="shared" si="1"/>
        <v>3000</v>
      </c>
      <c r="H645" s="13" t="str">
        <f t="shared" si="2"/>
        <v>12 Signed Rep + 0 5-Star Review</v>
      </c>
      <c r="I645" s="14"/>
      <c r="J645" s="14"/>
    </row>
    <row r="646" hidden="1">
      <c r="A646" s="6" t="s">
        <v>249</v>
      </c>
      <c r="B646" s="255" t="s">
        <v>661</v>
      </c>
      <c r="C646" s="255" t="s">
        <v>662</v>
      </c>
      <c r="D646" s="255" t="s">
        <v>663</v>
      </c>
      <c r="E646" s="256">
        <v>16.0</v>
      </c>
      <c r="F646" s="256">
        <v>0.0</v>
      </c>
      <c r="G646" s="39">
        <f t="shared" si="1"/>
        <v>4000</v>
      </c>
      <c r="H646" s="13" t="str">
        <f t="shared" si="2"/>
        <v>16 Signed Rep + 0 5-Star Review</v>
      </c>
      <c r="I646" s="14"/>
      <c r="J646" s="14"/>
    </row>
    <row r="647" hidden="1">
      <c r="A647" s="6" t="s">
        <v>249</v>
      </c>
      <c r="B647" s="255" t="s">
        <v>664</v>
      </c>
      <c r="C647" s="255" t="s">
        <v>665</v>
      </c>
      <c r="D647" s="255" t="s">
        <v>666</v>
      </c>
      <c r="E647" s="256">
        <v>22.0</v>
      </c>
      <c r="F647" s="256">
        <v>0.0</v>
      </c>
      <c r="G647" s="39">
        <f t="shared" si="1"/>
        <v>5500</v>
      </c>
      <c r="H647" s="13" t="str">
        <f t="shared" si="2"/>
        <v>22 Signed Rep + 0 5-Star Review</v>
      </c>
      <c r="I647" s="14"/>
      <c r="J647" s="14"/>
    </row>
    <row r="648" hidden="1">
      <c r="A648" s="6" t="s">
        <v>249</v>
      </c>
      <c r="B648" s="255" t="s">
        <v>667</v>
      </c>
      <c r="C648" s="255" t="s">
        <v>668</v>
      </c>
      <c r="D648" s="255" t="s">
        <v>669</v>
      </c>
      <c r="E648" s="256">
        <v>8.0</v>
      </c>
      <c r="F648" s="256">
        <v>0.0</v>
      </c>
      <c r="G648" s="39">
        <f t="shared" si="1"/>
        <v>2000</v>
      </c>
      <c r="H648" s="13" t="str">
        <f t="shared" si="2"/>
        <v>8 Signed Rep + 0 5-Star Review</v>
      </c>
      <c r="I648" s="14"/>
      <c r="J648" s="14"/>
    </row>
    <row r="649" hidden="1">
      <c r="A649" s="6" t="s">
        <v>249</v>
      </c>
      <c r="B649" s="255" t="s">
        <v>670</v>
      </c>
      <c r="C649" s="255" t="s">
        <v>671</v>
      </c>
      <c r="D649" s="255" t="s">
        <v>672</v>
      </c>
      <c r="E649" s="256">
        <v>8.0</v>
      </c>
      <c r="F649" s="256">
        <v>0.0</v>
      </c>
      <c r="G649" s="39">
        <f t="shared" si="1"/>
        <v>2000</v>
      </c>
      <c r="H649" s="13" t="str">
        <f t="shared" si="2"/>
        <v>8 Signed Rep + 0 5-Star Review</v>
      </c>
      <c r="I649" s="14"/>
      <c r="J649" s="14"/>
    </row>
    <row r="650" hidden="1">
      <c r="A650" s="6" t="s">
        <v>249</v>
      </c>
      <c r="B650" s="255" t="s">
        <v>673</v>
      </c>
      <c r="C650" s="255" t="s">
        <v>674</v>
      </c>
      <c r="D650" s="255" t="s">
        <v>675</v>
      </c>
      <c r="E650" s="256">
        <v>10.0</v>
      </c>
      <c r="F650" s="256">
        <v>2.0</v>
      </c>
      <c r="G650" s="39">
        <f t="shared" si="1"/>
        <v>2700</v>
      </c>
      <c r="H650" s="13" t="str">
        <f t="shared" si="2"/>
        <v>10 Signed Rep + 2 5-Star Review</v>
      </c>
      <c r="I650" s="14"/>
      <c r="J650" s="14"/>
    </row>
    <row r="651" hidden="1">
      <c r="A651" s="6" t="s">
        <v>249</v>
      </c>
      <c r="B651" s="255" t="s">
        <v>676</v>
      </c>
      <c r="C651" s="255" t="s">
        <v>677</v>
      </c>
      <c r="D651" s="255" t="s">
        <v>678</v>
      </c>
      <c r="E651" s="256">
        <v>10.0</v>
      </c>
      <c r="F651" s="256">
        <v>0.0</v>
      </c>
      <c r="G651" s="39">
        <f t="shared" si="1"/>
        <v>2500</v>
      </c>
      <c r="H651" s="13" t="str">
        <f t="shared" si="2"/>
        <v>10 Signed Rep + 0 5-Star Review</v>
      </c>
      <c r="I651" s="14"/>
      <c r="J651" s="14"/>
    </row>
    <row r="652" hidden="1">
      <c r="A652" s="6" t="s">
        <v>249</v>
      </c>
      <c r="B652" s="255" t="s">
        <v>679</v>
      </c>
      <c r="C652" s="255" t="s">
        <v>680</v>
      </c>
      <c r="D652" s="255" t="s">
        <v>798</v>
      </c>
      <c r="E652" s="256">
        <v>10.0</v>
      </c>
      <c r="F652" s="256">
        <v>7.0</v>
      </c>
      <c r="G652" s="39">
        <f t="shared" si="1"/>
        <v>3200</v>
      </c>
      <c r="H652" s="13" t="str">
        <f t="shared" si="2"/>
        <v>10 Signed Rep + 7 5-Star Review</v>
      </c>
      <c r="I652" s="14"/>
      <c r="J652" s="14"/>
    </row>
    <row r="653" hidden="1">
      <c r="A653" s="6" t="s">
        <v>249</v>
      </c>
      <c r="B653" s="255" t="s">
        <v>682</v>
      </c>
      <c r="C653" s="255" t="s">
        <v>683</v>
      </c>
      <c r="D653" s="255" t="s">
        <v>684</v>
      </c>
      <c r="E653" s="256">
        <v>10.0</v>
      </c>
      <c r="F653" s="256">
        <v>0.0</v>
      </c>
      <c r="G653" s="39">
        <f t="shared" si="1"/>
        <v>2500</v>
      </c>
      <c r="H653" s="13" t="str">
        <f t="shared" si="2"/>
        <v>10 Signed Rep + 0 5-Star Review</v>
      </c>
      <c r="I653" s="14"/>
      <c r="J653" s="14"/>
    </row>
    <row r="654" hidden="1">
      <c r="A654" s="6" t="s">
        <v>249</v>
      </c>
      <c r="B654" s="255" t="s">
        <v>685</v>
      </c>
      <c r="C654" s="255" t="s">
        <v>686</v>
      </c>
      <c r="D654" s="255" t="s">
        <v>687</v>
      </c>
      <c r="E654" s="256">
        <v>9.0</v>
      </c>
      <c r="F654" s="256">
        <v>0.0</v>
      </c>
      <c r="G654" s="39">
        <f t="shared" si="1"/>
        <v>2250</v>
      </c>
      <c r="H654" s="13" t="str">
        <f t="shared" si="2"/>
        <v>9 Signed Rep + 0 5-Star Review</v>
      </c>
      <c r="I654" s="14"/>
      <c r="J654" s="14"/>
    </row>
    <row r="655" hidden="1">
      <c r="A655" s="6" t="s">
        <v>249</v>
      </c>
      <c r="B655" s="255" t="s">
        <v>688</v>
      </c>
      <c r="C655" s="255" t="s">
        <v>689</v>
      </c>
      <c r="D655" s="255" t="s">
        <v>690</v>
      </c>
      <c r="E655" s="256">
        <v>15.0</v>
      </c>
      <c r="F655" s="256">
        <v>0.0</v>
      </c>
      <c r="G655" s="39">
        <f t="shared" si="1"/>
        <v>3750</v>
      </c>
      <c r="H655" s="13" t="str">
        <f t="shared" si="2"/>
        <v>15 Signed Rep + 0 5-Star Review</v>
      </c>
      <c r="I655" s="14"/>
      <c r="J655" s="14"/>
    </row>
    <row r="656" hidden="1">
      <c r="A656" s="6" t="s">
        <v>249</v>
      </c>
      <c r="B656" s="255" t="s">
        <v>691</v>
      </c>
      <c r="C656" s="255" t="s">
        <v>692</v>
      </c>
      <c r="D656" s="255" t="s">
        <v>693</v>
      </c>
      <c r="E656" s="256">
        <v>6.0</v>
      </c>
      <c r="F656" s="256">
        <v>0.0</v>
      </c>
      <c r="G656" s="39">
        <f t="shared" si="1"/>
        <v>1500</v>
      </c>
      <c r="H656" s="13" t="str">
        <f t="shared" si="2"/>
        <v>6 Signed Rep + 0 5-Star Review</v>
      </c>
      <c r="I656" s="14"/>
      <c r="J656" s="14"/>
    </row>
    <row r="657" hidden="1">
      <c r="A657" s="6" t="s">
        <v>249</v>
      </c>
      <c r="B657" s="255" t="s">
        <v>694</v>
      </c>
      <c r="C657" s="255" t="s">
        <v>695</v>
      </c>
      <c r="D657" s="255" t="s">
        <v>696</v>
      </c>
      <c r="E657" s="256">
        <v>10.0</v>
      </c>
      <c r="F657" s="256">
        <v>0.0</v>
      </c>
      <c r="G657" s="39">
        <f t="shared" si="1"/>
        <v>2500</v>
      </c>
      <c r="H657" s="13" t="str">
        <f t="shared" si="2"/>
        <v>10 Signed Rep + 0 5-Star Review</v>
      </c>
      <c r="I657" s="14"/>
      <c r="J657" s="14"/>
    </row>
    <row r="658" hidden="1">
      <c r="A658" s="6" t="s">
        <v>249</v>
      </c>
      <c r="B658" s="255" t="s">
        <v>697</v>
      </c>
      <c r="C658" s="255" t="s">
        <v>698</v>
      </c>
      <c r="D658" s="255" t="s">
        <v>699</v>
      </c>
      <c r="E658" s="256">
        <v>5.0</v>
      </c>
      <c r="F658" s="256">
        <v>0.0</v>
      </c>
      <c r="G658" s="39">
        <f t="shared" si="1"/>
        <v>1250</v>
      </c>
      <c r="H658" s="13" t="str">
        <f t="shared" si="2"/>
        <v>5 Signed Rep + 0 5-Star Review</v>
      </c>
      <c r="I658" s="14"/>
      <c r="J658" s="14"/>
    </row>
    <row r="659" hidden="1">
      <c r="A659" s="6" t="s">
        <v>249</v>
      </c>
      <c r="B659" s="255" t="s">
        <v>700</v>
      </c>
      <c r="C659" s="255" t="s">
        <v>701</v>
      </c>
      <c r="D659" s="255" t="s">
        <v>702</v>
      </c>
      <c r="E659" s="256">
        <v>8.0</v>
      </c>
      <c r="F659" s="256">
        <v>0.0</v>
      </c>
      <c r="G659" s="39">
        <f t="shared" si="1"/>
        <v>2000</v>
      </c>
      <c r="H659" s="13" t="str">
        <f t="shared" si="2"/>
        <v>8 Signed Rep + 0 5-Star Review</v>
      </c>
      <c r="I659" s="14"/>
      <c r="J659" s="14"/>
    </row>
    <row r="660" hidden="1">
      <c r="A660" s="6" t="s">
        <v>249</v>
      </c>
      <c r="B660" s="255" t="s">
        <v>703</v>
      </c>
      <c r="C660" s="255" t="s">
        <v>704</v>
      </c>
      <c r="D660" s="255" t="s">
        <v>705</v>
      </c>
      <c r="E660" s="256">
        <v>8.0</v>
      </c>
      <c r="F660" s="256">
        <v>0.0</v>
      </c>
      <c r="G660" s="39">
        <f t="shared" si="1"/>
        <v>2000</v>
      </c>
      <c r="H660" s="13" t="str">
        <f t="shared" si="2"/>
        <v>8 Signed Rep + 0 5-Star Review</v>
      </c>
      <c r="I660" s="14"/>
      <c r="J660" s="14"/>
    </row>
    <row r="661" hidden="1">
      <c r="A661" s="6" t="s">
        <v>249</v>
      </c>
      <c r="B661" s="255" t="s">
        <v>706</v>
      </c>
      <c r="C661" s="255" t="s">
        <v>707</v>
      </c>
      <c r="D661" s="255" t="s">
        <v>708</v>
      </c>
      <c r="E661" s="256">
        <v>9.0</v>
      </c>
      <c r="F661" s="256">
        <v>0.0</v>
      </c>
      <c r="G661" s="39">
        <f t="shared" si="1"/>
        <v>2250</v>
      </c>
      <c r="H661" s="13" t="str">
        <f t="shared" si="2"/>
        <v>9 Signed Rep + 0 5-Star Review</v>
      </c>
      <c r="I661" s="14"/>
      <c r="J661" s="14"/>
    </row>
    <row r="662" hidden="1">
      <c r="A662" s="6" t="s">
        <v>249</v>
      </c>
      <c r="B662" s="255" t="s">
        <v>709</v>
      </c>
      <c r="C662" s="255" t="s">
        <v>710</v>
      </c>
      <c r="D662" s="255" t="s">
        <v>711</v>
      </c>
      <c r="E662" s="256">
        <v>8.0</v>
      </c>
      <c r="F662" s="256">
        <v>0.0</v>
      </c>
      <c r="G662" s="39">
        <f t="shared" si="1"/>
        <v>2000</v>
      </c>
      <c r="H662" s="13" t="str">
        <f t="shared" si="2"/>
        <v>8 Signed Rep + 0 5-Star Review</v>
      </c>
      <c r="I662" s="14"/>
      <c r="J662" s="14"/>
    </row>
    <row r="663" hidden="1">
      <c r="A663" s="6" t="s">
        <v>249</v>
      </c>
      <c r="B663" s="255" t="s">
        <v>712</v>
      </c>
      <c r="C663" s="255" t="s">
        <v>713</v>
      </c>
      <c r="D663" s="255" t="s">
        <v>714</v>
      </c>
      <c r="E663" s="256">
        <v>7.0</v>
      </c>
      <c r="F663" s="256">
        <v>3.0</v>
      </c>
      <c r="G663" s="39">
        <f t="shared" si="1"/>
        <v>2050</v>
      </c>
      <c r="H663" s="13" t="str">
        <f t="shared" si="2"/>
        <v>7 Signed Rep + 3 5-Star Review</v>
      </c>
      <c r="I663" s="14"/>
      <c r="J663" s="14"/>
    </row>
    <row r="664" hidden="1">
      <c r="A664" s="6" t="s">
        <v>249</v>
      </c>
      <c r="B664" s="255" t="s">
        <v>799</v>
      </c>
      <c r="C664" s="255" t="s">
        <v>800</v>
      </c>
      <c r="D664" s="255" t="s">
        <v>801</v>
      </c>
      <c r="E664" s="256">
        <v>1.0</v>
      </c>
      <c r="F664" s="256">
        <v>0.0</v>
      </c>
      <c r="G664" s="39">
        <f t="shared" si="1"/>
        <v>250</v>
      </c>
      <c r="H664" s="13" t="str">
        <f t="shared" si="2"/>
        <v>1 Signed Rep + 0 5-Star Review</v>
      </c>
      <c r="I664" s="14"/>
      <c r="J664" s="14"/>
    </row>
    <row r="665" hidden="1">
      <c r="A665" s="6" t="s">
        <v>249</v>
      </c>
      <c r="B665" s="255" t="s">
        <v>795</v>
      </c>
      <c r="C665" s="255" t="s">
        <v>796</v>
      </c>
      <c r="D665" s="255" t="s">
        <v>797</v>
      </c>
      <c r="E665" s="256">
        <v>4.0</v>
      </c>
      <c r="F665" s="256">
        <v>0.0</v>
      </c>
      <c r="G665" s="39">
        <f t="shared" si="1"/>
        <v>1000</v>
      </c>
      <c r="H665" s="13" t="str">
        <f t="shared" si="2"/>
        <v>4 Signed Rep + 0 5-Star Review</v>
      </c>
      <c r="I665" s="14"/>
      <c r="J665" s="14"/>
    </row>
    <row r="666" hidden="1">
      <c r="A666" s="6" t="s">
        <v>249</v>
      </c>
      <c r="B666" s="255" t="s">
        <v>715</v>
      </c>
      <c r="C666" s="255" t="s">
        <v>716</v>
      </c>
      <c r="D666" s="255" t="s">
        <v>717</v>
      </c>
      <c r="E666" s="256">
        <v>12.0</v>
      </c>
      <c r="F666" s="256">
        <v>0.0</v>
      </c>
      <c r="G666" s="39">
        <f t="shared" si="1"/>
        <v>3000</v>
      </c>
      <c r="H666" s="13" t="str">
        <f t="shared" si="2"/>
        <v>12 Signed Rep + 0 5-Star Review</v>
      </c>
      <c r="I666" s="14"/>
      <c r="J666" s="14"/>
    </row>
    <row r="667" hidden="1">
      <c r="A667" s="6" t="s">
        <v>249</v>
      </c>
      <c r="B667" s="255" t="s">
        <v>718</v>
      </c>
      <c r="C667" s="255" t="s">
        <v>719</v>
      </c>
      <c r="D667" s="255" t="s">
        <v>720</v>
      </c>
      <c r="E667" s="256">
        <v>8.0</v>
      </c>
      <c r="F667" s="256">
        <v>0.0</v>
      </c>
      <c r="G667" s="39">
        <f t="shared" si="1"/>
        <v>2000</v>
      </c>
      <c r="H667" s="13" t="str">
        <f t="shared" si="2"/>
        <v>8 Signed Rep + 0 5-Star Review</v>
      </c>
      <c r="I667" s="14"/>
      <c r="J667" s="14"/>
    </row>
    <row r="668" hidden="1">
      <c r="A668" s="6" t="s">
        <v>249</v>
      </c>
      <c r="B668" s="255" t="s">
        <v>721</v>
      </c>
      <c r="C668" s="255" t="s">
        <v>722</v>
      </c>
      <c r="D668" s="255" t="s">
        <v>723</v>
      </c>
      <c r="E668" s="256">
        <v>12.0</v>
      </c>
      <c r="F668" s="256">
        <v>7.0</v>
      </c>
      <c r="G668" s="39">
        <f t="shared" si="1"/>
        <v>3700</v>
      </c>
      <c r="H668" s="13" t="str">
        <f t="shared" si="2"/>
        <v>12 Signed Rep + 7 5-Star Review</v>
      </c>
      <c r="I668" s="14"/>
      <c r="J668" s="14"/>
    </row>
    <row r="669" hidden="1">
      <c r="A669" s="6" t="s">
        <v>249</v>
      </c>
      <c r="B669" s="257" t="s">
        <v>724</v>
      </c>
      <c r="C669" s="255" t="s">
        <v>725</v>
      </c>
      <c r="D669" s="255" t="s">
        <v>726</v>
      </c>
      <c r="E669" s="256">
        <v>6.0</v>
      </c>
      <c r="F669" s="256">
        <v>0.0</v>
      </c>
      <c r="G669" s="39">
        <f t="shared" si="1"/>
        <v>1500</v>
      </c>
      <c r="H669" s="13" t="str">
        <f t="shared" si="2"/>
        <v>6 Signed Rep + 0 5-Star Review</v>
      </c>
      <c r="I669" s="14"/>
      <c r="J669" s="14"/>
    </row>
    <row r="670" hidden="1">
      <c r="A670" s="6" t="s">
        <v>249</v>
      </c>
      <c r="B670" s="255" t="s">
        <v>727</v>
      </c>
      <c r="C670" s="255" t="s">
        <v>728</v>
      </c>
      <c r="D670" s="255" t="s">
        <v>729</v>
      </c>
      <c r="E670" s="256">
        <v>5.0</v>
      </c>
      <c r="F670" s="256">
        <v>0.0</v>
      </c>
      <c r="G670" s="39">
        <f t="shared" si="1"/>
        <v>1250</v>
      </c>
      <c r="H670" s="13" t="str">
        <f t="shared" si="2"/>
        <v>5 Signed Rep + 0 5-Star Review</v>
      </c>
      <c r="I670" s="14"/>
      <c r="J670" s="14"/>
    </row>
    <row r="671" hidden="1">
      <c r="A671" s="6" t="s">
        <v>249</v>
      </c>
      <c r="B671" s="255" t="s">
        <v>730</v>
      </c>
      <c r="C671" s="255" t="s">
        <v>731</v>
      </c>
      <c r="D671" s="255" t="s">
        <v>732</v>
      </c>
      <c r="E671" s="256">
        <v>9.0</v>
      </c>
      <c r="F671" s="256">
        <v>0.0</v>
      </c>
      <c r="G671" s="39">
        <f t="shared" si="1"/>
        <v>2250</v>
      </c>
      <c r="H671" s="13" t="str">
        <f t="shared" si="2"/>
        <v>9 Signed Rep + 0 5-Star Review</v>
      </c>
      <c r="I671" s="14"/>
      <c r="J671" s="14"/>
    </row>
    <row r="672" hidden="1">
      <c r="A672" s="6" t="s">
        <v>249</v>
      </c>
      <c r="B672" s="255" t="s">
        <v>733</v>
      </c>
      <c r="C672" s="255" t="s">
        <v>734</v>
      </c>
      <c r="D672" s="255" t="s">
        <v>735</v>
      </c>
      <c r="E672" s="256">
        <v>9.0</v>
      </c>
      <c r="F672" s="256">
        <v>0.0</v>
      </c>
      <c r="G672" s="39">
        <f t="shared" si="1"/>
        <v>2250</v>
      </c>
      <c r="H672" s="13" t="str">
        <f t="shared" si="2"/>
        <v>9 Signed Rep + 0 5-Star Review</v>
      </c>
      <c r="I672" s="14"/>
      <c r="J672" s="14"/>
    </row>
    <row r="673" hidden="1">
      <c r="A673" s="6" t="s">
        <v>249</v>
      </c>
      <c r="B673" s="255" t="s">
        <v>736</v>
      </c>
      <c r="C673" s="255" t="s">
        <v>737</v>
      </c>
      <c r="D673" s="255" t="s">
        <v>738</v>
      </c>
      <c r="E673" s="256">
        <v>7.0</v>
      </c>
      <c r="F673" s="256">
        <v>0.0</v>
      </c>
      <c r="G673" s="39">
        <f t="shared" si="1"/>
        <v>1750</v>
      </c>
      <c r="H673" s="13" t="str">
        <f t="shared" si="2"/>
        <v>7 Signed Rep + 0 5-Star Review</v>
      </c>
      <c r="I673" s="14"/>
      <c r="J673" s="14"/>
    </row>
    <row r="674" hidden="1">
      <c r="A674" s="6" t="s">
        <v>249</v>
      </c>
      <c r="B674" s="255" t="s">
        <v>739</v>
      </c>
      <c r="C674" s="255" t="s">
        <v>740</v>
      </c>
      <c r="D674" s="255" t="s">
        <v>741</v>
      </c>
      <c r="E674" s="256">
        <v>12.0</v>
      </c>
      <c r="F674" s="256">
        <v>0.0</v>
      </c>
      <c r="G674" s="39">
        <f t="shared" si="1"/>
        <v>3000</v>
      </c>
      <c r="H674" s="13" t="str">
        <f t="shared" si="2"/>
        <v>12 Signed Rep + 0 5-Star Review</v>
      </c>
      <c r="I674" s="14"/>
      <c r="J674" s="14"/>
    </row>
    <row r="675" hidden="1">
      <c r="A675" s="6" t="s">
        <v>249</v>
      </c>
      <c r="B675" s="255" t="s">
        <v>742</v>
      </c>
      <c r="C675" s="255" t="s">
        <v>743</v>
      </c>
      <c r="D675" s="255" t="s">
        <v>744</v>
      </c>
      <c r="E675" s="256">
        <v>6.0</v>
      </c>
      <c r="F675" s="256">
        <v>0.0</v>
      </c>
      <c r="G675" s="39">
        <f t="shared" si="1"/>
        <v>1500</v>
      </c>
      <c r="H675" s="13" t="str">
        <f t="shared" si="2"/>
        <v>6 Signed Rep + 0 5-Star Review</v>
      </c>
      <c r="I675" s="14"/>
      <c r="J675" s="14"/>
    </row>
    <row r="676" hidden="1">
      <c r="A676" s="6" t="s">
        <v>249</v>
      </c>
      <c r="B676" s="254" t="s">
        <v>745</v>
      </c>
      <c r="C676" s="255" t="s">
        <v>746</v>
      </c>
      <c r="D676" s="255" t="s">
        <v>747</v>
      </c>
      <c r="E676" s="256">
        <v>12.0</v>
      </c>
      <c r="F676" s="256">
        <v>0.0</v>
      </c>
      <c r="G676" s="39">
        <f t="shared" si="1"/>
        <v>3000</v>
      </c>
      <c r="H676" s="13" t="str">
        <f t="shared" si="2"/>
        <v>12 Signed Rep + 0 5-Star Review</v>
      </c>
      <c r="I676" s="14"/>
      <c r="J676" s="14"/>
    </row>
    <row r="677" hidden="1">
      <c r="A677" s="6" t="s">
        <v>249</v>
      </c>
      <c r="B677" s="255" t="s">
        <v>748</v>
      </c>
      <c r="C677" s="255" t="s">
        <v>749</v>
      </c>
      <c r="D677" s="255" t="s">
        <v>750</v>
      </c>
      <c r="E677" s="256">
        <v>6.0</v>
      </c>
      <c r="F677" s="256">
        <v>0.0</v>
      </c>
      <c r="G677" s="39">
        <f t="shared" si="1"/>
        <v>1500</v>
      </c>
      <c r="H677" s="13" t="str">
        <f t="shared" si="2"/>
        <v>6 Signed Rep + 0 5-Star Review</v>
      </c>
      <c r="I677" s="14"/>
      <c r="J677" s="14"/>
    </row>
    <row r="678" hidden="1">
      <c r="A678" s="6" t="s">
        <v>249</v>
      </c>
      <c r="B678" s="255" t="s">
        <v>788</v>
      </c>
      <c r="C678" s="255" t="s">
        <v>789</v>
      </c>
      <c r="D678" s="255" t="s">
        <v>790</v>
      </c>
      <c r="E678" s="256">
        <v>3.0</v>
      </c>
      <c r="F678" s="256">
        <v>0.0</v>
      </c>
      <c r="G678" s="39">
        <f t="shared" si="1"/>
        <v>750</v>
      </c>
      <c r="H678" s="13" t="str">
        <f t="shared" si="2"/>
        <v>3 Signed Rep + 0 5-Star Review</v>
      </c>
      <c r="I678" s="14"/>
      <c r="J678" s="14"/>
    </row>
    <row r="679" hidden="1">
      <c r="A679" s="6" t="s">
        <v>249</v>
      </c>
      <c r="B679" s="255" t="s">
        <v>751</v>
      </c>
      <c r="C679" s="255" t="s">
        <v>752</v>
      </c>
      <c r="D679" s="255" t="s">
        <v>753</v>
      </c>
      <c r="E679" s="256">
        <v>12.0</v>
      </c>
      <c r="F679" s="256">
        <v>0.0</v>
      </c>
      <c r="G679" s="39">
        <f t="shared" si="1"/>
        <v>3000</v>
      </c>
      <c r="H679" s="13" t="str">
        <f t="shared" si="2"/>
        <v>12 Signed Rep + 0 5-Star Review</v>
      </c>
      <c r="I679" s="14"/>
      <c r="J679" s="14"/>
    </row>
    <row r="680" hidden="1">
      <c r="A680" s="6" t="s">
        <v>249</v>
      </c>
      <c r="B680" s="255" t="s">
        <v>754</v>
      </c>
      <c r="C680" s="255" t="s">
        <v>755</v>
      </c>
      <c r="D680" s="255" t="s">
        <v>756</v>
      </c>
      <c r="E680" s="256">
        <v>8.0</v>
      </c>
      <c r="F680" s="256">
        <v>5.0</v>
      </c>
      <c r="G680" s="39">
        <f t="shared" si="1"/>
        <v>2500</v>
      </c>
      <c r="H680" s="13" t="str">
        <f t="shared" si="2"/>
        <v>8 Signed Rep + 5 5-Star Review</v>
      </c>
      <c r="I680" s="14"/>
      <c r="J680" s="14"/>
    </row>
    <row r="681" hidden="1">
      <c r="A681" s="6" t="s">
        <v>249</v>
      </c>
      <c r="B681" s="254" t="s">
        <v>757</v>
      </c>
      <c r="C681" s="255" t="s">
        <v>758</v>
      </c>
      <c r="D681" s="255" t="s">
        <v>759</v>
      </c>
      <c r="E681" s="256">
        <v>19.0</v>
      </c>
      <c r="F681" s="256">
        <v>1.0</v>
      </c>
      <c r="G681" s="39">
        <f t="shared" si="1"/>
        <v>4850</v>
      </c>
      <c r="H681" s="13" t="str">
        <f t="shared" si="2"/>
        <v>19 Signed Rep + 1 5-Star Review</v>
      </c>
      <c r="I681" s="23"/>
      <c r="J681" s="23"/>
    </row>
    <row r="682" hidden="1">
      <c r="A682" s="6" t="s">
        <v>249</v>
      </c>
      <c r="B682" s="255" t="s">
        <v>219</v>
      </c>
      <c r="C682" s="255" t="s">
        <v>220</v>
      </c>
      <c r="D682" s="255" t="s">
        <v>760</v>
      </c>
      <c r="E682" s="256">
        <v>12.0</v>
      </c>
      <c r="F682" s="256">
        <v>0.0</v>
      </c>
      <c r="G682" s="39">
        <f t="shared" si="1"/>
        <v>3000</v>
      </c>
      <c r="H682" s="13" t="str">
        <f t="shared" si="2"/>
        <v>12 Signed Rep + 0 5-Star Review</v>
      </c>
      <c r="I682" s="14"/>
      <c r="J682" s="14"/>
    </row>
    <row r="683" hidden="1">
      <c r="A683" s="6" t="s">
        <v>250</v>
      </c>
      <c r="B683" s="255" t="s">
        <v>612</v>
      </c>
      <c r="C683" s="255" t="s">
        <v>613</v>
      </c>
      <c r="D683" s="255" t="s">
        <v>614</v>
      </c>
      <c r="E683" s="256">
        <v>0.0</v>
      </c>
      <c r="F683" s="256">
        <v>0.0</v>
      </c>
      <c r="G683" s="39">
        <f t="shared" si="1"/>
        <v>0</v>
      </c>
      <c r="H683" s="13" t="str">
        <f t="shared" si="2"/>
        <v>0 Signed Rep + 0 5-Star Review</v>
      </c>
      <c r="I683" s="14"/>
      <c r="J683" s="14"/>
    </row>
    <row r="684" hidden="1">
      <c r="A684" s="6" t="s">
        <v>250</v>
      </c>
      <c r="B684" s="255" t="s">
        <v>630</v>
      </c>
      <c r="C684" s="255" t="s">
        <v>631</v>
      </c>
      <c r="D684" s="255" t="s">
        <v>632</v>
      </c>
      <c r="E684" s="263">
        <v>7.0</v>
      </c>
      <c r="F684" s="256">
        <v>0.0</v>
      </c>
      <c r="G684" s="39">
        <f t="shared" si="1"/>
        <v>1750</v>
      </c>
      <c r="H684" s="13" t="str">
        <f t="shared" si="2"/>
        <v>7 Signed Rep + 0 5-Star Review</v>
      </c>
      <c r="I684" s="14"/>
      <c r="J684" s="14"/>
    </row>
    <row r="685" hidden="1">
      <c r="A685" s="6" t="s">
        <v>250</v>
      </c>
      <c r="B685" s="255" t="s">
        <v>802</v>
      </c>
      <c r="C685" s="255" t="s">
        <v>803</v>
      </c>
      <c r="D685" s="255" t="s">
        <v>804</v>
      </c>
      <c r="E685" s="256">
        <v>2.0</v>
      </c>
      <c r="F685" s="256">
        <v>0.0</v>
      </c>
      <c r="G685" s="39">
        <f t="shared" si="1"/>
        <v>500</v>
      </c>
      <c r="H685" s="13" t="str">
        <f t="shared" si="2"/>
        <v>2 Signed Rep + 0 5-Star Review</v>
      </c>
      <c r="I685" s="14"/>
      <c r="J685" s="14"/>
    </row>
    <row r="686" hidden="1">
      <c r="A686" s="6" t="s">
        <v>250</v>
      </c>
      <c r="B686" s="255" t="s">
        <v>639</v>
      </c>
      <c r="C686" s="255" t="s">
        <v>640</v>
      </c>
      <c r="D686" s="255" t="s">
        <v>641</v>
      </c>
      <c r="E686" s="263">
        <v>7.0</v>
      </c>
      <c r="F686" s="263">
        <v>0.0</v>
      </c>
      <c r="G686" s="39">
        <f t="shared" si="1"/>
        <v>1750</v>
      </c>
      <c r="H686" s="13" t="str">
        <f t="shared" si="2"/>
        <v>7 Signed Rep + 0 5-Star Review</v>
      </c>
      <c r="I686" s="14"/>
      <c r="J686" s="14"/>
    </row>
    <row r="687" hidden="1">
      <c r="A687" s="6" t="s">
        <v>250</v>
      </c>
      <c r="B687" s="255" t="s">
        <v>642</v>
      </c>
      <c r="C687" s="255" t="s">
        <v>643</v>
      </c>
      <c r="D687" s="255" t="s">
        <v>644</v>
      </c>
      <c r="E687" s="263">
        <v>9.0</v>
      </c>
      <c r="F687" s="256">
        <v>0.0</v>
      </c>
      <c r="G687" s="39">
        <f t="shared" si="1"/>
        <v>2250</v>
      </c>
      <c r="H687" s="13" t="str">
        <f t="shared" si="2"/>
        <v>9 Signed Rep + 0 5-Star Review</v>
      </c>
      <c r="I687" s="14"/>
      <c r="J687" s="14"/>
    </row>
    <row r="688" hidden="1">
      <c r="A688" s="6" t="s">
        <v>250</v>
      </c>
      <c r="B688" s="255" t="s">
        <v>645</v>
      </c>
      <c r="C688" s="255" t="s">
        <v>646</v>
      </c>
      <c r="D688" s="255" t="s">
        <v>647</v>
      </c>
      <c r="E688" s="263">
        <v>7.0</v>
      </c>
      <c r="F688" s="263">
        <v>0.0</v>
      </c>
      <c r="G688" s="39">
        <f t="shared" si="1"/>
        <v>1750</v>
      </c>
      <c r="H688" s="13" t="str">
        <f t="shared" si="2"/>
        <v>7 Signed Rep + 0 5-Star Review</v>
      </c>
      <c r="I688" s="14"/>
      <c r="J688" s="14"/>
    </row>
    <row r="689" hidden="1">
      <c r="A689" s="6" t="s">
        <v>250</v>
      </c>
      <c r="B689" s="255" t="s">
        <v>648</v>
      </c>
      <c r="C689" s="255" t="s">
        <v>649</v>
      </c>
      <c r="D689" s="255" t="s">
        <v>650</v>
      </c>
      <c r="E689" s="263">
        <v>9.0</v>
      </c>
      <c r="F689" s="256">
        <v>0.0</v>
      </c>
      <c r="G689" s="39">
        <f t="shared" si="1"/>
        <v>2250</v>
      </c>
      <c r="H689" s="13" t="str">
        <f t="shared" si="2"/>
        <v>9 Signed Rep + 0 5-Star Review</v>
      </c>
      <c r="I689" s="14"/>
      <c r="J689" s="14"/>
    </row>
    <row r="690" hidden="1">
      <c r="A690" s="6" t="s">
        <v>250</v>
      </c>
      <c r="B690" s="255" t="s">
        <v>651</v>
      </c>
      <c r="C690" s="255" t="s">
        <v>652</v>
      </c>
      <c r="D690" s="255" t="s">
        <v>653</v>
      </c>
      <c r="E690" s="263">
        <v>6.0</v>
      </c>
      <c r="F690" s="256">
        <v>0.0</v>
      </c>
      <c r="G690" s="39">
        <f t="shared" si="1"/>
        <v>1500</v>
      </c>
      <c r="H690" s="13" t="str">
        <f t="shared" si="2"/>
        <v>6 Signed Rep + 0 5-Star Review</v>
      </c>
      <c r="I690" s="14"/>
      <c r="J690" s="14"/>
    </row>
    <row r="691" hidden="1">
      <c r="A691" s="6" t="s">
        <v>250</v>
      </c>
      <c r="B691" s="255" t="s">
        <v>654</v>
      </c>
      <c r="C691" s="255" t="s">
        <v>655</v>
      </c>
      <c r="D691" s="255" t="s">
        <v>656</v>
      </c>
      <c r="E691" s="263">
        <v>13.0</v>
      </c>
      <c r="F691" s="263">
        <v>0.0</v>
      </c>
      <c r="G691" s="39">
        <f t="shared" si="1"/>
        <v>3250</v>
      </c>
      <c r="H691" s="13" t="str">
        <f t="shared" si="2"/>
        <v>13 Signed Rep + 0 5-Star Review</v>
      </c>
      <c r="I691" s="14"/>
      <c r="J691" s="14"/>
    </row>
    <row r="692" hidden="1">
      <c r="A692" s="6" t="s">
        <v>250</v>
      </c>
      <c r="B692" s="255" t="s">
        <v>657</v>
      </c>
      <c r="C692" s="255" t="s">
        <v>658</v>
      </c>
      <c r="D692" s="255" t="s">
        <v>659</v>
      </c>
      <c r="E692" s="263">
        <v>8.0</v>
      </c>
      <c r="F692" s="256">
        <v>0.0</v>
      </c>
      <c r="G692" s="39">
        <f t="shared" si="1"/>
        <v>2000</v>
      </c>
      <c r="H692" s="13" t="str">
        <f t="shared" si="2"/>
        <v>8 Signed Rep + 0 5-Star Review</v>
      </c>
      <c r="I692" s="14"/>
      <c r="J692" s="14"/>
    </row>
    <row r="693" hidden="1">
      <c r="A693" s="6" t="s">
        <v>250</v>
      </c>
      <c r="B693" s="255" t="s">
        <v>213</v>
      </c>
      <c r="C693" s="255" t="s">
        <v>214</v>
      </c>
      <c r="D693" s="255" t="s">
        <v>660</v>
      </c>
      <c r="E693" s="263">
        <v>11.0</v>
      </c>
      <c r="F693" s="256">
        <v>0.0</v>
      </c>
      <c r="G693" s="39">
        <f t="shared" si="1"/>
        <v>2750</v>
      </c>
      <c r="H693" s="13" t="str">
        <f t="shared" si="2"/>
        <v>11 Signed Rep + 0 5-Star Review</v>
      </c>
      <c r="I693" s="14"/>
      <c r="J693" s="14"/>
    </row>
    <row r="694" hidden="1">
      <c r="A694" s="6" t="s">
        <v>250</v>
      </c>
      <c r="B694" s="255" t="s">
        <v>661</v>
      </c>
      <c r="C694" s="255" t="s">
        <v>662</v>
      </c>
      <c r="D694" s="255" t="s">
        <v>663</v>
      </c>
      <c r="E694" s="263">
        <v>14.0</v>
      </c>
      <c r="F694" s="263">
        <v>0.0</v>
      </c>
      <c r="G694" s="39">
        <f t="shared" si="1"/>
        <v>3500</v>
      </c>
      <c r="H694" s="13" t="str">
        <f t="shared" si="2"/>
        <v>14 Signed Rep + 0 5-Star Review</v>
      </c>
      <c r="I694" s="14"/>
      <c r="J694" s="14"/>
    </row>
    <row r="695" hidden="1">
      <c r="A695" s="6" t="s">
        <v>250</v>
      </c>
      <c r="B695" s="255" t="s">
        <v>664</v>
      </c>
      <c r="C695" s="255" t="s">
        <v>665</v>
      </c>
      <c r="D695" s="255" t="s">
        <v>666</v>
      </c>
      <c r="E695" s="263">
        <v>28.0</v>
      </c>
      <c r="F695" s="263">
        <v>0.0</v>
      </c>
      <c r="G695" s="39">
        <f t="shared" si="1"/>
        <v>7000</v>
      </c>
      <c r="H695" s="13" t="str">
        <f t="shared" si="2"/>
        <v>28 Signed Rep + 0 5-Star Review</v>
      </c>
      <c r="I695" s="14"/>
      <c r="J695" s="14"/>
    </row>
    <row r="696" hidden="1">
      <c r="A696" s="6" t="s">
        <v>250</v>
      </c>
      <c r="B696" s="255" t="s">
        <v>667</v>
      </c>
      <c r="C696" s="255" t="s">
        <v>668</v>
      </c>
      <c r="D696" s="255" t="s">
        <v>669</v>
      </c>
      <c r="E696" s="263">
        <v>14.0</v>
      </c>
      <c r="F696" s="263">
        <v>0.0</v>
      </c>
      <c r="G696" s="39">
        <f t="shared" si="1"/>
        <v>3500</v>
      </c>
      <c r="H696" s="13" t="str">
        <f t="shared" si="2"/>
        <v>14 Signed Rep + 0 5-Star Review</v>
      </c>
      <c r="I696" s="14"/>
      <c r="J696" s="14"/>
    </row>
    <row r="697" hidden="1">
      <c r="A697" s="6" t="s">
        <v>250</v>
      </c>
      <c r="B697" s="255" t="s">
        <v>670</v>
      </c>
      <c r="C697" s="255" t="s">
        <v>671</v>
      </c>
      <c r="D697" s="255" t="s">
        <v>672</v>
      </c>
      <c r="E697" s="256">
        <v>8.0</v>
      </c>
      <c r="F697" s="256">
        <v>0.0</v>
      </c>
      <c r="G697" s="39">
        <f t="shared" si="1"/>
        <v>2000</v>
      </c>
      <c r="H697" s="13" t="str">
        <f t="shared" si="2"/>
        <v>8 Signed Rep + 0 5-Star Review</v>
      </c>
      <c r="I697" s="14"/>
      <c r="J697" s="14"/>
    </row>
    <row r="698" hidden="1">
      <c r="A698" s="6" t="s">
        <v>250</v>
      </c>
      <c r="B698" s="255" t="s">
        <v>673</v>
      </c>
      <c r="C698" s="255" t="s">
        <v>674</v>
      </c>
      <c r="D698" s="255" t="s">
        <v>675</v>
      </c>
      <c r="E698" s="263">
        <v>7.0</v>
      </c>
      <c r="F698" s="263">
        <v>0.0</v>
      </c>
      <c r="G698" s="39">
        <f t="shared" si="1"/>
        <v>1750</v>
      </c>
      <c r="H698" s="13" t="str">
        <f t="shared" si="2"/>
        <v>7 Signed Rep + 0 5-Star Review</v>
      </c>
      <c r="I698" s="14"/>
      <c r="J698" s="14"/>
    </row>
    <row r="699" hidden="1">
      <c r="A699" s="6" t="s">
        <v>250</v>
      </c>
      <c r="B699" s="255" t="s">
        <v>676</v>
      </c>
      <c r="C699" s="255" t="s">
        <v>677</v>
      </c>
      <c r="D699" s="255" t="s">
        <v>678</v>
      </c>
      <c r="E699" s="263">
        <v>7.0</v>
      </c>
      <c r="F699" s="263">
        <v>0.0</v>
      </c>
      <c r="G699" s="39">
        <f t="shared" si="1"/>
        <v>1750</v>
      </c>
      <c r="H699" s="13" t="str">
        <f t="shared" si="2"/>
        <v>7 Signed Rep + 0 5-Star Review</v>
      </c>
      <c r="I699" s="14"/>
      <c r="J699" s="14"/>
    </row>
    <row r="700" hidden="1">
      <c r="A700" s="6" t="s">
        <v>250</v>
      </c>
      <c r="B700" s="255" t="s">
        <v>679</v>
      </c>
      <c r="C700" s="255" t="s">
        <v>680</v>
      </c>
      <c r="D700" s="255" t="s">
        <v>805</v>
      </c>
      <c r="E700" s="263">
        <v>15.0</v>
      </c>
      <c r="F700" s="263">
        <v>0.0</v>
      </c>
      <c r="G700" s="39">
        <f t="shared" si="1"/>
        <v>3750</v>
      </c>
      <c r="H700" s="13" t="str">
        <f t="shared" si="2"/>
        <v>15 Signed Rep + 0 5-Star Review</v>
      </c>
      <c r="I700" s="14"/>
      <c r="J700" s="14"/>
    </row>
    <row r="701" hidden="1">
      <c r="A701" s="6" t="s">
        <v>250</v>
      </c>
      <c r="B701" s="255" t="s">
        <v>682</v>
      </c>
      <c r="C701" s="255" t="s">
        <v>683</v>
      </c>
      <c r="D701" s="255" t="s">
        <v>684</v>
      </c>
      <c r="E701" s="263">
        <v>10.0</v>
      </c>
      <c r="F701" s="256">
        <v>0.0</v>
      </c>
      <c r="G701" s="39">
        <f t="shared" si="1"/>
        <v>2500</v>
      </c>
      <c r="H701" s="13" t="str">
        <f t="shared" si="2"/>
        <v>10 Signed Rep + 0 5-Star Review</v>
      </c>
      <c r="I701" s="14"/>
      <c r="J701" s="14"/>
    </row>
    <row r="702" hidden="1">
      <c r="A702" s="6" t="s">
        <v>250</v>
      </c>
      <c r="B702" s="255" t="s">
        <v>685</v>
      </c>
      <c r="C702" s="255" t="s">
        <v>686</v>
      </c>
      <c r="D702" s="255" t="s">
        <v>687</v>
      </c>
      <c r="E702" s="263">
        <v>11.0</v>
      </c>
      <c r="F702" s="263">
        <v>0.0</v>
      </c>
      <c r="G702" s="39">
        <f t="shared" si="1"/>
        <v>2750</v>
      </c>
      <c r="H702" s="13" t="str">
        <f t="shared" si="2"/>
        <v>11 Signed Rep + 0 5-Star Review</v>
      </c>
      <c r="I702" s="14"/>
      <c r="J702" s="14"/>
    </row>
    <row r="703" hidden="1">
      <c r="A703" s="6" t="s">
        <v>250</v>
      </c>
      <c r="B703" s="255" t="s">
        <v>688</v>
      </c>
      <c r="C703" s="255" t="s">
        <v>689</v>
      </c>
      <c r="D703" s="255" t="s">
        <v>690</v>
      </c>
      <c r="E703" s="263">
        <v>11.0</v>
      </c>
      <c r="F703" s="263">
        <v>0.0</v>
      </c>
      <c r="G703" s="39">
        <f t="shared" si="1"/>
        <v>2750</v>
      </c>
      <c r="H703" s="13" t="str">
        <f t="shared" si="2"/>
        <v>11 Signed Rep + 0 5-Star Review</v>
      </c>
      <c r="I703" s="14"/>
      <c r="J703" s="14"/>
    </row>
    <row r="704" hidden="1">
      <c r="A704" s="6" t="s">
        <v>250</v>
      </c>
      <c r="B704" s="255" t="s">
        <v>691</v>
      </c>
      <c r="C704" s="255" t="s">
        <v>692</v>
      </c>
      <c r="D704" s="255" t="s">
        <v>693</v>
      </c>
      <c r="E704" s="256">
        <v>8.0</v>
      </c>
      <c r="F704" s="256">
        <v>0.0</v>
      </c>
      <c r="G704" s="39">
        <f t="shared" si="1"/>
        <v>2000</v>
      </c>
      <c r="H704" s="13" t="str">
        <f t="shared" si="2"/>
        <v>8 Signed Rep + 0 5-Star Review</v>
      </c>
      <c r="I704" s="14"/>
      <c r="J704" s="14"/>
    </row>
    <row r="705" hidden="1">
      <c r="A705" s="6" t="s">
        <v>250</v>
      </c>
      <c r="B705" s="255" t="s">
        <v>694</v>
      </c>
      <c r="C705" s="255" t="s">
        <v>695</v>
      </c>
      <c r="D705" s="255" t="s">
        <v>696</v>
      </c>
      <c r="E705" s="263">
        <v>10.0</v>
      </c>
      <c r="F705" s="256">
        <v>0.0</v>
      </c>
      <c r="G705" s="39">
        <f t="shared" si="1"/>
        <v>2500</v>
      </c>
      <c r="H705" s="13" t="str">
        <f t="shared" si="2"/>
        <v>10 Signed Rep + 0 5-Star Review</v>
      </c>
      <c r="I705" s="14"/>
      <c r="J705" s="14"/>
    </row>
    <row r="706" hidden="1">
      <c r="A706" s="6" t="s">
        <v>250</v>
      </c>
      <c r="B706" s="255" t="s">
        <v>697</v>
      </c>
      <c r="C706" s="255" t="s">
        <v>698</v>
      </c>
      <c r="D706" s="255" t="s">
        <v>699</v>
      </c>
      <c r="E706" s="256">
        <v>10.0</v>
      </c>
      <c r="F706" s="256">
        <v>0.0</v>
      </c>
      <c r="G706" s="39">
        <f t="shared" si="1"/>
        <v>2500</v>
      </c>
      <c r="H706" s="13" t="str">
        <f t="shared" si="2"/>
        <v>10 Signed Rep + 0 5-Star Review</v>
      </c>
      <c r="I706" s="14"/>
      <c r="J706" s="14"/>
    </row>
    <row r="707" hidden="1">
      <c r="A707" s="6" t="s">
        <v>250</v>
      </c>
      <c r="B707" s="255" t="s">
        <v>700</v>
      </c>
      <c r="C707" s="255" t="s">
        <v>701</v>
      </c>
      <c r="D707" s="255" t="s">
        <v>702</v>
      </c>
      <c r="E707" s="263">
        <v>16.0</v>
      </c>
      <c r="F707" s="263">
        <v>0.0</v>
      </c>
      <c r="G707" s="39">
        <f t="shared" si="1"/>
        <v>4000</v>
      </c>
      <c r="H707" s="13" t="str">
        <f t="shared" si="2"/>
        <v>16 Signed Rep + 0 5-Star Review</v>
      </c>
      <c r="I707" s="14"/>
      <c r="J707" s="14"/>
    </row>
    <row r="708" hidden="1">
      <c r="A708" s="6" t="s">
        <v>250</v>
      </c>
      <c r="B708" s="255" t="s">
        <v>703</v>
      </c>
      <c r="C708" s="255" t="s">
        <v>704</v>
      </c>
      <c r="D708" s="255" t="s">
        <v>705</v>
      </c>
      <c r="E708" s="256">
        <v>8.0</v>
      </c>
      <c r="F708" s="256">
        <v>0.0</v>
      </c>
      <c r="G708" s="39">
        <f t="shared" si="1"/>
        <v>2000</v>
      </c>
      <c r="H708" s="13" t="str">
        <f t="shared" si="2"/>
        <v>8 Signed Rep + 0 5-Star Review</v>
      </c>
      <c r="I708" s="14"/>
      <c r="J708" s="14"/>
    </row>
    <row r="709" hidden="1">
      <c r="A709" s="6" t="s">
        <v>250</v>
      </c>
      <c r="B709" s="255" t="s">
        <v>706</v>
      </c>
      <c r="C709" s="255" t="s">
        <v>707</v>
      </c>
      <c r="D709" s="255" t="s">
        <v>708</v>
      </c>
      <c r="E709" s="263">
        <v>5.0</v>
      </c>
      <c r="F709" s="263">
        <v>0.0</v>
      </c>
      <c r="G709" s="39">
        <f t="shared" si="1"/>
        <v>1250</v>
      </c>
      <c r="H709" s="13" t="str">
        <f t="shared" si="2"/>
        <v>5 Signed Rep + 0 5-Star Review</v>
      </c>
      <c r="I709" s="14"/>
      <c r="J709" s="14"/>
    </row>
    <row r="710" hidden="1">
      <c r="A710" s="6" t="s">
        <v>250</v>
      </c>
      <c r="B710" s="255" t="s">
        <v>709</v>
      </c>
      <c r="C710" s="255" t="s">
        <v>710</v>
      </c>
      <c r="D710" s="255" t="s">
        <v>711</v>
      </c>
      <c r="E710" s="263">
        <v>6.0</v>
      </c>
      <c r="F710" s="263">
        <v>0.0</v>
      </c>
      <c r="G710" s="39">
        <f t="shared" si="1"/>
        <v>1500</v>
      </c>
      <c r="H710" s="13" t="str">
        <f t="shared" si="2"/>
        <v>6 Signed Rep + 0 5-Star Review</v>
      </c>
      <c r="I710" s="14"/>
      <c r="J710" s="14"/>
    </row>
    <row r="711" hidden="1">
      <c r="A711" s="6" t="s">
        <v>250</v>
      </c>
      <c r="B711" s="255" t="s">
        <v>712</v>
      </c>
      <c r="C711" s="255" t="s">
        <v>713</v>
      </c>
      <c r="D711" s="255" t="s">
        <v>714</v>
      </c>
      <c r="E711" s="263">
        <v>11.0</v>
      </c>
      <c r="F711" s="263">
        <v>0.0</v>
      </c>
      <c r="G711" s="39">
        <f t="shared" si="1"/>
        <v>2750</v>
      </c>
      <c r="H711" s="13" t="str">
        <f t="shared" si="2"/>
        <v>11 Signed Rep + 0 5-Star Review</v>
      </c>
      <c r="I711" s="14"/>
      <c r="J711" s="14"/>
    </row>
    <row r="712" hidden="1">
      <c r="A712" s="6" t="s">
        <v>250</v>
      </c>
      <c r="B712" s="255" t="s">
        <v>799</v>
      </c>
      <c r="C712" s="255" t="s">
        <v>800</v>
      </c>
      <c r="D712" s="255" t="s">
        <v>801</v>
      </c>
      <c r="E712" s="263">
        <v>9.0</v>
      </c>
      <c r="F712" s="256">
        <v>0.0</v>
      </c>
      <c r="G712" s="39">
        <f t="shared" si="1"/>
        <v>2250</v>
      </c>
      <c r="H712" s="13" t="str">
        <f t="shared" si="2"/>
        <v>9 Signed Rep + 0 5-Star Review</v>
      </c>
      <c r="I712" s="14"/>
      <c r="J712" s="14"/>
    </row>
    <row r="713" hidden="1">
      <c r="A713" s="6" t="s">
        <v>250</v>
      </c>
      <c r="B713" s="255" t="s">
        <v>795</v>
      </c>
      <c r="C713" s="255" t="s">
        <v>796</v>
      </c>
      <c r="D713" s="255" t="s">
        <v>797</v>
      </c>
      <c r="E713" s="263">
        <v>10.0</v>
      </c>
      <c r="F713" s="256">
        <v>0.0</v>
      </c>
      <c r="G713" s="39">
        <f t="shared" si="1"/>
        <v>2500</v>
      </c>
      <c r="H713" s="13" t="str">
        <f t="shared" si="2"/>
        <v>10 Signed Rep + 0 5-Star Review</v>
      </c>
      <c r="I713" s="14"/>
      <c r="J713" s="14"/>
    </row>
    <row r="714" hidden="1">
      <c r="A714" s="6" t="s">
        <v>250</v>
      </c>
      <c r="B714" s="255" t="s">
        <v>715</v>
      </c>
      <c r="C714" s="255" t="s">
        <v>716</v>
      </c>
      <c r="D714" s="255" t="s">
        <v>717</v>
      </c>
      <c r="E714" s="263">
        <v>8.0</v>
      </c>
      <c r="F714" s="256">
        <v>0.0</v>
      </c>
      <c r="G714" s="39">
        <f t="shared" si="1"/>
        <v>2000</v>
      </c>
      <c r="H714" s="13" t="str">
        <f t="shared" si="2"/>
        <v>8 Signed Rep + 0 5-Star Review</v>
      </c>
      <c r="I714" s="14"/>
      <c r="J714" s="14"/>
    </row>
    <row r="715" hidden="1">
      <c r="A715" s="6" t="s">
        <v>250</v>
      </c>
      <c r="B715" s="255" t="s">
        <v>718</v>
      </c>
      <c r="C715" s="255" t="s">
        <v>719</v>
      </c>
      <c r="D715" s="255" t="s">
        <v>720</v>
      </c>
      <c r="E715" s="263">
        <v>6.0</v>
      </c>
      <c r="F715" s="263">
        <v>0.0</v>
      </c>
      <c r="G715" s="39">
        <f t="shared" si="1"/>
        <v>1500</v>
      </c>
      <c r="H715" s="13" t="str">
        <f t="shared" si="2"/>
        <v>6 Signed Rep + 0 5-Star Review</v>
      </c>
      <c r="I715" s="14"/>
      <c r="J715" s="14"/>
    </row>
    <row r="716" hidden="1">
      <c r="A716" s="6" t="s">
        <v>250</v>
      </c>
      <c r="B716" s="255" t="s">
        <v>721</v>
      </c>
      <c r="C716" s="255" t="s">
        <v>722</v>
      </c>
      <c r="D716" s="255" t="s">
        <v>723</v>
      </c>
      <c r="E716" s="263">
        <v>15.0</v>
      </c>
      <c r="F716" s="263">
        <v>0.0</v>
      </c>
      <c r="G716" s="39">
        <f t="shared" si="1"/>
        <v>3750</v>
      </c>
      <c r="H716" s="13" t="str">
        <f t="shared" si="2"/>
        <v>15 Signed Rep + 0 5-Star Review</v>
      </c>
      <c r="I716" s="14"/>
      <c r="J716" s="14"/>
    </row>
    <row r="717" hidden="1">
      <c r="A717" s="6" t="s">
        <v>250</v>
      </c>
      <c r="B717" s="257" t="s">
        <v>724</v>
      </c>
      <c r="C717" s="255" t="s">
        <v>725</v>
      </c>
      <c r="D717" s="255" t="s">
        <v>726</v>
      </c>
      <c r="E717" s="263">
        <v>7.0</v>
      </c>
      <c r="F717" s="256">
        <v>0.0</v>
      </c>
      <c r="G717" s="39">
        <f t="shared" si="1"/>
        <v>1750</v>
      </c>
      <c r="H717" s="13" t="str">
        <f t="shared" si="2"/>
        <v>7 Signed Rep + 0 5-Star Review</v>
      </c>
      <c r="I717" s="14"/>
      <c r="J717" s="14"/>
    </row>
    <row r="718" hidden="1">
      <c r="A718" s="6" t="s">
        <v>250</v>
      </c>
      <c r="B718" s="255" t="s">
        <v>727</v>
      </c>
      <c r="C718" s="255" t="s">
        <v>728</v>
      </c>
      <c r="D718" s="255" t="s">
        <v>729</v>
      </c>
      <c r="E718" s="263">
        <v>8.0</v>
      </c>
      <c r="F718" s="256">
        <v>0.0</v>
      </c>
      <c r="G718" s="39">
        <f t="shared" si="1"/>
        <v>2000</v>
      </c>
      <c r="H718" s="13" t="str">
        <f t="shared" si="2"/>
        <v>8 Signed Rep + 0 5-Star Review</v>
      </c>
      <c r="I718" s="14"/>
      <c r="J718" s="14"/>
    </row>
    <row r="719" hidden="1">
      <c r="A719" s="6" t="s">
        <v>250</v>
      </c>
      <c r="B719" s="255" t="s">
        <v>730</v>
      </c>
      <c r="C719" s="255" t="s">
        <v>731</v>
      </c>
      <c r="D719" s="255" t="s">
        <v>732</v>
      </c>
      <c r="E719" s="263">
        <v>8.0</v>
      </c>
      <c r="F719" s="256">
        <v>0.0</v>
      </c>
      <c r="G719" s="39">
        <f t="shared" si="1"/>
        <v>2000</v>
      </c>
      <c r="H719" s="13" t="str">
        <f t="shared" si="2"/>
        <v>8 Signed Rep + 0 5-Star Review</v>
      </c>
      <c r="I719" s="14"/>
      <c r="J719" s="14"/>
    </row>
    <row r="720" hidden="1">
      <c r="A720" s="6" t="s">
        <v>250</v>
      </c>
      <c r="B720" s="255" t="s">
        <v>733</v>
      </c>
      <c r="C720" s="255" t="s">
        <v>734</v>
      </c>
      <c r="D720" s="255" t="s">
        <v>735</v>
      </c>
      <c r="E720" s="263">
        <v>11.0</v>
      </c>
      <c r="F720" s="256">
        <v>0.0</v>
      </c>
      <c r="G720" s="39">
        <f t="shared" si="1"/>
        <v>2750</v>
      </c>
      <c r="H720" s="13" t="str">
        <f t="shared" si="2"/>
        <v>11 Signed Rep + 0 5-Star Review</v>
      </c>
      <c r="I720" s="14"/>
      <c r="J720" s="14"/>
    </row>
    <row r="721" hidden="1">
      <c r="A721" s="6" t="s">
        <v>250</v>
      </c>
      <c r="B721" s="255" t="s">
        <v>736</v>
      </c>
      <c r="C721" s="255" t="s">
        <v>737</v>
      </c>
      <c r="D721" s="255" t="s">
        <v>738</v>
      </c>
      <c r="E721" s="263">
        <v>10.0</v>
      </c>
      <c r="F721" s="256">
        <v>0.0</v>
      </c>
      <c r="G721" s="39">
        <f t="shared" si="1"/>
        <v>2500</v>
      </c>
      <c r="H721" s="13" t="str">
        <f t="shared" si="2"/>
        <v>10 Signed Rep + 0 5-Star Review</v>
      </c>
      <c r="I721" s="14"/>
      <c r="J721" s="14"/>
    </row>
    <row r="722" hidden="1">
      <c r="A722" s="6" t="s">
        <v>250</v>
      </c>
      <c r="B722" s="255" t="s">
        <v>739</v>
      </c>
      <c r="C722" s="255" t="s">
        <v>740</v>
      </c>
      <c r="D722" s="255" t="s">
        <v>741</v>
      </c>
      <c r="E722" s="263">
        <v>8.0</v>
      </c>
      <c r="F722" s="256">
        <v>0.0</v>
      </c>
      <c r="G722" s="39">
        <f t="shared" si="1"/>
        <v>2000</v>
      </c>
      <c r="H722" s="13" t="str">
        <f t="shared" si="2"/>
        <v>8 Signed Rep + 0 5-Star Review</v>
      </c>
      <c r="I722" s="14"/>
      <c r="J722" s="14"/>
    </row>
    <row r="723" hidden="1">
      <c r="A723" s="6" t="s">
        <v>250</v>
      </c>
      <c r="B723" s="255" t="s">
        <v>742</v>
      </c>
      <c r="C723" s="255" t="s">
        <v>743</v>
      </c>
      <c r="D723" s="255" t="s">
        <v>744</v>
      </c>
      <c r="E723" s="263">
        <v>8.0</v>
      </c>
      <c r="F723" s="256">
        <v>0.0</v>
      </c>
      <c r="G723" s="39">
        <f t="shared" si="1"/>
        <v>2000</v>
      </c>
      <c r="H723" s="13" t="str">
        <f t="shared" si="2"/>
        <v>8 Signed Rep + 0 5-Star Review</v>
      </c>
      <c r="I723" s="14"/>
      <c r="J723" s="14"/>
    </row>
    <row r="724" hidden="1">
      <c r="A724" s="6" t="s">
        <v>250</v>
      </c>
      <c r="B724" s="254" t="s">
        <v>745</v>
      </c>
      <c r="C724" s="255" t="s">
        <v>746</v>
      </c>
      <c r="D724" s="255" t="s">
        <v>747</v>
      </c>
      <c r="E724" s="263">
        <v>9.0</v>
      </c>
      <c r="F724" s="263">
        <v>0.0</v>
      </c>
      <c r="G724" s="39">
        <f t="shared" si="1"/>
        <v>2250</v>
      </c>
      <c r="H724" s="13" t="str">
        <f t="shared" si="2"/>
        <v>9 Signed Rep + 0 5-Star Review</v>
      </c>
      <c r="I724" s="14"/>
      <c r="J724" s="14"/>
    </row>
    <row r="725" hidden="1">
      <c r="A725" s="6" t="s">
        <v>250</v>
      </c>
      <c r="B725" s="255" t="s">
        <v>748</v>
      </c>
      <c r="C725" s="255" t="s">
        <v>749</v>
      </c>
      <c r="D725" s="255" t="s">
        <v>750</v>
      </c>
      <c r="E725" s="256">
        <v>0.0</v>
      </c>
      <c r="F725" s="256">
        <v>0.0</v>
      </c>
      <c r="G725" s="39">
        <f t="shared" si="1"/>
        <v>0</v>
      </c>
      <c r="H725" s="13" t="str">
        <f t="shared" si="2"/>
        <v>0 Signed Rep + 0 5-Star Review</v>
      </c>
      <c r="I725" s="14"/>
      <c r="J725" s="14"/>
    </row>
    <row r="726" hidden="1">
      <c r="A726" s="6" t="s">
        <v>250</v>
      </c>
      <c r="B726" s="255" t="s">
        <v>788</v>
      </c>
      <c r="C726" s="255" t="s">
        <v>789</v>
      </c>
      <c r="D726" s="255" t="s">
        <v>790</v>
      </c>
      <c r="E726" s="263">
        <v>8.0</v>
      </c>
      <c r="F726" s="256">
        <v>0.0</v>
      </c>
      <c r="G726" s="39">
        <f t="shared" si="1"/>
        <v>2000</v>
      </c>
      <c r="H726" s="13" t="str">
        <f t="shared" si="2"/>
        <v>8 Signed Rep + 0 5-Star Review</v>
      </c>
      <c r="I726" s="14"/>
      <c r="J726" s="14"/>
    </row>
    <row r="727" hidden="1">
      <c r="A727" s="6" t="s">
        <v>250</v>
      </c>
      <c r="B727" s="255" t="s">
        <v>751</v>
      </c>
      <c r="C727" s="255" t="s">
        <v>752</v>
      </c>
      <c r="D727" s="255" t="s">
        <v>753</v>
      </c>
      <c r="E727" s="263">
        <v>11.0</v>
      </c>
      <c r="F727" s="263">
        <v>0.0</v>
      </c>
      <c r="G727" s="39">
        <f t="shared" si="1"/>
        <v>2750</v>
      </c>
      <c r="H727" s="13" t="str">
        <f t="shared" si="2"/>
        <v>11 Signed Rep + 0 5-Star Review</v>
      </c>
      <c r="I727" s="14"/>
      <c r="J727" s="14"/>
    </row>
    <row r="728" hidden="1">
      <c r="A728" s="6" t="s">
        <v>250</v>
      </c>
      <c r="B728" s="255" t="s">
        <v>754</v>
      </c>
      <c r="C728" s="255" t="s">
        <v>755</v>
      </c>
      <c r="D728" s="255" t="s">
        <v>756</v>
      </c>
      <c r="E728" s="263">
        <v>10.0</v>
      </c>
      <c r="F728" s="263">
        <v>0.0</v>
      </c>
      <c r="G728" s="39">
        <f t="shared" si="1"/>
        <v>2500</v>
      </c>
      <c r="H728" s="13" t="str">
        <f t="shared" si="2"/>
        <v>10 Signed Rep + 0 5-Star Review</v>
      </c>
      <c r="I728" s="14"/>
      <c r="J728" s="14"/>
    </row>
    <row r="729" hidden="1">
      <c r="A729" s="6" t="s">
        <v>250</v>
      </c>
      <c r="B729" s="254" t="s">
        <v>757</v>
      </c>
      <c r="C729" s="255" t="s">
        <v>758</v>
      </c>
      <c r="D729" s="255" t="s">
        <v>759</v>
      </c>
      <c r="E729" s="263">
        <v>17.0</v>
      </c>
      <c r="F729" s="263">
        <v>0.0</v>
      </c>
      <c r="G729" s="39">
        <f t="shared" si="1"/>
        <v>4250</v>
      </c>
      <c r="H729" s="13" t="str">
        <f t="shared" si="2"/>
        <v>17 Signed Rep + 0 5-Star Review</v>
      </c>
      <c r="I729" s="23"/>
      <c r="J729" s="23"/>
    </row>
    <row r="730" hidden="1">
      <c r="A730" s="6" t="s">
        <v>250</v>
      </c>
      <c r="B730" s="255" t="s">
        <v>219</v>
      </c>
      <c r="C730" s="255" t="s">
        <v>220</v>
      </c>
      <c r="D730" s="255" t="s">
        <v>760</v>
      </c>
      <c r="E730" s="256">
        <v>10.0</v>
      </c>
      <c r="F730" s="256">
        <v>0.0</v>
      </c>
      <c r="G730" s="39">
        <f t="shared" si="1"/>
        <v>2500</v>
      </c>
      <c r="H730" s="13" t="str">
        <f t="shared" si="2"/>
        <v>10 Signed Rep + 0 5-Star Review</v>
      </c>
      <c r="I730" s="14"/>
      <c r="J730" s="14"/>
    </row>
    <row r="731" hidden="1">
      <c r="A731" s="6" t="s">
        <v>254</v>
      </c>
      <c r="B731" s="255" t="s">
        <v>612</v>
      </c>
      <c r="C731" s="255" t="s">
        <v>613</v>
      </c>
      <c r="D731" s="255" t="s">
        <v>614</v>
      </c>
      <c r="E731" s="233">
        <v>0.0</v>
      </c>
      <c r="F731" s="213">
        <v>0.0</v>
      </c>
      <c r="G731" s="39">
        <f t="shared" si="1"/>
        <v>0</v>
      </c>
      <c r="H731" s="13" t="str">
        <f t="shared" si="2"/>
        <v>0 Signed Rep + 0 5-Star Review</v>
      </c>
      <c r="I731" s="14"/>
      <c r="J731" s="14"/>
    </row>
    <row r="732" hidden="1">
      <c r="A732" s="6" t="s">
        <v>254</v>
      </c>
      <c r="B732" s="255" t="s">
        <v>630</v>
      </c>
      <c r="C732" s="255" t="s">
        <v>631</v>
      </c>
      <c r="D732" s="255" t="s">
        <v>632</v>
      </c>
      <c r="E732" s="235">
        <v>7.0</v>
      </c>
      <c r="F732" s="213">
        <v>1.0</v>
      </c>
      <c r="G732" s="39">
        <f t="shared" si="1"/>
        <v>1850</v>
      </c>
      <c r="H732" s="13" t="str">
        <f t="shared" si="2"/>
        <v>7 Signed Rep + 1 5-Star Review</v>
      </c>
      <c r="I732" s="14"/>
      <c r="J732" s="14"/>
    </row>
    <row r="733" hidden="1">
      <c r="A733" s="6" t="s">
        <v>254</v>
      </c>
      <c r="B733" s="255" t="s">
        <v>802</v>
      </c>
      <c r="C733" s="255" t="s">
        <v>803</v>
      </c>
      <c r="D733" s="255" t="s">
        <v>804</v>
      </c>
      <c r="E733" s="233">
        <v>2.0</v>
      </c>
      <c r="F733" s="213">
        <v>0.0</v>
      </c>
      <c r="G733" s="39">
        <f t="shared" si="1"/>
        <v>500</v>
      </c>
      <c r="H733" s="13" t="str">
        <f t="shared" si="2"/>
        <v>2 Signed Rep + 0 5-Star Review</v>
      </c>
      <c r="I733" s="14"/>
      <c r="J733" s="14"/>
    </row>
    <row r="734" hidden="1">
      <c r="A734" s="6" t="s">
        <v>254</v>
      </c>
      <c r="B734" s="255" t="s">
        <v>639</v>
      </c>
      <c r="C734" s="255" t="s">
        <v>640</v>
      </c>
      <c r="D734" s="255" t="s">
        <v>641</v>
      </c>
      <c r="E734" s="235">
        <v>7.0</v>
      </c>
      <c r="F734" s="264">
        <v>0.0</v>
      </c>
      <c r="G734" s="39">
        <f t="shared" si="1"/>
        <v>1750</v>
      </c>
      <c r="H734" s="13" t="str">
        <f t="shared" si="2"/>
        <v>7 Signed Rep + 0 5-Star Review</v>
      </c>
      <c r="I734" s="14"/>
      <c r="J734" s="14"/>
    </row>
    <row r="735" hidden="1">
      <c r="A735" s="6" t="s">
        <v>254</v>
      </c>
      <c r="B735" s="255" t="s">
        <v>642</v>
      </c>
      <c r="C735" s="255" t="s">
        <v>643</v>
      </c>
      <c r="D735" s="255" t="s">
        <v>644</v>
      </c>
      <c r="E735" s="235">
        <v>9.0</v>
      </c>
      <c r="F735" s="213">
        <v>0.0</v>
      </c>
      <c r="G735" s="39">
        <f t="shared" si="1"/>
        <v>2250</v>
      </c>
      <c r="H735" s="13" t="str">
        <f t="shared" si="2"/>
        <v>9 Signed Rep + 0 5-Star Review</v>
      </c>
      <c r="I735" s="14"/>
      <c r="J735" s="14"/>
    </row>
    <row r="736" hidden="1">
      <c r="A736" s="6" t="s">
        <v>254</v>
      </c>
      <c r="B736" s="255" t="s">
        <v>645</v>
      </c>
      <c r="C736" s="255" t="s">
        <v>646</v>
      </c>
      <c r="D736" s="255" t="s">
        <v>647</v>
      </c>
      <c r="E736" s="235">
        <v>8.0</v>
      </c>
      <c r="F736" s="264">
        <v>0.0</v>
      </c>
      <c r="G736" s="39">
        <f t="shared" si="1"/>
        <v>2000</v>
      </c>
      <c r="H736" s="13" t="str">
        <f t="shared" si="2"/>
        <v>8 Signed Rep + 0 5-Star Review</v>
      </c>
      <c r="I736" s="14"/>
      <c r="J736" s="14"/>
    </row>
    <row r="737" hidden="1">
      <c r="A737" s="6" t="s">
        <v>254</v>
      </c>
      <c r="B737" s="255" t="s">
        <v>648</v>
      </c>
      <c r="C737" s="255" t="s">
        <v>649</v>
      </c>
      <c r="D737" s="255" t="s">
        <v>650</v>
      </c>
      <c r="E737" s="236">
        <v>9.0</v>
      </c>
      <c r="F737" s="213">
        <v>0.0</v>
      </c>
      <c r="G737" s="39">
        <f t="shared" si="1"/>
        <v>2250</v>
      </c>
      <c r="H737" s="13" t="str">
        <f t="shared" si="2"/>
        <v>9 Signed Rep + 0 5-Star Review</v>
      </c>
      <c r="I737" s="14"/>
      <c r="J737" s="14"/>
    </row>
    <row r="738" hidden="1">
      <c r="A738" s="6" t="s">
        <v>254</v>
      </c>
      <c r="B738" s="255" t="s">
        <v>651</v>
      </c>
      <c r="C738" s="255" t="s">
        <v>652</v>
      </c>
      <c r="D738" s="255" t="s">
        <v>653</v>
      </c>
      <c r="E738" s="235">
        <v>6.0</v>
      </c>
      <c r="F738" s="213">
        <v>0.0</v>
      </c>
      <c r="G738" s="39">
        <f t="shared" si="1"/>
        <v>1500</v>
      </c>
      <c r="H738" s="13" t="str">
        <f t="shared" si="2"/>
        <v>6 Signed Rep + 0 5-Star Review</v>
      </c>
      <c r="I738" s="14"/>
      <c r="J738" s="14"/>
    </row>
    <row r="739" hidden="1">
      <c r="A739" s="6" t="s">
        <v>254</v>
      </c>
      <c r="B739" s="255" t="s">
        <v>654</v>
      </c>
      <c r="C739" s="255" t="s">
        <v>655</v>
      </c>
      <c r="D739" s="255" t="s">
        <v>656</v>
      </c>
      <c r="E739" s="236">
        <v>13.0</v>
      </c>
      <c r="F739" s="264">
        <v>0.0</v>
      </c>
      <c r="G739" s="39">
        <f t="shared" si="1"/>
        <v>3250</v>
      </c>
      <c r="H739" s="13" t="str">
        <f t="shared" si="2"/>
        <v>13 Signed Rep + 0 5-Star Review</v>
      </c>
      <c r="I739" s="14"/>
      <c r="J739" s="14"/>
    </row>
    <row r="740" hidden="1">
      <c r="A740" s="6" t="s">
        <v>254</v>
      </c>
      <c r="B740" s="255" t="s">
        <v>657</v>
      </c>
      <c r="C740" s="255" t="s">
        <v>658</v>
      </c>
      <c r="D740" s="255" t="s">
        <v>659</v>
      </c>
      <c r="E740" s="235">
        <v>8.0</v>
      </c>
      <c r="F740" s="213">
        <v>0.0</v>
      </c>
      <c r="G740" s="39">
        <f t="shared" si="1"/>
        <v>2000</v>
      </c>
      <c r="H740" s="13" t="str">
        <f t="shared" si="2"/>
        <v>8 Signed Rep + 0 5-Star Review</v>
      </c>
      <c r="I740" s="14"/>
      <c r="J740" s="14"/>
    </row>
    <row r="741" hidden="1">
      <c r="A741" s="6" t="s">
        <v>254</v>
      </c>
      <c r="B741" s="255" t="s">
        <v>213</v>
      </c>
      <c r="C741" s="255" t="s">
        <v>214</v>
      </c>
      <c r="D741" s="255" t="s">
        <v>660</v>
      </c>
      <c r="E741" s="235">
        <v>11.0</v>
      </c>
      <c r="F741" s="213">
        <v>0.0</v>
      </c>
      <c r="G741" s="39">
        <f t="shared" si="1"/>
        <v>2750</v>
      </c>
      <c r="H741" s="13" t="str">
        <f t="shared" si="2"/>
        <v>11 Signed Rep + 0 5-Star Review</v>
      </c>
      <c r="I741" s="14"/>
      <c r="J741" s="14"/>
    </row>
    <row r="742" hidden="1">
      <c r="A742" s="6" t="s">
        <v>254</v>
      </c>
      <c r="B742" s="255" t="s">
        <v>661</v>
      </c>
      <c r="C742" s="255" t="s">
        <v>662</v>
      </c>
      <c r="D742" s="255" t="s">
        <v>663</v>
      </c>
      <c r="E742" s="235">
        <v>14.0</v>
      </c>
      <c r="F742" s="264">
        <v>2.0</v>
      </c>
      <c r="G742" s="39">
        <f t="shared" si="1"/>
        <v>3700</v>
      </c>
      <c r="H742" s="13" t="str">
        <f t="shared" si="2"/>
        <v>14 Signed Rep + 2 5-Star Review</v>
      </c>
      <c r="I742" s="14"/>
      <c r="J742" s="14"/>
    </row>
    <row r="743" hidden="1">
      <c r="A743" s="6" t="s">
        <v>254</v>
      </c>
      <c r="B743" s="255" t="s">
        <v>664</v>
      </c>
      <c r="C743" s="255" t="s">
        <v>665</v>
      </c>
      <c r="D743" s="255" t="s">
        <v>666</v>
      </c>
      <c r="E743" s="235">
        <v>27.0</v>
      </c>
      <c r="F743" s="264">
        <v>0.0</v>
      </c>
      <c r="G743" s="39">
        <f t="shared" si="1"/>
        <v>6750</v>
      </c>
      <c r="H743" s="13" t="str">
        <f t="shared" si="2"/>
        <v>27 Signed Rep + 0 5-Star Review</v>
      </c>
      <c r="I743" s="14"/>
      <c r="J743" s="14"/>
    </row>
    <row r="744" hidden="1">
      <c r="A744" s="6" t="s">
        <v>254</v>
      </c>
      <c r="B744" s="255" t="s">
        <v>667</v>
      </c>
      <c r="C744" s="255" t="s">
        <v>668</v>
      </c>
      <c r="D744" s="255" t="s">
        <v>669</v>
      </c>
      <c r="E744" s="235">
        <v>14.0</v>
      </c>
      <c r="F744" s="264">
        <v>1.0</v>
      </c>
      <c r="G744" s="39">
        <f t="shared" si="1"/>
        <v>3600</v>
      </c>
      <c r="H744" s="13" t="str">
        <f t="shared" si="2"/>
        <v>14 Signed Rep + 1 5-Star Review</v>
      </c>
      <c r="I744" s="14"/>
      <c r="J744" s="14"/>
    </row>
    <row r="745" hidden="1">
      <c r="A745" s="6" t="s">
        <v>254</v>
      </c>
      <c r="B745" s="255" t="s">
        <v>670</v>
      </c>
      <c r="C745" s="255" t="s">
        <v>671</v>
      </c>
      <c r="D745" s="255" t="s">
        <v>672</v>
      </c>
      <c r="E745" s="233">
        <v>8.0</v>
      </c>
      <c r="F745" s="213">
        <v>0.0</v>
      </c>
      <c r="G745" s="39">
        <f t="shared" si="1"/>
        <v>2000</v>
      </c>
      <c r="H745" s="13" t="str">
        <f t="shared" si="2"/>
        <v>8 Signed Rep + 0 5-Star Review</v>
      </c>
      <c r="I745" s="14"/>
      <c r="J745" s="14"/>
    </row>
    <row r="746" hidden="1">
      <c r="A746" s="6" t="s">
        <v>254</v>
      </c>
      <c r="B746" s="255" t="s">
        <v>673</v>
      </c>
      <c r="C746" s="255" t="s">
        <v>674</v>
      </c>
      <c r="D746" s="255" t="s">
        <v>675</v>
      </c>
      <c r="E746" s="235">
        <v>7.0</v>
      </c>
      <c r="F746" s="264">
        <v>2.0</v>
      </c>
      <c r="G746" s="39">
        <f t="shared" si="1"/>
        <v>1950</v>
      </c>
      <c r="H746" s="13" t="str">
        <f t="shared" si="2"/>
        <v>7 Signed Rep + 2 5-Star Review</v>
      </c>
      <c r="I746" s="14"/>
      <c r="J746" s="14"/>
    </row>
    <row r="747" hidden="1">
      <c r="A747" s="6" t="s">
        <v>254</v>
      </c>
      <c r="B747" s="255" t="s">
        <v>676</v>
      </c>
      <c r="C747" s="255" t="s">
        <v>677</v>
      </c>
      <c r="D747" s="255" t="s">
        <v>678</v>
      </c>
      <c r="E747" s="235">
        <v>7.0</v>
      </c>
      <c r="F747" s="264">
        <v>0.0</v>
      </c>
      <c r="G747" s="39">
        <f t="shared" si="1"/>
        <v>1750</v>
      </c>
      <c r="H747" s="13" t="str">
        <f t="shared" si="2"/>
        <v>7 Signed Rep + 0 5-Star Review</v>
      </c>
      <c r="I747" s="14"/>
      <c r="J747" s="14"/>
    </row>
    <row r="748" hidden="1">
      <c r="A748" s="6" t="s">
        <v>254</v>
      </c>
      <c r="B748" s="255" t="s">
        <v>679</v>
      </c>
      <c r="C748" s="255" t="s">
        <v>680</v>
      </c>
      <c r="D748" s="255" t="s">
        <v>806</v>
      </c>
      <c r="E748" s="235">
        <v>15.0</v>
      </c>
      <c r="F748" s="264">
        <v>11.0</v>
      </c>
      <c r="G748" s="39">
        <f t="shared" si="1"/>
        <v>4850</v>
      </c>
      <c r="H748" s="13" t="str">
        <f t="shared" si="2"/>
        <v>15 Signed Rep + 11 5-Star Review</v>
      </c>
      <c r="I748" s="14"/>
      <c r="J748" s="14"/>
    </row>
    <row r="749" hidden="1">
      <c r="A749" s="6" t="s">
        <v>254</v>
      </c>
      <c r="B749" s="255" t="s">
        <v>682</v>
      </c>
      <c r="C749" s="255" t="s">
        <v>683</v>
      </c>
      <c r="D749" s="255" t="s">
        <v>684</v>
      </c>
      <c r="E749" s="236">
        <v>10.0</v>
      </c>
      <c r="F749" s="265">
        <v>0.0</v>
      </c>
      <c r="G749" s="39">
        <f t="shared" si="1"/>
        <v>2500</v>
      </c>
      <c r="H749" s="13" t="str">
        <f t="shared" si="2"/>
        <v>10 Signed Rep + 0 5-Star Review</v>
      </c>
      <c r="I749" s="14"/>
      <c r="J749" s="14"/>
    </row>
    <row r="750" hidden="1">
      <c r="A750" s="6" t="s">
        <v>254</v>
      </c>
      <c r="B750" s="255" t="s">
        <v>685</v>
      </c>
      <c r="C750" s="255" t="s">
        <v>686</v>
      </c>
      <c r="D750" s="255" t="s">
        <v>687</v>
      </c>
      <c r="E750" s="235">
        <v>11.0</v>
      </c>
      <c r="F750" s="264">
        <v>0.0</v>
      </c>
      <c r="G750" s="39">
        <f t="shared" si="1"/>
        <v>2750</v>
      </c>
      <c r="H750" s="13" t="str">
        <f t="shared" si="2"/>
        <v>11 Signed Rep + 0 5-Star Review</v>
      </c>
      <c r="I750" s="14"/>
      <c r="J750" s="14"/>
    </row>
    <row r="751" hidden="1">
      <c r="A751" s="6" t="s">
        <v>254</v>
      </c>
      <c r="B751" s="255" t="s">
        <v>688</v>
      </c>
      <c r="C751" s="255" t="s">
        <v>689</v>
      </c>
      <c r="D751" s="255" t="s">
        <v>690</v>
      </c>
      <c r="E751" s="235">
        <v>11.0</v>
      </c>
      <c r="F751" s="264">
        <v>0.0</v>
      </c>
      <c r="G751" s="39">
        <f t="shared" si="1"/>
        <v>2750</v>
      </c>
      <c r="H751" s="13" t="str">
        <f t="shared" si="2"/>
        <v>11 Signed Rep + 0 5-Star Review</v>
      </c>
      <c r="I751" s="14"/>
      <c r="J751" s="14"/>
    </row>
    <row r="752" hidden="1">
      <c r="A752" s="6" t="s">
        <v>254</v>
      </c>
      <c r="B752" s="255" t="s">
        <v>691</v>
      </c>
      <c r="C752" s="255" t="s">
        <v>692</v>
      </c>
      <c r="D752" s="255" t="s">
        <v>693</v>
      </c>
      <c r="E752" s="233">
        <v>7.0</v>
      </c>
      <c r="F752" s="213">
        <v>0.0</v>
      </c>
      <c r="G752" s="39">
        <f t="shared" si="1"/>
        <v>1750</v>
      </c>
      <c r="H752" s="13" t="str">
        <f t="shared" si="2"/>
        <v>7 Signed Rep + 0 5-Star Review</v>
      </c>
      <c r="I752" s="14"/>
      <c r="J752" s="14"/>
    </row>
    <row r="753" hidden="1">
      <c r="A753" s="6" t="s">
        <v>254</v>
      </c>
      <c r="B753" s="255" t="s">
        <v>694</v>
      </c>
      <c r="C753" s="255" t="s">
        <v>695</v>
      </c>
      <c r="D753" s="255" t="s">
        <v>696</v>
      </c>
      <c r="E753" s="235">
        <v>10.0</v>
      </c>
      <c r="F753" s="213">
        <v>0.0</v>
      </c>
      <c r="G753" s="39">
        <f t="shared" si="1"/>
        <v>2500</v>
      </c>
      <c r="H753" s="13" t="str">
        <f t="shared" si="2"/>
        <v>10 Signed Rep + 0 5-Star Review</v>
      </c>
      <c r="I753" s="14"/>
      <c r="J753" s="14"/>
    </row>
    <row r="754" hidden="1">
      <c r="A754" s="6" t="s">
        <v>254</v>
      </c>
      <c r="B754" s="255" t="s">
        <v>697</v>
      </c>
      <c r="C754" s="255" t="s">
        <v>698</v>
      </c>
      <c r="D754" s="255" t="s">
        <v>699</v>
      </c>
      <c r="E754" s="233">
        <v>9.0</v>
      </c>
      <c r="F754" s="213">
        <v>0.0</v>
      </c>
      <c r="G754" s="39">
        <f t="shared" si="1"/>
        <v>2250</v>
      </c>
      <c r="H754" s="13" t="str">
        <f t="shared" si="2"/>
        <v>9 Signed Rep + 0 5-Star Review</v>
      </c>
      <c r="I754" s="14"/>
      <c r="J754" s="14"/>
    </row>
    <row r="755" hidden="1">
      <c r="A755" s="6" t="s">
        <v>254</v>
      </c>
      <c r="B755" s="255" t="s">
        <v>700</v>
      </c>
      <c r="C755" s="255" t="s">
        <v>701</v>
      </c>
      <c r="D755" s="255" t="s">
        <v>702</v>
      </c>
      <c r="E755" s="235">
        <v>11.0</v>
      </c>
      <c r="F755" s="264">
        <v>0.0</v>
      </c>
      <c r="G755" s="39">
        <f t="shared" si="1"/>
        <v>2750</v>
      </c>
      <c r="H755" s="13" t="str">
        <f t="shared" si="2"/>
        <v>11 Signed Rep + 0 5-Star Review</v>
      </c>
      <c r="I755" s="14"/>
      <c r="J755" s="14"/>
    </row>
    <row r="756" hidden="1">
      <c r="A756" s="6" t="s">
        <v>254</v>
      </c>
      <c r="B756" s="255" t="s">
        <v>703</v>
      </c>
      <c r="C756" s="255" t="s">
        <v>704</v>
      </c>
      <c r="D756" s="255" t="s">
        <v>705</v>
      </c>
      <c r="E756" s="233">
        <v>8.0</v>
      </c>
      <c r="F756" s="213">
        <v>2.0</v>
      </c>
      <c r="G756" s="39">
        <f t="shared" si="1"/>
        <v>2200</v>
      </c>
      <c r="H756" s="13" t="str">
        <f t="shared" si="2"/>
        <v>8 Signed Rep + 2 5-Star Review</v>
      </c>
      <c r="I756" s="14"/>
      <c r="J756" s="14"/>
    </row>
    <row r="757" hidden="1">
      <c r="A757" s="6" t="s">
        <v>254</v>
      </c>
      <c r="B757" s="255" t="s">
        <v>706</v>
      </c>
      <c r="C757" s="255" t="s">
        <v>707</v>
      </c>
      <c r="D757" s="255" t="s">
        <v>708</v>
      </c>
      <c r="E757" s="235">
        <v>5.0</v>
      </c>
      <c r="F757" s="264">
        <v>0.0</v>
      </c>
      <c r="G757" s="39">
        <f t="shared" si="1"/>
        <v>1250</v>
      </c>
      <c r="H757" s="13" t="str">
        <f t="shared" si="2"/>
        <v>5 Signed Rep + 0 5-Star Review</v>
      </c>
      <c r="I757" s="14"/>
      <c r="J757" s="14"/>
    </row>
    <row r="758" hidden="1">
      <c r="A758" s="6" t="s">
        <v>254</v>
      </c>
      <c r="B758" s="255" t="s">
        <v>709</v>
      </c>
      <c r="C758" s="255" t="s">
        <v>710</v>
      </c>
      <c r="D758" s="255" t="s">
        <v>711</v>
      </c>
      <c r="E758" s="235">
        <v>6.0</v>
      </c>
      <c r="F758" s="264">
        <v>0.0</v>
      </c>
      <c r="G758" s="39">
        <f t="shared" si="1"/>
        <v>1500</v>
      </c>
      <c r="H758" s="13" t="str">
        <f t="shared" si="2"/>
        <v>6 Signed Rep + 0 5-Star Review</v>
      </c>
      <c r="I758" s="14"/>
      <c r="J758" s="14"/>
    </row>
    <row r="759" hidden="1">
      <c r="A759" s="6" t="s">
        <v>254</v>
      </c>
      <c r="B759" s="255" t="s">
        <v>712</v>
      </c>
      <c r="C759" s="255" t="s">
        <v>713</v>
      </c>
      <c r="D759" s="255" t="s">
        <v>714</v>
      </c>
      <c r="E759" s="235">
        <v>11.0</v>
      </c>
      <c r="F759" s="264">
        <v>4.0</v>
      </c>
      <c r="G759" s="39">
        <f t="shared" si="1"/>
        <v>3150</v>
      </c>
      <c r="H759" s="13" t="str">
        <f t="shared" si="2"/>
        <v>11 Signed Rep + 4 5-Star Review</v>
      </c>
      <c r="I759" s="14"/>
      <c r="J759" s="14"/>
    </row>
    <row r="760" hidden="1">
      <c r="A760" s="6" t="s">
        <v>254</v>
      </c>
      <c r="B760" s="255" t="s">
        <v>799</v>
      </c>
      <c r="C760" s="255" t="s">
        <v>800</v>
      </c>
      <c r="D760" s="255" t="s">
        <v>801</v>
      </c>
      <c r="E760" s="235">
        <v>9.0</v>
      </c>
      <c r="F760" s="265">
        <v>5.0</v>
      </c>
      <c r="G760" s="39">
        <f t="shared" si="1"/>
        <v>2750</v>
      </c>
      <c r="H760" s="13" t="str">
        <f t="shared" si="2"/>
        <v>9 Signed Rep + 5 5-Star Review</v>
      </c>
      <c r="I760" s="14"/>
      <c r="J760" s="14"/>
    </row>
    <row r="761" hidden="1">
      <c r="A761" s="6" t="s">
        <v>254</v>
      </c>
      <c r="B761" s="255" t="s">
        <v>795</v>
      </c>
      <c r="C761" s="255" t="s">
        <v>796</v>
      </c>
      <c r="D761" s="255" t="s">
        <v>797</v>
      </c>
      <c r="E761" s="235">
        <v>10.0</v>
      </c>
      <c r="F761" s="213">
        <v>0.0</v>
      </c>
      <c r="G761" s="39">
        <f t="shared" si="1"/>
        <v>2500</v>
      </c>
      <c r="H761" s="13" t="str">
        <f t="shared" si="2"/>
        <v>10 Signed Rep + 0 5-Star Review</v>
      </c>
      <c r="I761" s="14"/>
      <c r="J761" s="14"/>
    </row>
    <row r="762" hidden="1">
      <c r="A762" s="6" t="s">
        <v>254</v>
      </c>
      <c r="B762" s="255" t="s">
        <v>715</v>
      </c>
      <c r="C762" s="255" t="s">
        <v>716</v>
      </c>
      <c r="D762" s="255" t="s">
        <v>717</v>
      </c>
      <c r="E762" s="235">
        <v>8.0</v>
      </c>
      <c r="F762" s="213">
        <v>0.0</v>
      </c>
      <c r="G762" s="39">
        <f t="shared" si="1"/>
        <v>2000</v>
      </c>
      <c r="H762" s="13" t="str">
        <f t="shared" si="2"/>
        <v>8 Signed Rep + 0 5-Star Review</v>
      </c>
      <c r="I762" s="14"/>
      <c r="J762" s="14"/>
    </row>
    <row r="763" hidden="1">
      <c r="A763" s="6" t="s">
        <v>254</v>
      </c>
      <c r="B763" s="255" t="s">
        <v>718</v>
      </c>
      <c r="C763" s="255" t="s">
        <v>719</v>
      </c>
      <c r="D763" s="255" t="s">
        <v>720</v>
      </c>
      <c r="E763" s="235">
        <v>6.0</v>
      </c>
      <c r="F763" s="264">
        <v>0.0</v>
      </c>
      <c r="G763" s="39">
        <f t="shared" si="1"/>
        <v>1500</v>
      </c>
      <c r="H763" s="13" t="str">
        <f t="shared" si="2"/>
        <v>6 Signed Rep + 0 5-Star Review</v>
      </c>
      <c r="I763" s="14"/>
      <c r="J763" s="14"/>
    </row>
    <row r="764" hidden="1">
      <c r="A764" s="6" t="s">
        <v>254</v>
      </c>
      <c r="B764" s="255" t="s">
        <v>721</v>
      </c>
      <c r="C764" s="255" t="s">
        <v>722</v>
      </c>
      <c r="D764" s="255" t="s">
        <v>723</v>
      </c>
      <c r="E764" s="235">
        <v>15.0</v>
      </c>
      <c r="F764" s="264">
        <v>6.0</v>
      </c>
      <c r="G764" s="39">
        <f t="shared" si="1"/>
        <v>4350</v>
      </c>
      <c r="H764" s="13" t="str">
        <f t="shared" si="2"/>
        <v>15 Signed Rep + 6 5-Star Review</v>
      </c>
      <c r="I764" s="14"/>
      <c r="J764" s="14"/>
    </row>
    <row r="765" hidden="1">
      <c r="A765" s="6" t="s">
        <v>254</v>
      </c>
      <c r="B765" s="257" t="s">
        <v>724</v>
      </c>
      <c r="C765" s="255" t="s">
        <v>725</v>
      </c>
      <c r="D765" s="255" t="s">
        <v>726</v>
      </c>
      <c r="E765" s="235">
        <v>7.0</v>
      </c>
      <c r="F765" s="265">
        <v>0.0</v>
      </c>
      <c r="G765" s="39">
        <f t="shared" si="1"/>
        <v>1750</v>
      </c>
      <c r="H765" s="13" t="str">
        <f t="shared" si="2"/>
        <v>7 Signed Rep + 0 5-Star Review</v>
      </c>
      <c r="I765" s="14"/>
      <c r="J765" s="14"/>
    </row>
    <row r="766" hidden="1">
      <c r="A766" s="6" t="s">
        <v>254</v>
      </c>
      <c r="B766" s="255" t="s">
        <v>727</v>
      </c>
      <c r="C766" s="255" t="s">
        <v>728</v>
      </c>
      <c r="D766" s="255" t="s">
        <v>729</v>
      </c>
      <c r="E766" s="235">
        <v>8.0</v>
      </c>
      <c r="F766" s="265">
        <v>0.0</v>
      </c>
      <c r="G766" s="39">
        <f t="shared" si="1"/>
        <v>2000</v>
      </c>
      <c r="H766" s="13" t="str">
        <f t="shared" si="2"/>
        <v>8 Signed Rep + 0 5-Star Review</v>
      </c>
      <c r="I766" s="14"/>
      <c r="J766" s="14"/>
    </row>
    <row r="767" hidden="1">
      <c r="A767" s="6" t="s">
        <v>254</v>
      </c>
      <c r="B767" s="255" t="s">
        <v>730</v>
      </c>
      <c r="C767" s="255" t="s">
        <v>731</v>
      </c>
      <c r="D767" s="255" t="s">
        <v>732</v>
      </c>
      <c r="E767" s="235">
        <v>8.0</v>
      </c>
      <c r="F767" s="213">
        <v>0.0</v>
      </c>
      <c r="G767" s="39">
        <f t="shared" si="1"/>
        <v>2000</v>
      </c>
      <c r="H767" s="13" t="str">
        <f t="shared" si="2"/>
        <v>8 Signed Rep + 0 5-Star Review</v>
      </c>
      <c r="I767" s="14"/>
      <c r="J767" s="14"/>
    </row>
    <row r="768" hidden="1">
      <c r="A768" s="6" t="s">
        <v>254</v>
      </c>
      <c r="B768" s="255" t="s">
        <v>733</v>
      </c>
      <c r="C768" s="255" t="s">
        <v>734</v>
      </c>
      <c r="D768" s="255" t="s">
        <v>735</v>
      </c>
      <c r="E768" s="235">
        <v>11.0</v>
      </c>
      <c r="F768" s="213">
        <v>0.0</v>
      </c>
      <c r="G768" s="39">
        <f t="shared" si="1"/>
        <v>2750</v>
      </c>
      <c r="H768" s="13" t="str">
        <f t="shared" si="2"/>
        <v>11 Signed Rep + 0 5-Star Review</v>
      </c>
      <c r="I768" s="14"/>
      <c r="J768" s="14"/>
    </row>
    <row r="769" hidden="1">
      <c r="A769" s="6" t="s">
        <v>254</v>
      </c>
      <c r="B769" s="255" t="s">
        <v>736</v>
      </c>
      <c r="C769" s="255" t="s">
        <v>737</v>
      </c>
      <c r="D769" s="255" t="s">
        <v>738</v>
      </c>
      <c r="E769" s="235">
        <v>10.0</v>
      </c>
      <c r="F769" s="213">
        <v>1.0</v>
      </c>
      <c r="G769" s="39">
        <f t="shared" si="1"/>
        <v>2600</v>
      </c>
      <c r="H769" s="13" t="str">
        <f t="shared" si="2"/>
        <v>10 Signed Rep + 1 5-Star Review</v>
      </c>
      <c r="I769" s="14"/>
      <c r="J769" s="14"/>
    </row>
    <row r="770" hidden="1">
      <c r="A770" s="6" t="s">
        <v>254</v>
      </c>
      <c r="B770" s="255" t="s">
        <v>739</v>
      </c>
      <c r="C770" s="255" t="s">
        <v>740</v>
      </c>
      <c r="D770" s="255" t="s">
        <v>741</v>
      </c>
      <c r="E770" s="235">
        <v>8.0</v>
      </c>
      <c r="F770" s="213">
        <v>0.0</v>
      </c>
      <c r="G770" s="39">
        <f t="shared" si="1"/>
        <v>2000</v>
      </c>
      <c r="H770" s="13" t="str">
        <f t="shared" si="2"/>
        <v>8 Signed Rep + 0 5-Star Review</v>
      </c>
      <c r="I770" s="14"/>
      <c r="J770" s="14"/>
    </row>
    <row r="771" hidden="1">
      <c r="A771" s="6" t="s">
        <v>254</v>
      </c>
      <c r="B771" s="255" t="s">
        <v>742</v>
      </c>
      <c r="C771" s="255" t="s">
        <v>743</v>
      </c>
      <c r="D771" s="255" t="s">
        <v>744</v>
      </c>
      <c r="E771" s="235">
        <v>8.0</v>
      </c>
      <c r="F771" s="213">
        <v>1.0</v>
      </c>
      <c r="G771" s="39">
        <f t="shared" si="1"/>
        <v>2100</v>
      </c>
      <c r="H771" s="13" t="str">
        <f t="shared" si="2"/>
        <v>8 Signed Rep + 1 5-Star Review</v>
      </c>
      <c r="I771" s="14"/>
      <c r="J771" s="14"/>
    </row>
    <row r="772" hidden="1">
      <c r="A772" s="6" t="s">
        <v>254</v>
      </c>
      <c r="B772" s="254" t="s">
        <v>745</v>
      </c>
      <c r="C772" s="255" t="s">
        <v>746</v>
      </c>
      <c r="D772" s="255" t="s">
        <v>747</v>
      </c>
      <c r="E772" s="235">
        <v>9.0</v>
      </c>
      <c r="F772" s="264">
        <v>0.0</v>
      </c>
      <c r="G772" s="39">
        <f t="shared" si="1"/>
        <v>2250</v>
      </c>
      <c r="H772" s="13" t="str">
        <f t="shared" si="2"/>
        <v>9 Signed Rep + 0 5-Star Review</v>
      </c>
      <c r="I772" s="14"/>
      <c r="J772" s="14"/>
    </row>
    <row r="773" hidden="1">
      <c r="A773" s="6" t="s">
        <v>254</v>
      </c>
      <c r="B773" s="255" t="s">
        <v>748</v>
      </c>
      <c r="C773" s="255" t="s">
        <v>749</v>
      </c>
      <c r="D773" s="255" t="s">
        <v>750</v>
      </c>
      <c r="E773" s="233">
        <v>0.0</v>
      </c>
      <c r="F773" s="213">
        <v>0.0</v>
      </c>
      <c r="G773" s="39">
        <f t="shared" si="1"/>
        <v>0</v>
      </c>
      <c r="H773" s="13" t="str">
        <f t="shared" si="2"/>
        <v>0 Signed Rep + 0 5-Star Review</v>
      </c>
      <c r="I773" s="14"/>
      <c r="J773" s="14"/>
    </row>
    <row r="774" hidden="1">
      <c r="A774" s="6" t="s">
        <v>254</v>
      </c>
      <c r="B774" s="255" t="s">
        <v>788</v>
      </c>
      <c r="C774" s="255" t="s">
        <v>789</v>
      </c>
      <c r="D774" s="255" t="s">
        <v>790</v>
      </c>
      <c r="E774" s="235">
        <v>8.0</v>
      </c>
      <c r="F774" s="213">
        <v>0.0</v>
      </c>
      <c r="G774" s="39">
        <f t="shared" si="1"/>
        <v>2000</v>
      </c>
      <c r="H774" s="13" t="str">
        <f t="shared" si="2"/>
        <v>8 Signed Rep + 0 5-Star Review</v>
      </c>
      <c r="I774" s="14"/>
      <c r="J774" s="14"/>
    </row>
    <row r="775" hidden="1">
      <c r="A775" s="6" t="s">
        <v>254</v>
      </c>
      <c r="B775" s="255" t="s">
        <v>751</v>
      </c>
      <c r="C775" s="255" t="s">
        <v>752</v>
      </c>
      <c r="D775" s="255" t="s">
        <v>753</v>
      </c>
      <c r="E775" s="235">
        <v>11.0</v>
      </c>
      <c r="F775" s="264">
        <v>0.0</v>
      </c>
      <c r="G775" s="39">
        <f t="shared" si="1"/>
        <v>2750</v>
      </c>
      <c r="H775" s="13" t="str">
        <f t="shared" si="2"/>
        <v>11 Signed Rep + 0 5-Star Review</v>
      </c>
      <c r="I775" s="14"/>
      <c r="J775" s="14"/>
    </row>
    <row r="776" hidden="1">
      <c r="A776" s="6" t="s">
        <v>254</v>
      </c>
      <c r="B776" s="255" t="s">
        <v>754</v>
      </c>
      <c r="C776" s="255" t="s">
        <v>755</v>
      </c>
      <c r="D776" s="255" t="s">
        <v>756</v>
      </c>
      <c r="E776" s="235">
        <v>10.0</v>
      </c>
      <c r="F776" s="264">
        <v>5.0</v>
      </c>
      <c r="G776" s="39">
        <f t="shared" si="1"/>
        <v>3000</v>
      </c>
      <c r="H776" s="13" t="str">
        <f t="shared" si="2"/>
        <v>10 Signed Rep + 5 5-Star Review</v>
      </c>
      <c r="I776" s="14"/>
      <c r="J776" s="14"/>
    </row>
    <row r="777" hidden="1">
      <c r="A777" s="6" t="s">
        <v>254</v>
      </c>
      <c r="B777" s="254" t="s">
        <v>757</v>
      </c>
      <c r="C777" s="255" t="s">
        <v>758</v>
      </c>
      <c r="D777" s="255" t="s">
        <v>759</v>
      </c>
      <c r="E777" s="236">
        <v>17.0</v>
      </c>
      <c r="F777" s="264">
        <v>3.0</v>
      </c>
      <c r="G777" s="39">
        <f t="shared" si="1"/>
        <v>4550</v>
      </c>
      <c r="H777" s="13" t="str">
        <f t="shared" si="2"/>
        <v>17 Signed Rep + 3 5-Star Review</v>
      </c>
      <c r="I777" s="23"/>
      <c r="J777" s="23"/>
    </row>
    <row r="778" hidden="1">
      <c r="A778" s="6" t="s">
        <v>254</v>
      </c>
      <c r="B778" s="255" t="s">
        <v>219</v>
      </c>
      <c r="C778" s="255" t="s">
        <v>220</v>
      </c>
      <c r="D778" s="255" t="s">
        <v>760</v>
      </c>
      <c r="E778" s="233">
        <v>10.0</v>
      </c>
      <c r="F778" s="213">
        <v>0.0</v>
      </c>
      <c r="G778" s="39">
        <f t="shared" si="1"/>
        <v>2500</v>
      </c>
      <c r="H778" s="13" t="str">
        <f t="shared" si="2"/>
        <v>10 Signed Rep + 0 5-Star Review</v>
      </c>
      <c r="I778" s="14"/>
      <c r="J778" s="14"/>
    </row>
    <row r="779" hidden="1">
      <c r="A779" s="6" t="s">
        <v>261</v>
      </c>
      <c r="B779" s="254" t="s">
        <v>612</v>
      </c>
      <c r="C779" s="254" t="s">
        <v>613</v>
      </c>
      <c r="D779" s="254" t="s">
        <v>614</v>
      </c>
      <c r="E779" s="235">
        <v>1.0</v>
      </c>
      <c r="F779" s="264">
        <v>0.0</v>
      </c>
      <c r="G779" s="39">
        <f t="shared" si="1"/>
        <v>250</v>
      </c>
      <c r="H779" s="13" t="str">
        <f t="shared" si="2"/>
        <v>1 Signed Rep + 0 5-Star Review</v>
      </c>
      <c r="I779" s="14"/>
      <c r="J779" s="14"/>
    </row>
    <row r="780" hidden="1">
      <c r="A780" s="6" t="s">
        <v>261</v>
      </c>
      <c r="B780" s="254" t="s">
        <v>630</v>
      </c>
      <c r="C780" s="254" t="s">
        <v>631</v>
      </c>
      <c r="D780" s="254" t="s">
        <v>632</v>
      </c>
      <c r="E780" s="235">
        <v>3.0</v>
      </c>
      <c r="F780" s="264">
        <v>0.0</v>
      </c>
      <c r="G780" s="39">
        <f t="shared" si="1"/>
        <v>750</v>
      </c>
      <c r="H780" s="13" t="str">
        <f t="shared" si="2"/>
        <v>3 Signed Rep + 0 5-Star Review</v>
      </c>
      <c r="I780" s="14"/>
      <c r="J780" s="14"/>
    </row>
    <row r="781" hidden="1">
      <c r="A781" s="6" t="s">
        <v>261</v>
      </c>
      <c r="B781" s="255" t="s">
        <v>802</v>
      </c>
      <c r="C781" s="255" t="s">
        <v>803</v>
      </c>
      <c r="D781" s="255" t="s">
        <v>804</v>
      </c>
      <c r="E781" s="235">
        <v>3.0</v>
      </c>
      <c r="F781" s="264">
        <v>0.0</v>
      </c>
      <c r="G781" s="39">
        <f t="shared" si="1"/>
        <v>750</v>
      </c>
      <c r="H781" s="13" t="str">
        <f t="shared" si="2"/>
        <v>3 Signed Rep + 0 5-Star Review</v>
      </c>
      <c r="I781" s="14"/>
      <c r="J781" s="14"/>
    </row>
    <row r="782" hidden="1">
      <c r="A782" s="6" t="s">
        <v>261</v>
      </c>
      <c r="B782" s="255" t="s">
        <v>639</v>
      </c>
      <c r="C782" s="255" t="s">
        <v>640</v>
      </c>
      <c r="D782" s="255" t="s">
        <v>641</v>
      </c>
      <c r="E782" s="235">
        <v>3.0</v>
      </c>
      <c r="F782" s="264">
        <v>0.0</v>
      </c>
      <c r="G782" s="39">
        <f t="shared" si="1"/>
        <v>750</v>
      </c>
      <c r="H782" s="13" t="str">
        <f t="shared" si="2"/>
        <v>3 Signed Rep + 0 5-Star Review</v>
      </c>
      <c r="I782" s="14"/>
      <c r="J782" s="14"/>
    </row>
    <row r="783" hidden="1">
      <c r="A783" s="6" t="s">
        <v>261</v>
      </c>
      <c r="B783" s="255" t="s">
        <v>642</v>
      </c>
      <c r="C783" s="255" t="s">
        <v>643</v>
      </c>
      <c r="D783" s="255" t="s">
        <v>644</v>
      </c>
      <c r="E783" s="235">
        <v>1.0</v>
      </c>
      <c r="F783" s="264">
        <v>0.0</v>
      </c>
      <c r="G783" s="39">
        <f t="shared" si="1"/>
        <v>250</v>
      </c>
      <c r="H783" s="13" t="str">
        <f t="shared" si="2"/>
        <v>1 Signed Rep + 0 5-Star Review</v>
      </c>
      <c r="I783" s="14"/>
      <c r="J783" s="14"/>
    </row>
    <row r="784" hidden="1">
      <c r="A784" s="6" t="s">
        <v>261</v>
      </c>
      <c r="B784" s="255" t="s">
        <v>645</v>
      </c>
      <c r="C784" s="255" t="s">
        <v>646</v>
      </c>
      <c r="D784" s="255" t="s">
        <v>647</v>
      </c>
      <c r="E784" s="235">
        <v>6.0</v>
      </c>
      <c r="F784" s="213">
        <v>0.0</v>
      </c>
      <c r="G784" s="39">
        <f t="shared" si="1"/>
        <v>1500</v>
      </c>
      <c r="H784" s="13" t="str">
        <f t="shared" si="2"/>
        <v>6 Signed Rep + 0 5-Star Review</v>
      </c>
      <c r="I784" s="14"/>
      <c r="J784" s="14"/>
    </row>
    <row r="785" hidden="1">
      <c r="A785" s="6" t="s">
        <v>261</v>
      </c>
      <c r="B785" s="255" t="s">
        <v>648</v>
      </c>
      <c r="C785" s="255" t="s">
        <v>649</v>
      </c>
      <c r="D785" s="255" t="s">
        <v>650</v>
      </c>
      <c r="E785" s="236">
        <v>9.0</v>
      </c>
      <c r="F785" s="264">
        <v>0.0</v>
      </c>
      <c r="G785" s="39">
        <f t="shared" si="1"/>
        <v>2250</v>
      </c>
      <c r="H785" s="13" t="str">
        <f t="shared" si="2"/>
        <v>9 Signed Rep + 0 5-Star Review</v>
      </c>
      <c r="I785" s="14"/>
      <c r="J785" s="14"/>
    </row>
    <row r="786" hidden="1">
      <c r="A786" s="6" t="s">
        <v>261</v>
      </c>
      <c r="B786" s="255" t="s">
        <v>651</v>
      </c>
      <c r="C786" s="255" t="s">
        <v>652</v>
      </c>
      <c r="D786" s="255" t="s">
        <v>653</v>
      </c>
      <c r="E786" s="235">
        <v>9.0</v>
      </c>
      <c r="F786" s="264">
        <v>0.0</v>
      </c>
      <c r="G786" s="39">
        <f t="shared" si="1"/>
        <v>2250</v>
      </c>
      <c r="H786" s="13" t="str">
        <f t="shared" si="2"/>
        <v>9 Signed Rep + 0 5-Star Review</v>
      </c>
      <c r="I786" s="14"/>
      <c r="J786" s="14"/>
    </row>
    <row r="787" hidden="1">
      <c r="A787" s="6" t="s">
        <v>261</v>
      </c>
      <c r="B787" s="255" t="s">
        <v>654</v>
      </c>
      <c r="C787" s="255" t="s">
        <v>655</v>
      </c>
      <c r="D787" s="255" t="s">
        <v>656</v>
      </c>
      <c r="E787" s="236">
        <v>7.0</v>
      </c>
      <c r="F787" s="264">
        <v>0.0</v>
      </c>
      <c r="G787" s="39">
        <f t="shared" si="1"/>
        <v>1750</v>
      </c>
      <c r="H787" s="13" t="str">
        <f t="shared" si="2"/>
        <v>7 Signed Rep + 0 5-Star Review</v>
      </c>
      <c r="I787" s="14"/>
      <c r="J787" s="14"/>
    </row>
    <row r="788" hidden="1">
      <c r="A788" s="6" t="s">
        <v>261</v>
      </c>
      <c r="B788" s="255" t="s">
        <v>657</v>
      </c>
      <c r="C788" s="255" t="s">
        <v>658</v>
      </c>
      <c r="D788" s="255" t="s">
        <v>659</v>
      </c>
      <c r="E788" s="235">
        <v>12.0</v>
      </c>
      <c r="F788" s="264">
        <v>0.0</v>
      </c>
      <c r="G788" s="39">
        <f t="shared" si="1"/>
        <v>3000</v>
      </c>
      <c r="H788" s="13" t="str">
        <f t="shared" si="2"/>
        <v>12 Signed Rep + 0 5-Star Review</v>
      </c>
      <c r="I788" s="14"/>
      <c r="J788" s="14"/>
    </row>
    <row r="789" hidden="1">
      <c r="A789" s="6" t="s">
        <v>261</v>
      </c>
      <c r="B789" s="255" t="s">
        <v>213</v>
      </c>
      <c r="C789" s="255" t="s">
        <v>214</v>
      </c>
      <c r="D789" s="255" t="s">
        <v>660</v>
      </c>
      <c r="E789" s="235">
        <v>7.0</v>
      </c>
      <c r="F789" s="264">
        <v>0.0</v>
      </c>
      <c r="G789" s="39">
        <f t="shared" si="1"/>
        <v>1750</v>
      </c>
      <c r="H789" s="13" t="str">
        <f t="shared" si="2"/>
        <v>7 Signed Rep + 0 5-Star Review</v>
      </c>
      <c r="I789" s="14"/>
      <c r="J789" s="14"/>
    </row>
    <row r="790" hidden="1">
      <c r="A790" s="6" t="s">
        <v>261</v>
      </c>
      <c r="B790" s="255" t="s">
        <v>661</v>
      </c>
      <c r="C790" s="255" t="s">
        <v>662</v>
      </c>
      <c r="D790" s="255" t="s">
        <v>663</v>
      </c>
      <c r="E790" s="235">
        <v>16.0</v>
      </c>
      <c r="F790" s="264">
        <v>8.0</v>
      </c>
      <c r="G790" s="39">
        <f t="shared" si="1"/>
        <v>4800</v>
      </c>
      <c r="H790" s="13" t="str">
        <f t="shared" si="2"/>
        <v>16 Signed Rep + 8 5-Star Review</v>
      </c>
      <c r="I790" s="14"/>
      <c r="J790" s="14"/>
    </row>
    <row r="791" hidden="1">
      <c r="A791" s="6" t="s">
        <v>261</v>
      </c>
      <c r="B791" s="255" t="s">
        <v>664</v>
      </c>
      <c r="C791" s="255" t="s">
        <v>665</v>
      </c>
      <c r="D791" s="255" t="s">
        <v>666</v>
      </c>
      <c r="E791" s="233">
        <v>22.0</v>
      </c>
      <c r="F791" s="264">
        <v>0.0</v>
      </c>
      <c r="G791" s="39">
        <f t="shared" si="1"/>
        <v>5500</v>
      </c>
      <c r="H791" s="13" t="str">
        <f t="shared" si="2"/>
        <v>22 Signed Rep + 0 5-Star Review</v>
      </c>
      <c r="I791" s="14"/>
      <c r="J791" s="14"/>
    </row>
    <row r="792" hidden="1">
      <c r="A792" s="6" t="s">
        <v>261</v>
      </c>
      <c r="B792" s="255" t="s">
        <v>667</v>
      </c>
      <c r="C792" s="255" t="s">
        <v>668</v>
      </c>
      <c r="D792" s="255" t="s">
        <v>669</v>
      </c>
      <c r="E792" s="235">
        <v>13.0</v>
      </c>
      <c r="F792" s="264">
        <v>2.0</v>
      </c>
      <c r="G792" s="39">
        <f t="shared" si="1"/>
        <v>3450</v>
      </c>
      <c r="H792" s="13" t="str">
        <f t="shared" si="2"/>
        <v>13 Signed Rep + 2 5-Star Review</v>
      </c>
      <c r="I792" s="14"/>
      <c r="J792" s="14"/>
    </row>
    <row r="793" hidden="1">
      <c r="A793" s="6" t="s">
        <v>261</v>
      </c>
      <c r="B793" s="255" t="s">
        <v>670</v>
      </c>
      <c r="C793" s="255" t="s">
        <v>671</v>
      </c>
      <c r="D793" s="255" t="s">
        <v>672</v>
      </c>
      <c r="E793" s="235">
        <v>8.0</v>
      </c>
      <c r="F793" s="264">
        <v>0.0</v>
      </c>
      <c r="G793" s="39">
        <f t="shared" si="1"/>
        <v>2000</v>
      </c>
      <c r="H793" s="13" t="str">
        <f t="shared" si="2"/>
        <v>8 Signed Rep + 0 5-Star Review</v>
      </c>
      <c r="I793" s="14"/>
      <c r="J793" s="14"/>
    </row>
    <row r="794" hidden="1">
      <c r="A794" s="6" t="s">
        <v>261</v>
      </c>
      <c r="B794" s="255" t="s">
        <v>673</v>
      </c>
      <c r="C794" s="255" t="s">
        <v>674</v>
      </c>
      <c r="D794" s="255" t="s">
        <v>675</v>
      </c>
      <c r="E794" s="235">
        <v>8.0</v>
      </c>
      <c r="F794" s="264">
        <v>3.0</v>
      </c>
      <c r="G794" s="39">
        <f t="shared" si="1"/>
        <v>2300</v>
      </c>
      <c r="H794" s="13" t="str">
        <f t="shared" si="2"/>
        <v>8 Signed Rep + 3 5-Star Review</v>
      </c>
      <c r="I794" s="14"/>
      <c r="J794" s="14"/>
    </row>
    <row r="795" hidden="1">
      <c r="A795" s="6" t="s">
        <v>261</v>
      </c>
      <c r="B795" s="255" t="s">
        <v>676</v>
      </c>
      <c r="C795" s="255" t="s">
        <v>677</v>
      </c>
      <c r="D795" s="255" t="s">
        <v>678</v>
      </c>
      <c r="E795" s="235">
        <v>11.0</v>
      </c>
      <c r="F795" s="264">
        <v>1.0</v>
      </c>
      <c r="G795" s="39">
        <f t="shared" si="1"/>
        <v>2850</v>
      </c>
      <c r="H795" s="13" t="str">
        <f t="shared" si="2"/>
        <v>11 Signed Rep + 1 5-Star Review</v>
      </c>
      <c r="I795" s="14"/>
      <c r="J795" s="14"/>
    </row>
    <row r="796" hidden="1">
      <c r="A796" s="6" t="s">
        <v>261</v>
      </c>
      <c r="B796" s="255" t="s">
        <v>679</v>
      </c>
      <c r="C796" s="255" t="s">
        <v>680</v>
      </c>
      <c r="D796" s="255" t="s">
        <v>807</v>
      </c>
      <c r="E796" s="235">
        <v>6.0</v>
      </c>
      <c r="F796" s="264">
        <v>6.0</v>
      </c>
      <c r="G796" s="39">
        <f t="shared" si="1"/>
        <v>2100</v>
      </c>
      <c r="H796" s="13" t="str">
        <f t="shared" si="2"/>
        <v>6 Signed Rep + 6 5-Star Review</v>
      </c>
      <c r="I796" s="14"/>
      <c r="J796" s="14"/>
    </row>
    <row r="797" hidden="1">
      <c r="A797" s="6" t="s">
        <v>261</v>
      </c>
      <c r="B797" s="255" t="s">
        <v>682</v>
      </c>
      <c r="C797" s="255" t="s">
        <v>683</v>
      </c>
      <c r="D797" s="255" t="s">
        <v>684</v>
      </c>
      <c r="E797" s="236">
        <v>7.0</v>
      </c>
      <c r="F797" s="213">
        <v>0.0</v>
      </c>
      <c r="G797" s="39">
        <f t="shared" si="1"/>
        <v>1750</v>
      </c>
      <c r="H797" s="13" t="str">
        <f t="shared" si="2"/>
        <v>7 Signed Rep + 0 5-Star Review</v>
      </c>
      <c r="I797" s="14"/>
      <c r="J797" s="14"/>
    </row>
    <row r="798" hidden="1">
      <c r="A798" s="6" t="s">
        <v>261</v>
      </c>
      <c r="B798" s="255" t="s">
        <v>685</v>
      </c>
      <c r="C798" s="255" t="s">
        <v>686</v>
      </c>
      <c r="D798" s="255" t="s">
        <v>687</v>
      </c>
      <c r="E798" s="235">
        <v>13.0</v>
      </c>
      <c r="F798" s="264">
        <v>0.0</v>
      </c>
      <c r="G798" s="39">
        <f t="shared" si="1"/>
        <v>3250</v>
      </c>
      <c r="H798" s="13" t="str">
        <f t="shared" si="2"/>
        <v>13 Signed Rep + 0 5-Star Review</v>
      </c>
      <c r="I798" s="14"/>
      <c r="J798" s="14"/>
    </row>
    <row r="799" hidden="1">
      <c r="A799" s="6" t="s">
        <v>261</v>
      </c>
      <c r="B799" s="255" t="s">
        <v>688</v>
      </c>
      <c r="C799" s="255" t="s">
        <v>689</v>
      </c>
      <c r="D799" s="255" t="s">
        <v>690</v>
      </c>
      <c r="E799" s="235">
        <v>15.0</v>
      </c>
      <c r="F799" s="264">
        <v>0.0</v>
      </c>
      <c r="G799" s="39">
        <f t="shared" si="1"/>
        <v>3750</v>
      </c>
      <c r="H799" s="13" t="str">
        <f t="shared" si="2"/>
        <v>15 Signed Rep + 0 5-Star Review</v>
      </c>
      <c r="I799" s="14"/>
      <c r="J799" s="14"/>
    </row>
    <row r="800" hidden="1">
      <c r="A800" s="6" t="s">
        <v>261</v>
      </c>
      <c r="B800" s="255" t="s">
        <v>691</v>
      </c>
      <c r="C800" s="255" t="s">
        <v>692</v>
      </c>
      <c r="D800" s="255" t="s">
        <v>693</v>
      </c>
      <c r="E800" s="235">
        <v>9.0</v>
      </c>
      <c r="F800" s="264">
        <v>0.0</v>
      </c>
      <c r="G800" s="39">
        <f t="shared" si="1"/>
        <v>2250</v>
      </c>
      <c r="H800" s="13" t="str">
        <f t="shared" si="2"/>
        <v>9 Signed Rep + 0 5-Star Review</v>
      </c>
      <c r="I800" s="14"/>
      <c r="J800" s="14"/>
    </row>
    <row r="801" hidden="1">
      <c r="A801" s="6" t="s">
        <v>261</v>
      </c>
      <c r="B801" s="255" t="s">
        <v>694</v>
      </c>
      <c r="C801" s="255" t="s">
        <v>695</v>
      </c>
      <c r="D801" s="255" t="s">
        <v>696</v>
      </c>
      <c r="E801" s="235">
        <v>8.0</v>
      </c>
      <c r="F801" s="264">
        <v>3.0</v>
      </c>
      <c r="G801" s="39">
        <f t="shared" si="1"/>
        <v>2300</v>
      </c>
      <c r="H801" s="13" t="str">
        <f t="shared" si="2"/>
        <v>8 Signed Rep + 3 5-Star Review</v>
      </c>
      <c r="I801" s="14"/>
      <c r="J801" s="14"/>
    </row>
    <row r="802" hidden="1">
      <c r="A802" s="6" t="s">
        <v>261</v>
      </c>
      <c r="B802" s="255" t="s">
        <v>697</v>
      </c>
      <c r="C802" s="255" t="s">
        <v>698</v>
      </c>
      <c r="D802" s="255" t="s">
        <v>699</v>
      </c>
      <c r="E802" s="235">
        <v>8.0</v>
      </c>
      <c r="F802" s="264">
        <v>0.0</v>
      </c>
      <c r="G802" s="39">
        <f t="shared" si="1"/>
        <v>2000</v>
      </c>
      <c r="H802" s="13" t="str">
        <f t="shared" si="2"/>
        <v>8 Signed Rep + 0 5-Star Review</v>
      </c>
      <c r="I802" s="14"/>
      <c r="J802" s="14"/>
    </row>
    <row r="803" hidden="1">
      <c r="A803" s="6" t="s">
        <v>261</v>
      </c>
      <c r="B803" s="255" t="s">
        <v>700</v>
      </c>
      <c r="C803" s="255" t="s">
        <v>701</v>
      </c>
      <c r="D803" s="255" t="s">
        <v>702</v>
      </c>
      <c r="E803" s="235">
        <v>9.0</v>
      </c>
      <c r="F803" s="264">
        <v>0.0</v>
      </c>
      <c r="G803" s="39">
        <f t="shared" si="1"/>
        <v>2250</v>
      </c>
      <c r="H803" s="13" t="str">
        <f t="shared" si="2"/>
        <v>9 Signed Rep + 0 5-Star Review</v>
      </c>
      <c r="I803" s="14"/>
      <c r="J803" s="14"/>
    </row>
    <row r="804" hidden="1">
      <c r="A804" s="6" t="s">
        <v>261</v>
      </c>
      <c r="B804" s="255" t="s">
        <v>703</v>
      </c>
      <c r="C804" s="255" t="s">
        <v>704</v>
      </c>
      <c r="D804" s="255" t="s">
        <v>705</v>
      </c>
      <c r="E804" s="235">
        <v>4.0</v>
      </c>
      <c r="F804" s="264">
        <v>1.0</v>
      </c>
      <c r="G804" s="39">
        <f t="shared" si="1"/>
        <v>1100</v>
      </c>
      <c r="H804" s="13" t="str">
        <f t="shared" si="2"/>
        <v>4 Signed Rep + 1 5-Star Review</v>
      </c>
      <c r="I804" s="14"/>
      <c r="J804" s="14"/>
    </row>
    <row r="805" hidden="1">
      <c r="A805" s="6" t="s">
        <v>261</v>
      </c>
      <c r="B805" s="255" t="s">
        <v>706</v>
      </c>
      <c r="C805" s="255" t="s">
        <v>707</v>
      </c>
      <c r="D805" s="255" t="s">
        <v>708</v>
      </c>
      <c r="E805" s="235">
        <v>7.0</v>
      </c>
      <c r="F805" s="264">
        <v>0.0</v>
      </c>
      <c r="G805" s="39">
        <f t="shared" si="1"/>
        <v>1750</v>
      </c>
      <c r="H805" s="13" t="str">
        <f t="shared" si="2"/>
        <v>7 Signed Rep + 0 5-Star Review</v>
      </c>
      <c r="I805" s="14"/>
      <c r="J805" s="14"/>
    </row>
    <row r="806" hidden="1">
      <c r="A806" s="6" t="s">
        <v>261</v>
      </c>
      <c r="B806" s="255" t="s">
        <v>709</v>
      </c>
      <c r="C806" s="255" t="s">
        <v>710</v>
      </c>
      <c r="D806" s="255" t="s">
        <v>711</v>
      </c>
      <c r="E806" s="235">
        <v>3.0</v>
      </c>
      <c r="F806" s="264">
        <v>0.0</v>
      </c>
      <c r="G806" s="39">
        <f t="shared" si="1"/>
        <v>750</v>
      </c>
      <c r="H806" s="13" t="str">
        <f t="shared" si="2"/>
        <v>3 Signed Rep + 0 5-Star Review</v>
      </c>
      <c r="I806" s="14"/>
      <c r="J806" s="14"/>
    </row>
    <row r="807" hidden="1">
      <c r="A807" s="6" t="s">
        <v>261</v>
      </c>
      <c r="B807" s="255" t="s">
        <v>712</v>
      </c>
      <c r="C807" s="255" t="s">
        <v>713</v>
      </c>
      <c r="D807" s="255" t="s">
        <v>714</v>
      </c>
      <c r="E807" s="235">
        <v>5.0</v>
      </c>
      <c r="F807" s="264">
        <v>3.0</v>
      </c>
      <c r="G807" s="39">
        <f t="shared" si="1"/>
        <v>1550</v>
      </c>
      <c r="H807" s="13" t="str">
        <f t="shared" si="2"/>
        <v>5 Signed Rep + 3 5-Star Review</v>
      </c>
      <c r="I807" s="14"/>
      <c r="J807" s="14"/>
    </row>
    <row r="808" hidden="1">
      <c r="A808" s="6" t="s">
        <v>261</v>
      </c>
      <c r="B808" s="255" t="s">
        <v>799</v>
      </c>
      <c r="C808" s="255" t="s">
        <v>800</v>
      </c>
      <c r="D808" s="255" t="s">
        <v>801</v>
      </c>
      <c r="E808" s="235">
        <v>16.0</v>
      </c>
      <c r="F808" s="213">
        <v>1.0</v>
      </c>
      <c r="G808" s="39">
        <f t="shared" si="1"/>
        <v>4100</v>
      </c>
      <c r="H808" s="13" t="str">
        <f t="shared" si="2"/>
        <v>16 Signed Rep + 1 5-Star Review</v>
      </c>
      <c r="I808" s="14"/>
      <c r="J808" s="14"/>
    </row>
    <row r="809" hidden="1">
      <c r="A809" s="6" t="s">
        <v>261</v>
      </c>
      <c r="B809" s="255" t="s">
        <v>795</v>
      </c>
      <c r="C809" s="255" t="s">
        <v>796</v>
      </c>
      <c r="D809" s="255" t="s">
        <v>797</v>
      </c>
      <c r="E809" s="235">
        <v>6.0</v>
      </c>
      <c r="F809" s="264">
        <v>0.0</v>
      </c>
      <c r="G809" s="39">
        <f t="shared" si="1"/>
        <v>1500</v>
      </c>
      <c r="H809" s="13" t="str">
        <f t="shared" si="2"/>
        <v>6 Signed Rep + 0 5-Star Review</v>
      </c>
      <c r="I809" s="14"/>
      <c r="J809" s="14"/>
    </row>
    <row r="810" hidden="1">
      <c r="A810" s="6" t="s">
        <v>261</v>
      </c>
      <c r="B810" s="255" t="s">
        <v>715</v>
      </c>
      <c r="C810" s="255" t="s">
        <v>716</v>
      </c>
      <c r="D810" s="255" t="s">
        <v>717</v>
      </c>
      <c r="E810" s="235">
        <v>5.0</v>
      </c>
      <c r="F810" s="264">
        <v>0.0</v>
      </c>
      <c r="G810" s="39">
        <f t="shared" si="1"/>
        <v>1250</v>
      </c>
      <c r="H810" s="13" t="str">
        <f t="shared" si="2"/>
        <v>5 Signed Rep + 0 5-Star Review</v>
      </c>
      <c r="I810" s="14"/>
      <c r="J810" s="14"/>
    </row>
    <row r="811" hidden="1">
      <c r="A811" s="6" t="s">
        <v>261</v>
      </c>
      <c r="B811" s="255" t="s">
        <v>718</v>
      </c>
      <c r="C811" s="255" t="s">
        <v>719</v>
      </c>
      <c r="D811" s="255" t="s">
        <v>720</v>
      </c>
      <c r="E811" s="235">
        <v>4.0</v>
      </c>
      <c r="F811" s="264">
        <v>0.0</v>
      </c>
      <c r="G811" s="39">
        <f t="shared" si="1"/>
        <v>1000</v>
      </c>
      <c r="H811" s="13" t="str">
        <f t="shared" si="2"/>
        <v>4 Signed Rep + 0 5-Star Review</v>
      </c>
      <c r="I811" s="14"/>
      <c r="J811" s="14"/>
    </row>
    <row r="812" hidden="1">
      <c r="A812" s="6" t="s">
        <v>261</v>
      </c>
      <c r="B812" s="255" t="s">
        <v>721</v>
      </c>
      <c r="C812" s="255" t="s">
        <v>722</v>
      </c>
      <c r="D812" s="255" t="s">
        <v>723</v>
      </c>
      <c r="E812" s="235">
        <v>13.0</v>
      </c>
      <c r="F812" s="264">
        <v>3.0</v>
      </c>
      <c r="G812" s="39">
        <f t="shared" si="1"/>
        <v>3550</v>
      </c>
      <c r="H812" s="13" t="str">
        <f t="shared" si="2"/>
        <v>13 Signed Rep + 3 5-Star Review</v>
      </c>
      <c r="I812" s="14"/>
      <c r="J812" s="14"/>
    </row>
    <row r="813" hidden="1">
      <c r="A813" s="6" t="s">
        <v>261</v>
      </c>
      <c r="B813" s="257" t="s">
        <v>724</v>
      </c>
      <c r="C813" s="255" t="s">
        <v>725</v>
      </c>
      <c r="D813" s="255" t="s">
        <v>726</v>
      </c>
      <c r="E813" s="235">
        <v>7.0</v>
      </c>
      <c r="F813" s="213">
        <v>0.0</v>
      </c>
      <c r="G813" s="39">
        <f t="shared" si="1"/>
        <v>1750</v>
      </c>
      <c r="H813" s="13" t="str">
        <f t="shared" si="2"/>
        <v>7 Signed Rep + 0 5-Star Review</v>
      </c>
      <c r="I813" s="14"/>
      <c r="J813" s="14"/>
    </row>
    <row r="814" hidden="1">
      <c r="A814" s="6" t="s">
        <v>261</v>
      </c>
      <c r="B814" s="255" t="s">
        <v>727</v>
      </c>
      <c r="C814" s="255" t="s">
        <v>728</v>
      </c>
      <c r="D814" s="255" t="s">
        <v>729</v>
      </c>
      <c r="E814" s="233">
        <v>3.0</v>
      </c>
      <c r="F814" s="213">
        <v>0.0</v>
      </c>
      <c r="G814" s="39">
        <f t="shared" si="1"/>
        <v>750</v>
      </c>
      <c r="H814" s="13" t="str">
        <f t="shared" si="2"/>
        <v>3 Signed Rep + 0 5-Star Review</v>
      </c>
      <c r="I814" s="14"/>
      <c r="J814" s="14"/>
    </row>
    <row r="815" hidden="1">
      <c r="A815" s="6" t="s">
        <v>261</v>
      </c>
      <c r="B815" s="255" t="s">
        <v>730</v>
      </c>
      <c r="C815" s="255" t="s">
        <v>731</v>
      </c>
      <c r="D815" s="255" t="s">
        <v>732</v>
      </c>
      <c r="E815" s="235">
        <v>12.0</v>
      </c>
      <c r="F815" s="264">
        <v>0.0</v>
      </c>
      <c r="G815" s="39">
        <f t="shared" si="1"/>
        <v>3000</v>
      </c>
      <c r="H815" s="13" t="str">
        <f t="shared" si="2"/>
        <v>12 Signed Rep + 0 5-Star Review</v>
      </c>
      <c r="I815" s="14"/>
      <c r="J815" s="14"/>
    </row>
    <row r="816" hidden="1">
      <c r="A816" s="6" t="s">
        <v>261</v>
      </c>
      <c r="B816" s="255" t="s">
        <v>733</v>
      </c>
      <c r="C816" s="255" t="s">
        <v>734</v>
      </c>
      <c r="D816" s="255" t="s">
        <v>735</v>
      </c>
      <c r="E816" s="235">
        <v>10.0</v>
      </c>
      <c r="F816" s="264">
        <v>0.0</v>
      </c>
      <c r="G816" s="39">
        <f t="shared" si="1"/>
        <v>2500</v>
      </c>
      <c r="H816" s="13" t="str">
        <f t="shared" si="2"/>
        <v>10 Signed Rep + 0 5-Star Review</v>
      </c>
      <c r="I816" s="14"/>
      <c r="J816" s="14"/>
    </row>
    <row r="817" hidden="1">
      <c r="A817" s="6" t="s">
        <v>261</v>
      </c>
      <c r="B817" s="255" t="s">
        <v>736</v>
      </c>
      <c r="C817" s="255" t="s">
        <v>737</v>
      </c>
      <c r="D817" s="255" t="s">
        <v>738</v>
      </c>
      <c r="E817" s="235">
        <v>14.0</v>
      </c>
      <c r="F817" s="264">
        <v>3.0</v>
      </c>
      <c r="G817" s="39">
        <f t="shared" si="1"/>
        <v>3800</v>
      </c>
      <c r="H817" s="13" t="str">
        <f t="shared" si="2"/>
        <v>14 Signed Rep + 3 5-Star Review</v>
      </c>
      <c r="I817" s="14"/>
      <c r="J817" s="14"/>
    </row>
    <row r="818" hidden="1">
      <c r="A818" s="6" t="s">
        <v>261</v>
      </c>
      <c r="B818" s="255" t="s">
        <v>739</v>
      </c>
      <c r="C818" s="255" t="s">
        <v>740</v>
      </c>
      <c r="D818" s="255" t="s">
        <v>741</v>
      </c>
      <c r="E818" s="235">
        <v>9.0</v>
      </c>
      <c r="F818" s="264">
        <v>0.0</v>
      </c>
      <c r="G818" s="39">
        <f t="shared" si="1"/>
        <v>2250</v>
      </c>
      <c r="H818" s="13" t="str">
        <f t="shared" si="2"/>
        <v>9 Signed Rep + 0 5-Star Review</v>
      </c>
      <c r="I818" s="14"/>
      <c r="J818" s="14"/>
    </row>
    <row r="819" hidden="1">
      <c r="A819" s="6" t="s">
        <v>261</v>
      </c>
      <c r="B819" s="255" t="s">
        <v>742</v>
      </c>
      <c r="C819" s="255" t="s">
        <v>743</v>
      </c>
      <c r="D819" s="255" t="s">
        <v>744</v>
      </c>
      <c r="E819" s="235">
        <v>8.0</v>
      </c>
      <c r="F819" s="264">
        <v>1.0</v>
      </c>
      <c r="G819" s="39">
        <f t="shared" si="1"/>
        <v>2100</v>
      </c>
      <c r="H819" s="13" t="str">
        <f t="shared" si="2"/>
        <v>8 Signed Rep + 1 5-Star Review</v>
      </c>
      <c r="I819" s="14"/>
      <c r="J819" s="14"/>
    </row>
    <row r="820" hidden="1">
      <c r="A820" s="6" t="s">
        <v>261</v>
      </c>
      <c r="B820" s="254" t="s">
        <v>745</v>
      </c>
      <c r="C820" s="255" t="s">
        <v>746</v>
      </c>
      <c r="D820" s="255" t="s">
        <v>747</v>
      </c>
      <c r="E820" s="235">
        <v>8.0</v>
      </c>
      <c r="F820" s="264">
        <v>0.0</v>
      </c>
      <c r="G820" s="39">
        <f t="shared" si="1"/>
        <v>2000</v>
      </c>
      <c r="H820" s="13" t="str">
        <f t="shared" si="2"/>
        <v>8 Signed Rep + 0 5-Star Review</v>
      </c>
      <c r="I820" s="14"/>
      <c r="J820" s="14"/>
    </row>
    <row r="821" hidden="1">
      <c r="A821" s="6" t="s">
        <v>261</v>
      </c>
      <c r="B821" s="255" t="s">
        <v>748</v>
      </c>
      <c r="C821" s="255" t="s">
        <v>749</v>
      </c>
      <c r="D821" s="255" t="s">
        <v>750</v>
      </c>
      <c r="E821" s="235">
        <v>6.0</v>
      </c>
      <c r="F821" s="264">
        <v>0.0</v>
      </c>
      <c r="G821" s="39">
        <f t="shared" si="1"/>
        <v>1500</v>
      </c>
      <c r="H821" s="13" t="str">
        <f t="shared" si="2"/>
        <v>6 Signed Rep + 0 5-Star Review</v>
      </c>
      <c r="I821" s="14"/>
      <c r="J821" s="14"/>
    </row>
    <row r="822" hidden="1">
      <c r="A822" s="6" t="s">
        <v>261</v>
      </c>
      <c r="B822" s="255" t="s">
        <v>788</v>
      </c>
      <c r="C822" s="255" t="s">
        <v>789</v>
      </c>
      <c r="D822" s="255" t="s">
        <v>790</v>
      </c>
      <c r="E822" s="235">
        <v>8.0</v>
      </c>
      <c r="F822" s="264">
        <v>0.0</v>
      </c>
      <c r="G822" s="39">
        <f t="shared" si="1"/>
        <v>2000</v>
      </c>
      <c r="H822" s="13" t="str">
        <f t="shared" si="2"/>
        <v>8 Signed Rep + 0 5-Star Review</v>
      </c>
      <c r="I822" s="14"/>
      <c r="J822" s="14"/>
    </row>
    <row r="823" hidden="1">
      <c r="A823" s="6" t="s">
        <v>261</v>
      </c>
      <c r="B823" s="255" t="s">
        <v>751</v>
      </c>
      <c r="C823" s="255" t="s">
        <v>752</v>
      </c>
      <c r="D823" s="255" t="s">
        <v>753</v>
      </c>
      <c r="E823" s="235">
        <v>10.0</v>
      </c>
      <c r="F823" s="264">
        <v>0.0</v>
      </c>
      <c r="G823" s="39">
        <f t="shared" si="1"/>
        <v>2500</v>
      </c>
      <c r="H823" s="13" t="str">
        <f t="shared" si="2"/>
        <v>10 Signed Rep + 0 5-Star Review</v>
      </c>
      <c r="I823" s="14"/>
      <c r="J823" s="14"/>
    </row>
    <row r="824" hidden="1">
      <c r="A824" s="6" t="s">
        <v>261</v>
      </c>
      <c r="B824" s="255" t="s">
        <v>754</v>
      </c>
      <c r="C824" s="255" t="s">
        <v>755</v>
      </c>
      <c r="D824" s="255" t="s">
        <v>756</v>
      </c>
      <c r="E824" s="235">
        <v>6.0</v>
      </c>
      <c r="F824" s="264">
        <v>1.0</v>
      </c>
      <c r="G824" s="39">
        <f t="shared" si="1"/>
        <v>1600</v>
      </c>
      <c r="H824" s="13" t="str">
        <f t="shared" si="2"/>
        <v>6 Signed Rep + 1 5-Star Review</v>
      </c>
      <c r="I824" s="14"/>
      <c r="J824" s="14"/>
    </row>
    <row r="825" hidden="1">
      <c r="A825" s="6" t="s">
        <v>261</v>
      </c>
      <c r="B825" s="254" t="s">
        <v>757</v>
      </c>
      <c r="C825" s="255" t="s">
        <v>758</v>
      </c>
      <c r="D825" s="255" t="s">
        <v>759</v>
      </c>
      <c r="E825" s="235">
        <v>18.0</v>
      </c>
      <c r="F825" s="264">
        <v>9.0</v>
      </c>
      <c r="G825" s="39">
        <f t="shared" si="1"/>
        <v>5400</v>
      </c>
      <c r="H825" s="13" t="str">
        <f t="shared" si="2"/>
        <v>18 Signed Rep + 9 5-Star Review</v>
      </c>
      <c r="I825" s="23"/>
      <c r="J825" s="23"/>
    </row>
    <row r="826" hidden="1">
      <c r="A826" s="6" t="s">
        <v>261</v>
      </c>
      <c r="B826" s="255" t="s">
        <v>219</v>
      </c>
      <c r="C826" s="255" t="s">
        <v>220</v>
      </c>
      <c r="D826" s="255" t="s">
        <v>760</v>
      </c>
      <c r="E826" s="236">
        <v>7.0</v>
      </c>
      <c r="F826" s="264">
        <v>0.0</v>
      </c>
      <c r="G826" s="39">
        <f t="shared" si="1"/>
        <v>1750</v>
      </c>
      <c r="H826" s="13" t="str">
        <f t="shared" si="2"/>
        <v>7 Signed Rep + 0 5-Star Review</v>
      </c>
      <c r="I826" s="14"/>
      <c r="J826" s="14"/>
    </row>
    <row r="827" hidden="1">
      <c r="A827" s="6" t="s">
        <v>265</v>
      </c>
      <c r="B827" s="254" t="s">
        <v>802</v>
      </c>
      <c r="C827" s="254" t="s">
        <v>803</v>
      </c>
      <c r="D827" s="254" t="s">
        <v>804</v>
      </c>
      <c r="E827" s="235">
        <v>3.0</v>
      </c>
      <c r="F827" s="243">
        <v>0.0</v>
      </c>
      <c r="G827" s="39">
        <f t="shared" si="1"/>
        <v>750</v>
      </c>
      <c r="H827" s="13" t="str">
        <f t="shared" si="2"/>
        <v>3 Signed Rep + 0 5-Star Review</v>
      </c>
      <c r="I827" s="14"/>
      <c r="J827" s="14"/>
    </row>
    <row r="828" hidden="1">
      <c r="A828" s="6" t="s">
        <v>265</v>
      </c>
      <c r="B828" s="255" t="s">
        <v>639</v>
      </c>
      <c r="C828" s="255" t="s">
        <v>640</v>
      </c>
      <c r="D828" s="255" t="s">
        <v>641</v>
      </c>
      <c r="E828" s="235">
        <v>5.0</v>
      </c>
      <c r="F828" s="243">
        <v>0.0</v>
      </c>
      <c r="G828" s="39">
        <f t="shared" si="1"/>
        <v>1250</v>
      </c>
      <c r="H828" s="13" t="str">
        <f t="shared" si="2"/>
        <v>5 Signed Rep + 0 5-Star Review</v>
      </c>
      <c r="I828" s="14"/>
      <c r="J828" s="14"/>
    </row>
    <row r="829" hidden="1">
      <c r="A829" s="6" t="s">
        <v>265</v>
      </c>
      <c r="B829" s="255" t="s">
        <v>642</v>
      </c>
      <c r="C829" s="255" t="s">
        <v>643</v>
      </c>
      <c r="D829" s="255" t="s">
        <v>644</v>
      </c>
      <c r="E829" s="235">
        <v>10.0</v>
      </c>
      <c r="F829" s="243">
        <v>0.0</v>
      </c>
      <c r="G829" s="39">
        <f t="shared" si="1"/>
        <v>2500</v>
      </c>
      <c r="H829" s="13" t="str">
        <f t="shared" si="2"/>
        <v>10 Signed Rep + 0 5-Star Review</v>
      </c>
      <c r="I829" s="14"/>
      <c r="J829" s="14"/>
    </row>
    <row r="830" hidden="1">
      <c r="A830" s="6" t="s">
        <v>265</v>
      </c>
      <c r="B830" s="255" t="s">
        <v>645</v>
      </c>
      <c r="C830" s="255" t="s">
        <v>646</v>
      </c>
      <c r="D830" s="255" t="s">
        <v>647</v>
      </c>
      <c r="E830" s="235">
        <v>6.0</v>
      </c>
      <c r="F830" s="243">
        <v>0.0</v>
      </c>
      <c r="G830" s="39">
        <f t="shared" si="1"/>
        <v>1500</v>
      </c>
      <c r="H830" s="13" t="str">
        <f t="shared" si="2"/>
        <v>6 Signed Rep + 0 5-Star Review</v>
      </c>
      <c r="I830" s="14"/>
      <c r="J830" s="14"/>
    </row>
    <row r="831" hidden="1">
      <c r="A831" s="6" t="s">
        <v>265</v>
      </c>
      <c r="B831" s="255" t="s">
        <v>648</v>
      </c>
      <c r="C831" s="255" t="s">
        <v>649</v>
      </c>
      <c r="D831" s="255" t="s">
        <v>650</v>
      </c>
      <c r="E831" s="236">
        <v>9.0</v>
      </c>
      <c r="F831" s="243">
        <v>0.0</v>
      </c>
      <c r="G831" s="39">
        <f t="shared" si="1"/>
        <v>2250</v>
      </c>
      <c r="H831" s="13" t="str">
        <f t="shared" si="2"/>
        <v>9 Signed Rep + 0 5-Star Review</v>
      </c>
      <c r="I831" s="14"/>
      <c r="J831" s="14"/>
    </row>
    <row r="832" hidden="1">
      <c r="A832" s="6" t="s">
        <v>265</v>
      </c>
      <c r="B832" s="255" t="s">
        <v>651</v>
      </c>
      <c r="C832" s="255" t="s">
        <v>652</v>
      </c>
      <c r="D832" s="255" t="s">
        <v>653</v>
      </c>
      <c r="E832" s="235">
        <v>6.0</v>
      </c>
      <c r="F832" s="264">
        <v>0.0</v>
      </c>
      <c r="G832" s="39">
        <f t="shared" si="1"/>
        <v>1500</v>
      </c>
      <c r="H832" s="13" t="str">
        <f t="shared" si="2"/>
        <v>6 Signed Rep + 0 5-Star Review</v>
      </c>
      <c r="I832" s="14"/>
      <c r="J832" s="14"/>
    </row>
    <row r="833" hidden="1">
      <c r="A833" s="6" t="s">
        <v>265</v>
      </c>
      <c r="B833" s="255" t="s">
        <v>654</v>
      </c>
      <c r="C833" s="255" t="s">
        <v>655</v>
      </c>
      <c r="D833" s="255" t="s">
        <v>656</v>
      </c>
      <c r="E833" s="236">
        <v>11.0</v>
      </c>
      <c r="F833" s="243">
        <v>0.0</v>
      </c>
      <c r="G833" s="39">
        <f t="shared" si="1"/>
        <v>2750</v>
      </c>
      <c r="H833" s="13" t="str">
        <f t="shared" si="2"/>
        <v>11 Signed Rep + 0 5-Star Review</v>
      </c>
      <c r="I833" s="14"/>
      <c r="J833" s="14"/>
    </row>
    <row r="834" hidden="1">
      <c r="A834" s="6" t="s">
        <v>265</v>
      </c>
      <c r="B834" s="255" t="s">
        <v>657</v>
      </c>
      <c r="C834" s="255" t="s">
        <v>658</v>
      </c>
      <c r="D834" s="255" t="s">
        <v>659</v>
      </c>
      <c r="E834" s="235">
        <v>8.0</v>
      </c>
      <c r="F834" s="243">
        <v>0.0</v>
      </c>
      <c r="G834" s="39">
        <f t="shared" si="1"/>
        <v>2000</v>
      </c>
      <c r="H834" s="13" t="str">
        <f t="shared" si="2"/>
        <v>8 Signed Rep + 0 5-Star Review</v>
      </c>
      <c r="I834" s="14"/>
      <c r="J834" s="14"/>
    </row>
    <row r="835" hidden="1">
      <c r="A835" s="6" t="s">
        <v>265</v>
      </c>
      <c r="B835" s="255" t="s">
        <v>213</v>
      </c>
      <c r="C835" s="255" t="s">
        <v>214</v>
      </c>
      <c r="D835" s="255" t="s">
        <v>660</v>
      </c>
      <c r="E835" s="235">
        <v>7.0</v>
      </c>
      <c r="F835" s="243">
        <v>0.0</v>
      </c>
      <c r="G835" s="39">
        <f t="shared" si="1"/>
        <v>1750</v>
      </c>
      <c r="H835" s="13" t="str">
        <f t="shared" si="2"/>
        <v>7 Signed Rep + 0 5-Star Review</v>
      </c>
      <c r="I835" s="14"/>
      <c r="J835" s="14"/>
    </row>
    <row r="836" hidden="1">
      <c r="A836" s="6" t="s">
        <v>265</v>
      </c>
      <c r="B836" s="255" t="s">
        <v>661</v>
      </c>
      <c r="C836" s="255" t="s">
        <v>662</v>
      </c>
      <c r="D836" s="255" t="s">
        <v>663</v>
      </c>
      <c r="E836" s="235">
        <v>5.0</v>
      </c>
      <c r="F836" s="264">
        <v>2.0</v>
      </c>
      <c r="G836" s="39">
        <f t="shared" si="1"/>
        <v>1450</v>
      </c>
      <c r="H836" s="13" t="str">
        <f t="shared" si="2"/>
        <v>5 Signed Rep + 2 5-Star Review</v>
      </c>
      <c r="I836" s="14"/>
      <c r="J836" s="14"/>
    </row>
    <row r="837" hidden="1">
      <c r="A837" s="6" t="s">
        <v>265</v>
      </c>
      <c r="B837" s="255" t="s">
        <v>664</v>
      </c>
      <c r="C837" s="255" t="s">
        <v>665</v>
      </c>
      <c r="D837" s="255" t="s">
        <v>666</v>
      </c>
      <c r="E837" s="235">
        <v>16.0</v>
      </c>
      <c r="F837" s="243">
        <v>0.0</v>
      </c>
      <c r="G837" s="39">
        <f t="shared" si="1"/>
        <v>4000</v>
      </c>
      <c r="H837" s="13" t="str">
        <f t="shared" si="2"/>
        <v>16 Signed Rep + 0 5-Star Review</v>
      </c>
      <c r="I837" s="14"/>
      <c r="J837" s="14"/>
    </row>
    <row r="838" hidden="1">
      <c r="A838" s="6" t="s">
        <v>265</v>
      </c>
      <c r="B838" s="255" t="s">
        <v>667</v>
      </c>
      <c r="C838" s="255" t="s">
        <v>668</v>
      </c>
      <c r="D838" s="255" t="s">
        <v>669</v>
      </c>
      <c r="E838" s="235">
        <v>7.0</v>
      </c>
      <c r="F838" s="264">
        <v>1.0</v>
      </c>
      <c r="G838" s="39">
        <f t="shared" si="1"/>
        <v>1850</v>
      </c>
      <c r="H838" s="13" t="str">
        <f t="shared" si="2"/>
        <v>7 Signed Rep + 1 5-Star Review</v>
      </c>
      <c r="I838" s="14"/>
      <c r="J838" s="14"/>
    </row>
    <row r="839" hidden="1">
      <c r="A839" s="6" t="s">
        <v>265</v>
      </c>
      <c r="B839" s="255" t="s">
        <v>670</v>
      </c>
      <c r="C839" s="255" t="s">
        <v>671</v>
      </c>
      <c r="D839" s="255" t="s">
        <v>672</v>
      </c>
      <c r="E839" s="235">
        <v>5.0</v>
      </c>
      <c r="F839" s="243">
        <v>0.0</v>
      </c>
      <c r="G839" s="39">
        <f t="shared" si="1"/>
        <v>1250</v>
      </c>
      <c r="H839" s="13" t="str">
        <f t="shared" si="2"/>
        <v>5 Signed Rep + 0 5-Star Review</v>
      </c>
      <c r="I839" s="14"/>
      <c r="J839" s="14"/>
    </row>
    <row r="840" hidden="1">
      <c r="A840" s="6" t="s">
        <v>265</v>
      </c>
      <c r="B840" s="255" t="s">
        <v>673</v>
      </c>
      <c r="C840" s="255" t="s">
        <v>674</v>
      </c>
      <c r="D840" s="255" t="s">
        <v>675</v>
      </c>
      <c r="E840" s="235">
        <v>7.0</v>
      </c>
      <c r="F840" s="264">
        <v>4.0</v>
      </c>
      <c r="G840" s="39">
        <f t="shared" si="1"/>
        <v>2150</v>
      </c>
      <c r="H840" s="13" t="str">
        <f t="shared" si="2"/>
        <v>7 Signed Rep + 4 5-Star Review</v>
      </c>
      <c r="I840" s="14"/>
      <c r="J840" s="14"/>
    </row>
    <row r="841" hidden="1">
      <c r="A841" s="6" t="s">
        <v>265</v>
      </c>
      <c r="B841" s="255" t="s">
        <v>676</v>
      </c>
      <c r="C841" s="255" t="s">
        <v>677</v>
      </c>
      <c r="D841" s="255" t="s">
        <v>678</v>
      </c>
      <c r="E841" s="235">
        <v>9.0</v>
      </c>
      <c r="F841" s="243">
        <v>0.0</v>
      </c>
      <c r="G841" s="39">
        <f t="shared" si="1"/>
        <v>2250</v>
      </c>
      <c r="H841" s="13" t="str">
        <f t="shared" si="2"/>
        <v>9 Signed Rep + 0 5-Star Review</v>
      </c>
      <c r="I841" s="14"/>
      <c r="J841" s="14"/>
    </row>
    <row r="842" hidden="1">
      <c r="A842" s="6" t="s">
        <v>265</v>
      </c>
      <c r="B842" s="255" t="s">
        <v>679</v>
      </c>
      <c r="C842" s="255" t="s">
        <v>680</v>
      </c>
      <c r="D842" s="255" t="s">
        <v>808</v>
      </c>
      <c r="E842" s="235">
        <v>4.0</v>
      </c>
      <c r="F842" s="264">
        <v>3.0</v>
      </c>
      <c r="G842" s="39">
        <f t="shared" si="1"/>
        <v>1300</v>
      </c>
      <c r="H842" s="13" t="str">
        <f t="shared" si="2"/>
        <v>4 Signed Rep + 3 5-Star Review</v>
      </c>
      <c r="I842" s="14"/>
      <c r="J842" s="14"/>
    </row>
    <row r="843" hidden="1">
      <c r="A843" s="6" t="s">
        <v>265</v>
      </c>
      <c r="B843" s="255" t="s">
        <v>682</v>
      </c>
      <c r="C843" s="255" t="s">
        <v>683</v>
      </c>
      <c r="D843" s="255" t="s">
        <v>684</v>
      </c>
      <c r="E843" s="236">
        <v>10.0</v>
      </c>
      <c r="F843" s="243">
        <v>0.0</v>
      </c>
      <c r="G843" s="39">
        <f t="shared" si="1"/>
        <v>2500</v>
      </c>
      <c r="H843" s="13" t="str">
        <f t="shared" si="2"/>
        <v>10 Signed Rep + 0 5-Star Review</v>
      </c>
      <c r="I843" s="14"/>
      <c r="J843" s="14"/>
    </row>
    <row r="844" hidden="1">
      <c r="A844" s="6" t="s">
        <v>265</v>
      </c>
      <c r="B844" s="255" t="s">
        <v>685</v>
      </c>
      <c r="C844" s="255" t="s">
        <v>686</v>
      </c>
      <c r="D844" s="255" t="s">
        <v>687</v>
      </c>
      <c r="E844" s="235">
        <v>9.0</v>
      </c>
      <c r="F844" s="243">
        <v>0.0</v>
      </c>
      <c r="G844" s="39">
        <f t="shared" si="1"/>
        <v>2250</v>
      </c>
      <c r="H844" s="13" t="str">
        <f t="shared" si="2"/>
        <v>9 Signed Rep + 0 5-Star Review</v>
      </c>
      <c r="I844" s="14"/>
      <c r="J844" s="14"/>
    </row>
    <row r="845" hidden="1">
      <c r="A845" s="6" t="s">
        <v>265</v>
      </c>
      <c r="B845" s="255" t="s">
        <v>688</v>
      </c>
      <c r="C845" s="255" t="s">
        <v>689</v>
      </c>
      <c r="D845" s="255" t="s">
        <v>690</v>
      </c>
      <c r="E845" s="235">
        <v>14.0</v>
      </c>
      <c r="F845" s="243">
        <v>0.0</v>
      </c>
      <c r="G845" s="39">
        <f t="shared" si="1"/>
        <v>3500</v>
      </c>
      <c r="H845" s="13" t="str">
        <f t="shared" si="2"/>
        <v>14 Signed Rep + 0 5-Star Review</v>
      </c>
      <c r="I845" s="14"/>
      <c r="J845" s="14"/>
    </row>
    <row r="846" hidden="1">
      <c r="A846" s="6" t="s">
        <v>265</v>
      </c>
      <c r="B846" s="255" t="s">
        <v>691</v>
      </c>
      <c r="C846" s="255" t="s">
        <v>692</v>
      </c>
      <c r="D846" s="255" t="s">
        <v>693</v>
      </c>
      <c r="E846" s="235">
        <v>7.0</v>
      </c>
      <c r="F846" s="243">
        <v>0.0</v>
      </c>
      <c r="G846" s="39">
        <f t="shared" si="1"/>
        <v>1750</v>
      </c>
      <c r="H846" s="13" t="str">
        <f t="shared" si="2"/>
        <v>7 Signed Rep + 0 5-Star Review</v>
      </c>
      <c r="I846" s="14"/>
      <c r="J846" s="14"/>
    </row>
    <row r="847" hidden="1">
      <c r="A847" s="6" t="s">
        <v>265</v>
      </c>
      <c r="B847" s="255" t="s">
        <v>694</v>
      </c>
      <c r="C847" s="255" t="s">
        <v>695</v>
      </c>
      <c r="D847" s="255" t="s">
        <v>696</v>
      </c>
      <c r="E847" s="235">
        <v>10.0</v>
      </c>
      <c r="F847" s="243">
        <v>0.0</v>
      </c>
      <c r="G847" s="39">
        <f t="shared" si="1"/>
        <v>2500</v>
      </c>
      <c r="H847" s="13" t="str">
        <f t="shared" si="2"/>
        <v>10 Signed Rep + 0 5-Star Review</v>
      </c>
      <c r="I847" s="14"/>
      <c r="J847" s="14"/>
    </row>
    <row r="848" hidden="1">
      <c r="A848" s="6" t="s">
        <v>265</v>
      </c>
      <c r="B848" s="255" t="s">
        <v>697</v>
      </c>
      <c r="C848" s="255" t="s">
        <v>698</v>
      </c>
      <c r="D848" s="255" t="s">
        <v>699</v>
      </c>
      <c r="E848" s="235">
        <v>12.0</v>
      </c>
      <c r="F848" s="243">
        <v>0.0</v>
      </c>
      <c r="G848" s="39">
        <f t="shared" si="1"/>
        <v>3000</v>
      </c>
      <c r="H848" s="13" t="str">
        <f t="shared" si="2"/>
        <v>12 Signed Rep + 0 5-Star Review</v>
      </c>
      <c r="I848" s="14"/>
      <c r="J848" s="14"/>
    </row>
    <row r="849" hidden="1">
      <c r="A849" s="6" t="s">
        <v>265</v>
      </c>
      <c r="B849" s="255" t="s">
        <v>700</v>
      </c>
      <c r="C849" s="255" t="s">
        <v>701</v>
      </c>
      <c r="D849" s="255" t="s">
        <v>702</v>
      </c>
      <c r="E849" s="235">
        <v>9.0</v>
      </c>
      <c r="F849" s="243">
        <v>0.0</v>
      </c>
      <c r="G849" s="39">
        <f t="shared" si="1"/>
        <v>2250</v>
      </c>
      <c r="H849" s="13" t="str">
        <f t="shared" si="2"/>
        <v>9 Signed Rep + 0 5-Star Review</v>
      </c>
      <c r="I849" s="14"/>
      <c r="J849" s="14"/>
    </row>
    <row r="850" hidden="1">
      <c r="A850" s="6" t="s">
        <v>265</v>
      </c>
      <c r="B850" s="255" t="s">
        <v>703</v>
      </c>
      <c r="C850" s="255" t="s">
        <v>704</v>
      </c>
      <c r="D850" s="255" t="s">
        <v>705</v>
      </c>
      <c r="E850" s="235">
        <v>8.0</v>
      </c>
      <c r="F850" s="264">
        <v>3.0</v>
      </c>
      <c r="G850" s="39">
        <f t="shared" si="1"/>
        <v>2300</v>
      </c>
      <c r="H850" s="13" t="str">
        <f t="shared" si="2"/>
        <v>8 Signed Rep + 3 5-Star Review</v>
      </c>
      <c r="I850" s="14"/>
      <c r="J850" s="14"/>
    </row>
    <row r="851" hidden="1">
      <c r="A851" s="6" t="s">
        <v>265</v>
      </c>
      <c r="B851" s="255" t="s">
        <v>706</v>
      </c>
      <c r="C851" s="255" t="s">
        <v>707</v>
      </c>
      <c r="D851" s="255" t="s">
        <v>708</v>
      </c>
      <c r="E851" s="235">
        <v>5.0</v>
      </c>
      <c r="F851" s="243">
        <v>0.0</v>
      </c>
      <c r="G851" s="39">
        <f t="shared" si="1"/>
        <v>1250</v>
      </c>
      <c r="H851" s="13" t="str">
        <f t="shared" si="2"/>
        <v>5 Signed Rep + 0 5-Star Review</v>
      </c>
      <c r="I851" s="14"/>
      <c r="J851" s="14"/>
    </row>
    <row r="852" hidden="1">
      <c r="A852" s="6" t="s">
        <v>265</v>
      </c>
      <c r="B852" s="255" t="s">
        <v>709</v>
      </c>
      <c r="C852" s="255" t="s">
        <v>710</v>
      </c>
      <c r="D852" s="255" t="s">
        <v>711</v>
      </c>
      <c r="E852" s="235">
        <v>8.0</v>
      </c>
      <c r="F852" s="243">
        <v>0.0</v>
      </c>
      <c r="G852" s="39">
        <f t="shared" si="1"/>
        <v>2000</v>
      </c>
      <c r="H852" s="13" t="str">
        <f t="shared" si="2"/>
        <v>8 Signed Rep + 0 5-Star Review</v>
      </c>
      <c r="I852" s="14"/>
      <c r="J852" s="14"/>
    </row>
    <row r="853" hidden="1">
      <c r="A853" s="6" t="s">
        <v>265</v>
      </c>
      <c r="B853" s="255" t="s">
        <v>712</v>
      </c>
      <c r="C853" s="255" t="s">
        <v>713</v>
      </c>
      <c r="D853" s="255" t="s">
        <v>714</v>
      </c>
      <c r="E853" s="235">
        <v>7.0</v>
      </c>
      <c r="F853" s="264">
        <v>5.0</v>
      </c>
      <c r="G853" s="39">
        <f t="shared" si="1"/>
        <v>2250</v>
      </c>
      <c r="H853" s="13" t="str">
        <f t="shared" si="2"/>
        <v>7 Signed Rep + 5 5-Star Review</v>
      </c>
      <c r="I853" s="14"/>
      <c r="J853" s="14"/>
    </row>
    <row r="854" hidden="1">
      <c r="A854" s="6" t="s">
        <v>265</v>
      </c>
      <c r="B854" s="255" t="s">
        <v>799</v>
      </c>
      <c r="C854" s="255" t="s">
        <v>800</v>
      </c>
      <c r="D854" s="255" t="s">
        <v>801</v>
      </c>
      <c r="E854" s="235">
        <v>9.0</v>
      </c>
      <c r="F854" s="243">
        <v>0.0</v>
      </c>
      <c r="G854" s="39">
        <f t="shared" si="1"/>
        <v>2250</v>
      </c>
      <c r="H854" s="13" t="str">
        <f t="shared" si="2"/>
        <v>9 Signed Rep + 0 5-Star Review</v>
      </c>
      <c r="I854" s="14"/>
      <c r="J854" s="14"/>
    </row>
    <row r="855" hidden="1">
      <c r="A855" s="6" t="s">
        <v>265</v>
      </c>
      <c r="B855" s="255" t="s">
        <v>795</v>
      </c>
      <c r="C855" s="255" t="s">
        <v>796</v>
      </c>
      <c r="D855" s="255" t="s">
        <v>797</v>
      </c>
      <c r="E855" s="235">
        <v>9.0</v>
      </c>
      <c r="F855" s="243">
        <v>0.0</v>
      </c>
      <c r="G855" s="39">
        <f t="shared" si="1"/>
        <v>2250</v>
      </c>
      <c r="H855" s="13" t="str">
        <f t="shared" si="2"/>
        <v>9 Signed Rep + 0 5-Star Review</v>
      </c>
      <c r="I855" s="14"/>
      <c r="J855" s="14"/>
    </row>
    <row r="856" hidden="1">
      <c r="A856" s="6" t="s">
        <v>265</v>
      </c>
      <c r="B856" s="255" t="s">
        <v>715</v>
      </c>
      <c r="C856" s="255" t="s">
        <v>716</v>
      </c>
      <c r="D856" s="255" t="s">
        <v>717</v>
      </c>
      <c r="E856" s="235">
        <v>6.0</v>
      </c>
      <c r="F856" s="243">
        <v>0.0</v>
      </c>
      <c r="G856" s="39">
        <f t="shared" si="1"/>
        <v>1500</v>
      </c>
      <c r="H856" s="13" t="str">
        <f t="shared" si="2"/>
        <v>6 Signed Rep + 0 5-Star Review</v>
      </c>
      <c r="I856" s="14"/>
      <c r="J856" s="14"/>
    </row>
    <row r="857" hidden="1">
      <c r="A857" s="6" t="s">
        <v>265</v>
      </c>
      <c r="B857" s="255" t="s">
        <v>718</v>
      </c>
      <c r="C857" s="255" t="s">
        <v>719</v>
      </c>
      <c r="D857" s="255" t="s">
        <v>720</v>
      </c>
      <c r="E857" s="235">
        <v>3.0</v>
      </c>
      <c r="F857" s="243">
        <v>0.0</v>
      </c>
      <c r="G857" s="39">
        <f t="shared" si="1"/>
        <v>750</v>
      </c>
      <c r="H857" s="13" t="str">
        <f t="shared" si="2"/>
        <v>3 Signed Rep + 0 5-Star Review</v>
      </c>
      <c r="I857" s="14"/>
      <c r="J857" s="14"/>
    </row>
    <row r="858" hidden="1">
      <c r="A858" s="6" t="s">
        <v>265</v>
      </c>
      <c r="B858" s="255" t="s">
        <v>721</v>
      </c>
      <c r="C858" s="255" t="s">
        <v>722</v>
      </c>
      <c r="D858" s="255" t="s">
        <v>723</v>
      </c>
      <c r="E858" s="235">
        <v>9.0</v>
      </c>
      <c r="F858" s="264">
        <v>4.0</v>
      </c>
      <c r="G858" s="39">
        <f t="shared" si="1"/>
        <v>2650</v>
      </c>
      <c r="H858" s="13" t="str">
        <f t="shared" si="2"/>
        <v>9 Signed Rep + 4 5-Star Review</v>
      </c>
      <c r="I858" s="14"/>
      <c r="J858" s="14"/>
    </row>
    <row r="859" hidden="1">
      <c r="A859" s="6" t="s">
        <v>265</v>
      </c>
      <c r="B859" s="257" t="s">
        <v>724</v>
      </c>
      <c r="C859" s="255" t="s">
        <v>725</v>
      </c>
      <c r="D859" s="255" t="s">
        <v>726</v>
      </c>
      <c r="E859" s="235">
        <v>5.0</v>
      </c>
      <c r="F859" s="243">
        <v>0.0</v>
      </c>
      <c r="G859" s="39">
        <f t="shared" si="1"/>
        <v>1250</v>
      </c>
      <c r="H859" s="13" t="str">
        <f t="shared" si="2"/>
        <v>5 Signed Rep + 0 5-Star Review</v>
      </c>
      <c r="I859" s="14"/>
      <c r="J859" s="14"/>
    </row>
    <row r="860" hidden="1">
      <c r="A860" s="6" t="s">
        <v>265</v>
      </c>
      <c r="B860" s="255" t="s">
        <v>727</v>
      </c>
      <c r="C860" s="255" t="s">
        <v>728</v>
      </c>
      <c r="D860" s="255" t="s">
        <v>729</v>
      </c>
      <c r="E860" s="235">
        <v>7.0</v>
      </c>
      <c r="F860" s="243">
        <v>0.0</v>
      </c>
      <c r="G860" s="39">
        <f t="shared" si="1"/>
        <v>1750</v>
      </c>
      <c r="H860" s="13" t="str">
        <f t="shared" si="2"/>
        <v>7 Signed Rep + 0 5-Star Review</v>
      </c>
      <c r="I860" s="14"/>
      <c r="J860" s="14"/>
    </row>
    <row r="861" hidden="1">
      <c r="A861" s="6" t="s">
        <v>265</v>
      </c>
      <c r="B861" s="255" t="s">
        <v>730</v>
      </c>
      <c r="C861" s="255" t="s">
        <v>731</v>
      </c>
      <c r="D861" s="255" t="s">
        <v>732</v>
      </c>
      <c r="E861" s="235">
        <v>9.0</v>
      </c>
      <c r="F861" s="264">
        <v>1.0</v>
      </c>
      <c r="G861" s="39">
        <f t="shared" si="1"/>
        <v>2350</v>
      </c>
      <c r="H861" s="13" t="str">
        <f t="shared" si="2"/>
        <v>9 Signed Rep + 1 5-Star Review</v>
      </c>
      <c r="I861" s="14"/>
      <c r="J861" s="14"/>
    </row>
    <row r="862" hidden="1">
      <c r="A862" s="6" t="s">
        <v>265</v>
      </c>
      <c r="B862" s="255" t="s">
        <v>733</v>
      </c>
      <c r="C862" s="255" t="s">
        <v>734</v>
      </c>
      <c r="D862" s="255" t="s">
        <v>735</v>
      </c>
      <c r="E862" s="235">
        <v>8.0</v>
      </c>
      <c r="F862" s="264">
        <v>0.0</v>
      </c>
      <c r="G862" s="39">
        <f t="shared" si="1"/>
        <v>2000</v>
      </c>
      <c r="H862" s="13" t="str">
        <f t="shared" si="2"/>
        <v>8 Signed Rep + 0 5-Star Review</v>
      </c>
      <c r="I862" s="14"/>
      <c r="J862" s="14"/>
    </row>
    <row r="863" hidden="1">
      <c r="A863" s="6" t="s">
        <v>265</v>
      </c>
      <c r="B863" s="255" t="s">
        <v>736</v>
      </c>
      <c r="C863" s="255" t="s">
        <v>737</v>
      </c>
      <c r="D863" s="255" t="s">
        <v>738</v>
      </c>
      <c r="E863" s="235">
        <v>9.0</v>
      </c>
      <c r="F863" s="264">
        <v>2.0</v>
      </c>
      <c r="G863" s="39">
        <f t="shared" si="1"/>
        <v>2450</v>
      </c>
      <c r="H863" s="13" t="str">
        <f t="shared" si="2"/>
        <v>9 Signed Rep + 2 5-Star Review</v>
      </c>
      <c r="I863" s="14"/>
      <c r="J863" s="14"/>
    </row>
    <row r="864" hidden="1">
      <c r="A864" s="6" t="s">
        <v>265</v>
      </c>
      <c r="B864" s="255" t="s">
        <v>739</v>
      </c>
      <c r="C864" s="255" t="s">
        <v>740</v>
      </c>
      <c r="D864" s="255" t="s">
        <v>741</v>
      </c>
      <c r="E864" s="235">
        <v>7.0</v>
      </c>
      <c r="F864" s="264">
        <v>0.0</v>
      </c>
      <c r="G864" s="39">
        <f t="shared" si="1"/>
        <v>1750</v>
      </c>
      <c r="H864" s="13" t="str">
        <f t="shared" si="2"/>
        <v>7 Signed Rep + 0 5-Star Review</v>
      </c>
      <c r="I864" s="14"/>
      <c r="J864" s="14"/>
    </row>
    <row r="865" hidden="1">
      <c r="A865" s="6" t="s">
        <v>265</v>
      </c>
      <c r="B865" s="255" t="s">
        <v>742</v>
      </c>
      <c r="C865" s="255" t="s">
        <v>743</v>
      </c>
      <c r="D865" s="255" t="s">
        <v>744</v>
      </c>
      <c r="E865" s="235">
        <v>6.0</v>
      </c>
      <c r="F865" s="264">
        <v>3.0</v>
      </c>
      <c r="G865" s="39">
        <f t="shared" si="1"/>
        <v>1800</v>
      </c>
      <c r="H865" s="13" t="str">
        <f t="shared" si="2"/>
        <v>6 Signed Rep + 3 5-Star Review</v>
      </c>
      <c r="I865" s="14"/>
      <c r="J865" s="14"/>
    </row>
    <row r="866" hidden="1">
      <c r="A866" s="6" t="s">
        <v>265</v>
      </c>
      <c r="B866" s="254" t="s">
        <v>745</v>
      </c>
      <c r="C866" s="255" t="s">
        <v>746</v>
      </c>
      <c r="D866" s="255" t="s">
        <v>747</v>
      </c>
      <c r="E866" s="235">
        <v>10.0</v>
      </c>
      <c r="F866" s="264">
        <v>0.0</v>
      </c>
      <c r="G866" s="39">
        <f t="shared" si="1"/>
        <v>2500</v>
      </c>
      <c r="H866" s="13" t="str">
        <f t="shared" si="2"/>
        <v>10 Signed Rep + 0 5-Star Review</v>
      </c>
      <c r="I866" s="14"/>
      <c r="J866" s="14"/>
    </row>
    <row r="867" hidden="1">
      <c r="A867" s="6" t="s">
        <v>265</v>
      </c>
      <c r="B867" s="255" t="s">
        <v>748</v>
      </c>
      <c r="C867" s="255" t="s">
        <v>749</v>
      </c>
      <c r="D867" s="255" t="s">
        <v>750</v>
      </c>
      <c r="E867" s="235">
        <v>7.0</v>
      </c>
      <c r="F867" s="243">
        <v>0.0</v>
      </c>
      <c r="G867" s="39">
        <f t="shared" si="1"/>
        <v>1750</v>
      </c>
      <c r="H867" s="13" t="str">
        <f t="shared" si="2"/>
        <v>7 Signed Rep + 0 5-Star Review</v>
      </c>
      <c r="I867" s="14"/>
      <c r="J867" s="14"/>
    </row>
    <row r="868" hidden="1">
      <c r="A868" s="6" t="s">
        <v>265</v>
      </c>
      <c r="B868" s="255" t="s">
        <v>788</v>
      </c>
      <c r="C868" s="255" t="s">
        <v>789</v>
      </c>
      <c r="D868" s="255" t="s">
        <v>790</v>
      </c>
      <c r="E868" s="235">
        <v>11.0</v>
      </c>
      <c r="F868" s="264">
        <v>0.0</v>
      </c>
      <c r="G868" s="39">
        <f t="shared" si="1"/>
        <v>2750</v>
      </c>
      <c r="H868" s="13" t="str">
        <f t="shared" si="2"/>
        <v>11 Signed Rep + 0 5-Star Review</v>
      </c>
      <c r="I868" s="14"/>
      <c r="J868" s="14"/>
    </row>
    <row r="869" hidden="1">
      <c r="A869" s="6" t="s">
        <v>265</v>
      </c>
      <c r="B869" s="255" t="s">
        <v>751</v>
      </c>
      <c r="C869" s="255" t="s">
        <v>752</v>
      </c>
      <c r="D869" s="255" t="s">
        <v>753</v>
      </c>
      <c r="E869" s="235">
        <v>10.0</v>
      </c>
      <c r="F869" s="243">
        <v>0.0</v>
      </c>
      <c r="G869" s="39">
        <f t="shared" si="1"/>
        <v>2500</v>
      </c>
      <c r="H869" s="13" t="str">
        <f t="shared" si="2"/>
        <v>10 Signed Rep + 0 5-Star Review</v>
      </c>
      <c r="I869" s="14"/>
      <c r="J869" s="14"/>
    </row>
    <row r="870" hidden="1">
      <c r="A870" s="6" t="s">
        <v>265</v>
      </c>
      <c r="B870" s="255" t="s">
        <v>754</v>
      </c>
      <c r="C870" s="255" t="s">
        <v>755</v>
      </c>
      <c r="D870" s="255" t="s">
        <v>756</v>
      </c>
      <c r="E870" s="235">
        <v>7.0</v>
      </c>
      <c r="F870" s="243">
        <v>0.0</v>
      </c>
      <c r="G870" s="39">
        <f t="shared" si="1"/>
        <v>1750</v>
      </c>
      <c r="H870" s="13" t="str">
        <f t="shared" si="2"/>
        <v>7 Signed Rep + 0 5-Star Review</v>
      </c>
      <c r="I870" s="14"/>
      <c r="J870" s="14"/>
    </row>
    <row r="871" hidden="1">
      <c r="A871" s="6" t="s">
        <v>265</v>
      </c>
      <c r="B871" s="254" t="s">
        <v>757</v>
      </c>
      <c r="C871" s="255" t="s">
        <v>758</v>
      </c>
      <c r="D871" s="255" t="s">
        <v>759</v>
      </c>
      <c r="E871" s="235">
        <v>19.0</v>
      </c>
      <c r="F871" s="264">
        <v>11.0</v>
      </c>
      <c r="G871" s="39">
        <f t="shared" si="1"/>
        <v>5850</v>
      </c>
      <c r="H871" s="13" t="str">
        <f t="shared" si="2"/>
        <v>19 Signed Rep + 11 5-Star Review</v>
      </c>
      <c r="I871" s="23"/>
      <c r="J871" s="23"/>
    </row>
    <row r="872" hidden="1">
      <c r="A872" s="6" t="s">
        <v>265</v>
      </c>
      <c r="B872" s="255" t="s">
        <v>219</v>
      </c>
      <c r="C872" s="255" t="s">
        <v>220</v>
      </c>
      <c r="D872" s="255" t="s">
        <v>760</v>
      </c>
      <c r="E872" s="236">
        <v>8.0</v>
      </c>
      <c r="F872" s="243">
        <v>0.0</v>
      </c>
      <c r="G872" s="39">
        <f t="shared" si="1"/>
        <v>2000</v>
      </c>
      <c r="H872" s="13" t="str">
        <f t="shared" si="2"/>
        <v>8 Signed Rep + 0 5-Star Review</v>
      </c>
      <c r="I872" s="14"/>
      <c r="J872" s="14"/>
    </row>
    <row r="873" hidden="1">
      <c r="A873" s="6" t="s">
        <v>266</v>
      </c>
      <c r="B873" s="255" t="s">
        <v>639</v>
      </c>
      <c r="C873" s="255" t="s">
        <v>640</v>
      </c>
      <c r="D873" s="255" t="s">
        <v>641</v>
      </c>
      <c r="E873" s="235">
        <v>6.0</v>
      </c>
      <c r="F873" s="264">
        <v>0.0</v>
      </c>
      <c r="G873" s="39">
        <f t="shared" si="1"/>
        <v>1500</v>
      </c>
      <c r="H873" s="13" t="str">
        <f t="shared" si="2"/>
        <v>6 Signed Rep + 0 5-Star Review</v>
      </c>
      <c r="I873" s="14"/>
      <c r="J873" s="14"/>
    </row>
    <row r="874" hidden="1">
      <c r="A874" s="6" t="s">
        <v>266</v>
      </c>
      <c r="B874" s="255" t="s">
        <v>642</v>
      </c>
      <c r="C874" s="255" t="s">
        <v>643</v>
      </c>
      <c r="D874" s="255" t="s">
        <v>644</v>
      </c>
      <c r="E874" s="235">
        <v>6.0</v>
      </c>
      <c r="F874" s="264">
        <v>0.0</v>
      </c>
      <c r="G874" s="39">
        <f t="shared" si="1"/>
        <v>1500</v>
      </c>
      <c r="H874" s="13" t="str">
        <f t="shared" si="2"/>
        <v>6 Signed Rep + 0 5-Star Review</v>
      </c>
      <c r="I874" s="14"/>
      <c r="J874" s="14"/>
    </row>
    <row r="875" hidden="1">
      <c r="A875" s="6" t="s">
        <v>266</v>
      </c>
      <c r="B875" s="255" t="s">
        <v>645</v>
      </c>
      <c r="C875" s="255" t="s">
        <v>646</v>
      </c>
      <c r="D875" s="255" t="s">
        <v>647</v>
      </c>
      <c r="E875" s="235">
        <v>6.0</v>
      </c>
      <c r="F875" s="264">
        <v>0.0</v>
      </c>
      <c r="G875" s="39">
        <f t="shared" si="1"/>
        <v>1500</v>
      </c>
      <c r="H875" s="13" t="str">
        <f t="shared" si="2"/>
        <v>6 Signed Rep + 0 5-Star Review</v>
      </c>
      <c r="I875" s="14"/>
      <c r="J875" s="14"/>
    </row>
    <row r="876" hidden="1">
      <c r="A876" s="6" t="s">
        <v>266</v>
      </c>
      <c r="B876" s="255" t="s">
        <v>648</v>
      </c>
      <c r="C876" s="255" t="s">
        <v>649</v>
      </c>
      <c r="D876" s="255" t="s">
        <v>650</v>
      </c>
      <c r="E876" s="236">
        <v>11.0</v>
      </c>
      <c r="F876" s="264">
        <v>0.0</v>
      </c>
      <c r="G876" s="39">
        <f t="shared" si="1"/>
        <v>2750</v>
      </c>
      <c r="H876" s="13" t="str">
        <f t="shared" si="2"/>
        <v>11 Signed Rep + 0 5-Star Review</v>
      </c>
      <c r="I876" s="14"/>
      <c r="J876" s="14"/>
    </row>
    <row r="877" hidden="1">
      <c r="A877" s="6" t="s">
        <v>266</v>
      </c>
      <c r="B877" s="255" t="s">
        <v>651</v>
      </c>
      <c r="C877" s="255" t="s">
        <v>652</v>
      </c>
      <c r="D877" s="255" t="s">
        <v>653</v>
      </c>
      <c r="E877" s="235">
        <v>6.0</v>
      </c>
      <c r="F877" s="264">
        <v>0.0</v>
      </c>
      <c r="G877" s="39">
        <f t="shared" si="1"/>
        <v>1500</v>
      </c>
      <c r="H877" s="13" t="str">
        <f t="shared" si="2"/>
        <v>6 Signed Rep + 0 5-Star Review</v>
      </c>
      <c r="I877" s="14"/>
      <c r="J877" s="14"/>
    </row>
    <row r="878" hidden="1">
      <c r="A878" s="6" t="s">
        <v>266</v>
      </c>
      <c r="B878" s="255" t="s">
        <v>809</v>
      </c>
      <c r="C878" s="255" t="s">
        <v>810</v>
      </c>
      <c r="D878" s="255" t="s">
        <v>811</v>
      </c>
      <c r="E878" s="235">
        <v>0.0</v>
      </c>
      <c r="F878" s="264">
        <v>0.0</v>
      </c>
      <c r="G878" s="39">
        <f t="shared" si="1"/>
        <v>0</v>
      </c>
      <c r="H878" s="13" t="str">
        <f t="shared" si="2"/>
        <v>0 Signed Rep + 0 5-Star Review</v>
      </c>
      <c r="I878" s="14"/>
      <c r="J878" s="14"/>
    </row>
    <row r="879" hidden="1">
      <c r="A879" s="6" t="s">
        <v>266</v>
      </c>
      <c r="B879" s="255" t="s">
        <v>654</v>
      </c>
      <c r="C879" s="255" t="s">
        <v>655</v>
      </c>
      <c r="D879" s="255" t="s">
        <v>656</v>
      </c>
      <c r="E879" s="236">
        <v>10.0</v>
      </c>
      <c r="F879" s="264">
        <v>0.0</v>
      </c>
      <c r="G879" s="39">
        <f t="shared" si="1"/>
        <v>2500</v>
      </c>
      <c r="H879" s="13" t="str">
        <f t="shared" si="2"/>
        <v>10 Signed Rep + 0 5-Star Review</v>
      </c>
      <c r="I879" s="14"/>
      <c r="J879" s="14"/>
    </row>
    <row r="880" hidden="1">
      <c r="A880" s="6" t="s">
        <v>266</v>
      </c>
      <c r="B880" s="255" t="s">
        <v>812</v>
      </c>
      <c r="C880" s="255" t="s">
        <v>813</v>
      </c>
      <c r="D880" s="255" t="s">
        <v>814</v>
      </c>
      <c r="E880" s="235">
        <v>1.0</v>
      </c>
      <c r="F880" s="264">
        <v>0.0</v>
      </c>
      <c r="G880" s="39">
        <f t="shared" si="1"/>
        <v>250</v>
      </c>
      <c r="H880" s="13" t="str">
        <f t="shared" si="2"/>
        <v>1 Signed Rep + 0 5-Star Review</v>
      </c>
      <c r="I880" s="14"/>
      <c r="J880" s="14"/>
    </row>
    <row r="881" hidden="1">
      <c r="A881" s="6" t="s">
        <v>266</v>
      </c>
      <c r="B881" s="255" t="s">
        <v>657</v>
      </c>
      <c r="C881" s="255" t="s">
        <v>658</v>
      </c>
      <c r="D881" s="255" t="s">
        <v>659</v>
      </c>
      <c r="E881" s="235">
        <v>11.0</v>
      </c>
      <c r="F881" s="264">
        <v>0.0</v>
      </c>
      <c r="G881" s="39">
        <f t="shared" si="1"/>
        <v>2750</v>
      </c>
      <c r="H881" s="13" t="str">
        <f t="shared" si="2"/>
        <v>11 Signed Rep + 0 5-Star Review</v>
      </c>
      <c r="I881" s="14"/>
      <c r="J881" s="14"/>
    </row>
    <row r="882" hidden="1">
      <c r="A882" s="6" t="s">
        <v>266</v>
      </c>
      <c r="B882" s="255" t="s">
        <v>213</v>
      </c>
      <c r="C882" s="255" t="s">
        <v>214</v>
      </c>
      <c r="D882" s="255" t="s">
        <v>660</v>
      </c>
      <c r="E882" s="235">
        <v>8.0</v>
      </c>
      <c r="F882" s="264">
        <v>0.0</v>
      </c>
      <c r="G882" s="39">
        <f t="shared" si="1"/>
        <v>2000</v>
      </c>
      <c r="H882" s="13" t="str">
        <f t="shared" si="2"/>
        <v>8 Signed Rep + 0 5-Star Review</v>
      </c>
      <c r="I882" s="14"/>
      <c r="J882" s="14"/>
    </row>
    <row r="883" hidden="1">
      <c r="A883" s="6" t="s">
        <v>266</v>
      </c>
      <c r="B883" s="255" t="s">
        <v>661</v>
      </c>
      <c r="C883" s="255" t="s">
        <v>662</v>
      </c>
      <c r="D883" s="255" t="s">
        <v>663</v>
      </c>
      <c r="E883" s="235">
        <v>15.0</v>
      </c>
      <c r="F883" s="264">
        <v>6.0</v>
      </c>
      <c r="G883" s="39">
        <f t="shared" si="1"/>
        <v>4350</v>
      </c>
      <c r="H883" s="13" t="str">
        <f t="shared" si="2"/>
        <v>15 Signed Rep + 6 5-Star Review</v>
      </c>
      <c r="I883" s="14"/>
      <c r="J883" s="14"/>
    </row>
    <row r="884" hidden="1">
      <c r="A884" s="6" t="s">
        <v>266</v>
      </c>
      <c r="B884" s="255" t="s">
        <v>664</v>
      </c>
      <c r="C884" s="255" t="s">
        <v>665</v>
      </c>
      <c r="D884" s="255" t="s">
        <v>666</v>
      </c>
      <c r="E884" s="235">
        <v>23.0</v>
      </c>
      <c r="F884" s="264">
        <v>0.0</v>
      </c>
      <c r="G884" s="39">
        <f t="shared" si="1"/>
        <v>5750</v>
      </c>
      <c r="H884" s="13" t="str">
        <f t="shared" si="2"/>
        <v>23 Signed Rep + 0 5-Star Review</v>
      </c>
      <c r="I884" s="14"/>
      <c r="J884" s="14"/>
    </row>
    <row r="885" hidden="1">
      <c r="A885" s="6" t="s">
        <v>266</v>
      </c>
      <c r="B885" s="255" t="s">
        <v>667</v>
      </c>
      <c r="C885" s="255" t="s">
        <v>668</v>
      </c>
      <c r="D885" s="255" t="s">
        <v>669</v>
      </c>
      <c r="E885" s="235">
        <v>11.0</v>
      </c>
      <c r="F885" s="264">
        <v>0.0</v>
      </c>
      <c r="G885" s="39">
        <f t="shared" si="1"/>
        <v>2750</v>
      </c>
      <c r="H885" s="13" t="str">
        <f t="shared" si="2"/>
        <v>11 Signed Rep + 0 5-Star Review</v>
      </c>
      <c r="I885" s="14"/>
      <c r="J885" s="14"/>
    </row>
    <row r="886" hidden="1">
      <c r="A886" s="6" t="s">
        <v>266</v>
      </c>
      <c r="B886" s="255" t="s">
        <v>670</v>
      </c>
      <c r="C886" s="255" t="s">
        <v>671</v>
      </c>
      <c r="D886" s="255" t="s">
        <v>672</v>
      </c>
      <c r="E886" s="235">
        <v>7.0</v>
      </c>
      <c r="F886" s="264">
        <v>0.0</v>
      </c>
      <c r="G886" s="39">
        <f t="shared" si="1"/>
        <v>1750</v>
      </c>
      <c r="H886" s="13" t="str">
        <f t="shared" si="2"/>
        <v>7 Signed Rep + 0 5-Star Review</v>
      </c>
      <c r="I886" s="14"/>
      <c r="J886" s="14"/>
    </row>
    <row r="887" hidden="1">
      <c r="A887" s="6" t="s">
        <v>266</v>
      </c>
      <c r="B887" s="255" t="s">
        <v>673</v>
      </c>
      <c r="C887" s="255" t="s">
        <v>674</v>
      </c>
      <c r="D887" s="255" t="s">
        <v>675</v>
      </c>
      <c r="E887" s="235">
        <v>6.0</v>
      </c>
      <c r="F887" s="264">
        <v>3.0</v>
      </c>
      <c r="G887" s="39">
        <f t="shared" si="1"/>
        <v>1800</v>
      </c>
      <c r="H887" s="13" t="str">
        <f t="shared" si="2"/>
        <v>6 Signed Rep + 3 5-Star Review</v>
      </c>
      <c r="I887" s="14"/>
      <c r="J887" s="14"/>
    </row>
    <row r="888" hidden="1">
      <c r="A888" s="6" t="s">
        <v>266</v>
      </c>
      <c r="B888" s="255" t="s">
        <v>676</v>
      </c>
      <c r="C888" s="255" t="s">
        <v>677</v>
      </c>
      <c r="D888" s="255" t="s">
        <v>678</v>
      </c>
      <c r="E888" s="235">
        <v>8.0</v>
      </c>
      <c r="F888" s="264">
        <v>0.0</v>
      </c>
      <c r="G888" s="39">
        <f t="shared" si="1"/>
        <v>2000</v>
      </c>
      <c r="H888" s="13" t="str">
        <f t="shared" si="2"/>
        <v>8 Signed Rep + 0 5-Star Review</v>
      </c>
      <c r="I888" s="14"/>
      <c r="J888" s="14"/>
    </row>
    <row r="889" hidden="1">
      <c r="A889" s="6" t="s">
        <v>266</v>
      </c>
      <c r="B889" s="255" t="s">
        <v>679</v>
      </c>
      <c r="C889" s="255" t="s">
        <v>680</v>
      </c>
      <c r="D889" s="255" t="s">
        <v>815</v>
      </c>
      <c r="E889" s="235">
        <v>10.0</v>
      </c>
      <c r="F889" s="264">
        <v>5.0</v>
      </c>
      <c r="G889" s="39">
        <f t="shared" si="1"/>
        <v>3000</v>
      </c>
      <c r="H889" s="13" t="str">
        <f t="shared" si="2"/>
        <v>10 Signed Rep + 5 5-Star Review</v>
      </c>
      <c r="I889" s="14"/>
      <c r="J889" s="14"/>
    </row>
    <row r="890" hidden="1">
      <c r="A890" s="6" t="s">
        <v>266</v>
      </c>
      <c r="B890" s="255" t="s">
        <v>682</v>
      </c>
      <c r="C890" s="255" t="s">
        <v>683</v>
      </c>
      <c r="D890" s="255" t="s">
        <v>684</v>
      </c>
      <c r="E890" s="236">
        <v>11.0</v>
      </c>
      <c r="F890" s="264">
        <v>0.0</v>
      </c>
      <c r="G890" s="39">
        <f t="shared" si="1"/>
        <v>2750</v>
      </c>
      <c r="H890" s="13" t="str">
        <f t="shared" si="2"/>
        <v>11 Signed Rep + 0 5-Star Review</v>
      </c>
      <c r="I890" s="14"/>
      <c r="J890" s="14"/>
    </row>
    <row r="891" hidden="1">
      <c r="A891" s="6" t="s">
        <v>266</v>
      </c>
      <c r="B891" s="255" t="s">
        <v>685</v>
      </c>
      <c r="C891" s="255" t="s">
        <v>686</v>
      </c>
      <c r="D891" s="255" t="s">
        <v>687</v>
      </c>
      <c r="E891" s="235">
        <v>10.0</v>
      </c>
      <c r="F891" s="264">
        <v>0.0</v>
      </c>
      <c r="G891" s="39">
        <f t="shared" si="1"/>
        <v>2500</v>
      </c>
      <c r="H891" s="13" t="str">
        <f t="shared" si="2"/>
        <v>10 Signed Rep + 0 5-Star Review</v>
      </c>
      <c r="I891" s="14"/>
      <c r="J891" s="14"/>
    </row>
    <row r="892" hidden="1">
      <c r="A892" s="6" t="s">
        <v>266</v>
      </c>
      <c r="B892" s="255" t="s">
        <v>688</v>
      </c>
      <c r="C892" s="255" t="s">
        <v>689</v>
      </c>
      <c r="D892" s="255" t="s">
        <v>690</v>
      </c>
      <c r="E892" s="235">
        <v>15.0</v>
      </c>
      <c r="F892" s="264">
        <v>0.0</v>
      </c>
      <c r="G892" s="39">
        <f t="shared" si="1"/>
        <v>3750</v>
      </c>
      <c r="H892" s="13" t="str">
        <f t="shared" si="2"/>
        <v>15 Signed Rep + 0 5-Star Review</v>
      </c>
      <c r="I892" s="14"/>
      <c r="J892" s="14"/>
    </row>
    <row r="893" hidden="1">
      <c r="A893" s="6" t="s">
        <v>266</v>
      </c>
      <c r="B893" s="255" t="s">
        <v>691</v>
      </c>
      <c r="C893" s="255" t="s">
        <v>692</v>
      </c>
      <c r="D893" s="255" t="s">
        <v>693</v>
      </c>
      <c r="E893" s="235">
        <v>9.0</v>
      </c>
      <c r="F893" s="264">
        <v>0.0</v>
      </c>
      <c r="G893" s="39">
        <f t="shared" si="1"/>
        <v>2250</v>
      </c>
      <c r="H893" s="13" t="str">
        <f t="shared" si="2"/>
        <v>9 Signed Rep + 0 5-Star Review</v>
      </c>
      <c r="I893" s="14"/>
      <c r="J893" s="14"/>
    </row>
    <row r="894" hidden="1">
      <c r="A894" s="6" t="s">
        <v>266</v>
      </c>
      <c r="B894" s="255" t="s">
        <v>694</v>
      </c>
      <c r="C894" s="255" t="s">
        <v>695</v>
      </c>
      <c r="D894" s="255" t="s">
        <v>696</v>
      </c>
      <c r="E894" s="235">
        <v>8.0</v>
      </c>
      <c r="F894" s="264">
        <v>0.0</v>
      </c>
      <c r="G894" s="39">
        <f t="shared" si="1"/>
        <v>2000</v>
      </c>
      <c r="H894" s="13" t="str">
        <f t="shared" si="2"/>
        <v>8 Signed Rep + 0 5-Star Review</v>
      </c>
      <c r="I894" s="14"/>
      <c r="J894" s="14"/>
    </row>
    <row r="895" hidden="1">
      <c r="A895" s="6" t="s">
        <v>266</v>
      </c>
      <c r="B895" s="255" t="s">
        <v>697</v>
      </c>
      <c r="C895" s="255" t="s">
        <v>698</v>
      </c>
      <c r="D895" s="255" t="s">
        <v>699</v>
      </c>
      <c r="E895" s="235">
        <v>13.0</v>
      </c>
      <c r="F895" s="264">
        <v>0.0</v>
      </c>
      <c r="G895" s="39">
        <f t="shared" si="1"/>
        <v>3250</v>
      </c>
      <c r="H895" s="13" t="str">
        <f t="shared" si="2"/>
        <v>13 Signed Rep + 0 5-Star Review</v>
      </c>
      <c r="I895" s="14"/>
      <c r="J895" s="14"/>
    </row>
    <row r="896" hidden="1">
      <c r="A896" s="6" t="s">
        <v>266</v>
      </c>
      <c r="B896" s="255" t="s">
        <v>700</v>
      </c>
      <c r="C896" s="255" t="s">
        <v>701</v>
      </c>
      <c r="D896" s="255" t="s">
        <v>702</v>
      </c>
      <c r="E896" s="235">
        <v>13.0</v>
      </c>
      <c r="F896" s="264">
        <v>0.0</v>
      </c>
      <c r="G896" s="39">
        <f t="shared" si="1"/>
        <v>3250</v>
      </c>
      <c r="H896" s="13" t="str">
        <f t="shared" si="2"/>
        <v>13 Signed Rep + 0 5-Star Review</v>
      </c>
      <c r="I896" s="14"/>
      <c r="J896" s="14"/>
    </row>
    <row r="897" hidden="1">
      <c r="A897" s="6" t="s">
        <v>266</v>
      </c>
      <c r="B897" s="255" t="s">
        <v>703</v>
      </c>
      <c r="C897" s="255" t="s">
        <v>704</v>
      </c>
      <c r="D897" s="255" t="s">
        <v>705</v>
      </c>
      <c r="E897" s="235">
        <v>8.0</v>
      </c>
      <c r="F897" s="264">
        <v>1.0</v>
      </c>
      <c r="G897" s="39">
        <f t="shared" si="1"/>
        <v>2100</v>
      </c>
      <c r="H897" s="13" t="str">
        <f t="shared" si="2"/>
        <v>8 Signed Rep + 1 5-Star Review</v>
      </c>
      <c r="I897" s="14"/>
      <c r="J897" s="14"/>
    </row>
    <row r="898" hidden="1">
      <c r="A898" s="6" t="s">
        <v>266</v>
      </c>
      <c r="B898" s="255" t="s">
        <v>706</v>
      </c>
      <c r="C898" s="255" t="s">
        <v>707</v>
      </c>
      <c r="D898" s="255" t="s">
        <v>708</v>
      </c>
      <c r="E898" s="235">
        <v>9.0</v>
      </c>
      <c r="F898" s="264">
        <v>0.0</v>
      </c>
      <c r="G898" s="39">
        <f t="shared" si="1"/>
        <v>2250</v>
      </c>
      <c r="H898" s="13" t="str">
        <f t="shared" si="2"/>
        <v>9 Signed Rep + 0 5-Star Review</v>
      </c>
      <c r="I898" s="14"/>
      <c r="J898" s="14"/>
    </row>
    <row r="899" hidden="1">
      <c r="A899" s="6" t="s">
        <v>266</v>
      </c>
      <c r="B899" s="255" t="s">
        <v>709</v>
      </c>
      <c r="C899" s="255" t="s">
        <v>710</v>
      </c>
      <c r="D899" s="255" t="s">
        <v>711</v>
      </c>
      <c r="E899" s="235">
        <v>12.0</v>
      </c>
      <c r="F899" s="264">
        <v>0.0</v>
      </c>
      <c r="G899" s="39">
        <f t="shared" si="1"/>
        <v>3000</v>
      </c>
      <c r="H899" s="13" t="str">
        <f t="shared" si="2"/>
        <v>12 Signed Rep + 0 5-Star Review</v>
      </c>
      <c r="I899" s="14"/>
      <c r="J899" s="14"/>
    </row>
    <row r="900" hidden="1">
      <c r="A900" s="6" t="s">
        <v>266</v>
      </c>
      <c r="B900" s="255" t="s">
        <v>712</v>
      </c>
      <c r="C900" s="255" t="s">
        <v>713</v>
      </c>
      <c r="D900" s="255" t="s">
        <v>714</v>
      </c>
      <c r="E900" s="235">
        <v>10.0</v>
      </c>
      <c r="F900" s="264">
        <v>5.0</v>
      </c>
      <c r="G900" s="39">
        <f t="shared" si="1"/>
        <v>3000</v>
      </c>
      <c r="H900" s="13" t="str">
        <f t="shared" si="2"/>
        <v>10 Signed Rep + 5 5-Star Review</v>
      </c>
      <c r="I900" s="14"/>
      <c r="J900" s="14"/>
    </row>
    <row r="901" hidden="1">
      <c r="A901" s="6" t="s">
        <v>266</v>
      </c>
      <c r="B901" s="255" t="s">
        <v>799</v>
      </c>
      <c r="C901" s="255" t="s">
        <v>800</v>
      </c>
      <c r="D901" s="255" t="s">
        <v>801</v>
      </c>
      <c r="E901" s="235">
        <v>9.0</v>
      </c>
      <c r="F901" s="264">
        <v>0.0</v>
      </c>
      <c r="G901" s="39">
        <f t="shared" si="1"/>
        <v>2250</v>
      </c>
      <c r="H901" s="13" t="str">
        <f t="shared" si="2"/>
        <v>9 Signed Rep + 0 5-Star Review</v>
      </c>
      <c r="I901" s="14"/>
      <c r="J901" s="14"/>
    </row>
    <row r="902" hidden="1">
      <c r="A902" s="6" t="s">
        <v>266</v>
      </c>
      <c r="B902" s="255" t="s">
        <v>795</v>
      </c>
      <c r="C902" s="255" t="s">
        <v>796</v>
      </c>
      <c r="D902" s="255" t="s">
        <v>797</v>
      </c>
      <c r="E902" s="235">
        <v>12.0</v>
      </c>
      <c r="F902" s="264">
        <v>0.0</v>
      </c>
      <c r="G902" s="39">
        <f t="shared" si="1"/>
        <v>3000</v>
      </c>
      <c r="H902" s="13" t="str">
        <f t="shared" si="2"/>
        <v>12 Signed Rep + 0 5-Star Review</v>
      </c>
      <c r="I902" s="14"/>
      <c r="J902" s="14"/>
    </row>
    <row r="903" hidden="1">
      <c r="A903" s="6" t="s">
        <v>266</v>
      </c>
      <c r="B903" s="255" t="s">
        <v>715</v>
      </c>
      <c r="C903" s="255" t="s">
        <v>716</v>
      </c>
      <c r="D903" s="255" t="s">
        <v>717</v>
      </c>
      <c r="E903" s="235">
        <v>7.0</v>
      </c>
      <c r="F903" s="264">
        <v>0.0</v>
      </c>
      <c r="G903" s="39">
        <f t="shared" si="1"/>
        <v>1750</v>
      </c>
      <c r="H903" s="13" t="str">
        <f t="shared" si="2"/>
        <v>7 Signed Rep + 0 5-Star Review</v>
      </c>
      <c r="I903" s="14"/>
      <c r="J903" s="14"/>
    </row>
    <row r="904" hidden="1">
      <c r="A904" s="6" t="s">
        <v>266</v>
      </c>
      <c r="B904" s="255" t="s">
        <v>718</v>
      </c>
      <c r="C904" s="255" t="s">
        <v>719</v>
      </c>
      <c r="D904" s="255" t="s">
        <v>720</v>
      </c>
      <c r="E904" s="235">
        <v>7.0</v>
      </c>
      <c r="F904" s="264">
        <v>0.0</v>
      </c>
      <c r="G904" s="39">
        <f t="shared" si="1"/>
        <v>1750</v>
      </c>
      <c r="H904" s="13" t="str">
        <f t="shared" si="2"/>
        <v>7 Signed Rep + 0 5-Star Review</v>
      </c>
      <c r="I904" s="14"/>
      <c r="J904" s="14"/>
    </row>
    <row r="905" hidden="1">
      <c r="A905" s="6" t="s">
        <v>266</v>
      </c>
      <c r="B905" s="255" t="s">
        <v>721</v>
      </c>
      <c r="C905" s="255" t="s">
        <v>722</v>
      </c>
      <c r="D905" s="255" t="s">
        <v>723</v>
      </c>
      <c r="E905" s="235">
        <v>13.0</v>
      </c>
      <c r="F905" s="264">
        <v>4.0</v>
      </c>
      <c r="G905" s="39">
        <f t="shared" si="1"/>
        <v>3650</v>
      </c>
      <c r="H905" s="13" t="str">
        <f t="shared" si="2"/>
        <v>13 Signed Rep + 4 5-Star Review</v>
      </c>
      <c r="I905" s="14"/>
      <c r="J905" s="14"/>
    </row>
    <row r="906" hidden="1">
      <c r="A906" s="6" t="s">
        <v>266</v>
      </c>
      <c r="B906" s="257" t="s">
        <v>724</v>
      </c>
      <c r="C906" s="255" t="s">
        <v>725</v>
      </c>
      <c r="D906" s="255" t="s">
        <v>726</v>
      </c>
      <c r="E906" s="235">
        <v>6.0</v>
      </c>
      <c r="F906" s="264">
        <v>0.0</v>
      </c>
      <c r="G906" s="39">
        <f t="shared" si="1"/>
        <v>1500</v>
      </c>
      <c r="H906" s="13" t="str">
        <f t="shared" si="2"/>
        <v>6 Signed Rep + 0 5-Star Review</v>
      </c>
      <c r="I906" s="14"/>
      <c r="J906" s="14"/>
    </row>
    <row r="907" hidden="1">
      <c r="A907" s="6" t="s">
        <v>266</v>
      </c>
      <c r="B907" s="255" t="s">
        <v>727</v>
      </c>
      <c r="C907" s="255" t="s">
        <v>728</v>
      </c>
      <c r="D907" s="255" t="s">
        <v>729</v>
      </c>
      <c r="E907" s="235">
        <v>10.0</v>
      </c>
      <c r="F907" s="264">
        <v>0.0</v>
      </c>
      <c r="G907" s="39">
        <f t="shared" si="1"/>
        <v>2500</v>
      </c>
      <c r="H907" s="13" t="str">
        <f t="shared" si="2"/>
        <v>10 Signed Rep + 0 5-Star Review</v>
      </c>
      <c r="I907" s="14"/>
      <c r="J907" s="14"/>
    </row>
    <row r="908" hidden="1">
      <c r="A908" s="6" t="s">
        <v>266</v>
      </c>
      <c r="B908" s="255" t="s">
        <v>730</v>
      </c>
      <c r="C908" s="255" t="s">
        <v>731</v>
      </c>
      <c r="D908" s="255" t="s">
        <v>732</v>
      </c>
      <c r="E908" s="235">
        <v>10.0</v>
      </c>
      <c r="F908" s="264">
        <v>0.0</v>
      </c>
      <c r="G908" s="39">
        <f t="shared" si="1"/>
        <v>2500</v>
      </c>
      <c r="H908" s="13" t="str">
        <f t="shared" si="2"/>
        <v>10 Signed Rep + 0 5-Star Review</v>
      </c>
      <c r="I908" s="14"/>
      <c r="J908" s="14"/>
    </row>
    <row r="909" hidden="1">
      <c r="A909" s="6" t="s">
        <v>266</v>
      </c>
      <c r="B909" s="255" t="s">
        <v>733</v>
      </c>
      <c r="C909" s="255" t="s">
        <v>734</v>
      </c>
      <c r="D909" s="255" t="s">
        <v>735</v>
      </c>
      <c r="E909" s="235">
        <v>13.0</v>
      </c>
      <c r="F909" s="264">
        <v>0.0</v>
      </c>
      <c r="G909" s="39">
        <f t="shared" si="1"/>
        <v>3250</v>
      </c>
      <c r="H909" s="13" t="str">
        <f t="shared" si="2"/>
        <v>13 Signed Rep + 0 5-Star Review</v>
      </c>
      <c r="I909" s="14"/>
      <c r="J909" s="14"/>
    </row>
    <row r="910" hidden="1">
      <c r="A910" s="6" t="s">
        <v>266</v>
      </c>
      <c r="B910" s="255" t="s">
        <v>736</v>
      </c>
      <c r="C910" s="255" t="s">
        <v>737</v>
      </c>
      <c r="D910" s="255" t="s">
        <v>738</v>
      </c>
      <c r="E910" s="235">
        <v>10.0</v>
      </c>
      <c r="F910" s="264">
        <v>2.0</v>
      </c>
      <c r="G910" s="39">
        <f t="shared" si="1"/>
        <v>2700</v>
      </c>
      <c r="H910" s="13" t="str">
        <f t="shared" si="2"/>
        <v>10 Signed Rep + 2 5-Star Review</v>
      </c>
      <c r="I910" s="14"/>
      <c r="J910" s="14"/>
    </row>
    <row r="911" hidden="1">
      <c r="A911" s="6" t="s">
        <v>266</v>
      </c>
      <c r="B911" s="255" t="s">
        <v>739</v>
      </c>
      <c r="C911" s="255" t="s">
        <v>740</v>
      </c>
      <c r="D911" s="255" t="s">
        <v>741</v>
      </c>
      <c r="E911" s="235">
        <v>9.0</v>
      </c>
      <c r="F911" s="264">
        <v>0.0</v>
      </c>
      <c r="G911" s="39">
        <f t="shared" si="1"/>
        <v>2250</v>
      </c>
      <c r="H911" s="13" t="str">
        <f t="shared" si="2"/>
        <v>9 Signed Rep + 0 5-Star Review</v>
      </c>
      <c r="I911" s="14"/>
      <c r="J911" s="14"/>
    </row>
    <row r="912" hidden="1">
      <c r="A912" s="6" t="s">
        <v>266</v>
      </c>
      <c r="B912" s="255" t="s">
        <v>742</v>
      </c>
      <c r="C912" s="255" t="s">
        <v>743</v>
      </c>
      <c r="D912" s="255" t="s">
        <v>744</v>
      </c>
      <c r="E912" s="235">
        <v>8.0</v>
      </c>
      <c r="F912" s="264">
        <v>3.0</v>
      </c>
      <c r="G912" s="39">
        <f t="shared" si="1"/>
        <v>2300</v>
      </c>
      <c r="H912" s="13" t="str">
        <f t="shared" si="2"/>
        <v>8 Signed Rep + 3 5-Star Review</v>
      </c>
      <c r="I912" s="14"/>
      <c r="J912" s="14"/>
    </row>
    <row r="913" hidden="1">
      <c r="A913" s="6" t="s">
        <v>266</v>
      </c>
      <c r="B913" s="255" t="s">
        <v>816</v>
      </c>
      <c r="C913" s="255" t="s">
        <v>817</v>
      </c>
      <c r="D913" s="255" t="s">
        <v>818</v>
      </c>
      <c r="E913" s="235">
        <v>3.0</v>
      </c>
      <c r="F913" s="264">
        <v>0.0</v>
      </c>
      <c r="G913" s="39">
        <f t="shared" si="1"/>
        <v>750</v>
      </c>
      <c r="H913" s="13" t="str">
        <f t="shared" si="2"/>
        <v>3 Signed Rep + 0 5-Star Review</v>
      </c>
      <c r="I913" s="14"/>
      <c r="J913" s="14"/>
    </row>
    <row r="914" hidden="1">
      <c r="A914" s="6" t="s">
        <v>266</v>
      </c>
      <c r="B914" s="254" t="s">
        <v>745</v>
      </c>
      <c r="C914" s="255" t="s">
        <v>746</v>
      </c>
      <c r="D914" s="255" t="s">
        <v>747</v>
      </c>
      <c r="E914" s="235">
        <v>10.0</v>
      </c>
      <c r="F914" s="264">
        <v>0.0</v>
      </c>
      <c r="G914" s="39">
        <f t="shared" si="1"/>
        <v>2500</v>
      </c>
      <c r="H914" s="13" t="str">
        <f t="shared" si="2"/>
        <v>10 Signed Rep + 0 5-Star Review</v>
      </c>
      <c r="I914" s="14"/>
      <c r="J914" s="14"/>
    </row>
    <row r="915" hidden="1">
      <c r="A915" s="6" t="s">
        <v>266</v>
      </c>
      <c r="B915" s="255" t="s">
        <v>748</v>
      </c>
      <c r="C915" s="255" t="s">
        <v>749</v>
      </c>
      <c r="D915" s="255" t="s">
        <v>750</v>
      </c>
      <c r="E915" s="235">
        <v>10.0</v>
      </c>
      <c r="F915" s="264">
        <v>0.0</v>
      </c>
      <c r="G915" s="39">
        <f t="shared" si="1"/>
        <v>2500</v>
      </c>
      <c r="H915" s="13" t="str">
        <f t="shared" si="2"/>
        <v>10 Signed Rep + 0 5-Star Review</v>
      </c>
      <c r="I915" s="14"/>
      <c r="J915" s="14"/>
    </row>
    <row r="916" hidden="1">
      <c r="A916" s="6" t="s">
        <v>266</v>
      </c>
      <c r="B916" s="255" t="s">
        <v>788</v>
      </c>
      <c r="C916" s="255" t="s">
        <v>789</v>
      </c>
      <c r="D916" s="255" t="s">
        <v>790</v>
      </c>
      <c r="E916" s="235">
        <v>9.0</v>
      </c>
      <c r="F916" s="264">
        <v>0.0</v>
      </c>
      <c r="G916" s="39">
        <f t="shared" si="1"/>
        <v>2250</v>
      </c>
      <c r="H916" s="13" t="str">
        <f t="shared" si="2"/>
        <v>9 Signed Rep + 0 5-Star Review</v>
      </c>
      <c r="I916" s="14"/>
      <c r="J916" s="14"/>
    </row>
    <row r="917" hidden="1">
      <c r="A917" s="6" t="s">
        <v>266</v>
      </c>
      <c r="B917" s="255" t="s">
        <v>751</v>
      </c>
      <c r="C917" s="255" t="s">
        <v>752</v>
      </c>
      <c r="D917" s="255" t="s">
        <v>753</v>
      </c>
      <c r="E917" s="235">
        <v>10.0</v>
      </c>
      <c r="F917" s="264">
        <v>0.0</v>
      </c>
      <c r="G917" s="39">
        <f t="shared" si="1"/>
        <v>2500</v>
      </c>
      <c r="H917" s="13" t="str">
        <f t="shared" si="2"/>
        <v>10 Signed Rep + 0 5-Star Review</v>
      </c>
      <c r="I917" s="14"/>
      <c r="J917" s="14"/>
    </row>
    <row r="918" hidden="1">
      <c r="A918" s="6" t="s">
        <v>266</v>
      </c>
      <c r="B918" s="255" t="s">
        <v>754</v>
      </c>
      <c r="C918" s="255" t="s">
        <v>755</v>
      </c>
      <c r="D918" s="255" t="s">
        <v>756</v>
      </c>
      <c r="E918" s="235">
        <v>5.0</v>
      </c>
      <c r="F918" s="264">
        <v>0.0</v>
      </c>
      <c r="G918" s="39">
        <f t="shared" si="1"/>
        <v>1250</v>
      </c>
      <c r="H918" s="13" t="str">
        <f t="shared" si="2"/>
        <v>5 Signed Rep + 0 5-Star Review</v>
      </c>
      <c r="I918" s="14"/>
      <c r="J918" s="14"/>
    </row>
    <row r="919" hidden="1">
      <c r="A919" s="6" t="s">
        <v>266</v>
      </c>
      <c r="B919" s="254" t="s">
        <v>757</v>
      </c>
      <c r="C919" s="255" t="s">
        <v>758</v>
      </c>
      <c r="D919" s="255" t="s">
        <v>759</v>
      </c>
      <c r="E919" s="235">
        <v>18.0</v>
      </c>
      <c r="F919" s="264">
        <v>14.0</v>
      </c>
      <c r="G919" s="39">
        <f t="shared" si="1"/>
        <v>5900</v>
      </c>
      <c r="H919" s="13" t="str">
        <f t="shared" si="2"/>
        <v>18 Signed Rep + 14 5-Star Review</v>
      </c>
      <c r="I919" s="23"/>
      <c r="J919" s="23"/>
    </row>
    <row r="920" hidden="1">
      <c r="A920" s="6" t="s">
        <v>266</v>
      </c>
      <c r="B920" s="255" t="s">
        <v>219</v>
      </c>
      <c r="C920" s="255" t="s">
        <v>220</v>
      </c>
      <c r="D920" s="255" t="s">
        <v>760</v>
      </c>
      <c r="E920" s="236">
        <v>9.0</v>
      </c>
      <c r="F920" s="264">
        <v>0.0</v>
      </c>
      <c r="G920" s="39">
        <f t="shared" si="1"/>
        <v>2250</v>
      </c>
      <c r="H920" s="13" t="str">
        <f t="shared" si="2"/>
        <v>9 Signed Rep + 0 5-Star Review</v>
      </c>
      <c r="I920" s="14"/>
      <c r="J920" s="14"/>
    </row>
    <row r="921" hidden="1">
      <c r="A921" s="6" t="s">
        <v>270</v>
      </c>
      <c r="B921" s="255" t="s">
        <v>639</v>
      </c>
      <c r="C921" s="255" t="s">
        <v>640</v>
      </c>
      <c r="D921" s="255" t="s">
        <v>641</v>
      </c>
      <c r="E921" s="235">
        <v>5.0</v>
      </c>
      <c r="F921" s="264">
        <v>0.0</v>
      </c>
      <c r="G921" s="39">
        <f t="shared" si="1"/>
        <v>1250</v>
      </c>
      <c r="H921" s="13" t="str">
        <f t="shared" si="2"/>
        <v>5 Signed Rep + 0 5-Star Review</v>
      </c>
      <c r="I921" s="14"/>
      <c r="J921" s="14"/>
    </row>
    <row r="922" hidden="1">
      <c r="A922" s="6" t="s">
        <v>270</v>
      </c>
      <c r="B922" s="255" t="s">
        <v>642</v>
      </c>
      <c r="C922" s="255" t="s">
        <v>643</v>
      </c>
      <c r="D922" s="255" t="s">
        <v>644</v>
      </c>
      <c r="E922" s="235">
        <v>5.0</v>
      </c>
      <c r="F922" s="264">
        <v>0.0</v>
      </c>
      <c r="G922" s="39">
        <f t="shared" si="1"/>
        <v>1250</v>
      </c>
      <c r="H922" s="13" t="str">
        <f t="shared" si="2"/>
        <v>5 Signed Rep + 0 5-Star Review</v>
      </c>
      <c r="I922" s="14"/>
      <c r="J922" s="14"/>
    </row>
    <row r="923" hidden="1">
      <c r="A923" s="6" t="s">
        <v>270</v>
      </c>
      <c r="B923" s="255" t="s">
        <v>645</v>
      </c>
      <c r="C923" s="255" t="s">
        <v>646</v>
      </c>
      <c r="D923" s="255" t="s">
        <v>647</v>
      </c>
      <c r="E923" s="235">
        <v>7.0</v>
      </c>
      <c r="F923" s="264">
        <v>0.0</v>
      </c>
      <c r="G923" s="39">
        <f t="shared" si="1"/>
        <v>1750</v>
      </c>
      <c r="H923" s="13" t="str">
        <f t="shared" si="2"/>
        <v>7 Signed Rep + 0 5-Star Review</v>
      </c>
      <c r="I923" s="14"/>
      <c r="J923" s="14"/>
    </row>
    <row r="924" hidden="1">
      <c r="A924" s="6" t="s">
        <v>270</v>
      </c>
      <c r="B924" s="255" t="s">
        <v>648</v>
      </c>
      <c r="C924" s="255" t="s">
        <v>649</v>
      </c>
      <c r="D924" s="255" t="s">
        <v>650</v>
      </c>
      <c r="E924" s="236">
        <v>10.0</v>
      </c>
      <c r="F924" s="264">
        <v>0.0</v>
      </c>
      <c r="G924" s="39">
        <f t="shared" si="1"/>
        <v>2500</v>
      </c>
      <c r="H924" s="13" t="str">
        <f t="shared" si="2"/>
        <v>10 Signed Rep + 0 5-Star Review</v>
      </c>
      <c r="I924" s="14"/>
      <c r="J924" s="14"/>
    </row>
    <row r="925" hidden="1">
      <c r="A925" s="6" t="s">
        <v>270</v>
      </c>
      <c r="B925" s="255" t="s">
        <v>651</v>
      </c>
      <c r="C925" s="255" t="s">
        <v>652</v>
      </c>
      <c r="D925" s="255" t="s">
        <v>653</v>
      </c>
      <c r="E925" s="235">
        <v>7.0</v>
      </c>
      <c r="F925" s="264">
        <v>0.0</v>
      </c>
      <c r="G925" s="39">
        <f t="shared" si="1"/>
        <v>1750</v>
      </c>
      <c r="H925" s="13" t="str">
        <f t="shared" si="2"/>
        <v>7 Signed Rep + 0 5-Star Review</v>
      </c>
      <c r="I925" s="14"/>
      <c r="J925" s="14"/>
    </row>
    <row r="926" hidden="1">
      <c r="A926" s="6" t="s">
        <v>270</v>
      </c>
      <c r="B926" s="255" t="s">
        <v>809</v>
      </c>
      <c r="C926" s="255" t="s">
        <v>810</v>
      </c>
      <c r="D926" s="255" t="s">
        <v>811</v>
      </c>
      <c r="E926" s="235">
        <v>2.0</v>
      </c>
      <c r="F926" s="264">
        <v>0.0</v>
      </c>
      <c r="G926" s="39">
        <f t="shared" si="1"/>
        <v>500</v>
      </c>
      <c r="H926" s="13" t="str">
        <f t="shared" si="2"/>
        <v>2 Signed Rep + 0 5-Star Review</v>
      </c>
      <c r="I926" s="14"/>
      <c r="J926" s="14"/>
    </row>
    <row r="927" hidden="1">
      <c r="A927" s="6" t="s">
        <v>270</v>
      </c>
      <c r="B927" s="255" t="s">
        <v>654</v>
      </c>
      <c r="C927" s="255" t="s">
        <v>655</v>
      </c>
      <c r="D927" s="255" t="s">
        <v>656</v>
      </c>
      <c r="E927" s="236">
        <v>10.0</v>
      </c>
      <c r="F927" s="264">
        <v>0.0</v>
      </c>
      <c r="G927" s="39">
        <f t="shared" si="1"/>
        <v>2500</v>
      </c>
      <c r="H927" s="13" t="str">
        <f t="shared" si="2"/>
        <v>10 Signed Rep + 0 5-Star Review</v>
      </c>
      <c r="I927" s="14"/>
      <c r="J927" s="14"/>
    </row>
    <row r="928" hidden="1">
      <c r="A928" s="6" t="s">
        <v>270</v>
      </c>
      <c r="B928" s="255" t="s">
        <v>812</v>
      </c>
      <c r="C928" s="255" t="s">
        <v>813</v>
      </c>
      <c r="D928" s="255" t="s">
        <v>814</v>
      </c>
      <c r="E928" s="235">
        <v>1.0</v>
      </c>
      <c r="F928" s="264">
        <v>0.0</v>
      </c>
      <c r="G928" s="39">
        <f t="shared" si="1"/>
        <v>250</v>
      </c>
      <c r="H928" s="13" t="str">
        <f t="shared" si="2"/>
        <v>1 Signed Rep + 0 5-Star Review</v>
      </c>
      <c r="I928" s="14"/>
      <c r="J928" s="14"/>
    </row>
    <row r="929" hidden="1">
      <c r="A929" s="6" t="s">
        <v>270</v>
      </c>
      <c r="B929" s="255" t="s">
        <v>657</v>
      </c>
      <c r="C929" s="255" t="s">
        <v>658</v>
      </c>
      <c r="D929" s="255" t="s">
        <v>659</v>
      </c>
      <c r="E929" s="235">
        <v>13.0</v>
      </c>
      <c r="F929" s="264">
        <v>0.0</v>
      </c>
      <c r="G929" s="39">
        <f t="shared" si="1"/>
        <v>3250</v>
      </c>
      <c r="H929" s="13" t="str">
        <f t="shared" si="2"/>
        <v>13 Signed Rep + 0 5-Star Review</v>
      </c>
      <c r="I929" s="14"/>
      <c r="J929" s="14"/>
    </row>
    <row r="930" hidden="1">
      <c r="A930" s="6" t="s">
        <v>270</v>
      </c>
      <c r="B930" s="255" t="s">
        <v>213</v>
      </c>
      <c r="C930" s="255" t="s">
        <v>214</v>
      </c>
      <c r="D930" s="255" t="s">
        <v>660</v>
      </c>
      <c r="E930" s="235">
        <v>10.0</v>
      </c>
      <c r="F930" s="264">
        <v>0.0</v>
      </c>
      <c r="G930" s="39">
        <f t="shared" si="1"/>
        <v>2500</v>
      </c>
      <c r="H930" s="13" t="str">
        <f t="shared" si="2"/>
        <v>10 Signed Rep + 0 5-Star Review</v>
      </c>
      <c r="I930" s="14"/>
      <c r="J930" s="14"/>
    </row>
    <row r="931" hidden="1">
      <c r="A931" s="6" t="s">
        <v>270</v>
      </c>
      <c r="B931" s="255" t="s">
        <v>661</v>
      </c>
      <c r="C931" s="255" t="s">
        <v>662</v>
      </c>
      <c r="D931" s="255" t="s">
        <v>663</v>
      </c>
      <c r="E931" s="235">
        <v>17.0</v>
      </c>
      <c r="F931" s="264">
        <v>10.0</v>
      </c>
      <c r="G931" s="39">
        <f t="shared" si="1"/>
        <v>5250</v>
      </c>
      <c r="H931" s="13" t="str">
        <f t="shared" si="2"/>
        <v>17 Signed Rep + 10 5-Star Review</v>
      </c>
      <c r="I931" s="14"/>
      <c r="J931" s="14"/>
    </row>
    <row r="932" hidden="1">
      <c r="A932" s="6" t="s">
        <v>270</v>
      </c>
      <c r="B932" s="255" t="s">
        <v>664</v>
      </c>
      <c r="C932" s="255" t="s">
        <v>665</v>
      </c>
      <c r="D932" s="255" t="s">
        <v>666</v>
      </c>
      <c r="E932" s="235">
        <v>23.0</v>
      </c>
      <c r="F932" s="264">
        <v>0.0</v>
      </c>
      <c r="G932" s="39">
        <f t="shared" si="1"/>
        <v>5750</v>
      </c>
      <c r="H932" s="13" t="str">
        <f t="shared" si="2"/>
        <v>23 Signed Rep + 0 5-Star Review</v>
      </c>
      <c r="I932" s="14"/>
      <c r="J932" s="14"/>
    </row>
    <row r="933" hidden="1">
      <c r="A933" s="6" t="s">
        <v>270</v>
      </c>
      <c r="B933" s="255" t="s">
        <v>667</v>
      </c>
      <c r="C933" s="255" t="s">
        <v>668</v>
      </c>
      <c r="D933" s="255" t="s">
        <v>669</v>
      </c>
      <c r="E933" s="235">
        <v>10.0</v>
      </c>
      <c r="F933" s="264">
        <v>1.0</v>
      </c>
      <c r="G933" s="39">
        <f t="shared" si="1"/>
        <v>2600</v>
      </c>
      <c r="H933" s="13" t="str">
        <f t="shared" si="2"/>
        <v>10 Signed Rep + 1 5-Star Review</v>
      </c>
      <c r="I933" s="14"/>
      <c r="J933" s="14"/>
    </row>
    <row r="934" hidden="1">
      <c r="A934" s="6" t="s">
        <v>270</v>
      </c>
      <c r="B934" s="255" t="s">
        <v>670</v>
      </c>
      <c r="C934" s="255" t="s">
        <v>671</v>
      </c>
      <c r="D934" s="255" t="s">
        <v>672</v>
      </c>
      <c r="E934" s="235">
        <v>14.0</v>
      </c>
      <c r="F934" s="264">
        <v>0.0</v>
      </c>
      <c r="G934" s="39">
        <f t="shared" si="1"/>
        <v>3500</v>
      </c>
      <c r="H934" s="13" t="str">
        <f t="shared" si="2"/>
        <v>14 Signed Rep + 0 5-Star Review</v>
      </c>
      <c r="I934" s="14"/>
      <c r="J934" s="14"/>
    </row>
    <row r="935" hidden="1">
      <c r="A935" s="6" t="s">
        <v>270</v>
      </c>
      <c r="B935" s="255" t="s">
        <v>673</v>
      </c>
      <c r="C935" s="255" t="s">
        <v>674</v>
      </c>
      <c r="D935" s="255" t="s">
        <v>675</v>
      </c>
      <c r="E935" s="235">
        <v>6.0</v>
      </c>
      <c r="F935" s="264">
        <v>2.0</v>
      </c>
      <c r="G935" s="39">
        <f t="shared" si="1"/>
        <v>1700</v>
      </c>
      <c r="H935" s="13" t="str">
        <f t="shared" si="2"/>
        <v>6 Signed Rep + 2 5-Star Review</v>
      </c>
      <c r="I935" s="14"/>
      <c r="J935" s="14"/>
    </row>
    <row r="936" hidden="1">
      <c r="A936" s="6" t="s">
        <v>270</v>
      </c>
      <c r="B936" s="255" t="s">
        <v>676</v>
      </c>
      <c r="C936" s="255" t="s">
        <v>677</v>
      </c>
      <c r="D936" s="255" t="s">
        <v>678</v>
      </c>
      <c r="E936" s="235">
        <v>5.0</v>
      </c>
      <c r="F936" s="264">
        <v>0.0</v>
      </c>
      <c r="G936" s="39">
        <f t="shared" si="1"/>
        <v>1250</v>
      </c>
      <c r="H936" s="13" t="str">
        <f t="shared" si="2"/>
        <v>5 Signed Rep + 0 5-Star Review</v>
      </c>
      <c r="I936" s="14"/>
      <c r="J936" s="14"/>
    </row>
    <row r="937" hidden="1">
      <c r="A937" s="6" t="s">
        <v>270</v>
      </c>
      <c r="B937" s="255" t="s">
        <v>679</v>
      </c>
      <c r="C937" s="255" t="s">
        <v>680</v>
      </c>
      <c r="D937" s="255" t="s">
        <v>819</v>
      </c>
      <c r="E937" s="235">
        <v>11.0</v>
      </c>
      <c r="F937" s="264">
        <v>6.0</v>
      </c>
      <c r="G937" s="39">
        <f t="shared" si="1"/>
        <v>3350</v>
      </c>
      <c r="H937" s="13" t="str">
        <f t="shared" si="2"/>
        <v>11 Signed Rep + 6 5-Star Review</v>
      </c>
      <c r="I937" s="14"/>
      <c r="J937" s="14"/>
    </row>
    <row r="938" hidden="1">
      <c r="A938" s="6" t="s">
        <v>270</v>
      </c>
      <c r="B938" s="255" t="s">
        <v>682</v>
      </c>
      <c r="C938" s="255" t="s">
        <v>683</v>
      </c>
      <c r="D938" s="255" t="s">
        <v>684</v>
      </c>
      <c r="E938" s="236">
        <v>9.0</v>
      </c>
      <c r="F938" s="264">
        <v>0.0</v>
      </c>
      <c r="G938" s="39">
        <f t="shared" si="1"/>
        <v>2250</v>
      </c>
      <c r="H938" s="13" t="str">
        <f t="shared" si="2"/>
        <v>9 Signed Rep + 0 5-Star Review</v>
      </c>
      <c r="I938" s="14"/>
      <c r="J938" s="14"/>
    </row>
    <row r="939" hidden="1">
      <c r="A939" s="6" t="s">
        <v>270</v>
      </c>
      <c r="B939" s="255" t="s">
        <v>685</v>
      </c>
      <c r="C939" s="255" t="s">
        <v>686</v>
      </c>
      <c r="D939" s="255" t="s">
        <v>687</v>
      </c>
      <c r="E939" s="235">
        <v>9.0</v>
      </c>
      <c r="F939" s="264">
        <v>0.0</v>
      </c>
      <c r="G939" s="39">
        <f t="shared" si="1"/>
        <v>2250</v>
      </c>
      <c r="H939" s="13" t="str">
        <f t="shared" si="2"/>
        <v>9 Signed Rep + 0 5-Star Review</v>
      </c>
      <c r="I939" s="14"/>
      <c r="J939" s="14"/>
    </row>
    <row r="940" hidden="1">
      <c r="A940" s="6" t="s">
        <v>270</v>
      </c>
      <c r="B940" s="255" t="s">
        <v>688</v>
      </c>
      <c r="C940" s="255" t="s">
        <v>689</v>
      </c>
      <c r="D940" s="255" t="s">
        <v>690</v>
      </c>
      <c r="E940" s="235">
        <v>18.0</v>
      </c>
      <c r="F940" s="264">
        <v>0.0</v>
      </c>
      <c r="G940" s="39">
        <f t="shared" si="1"/>
        <v>4500</v>
      </c>
      <c r="H940" s="13" t="str">
        <f t="shared" si="2"/>
        <v>18 Signed Rep + 0 5-Star Review</v>
      </c>
      <c r="I940" s="14"/>
      <c r="J940" s="14"/>
    </row>
    <row r="941" hidden="1">
      <c r="A941" s="6" t="s">
        <v>270</v>
      </c>
      <c r="B941" s="255" t="s">
        <v>691</v>
      </c>
      <c r="C941" s="255" t="s">
        <v>692</v>
      </c>
      <c r="D941" s="255" t="s">
        <v>693</v>
      </c>
      <c r="E941" s="235">
        <v>7.0</v>
      </c>
      <c r="F941" s="264">
        <v>0.0</v>
      </c>
      <c r="G941" s="39">
        <f t="shared" si="1"/>
        <v>1750</v>
      </c>
      <c r="H941" s="13" t="str">
        <f t="shared" si="2"/>
        <v>7 Signed Rep + 0 5-Star Review</v>
      </c>
      <c r="I941" s="14"/>
      <c r="J941" s="14"/>
    </row>
    <row r="942" hidden="1">
      <c r="A942" s="6" t="s">
        <v>270</v>
      </c>
      <c r="B942" s="255" t="s">
        <v>694</v>
      </c>
      <c r="C942" s="255" t="s">
        <v>695</v>
      </c>
      <c r="D942" s="255" t="s">
        <v>696</v>
      </c>
      <c r="E942" s="235">
        <v>10.0</v>
      </c>
      <c r="F942" s="264">
        <v>1.0</v>
      </c>
      <c r="G942" s="39">
        <f t="shared" si="1"/>
        <v>2600</v>
      </c>
      <c r="H942" s="13" t="str">
        <f t="shared" si="2"/>
        <v>10 Signed Rep + 1 5-Star Review</v>
      </c>
      <c r="I942" s="14"/>
      <c r="J942" s="14"/>
    </row>
    <row r="943" hidden="1">
      <c r="A943" s="6" t="s">
        <v>270</v>
      </c>
      <c r="B943" s="255" t="s">
        <v>697</v>
      </c>
      <c r="C943" s="255" t="s">
        <v>698</v>
      </c>
      <c r="D943" s="255" t="s">
        <v>699</v>
      </c>
      <c r="E943" s="235">
        <v>10.0</v>
      </c>
      <c r="F943" s="264">
        <v>0.0</v>
      </c>
      <c r="G943" s="39">
        <f t="shared" si="1"/>
        <v>2500</v>
      </c>
      <c r="H943" s="13" t="str">
        <f t="shared" si="2"/>
        <v>10 Signed Rep + 0 5-Star Review</v>
      </c>
      <c r="I943" s="14"/>
      <c r="J943" s="14"/>
    </row>
    <row r="944" hidden="1">
      <c r="A944" s="6" t="s">
        <v>270</v>
      </c>
      <c r="B944" s="255" t="s">
        <v>700</v>
      </c>
      <c r="C944" s="255" t="s">
        <v>701</v>
      </c>
      <c r="D944" s="255" t="s">
        <v>702</v>
      </c>
      <c r="E944" s="235">
        <v>7.0</v>
      </c>
      <c r="F944" s="264">
        <v>0.0</v>
      </c>
      <c r="G944" s="39">
        <f t="shared" si="1"/>
        <v>1750</v>
      </c>
      <c r="H944" s="13" t="str">
        <f t="shared" si="2"/>
        <v>7 Signed Rep + 0 5-Star Review</v>
      </c>
      <c r="I944" s="14"/>
      <c r="J944" s="14"/>
    </row>
    <row r="945" hidden="1">
      <c r="A945" s="6" t="s">
        <v>270</v>
      </c>
      <c r="B945" s="255" t="s">
        <v>703</v>
      </c>
      <c r="C945" s="255" t="s">
        <v>704</v>
      </c>
      <c r="D945" s="255" t="s">
        <v>705</v>
      </c>
      <c r="E945" s="235">
        <v>10.0</v>
      </c>
      <c r="F945" s="264">
        <v>2.0</v>
      </c>
      <c r="G945" s="39">
        <f t="shared" si="1"/>
        <v>2700</v>
      </c>
      <c r="H945" s="13" t="str">
        <f t="shared" si="2"/>
        <v>10 Signed Rep + 2 5-Star Review</v>
      </c>
      <c r="I945" s="14"/>
      <c r="J945" s="14"/>
    </row>
    <row r="946" hidden="1">
      <c r="A946" s="6" t="s">
        <v>270</v>
      </c>
      <c r="B946" s="255" t="s">
        <v>706</v>
      </c>
      <c r="C946" s="255" t="s">
        <v>707</v>
      </c>
      <c r="D946" s="255" t="s">
        <v>708</v>
      </c>
      <c r="E946" s="235">
        <v>5.0</v>
      </c>
      <c r="F946" s="264">
        <v>0.0</v>
      </c>
      <c r="G946" s="39">
        <f t="shared" si="1"/>
        <v>1250</v>
      </c>
      <c r="H946" s="13" t="str">
        <f t="shared" si="2"/>
        <v>5 Signed Rep + 0 5-Star Review</v>
      </c>
      <c r="I946" s="14"/>
      <c r="J946" s="14"/>
    </row>
    <row r="947" hidden="1">
      <c r="A947" s="6" t="s">
        <v>270</v>
      </c>
      <c r="B947" s="255" t="s">
        <v>709</v>
      </c>
      <c r="C947" s="255" t="s">
        <v>710</v>
      </c>
      <c r="D947" s="255" t="s">
        <v>711</v>
      </c>
      <c r="E947" s="235">
        <v>8.0</v>
      </c>
      <c r="F947" s="264">
        <v>0.0</v>
      </c>
      <c r="G947" s="39">
        <f t="shared" si="1"/>
        <v>2000</v>
      </c>
      <c r="H947" s="13" t="str">
        <f t="shared" si="2"/>
        <v>8 Signed Rep + 0 5-Star Review</v>
      </c>
      <c r="I947" s="14"/>
      <c r="J947" s="14"/>
    </row>
    <row r="948" hidden="1">
      <c r="A948" s="6" t="s">
        <v>270</v>
      </c>
      <c r="B948" s="255" t="s">
        <v>712</v>
      </c>
      <c r="C948" s="255" t="s">
        <v>713</v>
      </c>
      <c r="D948" s="255" t="s">
        <v>714</v>
      </c>
      <c r="E948" s="235">
        <v>6.0</v>
      </c>
      <c r="F948" s="264">
        <v>4.0</v>
      </c>
      <c r="G948" s="39">
        <f t="shared" si="1"/>
        <v>1900</v>
      </c>
      <c r="H948" s="13" t="str">
        <f t="shared" si="2"/>
        <v>6 Signed Rep + 4 5-Star Review</v>
      </c>
      <c r="I948" s="14"/>
      <c r="J948" s="14"/>
    </row>
    <row r="949" hidden="1">
      <c r="A949" s="6" t="s">
        <v>270</v>
      </c>
      <c r="B949" s="255" t="s">
        <v>799</v>
      </c>
      <c r="C949" s="255" t="s">
        <v>800</v>
      </c>
      <c r="D949" s="255" t="s">
        <v>801</v>
      </c>
      <c r="E949" s="235">
        <v>9.0</v>
      </c>
      <c r="F949" s="264">
        <v>0.0</v>
      </c>
      <c r="G949" s="39">
        <f t="shared" si="1"/>
        <v>2250</v>
      </c>
      <c r="H949" s="13" t="str">
        <f t="shared" si="2"/>
        <v>9 Signed Rep + 0 5-Star Review</v>
      </c>
      <c r="I949" s="14"/>
      <c r="J949" s="14"/>
    </row>
    <row r="950" hidden="1">
      <c r="A950" s="6" t="s">
        <v>270</v>
      </c>
      <c r="B950" s="255" t="s">
        <v>795</v>
      </c>
      <c r="C950" s="255" t="s">
        <v>796</v>
      </c>
      <c r="D950" s="255" t="s">
        <v>797</v>
      </c>
      <c r="E950" s="235">
        <v>12.0</v>
      </c>
      <c r="F950" s="264">
        <v>0.0</v>
      </c>
      <c r="G950" s="39">
        <f t="shared" si="1"/>
        <v>3000</v>
      </c>
      <c r="H950" s="13" t="str">
        <f t="shared" si="2"/>
        <v>12 Signed Rep + 0 5-Star Review</v>
      </c>
      <c r="I950" s="14"/>
      <c r="J950" s="14"/>
    </row>
    <row r="951" hidden="1">
      <c r="A951" s="6" t="s">
        <v>270</v>
      </c>
      <c r="B951" s="255" t="s">
        <v>715</v>
      </c>
      <c r="C951" s="255" t="s">
        <v>716</v>
      </c>
      <c r="D951" s="255" t="s">
        <v>717</v>
      </c>
      <c r="E951" s="235">
        <v>8.0</v>
      </c>
      <c r="F951" s="264">
        <v>0.0</v>
      </c>
      <c r="G951" s="39">
        <f t="shared" si="1"/>
        <v>2000</v>
      </c>
      <c r="H951" s="13" t="str">
        <f t="shared" si="2"/>
        <v>8 Signed Rep + 0 5-Star Review</v>
      </c>
      <c r="I951" s="14"/>
      <c r="J951" s="14"/>
    </row>
    <row r="952" hidden="1">
      <c r="A952" s="6" t="s">
        <v>270</v>
      </c>
      <c r="B952" s="255" t="s">
        <v>718</v>
      </c>
      <c r="C952" s="255" t="s">
        <v>719</v>
      </c>
      <c r="D952" s="255" t="s">
        <v>720</v>
      </c>
      <c r="E952" s="235">
        <v>5.0</v>
      </c>
      <c r="F952" s="264">
        <v>0.0</v>
      </c>
      <c r="G952" s="39">
        <f t="shared" si="1"/>
        <v>1250</v>
      </c>
      <c r="H952" s="13" t="str">
        <f t="shared" si="2"/>
        <v>5 Signed Rep + 0 5-Star Review</v>
      </c>
      <c r="I952" s="14"/>
      <c r="J952" s="14"/>
    </row>
    <row r="953" hidden="1">
      <c r="A953" s="6" t="s">
        <v>270</v>
      </c>
      <c r="B953" s="255" t="s">
        <v>721</v>
      </c>
      <c r="C953" s="255" t="s">
        <v>722</v>
      </c>
      <c r="D953" s="255" t="s">
        <v>723</v>
      </c>
      <c r="E953" s="235">
        <v>12.0</v>
      </c>
      <c r="F953" s="264">
        <v>3.0</v>
      </c>
      <c r="G953" s="39">
        <f t="shared" si="1"/>
        <v>3300</v>
      </c>
      <c r="H953" s="13" t="str">
        <f t="shared" si="2"/>
        <v>12 Signed Rep + 3 5-Star Review</v>
      </c>
      <c r="I953" s="14"/>
      <c r="J953" s="14"/>
    </row>
    <row r="954" hidden="1">
      <c r="A954" s="6" t="s">
        <v>270</v>
      </c>
      <c r="B954" s="257" t="s">
        <v>724</v>
      </c>
      <c r="C954" s="255" t="s">
        <v>725</v>
      </c>
      <c r="D954" s="255" t="s">
        <v>726</v>
      </c>
      <c r="E954" s="235">
        <v>5.0</v>
      </c>
      <c r="F954" s="264">
        <v>0.0</v>
      </c>
      <c r="G954" s="39">
        <f t="shared" si="1"/>
        <v>1250</v>
      </c>
      <c r="H954" s="13" t="str">
        <f t="shared" si="2"/>
        <v>5 Signed Rep + 0 5-Star Review</v>
      </c>
      <c r="I954" s="14"/>
      <c r="J954" s="14"/>
    </row>
    <row r="955" hidden="1">
      <c r="A955" s="6" t="s">
        <v>270</v>
      </c>
      <c r="B955" s="255" t="s">
        <v>727</v>
      </c>
      <c r="C955" s="255" t="s">
        <v>728</v>
      </c>
      <c r="D955" s="255" t="s">
        <v>729</v>
      </c>
      <c r="E955" s="235">
        <v>8.0</v>
      </c>
      <c r="F955" s="264">
        <v>0.0</v>
      </c>
      <c r="G955" s="39">
        <f t="shared" si="1"/>
        <v>2000</v>
      </c>
      <c r="H955" s="13" t="str">
        <f t="shared" si="2"/>
        <v>8 Signed Rep + 0 5-Star Review</v>
      </c>
      <c r="I955" s="14"/>
      <c r="J955" s="14"/>
    </row>
    <row r="956" hidden="1">
      <c r="A956" s="6" t="s">
        <v>270</v>
      </c>
      <c r="B956" s="255" t="s">
        <v>730</v>
      </c>
      <c r="C956" s="255" t="s">
        <v>731</v>
      </c>
      <c r="D956" s="255" t="s">
        <v>732</v>
      </c>
      <c r="E956" s="235">
        <v>11.0</v>
      </c>
      <c r="F956" s="264">
        <v>0.0</v>
      </c>
      <c r="G956" s="39">
        <f t="shared" si="1"/>
        <v>2750</v>
      </c>
      <c r="H956" s="13" t="str">
        <f t="shared" si="2"/>
        <v>11 Signed Rep + 0 5-Star Review</v>
      </c>
      <c r="I956" s="14"/>
      <c r="J956" s="14"/>
    </row>
    <row r="957" hidden="1">
      <c r="A957" s="6" t="s">
        <v>270</v>
      </c>
      <c r="B957" s="255" t="s">
        <v>733</v>
      </c>
      <c r="C957" s="255" t="s">
        <v>734</v>
      </c>
      <c r="D957" s="255" t="s">
        <v>735</v>
      </c>
      <c r="E957" s="235">
        <v>10.0</v>
      </c>
      <c r="F957" s="264">
        <v>0.0</v>
      </c>
      <c r="G957" s="39">
        <f t="shared" si="1"/>
        <v>2500</v>
      </c>
      <c r="H957" s="13" t="str">
        <f t="shared" si="2"/>
        <v>10 Signed Rep + 0 5-Star Review</v>
      </c>
      <c r="I957" s="14"/>
      <c r="J957" s="14"/>
    </row>
    <row r="958" hidden="1">
      <c r="A958" s="6" t="s">
        <v>270</v>
      </c>
      <c r="B958" s="255" t="s">
        <v>736</v>
      </c>
      <c r="C958" s="255" t="s">
        <v>737</v>
      </c>
      <c r="D958" s="255" t="s">
        <v>738</v>
      </c>
      <c r="E958" s="235">
        <v>10.0</v>
      </c>
      <c r="F958" s="264">
        <v>1.0</v>
      </c>
      <c r="G958" s="39">
        <f t="shared" si="1"/>
        <v>2600</v>
      </c>
      <c r="H958" s="13" t="str">
        <f t="shared" si="2"/>
        <v>10 Signed Rep + 1 5-Star Review</v>
      </c>
      <c r="I958" s="14"/>
      <c r="J958" s="14"/>
    </row>
    <row r="959" hidden="1">
      <c r="A959" s="6" t="s">
        <v>270</v>
      </c>
      <c r="B959" s="255" t="s">
        <v>739</v>
      </c>
      <c r="C959" s="255" t="s">
        <v>740</v>
      </c>
      <c r="D959" s="255" t="s">
        <v>741</v>
      </c>
      <c r="E959" s="235">
        <v>9.0</v>
      </c>
      <c r="F959" s="264">
        <v>0.0</v>
      </c>
      <c r="G959" s="39">
        <f t="shared" si="1"/>
        <v>2250</v>
      </c>
      <c r="H959" s="13" t="str">
        <f t="shared" si="2"/>
        <v>9 Signed Rep + 0 5-Star Review</v>
      </c>
      <c r="I959" s="14"/>
      <c r="J959" s="14"/>
    </row>
    <row r="960" hidden="1">
      <c r="A960" s="6" t="s">
        <v>270</v>
      </c>
      <c r="B960" s="255" t="s">
        <v>742</v>
      </c>
      <c r="C960" s="255" t="s">
        <v>743</v>
      </c>
      <c r="D960" s="255" t="s">
        <v>744</v>
      </c>
      <c r="E960" s="235">
        <v>7.0</v>
      </c>
      <c r="F960" s="264">
        <v>1.0</v>
      </c>
      <c r="G960" s="39">
        <f t="shared" si="1"/>
        <v>1850</v>
      </c>
      <c r="H960" s="13" t="str">
        <f t="shared" si="2"/>
        <v>7 Signed Rep + 1 5-Star Review</v>
      </c>
      <c r="I960" s="14"/>
      <c r="J960" s="14"/>
    </row>
    <row r="961" hidden="1">
      <c r="A961" s="6" t="s">
        <v>270</v>
      </c>
      <c r="B961" s="255" t="s">
        <v>816</v>
      </c>
      <c r="C961" s="255" t="s">
        <v>817</v>
      </c>
      <c r="D961" s="255" t="s">
        <v>818</v>
      </c>
      <c r="E961" s="235">
        <v>6.0</v>
      </c>
      <c r="F961" s="264">
        <v>0.0</v>
      </c>
      <c r="G961" s="39">
        <f t="shared" si="1"/>
        <v>1500</v>
      </c>
      <c r="H961" s="13" t="str">
        <f t="shared" si="2"/>
        <v>6 Signed Rep + 0 5-Star Review</v>
      </c>
      <c r="I961" s="14"/>
      <c r="J961" s="14"/>
    </row>
    <row r="962" hidden="1">
      <c r="A962" s="6" t="s">
        <v>270</v>
      </c>
      <c r="B962" s="254" t="s">
        <v>745</v>
      </c>
      <c r="C962" s="255" t="s">
        <v>746</v>
      </c>
      <c r="D962" s="255" t="s">
        <v>747</v>
      </c>
      <c r="E962" s="235">
        <v>5.0</v>
      </c>
      <c r="F962" s="264">
        <v>0.0</v>
      </c>
      <c r="G962" s="39">
        <f t="shared" si="1"/>
        <v>1250</v>
      </c>
      <c r="H962" s="13" t="str">
        <f t="shared" si="2"/>
        <v>5 Signed Rep + 0 5-Star Review</v>
      </c>
      <c r="I962" s="14"/>
      <c r="J962" s="14"/>
    </row>
    <row r="963" hidden="1">
      <c r="A963" s="6" t="s">
        <v>270</v>
      </c>
      <c r="B963" s="255" t="s">
        <v>748</v>
      </c>
      <c r="C963" s="255" t="s">
        <v>749</v>
      </c>
      <c r="D963" s="255" t="s">
        <v>750</v>
      </c>
      <c r="E963" s="235">
        <v>7.0</v>
      </c>
      <c r="F963" s="264">
        <v>0.0</v>
      </c>
      <c r="G963" s="39">
        <f t="shared" si="1"/>
        <v>1750</v>
      </c>
      <c r="H963" s="13" t="str">
        <f t="shared" si="2"/>
        <v>7 Signed Rep + 0 5-Star Review</v>
      </c>
      <c r="I963" s="14"/>
      <c r="J963" s="14"/>
    </row>
    <row r="964" hidden="1">
      <c r="A964" s="6" t="s">
        <v>270</v>
      </c>
      <c r="B964" s="255" t="s">
        <v>788</v>
      </c>
      <c r="C964" s="255" t="s">
        <v>789</v>
      </c>
      <c r="D964" s="255" t="s">
        <v>790</v>
      </c>
      <c r="E964" s="235">
        <v>5.0</v>
      </c>
      <c r="F964" s="264">
        <v>0.0</v>
      </c>
      <c r="G964" s="39">
        <f t="shared" si="1"/>
        <v>1250</v>
      </c>
      <c r="H964" s="13" t="str">
        <f t="shared" si="2"/>
        <v>5 Signed Rep + 0 5-Star Review</v>
      </c>
      <c r="I964" s="14"/>
      <c r="J964" s="14"/>
    </row>
    <row r="965" hidden="1">
      <c r="A965" s="6" t="s">
        <v>270</v>
      </c>
      <c r="B965" s="255" t="s">
        <v>751</v>
      </c>
      <c r="C965" s="255" t="s">
        <v>752</v>
      </c>
      <c r="D965" s="255" t="s">
        <v>753</v>
      </c>
      <c r="E965" s="235">
        <v>11.0</v>
      </c>
      <c r="F965" s="264">
        <v>0.0</v>
      </c>
      <c r="G965" s="39">
        <f t="shared" si="1"/>
        <v>2750</v>
      </c>
      <c r="H965" s="13" t="str">
        <f t="shared" si="2"/>
        <v>11 Signed Rep + 0 5-Star Review</v>
      </c>
      <c r="I965" s="14"/>
      <c r="J965" s="14"/>
    </row>
    <row r="966" hidden="1">
      <c r="A966" s="6" t="s">
        <v>270</v>
      </c>
      <c r="B966" s="255" t="s">
        <v>754</v>
      </c>
      <c r="C966" s="255" t="s">
        <v>755</v>
      </c>
      <c r="D966" s="255" t="s">
        <v>756</v>
      </c>
      <c r="E966" s="235">
        <v>10.0</v>
      </c>
      <c r="F966" s="264">
        <v>1.0</v>
      </c>
      <c r="G966" s="39">
        <f t="shared" si="1"/>
        <v>2600</v>
      </c>
      <c r="H966" s="13" t="str">
        <f t="shared" si="2"/>
        <v>10 Signed Rep + 1 5-Star Review</v>
      </c>
      <c r="I966" s="14"/>
      <c r="J966" s="14"/>
    </row>
    <row r="967" hidden="1">
      <c r="A967" s="6" t="s">
        <v>270</v>
      </c>
      <c r="B967" s="254" t="s">
        <v>757</v>
      </c>
      <c r="C967" s="255" t="s">
        <v>758</v>
      </c>
      <c r="D967" s="255" t="s">
        <v>759</v>
      </c>
      <c r="E967" s="235">
        <v>17.0</v>
      </c>
      <c r="F967" s="264">
        <v>6.0</v>
      </c>
      <c r="G967" s="39">
        <f t="shared" si="1"/>
        <v>4850</v>
      </c>
      <c r="H967" s="13" t="str">
        <f t="shared" si="2"/>
        <v>17 Signed Rep + 6 5-Star Review</v>
      </c>
      <c r="I967" s="23"/>
      <c r="J967" s="23"/>
    </row>
    <row r="968" hidden="1">
      <c r="A968" s="6" t="s">
        <v>270</v>
      </c>
      <c r="B968" s="255" t="s">
        <v>219</v>
      </c>
      <c r="C968" s="255" t="s">
        <v>220</v>
      </c>
      <c r="D968" s="255" t="s">
        <v>760</v>
      </c>
      <c r="E968" s="236">
        <v>9.0</v>
      </c>
      <c r="F968" s="264">
        <v>0.0</v>
      </c>
      <c r="G968" s="39">
        <f t="shared" si="1"/>
        <v>2250</v>
      </c>
      <c r="H968" s="13" t="str">
        <f t="shared" si="2"/>
        <v>9 Signed Rep + 0 5-Star Review</v>
      </c>
      <c r="I968" s="14"/>
      <c r="J968" s="14"/>
    </row>
    <row r="969" hidden="1">
      <c r="A969" s="6" t="s">
        <v>297</v>
      </c>
      <c r="B969" s="255" t="s">
        <v>639</v>
      </c>
      <c r="C969" s="255" t="s">
        <v>640</v>
      </c>
      <c r="D969" s="255" t="s">
        <v>641</v>
      </c>
      <c r="E969" s="235">
        <v>5.0</v>
      </c>
      <c r="F969" s="264">
        <v>0.0</v>
      </c>
      <c r="G969" s="39">
        <f t="shared" si="1"/>
        <v>1250</v>
      </c>
      <c r="H969" s="13" t="str">
        <f t="shared" si="2"/>
        <v>5 Signed Rep + 0 5-Star Review</v>
      </c>
      <c r="I969" s="14"/>
      <c r="J969" s="14"/>
    </row>
    <row r="970" hidden="1">
      <c r="A970" s="6" t="s">
        <v>297</v>
      </c>
      <c r="B970" s="255" t="s">
        <v>642</v>
      </c>
      <c r="C970" s="255" t="s">
        <v>643</v>
      </c>
      <c r="D970" s="255" t="s">
        <v>644</v>
      </c>
      <c r="E970" s="235">
        <v>5.0</v>
      </c>
      <c r="F970" s="264">
        <v>0.0</v>
      </c>
      <c r="G970" s="39">
        <f t="shared" si="1"/>
        <v>1250</v>
      </c>
      <c r="H970" s="13" t="str">
        <f t="shared" si="2"/>
        <v>5 Signed Rep + 0 5-Star Review</v>
      </c>
      <c r="I970" s="14"/>
      <c r="J970" s="14"/>
    </row>
    <row r="971" hidden="1">
      <c r="A971" s="6" t="s">
        <v>297</v>
      </c>
      <c r="B971" s="255" t="s">
        <v>645</v>
      </c>
      <c r="C971" s="255" t="s">
        <v>646</v>
      </c>
      <c r="D971" s="255" t="s">
        <v>647</v>
      </c>
      <c r="E971" s="235">
        <v>3.0</v>
      </c>
      <c r="F971" s="264">
        <v>0.0</v>
      </c>
      <c r="G971" s="39">
        <f t="shared" si="1"/>
        <v>750</v>
      </c>
      <c r="H971" s="13" t="str">
        <f t="shared" si="2"/>
        <v>3 Signed Rep + 0 5-Star Review</v>
      </c>
      <c r="I971" s="14"/>
      <c r="J971" s="14"/>
    </row>
    <row r="972" hidden="1">
      <c r="A972" s="6" t="s">
        <v>297</v>
      </c>
      <c r="B972" s="255" t="s">
        <v>648</v>
      </c>
      <c r="C972" s="255" t="s">
        <v>649</v>
      </c>
      <c r="D972" s="255" t="s">
        <v>650</v>
      </c>
      <c r="E972" s="236">
        <v>8.0</v>
      </c>
      <c r="F972" s="264">
        <v>0.0</v>
      </c>
      <c r="G972" s="39">
        <f t="shared" si="1"/>
        <v>2000</v>
      </c>
      <c r="H972" s="13" t="str">
        <f t="shared" si="2"/>
        <v>8 Signed Rep + 0 5-Star Review</v>
      </c>
      <c r="I972" s="14"/>
      <c r="J972" s="14"/>
    </row>
    <row r="973" hidden="1">
      <c r="A973" s="6" t="s">
        <v>297</v>
      </c>
      <c r="B973" s="255" t="s">
        <v>651</v>
      </c>
      <c r="C973" s="255" t="s">
        <v>652</v>
      </c>
      <c r="D973" s="255" t="s">
        <v>653</v>
      </c>
      <c r="E973" s="235">
        <v>7.0</v>
      </c>
      <c r="F973" s="264">
        <v>0.0</v>
      </c>
      <c r="G973" s="39">
        <f t="shared" si="1"/>
        <v>1750</v>
      </c>
      <c r="H973" s="13" t="str">
        <f t="shared" si="2"/>
        <v>7 Signed Rep + 0 5-Star Review</v>
      </c>
      <c r="I973" s="14"/>
      <c r="J973" s="14"/>
    </row>
    <row r="974" hidden="1">
      <c r="A974" s="6" t="s">
        <v>297</v>
      </c>
      <c r="B974" s="255" t="s">
        <v>809</v>
      </c>
      <c r="C974" s="255" t="s">
        <v>810</v>
      </c>
      <c r="D974" s="255" t="s">
        <v>811</v>
      </c>
      <c r="E974" s="235">
        <v>5.0</v>
      </c>
      <c r="F974" s="264">
        <v>0.0</v>
      </c>
      <c r="G974" s="39">
        <f t="shared" si="1"/>
        <v>1250</v>
      </c>
      <c r="H974" s="13" t="str">
        <f t="shared" si="2"/>
        <v>5 Signed Rep + 0 5-Star Review</v>
      </c>
      <c r="I974" s="14"/>
      <c r="J974" s="14"/>
    </row>
    <row r="975" hidden="1">
      <c r="A975" s="6" t="s">
        <v>297</v>
      </c>
      <c r="B975" s="255" t="s">
        <v>654</v>
      </c>
      <c r="C975" s="255" t="s">
        <v>655</v>
      </c>
      <c r="D975" s="255" t="s">
        <v>656</v>
      </c>
      <c r="E975" s="236">
        <v>6.0</v>
      </c>
      <c r="F975" s="264">
        <v>0.0</v>
      </c>
      <c r="G975" s="39">
        <f t="shared" si="1"/>
        <v>1500</v>
      </c>
      <c r="H975" s="13" t="str">
        <f t="shared" si="2"/>
        <v>6 Signed Rep + 0 5-Star Review</v>
      </c>
      <c r="I975" s="14"/>
      <c r="J975" s="14"/>
    </row>
    <row r="976" hidden="1">
      <c r="A976" s="6" t="s">
        <v>297</v>
      </c>
      <c r="B976" s="255" t="s">
        <v>812</v>
      </c>
      <c r="C976" s="255" t="s">
        <v>813</v>
      </c>
      <c r="D976" s="255" t="s">
        <v>814</v>
      </c>
      <c r="E976" s="235">
        <v>4.0</v>
      </c>
      <c r="F976" s="264">
        <v>0.0</v>
      </c>
      <c r="G976" s="39">
        <f t="shared" si="1"/>
        <v>1000</v>
      </c>
      <c r="H976" s="13" t="str">
        <f t="shared" si="2"/>
        <v>4 Signed Rep + 0 5-Star Review</v>
      </c>
      <c r="I976" s="14"/>
      <c r="J976" s="14"/>
    </row>
    <row r="977" hidden="1">
      <c r="A977" s="6" t="s">
        <v>297</v>
      </c>
      <c r="B977" s="255" t="s">
        <v>657</v>
      </c>
      <c r="C977" s="255" t="s">
        <v>658</v>
      </c>
      <c r="D977" s="255" t="s">
        <v>659</v>
      </c>
      <c r="E977" s="235">
        <v>10.0</v>
      </c>
      <c r="F977" s="264">
        <v>0.0</v>
      </c>
      <c r="G977" s="39">
        <f t="shared" si="1"/>
        <v>2500</v>
      </c>
      <c r="H977" s="13" t="str">
        <f t="shared" si="2"/>
        <v>10 Signed Rep + 0 5-Star Review</v>
      </c>
      <c r="I977" s="14"/>
      <c r="J977" s="14"/>
    </row>
    <row r="978" hidden="1">
      <c r="A978" s="6" t="s">
        <v>297</v>
      </c>
      <c r="B978" s="255" t="s">
        <v>213</v>
      </c>
      <c r="C978" s="255" t="s">
        <v>214</v>
      </c>
      <c r="D978" s="255" t="s">
        <v>660</v>
      </c>
      <c r="E978" s="235">
        <v>10.0</v>
      </c>
      <c r="F978" s="264">
        <v>0.0</v>
      </c>
      <c r="G978" s="39">
        <f t="shared" si="1"/>
        <v>2500</v>
      </c>
      <c r="H978" s="13" t="str">
        <f t="shared" si="2"/>
        <v>10 Signed Rep + 0 5-Star Review</v>
      </c>
      <c r="I978" s="14"/>
      <c r="J978" s="14"/>
    </row>
    <row r="979" hidden="1">
      <c r="A979" s="6" t="s">
        <v>297</v>
      </c>
      <c r="B979" s="255" t="s">
        <v>661</v>
      </c>
      <c r="C979" s="255" t="s">
        <v>662</v>
      </c>
      <c r="D979" s="255" t="s">
        <v>663</v>
      </c>
      <c r="E979" s="235">
        <v>17.0</v>
      </c>
      <c r="F979" s="264">
        <v>1.0</v>
      </c>
      <c r="G979" s="39">
        <f t="shared" si="1"/>
        <v>4350</v>
      </c>
      <c r="H979" s="13" t="str">
        <f t="shared" si="2"/>
        <v>17 Signed Rep + 1 5-Star Review</v>
      </c>
      <c r="I979" s="14"/>
      <c r="J979" s="14"/>
    </row>
    <row r="980" hidden="1">
      <c r="A980" s="6" t="s">
        <v>297</v>
      </c>
      <c r="B980" s="255" t="s">
        <v>664</v>
      </c>
      <c r="C980" s="255" t="s">
        <v>665</v>
      </c>
      <c r="D980" s="255" t="s">
        <v>666</v>
      </c>
      <c r="E980" s="235">
        <v>28.0</v>
      </c>
      <c r="F980" s="264">
        <v>0.0</v>
      </c>
      <c r="G980" s="39">
        <f t="shared" si="1"/>
        <v>7000</v>
      </c>
      <c r="H980" s="13" t="str">
        <f t="shared" si="2"/>
        <v>28 Signed Rep + 0 5-Star Review</v>
      </c>
      <c r="I980" s="14"/>
      <c r="J980" s="14"/>
    </row>
    <row r="981" hidden="1">
      <c r="A981" s="6" t="s">
        <v>297</v>
      </c>
      <c r="B981" s="255" t="s">
        <v>667</v>
      </c>
      <c r="C981" s="255" t="s">
        <v>668</v>
      </c>
      <c r="D981" s="255" t="s">
        <v>669</v>
      </c>
      <c r="E981" s="235">
        <v>14.0</v>
      </c>
      <c r="F981" s="264">
        <v>4.0</v>
      </c>
      <c r="G981" s="39">
        <f t="shared" si="1"/>
        <v>3900</v>
      </c>
      <c r="H981" s="13" t="str">
        <f t="shared" si="2"/>
        <v>14 Signed Rep + 4 5-Star Review</v>
      </c>
      <c r="I981" s="14"/>
      <c r="J981" s="14"/>
    </row>
    <row r="982" hidden="1">
      <c r="A982" s="6" t="s">
        <v>297</v>
      </c>
      <c r="B982" s="255" t="s">
        <v>670</v>
      </c>
      <c r="C982" s="255" t="s">
        <v>671</v>
      </c>
      <c r="D982" s="255" t="s">
        <v>672</v>
      </c>
      <c r="E982" s="235">
        <v>9.0</v>
      </c>
      <c r="F982" s="264">
        <v>0.0</v>
      </c>
      <c r="G982" s="39">
        <f t="shared" si="1"/>
        <v>2250</v>
      </c>
      <c r="H982" s="13" t="str">
        <f t="shared" si="2"/>
        <v>9 Signed Rep + 0 5-Star Review</v>
      </c>
      <c r="I982" s="14"/>
      <c r="J982" s="14"/>
    </row>
    <row r="983" hidden="1">
      <c r="A983" s="6" t="s">
        <v>297</v>
      </c>
      <c r="B983" s="255" t="s">
        <v>673</v>
      </c>
      <c r="C983" s="255" t="s">
        <v>674</v>
      </c>
      <c r="D983" s="255" t="s">
        <v>675</v>
      </c>
      <c r="E983" s="235">
        <v>10.0</v>
      </c>
      <c r="F983" s="264">
        <v>3.0</v>
      </c>
      <c r="G983" s="39">
        <f t="shared" si="1"/>
        <v>2800</v>
      </c>
      <c r="H983" s="13" t="str">
        <f t="shared" si="2"/>
        <v>10 Signed Rep + 3 5-Star Review</v>
      </c>
      <c r="I983" s="14"/>
      <c r="J983" s="14"/>
    </row>
    <row r="984" hidden="1">
      <c r="A984" s="6" t="s">
        <v>297</v>
      </c>
      <c r="B984" s="255" t="s">
        <v>676</v>
      </c>
      <c r="C984" s="255" t="s">
        <v>677</v>
      </c>
      <c r="D984" s="255" t="s">
        <v>678</v>
      </c>
      <c r="E984" s="235">
        <v>11.0</v>
      </c>
      <c r="F984" s="264">
        <v>1.0</v>
      </c>
      <c r="G984" s="39">
        <f t="shared" si="1"/>
        <v>2850</v>
      </c>
      <c r="H984" s="13" t="str">
        <f t="shared" si="2"/>
        <v>11 Signed Rep + 1 5-Star Review</v>
      </c>
      <c r="I984" s="14"/>
      <c r="J984" s="14"/>
    </row>
    <row r="985" hidden="1">
      <c r="A985" s="6" t="s">
        <v>297</v>
      </c>
      <c r="B985" s="255" t="s">
        <v>679</v>
      </c>
      <c r="C985" s="255" t="s">
        <v>680</v>
      </c>
      <c r="D985" s="255" t="s">
        <v>820</v>
      </c>
      <c r="E985" s="235">
        <v>4.0</v>
      </c>
      <c r="F985" s="264">
        <v>4.0</v>
      </c>
      <c r="G985" s="39">
        <f t="shared" si="1"/>
        <v>1400</v>
      </c>
      <c r="H985" s="13" t="str">
        <f t="shared" si="2"/>
        <v>4 Signed Rep + 4 5-Star Review</v>
      </c>
      <c r="I985" s="14"/>
      <c r="J985" s="14"/>
    </row>
    <row r="986" hidden="1">
      <c r="A986" s="6" t="s">
        <v>297</v>
      </c>
      <c r="B986" s="255" t="s">
        <v>682</v>
      </c>
      <c r="C986" s="255" t="s">
        <v>683</v>
      </c>
      <c r="D986" s="255" t="s">
        <v>684</v>
      </c>
      <c r="E986" s="236">
        <v>6.0</v>
      </c>
      <c r="F986" s="264">
        <v>0.0</v>
      </c>
      <c r="G986" s="39">
        <f t="shared" si="1"/>
        <v>1500</v>
      </c>
      <c r="H986" s="13" t="str">
        <f t="shared" si="2"/>
        <v>6 Signed Rep + 0 5-Star Review</v>
      </c>
      <c r="I986" s="14"/>
      <c r="J986" s="14"/>
    </row>
    <row r="987" hidden="1">
      <c r="A987" s="6" t="s">
        <v>297</v>
      </c>
      <c r="B987" s="255" t="s">
        <v>685</v>
      </c>
      <c r="C987" s="255" t="s">
        <v>686</v>
      </c>
      <c r="D987" s="255" t="s">
        <v>687</v>
      </c>
      <c r="E987" s="235">
        <v>10.0</v>
      </c>
      <c r="F987" s="264">
        <v>0.0</v>
      </c>
      <c r="G987" s="39">
        <f t="shared" si="1"/>
        <v>2500</v>
      </c>
      <c r="H987" s="13" t="str">
        <f t="shared" si="2"/>
        <v>10 Signed Rep + 0 5-Star Review</v>
      </c>
      <c r="I987" s="14"/>
      <c r="J987" s="14"/>
    </row>
    <row r="988" hidden="1">
      <c r="A988" s="6" t="s">
        <v>297</v>
      </c>
      <c r="B988" s="255" t="s">
        <v>688</v>
      </c>
      <c r="C988" s="255" t="s">
        <v>689</v>
      </c>
      <c r="D988" s="255" t="s">
        <v>690</v>
      </c>
      <c r="E988" s="235">
        <v>15.0</v>
      </c>
      <c r="F988" s="264">
        <v>0.0</v>
      </c>
      <c r="G988" s="39">
        <f t="shared" si="1"/>
        <v>3750</v>
      </c>
      <c r="H988" s="13" t="str">
        <f t="shared" si="2"/>
        <v>15 Signed Rep + 0 5-Star Review</v>
      </c>
      <c r="I988" s="14"/>
      <c r="J988" s="14"/>
    </row>
    <row r="989" hidden="1">
      <c r="A989" s="6" t="s">
        <v>297</v>
      </c>
      <c r="B989" s="255" t="s">
        <v>691</v>
      </c>
      <c r="C989" s="255" t="s">
        <v>692</v>
      </c>
      <c r="D989" s="255" t="s">
        <v>693</v>
      </c>
      <c r="E989" s="235">
        <v>8.0</v>
      </c>
      <c r="F989" s="264">
        <v>0.0</v>
      </c>
      <c r="G989" s="39">
        <f t="shared" si="1"/>
        <v>2000</v>
      </c>
      <c r="H989" s="13" t="str">
        <f t="shared" si="2"/>
        <v>8 Signed Rep + 0 5-Star Review</v>
      </c>
      <c r="I989" s="14"/>
      <c r="J989" s="14"/>
    </row>
    <row r="990" hidden="1">
      <c r="A990" s="6" t="s">
        <v>297</v>
      </c>
      <c r="B990" s="255" t="s">
        <v>694</v>
      </c>
      <c r="C990" s="255" t="s">
        <v>695</v>
      </c>
      <c r="D990" s="255" t="s">
        <v>696</v>
      </c>
      <c r="E990" s="235">
        <v>9.0</v>
      </c>
      <c r="F990" s="264">
        <v>0.0</v>
      </c>
      <c r="G990" s="39">
        <f t="shared" si="1"/>
        <v>2250</v>
      </c>
      <c r="H990" s="13" t="str">
        <f t="shared" si="2"/>
        <v>9 Signed Rep + 0 5-Star Review</v>
      </c>
      <c r="I990" s="14"/>
      <c r="J990" s="14"/>
    </row>
    <row r="991" hidden="1">
      <c r="A991" s="6" t="s">
        <v>297</v>
      </c>
      <c r="B991" s="255" t="s">
        <v>697</v>
      </c>
      <c r="C991" s="255" t="s">
        <v>698</v>
      </c>
      <c r="D991" s="255" t="s">
        <v>699</v>
      </c>
      <c r="E991" s="235">
        <v>10.0</v>
      </c>
      <c r="F991" s="264">
        <v>0.0</v>
      </c>
      <c r="G991" s="39">
        <f t="shared" si="1"/>
        <v>2500</v>
      </c>
      <c r="H991" s="13" t="str">
        <f t="shared" si="2"/>
        <v>10 Signed Rep + 0 5-Star Review</v>
      </c>
      <c r="I991" s="14"/>
      <c r="J991" s="14"/>
    </row>
    <row r="992" hidden="1">
      <c r="A992" s="6" t="s">
        <v>297</v>
      </c>
      <c r="B992" s="255" t="s">
        <v>700</v>
      </c>
      <c r="C992" s="255" t="s">
        <v>701</v>
      </c>
      <c r="D992" s="255" t="s">
        <v>702</v>
      </c>
      <c r="E992" s="235">
        <v>6.0</v>
      </c>
      <c r="F992" s="264">
        <v>0.0</v>
      </c>
      <c r="G992" s="39">
        <f t="shared" si="1"/>
        <v>1500</v>
      </c>
      <c r="H992" s="13" t="str">
        <f t="shared" si="2"/>
        <v>6 Signed Rep + 0 5-Star Review</v>
      </c>
      <c r="I992" s="14"/>
      <c r="J992" s="14"/>
    </row>
    <row r="993" hidden="1">
      <c r="A993" s="6" t="s">
        <v>297</v>
      </c>
      <c r="B993" s="255" t="s">
        <v>703</v>
      </c>
      <c r="C993" s="255" t="s">
        <v>704</v>
      </c>
      <c r="D993" s="255" t="s">
        <v>705</v>
      </c>
      <c r="E993" s="235">
        <v>9.0</v>
      </c>
      <c r="F993" s="264">
        <v>0.0</v>
      </c>
      <c r="G993" s="39">
        <f t="shared" si="1"/>
        <v>2250</v>
      </c>
      <c r="H993" s="13" t="str">
        <f t="shared" si="2"/>
        <v>9 Signed Rep + 0 5-Star Review</v>
      </c>
      <c r="I993" s="14"/>
      <c r="J993" s="14"/>
    </row>
    <row r="994" hidden="1">
      <c r="A994" s="6" t="s">
        <v>297</v>
      </c>
      <c r="B994" s="255" t="s">
        <v>706</v>
      </c>
      <c r="C994" s="255" t="s">
        <v>707</v>
      </c>
      <c r="D994" s="255" t="s">
        <v>708</v>
      </c>
      <c r="E994" s="235">
        <v>6.0</v>
      </c>
      <c r="F994" s="264">
        <v>0.0</v>
      </c>
      <c r="G994" s="39">
        <f t="shared" si="1"/>
        <v>1500</v>
      </c>
      <c r="H994" s="13" t="str">
        <f t="shared" si="2"/>
        <v>6 Signed Rep + 0 5-Star Review</v>
      </c>
      <c r="I994" s="14"/>
      <c r="J994" s="14"/>
    </row>
    <row r="995" hidden="1">
      <c r="A995" s="6" t="s">
        <v>297</v>
      </c>
      <c r="B995" s="255" t="s">
        <v>709</v>
      </c>
      <c r="C995" s="255" t="s">
        <v>710</v>
      </c>
      <c r="D995" s="255" t="s">
        <v>711</v>
      </c>
      <c r="E995" s="235">
        <v>11.0</v>
      </c>
      <c r="F995" s="264">
        <v>0.0</v>
      </c>
      <c r="G995" s="39">
        <f t="shared" si="1"/>
        <v>2750</v>
      </c>
      <c r="H995" s="13" t="str">
        <f t="shared" si="2"/>
        <v>11 Signed Rep + 0 5-Star Review</v>
      </c>
      <c r="I995" s="14"/>
      <c r="J995" s="14"/>
    </row>
    <row r="996" hidden="1">
      <c r="A996" s="6" t="s">
        <v>297</v>
      </c>
      <c r="B996" s="255" t="s">
        <v>712</v>
      </c>
      <c r="C996" s="255" t="s">
        <v>713</v>
      </c>
      <c r="D996" s="255" t="s">
        <v>714</v>
      </c>
      <c r="E996" s="235">
        <v>11.0</v>
      </c>
      <c r="F996" s="264">
        <v>0.0</v>
      </c>
      <c r="G996" s="39">
        <f t="shared" si="1"/>
        <v>2750</v>
      </c>
      <c r="H996" s="13" t="str">
        <f t="shared" si="2"/>
        <v>11 Signed Rep + 0 5-Star Review</v>
      </c>
      <c r="I996" s="14"/>
      <c r="J996" s="14"/>
    </row>
    <row r="997" hidden="1">
      <c r="A997" s="6" t="s">
        <v>297</v>
      </c>
      <c r="B997" s="255" t="s">
        <v>799</v>
      </c>
      <c r="C997" s="255" t="s">
        <v>800</v>
      </c>
      <c r="D997" s="255" t="s">
        <v>801</v>
      </c>
      <c r="E997" s="235">
        <v>12.0</v>
      </c>
      <c r="F997" s="264">
        <v>1.0</v>
      </c>
      <c r="G997" s="39">
        <f t="shared" si="1"/>
        <v>3100</v>
      </c>
      <c r="H997" s="13" t="str">
        <f t="shared" si="2"/>
        <v>12 Signed Rep + 1 5-Star Review</v>
      </c>
      <c r="I997" s="14"/>
      <c r="J997" s="14"/>
    </row>
    <row r="998" hidden="1">
      <c r="A998" s="6" t="s">
        <v>297</v>
      </c>
      <c r="B998" s="255" t="s">
        <v>795</v>
      </c>
      <c r="C998" s="255" t="s">
        <v>796</v>
      </c>
      <c r="D998" s="255" t="s">
        <v>797</v>
      </c>
      <c r="E998" s="235">
        <v>6.0</v>
      </c>
      <c r="F998" s="264">
        <v>0.0</v>
      </c>
      <c r="G998" s="39">
        <f t="shared" si="1"/>
        <v>1500</v>
      </c>
      <c r="H998" s="13" t="str">
        <f t="shared" si="2"/>
        <v>6 Signed Rep + 0 5-Star Review</v>
      </c>
      <c r="I998" s="14"/>
      <c r="J998" s="14"/>
    </row>
    <row r="999" hidden="1">
      <c r="A999" s="6" t="s">
        <v>297</v>
      </c>
      <c r="B999" s="255" t="s">
        <v>715</v>
      </c>
      <c r="C999" s="255" t="s">
        <v>716</v>
      </c>
      <c r="D999" s="255" t="s">
        <v>717</v>
      </c>
      <c r="E999" s="235">
        <v>7.0</v>
      </c>
      <c r="F999" s="264">
        <v>0.0</v>
      </c>
      <c r="G999" s="39">
        <f t="shared" si="1"/>
        <v>1750</v>
      </c>
      <c r="H999" s="13" t="str">
        <f t="shared" si="2"/>
        <v>7 Signed Rep + 0 5-Star Review</v>
      </c>
      <c r="I999" s="14"/>
      <c r="J999" s="14"/>
    </row>
    <row r="1000" hidden="1">
      <c r="A1000" s="6" t="s">
        <v>297</v>
      </c>
      <c r="B1000" s="255" t="s">
        <v>718</v>
      </c>
      <c r="C1000" s="255" t="s">
        <v>719</v>
      </c>
      <c r="D1000" s="255" t="s">
        <v>720</v>
      </c>
      <c r="E1000" s="235">
        <v>6.0</v>
      </c>
      <c r="F1000" s="264">
        <v>0.0</v>
      </c>
      <c r="G1000" s="39">
        <f t="shared" si="1"/>
        <v>1500</v>
      </c>
      <c r="H1000" s="13" t="str">
        <f t="shared" si="2"/>
        <v>6 Signed Rep + 0 5-Star Review</v>
      </c>
      <c r="I1000" s="14"/>
      <c r="J1000" s="14"/>
    </row>
    <row r="1001" hidden="1">
      <c r="A1001" s="6" t="s">
        <v>297</v>
      </c>
      <c r="B1001" s="255" t="s">
        <v>721</v>
      </c>
      <c r="C1001" s="255" t="s">
        <v>722</v>
      </c>
      <c r="D1001" s="255" t="s">
        <v>723</v>
      </c>
      <c r="E1001" s="235">
        <v>7.0</v>
      </c>
      <c r="F1001" s="264">
        <v>0.0</v>
      </c>
      <c r="G1001" s="39">
        <f t="shared" si="1"/>
        <v>1750</v>
      </c>
      <c r="H1001" s="13" t="str">
        <f t="shared" si="2"/>
        <v>7 Signed Rep + 0 5-Star Review</v>
      </c>
      <c r="I1001" s="14"/>
      <c r="J1001" s="14"/>
    </row>
    <row r="1002" hidden="1">
      <c r="A1002" s="6" t="s">
        <v>297</v>
      </c>
      <c r="B1002" s="257" t="s">
        <v>724</v>
      </c>
      <c r="C1002" s="255" t="s">
        <v>725</v>
      </c>
      <c r="D1002" s="255" t="s">
        <v>726</v>
      </c>
      <c r="E1002" s="235">
        <v>6.0</v>
      </c>
      <c r="F1002" s="264">
        <v>0.0</v>
      </c>
      <c r="G1002" s="39">
        <f t="shared" si="1"/>
        <v>1500</v>
      </c>
      <c r="H1002" s="13" t="str">
        <f t="shared" si="2"/>
        <v>6 Signed Rep + 0 5-Star Review</v>
      </c>
      <c r="I1002" s="14"/>
      <c r="J1002" s="14"/>
    </row>
    <row r="1003" hidden="1">
      <c r="A1003" s="6" t="s">
        <v>297</v>
      </c>
      <c r="B1003" s="255" t="s">
        <v>727</v>
      </c>
      <c r="C1003" s="255" t="s">
        <v>728</v>
      </c>
      <c r="D1003" s="255" t="s">
        <v>729</v>
      </c>
      <c r="E1003" s="235">
        <v>7.0</v>
      </c>
      <c r="F1003" s="264">
        <v>0.0</v>
      </c>
      <c r="G1003" s="39">
        <f t="shared" si="1"/>
        <v>1750</v>
      </c>
      <c r="H1003" s="13" t="str">
        <f t="shared" si="2"/>
        <v>7 Signed Rep + 0 5-Star Review</v>
      </c>
      <c r="I1003" s="14"/>
      <c r="J1003" s="14"/>
    </row>
    <row r="1004" hidden="1">
      <c r="A1004" s="6" t="s">
        <v>297</v>
      </c>
      <c r="B1004" s="255" t="s">
        <v>730</v>
      </c>
      <c r="C1004" s="255" t="s">
        <v>731</v>
      </c>
      <c r="D1004" s="255" t="s">
        <v>732</v>
      </c>
      <c r="E1004" s="235">
        <v>10.0</v>
      </c>
      <c r="F1004" s="264">
        <v>0.0</v>
      </c>
      <c r="G1004" s="39">
        <f t="shared" si="1"/>
        <v>2500</v>
      </c>
      <c r="H1004" s="13" t="str">
        <f t="shared" si="2"/>
        <v>10 Signed Rep + 0 5-Star Review</v>
      </c>
      <c r="I1004" s="14"/>
      <c r="J1004" s="14"/>
    </row>
    <row r="1005" hidden="1">
      <c r="A1005" s="6" t="s">
        <v>297</v>
      </c>
      <c r="B1005" s="255" t="s">
        <v>733</v>
      </c>
      <c r="C1005" s="255" t="s">
        <v>734</v>
      </c>
      <c r="D1005" s="255" t="s">
        <v>735</v>
      </c>
      <c r="E1005" s="235">
        <v>9.0</v>
      </c>
      <c r="F1005" s="264">
        <v>0.0</v>
      </c>
      <c r="G1005" s="39">
        <f t="shared" si="1"/>
        <v>2250</v>
      </c>
      <c r="H1005" s="13" t="str">
        <f t="shared" si="2"/>
        <v>9 Signed Rep + 0 5-Star Review</v>
      </c>
      <c r="I1005" s="14"/>
      <c r="J1005" s="14"/>
    </row>
    <row r="1006" hidden="1">
      <c r="A1006" s="6" t="s">
        <v>297</v>
      </c>
      <c r="B1006" s="255" t="s">
        <v>736</v>
      </c>
      <c r="C1006" s="255" t="s">
        <v>737</v>
      </c>
      <c r="D1006" s="255" t="s">
        <v>738</v>
      </c>
      <c r="E1006" s="235">
        <v>10.0</v>
      </c>
      <c r="F1006" s="264">
        <v>0.0</v>
      </c>
      <c r="G1006" s="39">
        <f t="shared" si="1"/>
        <v>2500</v>
      </c>
      <c r="H1006" s="13" t="str">
        <f t="shared" si="2"/>
        <v>10 Signed Rep + 0 5-Star Review</v>
      </c>
      <c r="I1006" s="14"/>
      <c r="J1006" s="14"/>
    </row>
    <row r="1007" hidden="1">
      <c r="A1007" s="6" t="s">
        <v>297</v>
      </c>
      <c r="B1007" s="255" t="s">
        <v>739</v>
      </c>
      <c r="C1007" s="255" t="s">
        <v>740</v>
      </c>
      <c r="D1007" s="255" t="s">
        <v>741</v>
      </c>
      <c r="E1007" s="235">
        <v>4.0</v>
      </c>
      <c r="F1007" s="264">
        <v>0.0</v>
      </c>
      <c r="G1007" s="39">
        <f t="shared" si="1"/>
        <v>1000</v>
      </c>
      <c r="H1007" s="13" t="str">
        <f t="shared" si="2"/>
        <v>4 Signed Rep + 0 5-Star Review</v>
      </c>
      <c r="I1007" s="14"/>
      <c r="J1007" s="14"/>
    </row>
    <row r="1008" hidden="1">
      <c r="A1008" s="6" t="s">
        <v>297</v>
      </c>
      <c r="B1008" s="255" t="s">
        <v>742</v>
      </c>
      <c r="C1008" s="255" t="s">
        <v>743</v>
      </c>
      <c r="D1008" s="255" t="s">
        <v>744</v>
      </c>
      <c r="E1008" s="235">
        <v>7.0</v>
      </c>
      <c r="F1008" s="264">
        <v>0.0</v>
      </c>
      <c r="G1008" s="39">
        <f t="shared" si="1"/>
        <v>1750</v>
      </c>
      <c r="H1008" s="13" t="str">
        <f t="shared" si="2"/>
        <v>7 Signed Rep + 0 5-Star Review</v>
      </c>
      <c r="I1008" s="14"/>
      <c r="J1008" s="14"/>
    </row>
    <row r="1009" hidden="1">
      <c r="A1009" s="6" t="s">
        <v>297</v>
      </c>
      <c r="B1009" s="255" t="s">
        <v>816</v>
      </c>
      <c r="C1009" s="255" t="s">
        <v>817</v>
      </c>
      <c r="D1009" s="255" t="s">
        <v>818</v>
      </c>
      <c r="E1009" s="235">
        <v>6.0</v>
      </c>
      <c r="F1009" s="264">
        <v>0.0</v>
      </c>
      <c r="G1009" s="39">
        <f t="shared" si="1"/>
        <v>1500</v>
      </c>
      <c r="H1009" s="13" t="str">
        <f t="shared" si="2"/>
        <v>6 Signed Rep + 0 5-Star Review</v>
      </c>
      <c r="I1009" s="14"/>
      <c r="J1009" s="14"/>
    </row>
    <row r="1010" hidden="1">
      <c r="A1010" s="6" t="s">
        <v>297</v>
      </c>
      <c r="B1010" s="254" t="s">
        <v>745</v>
      </c>
      <c r="C1010" s="255" t="s">
        <v>746</v>
      </c>
      <c r="D1010" s="255" t="s">
        <v>747</v>
      </c>
      <c r="E1010" s="235">
        <v>6.0</v>
      </c>
      <c r="F1010" s="264">
        <v>0.0</v>
      </c>
      <c r="G1010" s="39">
        <f t="shared" si="1"/>
        <v>1500</v>
      </c>
      <c r="H1010" s="13" t="str">
        <f t="shared" si="2"/>
        <v>6 Signed Rep + 0 5-Star Review</v>
      </c>
      <c r="I1010" s="14"/>
      <c r="J1010" s="14"/>
    </row>
    <row r="1011" hidden="1">
      <c r="A1011" s="6" t="s">
        <v>297</v>
      </c>
      <c r="B1011" s="255" t="s">
        <v>748</v>
      </c>
      <c r="C1011" s="255" t="s">
        <v>749</v>
      </c>
      <c r="D1011" s="255" t="s">
        <v>750</v>
      </c>
      <c r="E1011" s="235">
        <v>8.0</v>
      </c>
      <c r="F1011" s="264">
        <v>0.0</v>
      </c>
      <c r="G1011" s="39">
        <f t="shared" si="1"/>
        <v>2000</v>
      </c>
      <c r="H1011" s="13" t="str">
        <f t="shared" si="2"/>
        <v>8 Signed Rep + 0 5-Star Review</v>
      </c>
      <c r="I1011" s="14"/>
      <c r="J1011" s="14"/>
    </row>
    <row r="1012" hidden="1">
      <c r="A1012" s="6" t="s">
        <v>297</v>
      </c>
      <c r="B1012" s="255" t="s">
        <v>788</v>
      </c>
      <c r="C1012" s="255" t="s">
        <v>789</v>
      </c>
      <c r="D1012" s="255" t="s">
        <v>790</v>
      </c>
      <c r="E1012" s="235">
        <v>10.0</v>
      </c>
      <c r="F1012" s="264">
        <v>0.0</v>
      </c>
      <c r="G1012" s="39">
        <f t="shared" si="1"/>
        <v>2500</v>
      </c>
      <c r="H1012" s="13" t="str">
        <f t="shared" si="2"/>
        <v>10 Signed Rep + 0 5-Star Review</v>
      </c>
      <c r="I1012" s="14"/>
      <c r="J1012" s="14"/>
    </row>
    <row r="1013" hidden="1">
      <c r="A1013" s="6" t="s">
        <v>297</v>
      </c>
      <c r="B1013" s="255" t="s">
        <v>751</v>
      </c>
      <c r="C1013" s="255" t="s">
        <v>752</v>
      </c>
      <c r="D1013" s="255" t="s">
        <v>753</v>
      </c>
      <c r="E1013" s="235">
        <v>10.0</v>
      </c>
      <c r="F1013" s="264">
        <v>0.0</v>
      </c>
      <c r="G1013" s="39">
        <f t="shared" si="1"/>
        <v>2500</v>
      </c>
      <c r="H1013" s="13" t="str">
        <f t="shared" si="2"/>
        <v>10 Signed Rep + 0 5-Star Review</v>
      </c>
      <c r="I1013" s="14"/>
      <c r="J1013" s="14"/>
    </row>
    <row r="1014" hidden="1">
      <c r="A1014" s="6" t="s">
        <v>297</v>
      </c>
      <c r="B1014" s="255" t="s">
        <v>754</v>
      </c>
      <c r="C1014" s="255" t="s">
        <v>755</v>
      </c>
      <c r="D1014" s="255" t="s">
        <v>756</v>
      </c>
      <c r="E1014" s="235">
        <v>9.0</v>
      </c>
      <c r="F1014" s="264">
        <v>0.0</v>
      </c>
      <c r="G1014" s="39">
        <f t="shared" si="1"/>
        <v>2250</v>
      </c>
      <c r="H1014" s="13" t="str">
        <f t="shared" si="2"/>
        <v>9 Signed Rep + 0 5-Star Review</v>
      </c>
      <c r="I1014" s="14"/>
      <c r="J1014" s="14"/>
    </row>
    <row r="1015" hidden="1">
      <c r="A1015" s="6" t="s">
        <v>297</v>
      </c>
      <c r="B1015" s="254" t="s">
        <v>757</v>
      </c>
      <c r="C1015" s="255" t="s">
        <v>758</v>
      </c>
      <c r="D1015" s="255" t="s">
        <v>759</v>
      </c>
      <c r="E1015" s="235">
        <v>18.0</v>
      </c>
      <c r="F1015" s="264">
        <v>5.0</v>
      </c>
      <c r="G1015" s="39">
        <f t="shared" si="1"/>
        <v>5000</v>
      </c>
      <c r="H1015" s="13" t="str">
        <f t="shared" si="2"/>
        <v>18 Signed Rep + 5 5-Star Review</v>
      </c>
      <c r="I1015" s="23"/>
      <c r="J1015" s="23"/>
    </row>
    <row r="1016" hidden="1">
      <c r="A1016" s="6" t="s">
        <v>297</v>
      </c>
      <c r="B1016" s="255" t="s">
        <v>219</v>
      </c>
      <c r="C1016" s="255" t="s">
        <v>220</v>
      </c>
      <c r="D1016" s="255" t="s">
        <v>760</v>
      </c>
      <c r="E1016" s="236">
        <v>14.0</v>
      </c>
      <c r="F1016" s="264">
        <v>0.0</v>
      </c>
      <c r="G1016" s="39">
        <f t="shared" si="1"/>
        <v>3500</v>
      </c>
      <c r="H1016" s="13" t="str">
        <f t="shared" si="2"/>
        <v>14 Signed Rep + 0 5-Star Review</v>
      </c>
      <c r="I1016" s="14"/>
      <c r="J1016" s="14"/>
    </row>
    <row r="1017" hidden="1">
      <c r="A1017" s="6" t="s">
        <v>298</v>
      </c>
      <c r="B1017" s="254" t="s">
        <v>639</v>
      </c>
      <c r="C1017" s="254" t="s">
        <v>640</v>
      </c>
      <c r="D1017" s="254" t="s">
        <v>641</v>
      </c>
      <c r="E1017" s="235">
        <v>2.0</v>
      </c>
      <c r="F1017" s="264">
        <v>0.0</v>
      </c>
      <c r="G1017" s="39">
        <f t="shared" si="1"/>
        <v>500</v>
      </c>
      <c r="H1017" s="13" t="str">
        <f t="shared" si="2"/>
        <v>2 Signed Rep + 0 5-Star Review</v>
      </c>
      <c r="I1017" s="14"/>
      <c r="J1017" s="14"/>
    </row>
    <row r="1018" hidden="1">
      <c r="A1018" s="6" t="s">
        <v>298</v>
      </c>
      <c r="B1018" s="255" t="s">
        <v>642</v>
      </c>
      <c r="C1018" s="255" t="s">
        <v>643</v>
      </c>
      <c r="D1018" s="255" t="s">
        <v>644</v>
      </c>
      <c r="E1018" s="235">
        <v>4.0</v>
      </c>
      <c r="F1018" s="264">
        <v>0.0</v>
      </c>
      <c r="G1018" s="39">
        <f t="shared" si="1"/>
        <v>1000</v>
      </c>
      <c r="H1018" s="13" t="str">
        <f t="shared" si="2"/>
        <v>4 Signed Rep + 0 5-Star Review</v>
      </c>
      <c r="I1018" s="14"/>
      <c r="J1018" s="14"/>
    </row>
    <row r="1019" hidden="1">
      <c r="A1019" s="6" t="s">
        <v>298</v>
      </c>
      <c r="B1019" s="255" t="s">
        <v>645</v>
      </c>
      <c r="C1019" s="255" t="s">
        <v>646</v>
      </c>
      <c r="D1019" s="255" t="s">
        <v>647</v>
      </c>
      <c r="E1019" s="235">
        <v>1.0</v>
      </c>
      <c r="F1019" s="264">
        <v>0.0</v>
      </c>
      <c r="G1019" s="39">
        <f t="shared" si="1"/>
        <v>250</v>
      </c>
      <c r="H1019" s="13" t="str">
        <f t="shared" si="2"/>
        <v>1 Signed Rep + 0 5-Star Review</v>
      </c>
      <c r="I1019" s="14"/>
      <c r="J1019" s="14"/>
    </row>
    <row r="1020" hidden="1">
      <c r="A1020" s="6" t="s">
        <v>298</v>
      </c>
      <c r="B1020" s="255" t="s">
        <v>648</v>
      </c>
      <c r="C1020" s="255" t="s">
        <v>649</v>
      </c>
      <c r="D1020" s="255" t="s">
        <v>650</v>
      </c>
      <c r="E1020" s="236">
        <v>11.0</v>
      </c>
      <c r="F1020" s="264">
        <v>0.0</v>
      </c>
      <c r="G1020" s="39">
        <f t="shared" si="1"/>
        <v>2750</v>
      </c>
      <c r="H1020" s="13" t="str">
        <f t="shared" si="2"/>
        <v>11 Signed Rep + 0 5-Star Review</v>
      </c>
      <c r="I1020" s="14"/>
      <c r="J1020" s="14"/>
    </row>
    <row r="1021" hidden="1">
      <c r="A1021" s="6" t="s">
        <v>298</v>
      </c>
      <c r="B1021" s="255" t="s">
        <v>651</v>
      </c>
      <c r="C1021" s="255" t="s">
        <v>652</v>
      </c>
      <c r="D1021" s="255" t="s">
        <v>653</v>
      </c>
      <c r="E1021" s="235">
        <v>6.0</v>
      </c>
      <c r="F1021" s="264">
        <v>0.0</v>
      </c>
      <c r="G1021" s="39">
        <f t="shared" si="1"/>
        <v>1500</v>
      </c>
      <c r="H1021" s="13" t="str">
        <f t="shared" si="2"/>
        <v>6 Signed Rep + 0 5-Star Review</v>
      </c>
      <c r="I1021" s="14"/>
      <c r="J1021" s="14"/>
    </row>
    <row r="1022" hidden="1">
      <c r="A1022" s="6" t="s">
        <v>298</v>
      </c>
      <c r="B1022" s="255" t="s">
        <v>809</v>
      </c>
      <c r="C1022" s="255" t="s">
        <v>810</v>
      </c>
      <c r="D1022" s="255" t="s">
        <v>811</v>
      </c>
      <c r="E1022" s="235">
        <v>4.0</v>
      </c>
      <c r="F1022" s="264">
        <v>0.0</v>
      </c>
      <c r="G1022" s="39">
        <f t="shared" si="1"/>
        <v>1000</v>
      </c>
      <c r="H1022" s="13" t="str">
        <f t="shared" si="2"/>
        <v>4 Signed Rep + 0 5-Star Review</v>
      </c>
      <c r="I1022" s="14"/>
      <c r="J1022" s="14"/>
    </row>
    <row r="1023" hidden="1">
      <c r="A1023" s="6" t="s">
        <v>298</v>
      </c>
      <c r="B1023" s="255" t="s">
        <v>654</v>
      </c>
      <c r="C1023" s="255" t="s">
        <v>655</v>
      </c>
      <c r="D1023" s="255" t="s">
        <v>656</v>
      </c>
      <c r="E1023" s="236">
        <v>5.0</v>
      </c>
      <c r="F1023" s="264">
        <v>0.0</v>
      </c>
      <c r="G1023" s="39">
        <f t="shared" si="1"/>
        <v>1250</v>
      </c>
      <c r="H1023" s="13" t="str">
        <f t="shared" si="2"/>
        <v>5 Signed Rep + 0 5-Star Review</v>
      </c>
      <c r="I1023" s="14"/>
      <c r="J1023" s="14"/>
    </row>
    <row r="1024" hidden="1">
      <c r="A1024" s="6" t="s">
        <v>298</v>
      </c>
      <c r="B1024" s="255" t="s">
        <v>812</v>
      </c>
      <c r="C1024" s="255" t="s">
        <v>813</v>
      </c>
      <c r="D1024" s="255" t="s">
        <v>814</v>
      </c>
      <c r="E1024" s="235">
        <v>4.0</v>
      </c>
      <c r="F1024" s="264">
        <v>0.0</v>
      </c>
      <c r="G1024" s="39">
        <f t="shared" si="1"/>
        <v>1000</v>
      </c>
      <c r="H1024" s="13" t="str">
        <f t="shared" si="2"/>
        <v>4 Signed Rep + 0 5-Star Review</v>
      </c>
      <c r="I1024" s="14"/>
      <c r="J1024" s="14"/>
    </row>
    <row r="1025" hidden="1">
      <c r="A1025" s="6" t="s">
        <v>298</v>
      </c>
      <c r="B1025" s="255" t="s">
        <v>657</v>
      </c>
      <c r="C1025" s="255" t="s">
        <v>658</v>
      </c>
      <c r="D1025" s="255" t="s">
        <v>659</v>
      </c>
      <c r="E1025" s="235">
        <v>9.0</v>
      </c>
      <c r="F1025" s="264">
        <v>0.0</v>
      </c>
      <c r="G1025" s="39">
        <f t="shared" si="1"/>
        <v>2250</v>
      </c>
      <c r="H1025" s="13" t="str">
        <f t="shared" si="2"/>
        <v>9 Signed Rep + 0 5-Star Review</v>
      </c>
      <c r="I1025" s="14"/>
      <c r="J1025" s="14"/>
    </row>
    <row r="1026" hidden="1">
      <c r="A1026" s="6" t="s">
        <v>298</v>
      </c>
      <c r="B1026" s="255" t="s">
        <v>213</v>
      </c>
      <c r="C1026" s="255" t="s">
        <v>214</v>
      </c>
      <c r="D1026" s="255" t="s">
        <v>660</v>
      </c>
      <c r="E1026" s="235">
        <v>9.0</v>
      </c>
      <c r="F1026" s="264">
        <v>1.0</v>
      </c>
      <c r="G1026" s="39">
        <f t="shared" si="1"/>
        <v>2350</v>
      </c>
      <c r="H1026" s="13" t="str">
        <f t="shared" si="2"/>
        <v>9 Signed Rep + 1 5-Star Review</v>
      </c>
      <c r="I1026" s="14"/>
      <c r="J1026" s="14"/>
    </row>
    <row r="1027" hidden="1">
      <c r="A1027" s="6" t="s">
        <v>298</v>
      </c>
      <c r="B1027" s="255" t="s">
        <v>661</v>
      </c>
      <c r="C1027" s="255" t="s">
        <v>662</v>
      </c>
      <c r="D1027" s="255" t="s">
        <v>663</v>
      </c>
      <c r="E1027" s="235">
        <v>13.0</v>
      </c>
      <c r="F1027" s="264">
        <v>0.0</v>
      </c>
      <c r="G1027" s="39">
        <f t="shared" si="1"/>
        <v>3250</v>
      </c>
      <c r="H1027" s="13" t="str">
        <f t="shared" si="2"/>
        <v>13 Signed Rep + 0 5-Star Review</v>
      </c>
      <c r="I1027" s="14"/>
      <c r="J1027" s="14"/>
    </row>
    <row r="1028" hidden="1">
      <c r="A1028" s="6" t="s">
        <v>298</v>
      </c>
      <c r="B1028" s="255" t="s">
        <v>664</v>
      </c>
      <c r="C1028" s="255" t="s">
        <v>665</v>
      </c>
      <c r="D1028" s="255" t="s">
        <v>666</v>
      </c>
      <c r="E1028" s="235">
        <v>21.0</v>
      </c>
      <c r="F1028" s="264">
        <v>0.0</v>
      </c>
      <c r="G1028" s="39">
        <f t="shared" si="1"/>
        <v>5250</v>
      </c>
      <c r="H1028" s="13" t="str">
        <f t="shared" si="2"/>
        <v>21 Signed Rep + 0 5-Star Review</v>
      </c>
      <c r="I1028" s="14"/>
      <c r="J1028" s="14"/>
    </row>
    <row r="1029" hidden="1">
      <c r="A1029" s="6" t="s">
        <v>298</v>
      </c>
      <c r="B1029" s="255" t="s">
        <v>667</v>
      </c>
      <c r="C1029" s="255" t="s">
        <v>668</v>
      </c>
      <c r="D1029" s="255" t="s">
        <v>669</v>
      </c>
      <c r="E1029" s="235">
        <v>12.0</v>
      </c>
      <c r="F1029" s="264">
        <v>0.0</v>
      </c>
      <c r="G1029" s="39">
        <f t="shared" si="1"/>
        <v>3000</v>
      </c>
      <c r="H1029" s="13" t="str">
        <f t="shared" si="2"/>
        <v>12 Signed Rep + 0 5-Star Review</v>
      </c>
      <c r="I1029" s="14"/>
      <c r="J1029" s="14"/>
    </row>
    <row r="1030" hidden="1">
      <c r="A1030" s="6" t="s">
        <v>298</v>
      </c>
      <c r="B1030" s="255" t="s">
        <v>670</v>
      </c>
      <c r="C1030" s="255" t="s">
        <v>671</v>
      </c>
      <c r="D1030" s="255" t="s">
        <v>672</v>
      </c>
      <c r="E1030" s="235">
        <v>6.0</v>
      </c>
      <c r="F1030" s="264">
        <v>0.0</v>
      </c>
      <c r="G1030" s="39">
        <f t="shared" si="1"/>
        <v>1500</v>
      </c>
      <c r="H1030" s="13" t="str">
        <f t="shared" si="2"/>
        <v>6 Signed Rep + 0 5-Star Review</v>
      </c>
      <c r="I1030" s="14"/>
      <c r="J1030" s="14"/>
    </row>
    <row r="1031" hidden="1">
      <c r="A1031" s="6" t="s">
        <v>298</v>
      </c>
      <c r="B1031" s="255" t="s">
        <v>673</v>
      </c>
      <c r="C1031" s="255" t="s">
        <v>674</v>
      </c>
      <c r="D1031" s="255" t="s">
        <v>675</v>
      </c>
      <c r="E1031" s="235">
        <v>12.0</v>
      </c>
      <c r="F1031" s="264">
        <v>0.0</v>
      </c>
      <c r="G1031" s="39">
        <f t="shared" si="1"/>
        <v>3000</v>
      </c>
      <c r="H1031" s="13" t="str">
        <f t="shared" si="2"/>
        <v>12 Signed Rep + 0 5-Star Review</v>
      </c>
      <c r="I1031" s="14"/>
      <c r="J1031" s="14"/>
    </row>
    <row r="1032" hidden="1">
      <c r="A1032" s="6" t="s">
        <v>298</v>
      </c>
      <c r="B1032" s="255" t="s">
        <v>676</v>
      </c>
      <c r="C1032" s="255" t="s">
        <v>677</v>
      </c>
      <c r="D1032" s="255" t="s">
        <v>678</v>
      </c>
      <c r="E1032" s="235">
        <v>10.0</v>
      </c>
      <c r="F1032" s="264">
        <v>0.0</v>
      </c>
      <c r="G1032" s="39">
        <f t="shared" si="1"/>
        <v>2500</v>
      </c>
      <c r="H1032" s="13" t="str">
        <f t="shared" si="2"/>
        <v>10 Signed Rep + 0 5-Star Review</v>
      </c>
      <c r="I1032" s="14"/>
      <c r="J1032" s="14"/>
    </row>
    <row r="1033" hidden="1">
      <c r="A1033" s="6" t="s">
        <v>298</v>
      </c>
      <c r="B1033" s="255" t="s">
        <v>679</v>
      </c>
      <c r="C1033" s="255" t="s">
        <v>680</v>
      </c>
      <c r="D1033" s="255" t="s">
        <v>821</v>
      </c>
      <c r="E1033" s="235">
        <v>6.0</v>
      </c>
      <c r="F1033" s="264">
        <v>5.0</v>
      </c>
      <c r="G1033" s="39">
        <f t="shared" si="1"/>
        <v>2000</v>
      </c>
      <c r="H1033" s="13" t="str">
        <f t="shared" si="2"/>
        <v>6 Signed Rep + 5 5-Star Review</v>
      </c>
      <c r="I1033" s="14"/>
      <c r="J1033" s="14"/>
    </row>
    <row r="1034" hidden="1">
      <c r="A1034" s="6" t="s">
        <v>298</v>
      </c>
      <c r="B1034" s="255" t="s">
        <v>682</v>
      </c>
      <c r="C1034" s="255" t="s">
        <v>683</v>
      </c>
      <c r="D1034" s="255" t="s">
        <v>684</v>
      </c>
      <c r="E1034" s="236">
        <v>5.0</v>
      </c>
      <c r="F1034" s="264">
        <v>0.0</v>
      </c>
      <c r="G1034" s="39">
        <f t="shared" si="1"/>
        <v>1250</v>
      </c>
      <c r="H1034" s="13" t="str">
        <f t="shared" si="2"/>
        <v>5 Signed Rep + 0 5-Star Review</v>
      </c>
      <c r="I1034" s="14"/>
      <c r="J1034" s="14"/>
    </row>
    <row r="1035" hidden="1">
      <c r="A1035" s="6" t="s">
        <v>298</v>
      </c>
      <c r="B1035" s="255" t="s">
        <v>685</v>
      </c>
      <c r="C1035" s="255" t="s">
        <v>686</v>
      </c>
      <c r="D1035" s="255" t="s">
        <v>687</v>
      </c>
      <c r="E1035" s="235">
        <v>11.0</v>
      </c>
      <c r="F1035" s="264">
        <v>0.0</v>
      </c>
      <c r="G1035" s="39">
        <f t="shared" si="1"/>
        <v>2750</v>
      </c>
      <c r="H1035" s="13" t="str">
        <f t="shared" si="2"/>
        <v>11 Signed Rep + 0 5-Star Review</v>
      </c>
      <c r="I1035" s="14"/>
      <c r="J1035" s="14"/>
    </row>
    <row r="1036" hidden="1">
      <c r="A1036" s="6" t="s">
        <v>298</v>
      </c>
      <c r="B1036" s="255" t="s">
        <v>688</v>
      </c>
      <c r="C1036" s="255" t="s">
        <v>689</v>
      </c>
      <c r="D1036" s="255" t="s">
        <v>690</v>
      </c>
      <c r="E1036" s="235">
        <v>13.0</v>
      </c>
      <c r="F1036" s="264">
        <v>0.0</v>
      </c>
      <c r="G1036" s="39">
        <f t="shared" si="1"/>
        <v>3250</v>
      </c>
      <c r="H1036" s="13" t="str">
        <f t="shared" si="2"/>
        <v>13 Signed Rep + 0 5-Star Review</v>
      </c>
      <c r="I1036" s="14"/>
      <c r="J1036" s="14"/>
    </row>
    <row r="1037" hidden="1">
      <c r="A1037" s="6" t="s">
        <v>298</v>
      </c>
      <c r="B1037" s="255" t="s">
        <v>691</v>
      </c>
      <c r="C1037" s="255" t="s">
        <v>692</v>
      </c>
      <c r="D1037" s="255" t="s">
        <v>693</v>
      </c>
      <c r="E1037" s="235">
        <v>13.0</v>
      </c>
      <c r="F1037" s="264">
        <v>0.0</v>
      </c>
      <c r="G1037" s="39">
        <f t="shared" si="1"/>
        <v>3250</v>
      </c>
      <c r="H1037" s="13" t="str">
        <f t="shared" si="2"/>
        <v>13 Signed Rep + 0 5-Star Review</v>
      </c>
      <c r="I1037" s="14"/>
      <c r="J1037" s="14"/>
    </row>
    <row r="1038" hidden="1">
      <c r="A1038" s="6" t="s">
        <v>298</v>
      </c>
      <c r="B1038" s="255" t="s">
        <v>694</v>
      </c>
      <c r="C1038" s="255" t="s">
        <v>695</v>
      </c>
      <c r="D1038" s="255" t="s">
        <v>696</v>
      </c>
      <c r="E1038" s="235">
        <v>8.0</v>
      </c>
      <c r="F1038" s="264">
        <v>1.0</v>
      </c>
      <c r="G1038" s="39">
        <f t="shared" si="1"/>
        <v>2100</v>
      </c>
      <c r="H1038" s="13" t="str">
        <f t="shared" si="2"/>
        <v>8 Signed Rep + 1 5-Star Review</v>
      </c>
      <c r="I1038" s="14"/>
      <c r="J1038" s="14"/>
    </row>
    <row r="1039" hidden="1">
      <c r="A1039" s="6" t="s">
        <v>298</v>
      </c>
      <c r="B1039" s="255" t="s">
        <v>697</v>
      </c>
      <c r="C1039" s="255" t="s">
        <v>698</v>
      </c>
      <c r="D1039" s="255" t="s">
        <v>699</v>
      </c>
      <c r="E1039" s="235">
        <v>9.0</v>
      </c>
      <c r="F1039" s="264">
        <v>0.0</v>
      </c>
      <c r="G1039" s="39">
        <f t="shared" si="1"/>
        <v>2250</v>
      </c>
      <c r="H1039" s="13" t="str">
        <f t="shared" si="2"/>
        <v>9 Signed Rep + 0 5-Star Review</v>
      </c>
      <c r="I1039" s="14"/>
      <c r="J1039" s="14"/>
    </row>
    <row r="1040" hidden="1">
      <c r="A1040" s="6" t="s">
        <v>298</v>
      </c>
      <c r="B1040" s="255" t="s">
        <v>700</v>
      </c>
      <c r="C1040" s="255" t="s">
        <v>701</v>
      </c>
      <c r="D1040" s="255" t="s">
        <v>702</v>
      </c>
      <c r="E1040" s="235">
        <v>7.0</v>
      </c>
      <c r="F1040" s="264">
        <v>0.0</v>
      </c>
      <c r="G1040" s="39">
        <f t="shared" si="1"/>
        <v>1750</v>
      </c>
      <c r="H1040" s="13" t="str">
        <f t="shared" si="2"/>
        <v>7 Signed Rep + 0 5-Star Review</v>
      </c>
      <c r="I1040" s="14"/>
      <c r="J1040" s="14"/>
    </row>
    <row r="1041" hidden="1">
      <c r="A1041" s="6" t="s">
        <v>298</v>
      </c>
      <c r="B1041" s="255" t="s">
        <v>703</v>
      </c>
      <c r="C1041" s="255" t="s">
        <v>704</v>
      </c>
      <c r="D1041" s="255" t="s">
        <v>705</v>
      </c>
      <c r="E1041" s="235">
        <v>7.0</v>
      </c>
      <c r="F1041" s="264">
        <v>2.0</v>
      </c>
      <c r="G1041" s="39">
        <f t="shared" si="1"/>
        <v>1950</v>
      </c>
      <c r="H1041" s="13" t="str">
        <f t="shared" si="2"/>
        <v>7 Signed Rep + 2 5-Star Review</v>
      </c>
      <c r="I1041" s="14"/>
      <c r="J1041" s="14"/>
    </row>
    <row r="1042" hidden="1">
      <c r="A1042" s="6" t="s">
        <v>298</v>
      </c>
      <c r="B1042" s="255" t="s">
        <v>706</v>
      </c>
      <c r="C1042" s="255" t="s">
        <v>707</v>
      </c>
      <c r="D1042" s="255" t="s">
        <v>708</v>
      </c>
      <c r="E1042" s="235">
        <v>8.0</v>
      </c>
      <c r="F1042" s="264">
        <v>0.0</v>
      </c>
      <c r="G1042" s="39">
        <f t="shared" si="1"/>
        <v>2000</v>
      </c>
      <c r="H1042" s="13" t="str">
        <f t="shared" si="2"/>
        <v>8 Signed Rep + 0 5-Star Review</v>
      </c>
      <c r="I1042" s="14"/>
      <c r="J1042" s="14"/>
    </row>
    <row r="1043" hidden="1">
      <c r="A1043" s="6" t="s">
        <v>298</v>
      </c>
      <c r="B1043" s="255" t="s">
        <v>709</v>
      </c>
      <c r="C1043" s="255" t="s">
        <v>710</v>
      </c>
      <c r="D1043" s="255" t="s">
        <v>711</v>
      </c>
      <c r="E1043" s="235">
        <v>10.0</v>
      </c>
      <c r="F1043" s="264">
        <v>0.0</v>
      </c>
      <c r="G1043" s="39">
        <f t="shared" si="1"/>
        <v>2500</v>
      </c>
      <c r="H1043" s="13" t="str">
        <f t="shared" si="2"/>
        <v>10 Signed Rep + 0 5-Star Review</v>
      </c>
      <c r="I1043" s="14"/>
      <c r="J1043" s="14"/>
    </row>
    <row r="1044" hidden="1">
      <c r="A1044" s="6" t="s">
        <v>298</v>
      </c>
      <c r="B1044" s="255" t="s">
        <v>712</v>
      </c>
      <c r="C1044" s="255" t="s">
        <v>713</v>
      </c>
      <c r="D1044" s="255" t="s">
        <v>714</v>
      </c>
      <c r="E1044" s="235">
        <v>6.0</v>
      </c>
      <c r="F1044" s="243">
        <v>0.0</v>
      </c>
      <c r="G1044" s="39">
        <f t="shared" si="1"/>
        <v>1500</v>
      </c>
      <c r="H1044" s="13" t="str">
        <f t="shared" si="2"/>
        <v>6 Signed Rep + 0 5-Star Review</v>
      </c>
      <c r="I1044" s="14"/>
      <c r="J1044" s="14"/>
    </row>
    <row r="1045" hidden="1">
      <c r="A1045" s="6" t="s">
        <v>298</v>
      </c>
      <c r="B1045" s="255" t="s">
        <v>799</v>
      </c>
      <c r="C1045" s="255" t="s">
        <v>800</v>
      </c>
      <c r="D1045" s="255" t="s">
        <v>801</v>
      </c>
      <c r="E1045" s="235">
        <v>15.0</v>
      </c>
      <c r="F1045" s="264">
        <v>1.0</v>
      </c>
      <c r="G1045" s="39">
        <f t="shared" si="1"/>
        <v>3850</v>
      </c>
      <c r="H1045" s="13" t="str">
        <f t="shared" si="2"/>
        <v>15 Signed Rep + 1 5-Star Review</v>
      </c>
      <c r="I1045" s="14"/>
      <c r="J1045" s="14"/>
    </row>
    <row r="1046" hidden="1">
      <c r="A1046" s="6" t="s">
        <v>298</v>
      </c>
      <c r="B1046" s="255" t="s">
        <v>795</v>
      </c>
      <c r="C1046" s="255" t="s">
        <v>796</v>
      </c>
      <c r="D1046" s="255" t="s">
        <v>797</v>
      </c>
      <c r="E1046" s="235">
        <v>11.0</v>
      </c>
      <c r="F1046" s="264">
        <v>0.0</v>
      </c>
      <c r="G1046" s="39">
        <f t="shared" si="1"/>
        <v>2750</v>
      </c>
      <c r="H1046" s="13" t="str">
        <f t="shared" si="2"/>
        <v>11 Signed Rep + 0 5-Star Review</v>
      </c>
      <c r="I1046" s="14"/>
      <c r="J1046" s="14"/>
    </row>
    <row r="1047" hidden="1">
      <c r="A1047" s="6" t="s">
        <v>298</v>
      </c>
      <c r="B1047" s="255" t="s">
        <v>715</v>
      </c>
      <c r="C1047" s="255" t="s">
        <v>716</v>
      </c>
      <c r="D1047" s="255" t="s">
        <v>717</v>
      </c>
      <c r="E1047" s="235">
        <v>4.0</v>
      </c>
      <c r="F1047" s="264">
        <v>0.0</v>
      </c>
      <c r="G1047" s="39">
        <f t="shared" si="1"/>
        <v>1000</v>
      </c>
      <c r="H1047" s="13" t="str">
        <f t="shared" si="2"/>
        <v>4 Signed Rep + 0 5-Star Review</v>
      </c>
      <c r="I1047" s="14"/>
      <c r="J1047" s="14"/>
    </row>
    <row r="1048" hidden="1">
      <c r="A1048" s="6" t="s">
        <v>298</v>
      </c>
      <c r="B1048" s="255" t="s">
        <v>718</v>
      </c>
      <c r="C1048" s="255" t="s">
        <v>719</v>
      </c>
      <c r="D1048" s="255" t="s">
        <v>720</v>
      </c>
      <c r="E1048" s="235">
        <v>7.0</v>
      </c>
      <c r="F1048" s="264">
        <v>0.0</v>
      </c>
      <c r="G1048" s="39">
        <f t="shared" si="1"/>
        <v>1750</v>
      </c>
      <c r="H1048" s="13" t="str">
        <f t="shared" si="2"/>
        <v>7 Signed Rep + 0 5-Star Review</v>
      </c>
      <c r="I1048" s="14"/>
      <c r="J1048" s="14"/>
    </row>
    <row r="1049" hidden="1">
      <c r="A1049" s="6" t="s">
        <v>298</v>
      </c>
      <c r="B1049" s="255" t="s">
        <v>721</v>
      </c>
      <c r="C1049" s="255" t="s">
        <v>722</v>
      </c>
      <c r="D1049" s="255" t="s">
        <v>723</v>
      </c>
      <c r="E1049" s="235">
        <v>12.0</v>
      </c>
      <c r="F1049" s="264">
        <v>4.0</v>
      </c>
      <c r="G1049" s="39">
        <f t="shared" si="1"/>
        <v>3400</v>
      </c>
      <c r="H1049" s="13" t="str">
        <f t="shared" si="2"/>
        <v>12 Signed Rep + 4 5-Star Review</v>
      </c>
      <c r="I1049" s="14"/>
      <c r="J1049" s="14"/>
    </row>
    <row r="1050" hidden="1">
      <c r="A1050" s="6" t="s">
        <v>298</v>
      </c>
      <c r="B1050" s="257" t="s">
        <v>724</v>
      </c>
      <c r="C1050" s="255" t="s">
        <v>725</v>
      </c>
      <c r="D1050" s="255" t="s">
        <v>726</v>
      </c>
      <c r="E1050" s="235">
        <v>5.0</v>
      </c>
      <c r="F1050" s="264">
        <v>0.0</v>
      </c>
      <c r="G1050" s="39">
        <f t="shared" si="1"/>
        <v>1250</v>
      </c>
      <c r="H1050" s="13" t="str">
        <f t="shared" si="2"/>
        <v>5 Signed Rep + 0 5-Star Review</v>
      </c>
      <c r="I1050" s="14"/>
      <c r="J1050" s="14"/>
    </row>
    <row r="1051" hidden="1">
      <c r="A1051" s="6" t="s">
        <v>298</v>
      </c>
      <c r="B1051" s="255" t="s">
        <v>727</v>
      </c>
      <c r="C1051" s="255" t="s">
        <v>728</v>
      </c>
      <c r="D1051" s="255" t="s">
        <v>729</v>
      </c>
      <c r="E1051" s="235">
        <v>6.0</v>
      </c>
      <c r="F1051" s="264">
        <v>0.0</v>
      </c>
      <c r="G1051" s="39">
        <f t="shared" si="1"/>
        <v>1500</v>
      </c>
      <c r="H1051" s="13" t="str">
        <f t="shared" si="2"/>
        <v>6 Signed Rep + 0 5-Star Review</v>
      </c>
      <c r="I1051" s="14"/>
      <c r="J1051" s="14"/>
    </row>
    <row r="1052" hidden="1">
      <c r="A1052" s="6" t="s">
        <v>298</v>
      </c>
      <c r="B1052" s="255" t="s">
        <v>730</v>
      </c>
      <c r="C1052" s="255" t="s">
        <v>731</v>
      </c>
      <c r="D1052" s="255" t="s">
        <v>732</v>
      </c>
      <c r="E1052" s="235">
        <v>9.0</v>
      </c>
      <c r="F1052" s="264">
        <v>1.0</v>
      </c>
      <c r="G1052" s="39">
        <f t="shared" si="1"/>
        <v>2350</v>
      </c>
      <c r="H1052" s="13" t="str">
        <f t="shared" si="2"/>
        <v>9 Signed Rep + 1 5-Star Review</v>
      </c>
      <c r="I1052" s="14"/>
      <c r="J1052" s="14"/>
    </row>
    <row r="1053" hidden="1">
      <c r="A1053" s="6" t="s">
        <v>298</v>
      </c>
      <c r="B1053" s="255" t="s">
        <v>733</v>
      </c>
      <c r="C1053" s="255" t="s">
        <v>734</v>
      </c>
      <c r="D1053" s="255" t="s">
        <v>735</v>
      </c>
      <c r="E1053" s="235">
        <v>7.0</v>
      </c>
      <c r="F1053" s="264">
        <v>0.0</v>
      </c>
      <c r="G1053" s="39">
        <f t="shared" si="1"/>
        <v>1750</v>
      </c>
      <c r="H1053" s="13" t="str">
        <f t="shared" si="2"/>
        <v>7 Signed Rep + 0 5-Star Review</v>
      </c>
      <c r="I1053" s="14"/>
      <c r="J1053" s="14"/>
    </row>
    <row r="1054" hidden="1">
      <c r="A1054" s="6" t="s">
        <v>298</v>
      </c>
      <c r="B1054" s="255" t="s">
        <v>736</v>
      </c>
      <c r="C1054" s="255" t="s">
        <v>737</v>
      </c>
      <c r="D1054" s="255" t="s">
        <v>738</v>
      </c>
      <c r="E1054" s="235">
        <v>7.0</v>
      </c>
      <c r="F1054" s="264">
        <v>1.0</v>
      </c>
      <c r="G1054" s="39">
        <f t="shared" si="1"/>
        <v>1850</v>
      </c>
      <c r="H1054" s="13" t="str">
        <f t="shared" si="2"/>
        <v>7 Signed Rep + 1 5-Star Review</v>
      </c>
      <c r="I1054" s="14"/>
      <c r="J1054" s="14"/>
    </row>
    <row r="1055" hidden="1">
      <c r="A1055" s="6" t="s">
        <v>298</v>
      </c>
      <c r="B1055" s="255" t="s">
        <v>739</v>
      </c>
      <c r="C1055" s="255" t="s">
        <v>740</v>
      </c>
      <c r="D1055" s="255" t="s">
        <v>741</v>
      </c>
      <c r="E1055" s="235">
        <v>10.0</v>
      </c>
      <c r="F1055" s="264">
        <v>0.0</v>
      </c>
      <c r="G1055" s="39">
        <f t="shared" si="1"/>
        <v>2500</v>
      </c>
      <c r="H1055" s="13" t="str">
        <f t="shared" si="2"/>
        <v>10 Signed Rep + 0 5-Star Review</v>
      </c>
      <c r="I1055" s="14"/>
      <c r="J1055" s="14"/>
    </row>
    <row r="1056" hidden="1">
      <c r="A1056" s="6" t="s">
        <v>298</v>
      </c>
      <c r="B1056" s="255" t="s">
        <v>742</v>
      </c>
      <c r="C1056" s="255" t="s">
        <v>743</v>
      </c>
      <c r="D1056" s="255" t="s">
        <v>744</v>
      </c>
      <c r="E1056" s="235">
        <v>5.0</v>
      </c>
      <c r="F1056" s="264">
        <v>0.0</v>
      </c>
      <c r="G1056" s="39">
        <f t="shared" si="1"/>
        <v>1250</v>
      </c>
      <c r="H1056" s="13" t="str">
        <f t="shared" si="2"/>
        <v>5 Signed Rep + 0 5-Star Review</v>
      </c>
      <c r="I1056" s="14"/>
      <c r="J1056" s="14"/>
    </row>
    <row r="1057" hidden="1">
      <c r="A1057" s="6" t="s">
        <v>298</v>
      </c>
      <c r="B1057" s="255" t="s">
        <v>816</v>
      </c>
      <c r="C1057" s="255" t="s">
        <v>817</v>
      </c>
      <c r="D1057" s="255" t="s">
        <v>818</v>
      </c>
      <c r="E1057" s="235">
        <v>5.0</v>
      </c>
      <c r="F1057" s="264">
        <v>0.0</v>
      </c>
      <c r="G1057" s="39">
        <f t="shared" si="1"/>
        <v>1250</v>
      </c>
      <c r="H1057" s="13" t="str">
        <f t="shared" si="2"/>
        <v>5 Signed Rep + 0 5-Star Review</v>
      </c>
      <c r="I1057" s="14"/>
      <c r="J1057" s="14"/>
    </row>
    <row r="1058" hidden="1">
      <c r="A1058" s="6" t="s">
        <v>298</v>
      </c>
      <c r="B1058" s="254" t="s">
        <v>745</v>
      </c>
      <c r="C1058" s="255" t="s">
        <v>746</v>
      </c>
      <c r="D1058" s="255" t="s">
        <v>747</v>
      </c>
      <c r="E1058" s="235">
        <v>9.0</v>
      </c>
      <c r="F1058" s="264">
        <v>0.0</v>
      </c>
      <c r="G1058" s="39">
        <f t="shared" si="1"/>
        <v>2250</v>
      </c>
      <c r="H1058" s="13" t="str">
        <f t="shared" si="2"/>
        <v>9 Signed Rep + 0 5-Star Review</v>
      </c>
      <c r="I1058" s="14"/>
      <c r="J1058" s="14"/>
    </row>
    <row r="1059" hidden="1">
      <c r="A1059" s="6" t="s">
        <v>298</v>
      </c>
      <c r="B1059" s="255" t="s">
        <v>748</v>
      </c>
      <c r="C1059" s="255" t="s">
        <v>749</v>
      </c>
      <c r="D1059" s="255" t="s">
        <v>750</v>
      </c>
      <c r="E1059" s="235">
        <v>7.0</v>
      </c>
      <c r="F1059" s="264">
        <v>0.0</v>
      </c>
      <c r="G1059" s="39">
        <f t="shared" si="1"/>
        <v>1750</v>
      </c>
      <c r="H1059" s="13" t="str">
        <f t="shared" si="2"/>
        <v>7 Signed Rep + 0 5-Star Review</v>
      </c>
      <c r="I1059" s="14"/>
      <c r="J1059" s="14"/>
    </row>
    <row r="1060" hidden="1">
      <c r="A1060" s="6" t="s">
        <v>298</v>
      </c>
      <c r="B1060" s="255" t="s">
        <v>788</v>
      </c>
      <c r="C1060" s="255" t="s">
        <v>789</v>
      </c>
      <c r="D1060" s="255" t="s">
        <v>790</v>
      </c>
      <c r="E1060" s="235">
        <v>10.0</v>
      </c>
      <c r="F1060" s="264">
        <v>0.0</v>
      </c>
      <c r="G1060" s="39">
        <f t="shared" si="1"/>
        <v>2500</v>
      </c>
      <c r="H1060" s="13" t="str">
        <f t="shared" si="2"/>
        <v>10 Signed Rep + 0 5-Star Review</v>
      </c>
      <c r="I1060" s="14"/>
      <c r="J1060" s="14"/>
    </row>
    <row r="1061" hidden="1">
      <c r="A1061" s="6" t="s">
        <v>298</v>
      </c>
      <c r="B1061" s="255" t="s">
        <v>751</v>
      </c>
      <c r="C1061" s="255" t="s">
        <v>752</v>
      </c>
      <c r="D1061" s="255" t="s">
        <v>753</v>
      </c>
      <c r="E1061" s="235">
        <v>13.0</v>
      </c>
      <c r="F1061" s="264">
        <v>0.0</v>
      </c>
      <c r="G1061" s="39">
        <f t="shared" si="1"/>
        <v>3250</v>
      </c>
      <c r="H1061" s="13" t="str">
        <f t="shared" si="2"/>
        <v>13 Signed Rep + 0 5-Star Review</v>
      </c>
      <c r="I1061" s="14"/>
      <c r="J1061" s="14"/>
    </row>
    <row r="1062" hidden="1">
      <c r="A1062" s="6" t="s">
        <v>298</v>
      </c>
      <c r="B1062" s="255" t="s">
        <v>754</v>
      </c>
      <c r="C1062" s="255" t="s">
        <v>755</v>
      </c>
      <c r="D1062" s="255" t="s">
        <v>756</v>
      </c>
      <c r="E1062" s="235">
        <v>7.0</v>
      </c>
      <c r="F1062" s="264">
        <v>0.0</v>
      </c>
      <c r="G1062" s="39">
        <f t="shared" si="1"/>
        <v>1750</v>
      </c>
      <c r="H1062" s="13" t="str">
        <f t="shared" si="2"/>
        <v>7 Signed Rep + 0 5-Star Review</v>
      </c>
      <c r="I1062" s="14"/>
      <c r="J1062" s="14"/>
    </row>
    <row r="1063" hidden="1">
      <c r="A1063" s="6" t="s">
        <v>298</v>
      </c>
      <c r="B1063" s="254" t="s">
        <v>757</v>
      </c>
      <c r="C1063" s="255" t="s">
        <v>758</v>
      </c>
      <c r="D1063" s="255" t="s">
        <v>759</v>
      </c>
      <c r="E1063" s="235">
        <v>17.0</v>
      </c>
      <c r="F1063" s="264">
        <v>7.0</v>
      </c>
      <c r="G1063" s="39">
        <f t="shared" si="1"/>
        <v>4950</v>
      </c>
      <c r="H1063" s="13" t="str">
        <f t="shared" si="2"/>
        <v>17 Signed Rep + 7 5-Star Review</v>
      </c>
      <c r="I1063" s="23"/>
      <c r="J1063" s="23"/>
    </row>
    <row r="1064" hidden="1">
      <c r="A1064" s="6" t="s">
        <v>298</v>
      </c>
      <c r="B1064" s="255" t="s">
        <v>219</v>
      </c>
      <c r="C1064" s="255" t="s">
        <v>220</v>
      </c>
      <c r="D1064" s="255" t="s">
        <v>760</v>
      </c>
      <c r="E1064" s="236">
        <v>8.0</v>
      </c>
      <c r="F1064" s="264">
        <v>0.0</v>
      </c>
      <c r="G1064" s="39">
        <f t="shared" si="1"/>
        <v>2000</v>
      </c>
      <c r="H1064" s="13" t="str">
        <f t="shared" si="2"/>
        <v>8 Signed Rep + 0 5-Star Review</v>
      </c>
      <c r="I1064" s="14"/>
      <c r="J1064" s="14"/>
    </row>
    <row r="1065" hidden="1">
      <c r="A1065" s="54" t="s">
        <v>299</v>
      </c>
      <c r="B1065" s="254" t="s">
        <v>642</v>
      </c>
      <c r="C1065" s="254" t="s">
        <v>643</v>
      </c>
      <c r="D1065" s="254" t="s">
        <v>644</v>
      </c>
      <c r="E1065" s="235">
        <v>5.0</v>
      </c>
      <c r="F1065" s="58">
        <v>0.0</v>
      </c>
      <c r="G1065" s="39">
        <f t="shared" si="1"/>
        <v>1250</v>
      </c>
      <c r="H1065" s="13" t="str">
        <f t="shared" si="2"/>
        <v>5 Signed Rep + 0 5-Star Review</v>
      </c>
      <c r="I1065" s="14"/>
      <c r="J1065" s="14"/>
    </row>
    <row r="1066" hidden="1">
      <c r="A1066" s="54" t="s">
        <v>299</v>
      </c>
      <c r="B1066" s="254" t="s">
        <v>645</v>
      </c>
      <c r="C1066" s="254" t="s">
        <v>646</v>
      </c>
      <c r="D1066" s="254" t="s">
        <v>647</v>
      </c>
      <c r="E1066" s="235">
        <v>8.0</v>
      </c>
      <c r="F1066" s="264">
        <v>1.0</v>
      </c>
      <c r="G1066" s="39">
        <f t="shared" si="1"/>
        <v>2100</v>
      </c>
      <c r="H1066" s="13" t="str">
        <f t="shared" si="2"/>
        <v>8 Signed Rep + 1 5-Star Review</v>
      </c>
      <c r="I1066" s="14"/>
      <c r="J1066" s="14"/>
    </row>
    <row r="1067" hidden="1">
      <c r="A1067" s="6" t="s">
        <v>299</v>
      </c>
      <c r="B1067" s="255" t="s">
        <v>648</v>
      </c>
      <c r="C1067" s="255" t="s">
        <v>649</v>
      </c>
      <c r="D1067" s="255" t="s">
        <v>650</v>
      </c>
      <c r="E1067" s="236">
        <v>11.0</v>
      </c>
      <c r="F1067" s="58">
        <v>0.0</v>
      </c>
      <c r="G1067" s="39">
        <f t="shared" si="1"/>
        <v>2750</v>
      </c>
      <c r="H1067" s="13" t="str">
        <f t="shared" si="2"/>
        <v>11 Signed Rep + 0 5-Star Review</v>
      </c>
      <c r="I1067" s="14"/>
      <c r="J1067" s="14"/>
    </row>
    <row r="1068" hidden="1">
      <c r="A1068" s="6" t="s">
        <v>299</v>
      </c>
      <c r="B1068" s="255" t="s">
        <v>651</v>
      </c>
      <c r="C1068" s="255" t="s">
        <v>652</v>
      </c>
      <c r="D1068" s="255" t="s">
        <v>653</v>
      </c>
      <c r="E1068" s="235">
        <v>7.0</v>
      </c>
      <c r="F1068" s="58">
        <v>0.0</v>
      </c>
      <c r="G1068" s="39">
        <f t="shared" si="1"/>
        <v>1750</v>
      </c>
      <c r="H1068" s="13" t="str">
        <f t="shared" si="2"/>
        <v>7 Signed Rep + 0 5-Star Review</v>
      </c>
      <c r="I1068" s="14"/>
      <c r="J1068" s="14"/>
    </row>
    <row r="1069" hidden="1">
      <c r="A1069" s="6" t="s">
        <v>299</v>
      </c>
      <c r="B1069" s="255" t="s">
        <v>809</v>
      </c>
      <c r="C1069" s="255" t="s">
        <v>810</v>
      </c>
      <c r="D1069" s="255" t="s">
        <v>811</v>
      </c>
      <c r="E1069" s="235">
        <v>5.0</v>
      </c>
      <c r="F1069" s="264">
        <v>2.0</v>
      </c>
      <c r="G1069" s="39">
        <f t="shared" si="1"/>
        <v>1450</v>
      </c>
      <c r="H1069" s="13" t="str">
        <f t="shared" si="2"/>
        <v>5 Signed Rep + 2 5-Star Review</v>
      </c>
      <c r="I1069" s="14"/>
      <c r="J1069" s="14"/>
    </row>
    <row r="1070" hidden="1">
      <c r="A1070" s="6" t="s">
        <v>299</v>
      </c>
      <c r="B1070" s="255" t="s">
        <v>654</v>
      </c>
      <c r="C1070" s="255" t="s">
        <v>655</v>
      </c>
      <c r="D1070" s="255" t="s">
        <v>656</v>
      </c>
      <c r="E1070" s="236">
        <v>7.0</v>
      </c>
      <c r="F1070" s="58">
        <v>0.0</v>
      </c>
      <c r="G1070" s="39">
        <f t="shared" si="1"/>
        <v>1750</v>
      </c>
      <c r="H1070" s="13" t="str">
        <f t="shared" si="2"/>
        <v>7 Signed Rep + 0 5-Star Review</v>
      </c>
      <c r="I1070" s="14"/>
      <c r="J1070" s="14"/>
    </row>
    <row r="1071" hidden="1">
      <c r="A1071" s="6" t="s">
        <v>299</v>
      </c>
      <c r="B1071" s="255" t="s">
        <v>812</v>
      </c>
      <c r="C1071" s="255" t="s">
        <v>813</v>
      </c>
      <c r="D1071" s="255" t="s">
        <v>814</v>
      </c>
      <c r="E1071" s="235">
        <v>8.0</v>
      </c>
      <c r="F1071" s="58">
        <v>0.0</v>
      </c>
      <c r="G1071" s="39">
        <f t="shared" si="1"/>
        <v>2000</v>
      </c>
      <c r="H1071" s="13" t="str">
        <f t="shared" si="2"/>
        <v>8 Signed Rep + 0 5-Star Review</v>
      </c>
      <c r="I1071" s="14"/>
      <c r="J1071" s="14"/>
    </row>
    <row r="1072" hidden="1">
      <c r="A1072" s="6" t="s">
        <v>299</v>
      </c>
      <c r="B1072" s="255" t="s">
        <v>657</v>
      </c>
      <c r="C1072" s="255" t="s">
        <v>658</v>
      </c>
      <c r="D1072" s="255" t="s">
        <v>659</v>
      </c>
      <c r="E1072" s="235">
        <v>9.0</v>
      </c>
      <c r="F1072" s="58">
        <v>0.0</v>
      </c>
      <c r="G1072" s="39">
        <f t="shared" si="1"/>
        <v>2250</v>
      </c>
      <c r="H1072" s="13" t="str">
        <f t="shared" si="2"/>
        <v>9 Signed Rep + 0 5-Star Review</v>
      </c>
      <c r="I1072" s="14"/>
      <c r="J1072" s="14"/>
    </row>
    <row r="1073" hidden="1">
      <c r="A1073" s="6" t="s">
        <v>299</v>
      </c>
      <c r="B1073" s="255" t="s">
        <v>213</v>
      </c>
      <c r="C1073" s="255" t="s">
        <v>214</v>
      </c>
      <c r="D1073" s="255" t="s">
        <v>660</v>
      </c>
      <c r="E1073" s="235">
        <v>14.0</v>
      </c>
      <c r="F1073" s="58">
        <v>0.0</v>
      </c>
      <c r="G1073" s="39">
        <f t="shared" si="1"/>
        <v>3500</v>
      </c>
      <c r="H1073" s="13" t="str">
        <f t="shared" si="2"/>
        <v>14 Signed Rep + 0 5-Star Review</v>
      </c>
      <c r="I1073" s="14"/>
      <c r="J1073" s="14"/>
    </row>
    <row r="1074" hidden="1">
      <c r="A1074" s="6" t="s">
        <v>299</v>
      </c>
      <c r="B1074" s="255" t="s">
        <v>661</v>
      </c>
      <c r="C1074" s="255" t="s">
        <v>662</v>
      </c>
      <c r="D1074" s="255" t="s">
        <v>663</v>
      </c>
      <c r="E1074" s="235">
        <v>22.0</v>
      </c>
      <c r="F1074" s="58">
        <v>0.0</v>
      </c>
      <c r="G1074" s="39">
        <f t="shared" si="1"/>
        <v>5500</v>
      </c>
      <c r="H1074" s="13" t="str">
        <f t="shared" si="2"/>
        <v>22 Signed Rep + 0 5-Star Review</v>
      </c>
      <c r="I1074" s="14"/>
      <c r="J1074" s="14"/>
    </row>
    <row r="1075" hidden="1">
      <c r="A1075" s="6" t="s">
        <v>299</v>
      </c>
      <c r="B1075" s="255" t="s">
        <v>664</v>
      </c>
      <c r="C1075" s="255" t="s">
        <v>665</v>
      </c>
      <c r="D1075" s="255" t="s">
        <v>666</v>
      </c>
      <c r="E1075" s="235">
        <v>26.0</v>
      </c>
      <c r="F1075" s="58">
        <v>0.0</v>
      </c>
      <c r="G1075" s="39">
        <f t="shared" si="1"/>
        <v>6500</v>
      </c>
      <c r="H1075" s="13" t="str">
        <f t="shared" si="2"/>
        <v>26 Signed Rep + 0 5-Star Review</v>
      </c>
      <c r="I1075" s="14"/>
      <c r="J1075" s="14"/>
    </row>
    <row r="1076" hidden="1">
      <c r="A1076" s="6" t="s">
        <v>299</v>
      </c>
      <c r="B1076" s="255" t="s">
        <v>667</v>
      </c>
      <c r="C1076" s="255" t="s">
        <v>668</v>
      </c>
      <c r="D1076" s="255" t="s">
        <v>669</v>
      </c>
      <c r="E1076" s="235">
        <v>13.0</v>
      </c>
      <c r="F1076" s="264">
        <v>1.0</v>
      </c>
      <c r="G1076" s="39">
        <f t="shared" si="1"/>
        <v>3350</v>
      </c>
      <c r="H1076" s="13" t="str">
        <f t="shared" si="2"/>
        <v>13 Signed Rep + 1 5-Star Review</v>
      </c>
      <c r="I1076" s="14"/>
      <c r="J1076" s="14"/>
    </row>
    <row r="1077" hidden="1">
      <c r="A1077" s="6" t="s">
        <v>299</v>
      </c>
      <c r="B1077" s="255" t="s">
        <v>670</v>
      </c>
      <c r="C1077" s="255" t="s">
        <v>671</v>
      </c>
      <c r="D1077" s="255" t="s">
        <v>672</v>
      </c>
      <c r="E1077" s="235">
        <v>12.0</v>
      </c>
      <c r="F1077" s="58">
        <v>0.0</v>
      </c>
      <c r="G1077" s="39">
        <f t="shared" si="1"/>
        <v>3000</v>
      </c>
      <c r="H1077" s="13" t="str">
        <f t="shared" si="2"/>
        <v>12 Signed Rep + 0 5-Star Review</v>
      </c>
      <c r="I1077" s="14"/>
      <c r="J1077" s="14"/>
    </row>
    <row r="1078" hidden="1">
      <c r="A1078" s="6" t="s">
        <v>299</v>
      </c>
      <c r="B1078" s="255" t="s">
        <v>673</v>
      </c>
      <c r="C1078" s="255" t="s">
        <v>674</v>
      </c>
      <c r="D1078" s="255" t="s">
        <v>675</v>
      </c>
      <c r="E1078" s="235">
        <v>15.0</v>
      </c>
      <c r="F1078" s="58">
        <v>0.0</v>
      </c>
      <c r="G1078" s="39">
        <f t="shared" si="1"/>
        <v>3750</v>
      </c>
      <c r="H1078" s="13" t="str">
        <f t="shared" si="2"/>
        <v>15 Signed Rep + 0 5-Star Review</v>
      </c>
      <c r="I1078" s="14"/>
      <c r="J1078" s="14"/>
    </row>
    <row r="1079" hidden="1">
      <c r="A1079" s="6" t="s">
        <v>299</v>
      </c>
      <c r="B1079" s="255" t="s">
        <v>676</v>
      </c>
      <c r="C1079" s="255" t="s">
        <v>677</v>
      </c>
      <c r="D1079" s="255" t="s">
        <v>678</v>
      </c>
      <c r="E1079" s="235">
        <v>14.0</v>
      </c>
      <c r="F1079" s="58">
        <v>0.0</v>
      </c>
      <c r="G1079" s="39">
        <f t="shared" si="1"/>
        <v>3500</v>
      </c>
      <c r="H1079" s="13" t="str">
        <f t="shared" si="2"/>
        <v>14 Signed Rep + 0 5-Star Review</v>
      </c>
      <c r="I1079" s="14"/>
      <c r="J1079" s="14"/>
    </row>
    <row r="1080" hidden="1">
      <c r="A1080" s="6" t="s">
        <v>299</v>
      </c>
      <c r="B1080" s="255" t="s">
        <v>679</v>
      </c>
      <c r="C1080" s="255" t="s">
        <v>680</v>
      </c>
      <c r="D1080" s="255" t="s">
        <v>822</v>
      </c>
      <c r="E1080" s="235">
        <v>10.0</v>
      </c>
      <c r="F1080" s="264">
        <v>4.0</v>
      </c>
      <c r="G1080" s="39">
        <f t="shared" si="1"/>
        <v>2900</v>
      </c>
      <c r="H1080" s="13" t="str">
        <f t="shared" si="2"/>
        <v>10 Signed Rep + 4 5-Star Review</v>
      </c>
      <c r="I1080" s="14"/>
      <c r="J1080" s="14"/>
    </row>
    <row r="1081" hidden="1">
      <c r="A1081" s="6" t="s">
        <v>299</v>
      </c>
      <c r="B1081" s="255" t="s">
        <v>682</v>
      </c>
      <c r="C1081" s="255" t="s">
        <v>683</v>
      </c>
      <c r="D1081" s="255" t="s">
        <v>684</v>
      </c>
      <c r="E1081" s="236">
        <v>10.0</v>
      </c>
      <c r="F1081" s="58">
        <v>0.0</v>
      </c>
      <c r="G1081" s="39">
        <f t="shared" si="1"/>
        <v>2500</v>
      </c>
      <c r="H1081" s="13" t="str">
        <f t="shared" si="2"/>
        <v>10 Signed Rep + 0 5-Star Review</v>
      </c>
      <c r="I1081" s="14"/>
      <c r="J1081" s="14"/>
    </row>
    <row r="1082" hidden="1">
      <c r="A1082" s="6" t="s">
        <v>299</v>
      </c>
      <c r="B1082" s="255" t="s">
        <v>685</v>
      </c>
      <c r="C1082" s="255" t="s">
        <v>686</v>
      </c>
      <c r="D1082" s="255" t="s">
        <v>687</v>
      </c>
      <c r="E1082" s="235">
        <v>14.0</v>
      </c>
      <c r="F1082" s="58">
        <v>0.0</v>
      </c>
      <c r="G1082" s="39">
        <f t="shared" si="1"/>
        <v>3500</v>
      </c>
      <c r="H1082" s="13" t="str">
        <f t="shared" si="2"/>
        <v>14 Signed Rep + 0 5-Star Review</v>
      </c>
      <c r="I1082" s="14"/>
      <c r="J1082" s="14"/>
    </row>
    <row r="1083" hidden="1">
      <c r="A1083" s="6" t="s">
        <v>299</v>
      </c>
      <c r="B1083" s="255" t="s">
        <v>688</v>
      </c>
      <c r="C1083" s="255" t="s">
        <v>689</v>
      </c>
      <c r="D1083" s="255" t="s">
        <v>690</v>
      </c>
      <c r="E1083" s="235">
        <v>20.0</v>
      </c>
      <c r="F1083" s="58">
        <v>0.0</v>
      </c>
      <c r="G1083" s="39">
        <f t="shared" si="1"/>
        <v>5000</v>
      </c>
      <c r="H1083" s="13" t="str">
        <f t="shared" si="2"/>
        <v>20 Signed Rep + 0 5-Star Review</v>
      </c>
      <c r="I1083" s="14"/>
      <c r="J1083" s="14"/>
    </row>
    <row r="1084" hidden="1">
      <c r="A1084" s="6" t="s">
        <v>299</v>
      </c>
      <c r="B1084" s="255" t="s">
        <v>691</v>
      </c>
      <c r="C1084" s="255" t="s">
        <v>692</v>
      </c>
      <c r="D1084" s="255" t="s">
        <v>693</v>
      </c>
      <c r="E1084" s="235">
        <v>12.0</v>
      </c>
      <c r="F1084" s="58">
        <v>0.0</v>
      </c>
      <c r="G1084" s="39">
        <f t="shared" si="1"/>
        <v>3000</v>
      </c>
      <c r="H1084" s="13" t="str">
        <f t="shared" si="2"/>
        <v>12 Signed Rep + 0 5-Star Review</v>
      </c>
      <c r="I1084" s="14"/>
      <c r="J1084" s="14"/>
    </row>
    <row r="1085" hidden="1">
      <c r="A1085" s="6" t="s">
        <v>299</v>
      </c>
      <c r="B1085" s="255" t="s">
        <v>694</v>
      </c>
      <c r="C1085" s="255" t="s">
        <v>695</v>
      </c>
      <c r="D1085" s="255" t="s">
        <v>696</v>
      </c>
      <c r="E1085" s="235">
        <v>16.0</v>
      </c>
      <c r="F1085" s="264">
        <v>1.0</v>
      </c>
      <c r="G1085" s="39">
        <f t="shared" si="1"/>
        <v>4100</v>
      </c>
      <c r="H1085" s="13" t="str">
        <f t="shared" si="2"/>
        <v>16 Signed Rep + 1 5-Star Review</v>
      </c>
      <c r="I1085" s="14"/>
      <c r="J1085" s="14"/>
    </row>
    <row r="1086" hidden="1">
      <c r="A1086" s="6" t="s">
        <v>299</v>
      </c>
      <c r="B1086" s="255" t="s">
        <v>697</v>
      </c>
      <c r="C1086" s="255" t="s">
        <v>698</v>
      </c>
      <c r="D1086" s="255" t="s">
        <v>699</v>
      </c>
      <c r="E1086" s="235">
        <v>16.0</v>
      </c>
      <c r="F1086" s="264">
        <v>2.0</v>
      </c>
      <c r="G1086" s="39">
        <f t="shared" si="1"/>
        <v>4200</v>
      </c>
      <c r="H1086" s="13" t="str">
        <f t="shared" si="2"/>
        <v>16 Signed Rep + 2 5-Star Review</v>
      </c>
      <c r="I1086" s="14"/>
      <c r="J1086" s="14"/>
    </row>
    <row r="1087" hidden="1">
      <c r="A1087" s="6" t="s">
        <v>299</v>
      </c>
      <c r="B1087" s="255" t="s">
        <v>700</v>
      </c>
      <c r="C1087" s="255" t="s">
        <v>701</v>
      </c>
      <c r="D1087" s="255" t="s">
        <v>702</v>
      </c>
      <c r="E1087" s="235">
        <v>13.0</v>
      </c>
      <c r="F1087" s="58">
        <v>0.0</v>
      </c>
      <c r="G1087" s="39">
        <f t="shared" si="1"/>
        <v>3250</v>
      </c>
      <c r="H1087" s="13" t="str">
        <f t="shared" si="2"/>
        <v>13 Signed Rep + 0 5-Star Review</v>
      </c>
      <c r="I1087" s="14"/>
      <c r="J1087" s="14"/>
    </row>
    <row r="1088" hidden="1">
      <c r="A1088" s="6" t="s">
        <v>299</v>
      </c>
      <c r="B1088" s="255" t="s">
        <v>703</v>
      </c>
      <c r="C1088" s="255" t="s">
        <v>704</v>
      </c>
      <c r="D1088" s="255" t="s">
        <v>705</v>
      </c>
      <c r="E1088" s="235">
        <v>12.0</v>
      </c>
      <c r="F1088" s="58">
        <v>0.0</v>
      </c>
      <c r="G1088" s="39">
        <f t="shared" si="1"/>
        <v>3000</v>
      </c>
      <c r="H1088" s="13" t="str">
        <f t="shared" si="2"/>
        <v>12 Signed Rep + 0 5-Star Review</v>
      </c>
      <c r="I1088" s="14"/>
      <c r="J1088" s="14"/>
    </row>
    <row r="1089" hidden="1">
      <c r="A1089" s="6" t="s">
        <v>299</v>
      </c>
      <c r="B1089" s="255" t="s">
        <v>706</v>
      </c>
      <c r="C1089" s="255" t="s">
        <v>707</v>
      </c>
      <c r="D1089" s="255" t="s">
        <v>708</v>
      </c>
      <c r="E1089" s="235">
        <v>9.0</v>
      </c>
      <c r="F1089" s="58">
        <v>0.0</v>
      </c>
      <c r="G1089" s="39">
        <f t="shared" si="1"/>
        <v>2250</v>
      </c>
      <c r="H1089" s="13" t="str">
        <f t="shared" si="2"/>
        <v>9 Signed Rep + 0 5-Star Review</v>
      </c>
      <c r="I1089" s="14"/>
      <c r="J1089" s="14"/>
    </row>
    <row r="1090" hidden="1">
      <c r="A1090" s="6" t="s">
        <v>299</v>
      </c>
      <c r="B1090" s="255" t="s">
        <v>709</v>
      </c>
      <c r="C1090" s="255" t="s">
        <v>710</v>
      </c>
      <c r="D1090" s="255" t="s">
        <v>711</v>
      </c>
      <c r="E1090" s="235">
        <v>16.0</v>
      </c>
      <c r="F1090" s="58">
        <v>0.0</v>
      </c>
      <c r="G1090" s="39">
        <f t="shared" si="1"/>
        <v>4000</v>
      </c>
      <c r="H1090" s="13" t="str">
        <f t="shared" si="2"/>
        <v>16 Signed Rep + 0 5-Star Review</v>
      </c>
      <c r="I1090" s="14"/>
      <c r="J1090" s="14"/>
    </row>
    <row r="1091" hidden="1">
      <c r="A1091" s="6" t="s">
        <v>299</v>
      </c>
      <c r="B1091" s="255" t="s">
        <v>712</v>
      </c>
      <c r="C1091" s="255" t="s">
        <v>713</v>
      </c>
      <c r="D1091" s="255" t="s">
        <v>714</v>
      </c>
      <c r="E1091" s="235">
        <v>16.0</v>
      </c>
      <c r="F1091" s="58">
        <v>0.0</v>
      </c>
      <c r="G1091" s="39">
        <f t="shared" si="1"/>
        <v>4000</v>
      </c>
      <c r="H1091" s="13" t="str">
        <f t="shared" si="2"/>
        <v>16 Signed Rep + 0 5-Star Review</v>
      </c>
      <c r="I1091" s="14"/>
      <c r="J1091" s="14"/>
    </row>
    <row r="1092" hidden="1">
      <c r="A1092" s="6" t="s">
        <v>299</v>
      </c>
      <c r="B1092" s="255" t="s">
        <v>799</v>
      </c>
      <c r="C1092" s="255" t="s">
        <v>800</v>
      </c>
      <c r="D1092" s="255" t="s">
        <v>801</v>
      </c>
      <c r="E1092" s="235">
        <v>13.0</v>
      </c>
      <c r="F1092" s="58">
        <v>0.0</v>
      </c>
      <c r="G1092" s="39">
        <f t="shared" si="1"/>
        <v>3250</v>
      </c>
      <c r="H1092" s="13" t="str">
        <f t="shared" si="2"/>
        <v>13 Signed Rep + 0 5-Star Review</v>
      </c>
      <c r="I1092" s="14"/>
      <c r="J1092" s="14"/>
    </row>
    <row r="1093" hidden="1">
      <c r="A1093" s="6" t="s">
        <v>299</v>
      </c>
      <c r="B1093" s="255" t="s">
        <v>795</v>
      </c>
      <c r="C1093" s="255" t="s">
        <v>796</v>
      </c>
      <c r="D1093" s="255" t="s">
        <v>797</v>
      </c>
      <c r="E1093" s="235">
        <v>11.0</v>
      </c>
      <c r="F1093" s="58">
        <v>0.0</v>
      </c>
      <c r="G1093" s="39">
        <f t="shared" si="1"/>
        <v>2750</v>
      </c>
      <c r="H1093" s="13" t="str">
        <f t="shared" si="2"/>
        <v>11 Signed Rep + 0 5-Star Review</v>
      </c>
      <c r="I1093" s="14"/>
      <c r="J1093" s="14"/>
    </row>
    <row r="1094" hidden="1">
      <c r="A1094" s="6" t="s">
        <v>299</v>
      </c>
      <c r="B1094" s="255" t="s">
        <v>715</v>
      </c>
      <c r="C1094" s="255" t="s">
        <v>716</v>
      </c>
      <c r="D1094" s="255" t="s">
        <v>717</v>
      </c>
      <c r="E1094" s="235">
        <v>10.0</v>
      </c>
      <c r="F1094" s="264">
        <v>1.0</v>
      </c>
      <c r="G1094" s="39">
        <f t="shared" si="1"/>
        <v>2600</v>
      </c>
      <c r="H1094" s="13" t="str">
        <f t="shared" si="2"/>
        <v>10 Signed Rep + 1 5-Star Review</v>
      </c>
      <c r="I1094" s="14"/>
      <c r="J1094" s="14"/>
    </row>
    <row r="1095" hidden="1">
      <c r="A1095" s="6" t="s">
        <v>299</v>
      </c>
      <c r="B1095" s="255" t="s">
        <v>718</v>
      </c>
      <c r="C1095" s="255" t="s">
        <v>719</v>
      </c>
      <c r="D1095" s="255" t="s">
        <v>720</v>
      </c>
      <c r="E1095" s="235">
        <v>13.0</v>
      </c>
      <c r="F1095" s="58">
        <v>0.0</v>
      </c>
      <c r="G1095" s="39">
        <f t="shared" si="1"/>
        <v>3250</v>
      </c>
      <c r="H1095" s="13" t="str">
        <f t="shared" si="2"/>
        <v>13 Signed Rep + 0 5-Star Review</v>
      </c>
      <c r="I1095" s="14"/>
      <c r="J1095" s="14"/>
    </row>
    <row r="1096" hidden="1">
      <c r="A1096" s="6" t="s">
        <v>299</v>
      </c>
      <c r="B1096" s="255" t="s">
        <v>721</v>
      </c>
      <c r="C1096" s="255" t="s">
        <v>722</v>
      </c>
      <c r="D1096" s="255" t="s">
        <v>723</v>
      </c>
      <c r="E1096" s="235">
        <v>19.0</v>
      </c>
      <c r="F1096" s="264">
        <v>5.0</v>
      </c>
      <c r="G1096" s="39">
        <f t="shared" si="1"/>
        <v>5250</v>
      </c>
      <c r="H1096" s="13" t="str">
        <f t="shared" si="2"/>
        <v>19 Signed Rep + 5 5-Star Review</v>
      </c>
      <c r="I1096" s="14"/>
      <c r="J1096" s="14"/>
    </row>
    <row r="1097" hidden="1">
      <c r="A1097" s="6" t="s">
        <v>299</v>
      </c>
      <c r="B1097" s="257" t="s">
        <v>724</v>
      </c>
      <c r="C1097" s="255" t="s">
        <v>725</v>
      </c>
      <c r="D1097" s="255" t="s">
        <v>726</v>
      </c>
      <c r="E1097" s="235">
        <v>12.0</v>
      </c>
      <c r="F1097" s="58">
        <v>0.0</v>
      </c>
      <c r="G1097" s="39">
        <f t="shared" si="1"/>
        <v>3000</v>
      </c>
      <c r="H1097" s="13" t="str">
        <f t="shared" si="2"/>
        <v>12 Signed Rep + 0 5-Star Review</v>
      </c>
      <c r="I1097" s="14"/>
      <c r="J1097" s="14"/>
    </row>
    <row r="1098" hidden="1">
      <c r="A1098" s="6" t="s">
        <v>299</v>
      </c>
      <c r="B1098" s="255" t="s">
        <v>727</v>
      </c>
      <c r="C1098" s="255" t="s">
        <v>728</v>
      </c>
      <c r="D1098" s="255" t="s">
        <v>729</v>
      </c>
      <c r="E1098" s="235">
        <v>10.0</v>
      </c>
      <c r="F1098" s="58">
        <v>0.0</v>
      </c>
      <c r="G1098" s="39">
        <f t="shared" si="1"/>
        <v>2500</v>
      </c>
      <c r="H1098" s="13" t="str">
        <f t="shared" si="2"/>
        <v>10 Signed Rep + 0 5-Star Review</v>
      </c>
      <c r="I1098" s="14"/>
      <c r="J1098" s="14"/>
    </row>
    <row r="1099" hidden="1">
      <c r="A1099" s="6" t="s">
        <v>299</v>
      </c>
      <c r="B1099" s="255" t="s">
        <v>730</v>
      </c>
      <c r="C1099" s="255" t="s">
        <v>731</v>
      </c>
      <c r="D1099" s="255" t="s">
        <v>732</v>
      </c>
      <c r="E1099" s="235">
        <v>15.0</v>
      </c>
      <c r="F1099" s="58">
        <v>0.0</v>
      </c>
      <c r="G1099" s="39">
        <f t="shared" si="1"/>
        <v>3750</v>
      </c>
      <c r="H1099" s="13" t="str">
        <f t="shared" si="2"/>
        <v>15 Signed Rep + 0 5-Star Review</v>
      </c>
      <c r="I1099" s="14"/>
      <c r="J1099" s="14"/>
    </row>
    <row r="1100" hidden="1">
      <c r="A1100" s="6" t="s">
        <v>299</v>
      </c>
      <c r="B1100" s="255" t="s">
        <v>733</v>
      </c>
      <c r="C1100" s="255" t="s">
        <v>734</v>
      </c>
      <c r="D1100" s="255" t="s">
        <v>735</v>
      </c>
      <c r="E1100" s="235">
        <v>11.0</v>
      </c>
      <c r="F1100" s="58">
        <v>0.0</v>
      </c>
      <c r="G1100" s="39">
        <f t="shared" si="1"/>
        <v>2750</v>
      </c>
      <c r="H1100" s="13" t="str">
        <f t="shared" si="2"/>
        <v>11 Signed Rep + 0 5-Star Review</v>
      </c>
      <c r="I1100" s="14"/>
      <c r="J1100" s="14"/>
    </row>
    <row r="1101" hidden="1">
      <c r="A1101" s="6" t="s">
        <v>299</v>
      </c>
      <c r="B1101" s="255" t="s">
        <v>736</v>
      </c>
      <c r="C1101" s="255" t="s">
        <v>737</v>
      </c>
      <c r="D1101" s="255" t="s">
        <v>738</v>
      </c>
      <c r="E1101" s="235">
        <v>11.0</v>
      </c>
      <c r="F1101" s="58">
        <v>0.0</v>
      </c>
      <c r="G1101" s="39">
        <f t="shared" si="1"/>
        <v>2750</v>
      </c>
      <c r="H1101" s="13" t="str">
        <f t="shared" si="2"/>
        <v>11 Signed Rep + 0 5-Star Review</v>
      </c>
      <c r="I1101" s="14"/>
      <c r="J1101" s="14"/>
    </row>
    <row r="1102" hidden="1">
      <c r="A1102" s="6" t="s">
        <v>299</v>
      </c>
      <c r="B1102" s="255" t="s">
        <v>739</v>
      </c>
      <c r="C1102" s="255" t="s">
        <v>740</v>
      </c>
      <c r="D1102" s="255" t="s">
        <v>741</v>
      </c>
      <c r="E1102" s="235">
        <v>9.0</v>
      </c>
      <c r="F1102" s="58">
        <v>0.0</v>
      </c>
      <c r="G1102" s="39">
        <f t="shared" si="1"/>
        <v>2250</v>
      </c>
      <c r="H1102" s="13" t="str">
        <f t="shared" si="2"/>
        <v>9 Signed Rep + 0 5-Star Review</v>
      </c>
      <c r="I1102" s="14"/>
      <c r="J1102" s="14"/>
    </row>
    <row r="1103" hidden="1">
      <c r="A1103" s="6" t="s">
        <v>299</v>
      </c>
      <c r="B1103" s="255" t="s">
        <v>742</v>
      </c>
      <c r="C1103" s="255" t="s">
        <v>743</v>
      </c>
      <c r="D1103" s="255" t="s">
        <v>744</v>
      </c>
      <c r="E1103" s="235">
        <v>11.0</v>
      </c>
      <c r="F1103" s="264">
        <v>2.0</v>
      </c>
      <c r="G1103" s="39">
        <f t="shared" si="1"/>
        <v>2950</v>
      </c>
      <c r="H1103" s="13" t="str">
        <f t="shared" si="2"/>
        <v>11 Signed Rep + 2 5-Star Review</v>
      </c>
      <c r="I1103" s="14"/>
      <c r="J1103" s="14"/>
    </row>
    <row r="1104" hidden="1">
      <c r="A1104" s="6" t="s">
        <v>299</v>
      </c>
      <c r="B1104" s="255" t="s">
        <v>816</v>
      </c>
      <c r="C1104" s="255" t="s">
        <v>817</v>
      </c>
      <c r="D1104" s="255" t="s">
        <v>818</v>
      </c>
      <c r="E1104" s="235">
        <v>10.0</v>
      </c>
      <c r="F1104" s="58">
        <v>0.0</v>
      </c>
      <c r="G1104" s="39">
        <f t="shared" si="1"/>
        <v>2500</v>
      </c>
      <c r="H1104" s="13" t="str">
        <f t="shared" si="2"/>
        <v>10 Signed Rep + 0 5-Star Review</v>
      </c>
      <c r="I1104" s="14"/>
      <c r="J1104" s="14"/>
    </row>
    <row r="1105" hidden="1">
      <c r="A1105" s="6" t="s">
        <v>299</v>
      </c>
      <c r="B1105" s="254" t="s">
        <v>745</v>
      </c>
      <c r="C1105" s="255" t="s">
        <v>746</v>
      </c>
      <c r="D1105" s="255" t="s">
        <v>747</v>
      </c>
      <c r="E1105" s="235">
        <v>8.0</v>
      </c>
      <c r="F1105" s="58">
        <v>0.0</v>
      </c>
      <c r="G1105" s="39">
        <f t="shared" si="1"/>
        <v>2000</v>
      </c>
      <c r="H1105" s="13" t="str">
        <f t="shared" si="2"/>
        <v>8 Signed Rep + 0 5-Star Review</v>
      </c>
      <c r="I1105" s="14"/>
      <c r="J1105" s="14"/>
    </row>
    <row r="1106" hidden="1">
      <c r="A1106" s="6" t="s">
        <v>299</v>
      </c>
      <c r="B1106" s="255" t="s">
        <v>748</v>
      </c>
      <c r="C1106" s="255" t="s">
        <v>749</v>
      </c>
      <c r="D1106" s="255" t="s">
        <v>750</v>
      </c>
      <c r="E1106" s="235">
        <v>7.0</v>
      </c>
      <c r="F1106" s="58">
        <v>0.0</v>
      </c>
      <c r="G1106" s="39">
        <f t="shared" si="1"/>
        <v>1750</v>
      </c>
      <c r="H1106" s="13" t="str">
        <f t="shared" si="2"/>
        <v>7 Signed Rep + 0 5-Star Review</v>
      </c>
      <c r="I1106" s="14"/>
      <c r="J1106" s="14"/>
    </row>
    <row r="1107" hidden="1">
      <c r="A1107" s="6" t="s">
        <v>299</v>
      </c>
      <c r="B1107" s="255" t="s">
        <v>788</v>
      </c>
      <c r="C1107" s="255" t="s">
        <v>789</v>
      </c>
      <c r="D1107" s="255" t="s">
        <v>790</v>
      </c>
      <c r="E1107" s="235">
        <v>11.0</v>
      </c>
      <c r="F1107" s="58">
        <v>0.0</v>
      </c>
      <c r="G1107" s="39">
        <f t="shared" si="1"/>
        <v>2750</v>
      </c>
      <c r="H1107" s="13" t="str">
        <f t="shared" si="2"/>
        <v>11 Signed Rep + 0 5-Star Review</v>
      </c>
      <c r="I1107" s="14"/>
      <c r="J1107" s="14"/>
    </row>
    <row r="1108" hidden="1">
      <c r="A1108" s="6" t="s">
        <v>299</v>
      </c>
      <c r="B1108" s="255" t="s">
        <v>751</v>
      </c>
      <c r="C1108" s="255" t="s">
        <v>752</v>
      </c>
      <c r="D1108" s="255" t="s">
        <v>753</v>
      </c>
      <c r="E1108" s="235">
        <v>15.0</v>
      </c>
      <c r="F1108" s="58">
        <v>0.0</v>
      </c>
      <c r="G1108" s="39">
        <f t="shared" si="1"/>
        <v>3750</v>
      </c>
      <c r="H1108" s="13" t="str">
        <f t="shared" si="2"/>
        <v>15 Signed Rep + 0 5-Star Review</v>
      </c>
      <c r="I1108" s="14"/>
      <c r="J1108" s="14"/>
    </row>
    <row r="1109" hidden="1">
      <c r="A1109" s="6" t="s">
        <v>299</v>
      </c>
      <c r="B1109" s="255" t="s">
        <v>754</v>
      </c>
      <c r="C1109" s="255" t="s">
        <v>755</v>
      </c>
      <c r="D1109" s="255" t="s">
        <v>756</v>
      </c>
      <c r="E1109" s="235">
        <v>10.0</v>
      </c>
      <c r="F1109" s="58">
        <v>0.0</v>
      </c>
      <c r="G1109" s="39">
        <f t="shared" si="1"/>
        <v>2500</v>
      </c>
      <c r="H1109" s="13" t="str">
        <f t="shared" si="2"/>
        <v>10 Signed Rep + 0 5-Star Review</v>
      </c>
      <c r="I1109" s="14"/>
      <c r="J1109" s="14"/>
    </row>
    <row r="1110" hidden="1">
      <c r="A1110" s="6" t="s">
        <v>299</v>
      </c>
      <c r="B1110" s="254" t="s">
        <v>757</v>
      </c>
      <c r="C1110" s="255" t="s">
        <v>758</v>
      </c>
      <c r="D1110" s="255" t="s">
        <v>759</v>
      </c>
      <c r="E1110" s="235">
        <v>20.0</v>
      </c>
      <c r="F1110" s="264">
        <v>7.0</v>
      </c>
      <c r="G1110" s="39">
        <f t="shared" si="1"/>
        <v>5700</v>
      </c>
      <c r="H1110" s="13" t="str">
        <f t="shared" si="2"/>
        <v>20 Signed Rep + 7 5-Star Review</v>
      </c>
      <c r="I1110" s="23"/>
      <c r="J1110" s="23"/>
    </row>
    <row r="1111" hidden="1">
      <c r="A1111" s="6" t="s">
        <v>299</v>
      </c>
      <c r="B1111" s="255" t="s">
        <v>219</v>
      </c>
      <c r="C1111" s="255" t="s">
        <v>220</v>
      </c>
      <c r="D1111" s="255" t="s">
        <v>760</v>
      </c>
      <c r="E1111" s="236">
        <v>14.0</v>
      </c>
      <c r="F1111" s="58">
        <v>0.0</v>
      </c>
      <c r="G1111" s="39">
        <f t="shared" si="1"/>
        <v>3500</v>
      </c>
      <c r="H1111" s="13" t="str">
        <f t="shared" si="2"/>
        <v>14 Signed Rep + 0 5-Star Review</v>
      </c>
      <c r="I1111" s="14"/>
      <c r="J1111" s="14"/>
    </row>
    <row r="1112" hidden="1">
      <c r="A1112" s="6" t="s">
        <v>300</v>
      </c>
      <c r="B1112" s="255" t="s">
        <v>823</v>
      </c>
      <c r="C1112" s="255" t="s">
        <v>824</v>
      </c>
      <c r="D1112" s="255" t="s">
        <v>825</v>
      </c>
      <c r="E1112" s="129"/>
      <c r="F1112" s="129"/>
      <c r="G1112" s="39">
        <f t="shared" si="1"/>
        <v>0</v>
      </c>
      <c r="H1112" s="13" t="str">
        <f t="shared" si="2"/>
        <v> Signed Rep +  5-Star Review</v>
      </c>
      <c r="I1112" s="14"/>
      <c r="J1112" s="14"/>
    </row>
    <row r="1113" hidden="1">
      <c r="A1113" s="6" t="s">
        <v>300</v>
      </c>
      <c r="B1113" s="255" t="s">
        <v>826</v>
      </c>
      <c r="C1113" s="255" t="s">
        <v>827</v>
      </c>
      <c r="D1113" s="255" t="s">
        <v>828</v>
      </c>
      <c r="E1113" s="235">
        <v>4.0</v>
      </c>
      <c r="F1113" s="264">
        <v>0.0</v>
      </c>
      <c r="G1113" s="39">
        <f t="shared" si="1"/>
        <v>1000</v>
      </c>
      <c r="H1113" s="13" t="str">
        <f t="shared" si="2"/>
        <v>4 Signed Rep + 0 5-Star Review</v>
      </c>
      <c r="I1113" s="14"/>
      <c r="J1113" s="14"/>
    </row>
    <row r="1114" hidden="1">
      <c r="A1114" s="6" t="s">
        <v>300</v>
      </c>
      <c r="B1114" s="255" t="s">
        <v>648</v>
      </c>
      <c r="C1114" s="255" t="s">
        <v>649</v>
      </c>
      <c r="D1114" s="255" t="s">
        <v>650</v>
      </c>
      <c r="E1114" s="236">
        <v>6.0</v>
      </c>
      <c r="F1114" s="264">
        <v>0.0</v>
      </c>
      <c r="G1114" s="39">
        <f t="shared" si="1"/>
        <v>1500</v>
      </c>
      <c r="H1114" s="13" t="str">
        <f t="shared" si="2"/>
        <v>6 Signed Rep + 0 5-Star Review</v>
      </c>
      <c r="I1114" s="14"/>
      <c r="J1114" s="14"/>
    </row>
    <row r="1115" hidden="1">
      <c r="A1115" s="6" t="s">
        <v>300</v>
      </c>
      <c r="B1115" s="255" t="s">
        <v>651</v>
      </c>
      <c r="C1115" s="255" t="s">
        <v>652</v>
      </c>
      <c r="D1115" s="255" t="s">
        <v>653</v>
      </c>
      <c r="E1115" s="235">
        <v>8.0</v>
      </c>
      <c r="F1115" s="264">
        <v>0.0</v>
      </c>
      <c r="G1115" s="39">
        <f t="shared" si="1"/>
        <v>2000</v>
      </c>
      <c r="H1115" s="13" t="str">
        <f t="shared" si="2"/>
        <v>8 Signed Rep + 0 5-Star Review</v>
      </c>
      <c r="I1115" s="14"/>
      <c r="J1115" s="14"/>
    </row>
    <row r="1116" hidden="1">
      <c r="A1116" s="6" t="s">
        <v>300</v>
      </c>
      <c r="B1116" s="255" t="s">
        <v>829</v>
      </c>
      <c r="C1116" s="255" t="s">
        <v>830</v>
      </c>
      <c r="D1116" s="255" t="s">
        <v>831</v>
      </c>
      <c r="E1116" s="76"/>
      <c r="F1116" s="76"/>
      <c r="G1116" s="39">
        <f t="shared" si="1"/>
        <v>0</v>
      </c>
      <c r="H1116" s="13" t="str">
        <f t="shared" si="2"/>
        <v> Signed Rep +  5-Star Review</v>
      </c>
      <c r="I1116" s="14"/>
      <c r="J1116" s="14"/>
    </row>
    <row r="1117" hidden="1">
      <c r="A1117" s="6" t="s">
        <v>300</v>
      </c>
      <c r="B1117" s="255" t="s">
        <v>809</v>
      </c>
      <c r="C1117" s="255" t="s">
        <v>810</v>
      </c>
      <c r="D1117" s="255" t="s">
        <v>811</v>
      </c>
      <c r="E1117" s="235">
        <v>6.0</v>
      </c>
      <c r="F1117" s="264">
        <v>0.0</v>
      </c>
      <c r="G1117" s="39">
        <f t="shared" si="1"/>
        <v>1500</v>
      </c>
      <c r="H1117" s="13" t="str">
        <f t="shared" si="2"/>
        <v>6 Signed Rep + 0 5-Star Review</v>
      </c>
      <c r="I1117" s="14"/>
      <c r="J1117" s="14"/>
    </row>
    <row r="1118" hidden="1">
      <c r="A1118" s="6" t="s">
        <v>300</v>
      </c>
      <c r="B1118" s="255" t="s">
        <v>654</v>
      </c>
      <c r="C1118" s="255" t="s">
        <v>655</v>
      </c>
      <c r="D1118" s="255" t="s">
        <v>656</v>
      </c>
      <c r="E1118" s="236">
        <v>8.0</v>
      </c>
      <c r="F1118" s="264">
        <v>0.0</v>
      </c>
      <c r="G1118" s="39">
        <f t="shared" si="1"/>
        <v>2000</v>
      </c>
      <c r="H1118" s="13" t="str">
        <f t="shared" si="2"/>
        <v>8 Signed Rep + 0 5-Star Review</v>
      </c>
      <c r="I1118" s="14"/>
      <c r="J1118" s="14"/>
    </row>
    <row r="1119" hidden="1">
      <c r="A1119" s="6" t="s">
        <v>300</v>
      </c>
      <c r="B1119" s="255" t="s">
        <v>812</v>
      </c>
      <c r="C1119" s="255" t="s">
        <v>813</v>
      </c>
      <c r="D1119" s="255" t="s">
        <v>814</v>
      </c>
      <c r="E1119" s="235">
        <v>2.0</v>
      </c>
      <c r="F1119" s="264">
        <v>0.0</v>
      </c>
      <c r="G1119" s="39">
        <f t="shared" si="1"/>
        <v>500</v>
      </c>
      <c r="H1119" s="13" t="str">
        <f t="shared" si="2"/>
        <v>2 Signed Rep + 0 5-Star Review</v>
      </c>
      <c r="I1119" s="14"/>
      <c r="J1119" s="14"/>
    </row>
    <row r="1120" hidden="1">
      <c r="A1120" s="6" t="s">
        <v>300</v>
      </c>
      <c r="B1120" s="255" t="s">
        <v>657</v>
      </c>
      <c r="C1120" s="255" t="s">
        <v>658</v>
      </c>
      <c r="D1120" s="255" t="s">
        <v>659</v>
      </c>
      <c r="E1120" s="235">
        <v>6.0</v>
      </c>
      <c r="F1120" s="264">
        <v>0.0</v>
      </c>
      <c r="G1120" s="39">
        <f t="shared" si="1"/>
        <v>1500</v>
      </c>
      <c r="H1120" s="13" t="str">
        <f t="shared" si="2"/>
        <v>6 Signed Rep + 0 5-Star Review</v>
      </c>
      <c r="I1120" s="14"/>
      <c r="J1120" s="14"/>
    </row>
    <row r="1121" hidden="1">
      <c r="A1121" s="6" t="s">
        <v>300</v>
      </c>
      <c r="B1121" s="255" t="s">
        <v>59</v>
      </c>
      <c r="C1121" s="255" t="s">
        <v>60</v>
      </c>
      <c r="D1121" s="255" t="s">
        <v>61</v>
      </c>
      <c r="E1121" s="76"/>
      <c r="F1121" s="76"/>
      <c r="G1121" s="39">
        <f t="shared" si="1"/>
        <v>0</v>
      </c>
      <c r="H1121" s="13" t="str">
        <f t="shared" si="2"/>
        <v> Signed Rep +  5-Star Review</v>
      </c>
      <c r="I1121" s="14"/>
      <c r="J1121" s="14"/>
    </row>
    <row r="1122" hidden="1">
      <c r="A1122" s="6" t="s">
        <v>300</v>
      </c>
      <c r="B1122" s="255" t="s">
        <v>44</v>
      </c>
      <c r="C1122" s="255" t="s">
        <v>45</v>
      </c>
      <c r="D1122" s="255" t="s">
        <v>46</v>
      </c>
      <c r="E1122" s="76"/>
      <c r="F1122" s="76"/>
      <c r="G1122" s="39">
        <f t="shared" si="1"/>
        <v>0</v>
      </c>
      <c r="H1122" s="13" t="str">
        <f t="shared" si="2"/>
        <v> Signed Rep +  5-Star Review</v>
      </c>
      <c r="I1122" s="14"/>
      <c r="J1122" s="14"/>
    </row>
    <row r="1123" hidden="1">
      <c r="A1123" s="6" t="s">
        <v>300</v>
      </c>
      <c r="B1123" s="255" t="s">
        <v>56</v>
      </c>
      <c r="C1123" s="255" t="s">
        <v>57</v>
      </c>
      <c r="D1123" s="255" t="s">
        <v>58</v>
      </c>
      <c r="E1123" s="76"/>
      <c r="F1123" s="76"/>
      <c r="G1123" s="39">
        <f t="shared" si="1"/>
        <v>0</v>
      </c>
      <c r="H1123" s="13" t="str">
        <f t="shared" si="2"/>
        <v> Signed Rep +  5-Star Review</v>
      </c>
      <c r="I1123" s="14"/>
      <c r="J1123" s="14"/>
    </row>
    <row r="1124" hidden="1">
      <c r="A1124" s="6" t="s">
        <v>300</v>
      </c>
      <c r="B1124" s="255" t="s">
        <v>832</v>
      </c>
      <c r="C1124" s="255" t="s">
        <v>833</v>
      </c>
      <c r="D1124" s="255" t="s">
        <v>834</v>
      </c>
      <c r="E1124" s="76"/>
      <c r="F1124" s="76"/>
      <c r="G1124" s="39">
        <f t="shared" si="1"/>
        <v>0</v>
      </c>
      <c r="H1124" s="13" t="str">
        <f t="shared" si="2"/>
        <v> Signed Rep +  5-Star Review</v>
      </c>
      <c r="I1124" s="14"/>
      <c r="J1124" s="14"/>
    </row>
    <row r="1125" hidden="1">
      <c r="A1125" s="6" t="s">
        <v>300</v>
      </c>
      <c r="B1125" s="255" t="s">
        <v>835</v>
      </c>
      <c r="C1125" s="255" t="s">
        <v>836</v>
      </c>
      <c r="D1125" s="255" t="s">
        <v>837</v>
      </c>
      <c r="E1125" s="76"/>
      <c r="F1125" s="76"/>
      <c r="G1125" s="39">
        <f t="shared" si="1"/>
        <v>0</v>
      </c>
      <c r="H1125" s="13" t="str">
        <f t="shared" si="2"/>
        <v> Signed Rep +  5-Star Review</v>
      </c>
      <c r="I1125" s="14"/>
      <c r="J1125" s="14"/>
    </row>
    <row r="1126" hidden="1">
      <c r="A1126" s="6" t="s">
        <v>300</v>
      </c>
      <c r="B1126" s="255" t="s">
        <v>764</v>
      </c>
      <c r="C1126" s="255" t="s">
        <v>765</v>
      </c>
      <c r="D1126" s="255" t="s">
        <v>838</v>
      </c>
      <c r="E1126" s="76"/>
      <c r="F1126" s="76"/>
      <c r="G1126" s="39">
        <f t="shared" si="1"/>
        <v>0</v>
      </c>
      <c r="H1126" s="13" t="str">
        <f t="shared" si="2"/>
        <v> Signed Rep +  5-Star Review</v>
      </c>
      <c r="I1126" s="14"/>
      <c r="J1126" s="14"/>
    </row>
    <row r="1127" hidden="1">
      <c r="A1127" s="6" t="s">
        <v>300</v>
      </c>
      <c r="B1127" s="255" t="s">
        <v>213</v>
      </c>
      <c r="C1127" s="255" t="s">
        <v>214</v>
      </c>
      <c r="D1127" s="255" t="s">
        <v>660</v>
      </c>
      <c r="E1127" s="235">
        <v>16.0</v>
      </c>
      <c r="F1127" s="264">
        <v>1.0</v>
      </c>
      <c r="G1127" s="39">
        <f t="shared" si="1"/>
        <v>4100</v>
      </c>
      <c r="H1127" s="13" t="str">
        <f t="shared" si="2"/>
        <v>16 Signed Rep + 1 5-Star Review</v>
      </c>
      <c r="I1127" s="14"/>
      <c r="J1127" s="14"/>
    </row>
    <row r="1128" hidden="1">
      <c r="A1128" s="6" t="s">
        <v>300</v>
      </c>
      <c r="B1128" s="255" t="s">
        <v>661</v>
      </c>
      <c r="C1128" s="255" t="s">
        <v>662</v>
      </c>
      <c r="D1128" s="255" t="s">
        <v>663</v>
      </c>
      <c r="E1128" s="235">
        <v>26.0</v>
      </c>
      <c r="F1128" s="264">
        <v>1.0</v>
      </c>
      <c r="G1128" s="39">
        <f t="shared" si="1"/>
        <v>6600</v>
      </c>
      <c r="H1128" s="13" t="str">
        <f t="shared" si="2"/>
        <v>26 Signed Rep + 1 5-Star Review</v>
      </c>
      <c r="I1128" s="14"/>
      <c r="J1128" s="14"/>
    </row>
    <row r="1129" hidden="1">
      <c r="A1129" s="6" t="s">
        <v>300</v>
      </c>
      <c r="B1129" s="255" t="s">
        <v>664</v>
      </c>
      <c r="C1129" s="255" t="s">
        <v>665</v>
      </c>
      <c r="D1129" s="255" t="s">
        <v>666</v>
      </c>
      <c r="E1129" s="235">
        <v>25.0</v>
      </c>
      <c r="F1129" s="264">
        <v>0.0</v>
      </c>
      <c r="G1129" s="39">
        <f t="shared" si="1"/>
        <v>6250</v>
      </c>
      <c r="H1129" s="13" t="str">
        <f t="shared" si="2"/>
        <v>25 Signed Rep + 0 5-Star Review</v>
      </c>
      <c r="I1129" s="14"/>
      <c r="J1129" s="14"/>
    </row>
    <row r="1130" hidden="1">
      <c r="A1130" s="6" t="s">
        <v>300</v>
      </c>
      <c r="B1130" s="255" t="s">
        <v>667</v>
      </c>
      <c r="C1130" s="255" t="s">
        <v>668</v>
      </c>
      <c r="D1130" s="255" t="s">
        <v>669</v>
      </c>
      <c r="E1130" s="235">
        <v>22.0</v>
      </c>
      <c r="F1130" s="264">
        <v>2.0</v>
      </c>
      <c r="G1130" s="39">
        <f t="shared" si="1"/>
        <v>5700</v>
      </c>
      <c r="H1130" s="13" t="str">
        <f t="shared" si="2"/>
        <v>22 Signed Rep + 2 5-Star Review</v>
      </c>
      <c r="I1130" s="14"/>
      <c r="J1130" s="14"/>
    </row>
    <row r="1131" hidden="1">
      <c r="A1131" s="6" t="s">
        <v>300</v>
      </c>
      <c r="B1131" s="255" t="s">
        <v>670</v>
      </c>
      <c r="C1131" s="255" t="s">
        <v>671</v>
      </c>
      <c r="D1131" s="255" t="s">
        <v>672</v>
      </c>
      <c r="E1131" s="235">
        <v>16.0</v>
      </c>
      <c r="F1131" s="264">
        <v>0.0</v>
      </c>
      <c r="G1131" s="39">
        <f t="shared" si="1"/>
        <v>4000</v>
      </c>
      <c r="H1131" s="13" t="str">
        <f t="shared" si="2"/>
        <v>16 Signed Rep + 0 5-Star Review</v>
      </c>
      <c r="I1131" s="14"/>
      <c r="J1131" s="14"/>
    </row>
    <row r="1132" hidden="1">
      <c r="A1132" s="6" t="s">
        <v>300</v>
      </c>
      <c r="B1132" s="255" t="s">
        <v>673</v>
      </c>
      <c r="C1132" s="255" t="s">
        <v>674</v>
      </c>
      <c r="D1132" s="255" t="s">
        <v>675</v>
      </c>
      <c r="E1132" s="235">
        <v>17.0</v>
      </c>
      <c r="F1132" s="264">
        <v>2.0</v>
      </c>
      <c r="G1132" s="39">
        <f t="shared" si="1"/>
        <v>4450</v>
      </c>
      <c r="H1132" s="13" t="str">
        <f t="shared" si="2"/>
        <v>17 Signed Rep + 2 5-Star Review</v>
      </c>
      <c r="I1132" s="14"/>
      <c r="J1132" s="14"/>
    </row>
    <row r="1133" hidden="1">
      <c r="A1133" s="6" t="s">
        <v>300</v>
      </c>
      <c r="B1133" s="255" t="s">
        <v>676</v>
      </c>
      <c r="C1133" s="255" t="s">
        <v>677</v>
      </c>
      <c r="D1133" s="255" t="s">
        <v>678</v>
      </c>
      <c r="E1133" s="235">
        <v>17.0</v>
      </c>
      <c r="F1133" s="264">
        <v>0.0</v>
      </c>
      <c r="G1133" s="39">
        <f t="shared" si="1"/>
        <v>4250</v>
      </c>
      <c r="H1133" s="13" t="str">
        <f t="shared" si="2"/>
        <v>17 Signed Rep + 0 5-Star Review</v>
      </c>
      <c r="I1133" s="14"/>
      <c r="J1133" s="14"/>
    </row>
    <row r="1134" hidden="1">
      <c r="A1134" s="6" t="s">
        <v>300</v>
      </c>
      <c r="B1134" s="255" t="s">
        <v>679</v>
      </c>
      <c r="C1134" s="255" t="s">
        <v>680</v>
      </c>
      <c r="D1134" s="255" t="s">
        <v>839</v>
      </c>
      <c r="E1134" s="235">
        <v>16.0</v>
      </c>
      <c r="F1134" s="264">
        <v>9.0</v>
      </c>
      <c r="G1134" s="39">
        <f t="shared" si="1"/>
        <v>4900</v>
      </c>
      <c r="H1134" s="13" t="str">
        <f t="shared" si="2"/>
        <v>16 Signed Rep + 9 5-Star Review</v>
      </c>
      <c r="I1134" s="14"/>
      <c r="J1134" s="14"/>
    </row>
    <row r="1135" hidden="1">
      <c r="A1135" s="6" t="s">
        <v>300</v>
      </c>
      <c r="B1135" s="255" t="s">
        <v>682</v>
      </c>
      <c r="C1135" s="255" t="s">
        <v>683</v>
      </c>
      <c r="D1135" s="255" t="s">
        <v>684</v>
      </c>
      <c r="E1135" s="236">
        <v>11.0</v>
      </c>
      <c r="F1135" s="264">
        <v>0.0</v>
      </c>
      <c r="G1135" s="39">
        <f t="shared" si="1"/>
        <v>2750</v>
      </c>
      <c r="H1135" s="13" t="str">
        <f t="shared" si="2"/>
        <v>11 Signed Rep + 0 5-Star Review</v>
      </c>
      <c r="I1135" s="14"/>
      <c r="J1135" s="14"/>
    </row>
    <row r="1136" hidden="1">
      <c r="A1136" s="6" t="s">
        <v>300</v>
      </c>
      <c r="B1136" s="255" t="s">
        <v>685</v>
      </c>
      <c r="C1136" s="255" t="s">
        <v>686</v>
      </c>
      <c r="D1136" s="255" t="s">
        <v>687</v>
      </c>
      <c r="E1136" s="235">
        <v>14.0</v>
      </c>
      <c r="F1136" s="264">
        <v>0.0</v>
      </c>
      <c r="G1136" s="39">
        <f t="shared" si="1"/>
        <v>3500</v>
      </c>
      <c r="H1136" s="13" t="str">
        <f t="shared" si="2"/>
        <v>14 Signed Rep + 0 5-Star Review</v>
      </c>
      <c r="I1136" s="14"/>
      <c r="J1136" s="14"/>
    </row>
    <row r="1137" hidden="1">
      <c r="A1137" s="6" t="s">
        <v>300</v>
      </c>
      <c r="B1137" s="255" t="s">
        <v>688</v>
      </c>
      <c r="C1137" s="255" t="s">
        <v>689</v>
      </c>
      <c r="D1137" s="255" t="s">
        <v>690</v>
      </c>
      <c r="E1137" s="235">
        <v>21.0</v>
      </c>
      <c r="F1137" s="264">
        <v>0.0</v>
      </c>
      <c r="G1137" s="39">
        <f t="shared" si="1"/>
        <v>5250</v>
      </c>
      <c r="H1137" s="13" t="str">
        <f t="shared" si="2"/>
        <v>21 Signed Rep + 0 5-Star Review</v>
      </c>
      <c r="I1137" s="14"/>
      <c r="J1137" s="14"/>
    </row>
    <row r="1138" hidden="1">
      <c r="A1138" s="6" t="s">
        <v>300</v>
      </c>
      <c r="B1138" s="255" t="s">
        <v>691</v>
      </c>
      <c r="C1138" s="255" t="s">
        <v>692</v>
      </c>
      <c r="D1138" s="255" t="s">
        <v>693</v>
      </c>
      <c r="E1138" s="235">
        <v>11.0</v>
      </c>
      <c r="F1138" s="264">
        <v>0.0</v>
      </c>
      <c r="G1138" s="39">
        <f t="shared" si="1"/>
        <v>2750</v>
      </c>
      <c r="H1138" s="13" t="str">
        <f t="shared" si="2"/>
        <v>11 Signed Rep + 0 5-Star Review</v>
      </c>
      <c r="I1138" s="14"/>
      <c r="J1138" s="14"/>
    </row>
    <row r="1139" hidden="1">
      <c r="A1139" s="6" t="s">
        <v>300</v>
      </c>
      <c r="B1139" s="255" t="s">
        <v>694</v>
      </c>
      <c r="C1139" s="255" t="s">
        <v>695</v>
      </c>
      <c r="D1139" s="255" t="s">
        <v>696</v>
      </c>
      <c r="E1139" s="235">
        <v>15.0</v>
      </c>
      <c r="F1139" s="264">
        <v>0.0</v>
      </c>
      <c r="G1139" s="39">
        <f t="shared" si="1"/>
        <v>3750</v>
      </c>
      <c r="H1139" s="13" t="str">
        <f t="shared" si="2"/>
        <v>15 Signed Rep + 0 5-Star Review</v>
      </c>
      <c r="I1139" s="14"/>
      <c r="J1139" s="14"/>
    </row>
    <row r="1140" hidden="1">
      <c r="A1140" s="6" t="s">
        <v>300</v>
      </c>
      <c r="B1140" s="255" t="s">
        <v>697</v>
      </c>
      <c r="C1140" s="255" t="s">
        <v>698</v>
      </c>
      <c r="D1140" s="255" t="s">
        <v>699</v>
      </c>
      <c r="E1140" s="235">
        <v>10.0</v>
      </c>
      <c r="F1140" s="264">
        <v>1.0</v>
      </c>
      <c r="G1140" s="39">
        <f t="shared" si="1"/>
        <v>2600</v>
      </c>
      <c r="H1140" s="13" t="str">
        <f t="shared" si="2"/>
        <v>10 Signed Rep + 1 5-Star Review</v>
      </c>
      <c r="I1140" s="14"/>
      <c r="J1140" s="14"/>
    </row>
    <row r="1141" hidden="1">
      <c r="A1141" s="6" t="s">
        <v>300</v>
      </c>
      <c r="B1141" s="255" t="s">
        <v>700</v>
      </c>
      <c r="C1141" s="255" t="s">
        <v>701</v>
      </c>
      <c r="D1141" s="255" t="s">
        <v>702</v>
      </c>
      <c r="E1141" s="235">
        <v>14.0</v>
      </c>
      <c r="F1141" s="264">
        <v>0.0</v>
      </c>
      <c r="G1141" s="39">
        <f t="shared" si="1"/>
        <v>3500</v>
      </c>
      <c r="H1141" s="13" t="str">
        <f t="shared" si="2"/>
        <v>14 Signed Rep + 0 5-Star Review</v>
      </c>
      <c r="I1141" s="14"/>
      <c r="J1141" s="14"/>
    </row>
    <row r="1142" hidden="1">
      <c r="A1142" s="6" t="s">
        <v>300</v>
      </c>
      <c r="B1142" s="255" t="s">
        <v>703</v>
      </c>
      <c r="C1142" s="255" t="s">
        <v>704</v>
      </c>
      <c r="D1142" s="255" t="s">
        <v>705</v>
      </c>
      <c r="E1142" s="235">
        <v>13.0</v>
      </c>
      <c r="F1142" s="264">
        <v>0.0</v>
      </c>
      <c r="G1142" s="39">
        <f t="shared" si="1"/>
        <v>3250</v>
      </c>
      <c r="H1142" s="13" t="str">
        <f t="shared" si="2"/>
        <v>13 Signed Rep + 0 5-Star Review</v>
      </c>
      <c r="I1142" s="14"/>
      <c r="J1142" s="14"/>
    </row>
    <row r="1143" hidden="1">
      <c r="A1143" s="6" t="s">
        <v>300</v>
      </c>
      <c r="B1143" s="255" t="s">
        <v>706</v>
      </c>
      <c r="C1143" s="255" t="s">
        <v>707</v>
      </c>
      <c r="D1143" s="255" t="s">
        <v>708</v>
      </c>
      <c r="E1143" s="235">
        <v>12.0</v>
      </c>
      <c r="F1143" s="264">
        <v>0.0</v>
      </c>
      <c r="G1143" s="39">
        <f t="shared" si="1"/>
        <v>3000</v>
      </c>
      <c r="H1143" s="13" t="str">
        <f t="shared" si="2"/>
        <v>12 Signed Rep + 0 5-Star Review</v>
      </c>
      <c r="I1143" s="14"/>
      <c r="J1143" s="14"/>
    </row>
    <row r="1144" hidden="1">
      <c r="A1144" s="6" t="s">
        <v>300</v>
      </c>
      <c r="B1144" s="255" t="s">
        <v>709</v>
      </c>
      <c r="C1144" s="255" t="s">
        <v>710</v>
      </c>
      <c r="D1144" s="255" t="s">
        <v>711</v>
      </c>
      <c r="E1144" s="235">
        <v>16.0</v>
      </c>
      <c r="F1144" s="264">
        <v>0.0</v>
      </c>
      <c r="G1144" s="39">
        <f t="shared" si="1"/>
        <v>4000</v>
      </c>
      <c r="H1144" s="13" t="str">
        <f t="shared" si="2"/>
        <v>16 Signed Rep + 0 5-Star Review</v>
      </c>
      <c r="I1144" s="14"/>
      <c r="J1144" s="14"/>
    </row>
    <row r="1145" hidden="1">
      <c r="A1145" s="6" t="s">
        <v>300</v>
      </c>
      <c r="B1145" s="255" t="s">
        <v>712</v>
      </c>
      <c r="C1145" s="255" t="s">
        <v>713</v>
      </c>
      <c r="D1145" s="255" t="s">
        <v>714</v>
      </c>
      <c r="E1145" s="235">
        <v>11.0</v>
      </c>
      <c r="F1145" s="264">
        <v>1.0</v>
      </c>
      <c r="G1145" s="39">
        <f t="shared" si="1"/>
        <v>2850</v>
      </c>
      <c r="H1145" s="13" t="str">
        <f t="shared" si="2"/>
        <v>11 Signed Rep + 1 5-Star Review</v>
      </c>
      <c r="I1145" s="14"/>
      <c r="J1145" s="14"/>
    </row>
    <row r="1146" hidden="1">
      <c r="A1146" s="6" t="s">
        <v>300</v>
      </c>
      <c r="B1146" s="255" t="s">
        <v>799</v>
      </c>
      <c r="C1146" s="255" t="s">
        <v>800</v>
      </c>
      <c r="D1146" s="255" t="s">
        <v>801</v>
      </c>
      <c r="E1146" s="235">
        <v>22.0</v>
      </c>
      <c r="F1146" s="264">
        <v>3.0</v>
      </c>
      <c r="G1146" s="39">
        <f t="shared" si="1"/>
        <v>5800</v>
      </c>
      <c r="H1146" s="13" t="str">
        <f t="shared" si="2"/>
        <v>22 Signed Rep + 3 5-Star Review</v>
      </c>
      <c r="I1146" s="14"/>
      <c r="J1146" s="14"/>
    </row>
    <row r="1147" hidden="1">
      <c r="A1147" s="6" t="s">
        <v>300</v>
      </c>
      <c r="B1147" s="255" t="s">
        <v>795</v>
      </c>
      <c r="C1147" s="255" t="s">
        <v>796</v>
      </c>
      <c r="D1147" s="255" t="s">
        <v>797</v>
      </c>
      <c r="E1147" s="235">
        <v>13.0</v>
      </c>
      <c r="F1147" s="264">
        <v>0.0</v>
      </c>
      <c r="G1147" s="39">
        <f t="shared" si="1"/>
        <v>3250</v>
      </c>
      <c r="H1147" s="13" t="str">
        <f t="shared" si="2"/>
        <v>13 Signed Rep + 0 5-Star Review</v>
      </c>
      <c r="I1147" s="14"/>
      <c r="J1147" s="14"/>
    </row>
    <row r="1148" hidden="1">
      <c r="A1148" s="6" t="s">
        <v>300</v>
      </c>
      <c r="B1148" s="255" t="s">
        <v>715</v>
      </c>
      <c r="C1148" s="255" t="s">
        <v>716</v>
      </c>
      <c r="D1148" s="255" t="s">
        <v>717</v>
      </c>
      <c r="E1148" s="235">
        <v>11.0</v>
      </c>
      <c r="F1148" s="264">
        <v>0.0</v>
      </c>
      <c r="G1148" s="39">
        <f t="shared" si="1"/>
        <v>2750</v>
      </c>
      <c r="H1148" s="13" t="str">
        <f t="shared" si="2"/>
        <v>11 Signed Rep + 0 5-Star Review</v>
      </c>
      <c r="I1148" s="14"/>
      <c r="J1148" s="14"/>
    </row>
    <row r="1149" hidden="1">
      <c r="A1149" s="6" t="s">
        <v>300</v>
      </c>
      <c r="B1149" s="255" t="s">
        <v>718</v>
      </c>
      <c r="C1149" s="255" t="s">
        <v>719</v>
      </c>
      <c r="D1149" s="255" t="s">
        <v>720</v>
      </c>
      <c r="E1149" s="235">
        <v>8.0</v>
      </c>
      <c r="F1149" s="264">
        <v>0.0</v>
      </c>
      <c r="G1149" s="39">
        <f t="shared" si="1"/>
        <v>2000</v>
      </c>
      <c r="H1149" s="13" t="str">
        <f t="shared" si="2"/>
        <v>8 Signed Rep + 0 5-Star Review</v>
      </c>
      <c r="I1149" s="14"/>
      <c r="J1149" s="14"/>
    </row>
    <row r="1150" hidden="1">
      <c r="A1150" s="6" t="s">
        <v>300</v>
      </c>
      <c r="B1150" s="255" t="s">
        <v>721</v>
      </c>
      <c r="C1150" s="255" t="s">
        <v>722</v>
      </c>
      <c r="D1150" s="255" t="s">
        <v>723</v>
      </c>
      <c r="E1150" s="235">
        <v>20.0</v>
      </c>
      <c r="F1150" s="264">
        <v>6.0</v>
      </c>
      <c r="G1150" s="39">
        <f t="shared" si="1"/>
        <v>5600</v>
      </c>
      <c r="H1150" s="13" t="str">
        <f t="shared" si="2"/>
        <v>20 Signed Rep + 6 5-Star Review</v>
      </c>
      <c r="I1150" s="14"/>
      <c r="J1150" s="14"/>
    </row>
    <row r="1151" hidden="1">
      <c r="A1151" s="6" t="s">
        <v>300</v>
      </c>
      <c r="B1151" s="257" t="s">
        <v>724</v>
      </c>
      <c r="C1151" s="255" t="s">
        <v>725</v>
      </c>
      <c r="D1151" s="255" t="s">
        <v>726</v>
      </c>
      <c r="E1151" s="235">
        <v>5.0</v>
      </c>
      <c r="F1151" s="264">
        <v>0.0</v>
      </c>
      <c r="G1151" s="39">
        <f t="shared" si="1"/>
        <v>1250</v>
      </c>
      <c r="H1151" s="13" t="str">
        <f t="shared" si="2"/>
        <v>5 Signed Rep + 0 5-Star Review</v>
      </c>
      <c r="I1151" s="14"/>
      <c r="J1151" s="14"/>
    </row>
    <row r="1152" hidden="1">
      <c r="A1152" s="6" t="s">
        <v>300</v>
      </c>
      <c r="B1152" s="255" t="s">
        <v>727</v>
      </c>
      <c r="C1152" s="255" t="s">
        <v>728</v>
      </c>
      <c r="D1152" s="255" t="s">
        <v>729</v>
      </c>
      <c r="E1152" s="235">
        <v>6.0</v>
      </c>
      <c r="F1152" s="264">
        <v>0.0</v>
      </c>
      <c r="G1152" s="39">
        <f t="shared" si="1"/>
        <v>1500</v>
      </c>
      <c r="H1152" s="13" t="str">
        <f t="shared" si="2"/>
        <v>6 Signed Rep + 0 5-Star Review</v>
      </c>
      <c r="I1152" s="14"/>
      <c r="J1152" s="14"/>
    </row>
    <row r="1153" hidden="1">
      <c r="A1153" s="6" t="s">
        <v>300</v>
      </c>
      <c r="B1153" s="255" t="s">
        <v>730</v>
      </c>
      <c r="C1153" s="255" t="s">
        <v>731</v>
      </c>
      <c r="D1153" s="255" t="s">
        <v>732</v>
      </c>
      <c r="E1153" s="235">
        <v>13.0</v>
      </c>
      <c r="F1153" s="264">
        <v>0.0</v>
      </c>
      <c r="G1153" s="39">
        <f t="shared" si="1"/>
        <v>3250</v>
      </c>
      <c r="H1153" s="13" t="str">
        <f t="shared" si="2"/>
        <v>13 Signed Rep + 0 5-Star Review</v>
      </c>
      <c r="I1153" s="14"/>
      <c r="J1153" s="14"/>
    </row>
    <row r="1154" hidden="1">
      <c r="A1154" s="6" t="s">
        <v>300</v>
      </c>
      <c r="B1154" s="255" t="s">
        <v>733</v>
      </c>
      <c r="C1154" s="255" t="s">
        <v>734</v>
      </c>
      <c r="D1154" s="255" t="s">
        <v>735</v>
      </c>
      <c r="E1154" s="235">
        <v>12.0</v>
      </c>
      <c r="F1154" s="264">
        <v>0.0</v>
      </c>
      <c r="G1154" s="39">
        <f t="shared" si="1"/>
        <v>3000</v>
      </c>
      <c r="H1154" s="13" t="str">
        <f t="shared" si="2"/>
        <v>12 Signed Rep + 0 5-Star Review</v>
      </c>
      <c r="I1154" s="14"/>
      <c r="J1154" s="14"/>
    </row>
    <row r="1155" hidden="1">
      <c r="A1155" s="6" t="s">
        <v>300</v>
      </c>
      <c r="B1155" s="255" t="s">
        <v>736</v>
      </c>
      <c r="C1155" s="255" t="s">
        <v>737</v>
      </c>
      <c r="D1155" s="255" t="s">
        <v>738</v>
      </c>
      <c r="E1155" s="235">
        <v>13.0</v>
      </c>
      <c r="F1155" s="264">
        <v>2.0</v>
      </c>
      <c r="G1155" s="39">
        <f t="shared" si="1"/>
        <v>3450</v>
      </c>
      <c r="H1155" s="13" t="str">
        <f t="shared" si="2"/>
        <v>13 Signed Rep + 2 5-Star Review</v>
      </c>
      <c r="I1155" s="14"/>
      <c r="J1155" s="14"/>
    </row>
    <row r="1156" hidden="1">
      <c r="A1156" s="6" t="s">
        <v>300</v>
      </c>
      <c r="B1156" s="255" t="s">
        <v>739</v>
      </c>
      <c r="C1156" s="255" t="s">
        <v>740</v>
      </c>
      <c r="D1156" s="255" t="s">
        <v>741</v>
      </c>
      <c r="E1156" s="235">
        <v>13.0</v>
      </c>
      <c r="F1156" s="264">
        <v>0.0</v>
      </c>
      <c r="G1156" s="39">
        <f t="shared" si="1"/>
        <v>3250</v>
      </c>
      <c r="H1156" s="13" t="str">
        <f t="shared" si="2"/>
        <v>13 Signed Rep + 0 5-Star Review</v>
      </c>
      <c r="I1156" s="14"/>
      <c r="J1156" s="14"/>
    </row>
    <row r="1157" hidden="1">
      <c r="A1157" s="6" t="s">
        <v>300</v>
      </c>
      <c r="B1157" s="255" t="s">
        <v>742</v>
      </c>
      <c r="C1157" s="255" t="s">
        <v>743</v>
      </c>
      <c r="D1157" s="255" t="s">
        <v>744</v>
      </c>
      <c r="E1157" s="235">
        <v>6.0</v>
      </c>
      <c r="F1157" s="264">
        <v>1.0</v>
      </c>
      <c r="G1157" s="39">
        <f t="shared" si="1"/>
        <v>1600</v>
      </c>
      <c r="H1157" s="13" t="str">
        <f t="shared" si="2"/>
        <v>6 Signed Rep + 1 5-Star Review</v>
      </c>
      <c r="I1157" s="14"/>
      <c r="J1157" s="14"/>
    </row>
    <row r="1158" hidden="1">
      <c r="A1158" s="6" t="s">
        <v>300</v>
      </c>
      <c r="B1158" s="255" t="s">
        <v>816</v>
      </c>
      <c r="C1158" s="255" t="s">
        <v>817</v>
      </c>
      <c r="D1158" s="255" t="s">
        <v>818</v>
      </c>
      <c r="E1158" s="235">
        <v>12.0</v>
      </c>
      <c r="F1158" s="264">
        <v>0.0</v>
      </c>
      <c r="G1158" s="39">
        <f t="shared" si="1"/>
        <v>3000</v>
      </c>
      <c r="H1158" s="13" t="str">
        <f t="shared" si="2"/>
        <v>12 Signed Rep + 0 5-Star Review</v>
      </c>
      <c r="I1158" s="14"/>
      <c r="J1158" s="14"/>
    </row>
    <row r="1159" hidden="1">
      <c r="A1159" s="6" t="s">
        <v>300</v>
      </c>
      <c r="B1159" s="255" t="s">
        <v>840</v>
      </c>
      <c r="C1159" s="255" t="s">
        <v>841</v>
      </c>
      <c r="D1159" s="255" t="s">
        <v>842</v>
      </c>
      <c r="E1159" s="129"/>
      <c r="F1159" s="76"/>
      <c r="G1159" s="39">
        <f t="shared" si="1"/>
        <v>0</v>
      </c>
      <c r="H1159" s="13" t="str">
        <f t="shared" si="2"/>
        <v> Signed Rep +  5-Star Review</v>
      </c>
      <c r="I1159" s="14"/>
      <c r="J1159" s="14"/>
    </row>
    <row r="1160" hidden="1">
      <c r="A1160" s="6" t="s">
        <v>300</v>
      </c>
      <c r="B1160" s="254" t="s">
        <v>745</v>
      </c>
      <c r="C1160" s="255" t="s">
        <v>746</v>
      </c>
      <c r="D1160" s="255" t="s">
        <v>747</v>
      </c>
      <c r="E1160" s="235">
        <v>13.0</v>
      </c>
      <c r="F1160" s="264">
        <v>0.0</v>
      </c>
      <c r="G1160" s="39">
        <f t="shared" si="1"/>
        <v>3250</v>
      </c>
      <c r="H1160" s="13" t="str">
        <f t="shared" si="2"/>
        <v>13 Signed Rep + 0 5-Star Review</v>
      </c>
      <c r="I1160" s="14"/>
      <c r="J1160" s="14"/>
    </row>
    <row r="1161" hidden="1">
      <c r="A1161" s="6" t="s">
        <v>300</v>
      </c>
      <c r="B1161" s="255" t="s">
        <v>748</v>
      </c>
      <c r="C1161" s="255" t="s">
        <v>749</v>
      </c>
      <c r="D1161" s="255" t="s">
        <v>750</v>
      </c>
      <c r="E1161" s="235">
        <v>8.0</v>
      </c>
      <c r="F1161" s="264">
        <v>0.0</v>
      </c>
      <c r="G1161" s="39">
        <f t="shared" si="1"/>
        <v>2000</v>
      </c>
      <c r="H1161" s="13" t="str">
        <f t="shared" si="2"/>
        <v>8 Signed Rep + 0 5-Star Review</v>
      </c>
      <c r="I1161" s="14"/>
      <c r="J1161" s="14"/>
    </row>
    <row r="1162" hidden="1">
      <c r="A1162" s="6" t="s">
        <v>300</v>
      </c>
      <c r="B1162" s="255" t="s">
        <v>788</v>
      </c>
      <c r="C1162" s="255" t="s">
        <v>789</v>
      </c>
      <c r="D1162" s="255" t="s">
        <v>790</v>
      </c>
      <c r="E1162" s="235">
        <v>16.0</v>
      </c>
      <c r="F1162" s="264">
        <v>0.0</v>
      </c>
      <c r="G1162" s="39">
        <f t="shared" si="1"/>
        <v>4000</v>
      </c>
      <c r="H1162" s="13" t="str">
        <f t="shared" si="2"/>
        <v>16 Signed Rep + 0 5-Star Review</v>
      </c>
      <c r="I1162" s="14"/>
      <c r="J1162" s="14"/>
    </row>
    <row r="1163" hidden="1">
      <c r="A1163" s="6" t="s">
        <v>300</v>
      </c>
      <c r="B1163" s="255" t="s">
        <v>751</v>
      </c>
      <c r="C1163" s="255" t="s">
        <v>752</v>
      </c>
      <c r="D1163" s="255" t="s">
        <v>753</v>
      </c>
      <c r="E1163" s="235">
        <v>18.0</v>
      </c>
      <c r="F1163" s="264">
        <v>0.0</v>
      </c>
      <c r="G1163" s="39">
        <f t="shared" si="1"/>
        <v>4500</v>
      </c>
      <c r="H1163" s="13" t="str">
        <f t="shared" si="2"/>
        <v>18 Signed Rep + 0 5-Star Review</v>
      </c>
      <c r="I1163" s="14"/>
      <c r="J1163" s="14"/>
    </row>
    <row r="1164" hidden="1">
      <c r="A1164" s="6" t="s">
        <v>300</v>
      </c>
      <c r="B1164" s="255" t="s">
        <v>754</v>
      </c>
      <c r="C1164" s="255" t="s">
        <v>755</v>
      </c>
      <c r="D1164" s="255" t="s">
        <v>756</v>
      </c>
      <c r="E1164" s="235">
        <v>13.0</v>
      </c>
      <c r="F1164" s="264">
        <v>0.0</v>
      </c>
      <c r="G1164" s="39">
        <f t="shared" si="1"/>
        <v>3250</v>
      </c>
      <c r="H1164" s="13" t="str">
        <f t="shared" si="2"/>
        <v>13 Signed Rep + 0 5-Star Review</v>
      </c>
      <c r="I1164" s="14"/>
      <c r="J1164" s="14"/>
    </row>
    <row r="1165" hidden="1">
      <c r="A1165" s="6" t="s">
        <v>300</v>
      </c>
      <c r="B1165" s="254" t="s">
        <v>757</v>
      </c>
      <c r="C1165" s="255" t="s">
        <v>758</v>
      </c>
      <c r="D1165" s="255" t="s">
        <v>759</v>
      </c>
      <c r="E1165" s="235">
        <v>23.0</v>
      </c>
      <c r="F1165" s="264">
        <v>6.0</v>
      </c>
      <c r="G1165" s="39">
        <f t="shared" si="1"/>
        <v>6350</v>
      </c>
      <c r="H1165" s="13" t="str">
        <f t="shared" si="2"/>
        <v>23 Signed Rep + 6 5-Star Review</v>
      </c>
      <c r="I1165" s="23"/>
      <c r="J1165" s="23"/>
    </row>
    <row r="1166" hidden="1">
      <c r="A1166" s="6" t="s">
        <v>300</v>
      </c>
      <c r="B1166" s="255" t="s">
        <v>219</v>
      </c>
      <c r="C1166" s="255" t="s">
        <v>220</v>
      </c>
      <c r="D1166" s="255" t="s">
        <v>760</v>
      </c>
      <c r="E1166" s="236">
        <v>13.0</v>
      </c>
      <c r="F1166" s="264">
        <v>0.0</v>
      </c>
      <c r="G1166" s="39">
        <f t="shared" si="1"/>
        <v>3250</v>
      </c>
      <c r="H1166" s="13" t="str">
        <f t="shared" si="2"/>
        <v>13 Signed Rep + 0 5-Star Review</v>
      </c>
      <c r="I1166" s="14"/>
      <c r="J1166" s="14"/>
    </row>
    <row r="1167" hidden="1">
      <c r="A1167" s="54" t="s">
        <v>301</v>
      </c>
      <c r="B1167" s="255" t="s">
        <v>823</v>
      </c>
      <c r="C1167" s="255" t="s">
        <v>824</v>
      </c>
      <c r="D1167" s="255" t="s">
        <v>825</v>
      </c>
      <c r="E1167" s="235">
        <v>4.0</v>
      </c>
      <c r="F1167" s="264">
        <v>0.0</v>
      </c>
      <c r="G1167" s="39">
        <f t="shared" si="1"/>
        <v>1000</v>
      </c>
      <c r="H1167" s="13" t="str">
        <f t="shared" si="2"/>
        <v>4 Signed Rep + 0 5-Star Review</v>
      </c>
      <c r="I1167" s="14"/>
      <c r="J1167" s="14"/>
    </row>
    <row r="1168" hidden="1">
      <c r="A1168" s="54" t="s">
        <v>301</v>
      </c>
      <c r="B1168" s="255" t="s">
        <v>826</v>
      </c>
      <c r="C1168" s="255" t="s">
        <v>827</v>
      </c>
      <c r="D1168" s="255" t="s">
        <v>828</v>
      </c>
      <c r="E1168" s="235">
        <v>4.0</v>
      </c>
      <c r="F1168" s="264">
        <v>0.0</v>
      </c>
      <c r="G1168" s="39">
        <f t="shared" si="1"/>
        <v>1000</v>
      </c>
      <c r="H1168" s="13" t="str">
        <f t="shared" si="2"/>
        <v>4 Signed Rep + 0 5-Star Review</v>
      </c>
      <c r="I1168" s="14"/>
      <c r="J1168" s="14"/>
    </row>
    <row r="1169" hidden="1">
      <c r="A1169" s="54" t="s">
        <v>301</v>
      </c>
      <c r="B1169" s="255" t="s">
        <v>648</v>
      </c>
      <c r="C1169" s="255" t="s">
        <v>649</v>
      </c>
      <c r="D1169" s="255" t="s">
        <v>650</v>
      </c>
      <c r="E1169" s="236">
        <v>5.0</v>
      </c>
      <c r="F1169" s="264">
        <v>0.0</v>
      </c>
      <c r="G1169" s="39">
        <f t="shared" si="1"/>
        <v>1250</v>
      </c>
      <c r="H1169" s="13" t="str">
        <f t="shared" si="2"/>
        <v>5 Signed Rep + 0 5-Star Review</v>
      </c>
      <c r="I1169" s="14"/>
      <c r="J1169" s="14"/>
    </row>
    <row r="1170" hidden="1">
      <c r="A1170" s="54" t="s">
        <v>301</v>
      </c>
      <c r="B1170" s="255" t="s">
        <v>651</v>
      </c>
      <c r="C1170" s="255" t="s">
        <v>652</v>
      </c>
      <c r="D1170" s="255" t="s">
        <v>653</v>
      </c>
      <c r="E1170" s="235">
        <v>6.0</v>
      </c>
      <c r="F1170" s="264">
        <v>0.0</v>
      </c>
      <c r="G1170" s="39">
        <f t="shared" si="1"/>
        <v>1500</v>
      </c>
      <c r="H1170" s="13" t="str">
        <f t="shared" si="2"/>
        <v>6 Signed Rep + 0 5-Star Review</v>
      </c>
      <c r="I1170" s="14"/>
      <c r="J1170" s="14"/>
    </row>
    <row r="1171" hidden="1">
      <c r="A1171" s="54" t="s">
        <v>301</v>
      </c>
      <c r="B1171" s="255" t="s">
        <v>829</v>
      </c>
      <c r="C1171" s="255" t="s">
        <v>830</v>
      </c>
      <c r="D1171" s="255" t="s">
        <v>831</v>
      </c>
      <c r="E1171" s="87"/>
      <c r="F1171" s="266"/>
      <c r="G1171" s="39">
        <f t="shared" si="1"/>
        <v>0</v>
      </c>
      <c r="H1171" s="13" t="str">
        <f t="shared" si="2"/>
        <v> Signed Rep +  5-Star Review</v>
      </c>
      <c r="I1171" s="14"/>
      <c r="J1171" s="14"/>
    </row>
    <row r="1172" hidden="1">
      <c r="A1172" s="54" t="s">
        <v>301</v>
      </c>
      <c r="B1172" s="255" t="s">
        <v>809</v>
      </c>
      <c r="C1172" s="255" t="s">
        <v>810</v>
      </c>
      <c r="D1172" s="255" t="s">
        <v>811</v>
      </c>
      <c r="E1172" s="76"/>
      <c r="F1172" s="76"/>
      <c r="G1172" s="39">
        <f t="shared" si="1"/>
        <v>0</v>
      </c>
      <c r="H1172" s="13" t="str">
        <f t="shared" si="2"/>
        <v> Signed Rep +  5-Star Review</v>
      </c>
      <c r="I1172" s="14"/>
      <c r="J1172" s="14"/>
    </row>
    <row r="1173" hidden="1">
      <c r="A1173" s="54" t="s">
        <v>301</v>
      </c>
      <c r="B1173" s="255" t="s">
        <v>654</v>
      </c>
      <c r="C1173" s="255" t="s">
        <v>655</v>
      </c>
      <c r="D1173" s="255" t="s">
        <v>656</v>
      </c>
      <c r="E1173" s="236">
        <v>7.0</v>
      </c>
      <c r="F1173" s="264">
        <v>0.0</v>
      </c>
      <c r="G1173" s="39">
        <f t="shared" si="1"/>
        <v>1750</v>
      </c>
      <c r="H1173" s="13" t="str">
        <f t="shared" si="2"/>
        <v>7 Signed Rep + 0 5-Star Review</v>
      </c>
      <c r="I1173" s="14"/>
      <c r="J1173" s="14"/>
    </row>
    <row r="1174" hidden="1">
      <c r="A1174" s="54" t="s">
        <v>301</v>
      </c>
      <c r="B1174" s="255" t="s">
        <v>812</v>
      </c>
      <c r="C1174" s="255" t="s">
        <v>813</v>
      </c>
      <c r="D1174" s="255" t="s">
        <v>814</v>
      </c>
      <c r="E1174" s="235">
        <v>10.0</v>
      </c>
      <c r="F1174" s="264">
        <v>0.0</v>
      </c>
      <c r="G1174" s="39">
        <f t="shared" si="1"/>
        <v>2500</v>
      </c>
      <c r="H1174" s="13" t="str">
        <f t="shared" si="2"/>
        <v>10 Signed Rep + 0 5-Star Review</v>
      </c>
      <c r="I1174" s="14"/>
      <c r="J1174" s="14"/>
    </row>
    <row r="1175" hidden="1">
      <c r="A1175" s="54" t="s">
        <v>301</v>
      </c>
      <c r="B1175" s="255" t="s">
        <v>657</v>
      </c>
      <c r="C1175" s="255" t="s">
        <v>658</v>
      </c>
      <c r="D1175" s="255" t="s">
        <v>659</v>
      </c>
      <c r="E1175" s="235">
        <v>8.0</v>
      </c>
      <c r="F1175" s="264">
        <v>0.0</v>
      </c>
      <c r="G1175" s="39">
        <f t="shared" si="1"/>
        <v>2000</v>
      </c>
      <c r="H1175" s="13" t="str">
        <f t="shared" si="2"/>
        <v>8 Signed Rep + 0 5-Star Review</v>
      </c>
      <c r="I1175" s="14"/>
      <c r="J1175" s="14"/>
    </row>
    <row r="1176" hidden="1">
      <c r="A1176" s="54" t="s">
        <v>301</v>
      </c>
      <c r="B1176" s="255" t="s">
        <v>59</v>
      </c>
      <c r="C1176" s="255" t="s">
        <v>60</v>
      </c>
      <c r="D1176" s="255" t="s">
        <v>61</v>
      </c>
      <c r="E1176" s="87"/>
      <c r="F1176" s="266"/>
      <c r="G1176" s="39">
        <f t="shared" si="1"/>
        <v>0</v>
      </c>
      <c r="H1176" s="13" t="str">
        <f t="shared" si="2"/>
        <v> Signed Rep +  5-Star Review</v>
      </c>
      <c r="I1176" s="14"/>
      <c r="J1176" s="14"/>
    </row>
    <row r="1177" hidden="1">
      <c r="A1177" s="54" t="s">
        <v>301</v>
      </c>
      <c r="B1177" s="255" t="s">
        <v>44</v>
      </c>
      <c r="C1177" s="255" t="s">
        <v>45</v>
      </c>
      <c r="D1177" s="255" t="s">
        <v>46</v>
      </c>
      <c r="E1177" s="87"/>
      <c r="F1177" s="266"/>
      <c r="G1177" s="39">
        <f t="shared" si="1"/>
        <v>0</v>
      </c>
      <c r="H1177" s="13" t="str">
        <f t="shared" si="2"/>
        <v> Signed Rep +  5-Star Review</v>
      </c>
      <c r="I1177" s="14"/>
      <c r="J1177" s="14"/>
    </row>
    <row r="1178" hidden="1">
      <c r="A1178" s="54" t="s">
        <v>301</v>
      </c>
      <c r="B1178" s="255" t="s">
        <v>56</v>
      </c>
      <c r="C1178" s="255" t="s">
        <v>57</v>
      </c>
      <c r="D1178" s="255" t="s">
        <v>58</v>
      </c>
      <c r="E1178" s="87"/>
      <c r="F1178" s="266"/>
      <c r="G1178" s="39">
        <f t="shared" si="1"/>
        <v>0</v>
      </c>
      <c r="H1178" s="13" t="str">
        <f t="shared" si="2"/>
        <v> Signed Rep +  5-Star Review</v>
      </c>
      <c r="I1178" s="14"/>
      <c r="J1178" s="14"/>
    </row>
    <row r="1179" hidden="1">
      <c r="A1179" s="54" t="s">
        <v>301</v>
      </c>
      <c r="B1179" s="255" t="s">
        <v>832</v>
      </c>
      <c r="C1179" s="255" t="s">
        <v>833</v>
      </c>
      <c r="D1179" s="255" t="s">
        <v>834</v>
      </c>
      <c r="E1179" s="76"/>
      <c r="F1179" s="76"/>
      <c r="G1179" s="39">
        <f t="shared" si="1"/>
        <v>0</v>
      </c>
      <c r="H1179" s="13" t="str">
        <f t="shared" si="2"/>
        <v> Signed Rep +  5-Star Review</v>
      </c>
      <c r="I1179" s="14"/>
      <c r="J1179" s="14"/>
    </row>
    <row r="1180" hidden="1">
      <c r="A1180" s="54" t="s">
        <v>301</v>
      </c>
      <c r="B1180" s="255" t="s">
        <v>835</v>
      </c>
      <c r="C1180" s="255" t="s">
        <v>836</v>
      </c>
      <c r="D1180" s="255" t="s">
        <v>837</v>
      </c>
      <c r="E1180" s="76"/>
      <c r="F1180" s="76"/>
      <c r="G1180" s="39">
        <f t="shared" si="1"/>
        <v>0</v>
      </c>
      <c r="H1180" s="13" t="str">
        <f t="shared" si="2"/>
        <v> Signed Rep +  5-Star Review</v>
      </c>
      <c r="I1180" s="14"/>
      <c r="J1180" s="14"/>
    </row>
    <row r="1181" hidden="1">
      <c r="A1181" s="54" t="s">
        <v>301</v>
      </c>
      <c r="B1181" s="255" t="s">
        <v>764</v>
      </c>
      <c r="C1181" s="255" t="s">
        <v>765</v>
      </c>
      <c r="D1181" s="255" t="s">
        <v>838</v>
      </c>
      <c r="E1181" s="76"/>
      <c r="F1181" s="76"/>
      <c r="G1181" s="39">
        <f t="shared" si="1"/>
        <v>0</v>
      </c>
      <c r="H1181" s="13" t="str">
        <f t="shared" si="2"/>
        <v> Signed Rep +  5-Star Review</v>
      </c>
      <c r="I1181" s="14"/>
      <c r="J1181" s="14"/>
    </row>
    <row r="1182" hidden="1">
      <c r="A1182" s="54" t="s">
        <v>301</v>
      </c>
      <c r="B1182" s="255" t="s">
        <v>213</v>
      </c>
      <c r="C1182" s="255" t="s">
        <v>214</v>
      </c>
      <c r="D1182" s="255" t="s">
        <v>660</v>
      </c>
      <c r="E1182" s="235">
        <v>12.0</v>
      </c>
      <c r="F1182" s="264">
        <v>0.0</v>
      </c>
      <c r="G1182" s="39">
        <f t="shared" si="1"/>
        <v>3000</v>
      </c>
      <c r="H1182" s="13" t="str">
        <f t="shared" si="2"/>
        <v>12 Signed Rep + 0 5-Star Review</v>
      </c>
      <c r="I1182" s="14"/>
      <c r="J1182" s="14"/>
    </row>
    <row r="1183" hidden="1">
      <c r="A1183" s="54" t="s">
        <v>301</v>
      </c>
      <c r="B1183" s="255" t="s">
        <v>661</v>
      </c>
      <c r="C1183" s="255" t="s">
        <v>662</v>
      </c>
      <c r="D1183" s="255" t="s">
        <v>663</v>
      </c>
      <c r="E1183" s="235">
        <v>27.0</v>
      </c>
      <c r="F1183" s="264">
        <v>0.0</v>
      </c>
      <c r="G1183" s="39">
        <f t="shared" si="1"/>
        <v>6750</v>
      </c>
      <c r="H1183" s="13" t="str">
        <f t="shared" si="2"/>
        <v>27 Signed Rep + 0 5-Star Review</v>
      </c>
      <c r="I1183" s="14"/>
      <c r="J1183" s="14"/>
    </row>
    <row r="1184" hidden="1">
      <c r="A1184" s="54" t="s">
        <v>301</v>
      </c>
      <c r="B1184" s="255" t="s">
        <v>664</v>
      </c>
      <c r="C1184" s="255" t="s">
        <v>665</v>
      </c>
      <c r="D1184" s="255" t="s">
        <v>666</v>
      </c>
      <c r="E1184" s="235">
        <v>25.0</v>
      </c>
      <c r="F1184" s="264">
        <v>0.0</v>
      </c>
      <c r="G1184" s="39">
        <f t="shared" si="1"/>
        <v>6250</v>
      </c>
      <c r="H1184" s="13" t="str">
        <f t="shared" si="2"/>
        <v>25 Signed Rep + 0 5-Star Review</v>
      </c>
      <c r="I1184" s="14"/>
      <c r="J1184" s="14"/>
    </row>
    <row r="1185" hidden="1">
      <c r="A1185" s="54" t="s">
        <v>301</v>
      </c>
      <c r="B1185" s="255" t="s">
        <v>667</v>
      </c>
      <c r="C1185" s="255" t="s">
        <v>668</v>
      </c>
      <c r="D1185" s="255" t="s">
        <v>669</v>
      </c>
      <c r="E1185" s="235">
        <v>19.0</v>
      </c>
      <c r="F1185" s="264">
        <v>2.0</v>
      </c>
      <c r="G1185" s="39">
        <f t="shared" si="1"/>
        <v>4950</v>
      </c>
      <c r="H1185" s="13" t="str">
        <f t="shared" si="2"/>
        <v>19 Signed Rep + 2 5-Star Review</v>
      </c>
      <c r="I1185" s="14"/>
      <c r="J1185" s="14"/>
    </row>
    <row r="1186" hidden="1">
      <c r="A1186" s="54" t="s">
        <v>301</v>
      </c>
      <c r="B1186" s="255" t="s">
        <v>670</v>
      </c>
      <c r="C1186" s="255" t="s">
        <v>671</v>
      </c>
      <c r="D1186" s="255" t="s">
        <v>672</v>
      </c>
      <c r="E1186" s="235">
        <v>16.0</v>
      </c>
      <c r="F1186" s="264">
        <v>0.0</v>
      </c>
      <c r="G1186" s="39">
        <f t="shared" si="1"/>
        <v>4000</v>
      </c>
      <c r="H1186" s="13" t="str">
        <f t="shared" si="2"/>
        <v>16 Signed Rep + 0 5-Star Review</v>
      </c>
      <c r="I1186" s="14"/>
      <c r="J1186" s="14"/>
    </row>
    <row r="1187" hidden="1">
      <c r="A1187" s="54" t="s">
        <v>301</v>
      </c>
      <c r="B1187" s="255" t="s">
        <v>673</v>
      </c>
      <c r="C1187" s="255" t="s">
        <v>674</v>
      </c>
      <c r="D1187" s="255" t="s">
        <v>675</v>
      </c>
      <c r="E1187" s="235">
        <v>16.0</v>
      </c>
      <c r="F1187" s="264">
        <v>3.0</v>
      </c>
      <c r="G1187" s="39">
        <f t="shared" si="1"/>
        <v>4300</v>
      </c>
      <c r="H1187" s="13" t="str">
        <f t="shared" si="2"/>
        <v>16 Signed Rep + 3 5-Star Review</v>
      </c>
      <c r="I1187" s="14"/>
      <c r="J1187" s="14"/>
    </row>
    <row r="1188" hidden="1">
      <c r="A1188" s="54" t="s">
        <v>301</v>
      </c>
      <c r="B1188" s="255" t="s">
        <v>676</v>
      </c>
      <c r="C1188" s="255" t="s">
        <v>677</v>
      </c>
      <c r="D1188" s="255" t="s">
        <v>678</v>
      </c>
      <c r="E1188" s="235">
        <v>13.0</v>
      </c>
      <c r="F1188" s="264">
        <v>0.0</v>
      </c>
      <c r="G1188" s="39">
        <f t="shared" si="1"/>
        <v>3250</v>
      </c>
      <c r="H1188" s="13" t="str">
        <f t="shared" si="2"/>
        <v>13 Signed Rep + 0 5-Star Review</v>
      </c>
      <c r="I1188" s="14"/>
      <c r="J1188" s="14"/>
    </row>
    <row r="1189" hidden="1">
      <c r="A1189" s="54" t="s">
        <v>301</v>
      </c>
      <c r="B1189" s="255" t="s">
        <v>679</v>
      </c>
      <c r="C1189" s="255" t="s">
        <v>680</v>
      </c>
      <c r="D1189" s="255" t="s">
        <v>843</v>
      </c>
      <c r="E1189" s="235">
        <v>16.0</v>
      </c>
      <c r="F1189" s="264">
        <v>6.0</v>
      </c>
      <c r="G1189" s="39">
        <f t="shared" si="1"/>
        <v>4600</v>
      </c>
      <c r="H1189" s="13" t="str">
        <f t="shared" si="2"/>
        <v>16 Signed Rep + 6 5-Star Review</v>
      </c>
      <c r="I1189" s="14"/>
      <c r="J1189" s="14"/>
    </row>
    <row r="1190" hidden="1">
      <c r="A1190" s="54" t="s">
        <v>301</v>
      </c>
      <c r="B1190" s="255" t="s">
        <v>682</v>
      </c>
      <c r="C1190" s="255" t="s">
        <v>683</v>
      </c>
      <c r="D1190" s="255" t="s">
        <v>684</v>
      </c>
      <c r="E1190" s="236">
        <v>13.0</v>
      </c>
      <c r="F1190" s="264">
        <v>0.0</v>
      </c>
      <c r="G1190" s="39">
        <f t="shared" si="1"/>
        <v>3250</v>
      </c>
      <c r="H1190" s="13" t="str">
        <f t="shared" si="2"/>
        <v>13 Signed Rep + 0 5-Star Review</v>
      </c>
      <c r="I1190" s="14"/>
      <c r="J1190" s="14"/>
    </row>
    <row r="1191" hidden="1">
      <c r="A1191" s="54" t="s">
        <v>301</v>
      </c>
      <c r="B1191" s="255" t="s">
        <v>685</v>
      </c>
      <c r="C1191" s="255" t="s">
        <v>686</v>
      </c>
      <c r="D1191" s="255" t="s">
        <v>687</v>
      </c>
      <c r="E1191" s="235">
        <v>14.0</v>
      </c>
      <c r="F1191" s="264">
        <v>0.0</v>
      </c>
      <c r="G1191" s="39">
        <f t="shared" si="1"/>
        <v>3500</v>
      </c>
      <c r="H1191" s="13" t="str">
        <f t="shared" si="2"/>
        <v>14 Signed Rep + 0 5-Star Review</v>
      </c>
      <c r="I1191" s="14"/>
      <c r="J1191" s="14"/>
    </row>
    <row r="1192" hidden="1">
      <c r="A1192" s="54" t="s">
        <v>301</v>
      </c>
      <c r="B1192" s="255" t="s">
        <v>688</v>
      </c>
      <c r="C1192" s="255" t="s">
        <v>689</v>
      </c>
      <c r="D1192" s="255" t="s">
        <v>690</v>
      </c>
      <c r="E1192" s="235">
        <v>20.0</v>
      </c>
      <c r="F1192" s="264">
        <v>0.0</v>
      </c>
      <c r="G1192" s="39">
        <f t="shared" si="1"/>
        <v>5000</v>
      </c>
      <c r="H1192" s="13" t="str">
        <f t="shared" si="2"/>
        <v>20 Signed Rep + 0 5-Star Review</v>
      </c>
      <c r="I1192" s="14"/>
      <c r="J1192" s="14"/>
    </row>
    <row r="1193" hidden="1">
      <c r="A1193" s="54" t="s">
        <v>301</v>
      </c>
      <c r="B1193" s="255" t="s">
        <v>691</v>
      </c>
      <c r="C1193" s="255" t="s">
        <v>692</v>
      </c>
      <c r="D1193" s="255" t="s">
        <v>693</v>
      </c>
      <c r="E1193" s="235">
        <v>21.0</v>
      </c>
      <c r="F1193" s="264">
        <v>0.0</v>
      </c>
      <c r="G1193" s="39">
        <f t="shared" si="1"/>
        <v>5250</v>
      </c>
      <c r="H1193" s="13" t="str">
        <f t="shared" si="2"/>
        <v>21 Signed Rep + 0 5-Star Review</v>
      </c>
      <c r="I1193" s="14"/>
      <c r="J1193" s="14"/>
    </row>
    <row r="1194" hidden="1">
      <c r="A1194" s="54" t="s">
        <v>301</v>
      </c>
      <c r="B1194" s="255" t="s">
        <v>694</v>
      </c>
      <c r="C1194" s="255" t="s">
        <v>695</v>
      </c>
      <c r="D1194" s="255" t="s">
        <v>696</v>
      </c>
      <c r="E1194" s="235">
        <v>16.0</v>
      </c>
      <c r="F1194" s="264">
        <v>1.0</v>
      </c>
      <c r="G1194" s="39">
        <f t="shared" si="1"/>
        <v>4100</v>
      </c>
      <c r="H1194" s="13" t="str">
        <f t="shared" si="2"/>
        <v>16 Signed Rep + 1 5-Star Review</v>
      </c>
      <c r="I1194" s="14"/>
      <c r="J1194" s="14"/>
    </row>
    <row r="1195" hidden="1">
      <c r="A1195" s="54" t="s">
        <v>301</v>
      </c>
      <c r="B1195" s="255" t="s">
        <v>697</v>
      </c>
      <c r="C1195" s="255" t="s">
        <v>698</v>
      </c>
      <c r="D1195" s="255" t="s">
        <v>699</v>
      </c>
      <c r="E1195" s="235">
        <v>19.0</v>
      </c>
      <c r="F1195" s="264">
        <v>2.0</v>
      </c>
      <c r="G1195" s="39">
        <f t="shared" si="1"/>
        <v>4950</v>
      </c>
      <c r="H1195" s="13" t="str">
        <f t="shared" si="2"/>
        <v>19 Signed Rep + 2 5-Star Review</v>
      </c>
      <c r="I1195" s="14"/>
      <c r="J1195" s="14"/>
    </row>
    <row r="1196" hidden="1">
      <c r="A1196" s="54" t="s">
        <v>301</v>
      </c>
      <c r="B1196" s="255" t="s">
        <v>700</v>
      </c>
      <c r="C1196" s="255" t="s">
        <v>701</v>
      </c>
      <c r="D1196" s="255" t="s">
        <v>702</v>
      </c>
      <c r="E1196" s="235">
        <v>16.0</v>
      </c>
      <c r="F1196" s="264">
        <v>0.0</v>
      </c>
      <c r="G1196" s="39">
        <f t="shared" si="1"/>
        <v>4000</v>
      </c>
      <c r="H1196" s="13" t="str">
        <f t="shared" si="2"/>
        <v>16 Signed Rep + 0 5-Star Review</v>
      </c>
      <c r="I1196" s="14"/>
      <c r="J1196" s="14"/>
    </row>
    <row r="1197" hidden="1">
      <c r="A1197" s="54" t="s">
        <v>301</v>
      </c>
      <c r="B1197" s="255" t="s">
        <v>703</v>
      </c>
      <c r="C1197" s="255" t="s">
        <v>704</v>
      </c>
      <c r="D1197" s="255" t="s">
        <v>705</v>
      </c>
      <c r="E1197" s="235">
        <v>12.0</v>
      </c>
      <c r="F1197" s="264">
        <v>1.0</v>
      </c>
      <c r="G1197" s="39">
        <f t="shared" si="1"/>
        <v>3100</v>
      </c>
      <c r="H1197" s="13" t="str">
        <f t="shared" si="2"/>
        <v>12 Signed Rep + 1 5-Star Review</v>
      </c>
      <c r="I1197" s="14"/>
      <c r="J1197" s="14"/>
    </row>
    <row r="1198" hidden="1">
      <c r="A1198" s="54" t="s">
        <v>301</v>
      </c>
      <c r="B1198" s="255" t="s">
        <v>706</v>
      </c>
      <c r="C1198" s="255" t="s">
        <v>707</v>
      </c>
      <c r="D1198" s="255" t="s">
        <v>708</v>
      </c>
      <c r="E1198" s="235">
        <v>15.0</v>
      </c>
      <c r="F1198" s="264">
        <v>0.0</v>
      </c>
      <c r="G1198" s="39">
        <f t="shared" si="1"/>
        <v>3750</v>
      </c>
      <c r="H1198" s="13" t="str">
        <f t="shared" si="2"/>
        <v>15 Signed Rep + 0 5-Star Review</v>
      </c>
      <c r="I1198" s="14"/>
      <c r="J1198" s="14"/>
    </row>
    <row r="1199" hidden="1">
      <c r="A1199" s="54" t="s">
        <v>301</v>
      </c>
      <c r="B1199" s="255" t="s">
        <v>709</v>
      </c>
      <c r="C1199" s="255" t="s">
        <v>710</v>
      </c>
      <c r="D1199" s="255" t="s">
        <v>711</v>
      </c>
      <c r="E1199" s="235">
        <v>21.0</v>
      </c>
      <c r="F1199" s="264">
        <v>0.0</v>
      </c>
      <c r="G1199" s="39">
        <f t="shared" si="1"/>
        <v>5250</v>
      </c>
      <c r="H1199" s="13" t="str">
        <f t="shared" si="2"/>
        <v>21 Signed Rep + 0 5-Star Review</v>
      </c>
      <c r="I1199" s="14"/>
      <c r="J1199" s="14"/>
    </row>
    <row r="1200" hidden="1">
      <c r="A1200" s="54" t="s">
        <v>301</v>
      </c>
      <c r="B1200" s="255" t="s">
        <v>712</v>
      </c>
      <c r="C1200" s="255" t="s">
        <v>713</v>
      </c>
      <c r="D1200" s="255" t="s">
        <v>714</v>
      </c>
      <c r="E1200" s="235">
        <v>17.0</v>
      </c>
      <c r="F1200" s="264">
        <v>2.0</v>
      </c>
      <c r="G1200" s="39">
        <f t="shared" si="1"/>
        <v>4450</v>
      </c>
      <c r="H1200" s="13" t="str">
        <f t="shared" si="2"/>
        <v>17 Signed Rep + 2 5-Star Review</v>
      </c>
      <c r="I1200" s="14"/>
      <c r="J1200" s="14"/>
    </row>
    <row r="1201" hidden="1">
      <c r="A1201" s="54" t="s">
        <v>301</v>
      </c>
      <c r="B1201" s="255" t="s">
        <v>799</v>
      </c>
      <c r="C1201" s="255" t="s">
        <v>800</v>
      </c>
      <c r="D1201" s="255" t="s">
        <v>801</v>
      </c>
      <c r="E1201" s="235">
        <v>13.0</v>
      </c>
      <c r="F1201" s="264">
        <v>2.0</v>
      </c>
      <c r="G1201" s="39">
        <f t="shared" si="1"/>
        <v>3450</v>
      </c>
      <c r="H1201" s="13" t="str">
        <f t="shared" si="2"/>
        <v>13 Signed Rep + 2 5-Star Review</v>
      </c>
      <c r="I1201" s="14"/>
      <c r="J1201" s="14"/>
    </row>
    <row r="1202" hidden="1">
      <c r="A1202" s="54" t="s">
        <v>301</v>
      </c>
      <c r="B1202" s="255" t="s">
        <v>795</v>
      </c>
      <c r="C1202" s="255" t="s">
        <v>796</v>
      </c>
      <c r="D1202" s="255" t="s">
        <v>797</v>
      </c>
      <c r="E1202" s="235">
        <v>14.0</v>
      </c>
      <c r="F1202" s="264">
        <v>0.0</v>
      </c>
      <c r="G1202" s="39">
        <f t="shared" si="1"/>
        <v>3500</v>
      </c>
      <c r="H1202" s="13" t="str">
        <f t="shared" si="2"/>
        <v>14 Signed Rep + 0 5-Star Review</v>
      </c>
      <c r="I1202" s="14"/>
      <c r="J1202" s="14"/>
    </row>
    <row r="1203" hidden="1">
      <c r="A1203" s="54" t="s">
        <v>301</v>
      </c>
      <c r="B1203" s="255" t="s">
        <v>715</v>
      </c>
      <c r="C1203" s="255" t="s">
        <v>716</v>
      </c>
      <c r="D1203" s="255" t="s">
        <v>717</v>
      </c>
      <c r="E1203" s="235">
        <v>13.0</v>
      </c>
      <c r="F1203" s="264">
        <v>0.0</v>
      </c>
      <c r="G1203" s="39">
        <f t="shared" si="1"/>
        <v>3250</v>
      </c>
      <c r="H1203" s="13" t="str">
        <f t="shared" si="2"/>
        <v>13 Signed Rep + 0 5-Star Review</v>
      </c>
      <c r="I1203" s="14"/>
      <c r="J1203" s="14"/>
    </row>
    <row r="1204" hidden="1">
      <c r="A1204" s="54" t="s">
        <v>301</v>
      </c>
      <c r="B1204" s="255" t="s">
        <v>718</v>
      </c>
      <c r="C1204" s="255" t="s">
        <v>719</v>
      </c>
      <c r="D1204" s="255" t="s">
        <v>720</v>
      </c>
      <c r="E1204" s="235">
        <v>13.0</v>
      </c>
      <c r="F1204" s="264">
        <v>0.0</v>
      </c>
      <c r="G1204" s="39">
        <f t="shared" si="1"/>
        <v>3250</v>
      </c>
      <c r="H1204" s="13" t="str">
        <f t="shared" si="2"/>
        <v>13 Signed Rep + 0 5-Star Review</v>
      </c>
      <c r="I1204" s="14"/>
      <c r="J1204" s="14"/>
    </row>
    <row r="1205" hidden="1">
      <c r="A1205" s="54" t="s">
        <v>301</v>
      </c>
      <c r="B1205" s="255" t="s">
        <v>721</v>
      </c>
      <c r="C1205" s="255" t="s">
        <v>722</v>
      </c>
      <c r="D1205" s="255" t="s">
        <v>723</v>
      </c>
      <c r="E1205" s="235">
        <v>21.0</v>
      </c>
      <c r="F1205" s="264">
        <v>7.0</v>
      </c>
      <c r="G1205" s="39">
        <f t="shared" si="1"/>
        <v>5950</v>
      </c>
      <c r="H1205" s="13" t="str">
        <f t="shared" si="2"/>
        <v>21 Signed Rep + 7 5-Star Review</v>
      </c>
      <c r="I1205" s="14"/>
      <c r="J1205" s="14"/>
    </row>
    <row r="1206" hidden="1">
      <c r="A1206" s="54" t="s">
        <v>301</v>
      </c>
      <c r="B1206" s="257" t="s">
        <v>724</v>
      </c>
      <c r="C1206" s="255" t="s">
        <v>725</v>
      </c>
      <c r="D1206" s="255" t="s">
        <v>726</v>
      </c>
      <c r="E1206" s="235">
        <v>8.0</v>
      </c>
      <c r="F1206" s="264">
        <v>0.0</v>
      </c>
      <c r="G1206" s="39">
        <f t="shared" si="1"/>
        <v>2000</v>
      </c>
      <c r="H1206" s="13" t="str">
        <f t="shared" si="2"/>
        <v>8 Signed Rep + 0 5-Star Review</v>
      </c>
      <c r="I1206" s="14"/>
      <c r="J1206" s="14"/>
    </row>
    <row r="1207" hidden="1">
      <c r="A1207" s="54" t="s">
        <v>301</v>
      </c>
      <c r="B1207" s="255" t="s">
        <v>727</v>
      </c>
      <c r="C1207" s="255" t="s">
        <v>728</v>
      </c>
      <c r="D1207" s="255" t="s">
        <v>729</v>
      </c>
      <c r="E1207" s="235">
        <v>10.0</v>
      </c>
      <c r="F1207" s="264">
        <v>0.0</v>
      </c>
      <c r="G1207" s="39">
        <f t="shared" si="1"/>
        <v>2500</v>
      </c>
      <c r="H1207" s="13" t="str">
        <f t="shared" si="2"/>
        <v>10 Signed Rep + 0 5-Star Review</v>
      </c>
      <c r="I1207" s="14"/>
      <c r="J1207" s="14"/>
    </row>
    <row r="1208" hidden="1">
      <c r="A1208" s="54" t="s">
        <v>301</v>
      </c>
      <c r="B1208" s="255" t="s">
        <v>730</v>
      </c>
      <c r="C1208" s="255" t="s">
        <v>731</v>
      </c>
      <c r="D1208" s="255" t="s">
        <v>732</v>
      </c>
      <c r="E1208" s="235">
        <v>14.0</v>
      </c>
      <c r="F1208" s="264">
        <v>0.0</v>
      </c>
      <c r="G1208" s="39">
        <f t="shared" si="1"/>
        <v>3500</v>
      </c>
      <c r="H1208" s="13" t="str">
        <f t="shared" si="2"/>
        <v>14 Signed Rep + 0 5-Star Review</v>
      </c>
      <c r="I1208" s="14"/>
      <c r="J1208" s="14"/>
    </row>
    <row r="1209" hidden="1">
      <c r="A1209" s="54" t="s">
        <v>301</v>
      </c>
      <c r="B1209" s="255" t="s">
        <v>733</v>
      </c>
      <c r="C1209" s="255" t="s">
        <v>734</v>
      </c>
      <c r="D1209" s="255" t="s">
        <v>735</v>
      </c>
      <c r="E1209" s="235">
        <v>6.0</v>
      </c>
      <c r="F1209" s="87"/>
      <c r="G1209" s="39">
        <f t="shared" si="1"/>
        <v>1500</v>
      </c>
      <c r="H1209" s="13" t="str">
        <f t="shared" si="2"/>
        <v>6 Signed Rep +  5-Star Review</v>
      </c>
      <c r="I1209" s="14"/>
      <c r="J1209" s="14"/>
    </row>
    <row r="1210" hidden="1">
      <c r="A1210" s="54" t="s">
        <v>301</v>
      </c>
      <c r="B1210" s="255" t="s">
        <v>736</v>
      </c>
      <c r="C1210" s="255" t="s">
        <v>737</v>
      </c>
      <c r="D1210" s="255" t="s">
        <v>738</v>
      </c>
      <c r="E1210" s="235">
        <v>11.0</v>
      </c>
      <c r="F1210" s="264">
        <v>0.0</v>
      </c>
      <c r="G1210" s="39">
        <f t="shared" si="1"/>
        <v>2750</v>
      </c>
      <c r="H1210" s="13" t="str">
        <f t="shared" si="2"/>
        <v>11 Signed Rep + 0 5-Star Review</v>
      </c>
      <c r="I1210" s="14"/>
      <c r="J1210" s="14"/>
    </row>
    <row r="1211" hidden="1">
      <c r="A1211" s="54" t="s">
        <v>301</v>
      </c>
      <c r="B1211" s="255" t="s">
        <v>739</v>
      </c>
      <c r="C1211" s="255" t="s">
        <v>740</v>
      </c>
      <c r="D1211" s="255" t="s">
        <v>741</v>
      </c>
      <c r="E1211" s="235">
        <v>13.0</v>
      </c>
      <c r="F1211" s="264">
        <v>0.0</v>
      </c>
      <c r="G1211" s="39">
        <f t="shared" si="1"/>
        <v>3250</v>
      </c>
      <c r="H1211" s="13" t="str">
        <f t="shared" si="2"/>
        <v>13 Signed Rep + 0 5-Star Review</v>
      </c>
      <c r="I1211" s="14"/>
      <c r="J1211" s="14"/>
    </row>
    <row r="1212" hidden="1">
      <c r="A1212" s="54" t="s">
        <v>301</v>
      </c>
      <c r="B1212" s="255" t="s">
        <v>742</v>
      </c>
      <c r="C1212" s="255" t="s">
        <v>743</v>
      </c>
      <c r="D1212" s="255" t="s">
        <v>744</v>
      </c>
      <c r="E1212" s="235">
        <v>14.0</v>
      </c>
      <c r="F1212" s="264">
        <v>6.0</v>
      </c>
      <c r="G1212" s="39">
        <f t="shared" si="1"/>
        <v>4100</v>
      </c>
      <c r="H1212" s="13" t="str">
        <f t="shared" si="2"/>
        <v>14 Signed Rep + 6 5-Star Review</v>
      </c>
      <c r="I1212" s="14"/>
      <c r="J1212" s="14"/>
    </row>
    <row r="1213" hidden="1">
      <c r="A1213" s="54" t="s">
        <v>301</v>
      </c>
      <c r="B1213" s="255" t="s">
        <v>816</v>
      </c>
      <c r="C1213" s="255" t="s">
        <v>817</v>
      </c>
      <c r="D1213" s="255" t="s">
        <v>818</v>
      </c>
      <c r="E1213" s="235">
        <v>12.0</v>
      </c>
      <c r="F1213" s="264">
        <v>0.0</v>
      </c>
      <c r="G1213" s="39">
        <f t="shared" si="1"/>
        <v>3000</v>
      </c>
      <c r="H1213" s="13" t="str">
        <f t="shared" si="2"/>
        <v>12 Signed Rep + 0 5-Star Review</v>
      </c>
      <c r="I1213" s="14"/>
      <c r="J1213" s="14"/>
    </row>
    <row r="1214" hidden="1">
      <c r="A1214" s="54" t="s">
        <v>301</v>
      </c>
      <c r="B1214" s="255" t="s">
        <v>840</v>
      </c>
      <c r="C1214" s="255" t="s">
        <v>841</v>
      </c>
      <c r="D1214" s="255" t="s">
        <v>842</v>
      </c>
      <c r="E1214" s="235">
        <v>4.0</v>
      </c>
      <c r="F1214" s="87"/>
      <c r="G1214" s="39">
        <f t="shared" si="1"/>
        <v>1000</v>
      </c>
      <c r="H1214" s="13" t="str">
        <f t="shared" si="2"/>
        <v>4 Signed Rep +  5-Star Review</v>
      </c>
      <c r="I1214" s="14"/>
      <c r="J1214" s="14"/>
    </row>
    <row r="1215" hidden="1">
      <c r="A1215" s="54" t="s">
        <v>301</v>
      </c>
      <c r="B1215" s="254" t="s">
        <v>745</v>
      </c>
      <c r="C1215" s="255" t="s">
        <v>746</v>
      </c>
      <c r="D1215" s="255" t="s">
        <v>747</v>
      </c>
      <c r="E1215" s="235">
        <v>9.0</v>
      </c>
      <c r="F1215" s="264">
        <v>0.0</v>
      </c>
      <c r="G1215" s="39">
        <f t="shared" si="1"/>
        <v>2250</v>
      </c>
      <c r="H1215" s="13" t="str">
        <f t="shared" si="2"/>
        <v>9 Signed Rep + 0 5-Star Review</v>
      </c>
      <c r="I1215" s="14"/>
      <c r="J1215" s="14"/>
    </row>
    <row r="1216" hidden="1">
      <c r="A1216" s="54" t="s">
        <v>301</v>
      </c>
      <c r="B1216" s="255" t="s">
        <v>748</v>
      </c>
      <c r="C1216" s="255" t="s">
        <v>749</v>
      </c>
      <c r="D1216" s="255" t="s">
        <v>750</v>
      </c>
      <c r="E1216" s="235">
        <v>11.0</v>
      </c>
      <c r="F1216" s="264">
        <v>0.0</v>
      </c>
      <c r="G1216" s="39">
        <f t="shared" si="1"/>
        <v>2750</v>
      </c>
      <c r="H1216" s="13" t="str">
        <f t="shared" si="2"/>
        <v>11 Signed Rep + 0 5-Star Review</v>
      </c>
      <c r="I1216" s="14"/>
      <c r="J1216" s="14"/>
    </row>
    <row r="1217" hidden="1">
      <c r="A1217" s="54" t="s">
        <v>301</v>
      </c>
      <c r="B1217" s="255" t="s">
        <v>788</v>
      </c>
      <c r="C1217" s="255" t="s">
        <v>789</v>
      </c>
      <c r="D1217" s="255" t="s">
        <v>790</v>
      </c>
      <c r="E1217" s="235">
        <v>10.0</v>
      </c>
      <c r="F1217" s="264">
        <v>0.0</v>
      </c>
      <c r="G1217" s="39">
        <f t="shared" si="1"/>
        <v>2500</v>
      </c>
      <c r="H1217" s="13" t="str">
        <f t="shared" si="2"/>
        <v>10 Signed Rep + 0 5-Star Review</v>
      </c>
      <c r="I1217" s="14"/>
      <c r="J1217" s="14"/>
    </row>
    <row r="1218" hidden="1">
      <c r="A1218" s="54" t="s">
        <v>301</v>
      </c>
      <c r="B1218" s="255" t="s">
        <v>751</v>
      </c>
      <c r="C1218" s="255" t="s">
        <v>752</v>
      </c>
      <c r="D1218" s="255" t="s">
        <v>753</v>
      </c>
      <c r="E1218" s="235">
        <v>14.0</v>
      </c>
      <c r="F1218" s="264">
        <v>0.0</v>
      </c>
      <c r="G1218" s="39">
        <f t="shared" si="1"/>
        <v>3500</v>
      </c>
      <c r="H1218" s="13" t="str">
        <f t="shared" si="2"/>
        <v>14 Signed Rep + 0 5-Star Review</v>
      </c>
      <c r="I1218" s="14"/>
      <c r="J1218" s="14"/>
    </row>
    <row r="1219" hidden="1">
      <c r="A1219" s="54" t="s">
        <v>301</v>
      </c>
      <c r="B1219" s="255" t="s">
        <v>754</v>
      </c>
      <c r="C1219" s="255" t="s">
        <v>755</v>
      </c>
      <c r="D1219" s="255" t="s">
        <v>756</v>
      </c>
      <c r="E1219" s="235">
        <v>11.0</v>
      </c>
      <c r="F1219" s="264">
        <v>0.0</v>
      </c>
      <c r="G1219" s="39">
        <f t="shared" si="1"/>
        <v>2750</v>
      </c>
      <c r="H1219" s="13" t="str">
        <f t="shared" si="2"/>
        <v>11 Signed Rep + 0 5-Star Review</v>
      </c>
      <c r="I1219" s="14"/>
      <c r="J1219" s="14"/>
    </row>
    <row r="1220" hidden="1">
      <c r="A1220" s="54" t="s">
        <v>301</v>
      </c>
      <c r="B1220" s="254" t="s">
        <v>757</v>
      </c>
      <c r="C1220" s="255" t="s">
        <v>758</v>
      </c>
      <c r="D1220" s="255" t="s">
        <v>759</v>
      </c>
      <c r="E1220" s="235">
        <v>18.0</v>
      </c>
      <c r="F1220" s="264">
        <v>0.0</v>
      </c>
      <c r="G1220" s="39">
        <f t="shared" si="1"/>
        <v>4500</v>
      </c>
      <c r="H1220" s="13" t="str">
        <f t="shared" si="2"/>
        <v>18 Signed Rep + 0 5-Star Review</v>
      </c>
      <c r="I1220" s="23"/>
      <c r="J1220" s="23"/>
    </row>
    <row r="1221" hidden="1">
      <c r="A1221" s="54" t="s">
        <v>301</v>
      </c>
      <c r="B1221" s="255" t="s">
        <v>219</v>
      </c>
      <c r="C1221" s="255" t="s">
        <v>220</v>
      </c>
      <c r="D1221" s="255" t="s">
        <v>760</v>
      </c>
      <c r="E1221" s="236">
        <v>10.0</v>
      </c>
      <c r="F1221" s="264">
        <v>0.0</v>
      </c>
      <c r="G1221" s="39">
        <f t="shared" si="1"/>
        <v>2500</v>
      </c>
      <c r="H1221" s="13" t="str">
        <f t="shared" si="2"/>
        <v>10 Signed Rep + 0 5-Star Review</v>
      </c>
      <c r="I1221" s="14"/>
      <c r="J1221" s="14"/>
    </row>
    <row r="1222" hidden="1">
      <c r="A1222" s="54" t="s">
        <v>302</v>
      </c>
      <c r="B1222" s="254" t="s">
        <v>823</v>
      </c>
      <c r="C1222" s="254" t="s">
        <v>824</v>
      </c>
      <c r="D1222" s="254" t="s">
        <v>825</v>
      </c>
      <c r="E1222" s="84">
        <v>0.0</v>
      </c>
      <c r="F1222" s="267">
        <v>0.0</v>
      </c>
      <c r="G1222" s="39" t="str">
        <f t="shared" ref="G1222:G1366" si="3">sum(E1222*250)+(#REF!*250)+(F1222*100)</f>
        <v>#REF!</v>
      </c>
      <c r="H1222" s="13" t="str">
        <f t="shared" ref="H1222:H1366" si="4">E1222 &amp; " Signed Rep + " &amp; F1222 &amp; " 5-Star Review + " &amp; #REF! &amp; " Patient Portal login"</f>
        <v>#REF!</v>
      </c>
      <c r="I1222" s="14"/>
      <c r="J1222" s="14"/>
    </row>
    <row r="1223" hidden="1">
      <c r="A1223" s="54" t="s">
        <v>302</v>
      </c>
      <c r="B1223" s="254" t="s">
        <v>826</v>
      </c>
      <c r="C1223" s="254" t="s">
        <v>827</v>
      </c>
      <c r="D1223" s="254" t="s">
        <v>828</v>
      </c>
      <c r="E1223" s="84">
        <v>2.0</v>
      </c>
      <c r="F1223" s="267">
        <v>0.0</v>
      </c>
      <c r="G1223" s="39" t="str">
        <f t="shared" si="3"/>
        <v>#REF!</v>
      </c>
      <c r="H1223" s="13" t="str">
        <f t="shared" si="4"/>
        <v>#REF!</v>
      </c>
      <c r="I1223" s="14"/>
      <c r="J1223" s="14"/>
    </row>
    <row r="1224" hidden="1">
      <c r="A1224" s="54" t="s">
        <v>302</v>
      </c>
      <c r="B1224" s="254" t="s">
        <v>648</v>
      </c>
      <c r="C1224" s="254" t="s">
        <v>649</v>
      </c>
      <c r="D1224" s="254" t="s">
        <v>650</v>
      </c>
      <c r="E1224" s="84">
        <v>2.0</v>
      </c>
      <c r="F1224" s="267">
        <v>0.0</v>
      </c>
      <c r="G1224" s="39" t="str">
        <f t="shared" si="3"/>
        <v>#REF!</v>
      </c>
      <c r="H1224" s="13" t="str">
        <f t="shared" si="4"/>
        <v>#REF!</v>
      </c>
      <c r="I1224" s="14"/>
      <c r="J1224" s="14"/>
    </row>
    <row r="1225" hidden="1">
      <c r="A1225" s="54" t="s">
        <v>302</v>
      </c>
      <c r="B1225" s="254" t="s">
        <v>651</v>
      </c>
      <c r="C1225" s="254" t="s">
        <v>652</v>
      </c>
      <c r="D1225" s="254" t="s">
        <v>653</v>
      </c>
      <c r="E1225" s="84">
        <v>4.0</v>
      </c>
      <c r="F1225" s="267">
        <v>0.0</v>
      </c>
      <c r="G1225" s="39" t="str">
        <f t="shared" si="3"/>
        <v>#REF!</v>
      </c>
      <c r="H1225" s="13" t="str">
        <f t="shared" si="4"/>
        <v>#REF!</v>
      </c>
      <c r="I1225" s="14"/>
      <c r="J1225" s="14"/>
    </row>
    <row r="1226" hidden="1">
      <c r="A1226" s="54" t="s">
        <v>302</v>
      </c>
      <c r="B1226" s="254" t="s">
        <v>829</v>
      </c>
      <c r="C1226" s="254" t="s">
        <v>830</v>
      </c>
      <c r="D1226" s="254" t="s">
        <v>831</v>
      </c>
      <c r="E1226" s="84">
        <v>2.0</v>
      </c>
      <c r="F1226" s="267">
        <v>0.0</v>
      </c>
      <c r="G1226" s="39" t="str">
        <f t="shared" si="3"/>
        <v>#REF!</v>
      </c>
      <c r="H1226" s="13" t="str">
        <f t="shared" si="4"/>
        <v>#REF!</v>
      </c>
      <c r="I1226" s="14"/>
      <c r="J1226" s="14"/>
    </row>
    <row r="1227" hidden="1">
      <c r="A1227" s="54" t="s">
        <v>302</v>
      </c>
      <c r="B1227" s="254" t="s">
        <v>809</v>
      </c>
      <c r="C1227" s="254" t="s">
        <v>810</v>
      </c>
      <c r="D1227" s="254" t="s">
        <v>811</v>
      </c>
      <c r="E1227" s="84"/>
      <c r="F1227" s="267"/>
      <c r="G1227" s="39" t="str">
        <f t="shared" si="3"/>
        <v>#REF!</v>
      </c>
      <c r="H1227" s="13" t="str">
        <f t="shared" si="4"/>
        <v>#REF!</v>
      </c>
      <c r="I1227" s="14"/>
      <c r="J1227" s="14"/>
    </row>
    <row r="1228" hidden="1">
      <c r="A1228" s="54" t="s">
        <v>302</v>
      </c>
      <c r="B1228" s="254" t="s">
        <v>654</v>
      </c>
      <c r="C1228" s="254" t="s">
        <v>655</v>
      </c>
      <c r="D1228" s="254" t="s">
        <v>656</v>
      </c>
      <c r="E1228" s="84"/>
      <c r="F1228" s="267"/>
      <c r="G1228" s="39" t="str">
        <f t="shared" si="3"/>
        <v>#REF!</v>
      </c>
      <c r="H1228" s="13" t="str">
        <f t="shared" si="4"/>
        <v>#REF!</v>
      </c>
      <c r="I1228" s="14"/>
      <c r="J1228" s="14"/>
    </row>
    <row r="1229" hidden="1">
      <c r="A1229" s="54" t="s">
        <v>302</v>
      </c>
      <c r="B1229" s="254" t="s">
        <v>812</v>
      </c>
      <c r="C1229" s="254" t="s">
        <v>813</v>
      </c>
      <c r="D1229" s="254" t="s">
        <v>814</v>
      </c>
      <c r="E1229" s="84"/>
      <c r="F1229" s="267"/>
      <c r="G1229" s="39" t="str">
        <f t="shared" si="3"/>
        <v>#REF!</v>
      </c>
      <c r="H1229" s="13" t="str">
        <f t="shared" si="4"/>
        <v>#REF!</v>
      </c>
      <c r="I1229" s="14"/>
      <c r="J1229" s="14"/>
    </row>
    <row r="1230" hidden="1">
      <c r="A1230" s="54" t="s">
        <v>302</v>
      </c>
      <c r="B1230" s="255" t="s">
        <v>657</v>
      </c>
      <c r="C1230" s="255" t="s">
        <v>658</v>
      </c>
      <c r="D1230" s="255" t="s">
        <v>659</v>
      </c>
      <c r="E1230" s="84">
        <v>4.0</v>
      </c>
      <c r="F1230" s="267">
        <v>4.0</v>
      </c>
      <c r="G1230" s="39" t="str">
        <f t="shared" si="3"/>
        <v>#REF!</v>
      </c>
      <c r="H1230" s="13" t="str">
        <f t="shared" si="4"/>
        <v>#REF!</v>
      </c>
      <c r="I1230" s="14"/>
      <c r="J1230" s="14"/>
    </row>
    <row r="1231" hidden="1">
      <c r="A1231" s="54" t="s">
        <v>302</v>
      </c>
      <c r="B1231" s="255" t="s">
        <v>59</v>
      </c>
      <c r="C1231" s="255" t="s">
        <v>60</v>
      </c>
      <c r="D1231" s="255" t="s">
        <v>61</v>
      </c>
      <c r="E1231" s="84">
        <v>5.0</v>
      </c>
      <c r="F1231" s="267">
        <v>0.0</v>
      </c>
      <c r="G1231" s="39" t="str">
        <f t="shared" si="3"/>
        <v>#REF!</v>
      </c>
      <c r="H1231" s="13" t="str">
        <f t="shared" si="4"/>
        <v>#REF!</v>
      </c>
      <c r="I1231" s="14"/>
      <c r="J1231" s="14"/>
    </row>
    <row r="1232" hidden="1">
      <c r="A1232" s="54" t="s">
        <v>302</v>
      </c>
      <c r="B1232" s="255" t="s">
        <v>44</v>
      </c>
      <c r="C1232" s="255" t="s">
        <v>45</v>
      </c>
      <c r="D1232" s="255" t="s">
        <v>46</v>
      </c>
      <c r="E1232" s="84">
        <v>13.0</v>
      </c>
      <c r="F1232" s="267">
        <v>0.0</v>
      </c>
      <c r="G1232" s="39" t="str">
        <f t="shared" si="3"/>
        <v>#REF!</v>
      </c>
      <c r="H1232" s="13" t="str">
        <f t="shared" si="4"/>
        <v>#REF!</v>
      </c>
      <c r="I1232" s="14"/>
      <c r="J1232" s="14"/>
    </row>
    <row r="1233" hidden="1">
      <c r="A1233" s="54" t="s">
        <v>302</v>
      </c>
      <c r="B1233" s="255" t="s">
        <v>56</v>
      </c>
      <c r="C1233" s="255" t="s">
        <v>57</v>
      </c>
      <c r="D1233" s="255" t="s">
        <v>58</v>
      </c>
      <c r="E1233" s="84">
        <v>16.0</v>
      </c>
      <c r="F1233" s="267">
        <v>0.0</v>
      </c>
      <c r="G1233" s="39" t="str">
        <f t="shared" si="3"/>
        <v>#REF!</v>
      </c>
      <c r="H1233" s="13" t="str">
        <f t="shared" si="4"/>
        <v>#REF!</v>
      </c>
      <c r="I1233" s="14"/>
      <c r="J1233" s="14"/>
    </row>
    <row r="1234" hidden="1">
      <c r="A1234" s="54" t="s">
        <v>302</v>
      </c>
      <c r="B1234" s="255" t="s">
        <v>832</v>
      </c>
      <c r="C1234" s="255" t="s">
        <v>833</v>
      </c>
      <c r="D1234" s="255" t="s">
        <v>834</v>
      </c>
      <c r="E1234" s="87"/>
      <c r="F1234" s="87"/>
      <c r="G1234" s="39" t="str">
        <f t="shared" si="3"/>
        <v>#REF!</v>
      </c>
      <c r="H1234" s="13" t="str">
        <f t="shared" si="4"/>
        <v>#REF!</v>
      </c>
      <c r="I1234" s="14"/>
      <c r="J1234" s="14"/>
    </row>
    <row r="1235" hidden="1">
      <c r="A1235" s="54" t="s">
        <v>302</v>
      </c>
      <c r="B1235" s="255" t="s">
        <v>835</v>
      </c>
      <c r="C1235" s="255" t="s">
        <v>836</v>
      </c>
      <c r="D1235" s="255" t="s">
        <v>837</v>
      </c>
      <c r="E1235" s="87"/>
      <c r="F1235" s="87"/>
      <c r="G1235" s="39" t="str">
        <f t="shared" si="3"/>
        <v>#REF!</v>
      </c>
      <c r="H1235" s="13" t="str">
        <f t="shared" si="4"/>
        <v>#REF!</v>
      </c>
      <c r="I1235" s="14"/>
      <c r="J1235" s="14"/>
    </row>
    <row r="1236" hidden="1">
      <c r="A1236" s="54" t="s">
        <v>302</v>
      </c>
      <c r="B1236" s="255" t="s">
        <v>764</v>
      </c>
      <c r="C1236" s="255" t="s">
        <v>765</v>
      </c>
      <c r="D1236" s="255" t="s">
        <v>838</v>
      </c>
      <c r="E1236" s="87"/>
      <c r="F1236" s="87"/>
      <c r="G1236" s="39" t="str">
        <f t="shared" si="3"/>
        <v>#REF!</v>
      </c>
      <c r="H1236" s="13" t="str">
        <f t="shared" si="4"/>
        <v>#REF!</v>
      </c>
      <c r="I1236" s="14"/>
      <c r="J1236" s="14"/>
    </row>
    <row r="1237" hidden="1">
      <c r="A1237" s="54" t="s">
        <v>302</v>
      </c>
      <c r="B1237" s="255" t="s">
        <v>213</v>
      </c>
      <c r="C1237" s="255" t="s">
        <v>214</v>
      </c>
      <c r="D1237" s="255" t="s">
        <v>660</v>
      </c>
      <c r="E1237" s="84">
        <v>16.0</v>
      </c>
      <c r="F1237" s="84">
        <v>0.0</v>
      </c>
      <c r="G1237" s="39" t="str">
        <f t="shared" si="3"/>
        <v>#REF!</v>
      </c>
      <c r="H1237" s="13" t="str">
        <f t="shared" si="4"/>
        <v>#REF!</v>
      </c>
      <c r="I1237" s="14"/>
      <c r="J1237" s="14"/>
    </row>
    <row r="1238" hidden="1">
      <c r="A1238" s="54" t="s">
        <v>302</v>
      </c>
      <c r="B1238" s="255" t="s">
        <v>661</v>
      </c>
      <c r="C1238" s="255" t="s">
        <v>662</v>
      </c>
      <c r="D1238" s="255" t="s">
        <v>663</v>
      </c>
      <c r="E1238" s="84">
        <v>19.0</v>
      </c>
      <c r="F1238" s="84">
        <v>0.0</v>
      </c>
      <c r="G1238" s="39" t="str">
        <f t="shared" si="3"/>
        <v>#REF!</v>
      </c>
      <c r="H1238" s="13" t="str">
        <f t="shared" si="4"/>
        <v>#REF!</v>
      </c>
      <c r="I1238" s="14"/>
      <c r="J1238" s="14"/>
    </row>
    <row r="1239" hidden="1">
      <c r="A1239" s="54" t="s">
        <v>302</v>
      </c>
      <c r="B1239" s="255" t="s">
        <v>664</v>
      </c>
      <c r="C1239" s="255" t="s">
        <v>665</v>
      </c>
      <c r="D1239" s="255" t="s">
        <v>666</v>
      </c>
      <c r="E1239" s="84">
        <v>20.0</v>
      </c>
      <c r="F1239" s="267">
        <v>0.0</v>
      </c>
      <c r="G1239" s="39" t="str">
        <f t="shared" si="3"/>
        <v>#REF!</v>
      </c>
      <c r="H1239" s="13" t="str">
        <f t="shared" si="4"/>
        <v>#REF!</v>
      </c>
      <c r="I1239" s="14"/>
      <c r="J1239" s="14"/>
    </row>
    <row r="1240" hidden="1">
      <c r="A1240" s="54" t="s">
        <v>302</v>
      </c>
      <c r="B1240" s="255" t="s">
        <v>667</v>
      </c>
      <c r="C1240" s="255" t="s">
        <v>668</v>
      </c>
      <c r="D1240" s="255" t="s">
        <v>669</v>
      </c>
      <c r="E1240" s="84">
        <v>14.0</v>
      </c>
      <c r="F1240" s="84">
        <v>0.0</v>
      </c>
      <c r="G1240" s="39" t="str">
        <f t="shared" si="3"/>
        <v>#REF!</v>
      </c>
      <c r="H1240" s="13" t="str">
        <f t="shared" si="4"/>
        <v>#REF!</v>
      </c>
      <c r="I1240" s="14"/>
      <c r="J1240" s="14"/>
    </row>
    <row r="1241" hidden="1">
      <c r="A1241" s="54" t="s">
        <v>302</v>
      </c>
      <c r="B1241" s="255" t="s">
        <v>670</v>
      </c>
      <c r="C1241" s="255" t="s">
        <v>671</v>
      </c>
      <c r="D1241" s="255" t="s">
        <v>672</v>
      </c>
      <c r="E1241" s="84">
        <v>14.0</v>
      </c>
      <c r="F1241" s="84">
        <v>0.0</v>
      </c>
      <c r="G1241" s="39" t="str">
        <f t="shared" si="3"/>
        <v>#REF!</v>
      </c>
      <c r="H1241" s="13" t="str">
        <f t="shared" si="4"/>
        <v>#REF!</v>
      </c>
      <c r="I1241" s="14"/>
      <c r="J1241" s="14"/>
    </row>
    <row r="1242" hidden="1">
      <c r="A1242" s="54" t="s">
        <v>302</v>
      </c>
      <c r="B1242" s="255" t="s">
        <v>673</v>
      </c>
      <c r="C1242" s="255" t="s">
        <v>674</v>
      </c>
      <c r="D1242" s="255" t="s">
        <v>675</v>
      </c>
      <c r="E1242" s="84">
        <v>13.0</v>
      </c>
      <c r="F1242" s="84">
        <v>6.0</v>
      </c>
      <c r="G1242" s="39" t="str">
        <f t="shared" si="3"/>
        <v>#REF!</v>
      </c>
      <c r="H1242" s="13" t="str">
        <f t="shared" si="4"/>
        <v>#REF!</v>
      </c>
      <c r="I1242" s="14"/>
      <c r="J1242" s="14"/>
    </row>
    <row r="1243" hidden="1">
      <c r="A1243" s="54" t="s">
        <v>302</v>
      </c>
      <c r="B1243" s="255" t="s">
        <v>676</v>
      </c>
      <c r="C1243" s="255" t="s">
        <v>677</v>
      </c>
      <c r="D1243" s="255" t="s">
        <v>678</v>
      </c>
      <c r="E1243" s="84">
        <v>15.0</v>
      </c>
      <c r="F1243" s="84">
        <v>0.0</v>
      </c>
      <c r="G1243" s="39" t="str">
        <f t="shared" si="3"/>
        <v>#REF!</v>
      </c>
      <c r="H1243" s="13" t="str">
        <f t="shared" si="4"/>
        <v>#REF!</v>
      </c>
      <c r="I1243" s="14"/>
      <c r="J1243" s="14"/>
    </row>
    <row r="1244" hidden="1">
      <c r="A1244" s="54" t="s">
        <v>302</v>
      </c>
      <c r="B1244" s="255" t="s">
        <v>679</v>
      </c>
      <c r="C1244" s="255" t="s">
        <v>680</v>
      </c>
      <c r="D1244" s="255" t="s">
        <v>844</v>
      </c>
      <c r="E1244" s="84">
        <v>4.0</v>
      </c>
      <c r="F1244" s="84">
        <v>0.0</v>
      </c>
      <c r="G1244" s="39" t="str">
        <f t="shared" si="3"/>
        <v>#REF!</v>
      </c>
      <c r="H1244" s="13" t="str">
        <f t="shared" si="4"/>
        <v>#REF!</v>
      </c>
      <c r="I1244" s="14"/>
      <c r="J1244" s="14"/>
    </row>
    <row r="1245" hidden="1">
      <c r="A1245" s="54" t="s">
        <v>302</v>
      </c>
      <c r="B1245" s="255" t="s">
        <v>682</v>
      </c>
      <c r="C1245" s="255" t="s">
        <v>683</v>
      </c>
      <c r="D1245" s="255" t="s">
        <v>684</v>
      </c>
      <c r="E1245" s="84">
        <v>11.0</v>
      </c>
      <c r="F1245" s="84">
        <v>2.0</v>
      </c>
      <c r="G1245" s="39" t="str">
        <f t="shared" si="3"/>
        <v>#REF!</v>
      </c>
      <c r="H1245" s="13" t="str">
        <f t="shared" si="4"/>
        <v>#REF!</v>
      </c>
      <c r="I1245" s="14"/>
      <c r="J1245" s="14"/>
    </row>
    <row r="1246" hidden="1">
      <c r="A1246" s="54" t="s">
        <v>302</v>
      </c>
      <c r="B1246" s="255" t="s">
        <v>685</v>
      </c>
      <c r="C1246" s="255" t="s">
        <v>686</v>
      </c>
      <c r="D1246" s="255" t="s">
        <v>687</v>
      </c>
      <c r="E1246" s="84">
        <v>12.0</v>
      </c>
      <c r="F1246" s="84">
        <v>0.0</v>
      </c>
      <c r="G1246" s="39" t="str">
        <f t="shared" si="3"/>
        <v>#REF!</v>
      </c>
      <c r="H1246" s="13" t="str">
        <f t="shared" si="4"/>
        <v>#REF!</v>
      </c>
      <c r="I1246" s="14"/>
      <c r="J1246" s="14"/>
    </row>
    <row r="1247" hidden="1">
      <c r="A1247" s="54" t="s">
        <v>302</v>
      </c>
      <c r="B1247" s="255" t="s">
        <v>688</v>
      </c>
      <c r="C1247" s="255" t="s">
        <v>689</v>
      </c>
      <c r="D1247" s="255" t="s">
        <v>690</v>
      </c>
      <c r="E1247" s="84">
        <v>18.0</v>
      </c>
      <c r="F1247" s="84">
        <v>0.0</v>
      </c>
      <c r="G1247" s="39" t="str">
        <f t="shared" si="3"/>
        <v>#REF!</v>
      </c>
      <c r="H1247" s="13" t="str">
        <f t="shared" si="4"/>
        <v>#REF!</v>
      </c>
      <c r="I1247" s="14"/>
      <c r="J1247" s="14"/>
    </row>
    <row r="1248" hidden="1">
      <c r="A1248" s="54" t="s">
        <v>302</v>
      </c>
      <c r="B1248" s="255" t="s">
        <v>691</v>
      </c>
      <c r="C1248" s="255" t="s">
        <v>692</v>
      </c>
      <c r="D1248" s="255" t="s">
        <v>693</v>
      </c>
      <c r="E1248" s="84">
        <v>12.0</v>
      </c>
      <c r="F1248" s="84">
        <v>0.0</v>
      </c>
      <c r="G1248" s="39" t="str">
        <f t="shared" si="3"/>
        <v>#REF!</v>
      </c>
      <c r="H1248" s="13" t="str">
        <f t="shared" si="4"/>
        <v>#REF!</v>
      </c>
      <c r="I1248" s="14"/>
      <c r="J1248" s="14"/>
    </row>
    <row r="1249" hidden="1">
      <c r="A1249" s="54" t="s">
        <v>302</v>
      </c>
      <c r="B1249" s="255" t="s">
        <v>694</v>
      </c>
      <c r="C1249" s="255" t="s">
        <v>695</v>
      </c>
      <c r="D1249" s="255" t="s">
        <v>696</v>
      </c>
      <c r="E1249" s="84">
        <v>9.0</v>
      </c>
      <c r="F1249" s="84">
        <v>1.0</v>
      </c>
      <c r="G1249" s="39" t="str">
        <f t="shared" si="3"/>
        <v>#REF!</v>
      </c>
      <c r="H1249" s="13" t="str">
        <f t="shared" si="4"/>
        <v>#REF!</v>
      </c>
      <c r="I1249" s="14"/>
      <c r="J1249" s="14"/>
    </row>
    <row r="1250" hidden="1">
      <c r="A1250" s="54" t="s">
        <v>302</v>
      </c>
      <c r="B1250" s="255" t="s">
        <v>697</v>
      </c>
      <c r="C1250" s="255" t="s">
        <v>698</v>
      </c>
      <c r="D1250" s="255" t="s">
        <v>699</v>
      </c>
      <c r="E1250" s="84">
        <v>15.0</v>
      </c>
      <c r="F1250" s="84">
        <v>2.0</v>
      </c>
      <c r="G1250" s="39" t="str">
        <f t="shared" si="3"/>
        <v>#REF!</v>
      </c>
      <c r="H1250" s="13" t="str">
        <f t="shared" si="4"/>
        <v>#REF!</v>
      </c>
      <c r="I1250" s="14"/>
      <c r="J1250" s="14"/>
    </row>
    <row r="1251" hidden="1">
      <c r="A1251" s="54" t="s">
        <v>302</v>
      </c>
      <c r="B1251" s="255" t="s">
        <v>700</v>
      </c>
      <c r="C1251" s="255" t="s">
        <v>701</v>
      </c>
      <c r="D1251" s="255" t="s">
        <v>702</v>
      </c>
      <c r="E1251" s="84">
        <v>16.0</v>
      </c>
      <c r="F1251" s="84">
        <v>0.0</v>
      </c>
      <c r="G1251" s="39" t="str">
        <f t="shared" si="3"/>
        <v>#REF!</v>
      </c>
      <c r="H1251" s="13" t="str">
        <f t="shared" si="4"/>
        <v>#REF!</v>
      </c>
      <c r="I1251" s="14"/>
      <c r="J1251" s="14"/>
    </row>
    <row r="1252" hidden="1">
      <c r="A1252" s="54" t="s">
        <v>302</v>
      </c>
      <c r="B1252" s="255" t="s">
        <v>703</v>
      </c>
      <c r="C1252" s="255" t="s">
        <v>704</v>
      </c>
      <c r="D1252" s="255" t="s">
        <v>705</v>
      </c>
      <c r="E1252" s="84">
        <v>11.0</v>
      </c>
      <c r="F1252" s="84">
        <v>1.0</v>
      </c>
      <c r="G1252" s="39" t="str">
        <f t="shared" si="3"/>
        <v>#REF!</v>
      </c>
      <c r="H1252" s="13" t="str">
        <f t="shared" si="4"/>
        <v>#REF!</v>
      </c>
      <c r="I1252" s="14"/>
      <c r="J1252" s="14"/>
    </row>
    <row r="1253" hidden="1">
      <c r="A1253" s="54" t="s">
        <v>302</v>
      </c>
      <c r="B1253" s="255" t="s">
        <v>706</v>
      </c>
      <c r="C1253" s="255" t="s">
        <v>707</v>
      </c>
      <c r="D1253" s="255" t="s">
        <v>708</v>
      </c>
      <c r="E1253" s="84">
        <v>10.0</v>
      </c>
      <c r="F1253" s="84">
        <v>0.0</v>
      </c>
      <c r="G1253" s="39" t="str">
        <f t="shared" si="3"/>
        <v>#REF!</v>
      </c>
      <c r="H1253" s="13" t="str">
        <f t="shared" si="4"/>
        <v>#REF!</v>
      </c>
      <c r="I1253" s="14"/>
      <c r="J1253" s="14"/>
    </row>
    <row r="1254" hidden="1">
      <c r="A1254" s="54" t="s">
        <v>302</v>
      </c>
      <c r="B1254" s="255" t="s">
        <v>709</v>
      </c>
      <c r="C1254" s="255" t="s">
        <v>710</v>
      </c>
      <c r="D1254" s="255" t="s">
        <v>711</v>
      </c>
      <c r="E1254" s="84">
        <v>20.0</v>
      </c>
      <c r="F1254" s="84">
        <v>0.0</v>
      </c>
      <c r="G1254" s="39" t="str">
        <f t="shared" si="3"/>
        <v>#REF!</v>
      </c>
      <c r="H1254" s="13" t="str">
        <f t="shared" si="4"/>
        <v>#REF!</v>
      </c>
      <c r="I1254" s="14"/>
      <c r="J1254" s="14"/>
    </row>
    <row r="1255" hidden="1">
      <c r="A1255" s="54" t="s">
        <v>302</v>
      </c>
      <c r="B1255" s="255" t="s">
        <v>712</v>
      </c>
      <c r="C1255" s="255" t="s">
        <v>713</v>
      </c>
      <c r="D1255" s="255" t="s">
        <v>714</v>
      </c>
      <c r="E1255" s="84">
        <v>13.0</v>
      </c>
      <c r="F1255" s="84">
        <v>0.0</v>
      </c>
      <c r="G1255" s="39" t="str">
        <f t="shared" si="3"/>
        <v>#REF!</v>
      </c>
      <c r="H1255" s="13" t="str">
        <f t="shared" si="4"/>
        <v>#REF!</v>
      </c>
      <c r="I1255" s="14"/>
      <c r="J1255" s="14"/>
    </row>
    <row r="1256" hidden="1">
      <c r="A1256" s="54" t="s">
        <v>302</v>
      </c>
      <c r="B1256" s="255" t="s">
        <v>799</v>
      </c>
      <c r="C1256" s="255" t="s">
        <v>800</v>
      </c>
      <c r="D1256" s="255" t="s">
        <v>801</v>
      </c>
      <c r="E1256" s="84">
        <v>14.0</v>
      </c>
      <c r="F1256" s="84">
        <v>4.0</v>
      </c>
      <c r="G1256" s="39" t="str">
        <f t="shared" si="3"/>
        <v>#REF!</v>
      </c>
      <c r="H1256" s="13" t="str">
        <f t="shared" si="4"/>
        <v>#REF!</v>
      </c>
      <c r="I1256" s="14"/>
      <c r="J1256" s="14"/>
    </row>
    <row r="1257" hidden="1">
      <c r="A1257" s="54" t="s">
        <v>302</v>
      </c>
      <c r="B1257" s="255" t="s">
        <v>795</v>
      </c>
      <c r="C1257" s="255" t="s">
        <v>796</v>
      </c>
      <c r="D1257" s="255" t="s">
        <v>797</v>
      </c>
      <c r="E1257" s="84">
        <v>11.0</v>
      </c>
      <c r="F1257" s="84">
        <v>0.0</v>
      </c>
      <c r="G1257" s="39" t="str">
        <f t="shared" si="3"/>
        <v>#REF!</v>
      </c>
      <c r="H1257" s="13" t="str">
        <f t="shared" si="4"/>
        <v>#REF!</v>
      </c>
      <c r="I1257" s="14"/>
      <c r="J1257" s="14"/>
    </row>
    <row r="1258" hidden="1">
      <c r="A1258" s="54" t="s">
        <v>302</v>
      </c>
      <c r="B1258" s="255" t="s">
        <v>715</v>
      </c>
      <c r="C1258" s="255" t="s">
        <v>716</v>
      </c>
      <c r="D1258" s="255" t="s">
        <v>717</v>
      </c>
      <c r="E1258" s="84">
        <v>11.0</v>
      </c>
      <c r="F1258" s="84">
        <v>0.0</v>
      </c>
      <c r="G1258" s="39" t="str">
        <f t="shared" si="3"/>
        <v>#REF!</v>
      </c>
      <c r="H1258" s="13" t="str">
        <f t="shared" si="4"/>
        <v>#REF!</v>
      </c>
      <c r="I1258" s="14"/>
      <c r="J1258" s="14"/>
    </row>
    <row r="1259" hidden="1">
      <c r="A1259" s="54" t="s">
        <v>302</v>
      </c>
      <c r="B1259" s="255" t="s">
        <v>718</v>
      </c>
      <c r="C1259" s="255" t="s">
        <v>719</v>
      </c>
      <c r="D1259" s="255" t="s">
        <v>720</v>
      </c>
      <c r="E1259" s="84">
        <v>8.0</v>
      </c>
      <c r="F1259" s="84">
        <v>0.0</v>
      </c>
      <c r="G1259" s="39" t="str">
        <f t="shared" si="3"/>
        <v>#REF!</v>
      </c>
      <c r="H1259" s="13" t="str">
        <f t="shared" si="4"/>
        <v>#REF!</v>
      </c>
      <c r="I1259" s="14"/>
      <c r="J1259" s="14"/>
    </row>
    <row r="1260" hidden="1">
      <c r="A1260" s="54" t="s">
        <v>302</v>
      </c>
      <c r="B1260" s="255" t="s">
        <v>721</v>
      </c>
      <c r="C1260" s="255" t="s">
        <v>722</v>
      </c>
      <c r="D1260" s="255" t="s">
        <v>723</v>
      </c>
      <c r="E1260" s="84">
        <v>10.0</v>
      </c>
      <c r="F1260" s="84">
        <v>0.0</v>
      </c>
      <c r="G1260" s="39" t="str">
        <f t="shared" si="3"/>
        <v>#REF!</v>
      </c>
      <c r="H1260" s="13" t="str">
        <f t="shared" si="4"/>
        <v>#REF!</v>
      </c>
      <c r="I1260" s="14"/>
      <c r="J1260" s="14"/>
    </row>
    <row r="1261" hidden="1">
      <c r="A1261" s="54" t="s">
        <v>302</v>
      </c>
      <c r="B1261" s="257" t="s">
        <v>724</v>
      </c>
      <c r="C1261" s="255" t="s">
        <v>725</v>
      </c>
      <c r="D1261" s="255" t="s">
        <v>726</v>
      </c>
      <c r="E1261" s="84">
        <v>4.0</v>
      </c>
      <c r="F1261" s="85">
        <v>0.0</v>
      </c>
      <c r="G1261" s="39" t="str">
        <f t="shared" si="3"/>
        <v>#REF!</v>
      </c>
      <c r="H1261" s="13" t="str">
        <f t="shared" si="4"/>
        <v>#REF!</v>
      </c>
      <c r="I1261" s="14"/>
      <c r="J1261" s="14"/>
    </row>
    <row r="1262" hidden="1">
      <c r="A1262" s="54" t="s">
        <v>302</v>
      </c>
      <c r="B1262" s="255" t="s">
        <v>727</v>
      </c>
      <c r="C1262" s="255" t="s">
        <v>728</v>
      </c>
      <c r="D1262" s="255" t="s">
        <v>729</v>
      </c>
      <c r="E1262" s="84">
        <v>6.0</v>
      </c>
      <c r="F1262" s="85">
        <v>0.0</v>
      </c>
      <c r="G1262" s="39" t="str">
        <f t="shared" si="3"/>
        <v>#REF!</v>
      </c>
      <c r="H1262" s="13" t="str">
        <f t="shared" si="4"/>
        <v>#REF!</v>
      </c>
      <c r="I1262" s="14"/>
      <c r="J1262" s="14"/>
    </row>
    <row r="1263" hidden="1">
      <c r="A1263" s="54" t="s">
        <v>302</v>
      </c>
      <c r="B1263" s="255" t="s">
        <v>730</v>
      </c>
      <c r="C1263" s="255" t="s">
        <v>731</v>
      </c>
      <c r="D1263" s="255" t="s">
        <v>732</v>
      </c>
      <c r="E1263" s="84">
        <v>7.0</v>
      </c>
      <c r="F1263" s="84">
        <v>0.0</v>
      </c>
      <c r="G1263" s="39" t="str">
        <f t="shared" si="3"/>
        <v>#REF!</v>
      </c>
      <c r="H1263" s="13" t="str">
        <f t="shared" si="4"/>
        <v>#REF!</v>
      </c>
      <c r="I1263" s="14"/>
      <c r="J1263" s="14"/>
    </row>
    <row r="1264" hidden="1">
      <c r="A1264" s="54" t="s">
        <v>302</v>
      </c>
      <c r="B1264" s="255" t="s">
        <v>733</v>
      </c>
      <c r="C1264" s="255" t="s">
        <v>734</v>
      </c>
      <c r="D1264" s="255" t="s">
        <v>735</v>
      </c>
      <c r="E1264" s="84">
        <v>9.0</v>
      </c>
      <c r="F1264" s="84">
        <v>0.0</v>
      </c>
      <c r="G1264" s="39" t="str">
        <f t="shared" si="3"/>
        <v>#REF!</v>
      </c>
      <c r="H1264" s="13" t="str">
        <f t="shared" si="4"/>
        <v>#REF!</v>
      </c>
      <c r="I1264" s="14"/>
      <c r="J1264" s="14"/>
    </row>
    <row r="1265" hidden="1">
      <c r="A1265" s="54" t="s">
        <v>302</v>
      </c>
      <c r="B1265" s="255" t="s">
        <v>736</v>
      </c>
      <c r="C1265" s="255" t="s">
        <v>737</v>
      </c>
      <c r="D1265" s="255" t="s">
        <v>738</v>
      </c>
      <c r="E1265" s="84">
        <v>13.0</v>
      </c>
      <c r="F1265" s="84">
        <v>1.0</v>
      </c>
      <c r="G1265" s="39" t="str">
        <f t="shared" si="3"/>
        <v>#REF!</v>
      </c>
      <c r="H1265" s="13" t="str">
        <f t="shared" si="4"/>
        <v>#REF!</v>
      </c>
      <c r="I1265" s="14"/>
      <c r="J1265" s="14"/>
    </row>
    <row r="1266" hidden="1">
      <c r="A1266" s="54" t="s">
        <v>302</v>
      </c>
      <c r="B1266" s="255" t="s">
        <v>739</v>
      </c>
      <c r="C1266" s="255" t="s">
        <v>740</v>
      </c>
      <c r="D1266" s="255" t="s">
        <v>741</v>
      </c>
      <c r="E1266" s="84">
        <v>7.0</v>
      </c>
      <c r="F1266" s="85">
        <v>0.0</v>
      </c>
      <c r="G1266" s="39" t="str">
        <f t="shared" si="3"/>
        <v>#REF!</v>
      </c>
      <c r="H1266" s="13" t="str">
        <f t="shared" si="4"/>
        <v>#REF!</v>
      </c>
      <c r="I1266" s="14"/>
      <c r="J1266" s="14"/>
    </row>
    <row r="1267" hidden="1">
      <c r="A1267" s="54" t="s">
        <v>302</v>
      </c>
      <c r="B1267" s="255" t="s">
        <v>742</v>
      </c>
      <c r="C1267" s="255" t="s">
        <v>743</v>
      </c>
      <c r="D1267" s="255" t="s">
        <v>744</v>
      </c>
      <c r="E1267" s="84">
        <v>13.0</v>
      </c>
      <c r="F1267" s="85">
        <v>1.0</v>
      </c>
      <c r="G1267" s="39" t="str">
        <f t="shared" si="3"/>
        <v>#REF!</v>
      </c>
      <c r="H1267" s="13" t="str">
        <f t="shared" si="4"/>
        <v>#REF!</v>
      </c>
      <c r="I1267" s="14"/>
      <c r="J1267" s="14"/>
    </row>
    <row r="1268" hidden="1">
      <c r="A1268" s="54" t="s">
        <v>302</v>
      </c>
      <c r="B1268" s="255" t="s">
        <v>816</v>
      </c>
      <c r="C1268" s="255" t="s">
        <v>817</v>
      </c>
      <c r="D1268" s="255" t="s">
        <v>818</v>
      </c>
      <c r="E1268" s="84">
        <v>5.0</v>
      </c>
      <c r="F1268" s="84">
        <v>0.0</v>
      </c>
      <c r="G1268" s="39" t="str">
        <f t="shared" si="3"/>
        <v>#REF!</v>
      </c>
      <c r="H1268" s="13" t="str">
        <f t="shared" si="4"/>
        <v>#REF!</v>
      </c>
      <c r="I1268" s="14"/>
      <c r="J1268" s="14"/>
    </row>
    <row r="1269" hidden="1">
      <c r="A1269" s="54" t="s">
        <v>302</v>
      </c>
      <c r="B1269" s="255" t="s">
        <v>840</v>
      </c>
      <c r="C1269" s="255" t="s">
        <v>841</v>
      </c>
      <c r="D1269" s="255" t="s">
        <v>842</v>
      </c>
      <c r="E1269" s="84">
        <v>4.0</v>
      </c>
      <c r="F1269" s="84">
        <v>2.0</v>
      </c>
      <c r="G1269" s="39" t="str">
        <f t="shared" si="3"/>
        <v>#REF!</v>
      </c>
      <c r="H1269" s="13" t="str">
        <f t="shared" si="4"/>
        <v>#REF!</v>
      </c>
      <c r="I1269" s="14"/>
      <c r="J1269" s="14"/>
    </row>
    <row r="1270" hidden="1">
      <c r="A1270" s="54" t="s">
        <v>302</v>
      </c>
      <c r="B1270" s="254" t="s">
        <v>745</v>
      </c>
      <c r="C1270" s="255" t="s">
        <v>746</v>
      </c>
      <c r="D1270" s="255" t="s">
        <v>747</v>
      </c>
      <c r="E1270" s="84">
        <v>6.0</v>
      </c>
      <c r="F1270" s="84">
        <v>0.0</v>
      </c>
      <c r="G1270" s="39" t="str">
        <f t="shared" si="3"/>
        <v>#REF!</v>
      </c>
      <c r="H1270" s="13" t="str">
        <f t="shared" si="4"/>
        <v>#REF!</v>
      </c>
      <c r="I1270" s="14"/>
      <c r="J1270" s="14"/>
    </row>
    <row r="1271" hidden="1">
      <c r="A1271" s="54" t="s">
        <v>302</v>
      </c>
      <c r="B1271" s="255" t="s">
        <v>748</v>
      </c>
      <c r="C1271" s="255" t="s">
        <v>749</v>
      </c>
      <c r="D1271" s="255" t="s">
        <v>750</v>
      </c>
      <c r="E1271" s="84">
        <v>7.0</v>
      </c>
      <c r="F1271" s="84">
        <v>0.0</v>
      </c>
      <c r="G1271" s="39" t="str">
        <f t="shared" si="3"/>
        <v>#REF!</v>
      </c>
      <c r="H1271" s="13" t="str">
        <f t="shared" si="4"/>
        <v>#REF!</v>
      </c>
      <c r="I1271" s="14"/>
      <c r="J1271" s="14"/>
    </row>
    <row r="1272" hidden="1">
      <c r="A1272" s="54" t="s">
        <v>302</v>
      </c>
      <c r="B1272" s="255" t="s">
        <v>788</v>
      </c>
      <c r="C1272" s="255" t="s">
        <v>789</v>
      </c>
      <c r="D1272" s="255" t="s">
        <v>790</v>
      </c>
      <c r="E1272" s="84">
        <v>10.0</v>
      </c>
      <c r="F1272" s="84">
        <v>0.0</v>
      </c>
      <c r="G1272" s="39" t="str">
        <f t="shared" si="3"/>
        <v>#REF!</v>
      </c>
      <c r="H1272" s="13" t="str">
        <f t="shared" si="4"/>
        <v>#REF!</v>
      </c>
      <c r="I1272" s="14"/>
      <c r="J1272" s="14"/>
    </row>
    <row r="1273" hidden="1">
      <c r="A1273" s="54" t="s">
        <v>302</v>
      </c>
      <c r="B1273" s="255" t="s">
        <v>751</v>
      </c>
      <c r="C1273" s="255" t="s">
        <v>752</v>
      </c>
      <c r="D1273" s="255" t="s">
        <v>753</v>
      </c>
      <c r="E1273" s="84">
        <v>11.0</v>
      </c>
      <c r="F1273" s="84">
        <v>0.0</v>
      </c>
      <c r="G1273" s="39" t="str">
        <f t="shared" si="3"/>
        <v>#REF!</v>
      </c>
      <c r="H1273" s="13" t="str">
        <f t="shared" si="4"/>
        <v>#REF!</v>
      </c>
      <c r="I1273" s="14"/>
      <c r="J1273" s="14"/>
    </row>
    <row r="1274" hidden="1">
      <c r="A1274" s="54" t="s">
        <v>302</v>
      </c>
      <c r="B1274" s="255" t="s">
        <v>754</v>
      </c>
      <c r="C1274" s="255" t="s">
        <v>755</v>
      </c>
      <c r="D1274" s="255" t="s">
        <v>756</v>
      </c>
      <c r="E1274" s="84">
        <v>9.0</v>
      </c>
      <c r="F1274" s="84">
        <v>0.0</v>
      </c>
      <c r="G1274" s="39" t="str">
        <f t="shared" si="3"/>
        <v>#REF!</v>
      </c>
      <c r="H1274" s="13" t="str">
        <f t="shared" si="4"/>
        <v>#REF!</v>
      </c>
      <c r="I1274" s="14"/>
      <c r="J1274" s="14"/>
    </row>
    <row r="1275" hidden="1">
      <c r="A1275" s="54" t="s">
        <v>302</v>
      </c>
      <c r="B1275" s="254" t="s">
        <v>757</v>
      </c>
      <c r="C1275" s="255" t="s">
        <v>758</v>
      </c>
      <c r="D1275" s="255" t="s">
        <v>759</v>
      </c>
      <c r="E1275" s="84">
        <v>17.0</v>
      </c>
      <c r="F1275" s="84">
        <v>0.0</v>
      </c>
      <c r="G1275" s="39" t="str">
        <f t="shared" si="3"/>
        <v>#REF!</v>
      </c>
      <c r="H1275" s="13" t="str">
        <f t="shared" si="4"/>
        <v>#REF!</v>
      </c>
      <c r="I1275" s="23"/>
      <c r="J1275" s="23"/>
    </row>
    <row r="1276" hidden="1">
      <c r="A1276" s="54" t="s">
        <v>302</v>
      </c>
      <c r="B1276" s="255" t="s">
        <v>219</v>
      </c>
      <c r="C1276" s="255" t="s">
        <v>220</v>
      </c>
      <c r="D1276" s="255" t="s">
        <v>760</v>
      </c>
      <c r="E1276" s="84">
        <v>12.0</v>
      </c>
      <c r="F1276" s="84">
        <v>0.0</v>
      </c>
      <c r="G1276" s="39" t="str">
        <f t="shared" si="3"/>
        <v>#REF!</v>
      </c>
      <c r="H1276" s="13" t="str">
        <f t="shared" si="4"/>
        <v>#REF!</v>
      </c>
      <c r="I1276" s="14"/>
      <c r="J1276" s="14"/>
    </row>
    <row r="1277" hidden="1">
      <c r="A1277" s="268" t="s">
        <v>306</v>
      </c>
      <c r="B1277" s="7" t="s">
        <v>657</v>
      </c>
      <c r="C1277" s="269" t="s">
        <v>658</v>
      </c>
      <c r="D1277" s="269" t="s">
        <v>659</v>
      </c>
      <c r="E1277" s="270">
        <v>8.0</v>
      </c>
      <c r="F1277" s="269">
        <v>5.0</v>
      </c>
      <c r="G1277" s="55" t="str">
        <f t="shared" si="3"/>
        <v>#REF!</v>
      </c>
      <c r="H1277" s="13" t="str">
        <f t="shared" si="4"/>
        <v>#REF!</v>
      </c>
      <c r="I1277" s="14"/>
      <c r="J1277" s="14"/>
    </row>
    <row r="1278" hidden="1">
      <c r="A1278" s="268" t="s">
        <v>306</v>
      </c>
      <c r="B1278" s="16" t="s">
        <v>59</v>
      </c>
      <c r="C1278" s="16" t="s">
        <v>60</v>
      </c>
      <c r="D1278" s="16" t="s">
        <v>61</v>
      </c>
      <c r="E1278" s="268">
        <v>10.0</v>
      </c>
      <c r="F1278" s="7">
        <v>0.0</v>
      </c>
      <c r="G1278" s="12" t="str">
        <f t="shared" si="3"/>
        <v>#REF!</v>
      </c>
      <c r="H1278" s="13" t="str">
        <f t="shared" si="4"/>
        <v>#REF!</v>
      </c>
      <c r="I1278" s="14"/>
      <c r="J1278" s="14"/>
    </row>
    <row r="1279" hidden="1">
      <c r="A1279" s="268" t="s">
        <v>306</v>
      </c>
      <c r="B1279" s="16" t="s">
        <v>44</v>
      </c>
      <c r="C1279" s="16" t="s">
        <v>45</v>
      </c>
      <c r="D1279" s="16" t="s">
        <v>46</v>
      </c>
      <c r="E1279" s="268">
        <v>5.0</v>
      </c>
      <c r="F1279" s="271">
        <v>0.0</v>
      </c>
      <c r="G1279" s="12" t="str">
        <f t="shared" si="3"/>
        <v>#REF!</v>
      </c>
      <c r="H1279" s="13" t="str">
        <f t="shared" si="4"/>
        <v>#REF!</v>
      </c>
      <c r="I1279" s="14"/>
      <c r="J1279" s="14"/>
    </row>
    <row r="1280" hidden="1">
      <c r="A1280" s="268" t="s">
        <v>306</v>
      </c>
      <c r="B1280" s="7" t="s">
        <v>56</v>
      </c>
      <c r="C1280" s="16" t="s">
        <v>57</v>
      </c>
      <c r="D1280" s="16" t="s">
        <v>58</v>
      </c>
      <c r="E1280" s="268">
        <v>6.0</v>
      </c>
      <c r="F1280" s="271">
        <v>0.0</v>
      </c>
      <c r="G1280" s="12" t="str">
        <f t="shared" si="3"/>
        <v>#REF!</v>
      </c>
      <c r="H1280" s="13" t="str">
        <f t="shared" si="4"/>
        <v>#REF!</v>
      </c>
      <c r="I1280" s="14"/>
      <c r="J1280" s="14"/>
    </row>
    <row r="1281" hidden="1">
      <c r="A1281" s="268" t="s">
        <v>306</v>
      </c>
      <c r="B1281" s="16" t="s">
        <v>832</v>
      </c>
      <c r="C1281" s="16" t="s">
        <v>833</v>
      </c>
      <c r="D1281" s="16" t="s">
        <v>834</v>
      </c>
      <c r="E1281" s="84">
        <v>10.0</v>
      </c>
      <c r="F1281" s="84">
        <v>4.0</v>
      </c>
      <c r="G1281" s="12" t="str">
        <f t="shared" si="3"/>
        <v>#REF!</v>
      </c>
      <c r="H1281" s="13" t="str">
        <f t="shared" si="4"/>
        <v>#REF!</v>
      </c>
      <c r="I1281" s="14"/>
      <c r="J1281" s="14"/>
    </row>
    <row r="1282" hidden="1">
      <c r="A1282" s="268" t="s">
        <v>306</v>
      </c>
      <c r="B1282" s="16" t="s">
        <v>835</v>
      </c>
      <c r="C1282" s="16" t="s">
        <v>836</v>
      </c>
      <c r="D1282" s="16" t="s">
        <v>837</v>
      </c>
      <c r="E1282" s="84">
        <v>19.0</v>
      </c>
      <c r="F1282" s="84">
        <v>0.0</v>
      </c>
      <c r="G1282" s="12" t="str">
        <f t="shared" si="3"/>
        <v>#REF!</v>
      </c>
      <c r="H1282" s="13" t="str">
        <f t="shared" si="4"/>
        <v>#REF!</v>
      </c>
      <c r="I1282" s="14"/>
      <c r="J1282" s="14"/>
    </row>
    <row r="1283" hidden="1">
      <c r="A1283" s="268" t="s">
        <v>306</v>
      </c>
      <c r="B1283" s="16" t="s">
        <v>764</v>
      </c>
      <c r="C1283" s="16" t="s">
        <v>765</v>
      </c>
      <c r="D1283" s="16" t="s">
        <v>838</v>
      </c>
      <c r="E1283" s="84">
        <v>17.0</v>
      </c>
      <c r="F1283" s="84">
        <v>0.0</v>
      </c>
      <c r="G1283" s="12" t="str">
        <f t="shared" si="3"/>
        <v>#REF!</v>
      </c>
      <c r="H1283" s="13" t="str">
        <f t="shared" si="4"/>
        <v>#REF!</v>
      </c>
      <c r="I1283" s="14"/>
      <c r="J1283" s="14"/>
    </row>
    <row r="1284" hidden="1">
      <c r="A1284" s="268" t="s">
        <v>306</v>
      </c>
      <c r="B1284" s="16" t="s">
        <v>213</v>
      </c>
      <c r="C1284" s="16" t="s">
        <v>214</v>
      </c>
      <c r="D1284" s="16" t="s">
        <v>660</v>
      </c>
      <c r="E1284" s="84">
        <v>17.0</v>
      </c>
      <c r="F1284" s="84">
        <v>0.0</v>
      </c>
      <c r="G1284" s="12" t="str">
        <f t="shared" si="3"/>
        <v>#REF!</v>
      </c>
      <c r="H1284" s="13" t="str">
        <f t="shared" si="4"/>
        <v>#REF!</v>
      </c>
      <c r="I1284" s="14"/>
      <c r="J1284" s="14"/>
    </row>
    <row r="1285" hidden="1">
      <c r="A1285" s="268" t="s">
        <v>306</v>
      </c>
      <c r="B1285" s="16" t="s">
        <v>661</v>
      </c>
      <c r="C1285" s="16" t="s">
        <v>662</v>
      </c>
      <c r="D1285" s="16" t="s">
        <v>663</v>
      </c>
      <c r="E1285" s="84">
        <v>23.0</v>
      </c>
      <c r="F1285" s="84">
        <v>0.0</v>
      </c>
      <c r="G1285" s="12" t="str">
        <f t="shared" si="3"/>
        <v>#REF!</v>
      </c>
      <c r="H1285" s="13" t="str">
        <f t="shared" si="4"/>
        <v>#REF!</v>
      </c>
      <c r="I1285" s="14"/>
      <c r="J1285" s="14"/>
    </row>
    <row r="1286" hidden="1">
      <c r="A1286" s="268" t="s">
        <v>306</v>
      </c>
      <c r="B1286" s="16" t="s">
        <v>664</v>
      </c>
      <c r="C1286" s="16" t="s">
        <v>665</v>
      </c>
      <c r="D1286" s="16" t="s">
        <v>666</v>
      </c>
      <c r="E1286" s="84">
        <v>26.0</v>
      </c>
      <c r="F1286" s="84">
        <v>0.0</v>
      </c>
      <c r="G1286" s="12" t="str">
        <f t="shared" si="3"/>
        <v>#REF!</v>
      </c>
      <c r="H1286" s="13" t="str">
        <f t="shared" si="4"/>
        <v>#REF!</v>
      </c>
      <c r="I1286" s="14"/>
      <c r="J1286" s="14"/>
    </row>
    <row r="1287" hidden="1">
      <c r="A1287" s="268" t="s">
        <v>306</v>
      </c>
      <c r="B1287" s="16" t="s">
        <v>667</v>
      </c>
      <c r="C1287" s="16" t="s">
        <v>668</v>
      </c>
      <c r="D1287" s="16" t="s">
        <v>669</v>
      </c>
      <c r="E1287" s="84">
        <v>17.0</v>
      </c>
      <c r="F1287" s="84">
        <v>0.0</v>
      </c>
      <c r="G1287" s="12" t="str">
        <f t="shared" si="3"/>
        <v>#REF!</v>
      </c>
      <c r="H1287" s="13" t="str">
        <f t="shared" si="4"/>
        <v>#REF!</v>
      </c>
      <c r="I1287" s="14"/>
      <c r="J1287" s="14"/>
    </row>
    <row r="1288" hidden="1">
      <c r="A1288" s="268" t="s">
        <v>306</v>
      </c>
      <c r="B1288" s="16" t="s">
        <v>670</v>
      </c>
      <c r="C1288" s="16" t="s">
        <v>671</v>
      </c>
      <c r="D1288" s="16" t="s">
        <v>672</v>
      </c>
      <c r="E1288" s="84">
        <v>18.0</v>
      </c>
      <c r="F1288" s="84">
        <v>0.0</v>
      </c>
      <c r="G1288" s="12" t="str">
        <f t="shared" si="3"/>
        <v>#REF!</v>
      </c>
      <c r="H1288" s="13" t="str">
        <f t="shared" si="4"/>
        <v>#REF!</v>
      </c>
      <c r="I1288" s="14"/>
      <c r="J1288" s="14"/>
    </row>
    <row r="1289" hidden="1">
      <c r="A1289" s="268" t="s">
        <v>306</v>
      </c>
      <c r="B1289" s="16" t="s">
        <v>673</v>
      </c>
      <c r="C1289" s="16" t="s">
        <v>674</v>
      </c>
      <c r="D1289" s="16" t="s">
        <v>675</v>
      </c>
      <c r="E1289" s="84">
        <v>18.0</v>
      </c>
      <c r="F1289" s="84">
        <v>3.0</v>
      </c>
      <c r="G1289" s="12" t="str">
        <f t="shared" si="3"/>
        <v>#REF!</v>
      </c>
      <c r="H1289" s="13" t="str">
        <f t="shared" si="4"/>
        <v>#REF!</v>
      </c>
      <c r="I1289" s="14"/>
      <c r="J1289" s="14"/>
    </row>
    <row r="1290" hidden="1">
      <c r="A1290" s="268" t="s">
        <v>306</v>
      </c>
      <c r="B1290" s="16" t="s">
        <v>676</v>
      </c>
      <c r="C1290" s="16" t="s">
        <v>677</v>
      </c>
      <c r="D1290" s="16" t="s">
        <v>678</v>
      </c>
      <c r="E1290" s="84">
        <v>15.0</v>
      </c>
      <c r="F1290" s="84">
        <v>1.0</v>
      </c>
      <c r="G1290" s="12" t="str">
        <f t="shared" si="3"/>
        <v>#REF!</v>
      </c>
      <c r="H1290" s="13" t="str">
        <f t="shared" si="4"/>
        <v>#REF!</v>
      </c>
      <c r="I1290" s="14"/>
      <c r="J1290" s="14"/>
    </row>
    <row r="1291" hidden="1">
      <c r="A1291" s="268" t="s">
        <v>306</v>
      </c>
      <c r="B1291" s="16" t="s">
        <v>679</v>
      </c>
      <c r="C1291" s="16" t="s">
        <v>680</v>
      </c>
      <c r="D1291" s="16" t="s">
        <v>845</v>
      </c>
      <c r="E1291" s="84">
        <v>14.0</v>
      </c>
      <c r="F1291" s="84">
        <v>8.0</v>
      </c>
      <c r="G1291" s="12" t="str">
        <f t="shared" si="3"/>
        <v>#REF!</v>
      </c>
      <c r="H1291" s="13" t="str">
        <f t="shared" si="4"/>
        <v>#REF!</v>
      </c>
      <c r="I1291" s="14"/>
      <c r="J1291" s="14"/>
    </row>
    <row r="1292" hidden="1">
      <c r="A1292" s="268" t="s">
        <v>306</v>
      </c>
      <c r="B1292" s="16" t="s">
        <v>682</v>
      </c>
      <c r="C1292" s="16" t="s">
        <v>683</v>
      </c>
      <c r="D1292" s="16" t="s">
        <v>684</v>
      </c>
      <c r="E1292" s="84">
        <v>12.0</v>
      </c>
      <c r="F1292" s="84">
        <v>2.0</v>
      </c>
      <c r="G1292" s="12" t="str">
        <f t="shared" si="3"/>
        <v>#REF!</v>
      </c>
      <c r="H1292" s="13" t="str">
        <f t="shared" si="4"/>
        <v>#REF!</v>
      </c>
      <c r="I1292" s="14"/>
      <c r="J1292" s="14"/>
    </row>
    <row r="1293" hidden="1">
      <c r="A1293" s="268" t="s">
        <v>306</v>
      </c>
      <c r="B1293" s="16" t="s">
        <v>685</v>
      </c>
      <c r="C1293" s="16" t="s">
        <v>686</v>
      </c>
      <c r="D1293" s="16" t="s">
        <v>687</v>
      </c>
      <c r="E1293" s="84">
        <v>15.0</v>
      </c>
      <c r="F1293" s="84">
        <v>0.0</v>
      </c>
      <c r="G1293" s="12" t="str">
        <f t="shared" si="3"/>
        <v>#REF!</v>
      </c>
      <c r="H1293" s="13" t="str">
        <f t="shared" si="4"/>
        <v>#REF!</v>
      </c>
      <c r="I1293" s="14"/>
      <c r="J1293" s="14"/>
    </row>
    <row r="1294" hidden="1">
      <c r="A1294" s="268" t="s">
        <v>306</v>
      </c>
      <c r="B1294" s="16" t="s">
        <v>688</v>
      </c>
      <c r="C1294" s="16" t="s">
        <v>689</v>
      </c>
      <c r="D1294" s="16" t="s">
        <v>690</v>
      </c>
      <c r="E1294" s="84">
        <v>19.0</v>
      </c>
      <c r="F1294" s="84">
        <v>1.0</v>
      </c>
      <c r="G1294" s="12" t="str">
        <f t="shared" si="3"/>
        <v>#REF!</v>
      </c>
      <c r="H1294" s="13" t="str">
        <f t="shared" si="4"/>
        <v>#REF!</v>
      </c>
      <c r="I1294" s="14"/>
      <c r="J1294" s="14"/>
    </row>
    <row r="1295" hidden="1">
      <c r="A1295" s="268" t="s">
        <v>306</v>
      </c>
      <c r="B1295" s="16" t="s">
        <v>691</v>
      </c>
      <c r="C1295" s="16" t="s">
        <v>692</v>
      </c>
      <c r="D1295" s="16" t="s">
        <v>693</v>
      </c>
      <c r="E1295" s="84">
        <v>14.0</v>
      </c>
      <c r="F1295" s="84">
        <v>0.0</v>
      </c>
      <c r="G1295" s="12" t="str">
        <f t="shared" si="3"/>
        <v>#REF!</v>
      </c>
      <c r="H1295" s="13" t="str">
        <f t="shared" si="4"/>
        <v>#REF!</v>
      </c>
      <c r="I1295" s="14"/>
      <c r="J1295" s="14"/>
    </row>
    <row r="1296" hidden="1">
      <c r="A1296" s="268" t="s">
        <v>306</v>
      </c>
      <c r="B1296" s="16" t="s">
        <v>694</v>
      </c>
      <c r="C1296" s="16" t="s">
        <v>695</v>
      </c>
      <c r="D1296" s="16" t="s">
        <v>696</v>
      </c>
      <c r="E1296" s="84">
        <v>15.0</v>
      </c>
      <c r="F1296" s="84">
        <v>2.0</v>
      </c>
      <c r="G1296" s="12" t="str">
        <f t="shared" si="3"/>
        <v>#REF!</v>
      </c>
      <c r="H1296" s="13" t="str">
        <f t="shared" si="4"/>
        <v>#REF!</v>
      </c>
      <c r="I1296" s="14"/>
      <c r="J1296" s="14"/>
    </row>
    <row r="1297" hidden="1">
      <c r="A1297" s="268" t="s">
        <v>306</v>
      </c>
      <c r="B1297" s="16" t="s">
        <v>697</v>
      </c>
      <c r="C1297" s="16" t="s">
        <v>698</v>
      </c>
      <c r="D1297" s="16" t="s">
        <v>699</v>
      </c>
      <c r="E1297" s="84">
        <v>16.0</v>
      </c>
      <c r="F1297" s="84">
        <v>1.0</v>
      </c>
      <c r="G1297" s="12" t="str">
        <f t="shared" si="3"/>
        <v>#REF!</v>
      </c>
      <c r="H1297" s="13" t="str">
        <f t="shared" si="4"/>
        <v>#REF!</v>
      </c>
      <c r="I1297" s="14"/>
      <c r="J1297" s="14"/>
    </row>
    <row r="1298" hidden="1">
      <c r="A1298" s="268" t="s">
        <v>306</v>
      </c>
      <c r="B1298" s="16" t="s">
        <v>700</v>
      </c>
      <c r="C1298" s="16" t="s">
        <v>701</v>
      </c>
      <c r="D1298" s="16" t="s">
        <v>702</v>
      </c>
      <c r="E1298" s="84">
        <v>14.0</v>
      </c>
      <c r="F1298" s="84">
        <v>0.0</v>
      </c>
      <c r="G1298" s="12" t="str">
        <f t="shared" si="3"/>
        <v>#REF!</v>
      </c>
      <c r="H1298" s="13" t="str">
        <f t="shared" si="4"/>
        <v>#REF!</v>
      </c>
      <c r="I1298" s="14"/>
      <c r="J1298" s="14"/>
    </row>
    <row r="1299" hidden="1">
      <c r="A1299" s="268" t="s">
        <v>306</v>
      </c>
      <c r="B1299" s="16" t="s">
        <v>703</v>
      </c>
      <c r="C1299" s="16" t="s">
        <v>704</v>
      </c>
      <c r="D1299" s="16" t="s">
        <v>705</v>
      </c>
      <c r="E1299" s="84">
        <v>16.0</v>
      </c>
      <c r="F1299" s="84">
        <v>1.0</v>
      </c>
      <c r="G1299" s="12" t="str">
        <f t="shared" si="3"/>
        <v>#REF!</v>
      </c>
      <c r="H1299" s="13" t="str">
        <f t="shared" si="4"/>
        <v>#REF!</v>
      </c>
      <c r="I1299" s="14"/>
      <c r="J1299" s="14"/>
    </row>
    <row r="1300" hidden="1">
      <c r="A1300" s="268" t="s">
        <v>306</v>
      </c>
      <c r="B1300" s="16" t="s">
        <v>706</v>
      </c>
      <c r="C1300" s="16" t="s">
        <v>707</v>
      </c>
      <c r="D1300" s="16" t="s">
        <v>708</v>
      </c>
      <c r="E1300" s="84">
        <v>7.0</v>
      </c>
      <c r="F1300" s="84">
        <v>0.0</v>
      </c>
      <c r="G1300" s="12" t="str">
        <f t="shared" si="3"/>
        <v>#REF!</v>
      </c>
      <c r="H1300" s="13" t="str">
        <f t="shared" si="4"/>
        <v>#REF!</v>
      </c>
      <c r="I1300" s="14"/>
      <c r="J1300" s="14"/>
    </row>
    <row r="1301" hidden="1">
      <c r="A1301" s="268" t="s">
        <v>306</v>
      </c>
      <c r="B1301" s="16" t="s">
        <v>709</v>
      </c>
      <c r="C1301" s="16" t="s">
        <v>710</v>
      </c>
      <c r="D1301" s="16" t="s">
        <v>711</v>
      </c>
      <c r="E1301" s="84">
        <v>13.0</v>
      </c>
      <c r="F1301" s="84">
        <v>3.0</v>
      </c>
      <c r="G1301" s="12" t="str">
        <f t="shared" si="3"/>
        <v>#REF!</v>
      </c>
      <c r="H1301" s="13" t="str">
        <f t="shared" si="4"/>
        <v>#REF!</v>
      </c>
      <c r="I1301" s="14"/>
      <c r="J1301" s="14"/>
    </row>
    <row r="1302" hidden="1">
      <c r="A1302" s="268" t="s">
        <v>306</v>
      </c>
      <c r="B1302" s="16" t="s">
        <v>712</v>
      </c>
      <c r="C1302" s="16" t="s">
        <v>713</v>
      </c>
      <c r="D1302" s="16" t="s">
        <v>714</v>
      </c>
      <c r="E1302" s="84">
        <v>21.0</v>
      </c>
      <c r="F1302" s="84">
        <v>1.0</v>
      </c>
      <c r="G1302" s="12" t="str">
        <f t="shared" si="3"/>
        <v>#REF!</v>
      </c>
      <c r="H1302" s="13" t="str">
        <f t="shared" si="4"/>
        <v>#REF!</v>
      </c>
      <c r="I1302" s="14"/>
      <c r="J1302" s="14"/>
    </row>
    <row r="1303" hidden="1">
      <c r="A1303" s="268" t="s">
        <v>306</v>
      </c>
      <c r="B1303" s="16" t="s">
        <v>799</v>
      </c>
      <c r="C1303" s="16" t="s">
        <v>800</v>
      </c>
      <c r="D1303" s="16" t="s">
        <v>801</v>
      </c>
      <c r="E1303" s="84">
        <v>17.0</v>
      </c>
      <c r="F1303" s="84">
        <v>7.0</v>
      </c>
      <c r="G1303" s="12" t="str">
        <f t="shared" si="3"/>
        <v>#REF!</v>
      </c>
      <c r="H1303" s="13" t="str">
        <f t="shared" si="4"/>
        <v>#REF!</v>
      </c>
      <c r="I1303" s="14"/>
      <c r="J1303" s="14"/>
    </row>
    <row r="1304" hidden="1">
      <c r="A1304" s="268" t="s">
        <v>306</v>
      </c>
      <c r="B1304" s="16" t="s">
        <v>795</v>
      </c>
      <c r="C1304" s="16" t="s">
        <v>796</v>
      </c>
      <c r="D1304" s="16" t="s">
        <v>797</v>
      </c>
      <c r="E1304" s="84">
        <v>14.0</v>
      </c>
      <c r="F1304" s="84">
        <v>0.0</v>
      </c>
      <c r="G1304" s="12" t="str">
        <f t="shared" si="3"/>
        <v>#REF!</v>
      </c>
      <c r="H1304" s="13" t="str">
        <f t="shared" si="4"/>
        <v>#REF!</v>
      </c>
      <c r="I1304" s="14"/>
      <c r="J1304" s="14"/>
    </row>
    <row r="1305" hidden="1">
      <c r="A1305" s="268" t="s">
        <v>306</v>
      </c>
      <c r="B1305" s="16" t="s">
        <v>715</v>
      </c>
      <c r="C1305" s="16" t="s">
        <v>716</v>
      </c>
      <c r="D1305" s="16" t="s">
        <v>717</v>
      </c>
      <c r="E1305" s="84">
        <v>8.0</v>
      </c>
      <c r="F1305" s="84">
        <v>0.0</v>
      </c>
      <c r="G1305" s="12" t="str">
        <f t="shared" si="3"/>
        <v>#REF!</v>
      </c>
      <c r="H1305" s="13" t="str">
        <f t="shared" si="4"/>
        <v>#REF!</v>
      </c>
      <c r="I1305" s="14"/>
      <c r="J1305" s="14"/>
    </row>
    <row r="1306" hidden="1">
      <c r="A1306" s="268" t="s">
        <v>306</v>
      </c>
      <c r="B1306" s="16" t="s">
        <v>718</v>
      </c>
      <c r="C1306" s="16" t="s">
        <v>719</v>
      </c>
      <c r="D1306" s="16" t="s">
        <v>720</v>
      </c>
      <c r="E1306" s="84">
        <v>8.0</v>
      </c>
      <c r="F1306" s="84">
        <v>0.0</v>
      </c>
      <c r="G1306" s="12" t="str">
        <f t="shared" si="3"/>
        <v>#REF!</v>
      </c>
      <c r="H1306" s="13" t="str">
        <f t="shared" si="4"/>
        <v>#REF!</v>
      </c>
      <c r="I1306" s="14"/>
      <c r="J1306" s="14"/>
    </row>
    <row r="1307" hidden="1">
      <c r="A1307" s="268" t="s">
        <v>306</v>
      </c>
      <c r="B1307" s="16" t="s">
        <v>721</v>
      </c>
      <c r="C1307" s="16" t="s">
        <v>722</v>
      </c>
      <c r="D1307" s="16" t="s">
        <v>723</v>
      </c>
      <c r="E1307" s="84">
        <v>14.0</v>
      </c>
      <c r="F1307" s="84">
        <v>7.0</v>
      </c>
      <c r="G1307" s="12" t="str">
        <f t="shared" si="3"/>
        <v>#REF!</v>
      </c>
      <c r="H1307" s="13" t="str">
        <f t="shared" si="4"/>
        <v>#REF!</v>
      </c>
      <c r="I1307" s="14"/>
      <c r="J1307" s="14"/>
    </row>
    <row r="1308" hidden="1">
      <c r="A1308" s="268" t="s">
        <v>306</v>
      </c>
      <c r="B1308" s="20" t="s">
        <v>724</v>
      </c>
      <c r="C1308" s="57" t="s">
        <v>725</v>
      </c>
      <c r="D1308" s="57" t="s">
        <v>726</v>
      </c>
      <c r="E1308" s="272">
        <v>10.0</v>
      </c>
      <c r="F1308" s="59"/>
      <c r="G1308" s="55" t="str">
        <f t="shared" si="3"/>
        <v>#REF!</v>
      </c>
      <c r="H1308" s="13" t="str">
        <f t="shared" si="4"/>
        <v>#REF!</v>
      </c>
      <c r="I1308" s="14"/>
      <c r="J1308" s="14"/>
    </row>
    <row r="1309" hidden="1">
      <c r="A1309" s="268" t="s">
        <v>306</v>
      </c>
      <c r="B1309" s="16" t="s">
        <v>727</v>
      </c>
      <c r="C1309" s="57" t="s">
        <v>728</v>
      </c>
      <c r="D1309" s="57" t="s">
        <v>729</v>
      </c>
      <c r="E1309" s="272">
        <v>10.0</v>
      </c>
      <c r="F1309" s="59"/>
      <c r="G1309" s="55" t="str">
        <f t="shared" si="3"/>
        <v>#REF!</v>
      </c>
      <c r="H1309" s="13" t="str">
        <f t="shared" si="4"/>
        <v>#REF!</v>
      </c>
      <c r="I1309" s="14"/>
      <c r="J1309" s="14"/>
    </row>
    <row r="1310" hidden="1">
      <c r="A1310" s="268" t="s">
        <v>306</v>
      </c>
      <c r="B1310" s="16" t="s">
        <v>730</v>
      </c>
      <c r="C1310" s="57" t="s">
        <v>731</v>
      </c>
      <c r="D1310" s="57" t="s">
        <v>732</v>
      </c>
      <c r="E1310" s="272">
        <v>10.0</v>
      </c>
      <c r="F1310" s="272">
        <v>0.0</v>
      </c>
      <c r="G1310" s="55" t="str">
        <f t="shared" si="3"/>
        <v>#REF!</v>
      </c>
      <c r="H1310" s="13" t="str">
        <f t="shared" si="4"/>
        <v>#REF!</v>
      </c>
      <c r="I1310" s="14"/>
      <c r="J1310" s="14"/>
    </row>
    <row r="1311" hidden="1">
      <c r="A1311" s="268" t="s">
        <v>306</v>
      </c>
      <c r="B1311" s="16" t="s">
        <v>733</v>
      </c>
      <c r="C1311" s="57" t="s">
        <v>734</v>
      </c>
      <c r="D1311" s="57" t="s">
        <v>735</v>
      </c>
      <c r="E1311" s="272">
        <v>6.0</v>
      </c>
      <c r="F1311" s="272">
        <v>0.0</v>
      </c>
      <c r="G1311" s="55" t="str">
        <f t="shared" si="3"/>
        <v>#REF!</v>
      </c>
      <c r="H1311" s="13" t="str">
        <f t="shared" si="4"/>
        <v>#REF!</v>
      </c>
      <c r="I1311" s="14"/>
      <c r="J1311" s="14"/>
    </row>
    <row r="1312" hidden="1">
      <c r="A1312" s="268" t="s">
        <v>306</v>
      </c>
      <c r="B1312" s="16" t="s">
        <v>736</v>
      </c>
      <c r="C1312" s="57" t="s">
        <v>737</v>
      </c>
      <c r="D1312" s="57" t="s">
        <v>738</v>
      </c>
      <c r="E1312" s="272">
        <v>10.0</v>
      </c>
      <c r="F1312" s="272">
        <v>5.0</v>
      </c>
      <c r="G1312" s="55" t="str">
        <f t="shared" si="3"/>
        <v>#REF!</v>
      </c>
      <c r="H1312" s="13" t="str">
        <f t="shared" si="4"/>
        <v>#REF!</v>
      </c>
      <c r="I1312" s="14"/>
      <c r="J1312" s="14"/>
    </row>
    <row r="1313" hidden="1">
      <c r="A1313" s="268" t="s">
        <v>306</v>
      </c>
      <c r="B1313" s="16" t="s">
        <v>739</v>
      </c>
      <c r="C1313" s="57" t="s">
        <v>740</v>
      </c>
      <c r="D1313" s="57" t="s">
        <v>741</v>
      </c>
      <c r="E1313" s="272">
        <v>9.0</v>
      </c>
      <c r="F1313" s="59"/>
      <c r="G1313" s="55" t="str">
        <f t="shared" si="3"/>
        <v>#REF!</v>
      </c>
      <c r="H1313" s="13" t="str">
        <f t="shared" si="4"/>
        <v>#REF!</v>
      </c>
      <c r="I1313" s="14"/>
      <c r="J1313" s="14"/>
    </row>
    <row r="1314" hidden="1">
      <c r="A1314" s="268" t="s">
        <v>306</v>
      </c>
      <c r="B1314" s="16" t="s">
        <v>742</v>
      </c>
      <c r="C1314" s="57" t="s">
        <v>743</v>
      </c>
      <c r="D1314" s="57" t="s">
        <v>744</v>
      </c>
      <c r="E1314" s="272">
        <v>7.0</v>
      </c>
      <c r="F1314" s="59"/>
      <c r="G1314" s="55" t="str">
        <f t="shared" si="3"/>
        <v>#REF!</v>
      </c>
      <c r="H1314" s="13" t="str">
        <f t="shared" si="4"/>
        <v>#REF!</v>
      </c>
      <c r="I1314" s="14"/>
      <c r="J1314" s="14"/>
    </row>
    <row r="1315" hidden="1">
      <c r="A1315" s="268" t="s">
        <v>306</v>
      </c>
      <c r="B1315" s="16" t="s">
        <v>816</v>
      </c>
      <c r="C1315" s="57" t="s">
        <v>817</v>
      </c>
      <c r="D1315" s="57" t="s">
        <v>818</v>
      </c>
      <c r="E1315" s="272">
        <v>5.0</v>
      </c>
      <c r="F1315" s="272">
        <v>0.0</v>
      </c>
      <c r="G1315" s="55" t="str">
        <f t="shared" si="3"/>
        <v>#REF!</v>
      </c>
      <c r="H1315" s="13" t="str">
        <f t="shared" si="4"/>
        <v>#REF!</v>
      </c>
      <c r="I1315" s="14"/>
      <c r="J1315" s="14"/>
    </row>
    <row r="1316" hidden="1">
      <c r="A1316" s="268" t="s">
        <v>306</v>
      </c>
      <c r="B1316" s="16" t="s">
        <v>840</v>
      </c>
      <c r="C1316" s="57" t="s">
        <v>841</v>
      </c>
      <c r="D1316" s="57" t="s">
        <v>842</v>
      </c>
      <c r="E1316" s="272">
        <v>6.0</v>
      </c>
      <c r="F1316" s="272">
        <v>3.0</v>
      </c>
      <c r="G1316" s="55" t="str">
        <f t="shared" si="3"/>
        <v>#REF!</v>
      </c>
      <c r="H1316" s="13" t="str">
        <f t="shared" si="4"/>
        <v>#REF!</v>
      </c>
      <c r="I1316" s="14"/>
      <c r="J1316" s="14"/>
    </row>
    <row r="1317" hidden="1">
      <c r="A1317" s="268" t="s">
        <v>306</v>
      </c>
      <c r="B1317" s="7" t="s">
        <v>745</v>
      </c>
      <c r="C1317" s="57" t="s">
        <v>746</v>
      </c>
      <c r="D1317" s="57" t="s">
        <v>747</v>
      </c>
      <c r="E1317" s="272">
        <v>10.0</v>
      </c>
      <c r="F1317" s="272">
        <v>0.0</v>
      </c>
      <c r="G1317" s="55" t="str">
        <f t="shared" si="3"/>
        <v>#REF!</v>
      </c>
      <c r="H1317" s="13" t="str">
        <f t="shared" si="4"/>
        <v>#REF!</v>
      </c>
      <c r="I1317" s="14"/>
      <c r="J1317" s="14"/>
    </row>
    <row r="1318" hidden="1">
      <c r="A1318" s="268" t="s">
        <v>306</v>
      </c>
      <c r="B1318" s="16" t="s">
        <v>748</v>
      </c>
      <c r="C1318" s="16" t="s">
        <v>749</v>
      </c>
      <c r="D1318" s="16" t="s">
        <v>750</v>
      </c>
      <c r="E1318" s="84">
        <v>8.0</v>
      </c>
      <c r="F1318" s="84">
        <v>0.0</v>
      </c>
      <c r="G1318" s="12" t="str">
        <f t="shared" si="3"/>
        <v>#REF!</v>
      </c>
      <c r="H1318" s="13" t="str">
        <f t="shared" si="4"/>
        <v>#REF!</v>
      </c>
      <c r="I1318" s="14"/>
      <c r="J1318" s="14"/>
    </row>
    <row r="1319" hidden="1">
      <c r="A1319" s="268" t="s">
        <v>306</v>
      </c>
      <c r="B1319" s="16" t="s">
        <v>788</v>
      </c>
      <c r="C1319" s="16" t="s">
        <v>789</v>
      </c>
      <c r="D1319" s="16" t="s">
        <v>790</v>
      </c>
      <c r="E1319" s="84">
        <v>13.0</v>
      </c>
      <c r="F1319" s="84">
        <v>0.0</v>
      </c>
      <c r="G1319" s="12" t="str">
        <f t="shared" si="3"/>
        <v>#REF!</v>
      </c>
      <c r="H1319" s="13" t="str">
        <f t="shared" si="4"/>
        <v>#REF!</v>
      </c>
      <c r="I1319" s="14"/>
      <c r="J1319" s="14"/>
    </row>
    <row r="1320" hidden="1">
      <c r="A1320" s="268" t="s">
        <v>306</v>
      </c>
      <c r="B1320" s="16" t="s">
        <v>751</v>
      </c>
      <c r="C1320" s="16" t="s">
        <v>752</v>
      </c>
      <c r="D1320" s="16" t="s">
        <v>753</v>
      </c>
      <c r="E1320" s="84">
        <v>1.0</v>
      </c>
      <c r="F1320" s="84">
        <v>0.0</v>
      </c>
      <c r="G1320" s="12" t="str">
        <f t="shared" si="3"/>
        <v>#REF!</v>
      </c>
      <c r="H1320" s="13" t="str">
        <f t="shared" si="4"/>
        <v>#REF!</v>
      </c>
      <c r="I1320" s="14"/>
      <c r="J1320" s="14"/>
    </row>
    <row r="1321" hidden="1">
      <c r="A1321" s="268" t="s">
        <v>306</v>
      </c>
      <c r="B1321" s="16" t="s">
        <v>754</v>
      </c>
      <c r="C1321" s="16" t="s">
        <v>755</v>
      </c>
      <c r="D1321" s="16" t="s">
        <v>756</v>
      </c>
      <c r="E1321" s="84">
        <v>15.0</v>
      </c>
      <c r="F1321" s="81">
        <v>0.0</v>
      </c>
      <c r="G1321" s="12" t="str">
        <f t="shared" si="3"/>
        <v>#REF!</v>
      </c>
      <c r="H1321" s="13" t="str">
        <f t="shared" si="4"/>
        <v>#REF!</v>
      </c>
      <c r="I1321" s="14"/>
      <c r="J1321" s="14"/>
    </row>
    <row r="1322" hidden="1">
      <c r="A1322" s="268" t="s">
        <v>306</v>
      </c>
      <c r="B1322" s="7" t="s">
        <v>757</v>
      </c>
      <c r="C1322" s="16" t="s">
        <v>758</v>
      </c>
      <c r="D1322" s="16" t="s">
        <v>759</v>
      </c>
      <c r="E1322" s="84">
        <v>20.0</v>
      </c>
      <c r="F1322" s="84">
        <v>0.0</v>
      </c>
      <c r="G1322" s="12" t="str">
        <f t="shared" si="3"/>
        <v>#REF!</v>
      </c>
      <c r="H1322" s="13" t="str">
        <f t="shared" si="4"/>
        <v>#REF!</v>
      </c>
      <c r="I1322" s="23"/>
      <c r="J1322" s="23"/>
    </row>
    <row r="1323" hidden="1">
      <c r="A1323" s="268" t="s">
        <v>306</v>
      </c>
      <c r="B1323" s="16" t="s">
        <v>219</v>
      </c>
      <c r="C1323" s="16" t="s">
        <v>220</v>
      </c>
      <c r="D1323" s="16" t="s">
        <v>760</v>
      </c>
      <c r="E1323" s="84">
        <v>17.0</v>
      </c>
      <c r="F1323" s="84">
        <v>0.0</v>
      </c>
      <c r="G1323" s="12" t="str">
        <f t="shared" si="3"/>
        <v>#REF!</v>
      </c>
      <c r="H1323" s="13" t="str">
        <f t="shared" si="4"/>
        <v>#REF!</v>
      </c>
      <c r="I1323" s="14"/>
      <c r="J1323" s="14"/>
    </row>
    <row r="1324" hidden="1">
      <c r="A1324" s="6" t="s">
        <v>307</v>
      </c>
      <c r="B1324" s="16" t="s">
        <v>832</v>
      </c>
      <c r="C1324" s="16" t="s">
        <v>833</v>
      </c>
      <c r="D1324" s="16" t="s">
        <v>834</v>
      </c>
      <c r="E1324" s="84">
        <v>31.0</v>
      </c>
      <c r="F1324" s="84">
        <v>8.0</v>
      </c>
      <c r="G1324" s="12" t="str">
        <f t="shared" si="3"/>
        <v>#REF!</v>
      </c>
      <c r="H1324" s="13" t="str">
        <f t="shared" si="4"/>
        <v>#REF!</v>
      </c>
      <c r="I1324" s="14"/>
      <c r="J1324" s="14"/>
    </row>
    <row r="1325" hidden="1">
      <c r="A1325" s="6" t="s">
        <v>307</v>
      </c>
      <c r="B1325" s="16" t="s">
        <v>835</v>
      </c>
      <c r="C1325" s="16" t="s">
        <v>836</v>
      </c>
      <c r="D1325" s="16" t="s">
        <v>837</v>
      </c>
      <c r="E1325" s="84">
        <v>32.0</v>
      </c>
      <c r="F1325" s="84">
        <v>0.0</v>
      </c>
      <c r="G1325" s="12" t="str">
        <f t="shared" si="3"/>
        <v>#REF!</v>
      </c>
      <c r="H1325" s="13" t="str">
        <f t="shared" si="4"/>
        <v>#REF!</v>
      </c>
      <c r="I1325" s="14"/>
      <c r="J1325" s="14"/>
    </row>
    <row r="1326" hidden="1">
      <c r="A1326" s="6" t="s">
        <v>307</v>
      </c>
      <c r="B1326" s="16" t="s">
        <v>764</v>
      </c>
      <c r="C1326" s="16" t="s">
        <v>765</v>
      </c>
      <c r="D1326" s="16" t="s">
        <v>838</v>
      </c>
      <c r="E1326" s="84">
        <v>23.0</v>
      </c>
      <c r="F1326" s="84">
        <v>0.0</v>
      </c>
      <c r="G1326" s="12" t="str">
        <f t="shared" si="3"/>
        <v>#REF!</v>
      </c>
      <c r="H1326" s="13" t="str">
        <f t="shared" si="4"/>
        <v>#REF!</v>
      </c>
      <c r="I1326" s="14"/>
      <c r="J1326" s="14"/>
    </row>
    <row r="1327" hidden="1">
      <c r="A1327" s="6" t="s">
        <v>307</v>
      </c>
      <c r="B1327" s="16" t="s">
        <v>213</v>
      </c>
      <c r="C1327" s="16" t="s">
        <v>214</v>
      </c>
      <c r="D1327" s="16" t="s">
        <v>660</v>
      </c>
      <c r="E1327" s="84">
        <v>18.0</v>
      </c>
      <c r="F1327" s="84">
        <v>3.0</v>
      </c>
      <c r="G1327" s="12" t="str">
        <f t="shared" si="3"/>
        <v>#REF!</v>
      </c>
      <c r="H1327" s="13" t="str">
        <f t="shared" si="4"/>
        <v>#REF!</v>
      </c>
      <c r="I1327" s="14"/>
      <c r="J1327" s="14"/>
    </row>
    <row r="1328" hidden="1">
      <c r="A1328" s="6" t="s">
        <v>307</v>
      </c>
      <c r="B1328" s="16" t="s">
        <v>661</v>
      </c>
      <c r="C1328" s="16" t="s">
        <v>662</v>
      </c>
      <c r="D1328" s="16" t="s">
        <v>663</v>
      </c>
      <c r="E1328" s="84">
        <v>28.0</v>
      </c>
      <c r="F1328" s="84">
        <v>2.0</v>
      </c>
      <c r="G1328" s="12" t="str">
        <f t="shared" si="3"/>
        <v>#REF!</v>
      </c>
      <c r="H1328" s="13" t="str">
        <f t="shared" si="4"/>
        <v>#REF!</v>
      </c>
      <c r="I1328" s="14"/>
      <c r="J1328" s="14"/>
    </row>
    <row r="1329" hidden="1">
      <c r="A1329" s="6" t="s">
        <v>307</v>
      </c>
      <c r="B1329" s="16" t="s">
        <v>664</v>
      </c>
      <c r="C1329" s="16" t="s">
        <v>665</v>
      </c>
      <c r="D1329" s="16" t="s">
        <v>666</v>
      </c>
      <c r="E1329" s="84">
        <v>19.0</v>
      </c>
      <c r="F1329" s="84">
        <v>0.0</v>
      </c>
      <c r="G1329" s="12" t="str">
        <f t="shared" si="3"/>
        <v>#REF!</v>
      </c>
      <c r="H1329" s="13" t="str">
        <f t="shared" si="4"/>
        <v>#REF!</v>
      </c>
      <c r="I1329" s="14"/>
      <c r="J1329" s="14"/>
    </row>
    <row r="1330" hidden="1">
      <c r="A1330" s="6" t="s">
        <v>307</v>
      </c>
      <c r="B1330" s="16" t="s">
        <v>667</v>
      </c>
      <c r="C1330" s="16" t="s">
        <v>668</v>
      </c>
      <c r="D1330" s="16" t="s">
        <v>669</v>
      </c>
      <c r="E1330" s="84">
        <v>22.0</v>
      </c>
      <c r="F1330" s="84">
        <v>2.0</v>
      </c>
      <c r="G1330" s="12" t="str">
        <f t="shared" si="3"/>
        <v>#REF!</v>
      </c>
      <c r="H1330" s="13" t="str">
        <f t="shared" si="4"/>
        <v>#REF!</v>
      </c>
      <c r="I1330" s="14"/>
      <c r="J1330" s="14"/>
    </row>
    <row r="1331" hidden="1">
      <c r="A1331" s="6" t="s">
        <v>307</v>
      </c>
      <c r="B1331" s="16" t="s">
        <v>670</v>
      </c>
      <c r="C1331" s="16" t="s">
        <v>671</v>
      </c>
      <c r="D1331" s="16" t="s">
        <v>672</v>
      </c>
      <c r="E1331" s="84">
        <v>10.0</v>
      </c>
      <c r="F1331" s="84">
        <v>0.0</v>
      </c>
      <c r="G1331" s="12" t="str">
        <f t="shared" si="3"/>
        <v>#REF!</v>
      </c>
      <c r="H1331" s="13" t="str">
        <f t="shared" si="4"/>
        <v>#REF!</v>
      </c>
      <c r="I1331" s="14"/>
      <c r="J1331" s="14"/>
    </row>
    <row r="1332" hidden="1">
      <c r="A1332" s="6" t="s">
        <v>307</v>
      </c>
      <c r="B1332" s="16" t="s">
        <v>673</v>
      </c>
      <c r="C1332" s="16" t="s">
        <v>674</v>
      </c>
      <c r="D1332" s="16" t="s">
        <v>675</v>
      </c>
      <c r="E1332" s="84">
        <v>22.0</v>
      </c>
      <c r="F1332" s="84">
        <v>7.0</v>
      </c>
      <c r="G1332" s="12" t="str">
        <f t="shared" si="3"/>
        <v>#REF!</v>
      </c>
      <c r="H1332" s="13" t="str">
        <f t="shared" si="4"/>
        <v>#REF!</v>
      </c>
      <c r="I1332" s="14"/>
      <c r="J1332" s="14"/>
    </row>
    <row r="1333" hidden="1">
      <c r="A1333" s="6" t="s">
        <v>307</v>
      </c>
      <c r="B1333" s="16" t="s">
        <v>676</v>
      </c>
      <c r="C1333" s="16" t="s">
        <v>677</v>
      </c>
      <c r="D1333" s="16" t="s">
        <v>678</v>
      </c>
      <c r="E1333" s="84">
        <v>14.0</v>
      </c>
      <c r="F1333" s="84">
        <v>0.0</v>
      </c>
      <c r="G1333" s="12" t="str">
        <f t="shared" si="3"/>
        <v>#REF!</v>
      </c>
      <c r="H1333" s="13" t="str">
        <f t="shared" si="4"/>
        <v>#REF!</v>
      </c>
      <c r="I1333" s="14"/>
      <c r="J1333" s="14"/>
    </row>
    <row r="1334" hidden="1">
      <c r="A1334" s="6" t="s">
        <v>307</v>
      </c>
      <c r="B1334" s="16" t="s">
        <v>679</v>
      </c>
      <c r="C1334" s="16" t="s">
        <v>680</v>
      </c>
      <c r="D1334" s="16" t="s">
        <v>846</v>
      </c>
      <c r="E1334" s="84">
        <v>13.0</v>
      </c>
      <c r="F1334" s="84">
        <v>5.0</v>
      </c>
      <c r="G1334" s="12" t="str">
        <f t="shared" si="3"/>
        <v>#REF!</v>
      </c>
      <c r="H1334" s="13" t="str">
        <f t="shared" si="4"/>
        <v>#REF!</v>
      </c>
      <c r="I1334" s="14"/>
      <c r="J1334" s="14"/>
    </row>
    <row r="1335" hidden="1">
      <c r="A1335" s="6" t="s">
        <v>307</v>
      </c>
      <c r="B1335" s="16" t="s">
        <v>682</v>
      </c>
      <c r="C1335" s="16" t="s">
        <v>683</v>
      </c>
      <c r="D1335" s="16" t="s">
        <v>684</v>
      </c>
      <c r="E1335" s="84">
        <v>16.0</v>
      </c>
      <c r="F1335" s="84">
        <v>1.0</v>
      </c>
      <c r="G1335" s="12" t="str">
        <f t="shared" si="3"/>
        <v>#REF!</v>
      </c>
      <c r="H1335" s="13" t="str">
        <f t="shared" si="4"/>
        <v>#REF!</v>
      </c>
      <c r="I1335" s="14"/>
      <c r="J1335" s="14"/>
    </row>
    <row r="1336" hidden="1">
      <c r="A1336" s="6" t="s">
        <v>307</v>
      </c>
      <c r="B1336" s="16" t="s">
        <v>685</v>
      </c>
      <c r="C1336" s="16" t="s">
        <v>686</v>
      </c>
      <c r="D1336" s="16" t="s">
        <v>687</v>
      </c>
      <c r="E1336" s="84">
        <v>13.0</v>
      </c>
      <c r="F1336" s="84">
        <v>0.0</v>
      </c>
      <c r="G1336" s="12" t="str">
        <f t="shared" si="3"/>
        <v>#REF!</v>
      </c>
      <c r="H1336" s="13" t="str">
        <f t="shared" si="4"/>
        <v>#REF!</v>
      </c>
      <c r="I1336" s="14"/>
      <c r="J1336" s="14"/>
    </row>
    <row r="1337" hidden="1">
      <c r="A1337" s="6" t="s">
        <v>307</v>
      </c>
      <c r="B1337" s="16" t="s">
        <v>688</v>
      </c>
      <c r="C1337" s="16" t="s">
        <v>689</v>
      </c>
      <c r="D1337" s="16" t="s">
        <v>690</v>
      </c>
      <c r="E1337" s="84">
        <v>22.0</v>
      </c>
      <c r="F1337" s="84">
        <v>1.0</v>
      </c>
      <c r="G1337" s="12" t="str">
        <f t="shared" si="3"/>
        <v>#REF!</v>
      </c>
      <c r="H1337" s="13" t="str">
        <f t="shared" si="4"/>
        <v>#REF!</v>
      </c>
      <c r="I1337" s="14"/>
      <c r="J1337" s="14"/>
    </row>
    <row r="1338" hidden="1">
      <c r="A1338" s="6" t="s">
        <v>307</v>
      </c>
      <c r="B1338" s="16" t="s">
        <v>691</v>
      </c>
      <c r="C1338" s="16" t="s">
        <v>692</v>
      </c>
      <c r="D1338" s="16" t="s">
        <v>693</v>
      </c>
      <c r="E1338" s="84">
        <v>10.0</v>
      </c>
      <c r="F1338" s="84">
        <v>0.0</v>
      </c>
      <c r="G1338" s="12" t="str">
        <f t="shared" si="3"/>
        <v>#REF!</v>
      </c>
      <c r="H1338" s="13" t="str">
        <f t="shared" si="4"/>
        <v>#REF!</v>
      </c>
      <c r="I1338" s="14"/>
      <c r="J1338" s="14"/>
    </row>
    <row r="1339" hidden="1">
      <c r="A1339" s="6" t="s">
        <v>307</v>
      </c>
      <c r="B1339" s="16" t="s">
        <v>694</v>
      </c>
      <c r="C1339" s="16" t="s">
        <v>695</v>
      </c>
      <c r="D1339" s="16" t="s">
        <v>696</v>
      </c>
      <c r="E1339" s="84">
        <v>16.0</v>
      </c>
      <c r="F1339" s="84">
        <v>1.0</v>
      </c>
      <c r="G1339" s="12" t="str">
        <f t="shared" si="3"/>
        <v>#REF!</v>
      </c>
      <c r="H1339" s="13" t="str">
        <f t="shared" si="4"/>
        <v>#REF!</v>
      </c>
      <c r="I1339" s="14"/>
      <c r="J1339" s="14"/>
    </row>
    <row r="1340" hidden="1">
      <c r="A1340" s="6" t="s">
        <v>307</v>
      </c>
      <c r="B1340" s="16" t="s">
        <v>697</v>
      </c>
      <c r="C1340" s="16" t="s">
        <v>698</v>
      </c>
      <c r="D1340" s="16" t="s">
        <v>699</v>
      </c>
      <c r="E1340" s="84">
        <v>13.0</v>
      </c>
      <c r="F1340" s="84">
        <v>1.0</v>
      </c>
      <c r="G1340" s="12" t="str">
        <f t="shared" si="3"/>
        <v>#REF!</v>
      </c>
      <c r="H1340" s="13" t="str">
        <f t="shared" si="4"/>
        <v>#REF!</v>
      </c>
      <c r="I1340" s="14"/>
      <c r="J1340" s="14"/>
    </row>
    <row r="1341" hidden="1">
      <c r="A1341" s="6" t="s">
        <v>307</v>
      </c>
      <c r="B1341" s="16" t="s">
        <v>700</v>
      </c>
      <c r="C1341" s="16" t="s">
        <v>701</v>
      </c>
      <c r="D1341" s="16" t="s">
        <v>702</v>
      </c>
      <c r="E1341" s="84">
        <v>22.0</v>
      </c>
      <c r="F1341" s="84">
        <v>0.0</v>
      </c>
      <c r="G1341" s="12" t="str">
        <f t="shared" si="3"/>
        <v>#REF!</v>
      </c>
      <c r="H1341" s="13" t="str">
        <f t="shared" si="4"/>
        <v>#REF!</v>
      </c>
      <c r="I1341" s="14"/>
      <c r="J1341" s="14"/>
    </row>
    <row r="1342" hidden="1">
      <c r="A1342" s="6" t="s">
        <v>307</v>
      </c>
      <c r="B1342" s="16" t="s">
        <v>703</v>
      </c>
      <c r="C1342" s="16" t="s">
        <v>704</v>
      </c>
      <c r="D1342" s="16" t="s">
        <v>705</v>
      </c>
      <c r="E1342" s="84">
        <v>18.0</v>
      </c>
      <c r="F1342" s="84">
        <v>2.0</v>
      </c>
      <c r="G1342" s="12" t="str">
        <f t="shared" si="3"/>
        <v>#REF!</v>
      </c>
      <c r="H1342" s="13" t="str">
        <f t="shared" si="4"/>
        <v>#REF!</v>
      </c>
      <c r="I1342" s="14"/>
      <c r="J1342" s="14"/>
    </row>
    <row r="1343" hidden="1">
      <c r="A1343" s="6" t="s">
        <v>307</v>
      </c>
      <c r="B1343" s="16" t="s">
        <v>706</v>
      </c>
      <c r="C1343" s="16" t="s">
        <v>707</v>
      </c>
      <c r="D1343" s="16" t="s">
        <v>708</v>
      </c>
      <c r="E1343" s="84">
        <v>9.0</v>
      </c>
      <c r="F1343" s="84">
        <v>1.0</v>
      </c>
      <c r="G1343" s="12" t="str">
        <f t="shared" si="3"/>
        <v>#REF!</v>
      </c>
      <c r="H1343" s="13" t="str">
        <f t="shared" si="4"/>
        <v>#REF!</v>
      </c>
      <c r="I1343" s="14"/>
      <c r="J1343" s="14"/>
    </row>
    <row r="1344" hidden="1">
      <c r="A1344" s="6" t="s">
        <v>307</v>
      </c>
      <c r="B1344" s="16" t="s">
        <v>709</v>
      </c>
      <c r="C1344" s="16" t="s">
        <v>710</v>
      </c>
      <c r="D1344" s="16" t="s">
        <v>711</v>
      </c>
      <c r="E1344" s="84">
        <v>20.0</v>
      </c>
      <c r="F1344" s="84">
        <v>0.0</v>
      </c>
      <c r="G1344" s="12" t="str">
        <f t="shared" si="3"/>
        <v>#REF!</v>
      </c>
      <c r="H1344" s="13" t="str">
        <f t="shared" si="4"/>
        <v>#REF!</v>
      </c>
      <c r="I1344" s="14"/>
      <c r="J1344" s="14"/>
    </row>
    <row r="1345" hidden="1">
      <c r="A1345" s="6" t="s">
        <v>307</v>
      </c>
      <c r="B1345" s="16" t="s">
        <v>712</v>
      </c>
      <c r="C1345" s="16" t="s">
        <v>713</v>
      </c>
      <c r="D1345" s="16" t="s">
        <v>714</v>
      </c>
      <c r="E1345" s="84">
        <v>20.0</v>
      </c>
      <c r="F1345" s="84">
        <v>3.0</v>
      </c>
      <c r="G1345" s="12" t="str">
        <f t="shared" si="3"/>
        <v>#REF!</v>
      </c>
      <c r="H1345" s="13" t="str">
        <f t="shared" si="4"/>
        <v>#REF!</v>
      </c>
      <c r="I1345" s="14"/>
      <c r="J1345" s="14"/>
    </row>
    <row r="1346" hidden="1">
      <c r="A1346" s="6" t="s">
        <v>307</v>
      </c>
      <c r="B1346" s="16" t="s">
        <v>799</v>
      </c>
      <c r="C1346" s="16" t="s">
        <v>800</v>
      </c>
      <c r="D1346" s="16" t="s">
        <v>801</v>
      </c>
      <c r="E1346" s="84">
        <v>20.0</v>
      </c>
      <c r="F1346" s="84">
        <v>4.0</v>
      </c>
      <c r="G1346" s="12" t="str">
        <f t="shared" si="3"/>
        <v>#REF!</v>
      </c>
      <c r="H1346" s="13" t="str">
        <f t="shared" si="4"/>
        <v>#REF!</v>
      </c>
      <c r="I1346" s="14"/>
      <c r="J1346" s="14"/>
    </row>
    <row r="1347" hidden="1">
      <c r="A1347" s="6" t="s">
        <v>307</v>
      </c>
      <c r="B1347" s="16" t="s">
        <v>795</v>
      </c>
      <c r="C1347" s="16" t="s">
        <v>796</v>
      </c>
      <c r="D1347" s="16" t="s">
        <v>797</v>
      </c>
      <c r="E1347" s="84">
        <v>12.0</v>
      </c>
      <c r="F1347" s="84">
        <v>2.0</v>
      </c>
      <c r="G1347" s="12" t="str">
        <f t="shared" si="3"/>
        <v>#REF!</v>
      </c>
      <c r="H1347" s="13" t="str">
        <f t="shared" si="4"/>
        <v>#REF!</v>
      </c>
      <c r="I1347" s="14"/>
      <c r="J1347" s="14"/>
    </row>
    <row r="1348" hidden="1">
      <c r="A1348" s="6" t="s">
        <v>307</v>
      </c>
      <c r="B1348" s="16" t="s">
        <v>715</v>
      </c>
      <c r="C1348" s="16" t="s">
        <v>716</v>
      </c>
      <c r="D1348" s="16" t="s">
        <v>717</v>
      </c>
      <c r="E1348" s="84">
        <v>5.0</v>
      </c>
      <c r="F1348" s="84">
        <v>0.0</v>
      </c>
      <c r="G1348" s="12" t="str">
        <f t="shared" si="3"/>
        <v>#REF!</v>
      </c>
      <c r="H1348" s="13" t="str">
        <f t="shared" si="4"/>
        <v>#REF!</v>
      </c>
      <c r="I1348" s="14"/>
      <c r="J1348" s="14"/>
    </row>
    <row r="1349" hidden="1">
      <c r="A1349" s="6" t="s">
        <v>307</v>
      </c>
      <c r="B1349" s="16" t="s">
        <v>718</v>
      </c>
      <c r="C1349" s="16" t="s">
        <v>719</v>
      </c>
      <c r="D1349" s="16" t="s">
        <v>720</v>
      </c>
      <c r="E1349" s="84">
        <v>10.0</v>
      </c>
      <c r="F1349" s="84">
        <v>0.0</v>
      </c>
      <c r="G1349" s="12" t="str">
        <f t="shared" si="3"/>
        <v>#REF!</v>
      </c>
      <c r="H1349" s="13" t="str">
        <f t="shared" si="4"/>
        <v>#REF!</v>
      </c>
      <c r="I1349" s="14"/>
      <c r="J1349" s="14"/>
    </row>
    <row r="1350" hidden="1">
      <c r="A1350" s="6" t="s">
        <v>307</v>
      </c>
      <c r="B1350" s="16" t="s">
        <v>721</v>
      </c>
      <c r="C1350" s="16" t="s">
        <v>722</v>
      </c>
      <c r="D1350" s="16" t="s">
        <v>723</v>
      </c>
      <c r="E1350" s="84">
        <v>4.0</v>
      </c>
      <c r="F1350" s="84">
        <v>2.0</v>
      </c>
      <c r="G1350" s="12" t="str">
        <f t="shared" si="3"/>
        <v>#REF!</v>
      </c>
      <c r="H1350" s="13" t="str">
        <f t="shared" si="4"/>
        <v>#REF!</v>
      </c>
      <c r="I1350" s="14"/>
      <c r="J1350" s="14"/>
    </row>
    <row r="1351" hidden="1">
      <c r="A1351" s="6" t="s">
        <v>307</v>
      </c>
      <c r="B1351" s="20" t="s">
        <v>724</v>
      </c>
      <c r="C1351" s="16" t="s">
        <v>725</v>
      </c>
      <c r="D1351" s="16" t="s">
        <v>726</v>
      </c>
      <c r="E1351" s="84">
        <v>7.0</v>
      </c>
      <c r="F1351" s="84">
        <v>0.0</v>
      </c>
      <c r="G1351" s="12" t="str">
        <f t="shared" si="3"/>
        <v>#REF!</v>
      </c>
      <c r="H1351" s="13" t="str">
        <f t="shared" si="4"/>
        <v>#REF!</v>
      </c>
      <c r="I1351" s="14"/>
      <c r="J1351" s="14"/>
    </row>
    <row r="1352" hidden="1">
      <c r="A1352" s="6" t="s">
        <v>307</v>
      </c>
      <c r="B1352" s="16" t="s">
        <v>730</v>
      </c>
      <c r="C1352" s="16" t="s">
        <v>731</v>
      </c>
      <c r="D1352" s="16" t="s">
        <v>732</v>
      </c>
      <c r="E1352" s="84">
        <v>12.0</v>
      </c>
      <c r="F1352" s="84">
        <v>0.0</v>
      </c>
      <c r="G1352" s="12" t="str">
        <f t="shared" si="3"/>
        <v>#REF!</v>
      </c>
      <c r="H1352" s="13" t="str">
        <f t="shared" si="4"/>
        <v>#REF!</v>
      </c>
      <c r="I1352" s="14"/>
      <c r="J1352" s="14"/>
    </row>
    <row r="1353" hidden="1">
      <c r="A1353" s="6" t="s">
        <v>307</v>
      </c>
      <c r="B1353" s="16" t="s">
        <v>748</v>
      </c>
      <c r="C1353" s="16" t="s">
        <v>749</v>
      </c>
      <c r="D1353" s="16" t="s">
        <v>750</v>
      </c>
      <c r="E1353" s="84">
        <v>9.0</v>
      </c>
      <c r="F1353" s="84">
        <v>0.0</v>
      </c>
      <c r="G1353" s="12" t="str">
        <f t="shared" si="3"/>
        <v>#REF!</v>
      </c>
      <c r="H1353" s="13" t="str">
        <f t="shared" si="4"/>
        <v>#REF!</v>
      </c>
      <c r="I1353" s="14"/>
      <c r="J1353" s="14"/>
    </row>
    <row r="1354" hidden="1">
      <c r="A1354" s="6" t="s">
        <v>307</v>
      </c>
      <c r="B1354" s="16" t="s">
        <v>733</v>
      </c>
      <c r="C1354" s="16" t="s">
        <v>734</v>
      </c>
      <c r="D1354" s="16" t="s">
        <v>735</v>
      </c>
      <c r="E1354" s="84">
        <v>13.0</v>
      </c>
      <c r="F1354" s="84">
        <v>0.0</v>
      </c>
      <c r="G1354" s="12" t="str">
        <f t="shared" si="3"/>
        <v>#REF!</v>
      </c>
      <c r="H1354" s="13" t="str">
        <f t="shared" si="4"/>
        <v>#REF!</v>
      </c>
      <c r="I1354" s="14"/>
      <c r="J1354" s="14"/>
    </row>
    <row r="1355" hidden="1">
      <c r="A1355" s="6" t="s">
        <v>307</v>
      </c>
      <c r="B1355" s="16" t="s">
        <v>727</v>
      </c>
      <c r="C1355" s="16" t="s">
        <v>728</v>
      </c>
      <c r="D1355" s="16" t="s">
        <v>729</v>
      </c>
      <c r="E1355" s="84">
        <v>10.0</v>
      </c>
      <c r="F1355" s="84">
        <v>0.0</v>
      </c>
      <c r="G1355" s="12" t="str">
        <f t="shared" si="3"/>
        <v>#REF!</v>
      </c>
      <c r="H1355" s="13" t="str">
        <f t="shared" si="4"/>
        <v>#REF!</v>
      </c>
      <c r="I1355" s="14"/>
      <c r="J1355" s="14"/>
    </row>
    <row r="1356" hidden="1">
      <c r="A1356" s="6" t="s">
        <v>307</v>
      </c>
      <c r="B1356" s="16" t="s">
        <v>736</v>
      </c>
      <c r="C1356" s="16" t="s">
        <v>737</v>
      </c>
      <c r="D1356" s="16" t="s">
        <v>738</v>
      </c>
      <c r="E1356" s="84">
        <v>8.0</v>
      </c>
      <c r="F1356" s="84">
        <v>0.0</v>
      </c>
      <c r="G1356" s="12" t="str">
        <f t="shared" si="3"/>
        <v>#REF!</v>
      </c>
      <c r="H1356" s="13" t="str">
        <f t="shared" si="4"/>
        <v>#REF!</v>
      </c>
      <c r="I1356" s="14"/>
      <c r="J1356" s="14"/>
    </row>
    <row r="1357" hidden="1">
      <c r="A1357" s="6" t="s">
        <v>307</v>
      </c>
      <c r="B1357" s="16" t="s">
        <v>739</v>
      </c>
      <c r="C1357" s="16" t="s">
        <v>740</v>
      </c>
      <c r="D1357" s="16" t="s">
        <v>741</v>
      </c>
      <c r="E1357" s="84">
        <v>7.0</v>
      </c>
      <c r="F1357" s="84">
        <v>3.0</v>
      </c>
      <c r="G1357" s="12" t="str">
        <f t="shared" si="3"/>
        <v>#REF!</v>
      </c>
      <c r="H1357" s="13" t="str">
        <f t="shared" si="4"/>
        <v>#REF!</v>
      </c>
      <c r="I1357" s="14"/>
      <c r="J1357" s="14"/>
    </row>
    <row r="1358" hidden="1">
      <c r="A1358" s="6" t="s">
        <v>307</v>
      </c>
      <c r="B1358" s="16" t="s">
        <v>788</v>
      </c>
      <c r="C1358" s="16" t="s">
        <v>789</v>
      </c>
      <c r="D1358" s="16" t="s">
        <v>790</v>
      </c>
      <c r="E1358" s="84">
        <v>11.0</v>
      </c>
      <c r="F1358" s="84">
        <v>2.0</v>
      </c>
      <c r="G1358" s="12" t="str">
        <f t="shared" si="3"/>
        <v>#REF!</v>
      </c>
      <c r="H1358" s="13" t="str">
        <f t="shared" si="4"/>
        <v>#REF!</v>
      </c>
      <c r="I1358" s="14"/>
      <c r="J1358" s="14"/>
    </row>
    <row r="1359" hidden="1">
      <c r="A1359" s="6" t="s">
        <v>307</v>
      </c>
      <c r="B1359" s="16" t="s">
        <v>751</v>
      </c>
      <c r="C1359" s="16" t="s">
        <v>752</v>
      </c>
      <c r="D1359" s="16" t="s">
        <v>753</v>
      </c>
      <c r="E1359" s="84">
        <v>11.0</v>
      </c>
      <c r="F1359" s="84">
        <v>2.0</v>
      </c>
      <c r="G1359" s="12" t="str">
        <f t="shared" si="3"/>
        <v>#REF!</v>
      </c>
      <c r="H1359" s="13" t="str">
        <f t="shared" si="4"/>
        <v>#REF!</v>
      </c>
      <c r="I1359" s="14"/>
      <c r="J1359" s="14"/>
    </row>
    <row r="1360" hidden="1">
      <c r="A1360" s="6" t="s">
        <v>307</v>
      </c>
      <c r="B1360" s="16" t="s">
        <v>742</v>
      </c>
      <c r="C1360" s="16" t="s">
        <v>743</v>
      </c>
      <c r="D1360" s="16" t="s">
        <v>744</v>
      </c>
      <c r="E1360" s="84">
        <v>8.0</v>
      </c>
      <c r="F1360" s="84">
        <v>4.0</v>
      </c>
      <c r="G1360" s="12" t="str">
        <f t="shared" si="3"/>
        <v>#REF!</v>
      </c>
      <c r="H1360" s="13" t="str">
        <f t="shared" si="4"/>
        <v>#REF!</v>
      </c>
      <c r="I1360" s="14"/>
      <c r="J1360" s="14"/>
    </row>
    <row r="1361" hidden="1">
      <c r="A1361" s="6" t="s">
        <v>307</v>
      </c>
      <c r="B1361" s="16" t="s">
        <v>816</v>
      </c>
      <c r="C1361" s="16" t="s">
        <v>817</v>
      </c>
      <c r="D1361" s="16" t="s">
        <v>818</v>
      </c>
      <c r="E1361" s="84">
        <v>6.0</v>
      </c>
      <c r="F1361" s="84">
        <v>0.0</v>
      </c>
      <c r="G1361" s="12" t="str">
        <f t="shared" si="3"/>
        <v>#REF!</v>
      </c>
      <c r="H1361" s="13" t="str">
        <f t="shared" si="4"/>
        <v>#REF!</v>
      </c>
      <c r="I1361" s="14"/>
      <c r="J1361" s="14"/>
    </row>
    <row r="1362" hidden="1">
      <c r="A1362" s="6" t="s">
        <v>307</v>
      </c>
      <c r="B1362" s="16" t="s">
        <v>754</v>
      </c>
      <c r="C1362" s="16" t="s">
        <v>755</v>
      </c>
      <c r="D1362" s="16" t="s">
        <v>756</v>
      </c>
      <c r="E1362" s="84">
        <v>11.0</v>
      </c>
      <c r="F1362" s="81">
        <v>5.0</v>
      </c>
      <c r="G1362" s="12" t="str">
        <f t="shared" si="3"/>
        <v>#REF!</v>
      </c>
      <c r="H1362" s="13" t="str">
        <f t="shared" si="4"/>
        <v>#REF!</v>
      </c>
      <c r="I1362" s="14"/>
      <c r="J1362" s="14"/>
    </row>
    <row r="1363" hidden="1">
      <c r="A1363" s="6" t="s">
        <v>307</v>
      </c>
      <c r="B1363" s="7" t="s">
        <v>757</v>
      </c>
      <c r="C1363" s="16" t="s">
        <v>758</v>
      </c>
      <c r="D1363" s="16" t="s">
        <v>759</v>
      </c>
      <c r="E1363" s="84">
        <v>25.0</v>
      </c>
      <c r="F1363" s="84">
        <v>0.0</v>
      </c>
      <c r="G1363" s="12" t="str">
        <f t="shared" si="3"/>
        <v>#REF!</v>
      </c>
      <c r="H1363" s="13" t="str">
        <f t="shared" si="4"/>
        <v>#REF!</v>
      </c>
      <c r="I1363" s="23"/>
      <c r="J1363" s="23"/>
    </row>
    <row r="1364" hidden="1">
      <c r="A1364" s="6" t="s">
        <v>307</v>
      </c>
      <c r="B1364" s="16" t="s">
        <v>219</v>
      </c>
      <c r="C1364" s="16" t="s">
        <v>220</v>
      </c>
      <c r="D1364" s="16" t="s">
        <v>760</v>
      </c>
      <c r="E1364" s="84">
        <v>18.0</v>
      </c>
      <c r="F1364" s="84">
        <v>0.0</v>
      </c>
      <c r="G1364" s="12" t="str">
        <f t="shared" si="3"/>
        <v>#REF!</v>
      </c>
      <c r="H1364" s="13" t="str">
        <f t="shared" si="4"/>
        <v>#REF!</v>
      </c>
      <c r="I1364" s="14"/>
      <c r="J1364" s="14"/>
    </row>
    <row r="1365" hidden="1">
      <c r="A1365" s="6" t="s">
        <v>307</v>
      </c>
      <c r="B1365" s="16" t="s">
        <v>840</v>
      </c>
      <c r="C1365" s="16" t="s">
        <v>841</v>
      </c>
      <c r="D1365" s="16" t="s">
        <v>842</v>
      </c>
      <c r="E1365" s="84">
        <v>4.0</v>
      </c>
      <c r="F1365" s="84">
        <v>0.0</v>
      </c>
      <c r="G1365" s="12" t="str">
        <f t="shared" si="3"/>
        <v>#REF!</v>
      </c>
      <c r="H1365" s="13" t="str">
        <f t="shared" si="4"/>
        <v>#REF!</v>
      </c>
      <c r="I1365" s="14"/>
      <c r="J1365" s="14"/>
    </row>
    <row r="1366" hidden="1">
      <c r="A1366" s="6" t="s">
        <v>307</v>
      </c>
      <c r="B1366" s="7" t="s">
        <v>745</v>
      </c>
      <c r="C1366" s="16" t="s">
        <v>746</v>
      </c>
      <c r="D1366" s="16" t="s">
        <v>747</v>
      </c>
      <c r="E1366" s="84">
        <v>12.0</v>
      </c>
      <c r="F1366" s="84">
        <v>1.0</v>
      </c>
      <c r="G1366" s="12" t="str">
        <f t="shared" si="3"/>
        <v>#REF!</v>
      </c>
      <c r="H1366" s="13" t="str">
        <f t="shared" si="4"/>
        <v>#REF!</v>
      </c>
      <c r="I1366" s="14"/>
      <c r="J1366" s="14"/>
    </row>
    <row r="1367" hidden="1">
      <c r="A1367" s="54" t="s">
        <v>308</v>
      </c>
      <c r="B1367" s="16" t="s">
        <v>832</v>
      </c>
      <c r="C1367" s="16" t="s">
        <v>833</v>
      </c>
      <c r="D1367" s="16" t="s">
        <v>834</v>
      </c>
      <c r="E1367" s="84">
        <v>32.0</v>
      </c>
      <c r="F1367" s="84">
        <v>8.0</v>
      </c>
      <c r="G1367" s="12">
        <f t="shared" ref="G1367:G1619" si="5">sum(E1367*250)+(F1367*100)</f>
        <v>8800</v>
      </c>
      <c r="H1367" s="13" t="str">
        <f t="shared" ref="H1367:H1452" si="6">E1367 &amp; " Signed Rep + " &amp; F1367 &amp; " 5-Star Review"</f>
        <v>32 Signed Rep + 8 5-Star Review</v>
      </c>
      <c r="I1367" s="47"/>
      <c r="J1367" s="47"/>
    </row>
    <row r="1368" hidden="1">
      <c r="A1368" s="54" t="s">
        <v>308</v>
      </c>
      <c r="B1368" s="16" t="s">
        <v>835</v>
      </c>
      <c r="C1368" s="16" t="s">
        <v>836</v>
      </c>
      <c r="D1368" s="16" t="s">
        <v>837</v>
      </c>
      <c r="E1368" s="84">
        <v>35.0</v>
      </c>
      <c r="F1368" s="84">
        <v>0.0</v>
      </c>
      <c r="G1368" s="12">
        <f t="shared" si="5"/>
        <v>8750</v>
      </c>
      <c r="H1368" s="13" t="str">
        <f t="shared" si="6"/>
        <v>35 Signed Rep + 0 5-Star Review</v>
      </c>
      <c r="I1368" s="47"/>
      <c r="J1368" s="47"/>
    </row>
    <row r="1369" hidden="1">
      <c r="A1369" s="54" t="s">
        <v>308</v>
      </c>
      <c r="B1369" s="16" t="s">
        <v>764</v>
      </c>
      <c r="C1369" s="16" t="s">
        <v>765</v>
      </c>
      <c r="D1369" s="16" t="s">
        <v>838</v>
      </c>
      <c r="E1369" s="84">
        <v>27.0</v>
      </c>
      <c r="F1369" s="84">
        <v>0.0</v>
      </c>
      <c r="G1369" s="12">
        <f t="shared" si="5"/>
        <v>6750</v>
      </c>
      <c r="H1369" s="13" t="str">
        <f t="shared" si="6"/>
        <v>27 Signed Rep + 0 5-Star Review</v>
      </c>
      <c r="I1369" s="47"/>
      <c r="J1369" s="47"/>
    </row>
    <row r="1370" hidden="1">
      <c r="A1370" s="54" t="s">
        <v>308</v>
      </c>
      <c r="B1370" s="16" t="s">
        <v>213</v>
      </c>
      <c r="C1370" s="16" t="s">
        <v>214</v>
      </c>
      <c r="D1370" s="16" t="s">
        <v>660</v>
      </c>
      <c r="E1370" s="84">
        <v>14.0</v>
      </c>
      <c r="F1370" s="84">
        <v>0.0</v>
      </c>
      <c r="G1370" s="12">
        <f t="shared" si="5"/>
        <v>3500</v>
      </c>
      <c r="H1370" s="13" t="str">
        <f t="shared" si="6"/>
        <v>14 Signed Rep + 0 5-Star Review</v>
      </c>
      <c r="I1370" s="47"/>
      <c r="J1370" s="47"/>
    </row>
    <row r="1371" hidden="1">
      <c r="A1371" s="54" t="s">
        <v>308</v>
      </c>
      <c r="B1371" s="16" t="s">
        <v>661</v>
      </c>
      <c r="C1371" s="16" t="s">
        <v>662</v>
      </c>
      <c r="D1371" s="16" t="s">
        <v>663</v>
      </c>
      <c r="E1371" s="84">
        <v>35.0</v>
      </c>
      <c r="F1371" s="84">
        <v>0.0</v>
      </c>
      <c r="G1371" s="12">
        <f t="shared" si="5"/>
        <v>8750</v>
      </c>
      <c r="H1371" s="13" t="str">
        <f t="shared" si="6"/>
        <v>35 Signed Rep + 0 5-Star Review</v>
      </c>
      <c r="I1371" s="47"/>
      <c r="J1371" s="47"/>
    </row>
    <row r="1372" hidden="1">
      <c r="A1372" s="54" t="s">
        <v>308</v>
      </c>
      <c r="B1372" s="16" t="s">
        <v>664</v>
      </c>
      <c r="C1372" s="16" t="s">
        <v>665</v>
      </c>
      <c r="D1372" s="16" t="s">
        <v>666</v>
      </c>
      <c r="E1372" s="84">
        <v>25.0</v>
      </c>
      <c r="F1372" s="84">
        <v>0.0</v>
      </c>
      <c r="G1372" s="12">
        <f t="shared" si="5"/>
        <v>6250</v>
      </c>
      <c r="H1372" s="13" t="str">
        <f t="shared" si="6"/>
        <v>25 Signed Rep + 0 5-Star Review</v>
      </c>
      <c r="I1372" s="47"/>
      <c r="J1372" s="47"/>
    </row>
    <row r="1373" hidden="1">
      <c r="A1373" s="54" t="s">
        <v>308</v>
      </c>
      <c r="B1373" s="16" t="s">
        <v>667</v>
      </c>
      <c r="C1373" s="16" t="s">
        <v>668</v>
      </c>
      <c r="D1373" s="16" t="s">
        <v>669</v>
      </c>
      <c r="E1373" s="84">
        <v>18.0</v>
      </c>
      <c r="F1373" s="84">
        <v>2.0</v>
      </c>
      <c r="G1373" s="12">
        <f t="shared" si="5"/>
        <v>4700</v>
      </c>
      <c r="H1373" s="13" t="str">
        <f t="shared" si="6"/>
        <v>18 Signed Rep + 2 5-Star Review</v>
      </c>
      <c r="I1373" s="47"/>
      <c r="J1373" s="47"/>
    </row>
    <row r="1374" hidden="1">
      <c r="A1374" s="54" t="s">
        <v>308</v>
      </c>
      <c r="B1374" s="16" t="s">
        <v>670</v>
      </c>
      <c r="C1374" s="16" t="s">
        <v>671</v>
      </c>
      <c r="D1374" s="16" t="s">
        <v>672</v>
      </c>
      <c r="E1374" s="84">
        <v>13.0</v>
      </c>
      <c r="F1374" s="84">
        <v>0.0</v>
      </c>
      <c r="G1374" s="12">
        <f t="shared" si="5"/>
        <v>3250</v>
      </c>
      <c r="H1374" s="13" t="str">
        <f t="shared" si="6"/>
        <v>13 Signed Rep + 0 5-Star Review</v>
      </c>
      <c r="I1374" s="47"/>
      <c r="J1374" s="47"/>
    </row>
    <row r="1375" hidden="1">
      <c r="A1375" s="54" t="s">
        <v>308</v>
      </c>
      <c r="B1375" s="16" t="s">
        <v>673</v>
      </c>
      <c r="C1375" s="16" t="s">
        <v>674</v>
      </c>
      <c r="D1375" s="16" t="s">
        <v>675</v>
      </c>
      <c r="E1375" s="84">
        <v>23.0</v>
      </c>
      <c r="F1375" s="84">
        <v>1.0</v>
      </c>
      <c r="G1375" s="12">
        <f t="shared" si="5"/>
        <v>5850</v>
      </c>
      <c r="H1375" s="13" t="str">
        <f t="shared" si="6"/>
        <v>23 Signed Rep + 1 5-Star Review</v>
      </c>
      <c r="I1375" s="47"/>
      <c r="J1375" s="47"/>
    </row>
    <row r="1376" hidden="1">
      <c r="A1376" s="54" t="s">
        <v>308</v>
      </c>
      <c r="B1376" s="16" t="s">
        <v>676</v>
      </c>
      <c r="C1376" s="16" t="s">
        <v>677</v>
      </c>
      <c r="D1376" s="16" t="s">
        <v>678</v>
      </c>
      <c r="E1376" s="84">
        <v>24.0</v>
      </c>
      <c r="F1376" s="84">
        <v>2.0</v>
      </c>
      <c r="G1376" s="12">
        <f t="shared" si="5"/>
        <v>6200</v>
      </c>
      <c r="H1376" s="13" t="str">
        <f t="shared" si="6"/>
        <v>24 Signed Rep + 2 5-Star Review</v>
      </c>
      <c r="I1376" s="47"/>
      <c r="J1376" s="47"/>
    </row>
    <row r="1377" hidden="1">
      <c r="A1377" s="54" t="s">
        <v>308</v>
      </c>
      <c r="B1377" s="16" t="s">
        <v>679</v>
      </c>
      <c r="C1377" s="16" t="s">
        <v>680</v>
      </c>
      <c r="D1377" s="16" t="s">
        <v>847</v>
      </c>
      <c r="E1377" s="84">
        <v>18.0</v>
      </c>
      <c r="F1377" s="84">
        <v>6.0</v>
      </c>
      <c r="G1377" s="12">
        <f t="shared" si="5"/>
        <v>5100</v>
      </c>
      <c r="H1377" s="13" t="str">
        <f t="shared" si="6"/>
        <v>18 Signed Rep + 6 5-Star Review</v>
      </c>
      <c r="I1377" s="47"/>
      <c r="J1377" s="47"/>
    </row>
    <row r="1378" hidden="1">
      <c r="A1378" s="54" t="s">
        <v>308</v>
      </c>
      <c r="B1378" s="16" t="s">
        <v>682</v>
      </c>
      <c r="C1378" s="16" t="s">
        <v>683</v>
      </c>
      <c r="D1378" s="16" t="s">
        <v>684</v>
      </c>
      <c r="E1378" s="84">
        <v>16.0</v>
      </c>
      <c r="F1378" s="84">
        <v>2.0</v>
      </c>
      <c r="G1378" s="12">
        <f t="shared" si="5"/>
        <v>4200</v>
      </c>
      <c r="H1378" s="13" t="str">
        <f t="shared" si="6"/>
        <v>16 Signed Rep + 2 5-Star Review</v>
      </c>
      <c r="I1378" s="47"/>
      <c r="J1378" s="47"/>
    </row>
    <row r="1379" hidden="1">
      <c r="A1379" s="54" t="s">
        <v>308</v>
      </c>
      <c r="B1379" s="16" t="s">
        <v>685</v>
      </c>
      <c r="C1379" s="16" t="s">
        <v>686</v>
      </c>
      <c r="D1379" s="16" t="s">
        <v>687</v>
      </c>
      <c r="E1379" s="84">
        <v>20.0</v>
      </c>
      <c r="F1379" s="84">
        <v>0.0</v>
      </c>
      <c r="G1379" s="12">
        <f t="shared" si="5"/>
        <v>5000</v>
      </c>
      <c r="H1379" s="13" t="str">
        <f t="shared" si="6"/>
        <v>20 Signed Rep + 0 5-Star Review</v>
      </c>
      <c r="I1379" s="47"/>
      <c r="J1379" s="47"/>
    </row>
    <row r="1380" hidden="1">
      <c r="A1380" s="54" t="s">
        <v>308</v>
      </c>
      <c r="B1380" s="16" t="s">
        <v>688</v>
      </c>
      <c r="C1380" s="16" t="s">
        <v>689</v>
      </c>
      <c r="D1380" s="16" t="s">
        <v>690</v>
      </c>
      <c r="E1380" s="84">
        <v>22.0</v>
      </c>
      <c r="F1380" s="84">
        <v>0.0</v>
      </c>
      <c r="G1380" s="12">
        <f t="shared" si="5"/>
        <v>5500</v>
      </c>
      <c r="H1380" s="13" t="str">
        <f t="shared" si="6"/>
        <v>22 Signed Rep + 0 5-Star Review</v>
      </c>
      <c r="I1380" s="47"/>
      <c r="J1380" s="47"/>
    </row>
    <row r="1381" hidden="1">
      <c r="A1381" s="54" t="s">
        <v>308</v>
      </c>
      <c r="B1381" s="16" t="s">
        <v>691</v>
      </c>
      <c r="C1381" s="16" t="s">
        <v>692</v>
      </c>
      <c r="D1381" s="16" t="s">
        <v>693</v>
      </c>
      <c r="E1381" s="84">
        <v>12.0</v>
      </c>
      <c r="F1381" s="84">
        <v>0.0</v>
      </c>
      <c r="G1381" s="12">
        <f t="shared" si="5"/>
        <v>3000</v>
      </c>
      <c r="H1381" s="13" t="str">
        <f t="shared" si="6"/>
        <v>12 Signed Rep + 0 5-Star Review</v>
      </c>
      <c r="I1381" s="47"/>
      <c r="J1381" s="47"/>
    </row>
    <row r="1382" hidden="1">
      <c r="A1382" s="54" t="s">
        <v>308</v>
      </c>
      <c r="B1382" s="16" t="s">
        <v>694</v>
      </c>
      <c r="C1382" s="16" t="s">
        <v>695</v>
      </c>
      <c r="D1382" s="16" t="s">
        <v>696</v>
      </c>
      <c r="E1382" s="84">
        <v>18.0</v>
      </c>
      <c r="F1382" s="84">
        <v>0.0</v>
      </c>
      <c r="G1382" s="12">
        <f t="shared" si="5"/>
        <v>4500</v>
      </c>
      <c r="H1382" s="13" t="str">
        <f t="shared" si="6"/>
        <v>18 Signed Rep + 0 5-Star Review</v>
      </c>
      <c r="I1382" s="47"/>
      <c r="J1382" s="47"/>
    </row>
    <row r="1383" hidden="1">
      <c r="A1383" s="54" t="s">
        <v>308</v>
      </c>
      <c r="B1383" s="16" t="s">
        <v>697</v>
      </c>
      <c r="C1383" s="16" t="s">
        <v>698</v>
      </c>
      <c r="D1383" s="16" t="s">
        <v>699</v>
      </c>
      <c r="E1383" s="84">
        <v>22.0</v>
      </c>
      <c r="F1383" s="84">
        <v>0.0</v>
      </c>
      <c r="G1383" s="12">
        <f t="shared" si="5"/>
        <v>5500</v>
      </c>
      <c r="H1383" s="13" t="str">
        <f t="shared" si="6"/>
        <v>22 Signed Rep + 0 5-Star Review</v>
      </c>
      <c r="I1383" s="47"/>
      <c r="J1383" s="47"/>
    </row>
    <row r="1384" hidden="1">
      <c r="A1384" s="54" t="s">
        <v>308</v>
      </c>
      <c r="B1384" s="16" t="s">
        <v>700</v>
      </c>
      <c r="C1384" s="16" t="s">
        <v>701</v>
      </c>
      <c r="D1384" s="16" t="s">
        <v>702</v>
      </c>
      <c r="E1384" s="84">
        <v>19.0</v>
      </c>
      <c r="F1384" s="84">
        <v>0.0</v>
      </c>
      <c r="G1384" s="12">
        <f t="shared" si="5"/>
        <v>4750</v>
      </c>
      <c r="H1384" s="13" t="str">
        <f t="shared" si="6"/>
        <v>19 Signed Rep + 0 5-Star Review</v>
      </c>
      <c r="I1384" s="47"/>
      <c r="J1384" s="47"/>
    </row>
    <row r="1385" hidden="1">
      <c r="A1385" s="54" t="s">
        <v>308</v>
      </c>
      <c r="B1385" s="16" t="s">
        <v>703</v>
      </c>
      <c r="C1385" s="16" t="s">
        <v>704</v>
      </c>
      <c r="D1385" s="16" t="s">
        <v>705</v>
      </c>
      <c r="E1385" s="84">
        <v>14.0</v>
      </c>
      <c r="F1385" s="84">
        <v>2.0</v>
      </c>
      <c r="G1385" s="12">
        <f t="shared" si="5"/>
        <v>3700</v>
      </c>
      <c r="H1385" s="13" t="str">
        <f t="shared" si="6"/>
        <v>14 Signed Rep + 2 5-Star Review</v>
      </c>
      <c r="I1385" s="47"/>
      <c r="J1385" s="47"/>
    </row>
    <row r="1386" hidden="1">
      <c r="A1386" s="54" t="s">
        <v>308</v>
      </c>
      <c r="B1386" s="16" t="s">
        <v>706</v>
      </c>
      <c r="C1386" s="16" t="s">
        <v>707</v>
      </c>
      <c r="D1386" s="16" t="s">
        <v>708</v>
      </c>
      <c r="E1386" s="84">
        <v>13.0</v>
      </c>
      <c r="F1386" s="84">
        <v>1.0</v>
      </c>
      <c r="G1386" s="12">
        <f t="shared" si="5"/>
        <v>3350</v>
      </c>
      <c r="H1386" s="13" t="str">
        <f t="shared" si="6"/>
        <v>13 Signed Rep + 1 5-Star Review</v>
      </c>
      <c r="I1386" s="47"/>
      <c r="J1386" s="47"/>
    </row>
    <row r="1387" hidden="1">
      <c r="A1387" s="54" t="s">
        <v>308</v>
      </c>
      <c r="B1387" s="16" t="s">
        <v>709</v>
      </c>
      <c r="C1387" s="16" t="s">
        <v>710</v>
      </c>
      <c r="D1387" s="16" t="s">
        <v>711</v>
      </c>
      <c r="E1387" s="84">
        <v>10.0</v>
      </c>
      <c r="F1387" s="84">
        <v>0.0</v>
      </c>
      <c r="G1387" s="12">
        <f t="shared" si="5"/>
        <v>2500</v>
      </c>
      <c r="H1387" s="13" t="str">
        <f t="shared" si="6"/>
        <v>10 Signed Rep + 0 5-Star Review</v>
      </c>
      <c r="I1387" s="47"/>
      <c r="J1387" s="47"/>
    </row>
    <row r="1388" hidden="1">
      <c r="A1388" s="54" t="s">
        <v>308</v>
      </c>
      <c r="B1388" s="16" t="s">
        <v>712</v>
      </c>
      <c r="C1388" s="16" t="s">
        <v>713</v>
      </c>
      <c r="D1388" s="16" t="s">
        <v>714</v>
      </c>
      <c r="E1388" s="84">
        <v>12.0</v>
      </c>
      <c r="F1388" s="84">
        <v>0.0</v>
      </c>
      <c r="G1388" s="12">
        <f t="shared" si="5"/>
        <v>3000</v>
      </c>
      <c r="H1388" s="13" t="str">
        <f t="shared" si="6"/>
        <v>12 Signed Rep + 0 5-Star Review</v>
      </c>
      <c r="I1388" s="47"/>
      <c r="J1388" s="47"/>
    </row>
    <row r="1389" hidden="1">
      <c r="A1389" s="54" t="s">
        <v>308</v>
      </c>
      <c r="B1389" s="16" t="s">
        <v>799</v>
      </c>
      <c r="C1389" s="16" t="s">
        <v>800</v>
      </c>
      <c r="D1389" s="16" t="s">
        <v>801</v>
      </c>
      <c r="E1389" s="84">
        <v>23.0</v>
      </c>
      <c r="F1389" s="84">
        <v>6.0</v>
      </c>
      <c r="G1389" s="12">
        <f t="shared" si="5"/>
        <v>6350</v>
      </c>
      <c r="H1389" s="13" t="str">
        <f t="shared" si="6"/>
        <v>23 Signed Rep + 6 5-Star Review</v>
      </c>
      <c r="I1389" s="47"/>
      <c r="J1389" s="47"/>
    </row>
    <row r="1390" hidden="1">
      <c r="A1390" s="54" t="s">
        <v>308</v>
      </c>
      <c r="B1390" s="16" t="s">
        <v>795</v>
      </c>
      <c r="C1390" s="16" t="s">
        <v>796</v>
      </c>
      <c r="D1390" s="16" t="s">
        <v>797</v>
      </c>
      <c r="E1390" s="84">
        <v>13.0</v>
      </c>
      <c r="F1390" s="84">
        <v>5.0</v>
      </c>
      <c r="G1390" s="12">
        <f t="shared" si="5"/>
        <v>3750</v>
      </c>
      <c r="H1390" s="13" t="str">
        <f t="shared" si="6"/>
        <v>13 Signed Rep + 5 5-Star Review</v>
      </c>
      <c r="I1390" s="47"/>
      <c r="J1390" s="47"/>
    </row>
    <row r="1391" hidden="1">
      <c r="A1391" s="54" t="s">
        <v>308</v>
      </c>
      <c r="B1391" s="16" t="s">
        <v>715</v>
      </c>
      <c r="C1391" s="16" t="s">
        <v>716</v>
      </c>
      <c r="D1391" s="16" t="s">
        <v>717</v>
      </c>
      <c r="E1391" s="84">
        <v>10.0</v>
      </c>
      <c r="F1391" s="84">
        <v>0.0</v>
      </c>
      <c r="G1391" s="12">
        <f t="shared" si="5"/>
        <v>2500</v>
      </c>
      <c r="H1391" s="13" t="str">
        <f t="shared" si="6"/>
        <v>10 Signed Rep + 0 5-Star Review</v>
      </c>
      <c r="I1391" s="47"/>
      <c r="J1391" s="47"/>
    </row>
    <row r="1392" hidden="1">
      <c r="A1392" s="54" t="s">
        <v>308</v>
      </c>
      <c r="B1392" s="16" t="s">
        <v>718</v>
      </c>
      <c r="C1392" s="16" t="s">
        <v>719</v>
      </c>
      <c r="D1392" s="16" t="s">
        <v>720</v>
      </c>
      <c r="E1392" s="84">
        <v>12.0</v>
      </c>
      <c r="F1392" s="84">
        <v>0.0</v>
      </c>
      <c r="G1392" s="12">
        <f t="shared" si="5"/>
        <v>3000</v>
      </c>
      <c r="H1392" s="13" t="str">
        <f t="shared" si="6"/>
        <v>12 Signed Rep + 0 5-Star Review</v>
      </c>
      <c r="I1392" s="47"/>
      <c r="J1392" s="47"/>
    </row>
    <row r="1393" hidden="1">
      <c r="A1393" s="54" t="s">
        <v>308</v>
      </c>
      <c r="B1393" s="16" t="s">
        <v>721</v>
      </c>
      <c r="C1393" s="16" t="s">
        <v>722</v>
      </c>
      <c r="D1393" s="16" t="s">
        <v>723</v>
      </c>
      <c r="E1393" s="84">
        <v>15.0</v>
      </c>
      <c r="F1393" s="84">
        <v>8.0</v>
      </c>
      <c r="G1393" s="12">
        <f t="shared" si="5"/>
        <v>4550</v>
      </c>
      <c r="H1393" s="13" t="str">
        <f t="shared" si="6"/>
        <v>15 Signed Rep + 8 5-Star Review</v>
      </c>
      <c r="I1393" s="47"/>
      <c r="J1393" s="47"/>
    </row>
    <row r="1394" hidden="1">
      <c r="A1394" s="54" t="s">
        <v>308</v>
      </c>
      <c r="B1394" s="20" t="s">
        <v>724</v>
      </c>
      <c r="C1394" s="16" t="s">
        <v>725</v>
      </c>
      <c r="D1394" s="16" t="s">
        <v>726</v>
      </c>
      <c r="E1394" s="84">
        <v>10.0</v>
      </c>
      <c r="F1394" s="84">
        <v>0.0</v>
      </c>
      <c r="G1394" s="12">
        <f t="shared" si="5"/>
        <v>2500</v>
      </c>
      <c r="H1394" s="13" t="str">
        <f t="shared" si="6"/>
        <v>10 Signed Rep + 0 5-Star Review</v>
      </c>
      <c r="I1394" s="47"/>
      <c r="J1394" s="47"/>
    </row>
    <row r="1395" hidden="1">
      <c r="A1395" s="54" t="s">
        <v>308</v>
      </c>
      <c r="B1395" s="16" t="s">
        <v>730</v>
      </c>
      <c r="C1395" s="16" t="s">
        <v>731</v>
      </c>
      <c r="D1395" s="16" t="s">
        <v>732</v>
      </c>
      <c r="E1395" s="84">
        <v>10.0</v>
      </c>
      <c r="F1395" s="84">
        <v>0.0</v>
      </c>
      <c r="G1395" s="12">
        <f t="shared" si="5"/>
        <v>2500</v>
      </c>
      <c r="H1395" s="13" t="str">
        <f t="shared" si="6"/>
        <v>10 Signed Rep + 0 5-Star Review</v>
      </c>
      <c r="I1395" s="47"/>
      <c r="J1395" s="47"/>
    </row>
    <row r="1396" hidden="1">
      <c r="A1396" s="54" t="s">
        <v>308</v>
      </c>
      <c r="B1396" s="16" t="s">
        <v>748</v>
      </c>
      <c r="C1396" s="16" t="s">
        <v>749</v>
      </c>
      <c r="D1396" s="16" t="s">
        <v>750</v>
      </c>
      <c r="E1396" s="84">
        <v>9.0</v>
      </c>
      <c r="F1396" s="84">
        <v>0.0</v>
      </c>
      <c r="G1396" s="12">
        <f t="shared" si="5"/>
        <v>2250</v>
      </c>
      <c r="H1396" s="13" t="str">
        <f t="shared" si="6"/>
        <v>9 Signed Rep + 0 5-Star Review</v>
      </c>
      <c r="I1396" s="47"/>
      <c r="J1396" s="47"/>
    </row>
    <row r="1397" hidden="1">
      <c r="A1397" s="54" t="s">
        <v>308</v>
      </c>
      <c r="B1397" s="16" t="s">
        <v>733</v>
      </c>
      <c r="C1397" s="16" t="s">
        <v>734</v>
      </c>
      <c r="D1397" s="16" t="s">
        <v>735</v>
      </c>
      <c r="E1397" s="84">
        <v>9.0</v>
      </c>
      <c r="F1397" s="84">
        <v>0.0</v>
      </c>
      <c r="G1397" s="12">
        <f t="shared" si="5"/>
        <v>2250</v>
      </c>
      <c r="H1397" s="13" t="str">
        <f t="shared" si="6"/>
        <v>9 Signed Rep + 0 5-Star Review</v>
      </c>
      <c r="I1397" s="47"/>
      <c r="J1397" s="47"/>
    </row>
    <row r="1398" hidden="1">
      <c r="A1398" s="54" t="s">
        <v>308</v>
      </c>
      <c r="B1398" s="16" t="s">
        <v>727</v>
      </c>
      <c r="C1398" s="16" t="s">
        <v>728</v>
      </c>
      <c r="D1398" s="16" t="s">
        <v>729</v>
      </c>
      <c r="E1398" s="84">
        <v>6.0</v>
      </c>
      <c r="F1398" s="84">
        <v>0.0</v>
      </c>
      <c r="G1398" s="12">
        <f t="shared" si="5"/>
        <v>1500</v>
      </c>
      <c r="H1398" s="13" t="str">
        <f t="shared" si="6"/>
        <v>6 Signed Rep + 0 5-Star Review</v>
      </c>
      <c r="I1398" s="47"/>
      <c r="J1398" s="47"/>
    </row>
    <row r="1399" hidden="1">
      <c r="A1399" s="54" t="s">
        <v>308</v>
      </c>
      <c r="B1399" s="16" t="s">
        <v>736</v>
      </c>
      <c r="C1399" s="16" t="s">
        <v>737</v>
      </c>
      <c r="D1399" s="16" t="s">
        <v>738</v>
      </c>
      <c r="E1399" s="84">
        <v>8.0</v>
      </c>
      <c r="F1399" s="84">
        <v>1.0</v>
      </c>
      <c r="G1399" s="12">
        <f t="shared" si="5"/>
        <v>2100</v>
      </c>
      <c r="H1399" s="13" t="str">
        <f t="shared" si="6"/>
        <v>8 Signed Rep + 1 5-Star Review</v>
      </c>
      <c r="I1399" s="47"/>
      <c r="J1399" s="47"/>
    </row>
    <row r="1400" hidden="1">
      <c r="A1400" s="54" t="s">
        <v>308</v>
      </c>
      <c r="B1400" s="16" t="s">
        <v>739</v>
      </c>
      <c r="C1400" s="16" t="s">
        <v>740</v>
      </c>
      <c r="D1400" s="16" t="s">
        <v>741</v>
      </c>
      <c r="E1400" s="84">
        <v>10.0</v>
      </c>
      <c r="F1400" s="84">
        <v>2.0</v>
      </c>
      <c r="G1400" s="12">
        <f t="shared" si="5"/>
        <v>2700</v>
      </c>
      <c r="H1400" s="13" t="str">
        <f t="shared" si="6"/>
        <v>10 Signed Rep + 2 5-Star Review</v>
      </c>
      <c r="I1400" s="47"/>
      <c r="J1400" s="47"/>
    </row>
    <row r="1401" hidden="1">
      <c r="A1401" s="54" t="s">
        <v>308</v>
      </c>
      <c r="B1401" s="16" t="s">
        <v>788</v>
      </c>
      <c r="C1401" s="16" t="s">
        <v>789</v>
      </c>
      <c r="D1401" s="16" t="s">
        <v>790</v>
      </c>
      <c r="E1401" s="84">
        <v>7.0</v>
      </c>
      <c r="F1401" s="84">
        <v>0.0</v>
      </c>
      <c r="G1401" s="12">
        <f t="shared" si="5"/>
        <v>1750</v>
      </c>
      <c r="H1401" s="13" t="str">
        <f t="shared" si="6"/>
        <v>7 Signed Rep + 0 5-Star Review</v>
      </c>
      <c r="I1401" s="47"/>
      <c r="J1401" s="47"/>
    </row>
    <row r="1402" hidden="1">
      <c r="A1402" s="54" t="s">
        <v>308</v>
      </c>
      <c r="B1402" s="16" t="s">
        <v>751</v>
      </c>
      <c r="C1402" s="16" t="s">
        <v>752</v>
      </c>
      <c r="D1402" s="16" t="s">
        <v>753</v>
      </c>
      <c r="E1402" s="84">
        <v>14.0</v>
      </c>
      <c r="F1402" s="84">
        <v>0.0</v>
      </c>
      <c r="G1402" s="12">
        <f t="shared" si="5"/>
        <v>3500</v>
      </c>
      <c r="H1402" s="13" t="str">
        <f t="shared" si="6"/>
        <v>14 Signed Rep + 0 5-Star Review</v>
      </c>
      <c r="I1402" s="47"/>
      <c r="J1402" s="47"/>
    </row>
    <row r="1403" hidden="1">
      <c r="A1403" s="54" t="s">
        <v>308</v>
      </c>
      <c r="B1403" s="16" t="s">
        <v>742</v>
      </c>
      <c r="C1403" s="16" t="s">
        <v>743</v>
      </c>
      <c r="D1403" s="16" t="s">
        <v>744</v>
      </c>
      <c r="E1403" s="84">
        <v>6.0</v>
      </c>
      <c r="F1403" s="84">
        <v>1.0</v>
      </c>
      <c r="G1403" s="12">
        <f t="shared" si="5"/>
        <v>1600</v>
      </c>
      <c r="H1403" s="13" t="str">
        <f t="shared" si="6"/>
        <v>6 Signed Rep + 1 5-Star Review</v>
      </c>
      <c r="I1403" s="47"/>
      <c r="J1403" s="47"/>
    </row>
    <row r="1404" hidden="1">
      <c r="A1404" s="54" t="s">
        <v>308</v>
      </c>
      <c r="B1404" s="16" t="s">
        <v>816</v>
      </c>
      <c r="C1404" s="16" t="s">
        <v>817</v>
      </c>
      <c r="D1404" s="16" t="s">
        <v>818</v>
      </c>
      <c r="E1404" s="84">
        <v>6.0</v>
      </c>
      <c r="F1404" s="84">
        <v>0.0</v>
      </c>
      <c r="G1404" s="12">
        <f t="shared" si="5"/>
        <v>1500</v>
      </c>
      <c r="H1404" s="13" t="str">
        <f t="shared" si="6"/>
        <v>6 Signed Rep + 0 5-Star Review</v>
      </c>
      <c r="I1404" s="47"/>
      <c r="J1404" s="47"/>
    </row>
    <row r="1405" hidden="1">
      <c r="A1405" s="54" t="s">
        <v>308</v>
      </c>
      <c r="B1405" s="16" t="s">
        <v>754</v>
      </c>
      <c r="C1405" s="16" t="s">
        <v>755</v>
      </c>
      <c r="D1405" s="16" t="s">
        <v>756</v>
      </c>
      <c r="E1405" s="84">
        <v>14.0</v>
      </c>
      <c r="F1405" s="81">
        <v>7.0</v>
      </c>
      <c r="G1405" s="12">
        <f t="shared" si="5"/>
        <v>4200</v>
      </c>
      <c r="H1405" s="13" t="str">
        <f t="shared" si="6"/>
        <v>14 Signed Rep + 7 5-Star Review</v>
      </c>
      <c r="I1405" s="47"/>
      <c r="J1405" s="47"/>
    </row>
    <row r="1406" hidden="1">
      <c r="A1406" s="54" t="s">
        <v>308</v>
      </c>
      <c r="B1406" s="269" t="s">
        <v>757</v>
      </c>
      <c r="C1406" s="57" t="s">
        <v>758</v>
      </c>
      <c r="D1406" s="57" t="s">
        <v>759</v>
      </c>
      <c r="E1406" s="272">
        <v>27.0</v>
      </c>
      <c r="F1406" s="272">
        <v>0.0</v>
      </c>
      <c r="G1406" s="55">
        <f t="shared" si="5"/>
        <v>6750</v>
      </c>
      <c r="H1406" s="13" t="str">
        <f t="shared" si="6"/>
        <v>27 Signed Rep + 0 5-Star Review</v>
      </c>
      <c r="I1406" s="47"/>
      <c r="J1406" s="47"/>
    </row>
    <row r="1407" hidden="1">
      <c r="A1407" s="54" t="s">
        <v>308</v>
      </c>
      <c r="B1407" s="16" t="s">
        <v>219</v>
      </c>
      <c r="C1407" s="16" t="s">
        <v>220</v>
      </c>
      <c r="D1407" s="16" t="s">
        <v>760</v>
      </c>
      <c r="E1407" s="84">
        <v>16.0</v>
      </c>
      <c r="F1407" s="84">
        <v>0.0</v>
      </c>
      <c r="G1407" s="12">
        <f t="shared" si="5"/>
        <v>4000</v>
      </c>
      <c r="H1407" s="13" t="str">
        <f t="shared" si="6"/>
        <v>16 Signed Rep + 0 5-Star Review</v>
      </c>
      <c r="I1407" s="47"/>
      <c r="J1407" s="47"/>
    </row>
    <row r="1408" hidden="1">
      <c r="A1408" s="54" t="s">
        <v>308</v>
      </c>
      <c r="B1408" s="16" t="s">
        <v>840</v>
      </c>
      <c r="C1408" s="16" t="s">
        <v>841</v>
      </c>
      <c r="D1408" s="16" t="s">
        <v>842</v>
      </c>
      <c r="E1408" s="84">
        <v>7.0</v>
      </c>
      <c r="F1408" s="84">
        <v>0.0</v>
      </c>
      <c r="G1408" s="12">
        <f t="shared" si="5"/>
        <v>1750</v>
      </c>
      <c r="H1408" s="13" t="str">
        <f t="shared" si="6"/>
        <v>7 Signed Rep + 0 5-Star Review</v>
      </c>
      <c r="I1408" s="47"/>
      <c r="J1408" s="47"/>
    </row>
    <row r="1409" hidden="1">
      <c r="A1409" s="54" t="s">
        <v>308</v>
      </c>
      <c r="B1409" s="7" t="s">
        <v>745</v>
      </c>
      <c r="C1409" s="16" t="s">
        <v>746</v>
      </c>
      <c r="D1409" s="16" t="s">
        <v>747</v>
      </c>
      <c r="E1409" s="84">
        <v>9.0</v>
      </c>
      <c r="F1409" s="84">
        <v>1.0</v>
      </c>
      <c r="G1409" s="12">
        <f t="shared" si="5"/>
        <v>2350</v>
      </c>
      <c r="H1409" s="13" t="str">
        <f t="shared" si="6"/>
        <v>9 Signed Rep + 1 5-Star Review</v>
      </c>
      <c r="I1409" s="47"/>
      <c r="J1409" s="47"/>
    </row>
    <row r="1410" hidden="1">
      <c r="A1410" s="88" t="s">
        <v>309</v>
      </c>
      <c r="B1410" s="92" t="s">
        <v>832</v>
      </c>
      <c r="C1410" s="92" t="s">
        <v>833</v>
      </c>
      <c r="D1410" s="92" t="s">
        <v>834</v>
      </c>
      <c r="E1410" s="85">
        <v>35.0</v>
      </c>
      <c r="F1410" s="85">
        <v>5.0</v>
      </c>
      <c r="G1410" s="32">
        <f t="shared" si="5"/>
        <v>9250</v>
      </c>
      <c r="H1410" s="83" t="str">
        <f t="shared" si="6"/>
        <v>35 Signed Rep + 5 5-Star Review</v>
      </c>
      <c r="I1410" s="14"/>
      <c r="J1410" s="14"/>
    </row>
    <row r="1411" hidden="1">
      <c r="A1411" s="88" t="s">
        <v>309</v>
      </c>
      <c r="B1411" s="92" t="s">
        <v>835</v>
      </c>
      <c r="C1411" s="92" t="s">
        <v>836</v>
      </c>
      <c r="D1411" s="92" t="s">
        <v>837</v>
      </c>
      <c r="E1411" s="85">
        <v>35.0</v>
      </c>
      <c r="F1411" s="85">
        <v>0.0</v>
      </c>
      <c r="G1411" s="32">
        <f t="shared" si="5"/>
        <v>8750</v>
      </c>
      <c r="H1411" s="83" t="str">
        <f t="shared" si="6"/>
        <v>35 Signed Rep + 0 5-Star Review</v>
      </c>
      <c r="I1411" s="14"/>
      <c r="J1411" s="14"/>
    </row>
    <row r="1412" hidden="1">
      <c r="A1412" s="88" t="s">
        <v>309</v>
      </c>
      <c r="B1412" s="92" t="s">
        <v>764</v>
      </c>
      <c r="C1412" s="92" t="s">
        <v>765</v>
      </c>
      <c r="D1412" s="92" t="s">
        <v>838</v>
      </c>
      <c r="E1412" s="85">
        <v>30.0</v>
      </c>
      <c r="F1412" s="85">
        <v>0.0</v>
      </c>
      <c r="G1412" s="32">
        <f t="shared" si="5"/>
        <v>7500</v>
      </c>
      <c r="H1412" s="83" t="str">
        <f t="shared" si="6"/>
        <v>30 Signed Rep + 0 5-Star Review</v>
      </c>
      <c r="I1412" s="14"/>
      <c r="J1412" s="14"/>
    </row>
    <row r="1413" hidden="1">
      <c r="A1413" s="88" t="s">
        <v>309</v>
      </c>
      <c r="B1413" s="92" t="s">
        <v>213</v>
      </c>
      <c r="C1413" s="92" t="s">
        <v>214</v>
      </c>
      <c r="D1413" s="92" t="s">
        <v>660</v>
      </c>
      <c r="E1413" s="85">
        <v>17.0</v>
      </c>
      <c r="F1413" s="85">
        <v>0.0</v>
      </c>
      <c r="G1413" s="32">
        <f t="shared" si="5"/>
        <v>4250</v>
      </c>
      <c r="H1413" s="83" t="str">
        <f t="shared" si="6"/>
        <v>17 Signed Rep + 0 5-Star Review</v>
      </c>
      <c r="I1413" s="14"/>
      <c r="J1413" s="14"/>
    </row>
    <row r="1414" hidden="1">
      <c r="A1414" s="88" t="s">
        <v>309</v>
      </c>
      <c r="B1414" s="92" t="s">
        <v>661</v>
      </c>
      <c r="C1414" s="92" t="s">
        <v>662</v>
      </c>
      <c r="D1414" s="92" t="s">
        <v>663</v>
      </c>
      <c r="E1414" s="85">
        <v>32.0</v>
      </c>
      <c r="F1414" s="85">
        <v>0.0</v>
      </c>
      <c r="G1414" s="32">
        <f t="shared" si="5"/>
        <v>8000</v>
      </c>
      <c r="H1414" s="83" t="str">
        <f t="shared" si="6"/>
        <v>32 Signed Rep + 0 5-Star Review</v>
      </c>
      <c r="I1414" s="14"/>
      <c r="J1414" s="14"/>
    </row>
    <row r="1415" hidden="1">
      <c r="A1415" s="88" t="s">
        <v>309</v>
      </c>
      <c r="B1415" s="92" t="s">
        <v>664</v>
      </c>
      <c r="C1415" s="92" t="s">
        <v>665</v>
      </c>
      <c r="D1415" s="92" t="s">
        <v>666</v>
      </c>
      <c r="E1415" s="85">
        <v>28.0</v>
      </c>
      <c r="F1415" s="85">
        <v>0.0</v>
      </c>
      <c r="G1415" s="32">
        <f t="shared" si="5"/>
        <v>7000</v>
      </c>
      <c r="H1415" s="83" t="str">
        <f t="shared" si="6"/>
        <v>28 Signed Rep + 0 5-Star Review</v>
      </c>
      <c r="I1415" s="14"/>
      <c r="J1415" s="14"/>
    </row>
    <row r="1416" hidden="1">
      <c r="A1416" s="88" t="s">
        <v>309</v>
      </c>
      <c r="B1416" s="92" t="s">
        <v>667</v>
      </c>
      <c r="C1416" s="92" t="s">
        <v>668</v>
      </c>
      <c r="D1416" s="92" t="s">
        <v>669</v>
      </c>
      <c r="E1416" s="85">
        <v>22.0</v>
      </c>
      <c r="F1416" s="85">
        <v>1.0</v>
      </c>
      <c r="G1416" s="32">
        <f t="shared" si="5"/>
        <v>5600</v>
      </c>
      <c r="H1416" s="83" t="str">
        <f t="shared" si="6"/>
        <v>22 Signed Rep + 1 5-Star Review</v>
      </c>
      <c r="I1416" s="14"/>
      <c r="J1416" s="14"/>
    </row>
    <row r="1417" hidden="1">
      <c r="A1417" s="88" t="s">
        <v>309</v>
      </c>
      <c r="B1417" s="92" t="s">
        <v>670</v>
      </c>
      <c r="C1417" s="92" t="s">
        <v>671</v>
      </c>
      <c r="D1417" s="92" t="s">
        <v>672</v>
      </c>
      <c r="E1417" s="85">
        <v>18.0</v>
      </c>
      <c r="F1417" s="85">
        <v>0.0</v>
      </c>
      <c r="G1417" s="32">
        <f t="shared" si="5"/>
        <v>4500</v>
      </c>
      <c r="H1417" s="83" t="str">
        <f t="shared" si="6"/>
        <v>18 Signed Rep + 0 5-Star Review</v>
      </c>
      <c r="I1417" s="14"/>
      <c r="J1417" s="14"/>
    </row>
    <row r="1418" hidden="1">
      <c r="A1418" s="88" t="s">
        <v>309</v>
      </c>
      <c r="B1418" s="92" t="s">
        <v>673</v>
      </c>
      <c r="C1418" s="92" t="s">
        <v>674</v>
      </c>
      <c r="D1418" s="92" t="s">
        <v>675</v>
      </c>
      <c r="E1418" s="85">
        <v>20.0</v>
      </c>
      <c r="F1418" s="85">
        <v>3.0</v>
      </c>
      <c r="G1418" s="32">
        <f t="shared" si="5"/>
        <v>5300</v>
      </c>
      <c r="H1418" s="83" t="str">
        <f t="shared" si="6"/>
        <v>20 Signed Rep + 3 5-Star Review</v>
      </c>
      <c r="I1418" s="14"/>
      <c r="J1418" s="14"/>
    </row>
    <row r="1419" hidden="1">
      <c r="A1419" s="88" t="s">
        <v>309</v>
      </c>
      <c r="B1419" s="92" t="s">
        <v>676</v>
      </c>
      <c r="C1419" s="92" t="s">
        <v>677</v>
      </c>
      <c r="D1419" s="92" t="s">
        <v>678</v>
      </c>
      <c r="E1419" s="85">
        <v>20.0</v>
      </c>
      <c r="F1419" s="85">
        <v>2.0</v>
      </c>
      <c r="G1419" s="32">
        <f t="shared" si="5"/>
        <v>5200</v>
      </c>
      <c r="H1419" s="83" t="str">
        <f t="shared" si="6"/>
        <v>20 Signed Rep + 2 5-Star Review</v>
      </c>
      <c r="I1419" s="14"/>
      <c r="J1419" s="14"/>
    </row>
    <row r="1420" hidden="1">
      <c r="A1420" s="88" t="s">
        <v>309</v>
      </c>
      <c r="B1420" s="92" t="s">
        <v>679</v>
      </c>
      <c r="C1420" s="92" t="s">
        <v>680</v>
      </c>
      <c r="D1420" s="92" t="s">
        <v>848</v>
      </c>
      <c r="E1420" s="85">
        <v>12.0</v>
      </c>
      <c r="F1420" s="85">
        <v>6.0</v>
      </c>
      <c r="G1420" s="32">
        <f t="shared" si="5"/>
        <v>3600</v>
      </c>
      <c r="H1420" s="83" t="str">
        <f t="shared" si="6"/>
        <v>12 Signed Rep + 6 5-Star Review</v>
      </c>
      <c r="I1420" s="14"/>
      <c r="J1420" s="14"/>
    </row>
    <row r="1421" hidden="1">
      <c r="A1421" s="88" t="s">
        <v>309</v>
      </c>
      <c r="B1421" s="92" t="s">
        <v>682</v>
      </c>
      <c r="C1421" s="92" t="s">
        <v>683</v>
      </c>
      <c r="D1421" s="92" t="s">
        <v>684</v>
      </c>
      <c r="E1421" s="85">
        <v>13.0</v>
      </c>
      <c r="F1421" s="85">
        <v>0.0</v>
      </c>
      <c r="G1421" s="32">
        <f t="shared" si="5"/>
        <v>3250</v>
      </c>
      <c r="H1421" s="83" t="str">
        <f t="shared" si="6"/>
        <v>13 Signed Rep + 0 5-Star Review</v>
      </c>
      <c r="I1421" s="14"/>
      <c r="J1421" s="14"/>
    </row>
    <row r="1422" hidden="1">
      <c r="A1422" s="88" t="s">
        <v>309</v>
      </c>
      <c r="B1422" s="92" t="s">
        <v>685</v>
      </c>
      <c r="C1422" s="92" t="s">
        <v>686</v>
      </c>
      <c r="D1422" s="92" t="s">
        <v>687</v>
      </c>
      <c r="E1422" s="85">
        <v>8.0</v>
      </c>
      <c r="F1422" s="85">
        <v>0.0</v>
      </c>
      <c r="G1422" s="32">
        <f t="shared" si="5"/>
        <v>2000</v>
      </c>
      <c r="H1422" s="83" t="str">
        <f t="shared" si="6"/>
        <v>8 Signed Rep + 0 5-Star Review</v>
      </c>
      <c r="I1422" s="14"/>
      <c r="J1422" s="14"/>
    </row>
    <row r="1423" hidden="1">
      <c r="A1423" s="88" t="s">
        <v>309</v>
      </c>
      <c r="B1423" s="92" t="s">
        <v>688</v>
      </c>
      <c r="C1423" s="92" t="s">
        <v>689</v>
      </c>
      <c r="D1423" s="92" t="s">
        <v>690</v>
      </c>
      <c r="E1423" s="85">
        <v>23.0</v>
      </c>
      <c r="F1423" s="85">
        <v>0.0</v>
      </c>
      <c r="G1423" s="32">
        <f t="shared" si="5"/>
        <v>5750</v>
      </c>
      <c r="H1423" s="83" t="str">
        <f t="shared" si="6"/>
        <v>23 Signed Rep + 0 5-Star Review</v>
      </c>
      <c r="I1423" s="14"/>
      <c r="J1423" s="14"/>
    </row>
    <row r="1424" hidden="1">
      <c r="A1424" s="88" t="s">
        <v>309</v>
      </c>
      <c r="B1424" s="92" t="s">
        <v>691</v>
      </c>
      <c r="C1424" s="92" t="s">
        <v>692</v>
      </c>
      <c r="D1424" s="92" t="s">
        <v>693</v>
      </c>
      <c r="E1424" s="85">
        <v>7.0</v>
      </c>
      <c r="F1424" s="85">
        <v>0.0</v>
      </c>
      <c r="G1424" s="32">
        <f t="shared" si="5"/>
        <v>1750</v>
      </c>
      <c r="H1424" s="83" t="str">
        <f t="shared" si="6"/>
        <v>7 Signed Rep + 0 5-Star Review</v>
      </c>
      <c r="I1424" s="14"/>
      <c r="J1424" s="14"/>
    </row>
    <row r="1425" hidden="1">
      <c r="A1425" s="88" t="s">
        <v>309</v>
      </c>
      <c r="B1425" s="92" t="s">
        <v>694</v>
      </c>
      <c r="C1425" s="92" t="s">
        <v>695</v>
      </c>
      <c r="D1425" s="92" t="s">
        <v>696</v>
      </c>
      <c r="E1425" s="85">
        <v>18.0</v>
      </c>
      <c r="F1425" s="85">
        <v>0.0</v>
      </c>
      <c r="G1425" s="32">
        <f t="shared" si="5"/>
        <v>4500</v>
      </c>
      <c r="H1425" s="83" t="str">
        <f t="shared" si="6"/>
        <v>18 Signed Rep + 0 5-Star Review</v>
      </c>
      <c r="I1425" s="14"/>
      <c r="J1425" s="14"/>
    </row>
    <row r="1426" hidden="1">
      <c r="A1426" s="88" t="s">
        <v>309</v>
      </c>
      <c r="B1426" s="92" t="s">
        <v>697</v>
      </c>
      <c r="C1426" s="92" t="s">
        <v>698</v>
      </c>
      <c r="D1426" s="92" t="s">
        <v>699</v>
      </c>
      <c r="E1426" s="85">
        <v>10.0</v>
      </c>
      <c r="F1426" s="85">
        <v>0.0</v>
      </c>
      <c r="G1426" s="32">
        <f t="shared" si="5"/>
        <v>2500</v>
      </c>
      <c r="H1426" s="83" t="str">
        <f t="shared" si="6"/>
        <v>10 Signed Rep + 0 5-Star Review</v>
      </c>
      <c r="I1426" s="14"/>
      <c r="J1426" s="14"/>
    </row>
    <row r="1427" hidden="1">
      <c r="A1427" s="88" t="s">
        <v>309</v>
      </c>
      <c r="B1427" s="92" t="s">
        <v>700</v>
      </c>
      <c r="C1427" s="92" t="s">
        <v>701</v>
      </c>
      <c r="D1427" s="92" t="s">
        <v>702</v>
      </c>
      <c r="E1427" s="85">
        <v>18.0</v>
      </c>
      <c r="F1427" s="85">
        <v>0.0</v>
      </c>
      <c r="G1427" s="32">
        <f t="shared" si="5"/>
        <v>4500</v>
      </c>
      <c r="H1427" s="83" t="str">
        <f t="shared" si="6"/>
        <v>18 Signed Rep + 0 5-Star Review</v>
      </c>
      <c r="I1427" s="14"/>
      <c r="J1427" s="14"/>
    </row>
    <row r="1428" hidden="1">
      <c r="A1428" s="88" t="s">
        <v>309</v>
      </c>
      <c r="B1428" s="92" t="s">
        <v>703</v>
      </c>
      <c r="C1428" s="92" t="s">
        <v>704</v>
      </c>
      <c r="D1428" s="92" t="s">
        <v>705</v>
      </c>
      <c r="E1428" s="85">
        <v>14.0</v>
      </c>
      <c r="F1428" s="85">
        <v>0.0</v>
      </c>
      <c r="G1428" s="32">
        <f t="shared" si="5"/>
        <v>3500</v>
      </c>
      <c r="H1428" s="83" t="str">
        <f t="shared" si="6"/>
        <v>14 Signed Rep + 0 5-Star Review</v>
      </c>
      <c r="I1428" s="14"/>
      <c r="J1428" s="14"/>
    </row>
    <row r="1429" hidden="1">
      <c r="A1429" s="88" t="s">
        <v>309</v>
      </c>
      <c r="B1429" s="92" t="s">
        <v>706</v>
      </c>
      <c r="C1429" s="92" t="s">
        <v>707</v>
      </c>
      <c r="D1429" s="92" t="s">
        <v>708</v>
      </c>
      <c r="E1429" s="85">
        <v>9.0</v>
      </c>
      <c r="F1429" s="85">
        <v>1.0</v>
      </c>
      <c r="G1429" s="32">
        <f t="shared" si="5"/>
        <v>2350</v>
      </c>
      <c r="H1429" s="83" t="str">
        <f t="shared" si="6"/>
        <v>9 Signed Rep + 1 5-Star Review</v>
      </c>
      <c r="I1429" s="14"/>
      <c r="J1429" s="14"/>
    </row>
    <row r="1430" hidden="1">
      <c r="A1430" s="88" t="s">
        <v>309</v>
      </c>
      <c r="B1430" s="92" t="s">
        <v>709</v>
      </c>
      <c r="C1430" s="92" t="s">
        <v>710</v>
      </c>
      <c r="D1430" s="92" t="s">
        <v>711</v>
      </c>
      <c r="E1430" s="85">
        <v>16.0</v>
      </c>
      <c r="F1430" s="85">
        <v>0.0</v>
      </c>
      <c r="G1430" s="32">
        <f t="shared" si="5"/>
        <v>4000</v>
      </c>
      <c r="H1430" s="83" t="str">
        <f t="shared" si="6"/>
        <v>16 Signed Rep + 0 5-Star Review</v>
      </c>
      <c r="I1430" s="14"/>
      <c r="J1430" s="14"/>
    </row>
    <row r="1431" hidden="1">
      <c r="A1431" s="88" t="s">
        <v>309</v>
      </c>
      <c r="B1431" s="92" t="s">
        <v>712</v>
      </c>
      <c r="C1431" s="92" t="s">
        <v>713</v>
      </c>
      <c r="D1431" s="92" t="s">
        <v>714</v>
      </c>
      <c r="E1431" s="85">
        <v>17.0</v>
      </c>
      <c r="F1431" s="85">
        <v>2.0</v>
      </c>
      <c r="G1431" s="32">
        <f t="shared" si="5"/>
        <v>4450</v>
      </c>
      <c r="H1431" s="83" t="str">
        <f t="shared" si="6"/>
        <v>17 Signed Rep + 2 5-Star Review</v>
      </c>
      <c r="I1431" s="14"/>
      <c r="J1431" s="14"/>
    </row>
    <row r="1432" hidden="1">
      <c r="A1432" s="88" t="s">
        <v>309</v>
      </c>
      <c r="B1432" s="92" t="s">
        <v>799</v>
      </c>
      <c r="C1432" s="92" t="s">
        <v>800</v>
      </c>
      <c r="D1432" s="92" t="s">
        <v>801</v>
      </c>
      <c r="E1432" s="85">
        <v>12.0</v>
      </c>
      <c r="F1432" s="85">
        <v>1.0</v>
      </c>
      <c r="G1432" s="32">
        <f t="shared" si="5"/>
        <v>3100</v>
      </c>
      <c r="H1432" s="83" t="str">
        <f t="shared" si="6"/>
        <v>12 Signed Rep + 1 5-Star Review</v>
      </c>
      <c r="I1432" s="14"/>
      <c r="J1432" s="14"/>
    </row>
    <row r="1433" hidden="1">
      <c r="A1433" s="88" t="s">
        <v>309</v>
      </c>
      <c r="B1433" s="92" t="s">
        <v>795</v>
      </c>
      <c r="C1433" s="92" t="s">
        <v>796</v>
      </c>
      <c r="D1433" s="92" t="s">
        <v>797</v>
      </c>
      <c r="E1433" s="85">
        <v>16.0</v>
      </c>
      <c r="F1433" s="85">
        <v>2.0</v>
      </c>
      <c r="G1433" s="32">
        <f t="shared" si="5"/>
        <v>4200</v>
      </c>
      <c r="H1433" s="83" t="str">
        <f t="shared" si="6"/>
        <v>16 Signed Rep + 2 5-Star Review</v>
      </c>
      <c r="I1433" s="14"/>
      <c r="J1433" s="14"/>
    </row>
    <row r="1434" hidden="1">
      <c r="A1434" s="88" t="s">
        <v>309</v>
      </c>
      <c r="B1434" s="92" t="s">
        <v>715</v>
      </c>
      <c r="C1434" s="92" t="s">
        <v>716</v>
      </c>
      <c r="D1434" s="92" t="s">
        <v>717</v>
      </c>
      <c r="E1434" s="85">
        <v>14.0</v>
      </c>
      <c r="F1434" s="85">
        <v>0.0</v>
      </c>
      <c r="G1434" s="32">
        <f t="shared" si="5"/>
        <v>3500</v>
      </c>
      <c r="H1434" s="83" t="str">
        <f t="shared" si="6"/>
        <v>14 Signed Rep + 0 5-Star Review</v>
      </c>
      <c r="I1434" s="14"/>
      <c r="J1434" s="14"/>
    </row>
    <row r="1435" hidden="1">
      <c r="A1435" s="88" t="s">
        <v>309</v>
      </c>
      <c r="B1435" s="92" t="s">
        <v>718</v>
      </c>
      <c r="C1435" s="92" t="s">
        <v>719</v>
      </c>
      <c r="D1435" s="92" t="s">
        <v>720</v>
      </c>
      <c r="E1435" s="85">
        <v>14.0</v>
      </c>
      <c r="F1435" s="85">
        <v>0.0</v>
      </c>
      <c r="G1435" s="32">
        <f t="shared" si="5"/>
        <v>3500</v>
      </c>
      <c r="H1435" s="83" t="str">
        <f t="shared" si="6"/>
        <v>14 Signed Rep + 0 5-Star Review</v>
      </c>
      <c r="I1435" s="14"/>
      <c r="J1435" s="14"/>
    </row>
    <row r="1436" hidden="1">
      <c r="A1436" s="88" t="s">
        <v>309</v>
      </c>
      <c r="B1436" s="92" t="s">
        <v>721</v>
      </c>
      <c r="C1436" s="92" t="s">
        <v>722</v>
      </c>
      <c r="D1436" s="92" t="s">
        <v>723</v>
      </c>
      <c r="E1436" s="85">
        <v>13.0</v>
      </c>
      <c r="F1436" s="85">
        <v>6.0</v>
      </c>
      <c r="G1436" s="32">
        <f t="shared" si="5"/>
        <v>3850</v>
      </c>
      <c r="H1436" s="83" t="str">
        <f t="shared" si="6"/>
        <v>13 Signed Rep + 6 5-Star Review</v>
      </c>
      <c r="I1436" s="14"/>
      <c r="J1436" s="14"/>
    </row>
    <row r="1437" hidden="1">
      <c r="A1437" s="88" t="s">
        <v>309</v>
      </c>
      <c r="B1437" s="93" t="s">
        <v>724</v>
      </c>
      <c r="C1437" s="92" t="s">
        <v>725</v>
      </c>
      <c r="D1437" s="92" t="s">
        <v>726</v>
      </c>
      <c r="E1437" s="85">
        <v>10.0</v>
      </c>
      <c r="F1437" s="85">
        <v>0.0</v>
      </c>
      <c r="G1437" s="32">
        <f t="shared" si="5"/>
        <v>2500</v>
      </c>
      <c r="H1437" s="83" t="str">
        <f t="shared" si="6"/>
        <v>10 Signed Rep + 0 5-Star Review</v>
      </c>
      <c r="I1437" s="14"/>
      <c r="J1437" s="14"/>
    </row>
    <row r="1438" hidden="1">
      <c r="A1438" s="88" t="s">
        <v>309</v>
      </c>
      <c r="B1438" s="92" t="s">
        <v>730</v>
      </c>
      <c r="C1438" s="92" t="s">
        <v>731</v>
      </c>
      <c r="D1438" s="92" t="s">
        <v>732</v>
      </c>
      <c r="E1438" s="85">
        <v>12.0</v>
      </c>
      <c r="F1438" s="85">
        <v>0.0</v>
      </c>
      <c r="G1438" s="32">
        <f t="shared" si="5"/>
        <v>3000</v>
      </c>
      <c r="H1438" s="83" t="str">
        <f t="shared" si="6"/>
        <v>12 Signed Rep + 0 5-Star Review</v>
      </c>
      <c r="I1438" s="14"/>
      <c r="J1438" s="14"/>
    </row>
    <row r="1439" hidden="1">
      <c r="A1439" s="88" t="s">
        <v>309</v>
      </c>
      <c r="B1439" s="92" t="s">
        <v>748</v>
      </c>
      <c r="C1439" s="92" t="s">
        <v>749</v>
      </c>
      <c r="D1439" s="92" t="s">
        <v>750</v>
      </c>
      <c r="E1439" s="85">
        <v>10.0</v>
      </c>
      <c r="F1439" s="85">
        <v>0.0</v>
      </c>
      <c r="G1439" s="32">
        <f t="shared" si="5"/>
        <v>2500</v>
      </c>
      <c r="H1439" s="83" t="str">
        <f t="shared" si="6"/>
        <v>10 Signed Rep + 0 5-Star Review</v>
      </c>
      <c r="I1439" s="14"/>
      <c r="J1439" s="14"/>
    </row>
    <row r="1440" hidden="1">
      <c r="A1440" s="88" t="s">
        <v>309</v>
      </c>
      <c r="B1440" s="92" t="s">
        <v>733</v>
      </c>
      <c r="C1440" s="92" t="s">
        <v>734</v>
      </c>
      <c r="D1440" s="92" t="s">
        <v>735</v>
      </c>
      <c r="E1440" s="85">
        <v>11.0</v>
      </c>
      <c r="F1440" s="85">
        <v>0.0</v>
      </c>
      <c r="G1440" s="32">
        <f t="shared" si="5"/>
        <v>2750</v>
      </c>
      <c r="H1440" s="83" t="str">
        <f t="shared" si="6"/>
        <v>11 Signed Rep + 0 5-Star Review</v>
      </c>
      <c r="I1440" s="14"/>
      <c r="J1440" s="14"/>
    </row>
    <row r="1441" hidden="1">
      <c r="A1441" s="88" t="s">
        <v>309</v>
      </c>
      <c r="B1441" s="92" t="s">
        <v>727</v>
      </c>
      <c r="C1441" s="92" t="s">
        <v>728</v>
      </c>
      <c r="D1441" s="92" t="s">
        <v>729</v>
      </c>
      <c r="E1441" s="85">
        <v>10.0</v>
      </c>
      <c r="F1441" s="85">
        <v>0.0</v>
      </c>
      <c r="G1441" s="32">
        <f t="shared" si="5"/>
        <v>2500</v>
      </c>
      <c r="H1441" s="83" t="str">
        <f t="shared" si="6"/>
        <v>10 Signed Rep + 0 5-Star Review</v>
      </c>
      <c r="I1441" s="14"/>
      <c r="J1441" s="14"/>
    </row>
    <row r="1442" hidden="1">
      <c r="A1442" s="88" t="s">
        <v>309</v>
      </c>
      <c r="B1442" s="92" t="s">
        <v>736</v>
      </c>
      <c r="C1442" s="92" t="s">
        <v>737</v>
      </c>
      <c r="D1442" s="92" t="s">
        <v>738</v>
      </c>
      <c r="E1442" s="85">
        <v>12.0</v>
      </c>
      <c r="F1442" s="85">
        <v>3.0</v>
      </c>
      <c r="G1442" s="32">
        <f t="shared" si="5"/>
        <v>3300</v>
      </c>
      <c r="H1442" s="83" t="str">
        <f t="shared" si="6"/>
        <v>12 Signed Rep + 3 5-Star Review</v>
      </c>
      <c r="I1442" s="14"/>
      <c r="J1442" s="14"/>
    </row>
    <row r="1443" hidden="1">
      <c r="A1443" s="88" t="s">
        <v>309</v>
      </c>
      <c r="B1443" s="92" t="s">
        <v>739</v>
      </c>
      <c r="C1443" s="92" t="s">
        <v>740</v>
      </c>
      <c r="D1443" s="92" t="s">
        <v>741</v>
      </c>
      <c r="E1443" s="85">
        <v>12.0</v>
      </c>
      <c r="F1443" s="85">
        <v>0.0</v>
      </c>
      <c r="G1443" s="32">
        <f t="shared" si="5"/>
        <v>3000</v>
      </c>
      <c r="H1443" s="83" t="str">
        <f t="shared" si="6"/>
        <v>12 Signed Rep + 0 5-Star Review</v>
      </c>
      <c r="I1443" s="14"/>
      <c r="J1443" s="14"/>
    </row>
    <row r="1444" hidden="1">
      <c r="A1444" s="88" t="s">
        <v>309</v>
      </c>
      <c r="B1444" s="92" t="s">
        <v>788</v>
      </c>
      <c r="C1444" s="92" t="s">
        <v>789</v>
      </c>
      <c r="D1444" s="92" t="s">
        <v>790</v>
      </c>
      <c r="E1444" s="85">
        <v>12.0</v>
      </c>
      <c r="F1444" s="85">
        <v>0.0</v>
      </c>
      <c r="G1444" s="32">
        <f t="shared" si="5"/>
        <v>3000</v>
      </c>
      <c r="H1444" s="83" t="str">
        <f t="shared" si="6"/>
        <v>12 Signed Rep + 0 5-Star Review</v>
      </c>
      <c r="I1444" s="14"/>
      <c r="J1444" s="14"/>
    </row>
    <row r="1445" hidden="1">
      <c r="A1445" s="88" t="s">
        <v>309</v>
      </c>
      <c r="B1445" s="92" t="s">
        <v>751</v>
      </c>
      <c r="C1445" s="92" t="s">
        <v>752</v>
      </c>
      <c r="D1445" s="92" t="s">
        <v>753</v>
      </c>
      <c r="E1445" s="85">
        <v>12.0</v>
      </c>
      <c r="F1445" s="85">
        <v>0.0</v>
      </c>
      <c r="G1445" s="32">
        <f t="shared" si="5"/>
        <v>3000</v>
      </c>
      <c r="H1445" s="83" t="str">
        <f t="shared" si="6"/>
        <v>12 Signed Rep + 0 5-Star Review</v>
      </c>
      <c r="I1445" s="14"/>
      <c r="J1445" s="14"/>
    </row>
    <row r="1446" hidden="1">
      <c r="A1446" s="88" t="s">
        <v>309</v>
      </c>
      <c r="B1446" s="92" t="s">
        <v>742</v>
      </c>
      <c r="C1446" s="92" t="s">
        <v>743</v>
      </c>
      <c r="D1446" s="92" t="s">
        <v>744</v>
      </c>
      <c r="E1446" s="85">
        <v>12.0</v>
      </c>
      <c r="F1446" s="85">
        <v>2.0</v>
      </c>
      <c r="G1446" s="32">
        <f t="shared" si="5"/>
        <v>3200</v>
      </c>
      <c r="H1446" s="83" t="str">
        <f t="shared" si="6"/>
        <v>12 Signed Rep + 2 5-Star Review</v>
      </c>
      <c r="I1446" s="14"/>
      <c r="J1446" s="14"/>
    </row>
    <row r="1447" hidden="1">
      <c r="A1447" s="88" t="s">
        <v>309</v>
      </c>
      <c r="B1447" s="16" t="s">
        <v>816</v>
      </c>
      <c r="C1447" s="92" t="s">
        <v>817</v>
      </c>
      <c r="D1447" s="92" t="s">
        <v>818</v>
      </c>
      <c r="E1447" s="85">
        <v>6.0</v>
      </c>
      <c r="F1447" s="85">
        <v>0.0</v>
      </c>
      <c r="G1447" s="32">
        <f t="shared" si="5"/>
        <v>1500</v>
      </c>
      <c r="H1447" s="83" t="str">
        <f t="shared" si="6"/>
        <v>6 Signed Rep + 0 5-Star Review</v>
      </c>
      <c r="I1447" s="14"/>
      <c r="J1447" s="14"/>
    </row>
    <row r="1448" hidden="1">
      <c r="A1448" s="88" t="s">
        <v>309</v>
      </c>
      <c r="B1448" s="16" t="s">
        <v>754</v>
      </c>
      <c r="C1448" s="92" t="s">
        <v>755</v>
      </c>
      <c r="D1448" s="92" t="s">
        <v>756</v>
      </c>
      <c r="E1448" s="85">
        <v>12.0</v>
      </c>
      <c r="F1448" s="80">
        <v>5.0</v>
      </c>
      <c r="G1448" s="32">
        <f t="shared" si="5"/>
        <v>3500</v>
      </c>
      <c r="H1448" s="83" t="str">
        <f t="shared" si="6"/>
        <v>12 Signed Rep + 5 5-Star Review</v>
      </c>
      <c r="I1448" s="14"/>
      <c r="J1448" s="14"/>
    </row>
    <row r="1449" hidden="1">
      <c r="A1449" s="88" t="s">
        <v>309</v>
      </c>
      <c r="B1449" s="7" t="s">
        <v>757</v>
      </c>
      <c r="C1449" s="92" t="s">
        <v>758</v>
      </c>
      <c r="D1449" s="92" t="s">
        <v>759</v>
      </c>
      <c r="E1449" s="85">
        <v>23.0</v>
      </c>
      <c r="F1449" s="85">
        <v>0.0</v>
      </c>
      <c r="G1449" s="32">
        <f t="shared" si="5"/>
        <v>5750</v>
      </c>
      <c r="H1449" s="83" t="str">
        <f t="shared" si="6"/>
        <v>23 Signed Rep + 0 5-Star Review</v>
      </c>
      <c r="I1449" s="14"/>
      <c r="J1449" s="14"/>
    </row>
    <row r="1450" hidden="1">
      <c r="A1450" s="88" t="s">
        <v>309</v>
      </c>
      <c r="B1450" s="16" t="s">
        <v>219</v>
      </c>
      <c r="C1450" s="92" t="s">
        <v>220</v>
      </c>
      <c r="D1450" s="92" t="s">
        <v>760</v>
      </c>
      <c r="E1450" s="85">
        <v>15.0</v>
      </c>
      <c r="F1450" s="85">
        <v>0.0</v>
      </c>
      <c r="G1450" s="32">
        <f t="shared" si="5"/>
        <v>3750</v>
      </c>
      <c r="H1450" s="83" t="str">
        <f t="shared" si="6"/>
        <v>15 Signed Rep + 0 5-Star Review</v>
      </c>
      <c r="I1450" s="14"/>
      <c r="J1450" s="14"/>
    </row>
    <row r="1451" hidden="1">
      <c r="A1451" s="88" t="s">
        <v>309</v>
      </c>
      <c r="B1451" s="16" t="s">
        <v>840</v>
      </c>
      <c r="C1451" s="92" t="s">
        <v>841</v>
      </c>
      <c r="D1451" s="92" t="s">
        <v>842</v>
      </c>
      <c r="E1451" s="85">
        <v>7.0</v>
      </c>
      <c r="F1451" s="85">
        <v>0.0</v>
      </c>
      <c r="G1451" s="32">
        <f t="shared" si="5"/>
        <v>1750</v>
      </c>
      <c r="H1451" s="83" t="str">
        <f t="shared" si="6"/>
        <v>7 Signed Rep + 0 5-Star Review</v>
      </c>
      <c r="I1451" s="14"/>
      <c r="J1451" s="14"/>
    </row>
    <row r="1452" hidden="1">
      <c r="A1452" s="88" t="s">
        <v>309</v>
      </c>
      <c r="B1452" s="7" t="s">
        <v>745</v>
      </c>
      <c r="C1452" s="92" t="s">
        <v>746</v>
      </c>
      <c r="D1452" s="92" t="s">
        <v>747</v>
      </c>
      <c r="E1452" s="85">
        <v>6.0</v>
      </c>
      <c r="F1452" s="85">
        <v>0.0</v>
      </c>
      <c r="G1452" s="32">
        <f t="shared" si="5"/>
        <v>1500</v>
      </c>
      <c r="H1452" s="83" t="str">
        <f t="shared" si="6"/>
        <v>6 Signed Rep + 0 5-Star Review</v>
      </c>
      <c r="I1452" s="14"/>
      <c r="J1452" s="14"/>
    </row>
    <row r="1453" hidden="1">
      <c r="A1453" s="88" t="s">
        <v>310</v>
      </c>
      <c r="B1453" s="92" t="s">
        <v>832</v>
      </c>
      <c r="C1453" s="91" t="s">
        <v>833</v>
      </c>
      <c r="D1453" s="92" t="s">
        <v>834</v>
      </c>
      <c r="E1453" s="85">
        <v>28.0</v>
      </c>
      <c r="F1453" s="85">
        <v>8.0</v>
      </c>
      <c r="G1453" s="32">
        <f t="shared" si="5"/>
        <v>7800</v>
      </c>
      <c r="H1453" s="80" t="s">
        <v>849</v>
      </c>
      <c r="I1453" s="14"/>
      <c r="J1453" s="14"/>
    </row>
    <row r="1454" hidden="1">
      <c r="A1454" s="88" t="s">
        <v>310</v>
      </c>
      <c r="B1454" s="92" t="s">
        <v>835</v>
      </c>
      <c r="C1454" s="91" t="s">
        <v>836</v>
      </c>
      <c r="D1454" s="92" t="s">
        <v>837</v>
      </c>
      <c r="E1454" s="85">
        <v>36.0</v>
      </c>
      <c r="F1454" s="85">
        <v>0.0</v>
      </c>
      <c r="G1454" s="32">
        <f t="shared" si="5"/>
        <v>9000</v>
      </c>
      <c r="H1454" s="80" t="s">
        <v>850</v>
      </c>
      <c r="I1454" s="14"/>
      <c r="J1454" s="14"/>
    </row>
    <row r="1455" hidden="1">
      <c r="A1455" s="88" t="s">
        <v>310</v>
      </c>
      <c r="B1455" s="92" t="s">
        <v>764</v>
      </c>
      <c r="C1455" s="91" t="s">
        <v>765</v>
      </c>
      <c r="D1455" s="92" t="s">
        <v>838</v>
      </c>
      <c r="E1455" s="85">
        <v>26.0</v>
      </c>
      <c r="F1455" s="85">
        <v>0.0</v>
      </c>
      <c r="G1455" s="32">
        <f t="shared" si="5"/>
        <v>6500</v>
      </c>
      <c r="H1455" s="80" t="s">
        <v>851</v>
      </c>
      <c r="I1455" s="14"/>
      <c r="J1455" s="14"/>
    </row>
    <row r="1456" hidden="1">
      <c r="A1456" s="88" t="s">
        <v>310</v>
      </c>
      <c r="B1456" s="92" t="s">
        <v>213</v>
      </c>
      <c r="C1456" s="91" t="s">
        <v>214</v>
      </c>
      <c r="D1456" s="92" t="s">
        <v>660</v>
      </c>
      <c r="E1456" s="85">
        <v>17.0</v>
      </c>
      <c r="F1456" s="85">
        <v>0.0</v>
      </c>
      <c r="G1456" s="32">
        <f t="shared" si="5"/>
        <v>4250</v>
      </c>
      <c r="H1456" s="80" t="s">
        <v>852</v>
      </c>
      <c r="I1456" s="14"/>
      <c r="J1456" s="14"/>
    </row>
    <row r="1457" hidden="1">
      <c r="A1457" s="88" t="s">
        <v>310</v>
      </c>
      <c r="B1457" s="92" t="s">
        <v>661</v>
      </c>
      <c r="C1457" s="91" t="s">
        <v>662</v>
      </c>
      <c r="D1457" s="92" t="s">
        <v>663</v>
      </c>
      <c r="E1457" s="85">
        <v>33.0</v>
      </c>
      <c r="F1457" s="85">
        <v>0.0</v>
      </c>
      <c r="G1457" s="32">
        <f t="shared" si="5"/>
        <v>8250</v>
      </c>
      <c r="H1457" s="80" t="s">
        <v>853</v>
      </c>
      <c r="I1457" s="14"/>
      <c r="J1457" s="14"/>
    </row>
    <row r="1458" hidden="1">
      <c r="A1458" s="88" t="s">
        <v>310</v>
      </c>
      <c r="B1458" s="92" t="s">
        <v>664</v>
      </c>
      <c r="C1458" s="91" t="s">
        <v>665</v>
      </c>
      <c r="D1458" s="92" t="s">
        <v>666</v>
      </c>
      <c r="E1458" s="85">
        <v>23.0</v>
      </c>
      <c r="F1458" s="85">
        <v>0.0</v>
      </c>
      <c r="G1458" s="32">
        <f t="shared" si="5"/>
        <v>5750</v>
      </c>
      <c r="H1458" s="80" t="s">
        <v>854</v>
      </c>
      <c r="I1458" s="14"/>
      <c r="J1458" s="14"/>
    </row>
    <row r="1459" hidden="1">
      <c r="A1459" s="88" t="s">
        <v>310</v>
      </c>
      <c r="B1459" s="92" t="s">
        <v>667</v>
      </c>
      <c r="C1459" s="91" t="s">
        <v>668</v>
      </c>
      <c r="D1459" s="92" t="s">
        <v>669</v>
      </c>
      <c r="E1459" s="85">
        <v>15.0</v>
      </c>
      <c r="F1459" s="85">
        <v>1.0</v>
      </c>
      <c r="G1459" s="32">
        <f t="shared" si="5"/>
        <v>3850</v>
      </c>
      <c r="H1459" s="80" t="s">
        <v>855</v>
      </c>
      <c r="I1459" s="14"/>
      <c r="J1459" s="14"/>
    </row>
    <row r="1460" hidden="1">
      <c r="A1460" s="88" t="s">
        <v>310</v>
      </c>
      <c r="B1460" s="92" t="s">
        <v>670</v>
      </c>
      <c r="C1460" s="91" t="s">
        <v>671</v>
      </c>
      <c r="D1460" s="92" t="s">
        <v>672</v>
      </c>
      <c r="E1460" s="85">
        <v>13.0</v>
      </c>
      <c r="F1460" s="85">
        <v>1.0</v>
      </c>
      <c r="G1460" s="32">
        <f t="shared" si="5"/>
        <v>3350</v>
      </c>
      <c r="H1460" s="80" t="s">
        <v>856</v>
      </c>
      <c r="I1460" s="14"/>
      <c r="J1460" s="14"/>
    </row>
    <row r="1461" hidden="1">
      <c r="A1461" s="88" t="s">
        <v>310</v>
      </c>
      <c r="B1461" s="92" t="s">
        <v>673</v>
      </c>
      <c r="C1461" s="91" t="s">
        <v>674</v>
      </c>
      <c r="D1461" s="92" t="s">
        <v>675</v>
      </c>
      <c r="E1461" s="85">
        <v>21.0</v>
      </c>
      <c r="F1461" s="85">
        <v>3.0</v>
      </c>
      <c r="G1461" s="32">
        <f t="shared" si="5"/>
        <v>5550</v>
      </c>
      <c r="H1461" s="80" t="s">
        <v>857</v>
      </c>
      <c r="I1461" s="14"/>
      <c r="J1461" s="14"/>
    </row>
    <row r="1462" hidden="1">
      <c r="A1462" s="88" t="s">
        <v>310</v>
      </c>
      <c r="B1462" s="92" t="s">
        <v>676</v>
      </c>
      <c r="C1462" s="91" t="s">
        <v>677</v>
      </c>
      <c r="D1462" s="92" t="s">
        <v>678</v>
      </c>
      <c r="E1462" s="85">
        <v>23.0</v>
      </c>
      <c r="F1462" s="85">
        <v>1.0</v>
      </c>
      <c r="G1462" s="32">
        <f t="shared" si="5"/>
        <v>5850</v>
      </c>
      <c r="H1462" s="80" t="s">
        <v>858</v>
      </c>
      <c r="I1462" s="14"/>
      <c r="J1462" s="14"/>
    </row>
    <row r="1463" hidden="1">
      <c r="A1463" s="88" t="s">
        <v>310</v>
      </c>
      <c r="B1463" s="92" t="s">
        <v>679</v>
      </c>
      <c r="C1463" s="91" t="s">
        <v>680</v>
      </c>
      <c r="D1463" s="92" t="s">
        <v>859</v>
      </c>
      <c r="E1463" s="85">
        <v>16.0</v>
      </c>
      <c r="F1463" s="85">
        <v>6.0</v>
      </c>
      <c r="G1463" s="32">
        <f t="shared" si="5"/>
        <v>4600</v>
      </c>
      <c r="H1463" s="80" t="s">
        <v>860</v>
      </c>
      <c r="I1463" s="14"/>
      <c r="J1463" s="14"/>
    </row>
    <row r="1464" hidden="1">
      <c r="A1464" s="88" t="s">
        <v>310</v>
      </c>
      <c r="B1464" s="92" t="s">
        <v>682</v>
      </c>
      <c r="C1464" s="91" t="s">
        <v>683</v>
      </c>
      <c r="D1464" s="92" t="s">
        <v>684</v>
      </c>
      <c r="E1464" s="85">
        <v>14.0</v>
      </c>
      <c r="F1464" s="85">
        <v>4.0</v>
      </c>
      <c r="G1464" s="32">
        <f t="shared" si="5"/>
        <v>3900</v>
      </c>
      <c r="H1464" s="80" t="s">
        <v>861</v>
      </c>
      <c r="I1464" s="14"/>
      <c r="J1464" s="14"/>
    </row>
    <row r="1465" hidden="1">
      <c r="A1465" s="88" t="s">
        <v>310</v>
      </c>
      <c r="B1465" s="92" t="s">
        <v>685</v>
      </c>
      <c r="C1465" s="91" t="s">
        <v>686</v>
      </c>
      <c r="D1465" s="92" t="s">
        <v>687</v>
      </c>
      <c r="E1465" s="85">
        <v>18.0</v>
      </c>
      <c r="F1465" s="85">
        <v>0.0</v>
      </c>
      <c r="G1465" s="32">
        <f t="shared" si="5"/>
        <v>4500</v>
      </c>
      <c r="H1465" s="80" t="s">
        <v>862</v>
      </c>
      <c r="I1465" s="14"/>
      <c r="J1465" s="14"/>
    </row>
    <row r="1466" hidden="1">
      <c r="A1466" s="88" t="s">
        <v>310</v>
      </c>
      <c r="B1466" s="92" t="s">
        <v>688</v>
      </c>
      <c r="C1466" s="91" t="s">
        <v>689</v>
      </c>
      <c r="D1466" s="92" t="s">
        <v>690</v>
      </c>
      <c r="E1466" s="85">
        <v>24.0</v>
      </c>
      <c r="F1466" s="85">
        <v>0.0</v>
      </c>
      <c r="G1466" s="32">
        <f t="shared" si="5"/>
        <v>6000</v>
      </c>
      <c r="H1466" s="80" t="s">
        <v>863</v>
      </c>
      <c r="I1466" s="14"/>
      <c r="J1466" s="14"/>
    </row>
    <row r="1467" hidden="1">
      <c r="A1467" s="88" t="s">
        <v>310</v>
      </c>
      <c r="B1467" s="92" t="s">
        <v>691</v>
      </c>
      <c r="C1467" s="91" t="s">
        <v>692</v>
      </c>
      <c r="D1467" s="92" t="s">
        <v>693</v>
      </c>
      <c r="E1467" s="85">
        <v>13.0</v>
      </c>
      <c r="F1467" s="85">
        <v>0.0</v>
      </c>
      <c r="G1467" s="32">
        <f t="shared" si="5"/>
        <v>3250</v>
      </c>
      <c r="H1467" s="80" t="s">
        <v>864</v>
      </c>
      <c r="I1467" s="14"/>
      <c r="J1467" s="14"/>
    </row>
    <row r="1468" hidden="1">
      <c r="A1468" s="88" t="s">
        <v>310</v>
      </c>
      <c r="B1468" s="92" t="s">
        <v>694</v>
      </c>
      <c r="C1468" s="91" t="s">
        <v>695</v>
      </c>
      <c r="D1468" s="92" t="s">
        <v>696</v>
      </c>
      <c r="E1468" s="85">
        <v>18.0</v>
      </c>
      <c r="F1468" s="85">
        <v>0.0</v>
      </c>
      <c r="G1468" s="32">
        <f t="shared" si="5"/>
        <v>4500</v>
      </c>
      <c r="H1468" s="80" t="s">
        <v>862</v>
      </c>
      <c r="I1468" s="14"/>
      <c r="J1468" s="14"/>
    </row>
    <row r="1469" hidden="1">
      <c r="A1469" s="88" t="s">
        <v>310</v>
      </c>
      <c r="B1469" s="92" t="s">
        <v>697</v>
      </c>
      <c r="C1469" s="91" t="s">
        <v>698</v>
      </c>
      <c r="D1469" s="92" t="s">
        <v>699</v>
      </c>
      <c r="E1469" s="85">
        <v>13.0</v>
      </c>
      <c r="F1469" s="85">
        <v>0.0</v>
      </c>
      <c r="G1469" s="32">
        <f t="shared" si="5"/>
        <v>3250</v>
      </c>
      <c r="H1469" s="80" t="s">
        <v>864</v>
      </c>
      <c r="I1469" s="14"/>
      <c r="J1469" s="14"/>
    </row>
    <row r="1470" hidden="1">
      <c r="A1470" s="88" t="s">
        <v>310</v>
      </c>
      <c r="B1470" s="92" t="s">
        <v>700</v>
      </c>
      <c r="C1470" s="91" t="s">
        <v>701</v>
      </c>
      <c r="D1470" s="92" t="s">
        <v>702</v>
      </c>
      <c r="E1470" s="85">
        <v>19.0</v>
      </c>
      <c r="F1470" s="85">
        <v>0.0</v>
      </c>
      <c r="G1470" s="32">
        <f t="shared" si="5"/>
        <v>4750</v>
      </c>
      <c r="H1470" s="80" t="s">
        <v>865</v>
      </c>
      <c r="I1470" s="14"/>
      <c r="J1470" s="14"/>
    </row>
    <row r="1471" hidden="1">
      <c r="A1471" s="88" t="s">
        <v>310</v>
      </c>
      <c r="B1471" s="92" t="s">
        <v>703</v>
      </c>
      <c r="C1471" s="91" t="s">
        <v>704</v>
      </c>
      <c r="D1471" s="92" t="s">
        <v>705</v>
      </c>
      <c r="E1471" s="85">
        <v>20.0</v>
      </c>
      <c r="F1471" s="85">
        <v>3.0</v>
      </c>
      <c r="G1471" s="32">
        <f t="shared" si="5"/>
        <v>5300</v>
      </c>
      <c r="H1471" s="80" t="s">
        <v>866</v>
      </c>
      <c r="I1471" s="14"/>
      <c r="J1471" s="14"/>
    </row>
    <row r="1472" hidden="1">
      <c r="A1472" s="88" t="s">
        <v>310</v>
      </c>
      <c r="B1472" s="92" t="s">
        <v>706</v>
      </c>
      <c r="C1472" s="91" t="s">
        <v>707</v>
      </c>
      <c r="D1472" s="92" t="s">
        <v>708</v>
      </c>
      <c r="E1472" s="85">
        <v>13.0</v>
      </c>
      <c r="F1472" s="85">
        <v>2.0</v>
      </c>
      <c r="G1472" s="32">
        <f t="shared" si="5"/>
        <v>3450</v>
      </c>
      <c r="H1472" s="80" t="s">
        <v>867</v>
      </c>
      <c r="I1472" s="14"/>
      <c r="J1472" s="14"/>
    </row>
    <row r="1473" hidden="1">
      <c r="A1473" s="88" t="s">
        <v>310</v>
      </c>
      <c r="B1473" s="92" t="s">
        <v>709</v>
      </c>
      <c r="C1473" s="91" t="s">
        <v>710</v>
      </c>
      <c r="D1473" s="92" t="s">
        <v>711</v>
      </c>
      <c r="E1473" s="85">
        <v>17.0</v>
      </c>
      <c r="F1473" s="85">
        <v>0.0</v>
      </c>
      <c r="G1473" s="32">
        <f t="shared" si="5"/>
        <v>4250</v>
      </c>
      <c r="H1473" s="80" t="s">
        <v>852</v>
      </c>
      <c r="I1473" s="14"/>
      <c r="J1473" s="14"/>
    </row>
    <row r="1474" hidden="1">
      <c r="A1474" s="88" t="s">
        <v>310</v>
      </c>
      <c r="B1474" s="92" t="s">
        <v>712</v>
      </c>
      <c r="C1474" s="91" t="s">
        <v>713</v>
      </c>
      <c r="D1474" s="92" t="s">
        <v>714</v>
      </c>
      <c r="E1474" s="85">
        <v>18.0</v>
      </c>
      <c r="F1474" s="85">
        <v>4.0</v>
      </c>
      <c r="G1474" s="32">
        <f t="shared" si="5"/>
        <v>4900</v>
      </c>
      <c r="H1474" s="80" t="s">
        <v>868</v>
      </c>
      <c r="I1474" s="14"/>
      <c r="J1474" s="14"/>
    </row>
    <row r="1475" hidden="1">
      <c r="A1475" s="88" t="s">
        <v>310</v>
      </c>
      <c r="B1475" s="92" t="s">
        <v>799</v>
      </c>
      <c r="C1475" s="91" t="s">
        <v>800</v>
      </c>
      <c r="D1475" s="92" t="s">
        <v>801</v>
      </c>
      <c r="E1475" s="85">
        <v>22.0</v>
      </c>
      <c r="F1475" s="85">
        <v>5.0</v>
      </c>
      <c r="G1475" s="32">
        <f t="shared" si="5"/>
        <v>6000</v>
      </c>
      <c r="H1475" s="80" t="s">
        <v>869</v>
      </c>
      <c r="I1475" s="14"/>
      <c r="J1475" s="14"/>
    </row>
    <row r="1476" hidden="1">
      <c r="A1476" s="88" t="s">
        <v>310</v>
      </c>
      <c r="B1476" s="92" t="s">
        <v>795</v>
      </c>
      <c r="C1476" s="91" t="s">
        <v>796</v>
      </c>
      <c r="D1476" s="92" t="s">
        <v>797</v>
      </c>
      <c r="E1476" s="85">
        <v>16.0</v>
      </c>
      <c r="F1476" s="85">
        <v>0.0</v>
      </c>
      <c r="G1476" s="32">
        <f t="shared" si="5"/>
        <v>4000</v>
      </c>
      <c r="H1476" s="80" t="s">
        <v>870</v>
      </c>
      <c r="I1476" s="14"/>
      <c r="J1476" s="14"/>
    </row>
    <row r="1477" hidden="1">
      <c r="A1477" s="88" t="s">
        <v>310</v>
      </c>
      <c r="B1477" s="92" t="s">
        <v>715</v>
      </c>
      <c r="C1477" s="91" t="s">
        <v>716</v>
      </c>
      <c r="D1477" s="92" t="s">
        <v>717</v>
      </c>
      <c r="E1477" s="85">
        <v>14.0</v>
      </c>
      <c r="F1477" s="85">
        <v>0.0</v>
      </c>
      <c r="G1477" s="32">
        <f t="shared" si="5"/>
        <v>3500</v>
      </c>
      <c r="H1477" s="80" t="s">
        <v>871</v>
      </c>
      <c r="I1477" s="14"/>
      <c r="J1477" s="14"/>
    </row>
    <row r="1478" hidden="1">
      <c r="A1478" s="88" t="s">
        <v>310</v>
      </c>
      <c r="B1478" s="92" t="s">
        <v>718</v>
      </c>
      <c r="C1478" s="91" t="s">
        <v>719</v>
      </c>
      <c r="D1478" s="92" t="s">
        <v>720</v>
      </c>
      <c r="E1478" s="85">
        <v>10.0</v>
      </c>
      <c r="F1478" s="85">
        <v>3.0</v>
      </c>
      <c r="G1478" s="32">
        <f t="shared" si="5"/>
        <v>2800</v>
      </c>
      <c r="H1478" s="80" t="s">
        <v>872</v>
      </c>
      <c r="I1478" s="14"/>
      <c r="J1478" s="14"/>
    </row>
    <row r="1479" hidden="1">
      <c r="A1479" s="88" t="s">
        <v>310</v>
      </c>
      <c r="B1479" s="92" t="s">
        <v>721</v>
      </c>
      <c r="C1479" s="91" t="s">
        <v>722</v>
      </c>
      <c r="D1479" s="92" t="s">
        <v>723</v>
      </c>
      <c r="E1479" s="85">
        <v>8.0</v>
      </c>
      <c r="F1479" s="85">
        <v>2.0</v>
      </c>
      <c r="G1479" s="32">
        <f t="shared" si="5"/>
        <v>2200</v>
      </c>
      <c r="H1479" s="80" t="s">
        <v>873</v>
      </c>
      <c r="I1479" s="14"/>
      <c r="J1479" s="14"/>
    </row>
    <row r="1480" hidden="1">
      <c r="A1480" s="88" t="s">
        <v>310</v>
      </c>
      <c r="B1480" s="93" t="s">
        <v>724</v>
      </c>
      <c r="C1480" s="91" t="s">
        <v>725</v>
      </c>
      <c r="D1480" s="92" t="s">
        <v>726</v>
      </c>
      <c r="E1480" s="85">
        <v>12.0</v>
      </c>
      <c r="F1480" s="85">
        <v>1.0</v>
      </c>
      <c r="G1480" s="32">
        <f t="shared" si="5"/>
        <v>3100</v>
      </c>
      <c r="H1480" s="80" t="s">
        <v>874</v>
      </c>
      <c r="I1480" s="14"/>
      <c r="J1480" s="14"/>
    </row>
    <row r="1481" hidden="1">
      <c r="A1481" s="88" t="s">
        <v>310</v>
      </c>
      <c r="B1481" s="92" t="s">
        <v>730</v>
      </c>
      <c r="C1481" s="91" t="s">
        <v>731</v>
      </c>
      <c r="D1481" s="92" t="s">
        <v>732</v>
      </c>
      <c r="E1481" s="85">
        <v>12.0</v>
      </c>
      <c r="F1481" s="85">
        <v>0.0</v>
      </c>
      <c r="G1481" s="32">
        <f t="shared" si="5"/>
        <v>3000</v>
      </c>
      <c r="H1481" s="80" t="s">
        <v>875</v>
      </c>
      <c r="I1481" s="14"/>
      <c r="J1481" s="14"/>
    </row>
    <row r="1482" hidden="1">
      <c r="A1482" s="88" t="s">
        <v>310</v>
      </c>
      <c r="B1482" s="92" t="s">
        <v>748</v>
      </c>
      <c r="C1482" s="91" t="s">
        <v>749</v>
      </c>
      <c r="D1482" s="92" t="s">
        <v>750</v>
      </c>
      <c r="E1482" s="85">
        <v>9.0</v>
      </c>
      <c r="F1482" s="85">
        <v>0.0</v>
      </c>
      <c r="G1482" s="32">
        <f t="shared" si="5"/>
        <v>2250</v>
      </c>
      <c r="H1482" s="80" t="s">
        <v>876</v>
      </c>
      <c r="I1482" s="14"/>
      <c r="J1482" s="14"/>
    </row>
    <row r="1483" hidden="1">
      <c r="A1483" s="88" t="s">
        <v>310</v>
      </c>
      <c r="B1483" s="92" t="s">
        <v>733</v>
      </c>
      <c r="C1483" s="91" t="s">
        <v>734</v>
      </c>
      <c r="D1483" s="92" t="s">
        <v>735</v>
      </c>
      <c r="E1483" s="85">
        <v>12.0</v>
      </c>
      <c r="F1483" s="85">
        <v>0.0</v>
      </c>
      <c r="G1483" s="32">
        <f t="shared" si="5"/>
        <v>3000</v>
      </c>
      <c r="H1483" s="80" t="s">
        <v>875</v>
      </c>
      <c r="I1483" s="14"/>
      <c r="J1483" s="14"/>
    </row>
    <row r="1484" hidden="1">
      <c r="A1484" s="88" t="s">
        <v>310</v>
      </c>
      <c r="B1484" s="92" t="s">
        <v>727</v>
      </c>
      <c r="C1484" s="91" t="s">
        <v>728</v>
      </c>
      <c r="D1484" s="92" t="s">
        <v>729</v>
      </c>
      <c r="E1484" s="85">
        <v>10.0</v>
      </c>
      <c r="F1484" s="85">
        <v>0.0</v>
      </c>
      <c r="G1484" s="32">
        <f t="shared" si="5"/>
        <v>2500</v>
      </c>
      <c r="H1484" s="80" t="s">
        <v>877</v>
      </c>
      <c r="I1484" s="14"/>
      <c r="J1484" s="14"/>
    </row>
    <row r="1485" hidden="1">
      <c r="A1485" s="88" t="s">
        <v>310</v>
      </c>
      <c r="B1485" s="92" t="s">
        <v>736</v>
      </c>
      <c r="C1485" s="91" t="s">
        <v>737</v>
      </c>
      <c r="D1485" s="92" t="s">
        <v>738</v>
      </c>
      <c r="E1485" s="85">
        <v>12.0</v>
      </c>
      <c r="F1485" s="85">
        <v>2.0</v>
      </c>
      <c r="G1485" s="32">
        <f t="shared" si="5"/>
        <v>3200</v>
      </c>
      <c r="H1485" s="80" t="s">
        <v>878</v>
      </c>
      <c r="I1485" s="14"/>
      <c r="J1485" s="14"/>
    </row>
    <row r="1486" hidden="1">
      <c r="A1486" s="88" t="s">
        <v>310</v>
      </c>
      <c r="B1486" s="92" t="s">
        <v>739</v>
      </c>
      <c r="C1486" s="91" t="s">
        <v>740</v>
      </c>
      <c r="D1486" s="92" t="s">
        <v>741</v>
      </c>
      <c r="E1486" s="85">
        <v>11.0</v>
      </c>
      <c r="F1486" s="85">
        <v>0.0</v>
      </c>
      <c r="G1486" s="32">
        <f t="shared" si="5"/>
        <v>2750</v>
      </c>
      <c r="H1486" s="80" t="s">
        <v>879</v>
      </c>
      <c r="I1486" s="14"/>
      <c r="J1486" s="14"/>
    </row>
    <row r="1487" hidden="1">
      <c r="A1487" s="88" t="s">
        <v>310</v>
      </c>
      <c r="B1487" s="92" t="s">
        <v>788</v>
      </c>
      <c r="C1487" s="91" t="s">
        <v>789</v>
      </c>
      <c r="D1487" s="92" t="s">
        <v>790</v>
      </c>
      <c r="E1487" s="85">
        <v>12.0</v>
      </c>
      <c r="F1487" s="85">
        <v>2.0</v>
      </c>
      <c r="G1487" s="32">
        <f t="shared" si="5"/>
        <v>3200</v>
      </c>
      <c r="H1487" s="80" t="s">
        <v>878</v>
      </c>
      <c r="I1487" s="14"/>
      <c r="J1487" s="14"/>
    </row>
    <row r="1488" hidden="1">
      <c r="A1488" s="88" t="s">
        <v>310</v>
      </c>
      <c r="B1488" s="92" t="s">
        <v>751</v>
      </c>
      <c r="C1488" s="91" t="s">
        <v>752</v>
      </c>
      <c r="D1488" s="92" t="s">
        <v>753</v>
      </c>
      <c r="E1488" s="85">
        <v>10.0</v>
      </c>
      <c r="F1488" s="85">
        <v>0.0</v>
      </c>
      <c r="G1488" s="32">
        <f t="shared" si="5"/>
        <v>2500</v>
      </c>
      <c r="H1488" s="80" t="s">
        <v>877</v>
      </c>
      <c r="I1488" s="14"/>
      <c r="J1488" s="14"/>
    </row>
    <row r="1489" hidden="1">
      <c r="A1489" s="88" t="s">
        <v>310</v>
      </c>
      <c r="B1489" s="92" t="s">
        <v>742</v>
      </c>
      <c r="C1489" s="91" t="s">
        <v>743</v>
      </c>
      <c r="D1489" s="92" t="s">
        <v>744</v>
      </c>
      <c r="E1489" s="85">
        <v>11.0</v>
      </c>
      <c r="F1489" s="85">
        <v>0.0</v>
      </c>
      <c r="G1489" s="32">
        <f t="shared" si="5"/>
        <v>2750</v>
      </c>
      <c r="H1489" s="80" t="s">
        <v>879</v>
      </c>
      <c r="I1489" s="14"/>
      <c r="J1489" s="14"/>
    </row>
    <row r="1490" hidden="1">
      <c r="A1490" s="88" t="s">
        <v>310</v>
      </c>
      <c r="B1490" s="16" t="s">
        <v>816</v>
      </c>
      <c r="C1490" s="91" t="s">
        <v>817</v>
      </c>
      <c r="D1490" s="92" t="s">
        <v>818</v>
      </c>
      <c r="E1490" s="85">
        <v>11.0</v>
      </c>
      <c r="F1490" s="85">
        <v>0.0</v>
      </c>
      <c r="G1490" s="32">
        <f t="shared" si="5"/>
        <v>2750</v>
      </c>
      <c r="H1490" s="80" t="s">
        <v>879</v>
      </c>
      <c r="I1490" s="14"/>
      <c r="J1490" s="14"/>
    </row>
    <row r="1491" hidden="1">
      <c r="A1491" s="88" t="s">
        <v>310</v>
      </c>
      <c r="B1491" s="16" t="s">
        <v>754</v>
      </c>
      <c r="C1491" s="91" t="s">
        <v>755</v>
      </c>
      <c r="D1491" s="92" t="s">
        <v>756</v>
      </c>
      <c r="E1491" s="85">
        <v>14.0</v>
      </c>
      <c r="F1491" s="80">
        <v>6.0</v>
      </c>
      <c r="G1491" s="32">
        <f t="shared" si="5"/>
        <v>4100</v>
      </c>
      <c r="H1491" s="80" t="s">
        <v>880</v>
      </c>
      <c r="I1491" s="14"/>
      <c r="J1491" s="14"/>
    </row>
    <row r="1492" hidden="1">
      <c r="A1492" s="88" t="s">
        <v>310</v>
      </c>
      <c r="B1492" s="7" t="s">
        <v>757</v>
      </c>
      <c r="C1492" s="91" t="s">
        <v>758</v>
      </c>
      <c r="D1492" s="92" t="s">
        <v>759</v>
      </c>
      <c r="E1492" s="85">
        <v>24.0</v>
      </c>
      <c r="F1492" s="85">
        <v>0.0</v>
      </c>
      <c r="G1492" s="32">
        <f t="shared" si="5"/>
        <v>6000</v>
      </c>
      <c r="H1492" s="80" t="s">
        <v>863</v>
      </c>
      <c r="I1492" s="14"/>
      <c r="J1492" s="14"/>
    </row>
    <row r="1493" hidden="1">
      <c r="A1493" s="88" t="s">
        <v>310</v>
      </c>
      <c r="B1493" s="16" t="s">
        <v>219</v>
      </c>
      <c r="C1493" s="91" t="s">
        <v>220</v>
      </c>
      <c r="D1493" s="92" t="s">
        <v>760</v>
      </c>
      <c r="E1493" s="85">
        <v>20.0</v>
      </c>
      <c r="F1493" s="85">
        <v>0.0</v>
      </c>
      <c r="G1493" s="32">
        <f t="shared" si="5"/>
        <v>5000</v>
      </c>
      <c r="H1493" s="80" t="s">
        <v>881</v>
      </c>
      <c r="I1493" s="14"/>
      <c r="J1493" s="14"/>
    </row>
    <row r="1494" hidden="1">
      <c r="A1494" s="88" t="s">
        <v>310</v>
      </c>
      <c r="B1494" s="16" t="s">
        <v>840</v>
      </c>
      <c r="C1494" s="91" t="s">
        <v>841</v>
      </c>
      <c r="D1494" s="92" t="s">
        <v>842</v>
      </c>
      <c r="E1494" s="85">
        <v>12.0</v>
      </c>
      <c r="F1494" s="85">
        <v>0.0</v>
      </c>
      <c r="G1494" s="32">
        <f t="shared" si="5"/>
        <v>3000</v>
      </c>
      <c r="H1494" s="80" t="s">
        <v>875</v>
      </c>
      <c r="I1494" s="14"/>
      <c r="J1494" s="14"/>
    </row>
    <row r="1495" hidden="1">
      <c r="A1495" s="88" t="s">
        <v>310</v>
      </c>
      <c r="B1495" s="7" t="s">
        <v>745</v>
      </c>
      <c r="C1495" s="91" t="s">
        <v>746</v>
      </c>
      <c r="D1495" s="92" t="s">
        <v>747</v>
      </c>
      <c r="E1495" s="85">
        <v>7.0</v>
      </c>
      <c r="F1495" s="85">
        <v>0.0</v>
      </c>
      <c r="G1495" s="32">
        <f t="shared" si="5"/>
        <v>1750</v>
      </c>
      <c r="H1495" s="80" t="s">
        <v>882</v>
      </c>
      <c r="I1495" s="14"/>
      <c r="J1495" s="14"/>
    </row>
    <row r="1496" hidden="1">
      <c r="A1496" s="88" t="s">
        <v>332</v>
      </c>
      <c r="B1496" s="92" t="s">
        <v>832</v>
      </c>
      <c r="C1496" s="92"/>
      <c r="D1496" s="92" t="s">
        <v>834</v>
      </c>
      <c r="E1496" s="85">
        <v>32.0</v>
      </c>
      <c r="F1496" s="85">
        <v>13.0</v>
      </c>
      <c r="G1496" s="32">
        <f t="shared" si="5"/>
        <v>9300</v>
      </c>
      <c r="H1496" s="32"/>
      <c r="I1496" s="14"/>
      <c r="J1496" s="14"/>
    </row>
    <row r="1497" hidden="1">
      <c r="A1497" s="88" t="s">
        <v>332</v>
      </c>
      <c r="B1497" s="92" t="s">
        <v>835</v>
      </c>
      <c r="C1497" s="92"/>
      <c r="D1497" s="92" t="s">
        <v>837</v>
      </c>
      <c r="E1497" s="85">
        <v>36.0</v>
      </c>
      <c r="F1497" s="85">
        <v>0.0</v>
      </c>
      <c r="G1497" s="32">
        <f t="shared" si="5"/>
        <v>9000</v>
      </c>
      <c r="H1497" s="32"/>
      <c r="I1497" s="14"/>
      <c r="J1497" s="14"/>
    </row>
    <row r="1498" hidden="1">
      <c r="A1498" s="88" t="s">
        <v>332</v>
      </c>
      <c r="B1498" s="92" t="s">
        <v>764</v>
      </c>
      <c r="C1498" s="92"/>
      <c r="D1498" s="92" t="s">
        <v>838</v>
      </c>
      <c r="E1498" s="85">
        <v>28.0</v>
      </c>
      <c r="F1498" s="85">
        <v>0.0</v>
      </c>
      <c r="G1498" s="32">
        <f t="shared" si="5"/>
        <v>7000</v>
      </c>
      <c r="H1498" s="32"/>
      <c r="I1498" s="14"/>
      <c r="J1498" s="14"/>
    </row>
    <row r="1499" hidden="1">
      <c r="A1499" s="88" t="s">
        <v>332</v>
      </c>
      <c r="B1499" s="92" t="s">
        <v>213</v>
      </c>
      <c r="C1499" s="92"/>
      <c r="D1499" s="92" t="s">
        <v>660</v>
      </c>
      <c r="E1499" s="85">
        <v>15.0</v>
      </c>
      <c r="F1499" s="85">
        <v>0.0</v>
      </c>
      <c r="G1499" s="32">
        <f t="shared" si="5"/>
        <v>3750</v>
      </c>
      <c r="H1499" s="32"/>
      <c r="I1499" s="14"/>
      <c r="J1499" s="14"/>
    </row>
    <row r="1500" hidden="1">
      <c r="A1500" s="88" t="s">
        <v>332</v>
      </c>
      <c r="B1500" s="92" t="s">
        <v>661</v>
      </c>
      <c r="C1500" s="92"/>
      <c r="D1500" s="92" t="s">
        <v>663</v>
      </c>
      <c r="E1500" s="85">
        <v>19.0</v>
      </c>
      <c r="F1500" s="85">
        <v>0.0</v>
      </c>
      <c r="G1500" s="32">
        <f t="shared" si="5"/>
        <v>4750</v>
      </c>
      <c r="H1500" s="32"/>
      <c r="I1500" s="14"/>
      <c r="J1500" s="14"/>
    </row>
    <row r="1501" hidden="1">
      <c r="A1501" s="88" t="s">
        <v>332</v>
      </c>
      <c r="B1501" s="92" t="s">
        <v>664</v>
      </c>
      <c r="C1501" s="92"/>
      <c r="D1501" s="92" t="s">
        <v>666</v>
      </c>
      <c r="E1501" s="85">
        <v>22.0</v>
      </c>
      <c r="F1501" s="85">
        <v>0.0</v>
      </c>
      <c r="G1501" s="32">
        <f t="shared" si="5"/>
        <v>5500</v>
      </c>
      <c r="H1501" s="32"/>
      <c r="I1501" s="14"/>
      <c r="J1501" s="14"/>
    </row>
    <row r="1502" hidden="1">
      <c r="A1502" s="88" t="s">
        <v>332</v>
      </c>
      <c r="B1502" s="92" t="s">
        <v>667</v>
      </c>
      <c r="C1502" s="92"/>
      <c r="D1502" s="92" t="s">
        <v>669</v>
      </c>
      <c r="E1502" s="85">
        <v>18.0</v>
      </c>
      <c r="F1502" s="85">
        <v>3.0</v>
      </c>
      <c r="G1502" s="32">
        <f t="shared" si="5"/>
        <v>4800</v>
      </c>
      <c r="H1502" s="32"/>
      <c r="I1502" s="14"/>
      <c r="J1502" s="14"/>
    </row>
    <row r="1503" hidden="1">
      <c r="A1503" s="88" t="s">
        <v>332</v>
      </c>
      <c r="B1503" s="92" t="s">
        <v>670</v>
      </c>
      <c r="C1503" s="92"/>
      <c r="D1503" s="92" t="s">
        <v>672</v>
      </c>
      <c r="E1503" s="85">
        <v>16.0</v>
      </c>
      <c r="F1503" s="85">
        <v>0.0</v>
      </c>
      <c r="G1503" s="32">
        <f t="shared" si="5"/>
        <v>4000</v>
      </c>
      <c r="H1503" s="32"/>
      <c r="I1503" s="14"/>
      <c r="J1503" s="14"/>
    </row>
    <row r="1504" hidden="1">
      <c r="A1504" s="88" t="s">
        <v>332</v>
      </c>
      <c r="B1504" s="92" t="s">
        <v>673</v>
      </c>
      <c r="C1504" s="92"/>
      <c r="D1504" s="92" t="s">
        <v>675</v>
      </c>
      <c r="E1504" s="85">
        <v>19.0</v>
      </c>
      <c r="F1504" s="85">
        <v>3.0</v>
      </c>
      <c r="G1504" s="32">
        <f t="shared" si="5"/>
        <v>5050</v>
      </c>
      <c r="H1504" s="32"/>
      <c r="I1504" s="14"/>
      <c r="J1504" s="14"/>
    </row>
    <row r="1505" hidden="1">
      <c r="A1505" s="88" t="s">
        <v>332</v>
      </c>
      <c r="B1505" s="92" t="s">
        <v>676</v>
      </c>
      <c r="C1505" s="92"/>
      <c r="D1505" s="92" t="s">
        <v>678</v>
      </c>
      <c r="E1505" s="85">
        <v>21.0</v>
      </c>
      <c r="F1505" s="85">
        <v>3.0</v>
      </c>
      <c r="G1505" s="32">
        <f t="shared" si="5"/>
        <v>5550</v>
      </c>
      <c r="H1505" s="32"/>
      <c r="I1505" s="14"/>
      <c r="J1505" s="14"/>
    </row>
    <row r="1506" hidden="1">
      <c r="A1506" s="88" t="s">
        <v>332</v>
      </c>
      <c r="B1506" s="92" t="s">
        <v>679</v>
      </c>
      <c r="C1506" s="92"/>
      <c r="D1506" s="92" t="s">
        <v>883</v>
      </c>
      <c r="E1506" s="85">
        <v>11.0</v>
      </c>
      <c r="F1506" s="85">
        <v>8.0</v>
      </c>
      <c r="G1506" s="32">
        <f t="shared" si="5"/>
        <v>3550</v>
      </c>
      <c r="H1506" s="32"/>
      <c r="I1506" s="14"/>
      <c r="J1506" s="14"/>
    </row>
    <row r="1507" hidden="1">
      <c r="A1507" s="88" t="s">
        <v>332</v>
      </c>
      <c r="B1507" s="92" t="s">
        <v>682</v>
      </c>
      <c r="C1507" s="92"/>
      <c r="D1507" s="92" t="s">
        <v>684</v>
      </c>
      <c r="E1507" s="85">
        <v>10.0</v>
      </c>
      <c r="F1507" s="85">
        <v>0.0</v>
      </c>
      <c r="G1507" s="32">
        <f t="shared" si="5"/>
        <v>2500</v>
      </c>
      <c r="H1507" s="32"/>
      <c r="I1507" s="14"/>
      <c r="J1507" s="14"/>
    </row>
    <row r="1508" hidden="1">
      <c r="A1508" s="88" t="s">
        <v>332</v>
      </c>
      <c r="B1508" s="92" t="s">
        <v>685</v>
      </c>
      <c r="C1508" s="92"/>
      <c r="D1508" s="92" t="s">
        <v>687</v>
      </c>
      <c r="E1508" s="85">
        <v>17.0</v>
      </c>
      <c r="F1508" s="85">
        <v>0.0</v>
      </c>
      <c r="G1508" s="32">
        <f t="shared" si="5"/>
        <v>4250</v>
      </c>
      <c r="H1508" s="32"/>
      <c r="I1508" s="14"/>
      <c r="J1508" s="14"/>
    </row>
    <row r="1509" hidden="1">
      <c r="A1509" s="88" t="s">
        <v>332</v>
      </c>
      <c r="B1509" s="92" t="s">
        <v>688</v>
      </c>
      <c r="C1509" s="92"/>
      <c r="D1509" s="92" t="s">
        <v>690</v>
      </c>
      <c r="E1509" s="85">
        <v>21.0</v>
      </c>
      <c r="F1509" s="85">
        <v>0.0</v>
      </c>
      <c r="G1509" s="32">
        <f t="shared" si="5"/>
        <v>5250</v>
      </c>
      <c r="H1509" s="32"/>
      <c r="I1509" s="14"/>
      <c r="J1509" s="14"/>
    </row>
    <row r="1510" hidden="1">
      <c r="A1510" s="88" t="s">
        <v>332</v>
      </c>
      <c r="B1510" s="92" t="s">
        <v>691</v>
      </c>
      <c r="C1510" s="92"/>
      <c r="D1510" s="92" t="s">
        <v>693</v>
      </c>
      <c r="E1510" s="85">
        <v>10.0</v>
      </c>
      <c r="F1510" s="85">
        <v>0.0</v>
      </c>
      <c r="G1510" s="32">
        <f t="shared" si="5"/>
        <v>2500</v>
      </c>
      <c r="H1510" s="32"/>
      <c r="I1510" s="14"/>
      <c r="J1510" s="14"/>
    </row>
    <row r="1511" hidden="1">
      <c r="A1511" s="88" t="s">
        <v>332</v>
      </c>
      <c r="B1511" s="92" t="s">
        <v>694</v>
      </c>
      <c r="C1511" s="92"/>
      <c r="D1511" s="92" t="s">
        <v>696</v>
      </c>
      <c r="E1511" s="85">
        <v>15.0</v>
      </c>
      <c r="F1511" s="85">
        <v>0.0</v>
      </c>
      <c r="G1511" s="32">
        <f t="shared" si="5"/>
        <v>3750</v>
      </c>
      <c r="H1511" s="32"/>
      <c r="I1511" s="14"/>
      <c r="J1511" s="14"/>
    </row>
    <row r="1512" hidden="1">
      <c r="A1512" s="88" t="s">
        <v>332</v>
      </c>
      <c r="B1512" s="92" t="s">
        <v>697</v>
      </c>
      <c r="C1512" s="92"/>
      <c r="D1512" s="92" t="s">
        <v>699</v>
      </c>
      <c r="E1512" s="85">
        <v>9.0</v>
      </c>
      <c r="F1512" s="85">
        <v>1.0</v>
      </c>
      <c r="G1512" s="32">
        <f t="shared" si="5"/>
        <v>2350</v>
      </c>
      <c r="H1512" s="32"/>
      <c r="I1512" s="14"/>
      <c r="J1512" s="14"/>
    </row>
    <row r="1513" hidden="1">
      <c r="A1513" s="88" t="s">
        <v>332</v>
      </c>
      <c r="B1513" s="92" t="s">
        <v>700</v>
      </c>
      <c r="C1513" s="92"/>
      <c r="D1513" s="92" t="s">
        <v>702</v>
      </c>
      <c r="E1513" s="85">
        <v>19.0</v>
      </c>
      <c r="F1513" s="85">
        <v>0.0</v>
      </c>
      <c r="G1513" s="32">
        <f t="shared" si="5"/>
        <v>4750</v>
      </c>
      <c r="H1513" s="32"/>
      <c r="I1513" s="14"/>
      <c r="J1513" s="14"/>
    </row>
    <row r="1514" hidden="1">
      <c r="A1514" s="88" t="s">
        <v>332</v>
      </c>
      <c r="B1514" s="92" t="s">
        <v>703</v>
      </c>
      <c r="C1514" s="92"/>
      <c r="D1514" s="92" t="s">
        <v>705</v>
      </c>
      <c r="E1514" s="85">
        <v>19.0</v>
      </c>
      <c r="F1514" s="85">
        <v>4.0</v>
      </c>
      <c r="G1514" s="32">
        <f t="shared" si="5"/>
        <v>5150</v>
      </c>
      <c r="H1514" s="32"/>
      <c r="I1514" s="14"/>
      <c r="J1514" s="14"/>
    </row>
    <row r="1515" hidden="1">
      <c r="A1515" s="88" t="s">
        <v>332</v>
      </c>
      <c r="B1515" s="92" t="s">
        <v>706</v>
      </c>
      <c r="C1515" s="92"/>
      <c r="D1515" s="92" t="s">
        <v>708</v>
      </c>
      <c r="E1515" s="85">
        <v>11.0</v>
      </c>
      <c r="F1515" s="85">
        <v>0.0</v>
      </c>
      <c r="G1515" s="32">
        <f t="shared" si="5"/>
        <v>2750</v>
      </c>
      <c r="H1515" s="32"/>
      <c r="I1515" s="14"/>
      <c r="J1515" s="14"/>
    </row>
    <row r="1516" hidden="1">
      <c r="A1516" s="88" t="s">
        <v>332</v>
      </c>
      <c r="B1516" s="92" t="s">
        <v>709</v>
      </c>
      <c r="C1516" s="92"/>
      <c r="D1516" s="92" t="s">
        <v>711</v>
      </c>
      <c r="E1516" s="85">
        <v>15.0</v>
      </c>
      <c r="F1516" s="85">
        <v>0.0</v>
      </c>
      <c r="G1516" s="32">
        <f t="shared" si="5"/>
        <v>3750</v>
      </c>
      <c r="H1516" s="32"/>
      <c r="I1516" s="14"/>
      <c r="J1516" s="14"/>
    </row>
    <row r="1517" hidden="1">
      <c r="A1517" s="88" t="s">
        <v>332</v>
      </c>
      <c r="B1517" s="92" t="s">
        <v>712</v>
      </c>
      <c r="C1517" s="92"/>
      <c r="D1517" s="92" t="s">
        <v>714</v>
      </c>
      <c r="E1517" s="85">
        <v>20.0</v>
      </c>
      <c r="F1517" s="85">
        <v>1.0</v>
      </c>
      <c r="G1517" s="32">
        <f t="shared" si="5"/>
        <v>5100</v>
      </c>
      <c r="H1517" s="32"/>
      <c r="I1517" s="14"/>
      <c r="J1517" s="14"/>
    </row>
    <row r="1518" hidden="1">
      <c r="A1518" s="88" t="s">
        <v>332</v>
      </c>
      <c r="B1518" s="92" t="s">
        <v>799</v>
      </c>
      <c r="C1518" s="92"/>
      <c r="D1518" s="92" t="s">
        <v>801</v>
      </c>
      <c r="E1518" s="85">
        <v>24.0</v>
      </c>
      <c r="F1518" s="85">
        <v>7.0</v>
      </c>
      <c r="G1518" s="32">
        <f t="shared" si="5"/>
        <v>6700</v>
      </c>
      <c r="H1518" s="32"/>
      <c r="I1518" s="14"/>
      <c r="J1518" s="14"/>
    </row>
    <row r="1519" hidden="1">
      <c r="A1519" s="88" t="s">
        <v>332</v>
      </c>
      <c r="B1519" s="92" t="s">
        <v>795</v>
      </c>
      <c r="C1519" s="92"/>
      <c r="D1519" s="92" t="s">
        <v>797</v>
      </c>
      <c r="E1519" s="85">
        <v>9.0</v>
      </c>
      <c r="F1519" s="85">
        <v>0.0</v>
      </c>
      <c r="G1519" s="32">
        <f t="shared" si="5"/>
        <v>2250</v>
      </c>
      <c r="H1519" s="32"/>
      <c r="I1519" s="14"/>
      <c r="J1519" s="14"/>
    </row>
    <row r="1520" hidden="1">
      <c r="A1520" s="88" t="s">
        <v>332</v>
      </c>
      <c r="B1520" s="92" t="s">
        <v>715</v>
      </c>
      <c r="C1520" s="92"/>
      <c r="D1520" s="92" t="s">
        <v>717</v>
      </c>
      <c r="E1520" s="85">
        <v>9.0</v>
      </c>
      <c r="F1520" s="85">
        <v>0.0</v>
      </c>
      <c r="G1520" s="32">
        <f t="shared" si="5"/>
        <v>2250</v>
      </c>
      <c r="H1520" s="32"/>
      <c r="I1520" s="14"/>
      <c r="J1520" s="14"/>
    </row>
    <row r="1521" hidden="1">
      <c r="A1521" s="88" t="s">
        <v>332</v>
      </c>
      <c r="B1521" s="92" t="s">
        <v>718</v>
      </c>
      <c r="C1521" s="92"/>
      <c r="D1521" s="92" t="s">
        <v>720</v>
      </c>
      <c r="E1521" s="85">
        <v>12.0</v>
      </c>
      <c r="F1521" s="85">
        <v>0.0</v>
      </c>
      <c r="G1521" s="32">
        <f t="shared" si="5"/>
        <v>3000</v>
      </c>
      <c r="H1521" s="32"/>
      <c r="I1521" s="14"/>
      <c r="J1521" s="14"/>
    </row>
    <row r="1522" hidden="1">
      <c r="A1522" s="88" t="s">
        <v>332</v>
      </c>
      <c r="B1522" s="92" t="s">
        <v>721</v>
      </c>
      <c r="C1522" s="92"/>
      <c r="D1522" s="92" t="s">
        <v>723</v>
      </c>
      <c r="E1522" s="85">
        <v>14.0</v>
      </c>
      <c r="F1522" s="85">
        <v>6.0</v>
      </c>
      <c r="G1522" s="32">
        <f t="shared" si="5"/>
        <v>4100</v>
      </c>
      <c r="H1522" s="32"/>
      <c r="I1522" s="14"/>
      <c r="J1522" s="14"/>
    </row>
    <row r="1523" hidden="1">
      <c r="A1523" s="88" t="s">
        <v>332</v>
      </c>
      <c r="B1523" s="93" t="s">
        <v>724</v>
      </c>
      <c r="C1523" s="92"/>
      <c r="D1523" s="92" t="s">
        <v>726</v>
      </c>
      <c r="E1523" s="85">
        <v>9.0</v>
      </c>
      <c r="F1523" s="85">
        <v>0.0</v>
      </c>
      <c r="G1523" s="32">
        <f t="shared" si="5"/>
        <v>2250</v>
      </c>
      <c r="H1523" s="32"/>
      <c r="I1523" s="14"/>
      <c r="J1523" s="14"/>
    </row>
    <row r="1524" hidden="1">
      <c r="A1524" s="88" t="s">
        <v>332</v>
      </c>
      <c r="B1524" s="92" t="s">
        <v>730</v>
      </c>
      <c r="C1524" s="92"/>
      <c r="D1524" s="92" t="s">
        <v>732</v>
      </c>
      <c r="E1524" s="85">
        <v>12.0</v>
      </c>
      <c r="F1524" s="85">
        <v>0.0</v>
      </c>
      <c r="G1524" s="32">
        <f t="shared" si="5"/>
        <v>3000</v>
      </c>
      <c r="H1524" s="32"/>
      <c r="I1524" s="14"/>
      <c r="J1524" s="14"/>
    </row>
    <row r="1525" hidden="1">
      <c r="A1525" s="88" t="s">
        <v>332</v>
      </c>
      <c r="B1525" s="92" t="s">
        <v>748</v>
      </c>
      <c r="C1525" s="92"/>
      <c r="D1525" s="92" t="s">
        <v>750</v>
      </c>
      <c r="E1525" s="85">
        <v>10.0</v>
      </c>
      <c r="F1525" s="85">
        <v>0.0</v>
      </c>
      <c r="G1525" s="32">
        <f t="shared" si="5"/>
        <v>2500</v>
      </c>
      <c r="H1525" s="32"/>
      <c r="I1525" s="14"/>
      <c r="J1525" s="14"/>
    </row>
    <row r="1526" hidden="1">
      <c r="A1526" s="88" t="s">
        <v>332</v>
      </c>
      <c r="B1526" s="92" t="s">
        <v>733</v>
      </c>
      <c r="C1526" s="92"/>
      <c r="D1526" s="92" t="s">
        <v>735</v>
      </c>
      <c r="E1526" s="85">
        <v>12.0</v>
      </c>
      <c r="F1526" s="85">
        <v>0.0</v>
      </c>
      <c r="G1526" s="32">
        <f t="shared" si="5"/>
        <v>3000</v>
      </c>
      <c r="H1526" s="32"/>
      <c r="I1526" s="14"/>
      <c r="J1526" s="14"/>
    </row>
    <row r="1527" hidden="1">
      <c r="A1527" s="88" t="s">
        <v>332</v>
      </c>
      <c r="B1527" s="92" t="s">
        <v>727</v>
      </c>
      <c r="C1527" s="92"/>
      <c r="D1527" s="92" t="s">
        <v>729</v>
      </c>
      <c r="E1527" s="85">
        <v>11.0</v>
      </c>
      <c r="F1527" s="85">
        <v>0.0</v>
      </c>
      <c r="G1527" s="32">
        <f t="shared" si="5"/>
        <v>2750</v>
      </c>
      <c r="H1527" s="32"/>
      <c r="I1527" s="14"/>
      <c r="J1527" s="14"/>
    </row>
    <row r="1528" hidden="1">
      <c r="A1528" s="88" t="s">
        <v>332</v>
      </c>
      <c r="B1528" s="92" t="s">
        <v>736</v>
      </c>
      <c r="C1528" s="92"/>
      <c r="D1528" s="92" t="s">
        <v>738</v>
      </c>
      <c r="E1528" s="85">
        <v>12.0</v>
      </c>
      <c r="F1528" s="85">
        <v>0.0</v>
      </c>
      <c r="G1528" s="32">
        <f t="shared" si="5"/>
        <v>3000</v>
      </c>
      <c r="H1528" s="32"/>
      <c r="I1528" s="14"/>
      <c r="J1528" s="14"/>
    </row>
    <row r="1529" hidden="1">
      <c r="A1529" s="88" t="s">
        <v>332</v>
      </c>
      <c r="B1529" s="92" t="s">
        <v>739</v>
      </c>
      <c r="C1529" s="92"/>
      <c r="D1529" s="92" t="s">
        <v>741</v>
      </c>
      <c r="E1529" s="85">
        <v>10.0</v>
      </c>
      <c r="F1529" s="85">
        <v>0.0</v>
      </c>
      <c r="G1529" s="32">
        <f t="shared" si="5"/>
        <v>2500</v>
      </c>
      <c r="H1529" s="32"/>
      <c r="I1529" s="14"/>
      <c r="J1529" s="14"/>
    </row>
    <row r="1530" hidden="1">
      <c r="A1530" s="88" t="s">
        <v>332</v>
      </c>
      <c r="B1530" s="92" t="s">
        <v>788</v>
      </c>
      <c r="C1530" s="92"/>
      <c r="D1530" s="92" t="s">
        <v>790</v>
      </c>
      <c r="E1530" s="85">
        <v>8.0</v>
      </c>
      <c r="F1530" s="85">
        <v>0.0</v>
      </c>
      <c r="G1530" s="32">
        <f t="shared" si="5"/>
        <v>2000</v>
      </c>
      <c r="H1530" s="32"/>
      <c r="I1530" s="14"/>
      <c r="J1530" s="14"/>
    </row>
    <row r="1531" hidden="1">
      <c r="A1531" s="88" t="s">
        <v>332</v>
      </c>
      <c r="B1531" s="92" t="s">
        <v>751</v>
      </c>
      <c r="C1531" s="92"/>
      <c r="D1531" s="92" t="s">
        <v>753</v>
      </c>
      <c r="E1531" s="85">
        <v>12.0</v>
      </c>
      <c r="F1531" s="85">
        <v>0.0</v>
      </c>
      <c r="G1531" s="32">
        <f t="shared" si="5"/>
        <v>3000</v>
      </c>
      <c r="H1531" s="32"/>
      <c r="I1531" s="14"/>
      <c r="J1531" s="14"/>
    </row>
    <row r="1532" hidden="1">
      <c r="A1532" s="88" t="s">
        <v>332</v>
      </c>
      <c r="B1532" s="92" t="s">
        <v>742</v>
      </c>
      <c r="C1532" s="92"/>
      <c r="D1532" s="92" t="s">
        <v>744</v>
      </c>
      <c r="E1532" s="85">
        <v>8.0</v>
      </c>
      <c r="F1532" s="85">
        <v>1.0</v>
      </c>
      <c r="G1532" s="32">
        <f t="shared" si="5"/>
        <v>2100</v>
      </c>
      <c r="H1532" s="32"/>
      <c r="I1532" s="14"/>
      <c r="J1532" s="14"/>
    </row>
    <row r="1533" hidden="1">
      <c r="A1533" s="88" t="s">
        <v>332</v>
      </c>
      <c r="B1533" s="16" t="s">
        <v>816</v>
      </c>
      <c r="C1533" s="92"/>
      <c r="D1533" s="92" t="s">
        <v>818</v>
      </c>
      <c r="E1533" s="85">
        <v>7.0</v>
      </c>
      <c r="F1533" s="85">
        <v>0.0</v>
      </c>
      <c r="G1533" s="32">
        <f t="shared" si="5"/>
        <v>1750</v>
      </c>
      <c r="H1533" s="32"/>
      <c r="I1533" s="14"/>
      <c r="J1533" s="14"/>
    </row>
    <row r="1534" hidden="1">
      <c r="A1534" s="88" t="s">
        <v>332</v>
      </c>
      <c r="B1534" s="16" t="s">
        <v>754</v>
      </c>
      <c r="C1534" s="92"/>
      <c r="D1534" s="92" t="s">
        <v>756</v>
      </c>
      <c r="E1534" s="85">
        <v>12.0</v>
      </c>
      <c r="F1534" s="80">
        <v>1.0</v>
      </c>
      <c r="G1534" s="32">
        <f t="shared" si="5"/>
        <v>3100</v>
      </c>
      <c r="H1534" s="32"/>
      <c r="I1534" s="14"/>
      <c r="J1534" s="14"/>
    </row>
    <row r="1535" hidden="1">
      <c r="A1535" s="88" t="s">
        <v>332</v>
      </c>
      <c r="B1535" s="7" t="s">
        <v>757</v>
      </c>
      <c r="C1535" s="92"/>
      <c r="D1535" s="92" t="s">
        <v>759</v>
      </c>
      <c r="E1535" s="85">
        <v>23.0</v>
      </c>
      <c r="F1535" s="85">
        <v>0.0</v>
      </c>
      <c r="G1535" s="32">
        <f t="shared" si="5"/>
        <v>5750</v>
      </c>
      <c r="H1535" s="32"/>
      <c r="I1535" s="14"/>
      <c r="J1535" s="14"/>
    </row>
    <row r="1536" hidden="1">
      <c r="A1536" s="88" t="s">
        <v>332</v>
      </c>
      <c r="B1536" s="16" t="s">
        <v>219</v>
      </c>
      <c r="C1536" s="92"/>
      <c r="D1536" s="92" t="s">
        <v>760</v>
      </c>
      <c r="E1536" s="85">
        <v>15.0</v>
      </c>
      <c r="F1536" s="85">
        <v>0.0</v>
      </c>
      <c r="G1536" s="32">
        <f t="shared" si="5"/>
        <v>3750</v>
      </c>
      <c r="H1536" s="32"/>
      <c r="I1536" s="14"/>
      <c r="J1536" s="14"/>
    </row>
    <row r="1537" hidden="1">
      <c r="A1537" s="88" t="s">
        <v>332</v>
      </c>
      <c r="B1537" s="16" t="s">
        <v>840</v>
      </c>
      <c r="C1537" s="92"/>
      <c r="D1537" s="92" t="s">
        <v>842</v>
      </c>
      <c r="E1537" s="85">
        <v>11.0</v>
      </c>
      <c r="F1537" s="85">
        <v>0.0</v>
      </c>
      <c r="G1537" s="32">
        <f t="shared" si="5"/>
        <v>2750</v>
      </c>
      <c r="H1537" s="32"/>
      <c r="I1537" s="14"/>
      <c r="J1537" s="14"/>
    </row>
    <row r="1538" hidden="1">
      <c r="A1538" s="88" t="s">
        <v>332</v>
      </c>
      <c r="B1538" s="7" t="s">
        <v>745</v>
      </c>
      <c r="C1538" s="92"/>
      <c r="D1538" s="92" t="s">
        <v>747</v>
      </c>
      <c r="E1538" s="85">
        <v>9.0</v>
      </c>
      <c r="F1538" s="85">
        <v>0.0</v>
      </c>
      <c r="G1538" s="32">
        <f t="shared" si="5"/>
        <v>2250</v>
      </c>
      <c r="H1538" s="32"/>
      <c r="I1538" s="14"/>
      <c r="J1538" s="14"/>
    </row>
    <row r="1539" hidden="1">
      <c r="A1539" s="88" t="s">
        <v>336</v>
      </c>
      <c r="B1539" s="92" t="s">
        <v>832</v>
      </c>
      <c r="C1539" s="92"/>
      <c r="D1539" s="92" t="s">
        <v>834</v>
      </c>
      <c r="E1539" s="85">
        <v>35.0</v>
      </c>
      <c r="F1539" s="85">
        <v>10.0</v>
      </c>
      <c r="G1539" s="32">
        <f t="shared" si="5"/>
        <v>9750</v>
      </c>
      <c r="H1539" s="32"/>
      <c r="I1539" s="14"/>
      <c r="J1539" s="14"/>
    </row>
    <row r="1540" hidden="1">
      <c r="A1540" s="88" t="s">
        <v>336</v>
      </c>
      <c r="B1540" s="92" t="s">
        <v>835</v>
      </c>
      <c r="C1540" s="92"/>
      <c r="D1540" s="92" t="s">
        <v>837</v>
      </c>
      <c r="E1540" s="85">
        <v>33.0</v>
      </c>
      <c r="F1540" s="85">
        <v>0.0</v>
      </c>
      <c r="G1540" s="32">
        <f t="shared" si="5"/>
        <v>8250</v>
      </c>
      <c r="H1540" s="32"/>
      <c r="I1540" s="14"/>
      <c r="J1540" s="14"/>
    </row>
    <row r="1541" hidden="1">
      <c r="A1541" s="88" t="s">
        <v>336</v>
      </c>
      <c r="B1541" s="92" t="s">
        <v>764</v>
      </c>
      <c r="C1541" s="92"/>
      <c r="D1541" s="92" t="s">
        <v>838</v>
      </c>
      <c r="E1541" s="85">
        <v>27.0</v>
      </c>
      <c r="F1541" s="85">
        <v>0.0</v>
      </c>
      <c r="G1541" s="32">
        <f t="shared" si="5"/>
        <v>6750</v>
      </c>
      <c r="H1541" s="32"/>
      <c r="I1541" s="14"/>
      <c r="J1541" s="14"/>
    </row>
    <row r="1542" hidden="1">
      <c r="A1542" s="88" t="s">
        <v>336</v>
      </c>
      <c r="B1542" s="92" t="s">
        <v>213</v>
      </c>
      <c r="C1542" s="92"/>
      <c r="D1542" s="92" t="s">
        <v>660</v>
      </c>
      <c r="E1542" s="85">
        <v>21.0</v>
      </c>
      <c r="F1542" s="85">
        <v>0.0</v>
      </c>
      <c r="G1542" s="32">
        <f t="shared" si="5"/>
        <v>5250</v>
      </c>
      <c r="H1542" s="32"/>
      <c r="I1542" s="14"/>
      <c r="J1542" s="14"/>
    </row>
    <row r="1543" hidden="1">
      <c r="A1543" s="88" t="s">
        <v>336</v>
      </c>
      <c r="B1543" s="92" t="s">
        <v>661</v>
      </c>
      <c r="C1543" s="92"/>
      <c r="D1543" s="92" t="s">
        <v>663</v>
      </c>
      <c r="E1543" s="85">
        <v>28.0</v>
      </c>
      <c r="F1543" s="85">
        <v>0.0</v>
      </c>
      <c r="G1543" s="32">
        <f t="shared" si="5"/>
        <v>7000</v>
      </c>
      <c r="H1543" s="32"/>
      <c r="I1543" s="14"/>
      <c r="J1543" s="14"/>
    </row>
    <row r="1544" hidden="1">
      <c r="A1544" s="88" t="s">
        <v>336</v>
      </c>
      <c r="B1544" s="92" t="s">
        <v>664</v>
      </c>
      <c r="C1544" s="92"/>
      <c r="D1544" s="92" t="s">
        <v>666</v>
      </c>
      <c r="E1544" s="85">
        <v>21.0</v>
      </c>
      <c r="F1544" s="85">
        <v>0.0</v>
      </c>
      <c r="G1544" s="32">
        <f t="shared" si="5"/>
        <v>5250</v>
      </c>
      <c r="H1544" s="32"/>
      <c r="I1544" s="14"/>
      <c r="J1544" s="14"/>
    </row>
    <row r="1545" hidden="1">
      <c r="A1545" s="88" t="s">
        <v>336</v>
      </c>
      <c r="B1545" s="92" t="s">
        <v>667</v>
      </c>
      <c r="C1545" s="92"/>
      <c r="D1545" s="92" t="s">
        <v>669</v>
      </c>
      <c r="E1545" s="85">
        <v>16.0</v>
      </c>
      <c r="F1545" s="85">
        <v>0.0</v>
      </c>
      <c r="G1545" s="32">
        <f t="shared" si="5"/>
        <v>4000</v>
      </c>
      <c r="H1545" s="32"/>
      <c r="I1545" s="14"/>
      <c r="J1545" s="14"/>
    </row>
    <row r="1546" hidden="1">
      <c r="A1546" s="88" t="s">
        <v>336</v>
      </c>
      <c r="B1546" s="92" t="s">
        <v>670</v>
      </c>
      <c r="C1546" s="92"/>
      <c r="D1546" s="92" t="s">
        <v>672</v>
      </c>
      <c r="E1546" s="85">
        <v>11.0</v>
      </c>
      <c r="F1546" s="85">
        <v>0.0</v>
      </c>
      <c r="G1546" s="32">
        <f t="shared" si="5"/>
        <v>2750</v>
      </c>
      <c r="H1546" s="32"/>
      <c r="I1546" s="14"/>
      <c r="J1546" s="14"/>
    </row>
    <row r="1547" hidden="1">
      <c r="A1547" s="88" t="s">
        <v>336</v>
      </c>
      <c r="B1547" s="92" t="s">
        <v>673</v>
      </c>
      <c r="C1547" s="92"/>
      <c r="D1547" s="92" t="s">
        <v>675</v>
      </c>
      <c r="E1547" s="85">
        <v>15.0</v>
      </c>
      <c r="F1547" s="85">
        <v>2.0</v>
      </c>
      <c r="G1547" s="32">
        <f t="shared" si="5"/>
        <v>3950</v>
      </c>
      <c r="H1547" s="32"/>
      <c r="I1547" s="14"/>
      <c r="J1547" s="14"/>
    </row>
    <row r="1548" hidden="1">
      <c r="A1548" s="88" t="s">
        <v>336</v>
      </c>
      <c r="B1548" s="92" t="s">
        <v>676</v>
      </c>
      <c r="C1548" s="92"/>
      <c r="D1548" s="92" t="s">
        <v>678</v>
      </c>
      <c r="E1548" s="85">
        <v>15.0</v>
      </c>
      <c r="F1548" s="85">
        <v>1.0</v>
      </c>
      <c r="G1548" s="32">
        <f t="shared" si="5"/>
        <v>3850</v>
      </c>
      <c r="H1548" s="32"/>
      <c r="I1548" s="14"/>
      <c r="J1548" s="14"/>
    </row>
    <row r="1549" hidden="1">
      <c r="A1549" s="88" t="s">
        <v>336</v>
      </c>
      <c r="B1549" s="92" t="s">
        <v>679</v>
      </c>
      <c r="C1549" s="92"/>
      <c r="D1549" s="92" t="s">
        <v>884</v>
      </c>
      <c r="E1549" s="85">
        <v>13.0</v>
      </c>
      <c r="F1549" s="85">
        <v>6.0</v>
      </c>
      <c r="G1549" s="32">
        <f t="shared" si="5"/>
        <v>3850</v>
      </c>
      <c r="H1549" s="32"/>
      <c r="I1549" s="14"/>
      <c r="J1549" s="14"/>
    </row>
    <row r="1550" hidden="1">
      <c r="A1550" s="88" t="s">
        <v>336</v>
      </c>
      <c r="B1550" s="92" t="s">
        <v>682</v>
      </c>
      <c r="C1550" s="92"/>
      <c r="D1550" s="92" t="s">
        <v>684</v>
      </c>
      <c r="E1550" s="85">
        <v>12.0</v>
      </c>
      <c r="F1550" s="85">
        <v>0.0</v>
      </c>
      <c r="G1550" s="32">
        <f t="shared" si="5"/>
        <v>3000</v>
      </c>
      <c r="H1550" s="32"/>
      <c r="I1550" s="14"/>
      <c r="J1550" s="14"/>
    </row>
    <row r="1551" hidden="1">
      <c r="A1551" s="88" t="s">
        <v>336</v>
      </c>
      <c r="B1551" s="92" t="s">
        <v>685</v>
      </c>
      <c r="C1551" s="92"/>
      <c r="D1551" s="92" t="s">
        <v>687</v>
      </c>
      <c r="E1551" s="85">
        <v>16.0</v>
      </c>
      <c r="F1551" s="85">
        <v>0.0</v>
      </c>
      <c r="G1551" s="32">
        <f t="shared" si="5"/>
        <v>4000</v>
      </c>
      <c r="H1551" s="32"/>
      <c r="I1551" s="14"/>
      <c r="J1551" s="14"/>
    </row>
    <row r="1552" hidden="1">
      <c r="A1552" s="88" t="s">
        <v>336</v>
      </c>
      <c r="B1552" s="92" t="s">
        <v>688</v>
      </c>
      <c r="C1552" s="92"/>
      <c r="D1552" s="92" t="s">
        <v>690</v>
      </c>
      <c r="E1552" s="85">
        <v>21.0</v>
      </c>
      <c r="F1552" s="85">
        <v>0.0</v>
      </c>
      <c r="G1552" s="32">
        <f t="shared" si="5"/>
        <v>5250</v>
      </c>
      <c r="H1552" s="32"/>
      <c r="I1552" s="14"/>
      <c r="J1552" s="14"/>
    </row>
    <row r="1553" hidden="1">
      <c r="A1553" s="88" t="s">
        <v>336</v>
      </c>
      <c r="B1553" s="92" t="s">
        <v>691</v>
      </c>
      <c r="C1553" s="92"/>
      <c r="D1553" s="92" t="s">
        <v>693</v>
      </c>
      <c r="E1553" s="85">
        <v>17.0</v>
      </c>
      <c r="F1553" s="85">
        <v>0.0</v>
      </c>
      <c r="G1553" s="32">
        <f t="shared" si="5"/>
        <v>4250</v>
      </c>
      <c r="H1553" s="32"/>
      <c r="I1553" s="14"/>
      <c r="J1553" s="14"/>
    </row>
    <row r="1554" hidden="1">
      <c r="A1554" s="88" t="s">
        <v>336</v>
      </c>
      <c r="B1554" s="92" t="s">
        <v>694</v>
      </c>
      <c r="C1554" s="92"/>
      <c r="D1554" s="92" t="s">
        <v>696</v>
      </c>
      <c r="E1554" s="85">
        <v>20.0</v>
      </c>
      <c r="F1554" s="85">
        <v>0.0</v>
      </c>
      <c r="G1554" s="32">
        <f t="shared" si="5"/>
        <v>5000</v>
      </c>
      <c r="H1554" s="32"/>
      <c r="I1554" s="14"/>
      <c r="J1554" s="14"/>
    </row>
    <row r="1555" hidden="1">
      <c r="A1555" s="88" t="s">
        <v>336</v>
      </c>
      <c r="B1555" s="92" t="s">
        <v>697</v>
      </c>
      <c r="C1555" s="92"/>
      <c r="D1555" s="92" t="s">
        <v>699</v>
      </c>
      <c r="E1555" s="85">
        <v>14.0</v>
      </c>
      <c r="F1555" s="85">
        <v>0.0</v>
      </c>
      <c r="G1555" s="32">
        <f t="shared" si="5"/>
        <v>3500</v>
      </c>
      <c r="H1555" s="32"/>
      <c r="I1555" s="14"/>
      <c r="J1555" s="14"/>
    </row>
    <row r="1556" hidden="1">
      <c r="A1556" s="88" t="s">
        <v>336</v>
      </c>
      <c r="B1556" s="92" t="s">
        <v>700</v>
      </c>
      <c r="C1556" s="92"/>
      <c r="D1556" s="92" t="s">
        <v>702</v>
      </c>
      <c r="E1556" s="85">
        <v>18.0</v>
      </c>
      <c r="F1556" s="85">
        <v>0.0</v>
      </c>
      <c r="G1556" s="32">
        <f t="shared" si="5"/>
        <v>4500</v>
      </c>
      <c r="H1556" s="32"/>
      <c r="I1556" s="14"/>
      <c r="J1556" s="14"/>
    </row>
    <row r="1557" hidden="1">
      <c r="A1557" s="88" t="s">
        <v>336</v>
      </c>
      <c r="B1557" s="92" t="s">
        <v>703</v>
      </c>
      <c r="C1557" s="92"/>
      <c r="D1557" s="92" t="s">
        <v>705</v>
      </c>
      <c r="E1557" s="85">
        <v>17.0</v>
      </c>
      <c r="F1557" s="85">
        <v>3.0</v>
      </c>
      <c r="G1557" s="32">
        <f t="shared" si="5"/>
        <v>4550</v>
      </c>
      <c r="H1557" s="32"/>
      <c r="I1557" s="14"/>
      <c r="J1557" s="14"/>
    </row>
    <row r="1558" hidden="1">
      <c r="A1558" s="88" t="s">
        <v>336</v>
      </c>
      <c r="B1558" s="92" t="s">
        <v>706</v>
      </c>
      <c r="C1558" s="92"/>
      <c r="D1558" s="92" t="s">
        <v>708</v>
      </c>
      <c r="E1558" s="85">
        <v>12.0</v>
      </c>
      <c r="F1558" s="85">
        <v>0.0</v>
      </c>
      <c r="G1558" s="32">
        <f t="shared" si="5"/>
        <v>3000</v>
      </c>
      <c r="H1558" s="32"/>
      <c r="I1558" s="14"/>
      <c r="J1558" s="14"/>
    </row>
    <row r="1559" hidden="1">
      <c r="A1559" s="88" t="s">
        <v>336</v>
      </c>
      <c r="B1559" s="92" t="s">
        <v>709</v>
      </c>
      <c r="C1559" s="92"/>
      <c r="D1559" s="92" t="s">
        <v>711</v>
      </c>
      <c r="E1559" s="85">
        <v>21.0</v>
      </c>
      <c r="F1559" s="85">
        <v>0.0</v>
      </c>
      <c r="G1559" s="32">
        <f t="shared" si="5"/>
        <v>5250</v>
      </c>
      <c r="H1559" s="32"/>
      <c r="I1559" s="14"/>
      <c r="J1559" s="14"/>
    </row>
    <row r="1560" hidden="1">
      <c r="A1560" s="88" t="s">
        <v>336</v>
      </c>
      <c r="B1560" s="92" t="s">
        <v>712</v>
      </c>
      <c r="C1560" s="92"/>
      <c r="D1560" s="92" t="s">
        <v>714</v>
      </c>
      <c r="E1560" s="85">
        <v>15.0</v>
      </c>
      <c r="F1560" s="85">
        <v>2.0</v>
      </c>
      <c r="G1560" s="32">
        <f t="shared" si="5"/>
        <v>3950</v>
      </c>
      <c r="H1560" s="32"/>
      <c r="I1560" s="14"/>
      <c r="J1560" s="14"/>
    </row>
    <row r="1561" hidden="1">
      <c r="A1561" s="88" t="s">
        <v>336</v>
      </c>
      <c r="B1561" s="92" t="s">
        <v>799</v>
      </c>
      <c r="C1561" s="92"/>
      <c r="D1561" s="92" t="s">
        <v>801</v>
      </c>
      <c r="E1561" s="85">
        <v>20.0</v>
      </c>
      <c r="F1561" s="85">
        <v>5.0</v>
      </c>
      <c r="G1561" s="32">
        <f t="shared" si="5"/>
        <v>5500</v>
      </c>
      <c r="H1561" s="32"/>
      <c r="I1561" s="14"/>
      <c r="J1561" s="14"/>
    </row>
    <row r="1562" hidden="1">
      <c r="A1562" s="88" t="s">
        <v>336</v>
      </c>
      <c r="B1562" s="92" t="s">
        <v>795</v>
      </c>
      <c r="C1562" s="92"/>
      <c r="D1562" s="92" t="s">
        <v>797</v>
      </c>
      <c r="E1562" s="85">
        <v>14.0</v>
      </c>
      <c r="F1562" s="85">
        <v>0.0</v>
      </c>
      <c r="G1562" s="32">
        <f t="shared" si="5"/>
        <v>3500</v>
      </c>
      <c r="H1562" s="32"/>
      <c r="I1562" s="14"/>
      <c r="J1562" s="14"/>
    </row>
    <row r="1563" hidden="1">
      <c r="A1563" s="88" t="s">
        <v>336</v>
      </c>
      <c r="B1563" s="92" t="s">
        <v>715</v>
      </c>
      <c r="C1563" s="92"/>
      <c r="D1563" s="92" t="s">
        <v>717</v>
      </c>
      <c r="E1563" s="85">
        <v>11.0</v>
      </c>
      <c r="F1563" s="85">
        <v>2.0</v>
      </c>
      <c r="G1563" s="32">
        <f t="shared" si="5"/>
        <v>2950</v>
      </c>
      <c r="H1563" s="32"/>
      <c r="I1563" s="14"/>
      <c r="J1563" s="14"/>
    </row>
    <row r="1564" hidden="1">
      <c r="A1564" s="88" t="s">
        <v>336</v>
      </c>
      <c r="B1564" s="92" t="s">
        <v>718</v>
      </c>
      <c r="C1564" s="92"/>
      <c r="D1564" s="92" t="s">
        <v>720</v>
      </c>
      <c r="E1564" s="85">
        <v>12.0</v>
      </c>
      <c r="F1564" s="85">
        <v>0.0</v>
      </c>
      <c r="G1564" s="32">
        <f t="shared" si="5"/>
        <v>3000</v>
      </c>
      <c r="H1564" s="32"/>
      <c r="I1564" s="14"/>
      <c r="J1564" s="14"/>
    </row>
    <row r="1565" hidden="1">
      <c r="A1565" s="88" t="s">
        <v>336</v>
      </c>
      <c r="B1565" s="92" t="s">
        <v>721</v>
      </c>
      <c r="C1565" s="92"/>
      <c r="D1565" s="92" t="s">
        <v>723</v>
      </c>
      <c r="E1565" s="85">
        <v>13.0</v>
      </c>
      <c r="F1565" s="85">
        <v>3.0</v>
      </c>
      <c r="G1565" s="32">
        <f t="shared" si="5"/>
        <v>3550</v>
      </c>
      <c r="H1565" s="32"/>
      <c r="I1565" s="14"/>
      <c r="J1565" s="14"/>
    </row>
    <row r="1566" hidden="1">
      <c r="A1566" s="88" t="s">
        <v>336</v>
      </c>
      <c r="B1566" s="93" t="s">
        <v>724</v>
      </c>
      <c r="C1566" s="92"/>
      <c r="D1566" s="92" t="s">
        <v>726</v>
      </c>
      <c r="E1566" s="85">
        <v>7.0</v>
      </c>
      <c r="F1566" s="85">
        <v>1.0</v>
      </c>
      <c r="G1566" s="32">
        <f t="shared" si="5"/>
        <v>1850</v>
      </c>
      <c r="H1566" s="32"/>
      <c r="I1566" s="14"/>
      <c r="J1566" s="14"/>
    </row>
    <row r="1567" hidden="1">
      <c r="A1567" s="88" t="s">
        <v>336</v>
      </c>
      <c r="B1567" s="92" t="s">
        <v>730</v>
      </c>
      <c r="C1567" s="92"/>
      <c r="D1567" s="92" t="s">
        <v>732</v>
      </c>
      <c r="E1567" s="85">
        <v>11.0</v>
      </c>
      <c r="F1567" s="85">
        <v>0.0</v>
      </c>
      <c r="G1567" s="32">
        <f t="shared" si="5"/>
        <v>2750</v>
      </c>
      <c r="H1567" s="32"/>
      <c r="I1567" s="14"/>
      <c r="J1567" s="14"/>
    </row>
    <row r="1568" hidden="1">
      <c r="A1568" s="88" t="s">
        <v>336</v>
      </c>
      <c r="B1568" s="92" t="s">
        <v>748</v>
      </c>
      <c r="C1568" s="92"/>
      <c r="D1568" s="92" t="s">
        <v>750</v>
      </c>
      <c r="E1568" s="85">
        <v>10.0</v>
      </c>
      <c r="F1568" s="85">
        <v>0.0</v>
      </c>
      <c r="G1568" s="32">
        <f t="shared" si="5"/>
        <v>2500</v>
      </c>
      <c r="H1568" s="32"/>
      <c r="I1568" s="14"/>
      <c r="J1568" s="14"/>
    </row>
    <row r="1569" hidden="1">
      <c r="A1569" s="88" t="s">
        <v>336</v>
      </c>
      <c r="B1569" s="92" t="s">
        <v>733</v>
      </c>
      <c r="C1569" s="92"/>
      <c r="D1569" s="92" t="s">
        <v>735</v>
      </c>
      <c r="E1569" s="85">
        <v>12.0</v>
      </c>
      <c r="F1569" s="85">
        <v>0.0</v>
      </c>
      <c r="G1569" s="32">
        <f t="shared" si="5"/>
        <v>3000</v>
      </c>
      <c r="H1569" s="32"/>
      <c r="I1569" s="14"/>
      <c r="J1569" s="14"/>
    </row>
    <row r="1570" hidden="1">
      <c r="A1570" s="88" t="s">
        <v>336</v>
      </c>
      <c r="B1570" s="92" t="s">
        <v>727</v>
      </c>
      <c r="C1570" s="92"/>
      <c r="D1570" s="92" t="s">
        <v>729</v>
      </c>
      <c r="E1570" s="85">
        <v>10.0</v>
      </c>
      <c r="F1570" s="85">
        <v>0.0</v>
      </c>
      <c r="G1570" s="32">
        <f t="shared" si="5"/>
        <v>2500</v>
      </c>
      <c r="H1570" s="32"/>
      <c r="I1570" s="14"/>
      <c r="J1570" s="14"/>
    </row>
    <row r="1571" hidden="1">
      <c r="A1571" s="88" t="s">
        <v>336</v>
      </c>
      <c r="B1571" s="92" t="s">
        <v>736</v>
      </c>
      <c r="C1571" s="92"/>
      <c r="D1571" s="92" t="s">
        <v>738</v>
      </c>
      <c r="E1571" s="85">
        <v>10.0</v>
      </c>
      <c r="F1571" s="85">
        <v>0.0</v>
      </c>
      <c r="G1571" s="32">
        <f t="shared" si="5"/>
        <v>2500</v>
      </c>
      <c r="H1571" s="32"/>
      <c r="I1571" s="14"/>
      <c r="J1571" s="14"/>
    </row>
    <row r="1572" hidden="1">
      <c r="A1572" s="88" t="s">
        <v>336</v>
      </c>
      <c r="B1572" s="92" t="s">
        <v>739</v>
      </c>
      <c r="C1572" s="92"/>
      <c r="D1572" s="92" t="s">
        <v>741</v>
      </c>
      <c r="E1572" s="85">
        <v>10.0</v>
      </c>
      <c r="F1572" s="85">
        <v>0.0</v>
      </c>
      <c r="G1572" s="32">
        <f t="shared" si="5"/>
        <v>2500</v>
      </c>
      <c r="H1572" s="32"/>
      <c r="I1572" s="14"/>
      <c r="J1572" s="14"/>
    </row>
    <row r="1573" hidden="1">
      <c r="A1573" s="88" t="s">
        <v>336</v>
      </c>
      <c r="B1573" s="92" t="s">
        <v>788</v>
      </c>
      <c r="C1573" s="92"/>
      <c r="D1573" s="92" t="s">
        <v>790</v>
      </c>
      <c r="E1573" s="85">
        <v>10.0</v>
      </c>
      <c r="F1573" s="85">
        <v>1.0</v>
      </c>
      <c r="G1573" s="32">
        <f t="shared" si="5"/>
        <v>2600</v>
      </c>
      <c r="H1573" s="32"/>
      <c r="I1573" s="14"/>
      <c r="J1573" s="14"/>
    </row>
    <row r="1574" hidden="1">
      <c r="A1574" s="88" t="s">
        <v>336</v>
      </c>
      <c r="B1574" s="92" t="s">
        <v>751</v>
      </c>
      <c r="C1574" s="92"/>
      <c r="D1574" s="92" t="s">
        <v>753</v>
      </c>
      <c r="E1574" s="85">
        <v>11.0</v>
      </c>
      <c r="F1574" s="85">
        <v>0.0</v>
      </c>
      <c r="G1574" s="32">
        <f t="shared" si="5"/>
        <v>2750</v>
      </c>
      <c r="H1574" s="32"/>
      <c r="I1574" s="14"/>
      <c r="J1574" s="14"/>
    </row>
    <row r="1575" hidden="1">
      <c r="A1575" s="88" t="s">
        <v>336</v>
      </c>
      <c r="B1575" s="92" t="s">
        <v>742</v>
      </c>
      <c r="C1575" s="92"/>
      <c r="D1575" s="92" t="s">
        <v>744</v>
      </c>
      <c r="E1575" s="85">
        <v>10.0</v>
      </c>
      <c r="F1575" s="85">
        <v>1.0</v>
      </c>
      <c r="G1575" s="32">
        <f t="shared" si="5"/>
        <v>2600</v>
      </c>
      <c r="H1575" s="32"/>
      <c r="I1575" s="14"/>
      <c r="J1575" s="14"/>
    </row>
    <row r="1576" hidden="1">
      <c r="A1576" s="88" t="s">
        <v>336</v>
      </c>
      <c r="B1576" s="16" t="s">
        <v>816</v>
      </c>
      <c r="C1576" s="92"/>
      <c r="D1576" s="92" t="s">
        <v>818</v>
      </c>
      <c r="E1576" s="85">
        <v>12.0</v>
      </c>
      <c r="F1576" s="85">
        <v>0.0</v>
      </c>
      <c r="G1576" s="32">
        <f t="shared" si="5"/>
        <v>3000</v>
      </c>
      <c r="H1576" s="32"/>
      <c r="I1576" s="14"/>
      <c r="J1576" s="14"/>
    </row>
    <row r="1577" hidden="1">
      <c r="A1577" s="88" t="s">
        <v>336</v>
      </c>
      <c r="B1577" s="16" t="s">
        <v>754</v>
      </c>
      <c r="C1577" s="92"/>
      <c r="D1577" s="92" t="s">
        <v>756</v>
      </c>
      <c r="E1577" s="85">
        <v>13.0</v>
      </c>
      <c r="F1577" s="80">
        <v>1.0</v>
      </c>
      <c r="G1577" s="32">
        <f t="shared" si="5"/>
        <v>3350</v>
      </c>
      <c r="H1577" s="32"/>
      <c r="I1577" s="14"/>
      <c r="J1577" s="14"/>
    </row>
    <row r="1578" hidden="1">
      <c r="A1578" s="88" t="s">
        <v>336</v>
      </c>
      <c r="B1578" s="7" t="s">
        <v>757</v>
      </c>
      <c r="C1578" s="92"/>
      <c r="D1578" s="92" t="s">
        <v>759</v>
      </c>
      <c r="E1578" s="85">
        <v>18.0</v>
      </c>
      <c r="F1578" s="85">
        <v>0.0</v>
      </c>
      <c r="G1578" s="32">
        <f t="shared" si="5"/>
        <v>4500</v>
      </c>
      <c r="H1578" s="32"/>
      <c r="I1578" s="14"/>
      <c r="J1578" s="14"/>
    </row>
    <row r="1579" hidden="1">
      <c r="A1579" s="88" t="s">
        <v>336</v>
      </c>
      <c r="B1579" s="16" t="s">
        <v>219</v>
      </c>
      <c r="C1579" s="92"/>
      <c r="D1579" s="92" t="s">
        <v>760</v>
      </c>
      <c r="E1579" s="85">
        <v>16.0</v>
      </c>
      <c r="F1579" s="85">
        <v>0.0</v>
      </c>
      <c r="G1579" s="32">
        <f t="shared" si="5"/>
        <v>4000</v>
      </c>
      <c r="H1579" s="32"/>
      <c r="I1579" s="14"/>
      <c r="J1579" s="14"/>
    </row>
    <row r="1580" hidden="1">
      <c r="A1580" s="88" t="s">
        <v>336</v>
      </c>
      <c r="B1580" s="16" t="s">
        <v>840</v>
      </c>
      <c r="C1580" s="92"/>
      <c r="D1580" s="92" t="s">
        <v>842</v>
      </c>
      <c r="E1580" s="85">
        <v>5.0</v>
      </c>
      <c r="F1580" s="85">
        <v>0.0</v>
      </c>
      <c r="G1580" s="32">
        <f t="shared" si="5"/>
        <v>1250</v>
      </c>
      <c r="H1580" s="32"/>
      <c r="I1580" s="14"/>
      <c r="J1580" s="14"/>
    </row>
    <row r="1581" hidden="1">
      <c r="A1581" s="88" t="s">
        <v>336</v>
      </c>
      <c r="B1581" s="7" t="s">
        <v>745</v>
      </c>
      <c r="C1581" s="92"/>
      <c r="D1581" s="92" t="s">
        <v>747</v>
      </c>
      <c r="E1581" s="85">
        <v>7.0</v>
      </c>
      <c r="F1581" s="85">
        <v>0.0</v>
      </c>
      <c r="G1581" s="32">
        <f t="shared" si="5"/>
        <v>1750</v>
      </c>
      <c r="H1581" s="32"/>
      <c r="I1581" s="14"/>
      <c r="J1581" s="14"/>
    </row>
    <row r="1582" hidden="1">
      <c r="A1582" s="88" t="s">
        <v>337</v>
      </c>
      <c r="B1582" s="92" t="s">
        <v>832</v>
      </c>
      <c r="C1582" s="92"/>
      <c r="D1582" s="92" t="s">
        <v>834</v>
      </c>
      <c r="E1582" s="85">
        <v>34.0</v>
      </c>
      <c r="F1582" s="85">
        <v>8.0</v>
      </c>
      <c r="G1582" s="32">
        <f t="shared" si="5"/>
        <v>9300</v>
      </c>
      <c r="H1582" s="32"/>
      <c r="I1582" s="14"/>
      <c r="J1582" s="14"/>
    </row>
    <row r="1583" hidden="1">
      <c r="A1583" s="88" t="s">
        <v>337</v>
      </c>
      <c r="B1583" s="92" t="s">
        <v>835</v>
      </c>
      <c r="C1583" s="92"/>
      <c r="D1583" s="92" t="s">
        <v>837</v>
      </c>
      <c r="E1583" s="85">
        <v>29.0</v>
      </c>
      <c r="F1583" s="85">
        <v>0.0</v>
      </c>
      <c r="G1583" s="32">
        <f t="shared" si="5"/>
        <v>7250</v>
      </c>
      <c r="H1583" s="32"/>
      <c r="I1583" s="14"/>
      <c r="J1583" s="14"/>
    </row>
    <row r="1584" hidden="1">
      <c r="A1584" s="88" t="s">
        <v>337</v>
      </c>
      <c r="B1584" s="92" t="s">
        <v>764</v>
      </c>
      <c r="C1584" s="92"/>
      <c r="D1584" s="92" t="s">
        <v>838</v>
      </c>
      <c r="E1584" s="85">
        <v>26.0</v>
      </c>
      <c r="F1584" s="85">
        <v>0.0</v>
      </c>
      <c r="G1584" s="32">
        <f t="shared" si="5"/>
        <v>6500</v>
      </c>
      <c r="H1584" s="32"/>
      <c r="I1584" s="14"/>
      <c r="J1584" s="14"/>
    </row>
    <row r="1585" hidden="1">
      <c r="A1585" s="88" t="s">
        <v>337</v>
      </c>
      <c r="B1585" s="92" t="s">
        <v>213</v>
      </c>
      <c r="C1585" s="92"/>
      <c r="D1585" s="92" t="s">
        <v>660</v>
      </c>
      <c r="E1585" s="85">
        <v>16.0</v>
      </c>
      <c r="F1585" s="85">
        <v>0.0</v>
      </c>
      <c r="G1585" s="32">
        <f t="shared" si="5"/>
        <v>4000</v>
      </c>
      <c r="H1585" s="32"/>
      <c r="I1585" s="14"/>
      <c r="J1585" s="14"/>
    </row>
    <row r="1586" hidden="1">
      <c r="A1586" s="88" t="s">
        <v>337</v>
      </c>
      <c r="B1586" s="92" t="s">
        <v>661</v>
      </c>
      <c r="C1586" s="92"/>
      <c r="D1586" s="92" t="s">
        <v>663</v>
      </c>
      <c r="E1586" s="85">
        <v>22.0</v>
      </c>
      <c r="F1586" s="85">
        <v>0.0</v>
      </c>
      <c r="G1586" s="32">
        <f t="shared" si="5"/>
        <v>5500</v>
      </c>
      <c r="H1586" s="32"/>
      <c r="I1586" s="14"/>
      <c r="J1586" s="14"/>
    </row>
    <row r="1587" hidden="1">
      <c r="A1587" s="88" t="s">
        <v>337</v>
      </c>
      <c r="B1587" s="92" t="s">
        <v>664</v>
      </c>
      <c r="C1587" s="92"/>
      <c r="D1587" s="92" t="s">
        <v>666</v>
      </c>
      <c r="E1587" s="85">
        <v>24.0</v>
      </c>
      <c r="F1587" s="85">
        <v>0.0</v>
      </c>
      <c r="G1587" s="32">
        <f t="shared" si="5"/>
        <v>6000</v>
      </c>
      <c r="H1587" s="32"/>
      <c r="I1587" s="14"/>
      <c r="J1587" s="14"/>
    </row>
    <row r="1588" hidden="1">
      <c r="A1588" s="88" t="s">
        <v>337</v>
      </c>
      <c r="B1588" s="92" t="s">
        <v>667</v>
      </c>
      <c r="C1588" s="92"/>
      <c r="D1588" s="92" t="s">
        <v>669</v>
      </c>
      <c r="E1588" s="85">
        <v>35.0</v>
      </c>
      <c r="F1588" s="85">
        <v>4.0</v>
      </c>
      <c r="G1588" s="32">
        <f t="shared" si="5"/>
        <v>9150</v>
      </c>
      <c r="H1588" s="32"/>
      <c r="I1588" s="14"/>
      <c r="J1588" s="14"/>
    </row>
    <row r="1589" hidden="1">
      <c r="A1589" s="88" t="s">
        <v>337</v>
      </c>
      <c r="B1589" s="92" t="s">
        <v>670</v>
      </c>
      <c r="C1589" s="92"/>
      <c r="D1589" s="92" t="s">
        <v>672</v>
      </c>
      <c r="E1589" s="85">
        <v>15.0</v>
      </c>
      <c r="F1589" s="85">
        <v>0.0</v>
      </c>
      <c r="G1589" s="32">
        <f t="shared" si="5"/>
        <v>3750</v>
      </c>
      <c r="H1589" s="32"/>
      <c r="I1589" s="14"/>
      <c r="J1589" s="14"/>
    </row>
    <row r="1590" hidden="1">
      <c r="A1590" s="88" t="s">
        <v>337</v>
      </c>
      <c r="B1590" s="92" t="s">
        <v>673</v>
      </c>
      <c r="C1590" s="92"/>
      <c r="D1590" s="92" t="s">
        <v>675</v>
      </c>
      <c r="E1590" s="85">
        <v>20.0</v>
      </c>
      <c r="F1590" s="85">
        <v>2.0</v>
      </c>
      <c r="G1590" s="32">
        <f t="shared" si="5"/>
        <v>5200</v>
      </c>
      <c r="H1590" s="32"/>
      <c r="I1590" s="14"/>
      <c r="J1590" s="14"/>
    </row>
    <row r="1591" hidden="1">
      <c r="A1591" s="88" t="s">
        <v>337</v>
      </c>
      <c r="B1591" s="92" t="s">
        <v>676</v>
      </c>
      <c r="C1591" s="92"/>
      <c r="D1591" s="92" t="s">
        <v>678</v>
      </c>
      <c r="E1591" s="85">
        <v>16.0</v>
      </c>
      <c r="F1591" s="85">
        <v>1.0</v>
      </c>
      <c r="G1591" s="32">
        <f t="shared" si="5"/>
        <v>4100</v>
      </c>
      <c r="H1591" s="32"/>
      <c r="I1591" s="14"/>
      <c r="J1591" s="14"/>
    </row>
    <row r="1592" hidden="1">
      <c r="A1592" s="88" t="s">
        <v>337</v>
      </c>
      <c r="B1592" s="92" t="s">
        <v>679</v>
      </c>
      <c r="C1592" s="92"/>
      <c r="D1592" s="92" t="s">
        <v>885</v>
      </c>
      <c r="E1592" s="85">
        <v>12.0</v>
      </c>
      <c r="F1592" s="85">
        <v>7.0</v>
      </c>
      <c r="G1592" s="32">
        <f t="shared" si="5"/>
        <v>3700</v>
      </c>
      <c r="H1592" s="32"/>
      <c r="I1592" s="14"/>
      <c r="J1592" s="14"/>
    </row>
    <row r="1593" hidden="1">
      <c r="A1593" s="88" t="s">
        <v>337</v>
      </c>
      <c r="B1593" s="92" t="s">
        <v>682</v>
      </c>
      <c r="C1593" s="92"/>
      <c r="D1593" s="92" t="s">
        <v>684</v>
      </c>
      <c r="E1593" s="85">
        <v>13.0</v>
      </c>
      <c r="F1593" s="85">
        <v>2.0</v>
      </c>
      <c r="G1593" s="32">
        <f t="shared" si="5"/>
        <v>3450</v>
      </c>
      <c r="H1593" s="32"/>
      <c r="I1593" s="14"/>
      <c r="J1593" s="14"/>
    </row>
    <row r="1594" hidden="1">
      <c r="A1594" s="88" t="s">
        <v>337</v>
      </c>
      <c r="B1594" s="92" t="s">
        <v>685</v>
      </c>
      <c r="C1594" s="92"/>
      <c r="D1594" s="92" t="s">
        <v>687</v>
      </c>
      <c r="E1594" s="85">
        <v>14.0</v>
      </c>
      <c r="F1594" s="85">
        <v>0.0</v>
      </c>
      <c r="G1594" s="32">
        <f t="shared" si="5"/>
        <v>3500</v>
      </c>
      <c r="H1594" s="32"/>
      <c r="I1594" s="14"/>
      <c r="J1594" s="14"/>
    </row>
    <row r="1595" hidden="1">
      <c r="A1595" s="88" t="s">
        <v>337</v>
      </c>
      <c r="B1595" s="92" t="s">
        <v>688</v>
      </c>
      <c r="C1595" s="92"/>
      <c r="D1595" s="92" t="s">
        <v>690</v>
      </c>
      <c r="E1595" s="85">
        <v>25.0</v>
      </c>
      <c r="F1595" s="85">
        <v>0.0</v>
      </c>
      <c r="G1595" s="32">
        <f t="shared" si="5"/>
        <v>6250</v>
      </c>
      <c r="H1595" s="32"/>
      <c r="I1595" s="14"/>
      <c r="J1595" s="14"/>
    </row>
    <row r="1596" hidden="1">
      <c r="A1596" s="88" t="s">
        <v>337</v>
      </c>
      <c r="B1596" s="92" t="s">
        <v>691</v>
      </c>
      <c r="C1596" s="92"/>
      <c r="D1596" s="92" t="s">
        <v>693</v>
      </c>
      <c r="E1596" s="85">
        <v>10.0</v>
      </c>
      <c r="F1596" s="85">
        <v>0.0</v>
      </c>
      <c r="G1596" s="32">
        <f t="shared" si="5"/>
        <v>2500</v>
      </c>
      <c r="H1596" s="32"/>
      <c r="I1596" s="14"/>
      <c r="J1596" s="14"/>
    </row>
    <row r="1597" hidden="1">
      <c r="A1597" s="88" t="s">
        <v>337</v>
      </c>
      <c r="B1597" s="92" t="s">
        <v>694</v>
      </c>
      <c r="C1597" s="92"/>
      <c r="D1597" s="92" t="s">
        <v>696</v>
      </c>
      <c r="E1597" s="85">
        <v>19.0</v>
      </c>
      <c r="F1597" s="85">
        <v>0.0</v>
      </c>
      <c r="G1597" s="32">
        <f t="shared" si="5"/>
        <v>4750</v>
      </c>
      <c r="H1597" s="32"/>
      <c r="I1597" s="14"/>
      <c r="J1597" s="14"/>
    </row>
    <row r="1598" hidden="1">
      <c r="A1598" s="88" t="s">
        <v>337</v>
      </c>
      <c r="B1598" s="92" t="s">
        <v>697</v>
      </c>
      <c r="C1598" s="92"/>
      <c r="D1598" s="92" t="s">
        <v>699</v>
      </c>
      <c r="E1598" s="85">
        <v>16.0</v>
      </c>
      <c r="F1598" s="85">
        <v>1.0</v>
      </c>
      <c r="G1598" s="32">
        <f t="shared" si="5"/>
        <v>4100</v>
      </c>
      <c r="H1598" s="32"/>
      <c r="I1598" s="14"/>
      <c r="J1598" s="14"/>
    </row>
    <row r="1599" hidden="1">
      <c r="A1599" s="88" t="s">
        <v>337</v>
      </c>
      <c r="B1599" s="92" t="s">
        <v>700</v>
      </c>
      <c r="C1599" s="92"/>
      <c r="D1599" s="92" t="s">
        <v>702</v>
      </c>
      <c r="E1599" s="85">
        <v>15.0</v>
      </c>
      <c r="F1599" s="85">
        <v>0.0</v>
      </c>
      <c r="G1599" s="32">
        <f t="shared" si="5"/>
        <v>3750</v>
      </c>
      <c r="H1599" s="32"/>
      <c r="I1599" s="14"/>
      <c r="J1599" s="14"/>
    </row>
    <row r="1600" hidden="1">
      <c r="A1600" s="88" t="s">
        <v>337</v>
      </c>
      <c r="B1600" s="92" t="s">
        <v>703</v>
      </c>
      <c r="C1600" s="92"/>
      <c r="D1600" s="92" t="s">
        <v>705</v>
      </c>
      <c r="E1600" s="85">
        <v>16.0</v>
      </c>
      <c r="F1600" s="85">
        <v>5.0</v>
      </c>
      <c r="G1600" s="32">
        <f t="shared" si="5"/>
        <v>4500</v>
      </c>
      <c r="H1600" s="32"/>
      <c r="I1600" s="14"/>
      <c r="J1600" s="14"/>
    </row>
    <row r="1601" hidden="1">
      <c r="A1601" s="88" t="s">
        <v>337</v>
      </c>
      <c r="B1601" s="92" t="s">
        <v>706</v>
      </c>
      <c r="C1601" s="92"/>
      <c r="D1601" s="92" t="s">
        <v>708</v>
      </c>
      <c r="E1601" s="85">
        <v>12.0</v>
      </c>
      <c r="F1601" s="85">
        <v>0.0</v>
      </c>
      <c r="G1601" s="32">
        <f t="shared" si="5"/>
        <v>3000</v>
      </c>
      <c r="H1601" s="32"/>
      <c r="I1601" s="14"/>
      <c r="J1601" s="14"/>
    </row>
    <row r="1602" hidden="1">
      <c r="A1602" s="88" t="s">
        <v>337</v>
      </c>
      <c r="B1602" s="92" t="s">
        <v>709</v>
      </c>
      <c r="C1602" s="92"/>
      <c r="D1602" s="92" t="s">
        <v>711</v>
      </c>
      <c r="E1602" s="85">
        <v>12.0</v>
      </c>
      <c r="F1602" s="85">
        <v>0.0</v>
      </c>
      <c r="G1602" s="32">
        <f t="shared" si="5"/>
        <v>3000</v>
      </c>
      <c r="H1602" s="32"/>
      <c r="I1602" s="14"/>
      <c r="J1602" s="14"/>
    </row>
    <row r="1603" hidden="1">
      <c r="A1603" s="88" t="s">
        <v>337</v>
      </c>
      <c r="B1603" s="92" t="s">
        <v>712</v>
      </c>
      <c r="C1603" s="92"/>
      <c r="D1603" s="92" t="s">
        <v>714</v>
      </c>
      <c r="E1603" s="85">
        <v>21.0</v>
      </c>
      <c r="F1603" s="85">
        <v>3.0</v>
      </c>
      <c r="G1603" s="32">
        <f t="shared" si="5"/>
        <v>5550</v>
      </c>
      <c r="H1603" s="32"/>
      <c r="I1603" s="14"/>
      <c r="J1603" s="14"/>
    </row>
    <row r="1604" hidden="1">
      <c r="A1604" s="88" t="s">
        <v>337</v>
      </c>
      <c r="B1604" s="92" t="s">
        <v>799</v>
      </c>
      <c r="C1604" s="92"/>
      <c r="D1604" s="92" t="s">
        <v>801</v>
      </c>
      <c r="E1604" s="85">
        <v>18.0</v>
      </c>
      <c r="F1604" s="85">
        <v>8.0</v>
      </c>
      <c r="G1604" s="32">
        <f t="shared" si="5"/>
        <v>5300</v>
      </c>
      <c r="H1604" s="32"/>
      <c r="I1604" s="14"/>
      <c r="J1604" s="14"/>
    </row>
    <row r="1605" hidden="1">
      <c r="A1605" s="88" t="s">
        <v>337</v>
      </c>
      <c r="B1605" s="92" t="s">
        <v>795</v>
      </c>
      <c r="C1605" s="92"/>
      <c r="D1605" s="92" t="s">
        <v>797</v>
      </c>
      <c r="E1605" s="85">
        <v>10.0</v>
      </c>
      <c r="F1605" s="85">
        <v>0.0</v>
      </c>
      <c r="G1605" s="32">
        <f t="shared" si="5"/>
        <v>2500</v>
      </c>
      <c r="H1605" s="32"/>
      <c r="I1605" s="14"/>
      <c r="J1605" s="14"/>
    </row>
    <row r="1606" hidden="1">
      <c r="A1606" s="88" t="s">
        <v>337</v>
      </c>
      <c r="B1606" s="92" t="s">
        <v>715</v>
      </c>
      <c r="C1606" s="92"/>
      <c r="D1606" s="92" t="s">
        <v>717</v>
      </c>
      <c r="E1606" s="85">
        <v>9.0</v>
      </c>
      <c r="F1606" s="85">
        <v>1.0</v>
      </c>
      <c r="G1606" s="32">
        <f t="shared" si="5"/>
        <v>2350</v>
      </c>
      <c r="H1606" s="32"/>
      <c r="I1606" s="14"/>
      <c r="J1606" s="14"/>
    </row>
    <row r="1607" hidden="1">
      <c r="A1607" s="88" t="s">
        <v>337</v>
      </c>
      <c r="B1607" s="92" t="s">
        <v>718</v>
      </c>
      <c r="C1607" s="92"/>
      <c r="D1607" s="92" t="s">
        <v>720</v>
      </c>
      <c r="E1607" s="85">
        <v>13.0</v>
      </c>
      <c r="F1607" s="85">
        <v>0.0</v>
      </c>
      <c r="G1607" s="32">
        <f t="shared" si="5"/>
        <v>3250</v>
      </c>
      <c r="H1607" s="32"/>
      <c r="I1607" s="14"/>
      <c r="J1607" s="14"/>
    </row>
    <row r="1608" hidden="1">
      <c r="A1608" s="88" t="s">
        <v>337</v>
      </c>
      <c r="B1608" s="92" t="s">
        <v>721</v>
      </c>
      <c r="C1608" s="92"/>
      <c r="D1608" s="92" t="s">
        <v>723</v>
      </c>
      <c r="E1608" s="85">
        <v>10.0</v>
      </c>
      <c r="F1608" s="85">
        <v>4.0</v>
      </c>
      <c r="G1608" s="32">
        <f t="shared" si="5"/>
        <v>2900</v>
      </c>
      <c r="H1608" s="32"/>
      <c r="I1608" s="14"/>
      <c r="J1608" s="14"/>
    </row>
    <row r="1609" hidden="1">
      <c r="A1609" s="88" t="s">
        <v>337</v>
      </c>
      <c r="B1609" s="93" t="s">
        <v>724</v>
      </c>
      <c r="C1609" s="92"/>
      <c r="D1609" s="92" t="s">
        <v>726</v>
      </c>
      <c r="E1609" s="85">
        <v>9.0</v>
      </c>
      <c r="F1609" s="85">
        <v>1.0</v>
      </c>
      <c r="G1609" s="32">
        <f t="shared" si="5"/>
        <v>2350</v>
      </c>
      <c r="H1609" s="32"/>
      <c r="I1609" s="14"/>
      <c r="J1609" s="14"/>
    </row>
    <row r="1610" hidden="1">
      <c r="A1610" s="88" t="s">
        <v>337</v>
      </c>
      <c r="B1610" s="92" t="s">
        <v>730</v>
      </c>
      <c r="C1610" s="92"/>
      <c r="D1610" s="92" t="s">
        <v>732</v>
      </c>
      <c r="E1610" s="85">
        <v>10.0</v>
      </c>
      <c r="F1610" s="85">
        <v>0.0</v>
      </c>
      <c r="G1610" s="32">
        <f t="shared" si="5"/>
        <v>2500</v>
      </c>
      <c r="H1610" s="32"/>
      <c r="I1610" s="14"/>
      <c r="J1610" s="14"/>
    </row>
    <row r="1611" hidden="1">
      <c r="A1611" s="88" t="s">
        <v>337</v>
      </c>
      <c r="B1611" s="92" t="s">
        <v>748</v>
      </c>
      <c r="C1611" s="92"/>
      <c r="D1611" s="92" t="s">
        <v>750</v>
      </c>
      <c r="E1611" s="85">
        <v>8.0</v>
      </c>
      <c r="F1611" s="85">
        <v>0.0</v>
      </c>
      <c r="G1611" s="32">
        <f t="shared" si="5"/>
        <v>2000</v>
      </c>
      <c r="H1611" s="32"/>
      <c r="I1611" s="14"/>
      <c r="J1611" s="14"/>
    </row>
    <row r="1612" hidden="1">
      <c r="A1612" s="88" t="s">
        <v>337</v>
      </c>
      <c r="B1612" s="92" t="s">
        <v>733</v>
      </c>
      <c r="C1612" s="92"/>
      <c r="D1612" s="92" t="s">
        <v>735</v>
      </c>
      <c r="E1612" s="85">
        <v>9.0</v>
      </c>
      <c r="F1612" s="85">
        <v>0.0</v>
      </c>
      <c r="G1612" s="32">
        <f t="shared" si="5"/>
        <v>2250</v>
      </c>
      <c r="H1612" s="32"/>
      <c r="I1612" s="14"/>
      <c r="J1612" s="14"/>
    </row>
    <row r="1613" hidden="1">
      <c r="A1613" s="88" t="s">
        <v>337</v>
      </c>
      <c r="B1613" s="92" t="s">
        <v>727</v>
      </c>
      <c r="C1613" s="92"/>
      <c r="D1613" s="92" t="s">
        <v>729</v>
      </c>
      <c r="E1613" s="85">
        <v>7.0</v>
      </c>
      <c r="F1613" s="85">
        <v>0.0</v>
      </c>
      <c r="G1613" s="32">
        <f t="shared" si="5"/>
        <v>1750</v>
      </c>
      <c r="H1613" s="32"/>
      <c r="I1613" s="14"/>
      <c r="J1613" s="14"/>
    </row>
    <row r="1614" hidden="1">
      <c r="A1614" s="88" t="s">
        <v>337</v>
      </c>
      <c r="B1614" s="92" t="s">
        <v>736</v>
      </c>
      <c r="C1614" s="92"/>
      <c r="D1614" s="92" t="s">
        <v>738</v>
      </c>
      <c r="E1614" s="85">
        <v>10.0</v>
      </c>
      <c r="F1614" s="85">
        <v>0.0</v>
      </c>
      <c r="G1614" s="32">
        <f t="shared" si="5"/>
        <v>2500</v>
      </c>
      <c r="H1614" s="32"/>
      <c r="I1614" s="14"/>
      <c r="J1614" s="14"/>
    </row>
    <row r="1615" hidden="1">
      <c r="A1615" s="88" t="s">
        <v>337</v>
      </c>
      <c r="B1615" s="92" t="s">
        <v>739</v>
      </c>
      <c r="C1615" s="92"/>
      <c r="D1615" s="92" t="s">
        <v>741</v>
      </c>
      <c r="E1615" s="85">
        <v>10.0</v>
      </c>
      <c r="F1615" s="85">
        <v>3.0</v>
      </c>
      <c r="G1615" s="32">
        <f t="shared" si="5"/>
        <v>2800</v>
      </c>
      <c r="H1615" s="32"/>
      <c r="I1615" s="14"/>
      <c r="J1615" s="14"/>
    </row>
    <row r="1616" hidden="1">
      <c r="A1616" s="88" t="s">
        <v>337</v>
      </c>
      <c r="B1616" s="92" t="s">
        <v>788</v>
      </c>
      <c r="C1616" s="92"/>
      <c r="D1616" s="92" t="s">
        <v>790</v>
      </c>
      <c r="E1616" s="85">
        <v>10.0</v>
      </c>
      <c r="F1616" s="85">
        <v>2.0</v>
      </c>
      <c r="G1616" s="32">
        <f t="shared" si="5"/>
        <v>2700</v>
      </c>
      <c r="H1616" s="32"/>
      <c r="I1616" s="14"/>
      <c r="J1616" s="14"/>
    </row>
    <row r="1617" hidden="1">
      <c r="A1617" s="88" t="s">
        <v>337</v>
      </c>
      <c r="B1617" s="92" t="s">
        <v>751</v>
      </c>
      <c r="C1617" s="92"/>
      <c r="D1617" s="92" t="s">
        <v>753</v>
      </c>
      <c r="E1617" s="85">
        <v>11.0</v>
      </c>
      <c r="F1617" s="85">
        <v>0.0</v>
      </c>
      <c r="G1617" s="32">
        <f t="shared" si="5"/>
        <v>2750</v>
      </c>
      <c r="H1617" s="32"/>
      <c r="I1617" s="14"/>
      <c r="J1617" s="14"/>
    </row>
    <row r="1618" hidden="1">
      <c r="A1618" s="88" t="s">
        <v>337</v>
      </c>
      <c r="B1618" s="92" t="s">
        <v>742</v>
      </c>
      <c r="C1618" s="92"/>
      <c r="D1618" s="92" t="s">
        <v>744</v>
      </c>
      <c r="E1618" s="85">
        <v>9.0</v>
      </c>
      <c r="F1618" s="85">
        <v>4.0</v>
      </c>
      <c r="G1618" s="32">
        <f t="shared" si="5"/>
        <v>2650</v>
      </c>
      <c r="H1618" s="32"/>
      <c r="I1618" s="14"/>
      <c r="J1618" s="14"/>
    </row>
    <row r="1619" hidden="1">
      <c r="A1619" s="88" t="s">
        <v>337</v>
      </c>
      <c r="B1619" s="16" t="s">
        <v>816</v>
      </c>
      <c r="C1619" s="92"/>
      <c r="D1619" s="92" t="s">
        <v>818</v>
      </c>
      <c r="E1619" s="85">
        <v>10.0</v>
      </c>
      <c r="F1619" s="85">
        <v>0.0</v>
      </c>
      <c r="G1619" s="32">
        <f t="shared" si="5"/>
        <v>2500</v>
      </c>
      <c r="H1619" s="32"/>
      <c r="I1619" s="14"/>
      <c r="J1619" s="14"/>
    </row>
    <row r="1620" hidden="1">
      <c r="A1620" s="88" t="s">
        <v>337</v>
      </c>
      <c r="B1620" s="16" t="s">
        <v>754</v>
      </c>
      <c r="C1620" s="92"/>
      <c r="D1620" s="92" t="s">
        <v>756</v>
      </c>
      <c r="E1620" s="85">
        <v>12.0</v>
      </c>
      <c r="F1620" s="80">
        <v>0.0</v>
      </c>
      <c r="G1620" s="32">
        <f>sum(E1620*250)+(E1619*100)</f>
        <v>4000</v>
      </c>
      <c r="H1620" s="32"/>
      <c r="I1620" s="14"/>
      <c r="J1620" s="14"/>
    </row>
    <row r="1621" hidden="1">
      <c r="A1621" s="88" t="s">
        <v>337</v>
      </c>
      <c r="B1621" s="7" t="s">
        <v>757</v>
      </c>
      <c r="C1621" s="92"/>
      <c r="D1621" s="92" t="s">
        <v>759</v>
      </c>
      <c r="E1621" s="85">
        <v>20.0</v>
      </c>
      <c r="F1621" s="85">
        <v>0.0</v>
      </c>
      <c r="G1621" s="32">
        <f t="shared" ref="G1621:G1663" si="7">sum(E1621*250)+(F1621*100)</f>
        <v>5000</v>
      </c>
      <c r="H1621" s="32"/>
      <c r="I1621" s="14"/>
      <c r="J1621" s="14"/>
    </row>
    <row r="1622" hidden="1">
      <c r="A1622" s="88" t="s">
        <v>337</v>
      </c>
      <c r="B1622" s="16" t="s">
        <v>219</v>
      </c>
      <c r="C1622" s="91"/>
      <c r="D1622" s="91" t="s">
        <v>760</v>
      </c>
      <c r="E1622" s="85">
        <v>14.0</v>
      </c>
      <c r="F1622" s="85">
        <v>0.0</v>
      </c>
      <c r="G1622" s="32">
        <f t="shared" si="7"/>
        <v>3500</v>
      </c>
      <c r="H1622" s="32"/>
      <c r="I1622" s="14"/>
      <c r="J1622" s="14"/>
    </row>
    <row r="1623" hidden="1">
      <c r="A1623" s="88" t="s">
        <v>337</v>
      </c>
      <c r="B1623" s="16" t="s">
        <v>840</v>
      </c>
      <c r="C1623" s="92"/>
      <c r="D1623" s="92" t="s">
        <v>842</v>
      </c>
      <c r="E1623" s="85">
        <v>6.0</v>
      </c>
      <c r="F1623" s="85">
        <v>1.0</v>
      </c>
      <c r="G1623" s="32">
        <f t="shared" si="7"/>
        <v>1600</v>
      </c>
      <c r="H1623" s="32"/>
      <c r="I1623" s="14"/>
      <c r="J1623" s="14"/>
    </row>
    <row r="1624" hidden="1">
      <c r="A1624" s="88" t="s">
        <v>337</v>
      </c>
      <c r="B1624" s="7" t="s">
        <v>745</v>
      </c>
      <c r="C1624" s="91"/>
      <c r="D1624" s="91" t="s">
        <v>747</v>
      </c>
      <c r="E1624" s="85">
        <v>2.0</v>
      </c>
      <c r="F1624" s="85">
        <v>0.0</v>
      </c>
      <c r="G1624" s="32">
        <f t="shared" si="7"/>
        <v>500</v>
      </c>
      <c r="H1624" s="32"/>
      <c r="I1624" s="14"/>
      <c r="J1624" s="14"/>
    </row>
    <row r="1625" hidden="1">
      <c r="A1625" s="88" t="s">
        <v>338</v>
      </c>
      <c r="B1625" s="92" t="s">
        <v>832</v>
      </c>
      <c r="C1625" s="92"/>
      <c r="D1625" s="92" t="s">
        <v>834</v>
      </c>
      <c r="E1625" s="85">
        <v>36.0</v>
      </c>
      <c r="F1625" s="85">
        <v>15.0</v>
      </c>
      <c r="G1625" s="32">
        <f t="shared" si="7"/>
        <v>10500</v>
      </c>
      <c r="H1625" s="32"/>
      <c r="I1625" s="14"/>
      <c r="J1625" s="14"/>
    </row>
    <row r="1626" hidden="1">
      <c r="A1626" s="88" t="s">
        <v>338</v>
      </c>
      <c r="B1626" s="92" t="s">
        <v>835</v>
      </c>
      <c r="C1626" s="92"/>
      <c r="D1626" s="92" t="s">
        <v>837</v>
      </c>
      <c r="E1626" s="85">
        <v>37.0</v>
      </c>
      <c r="F1626" s="85">
        <v>0.0</v>
      </c>
      <c r="G1626" s="32">
        <f t="shared" si="7"/>
        <v>9250</v>
      </c>
      <c r="H1626" s="32"/>
      <c r="I1626" s="14"/>
      <c r="J1626" s="14"/>
    </row>
    <row r="1627" hidden="1">
      <c r="A1627" s="88" t="s">
        <v>338</v>
      </c>
      <c r="B1627" s="92" t="s">
        <v>764</v>
      </c>
      <c r="C1627" s="92"/>
      <c r="D1627" s="92" t="s">
        <v>838</v>
      </c>
      <c r="E1627" s="85">
        <v>32.0</v>
      </c>
      <c r="F1627" s="85">
        <v>0.0</v>
      </c>
      <c r="G1627" s="32">
        <f t="shared" si="7"/>
        <v>8000</v>
      </c>
      <c r="H1627" s="32"/>
      <c r="I1627" s="14"/>
      <c r="J1627" s="14"/>
    </row>
    <row r="1628" hidden="1">
      <c r="A1628" s="88" t="s">
        <v>338</v>
      </c>
      <c r="B1628" s="92" t="s">
        <v>213</v>
      </c>
      <c r="C1628" s="92"/>
      <c r="D1628" s="92" t="s">
        <v>660</v>
      </c>
      <c r="E1628" s="85">
        <v>23.0</v>
      </c>
      <c r="F1628" s="85">
        <v>0.0</v>
      </c>
      <c r="G1628" s="32">
        <f t="shared" si="7"/>
        <v>5750</v>
      </c>
      <c r="H1628" s="32"/>
      <c r="I1628" s="14"/>
      <c r="J1628" s="14"/>
    </row>
    <row r="1629" hidden="1">
      <c r="A1629" s="88" t="s">
        <v>338</v>
      </c>
      <c r="B1629" s="92" t="s">
        <v>661</v>
      </c>
      <c r="C1629" s="92"/>
      <c r="D1629" s="92" t="s">
        <v>663</v>
      </c>
      <c r="E1629" s="85">
        <v>30.0</v>
      </c>
      <c r="F1629" s="85">
        <v>0.0</v>
      </c>
      <c r="G1629" s="32">
        <f t="shared" si="7"/>
        <v>7500</v>
      </c>
      <c r="H1629" s="32"/>
      <c r="I1629" s="14"/>
      <c r="J1629" s="14"/>
    </row>
    <row r="1630" hidden="1">
      <c r="A1630" s="88" t="s">
        <v>338</v>
      </c>
      <c r="B1630" s="92" t="s">
        <v>664</v>
      </c>
      <c r="C1630" s="92"/>
      <c r="D1630" s="92" t="s">
        <v>666</v>
      </c>
      <c r="E1630" s="85">
        <v>23.0</v>
      </c>
      <c r="F1630" s="85">
        <v>0.0</v>
      </c>
      <c r="G1630" s="32">
        <f t="shared" si="7"/>
        <v>5750</v>
      </c>
      <c r="H1630" s="32"/>
      <c r="I1630" s="14"/>
      <c r="J1630" s="14"/>
    </row>
    <row r="1631" hidden="1">
      <c r="A1631" s="88" t="s">
        <v>338</v>
      </c>
      <c r="B1631" s="92" t="s">
        <v>667</v>
      </c>
      <c r="C1631" s="92"/>
      <c r="D1631" s="92" t="s">
        <v>669</v>
      </c>
      <c r="E1631" s="85">
        <v>24.0</v>
      </c>
      <c r="F1631" s="85">
        <v>1.0</v>
      </c>
      <c r="G1631" s="32">
        <f t="shared" si="7"/>
        <v>6100</v>
      </c>
      <c r="H1631" s="32"/>
      <c r="I1631" s="14"/>
      <c r="J1631" s="14"/>
    </row>
    <row r="1632" hidden="1">
      <c r="A1632" s="88" t="s">
        <v>338</v>
      </c>
      <c r="B1632" s="92" t="s">
        <v>670</v>
      </c>
      <c r="C1632" s="92"/>
      <c r="D1632" s="92" t="s">
        <v>672</v>
      </c>
      <c r="E1632" s="85">
        <v>18.0</v>
      </c>
      <c r="F1632" s="85">
        <v>1.0</v>
      </c>
      <c r="G1632" s="32">
        <f t="shared" si="7"/>
        <v>4600</v>
      </c>
      <c r="H1632" s="32"/>
      <c r="I1632" s="14"/>
      <c r="J1632" s="14"/>
    </row>
    <row r="1633" hidden="1">
      <c r="A1633" s="88" t="s">
        <v>338</v>
      </c>
      <c r="B1633" s="92" t="s">
        <v>673</v>
      </c>
      <c r="C1633" s="92"/>
      <c r="D1633" s="92" t="s">
        <v>675</v>
      </c>
      <c r="E1633" s="85">
        <v>22.0</v>
      </c>
      <c r="F1633" s="85">
        <v>4.0</v>
      </c>
      <c r="G1633" s="32">
        <f t="shared" si="7"/>
        <v>5900</v>
      </c>
      <c r="H1633" s="32"/>
      <c r="I1633" s="14"/>
      <c r="J1633" s="14"/>
    </row>
    <row r="1634" hidden="1">
      <c r="A1634" s="88" t="s">
        <v>338</v>
      </c>
      <c r="B1634" s="92" t="s">
        <v>676</v>
      </c>
      <c r="C1634" s="92"/>
      <c r="D1634" s="92" t="s">
        <v>678</v>
      </c>
      <c r="E1634" s="85">
        <v>20.0</v>
      </c>
      <c r="F1634" s="85">
        <v>1.0</v>
      </c>
      <c r="G1634" s="32">
        <f t="shared" si="7"/>
        <v>5100</v>
      </c>
      <c r="H1634" s="32"/>
      <c r="I1634" s="14"/>
      <c r="J1634" s="14"/>
    </row>
    <row r="1635" hidden="1">
      <c r="A1635" s="88" t="s">
        <v>338</v>
      </c>
      <c r="B1635" s="92" t="s">
        <v>679</v>
      </c>
      <c r="C1635" s="92"/>
      <c r="D1635" s="92" t="s">
        <v>886</v>
      </c>
      <c r="E1635" s="85">
        <v>14.0</v>
      </c>
      <c r="F1635" s="85">
        <v>7.0</v>
      </c>
      <c r="G1635" s="32">
        <f t="shared" si="7"/>
        <v>4200</v>
      </c>
      <c r="H1635" s="32"/>
      <c r="I1635" s="14"/>
      <c r="J1635" s="14"/>
    </row>
    <row r="1636" hidden="1">
      <c r="A1636" s="88" t="s">
        <v>338</v>
      </c>
      <c r="B1636" s="92" t="s">
        <v>682</v>
      </c>
      <c r="C1636" s="92"/>
      <c r="D1636" s="92" t="s">
        <v>684</v>
      </c>
      <c r="E1636" s="85">
        <v>13.0</v>
      </c>
      <c r="F1636" s="85">
        <v>0.0</v>
      </c>
      <c r="G1636" s="32">
        <f t="shared" si="7"/>
        <v>3250</v>
      </c>
      <c r="H1636" s="32"/>
      <c r="I1636" s="14"/>
      <c r="J1636" s="14"/>
    </row>
    <row r="1637" hidden="1">
      <c r="A1637" s="88" t="s">
        <v>338</v>
      </c>
      <c r="B1637" s="92" t="s">
        <v>685</v>
      </c>
      <c r="C1637" s="92"/>
      <c r="D1637" s="92" t="s">
        <v>687</v>
      </c>
      <c r="E1637" s="85">
        <v>19.0</v>
      </c>
      <c r="F1637" s="85">
        <v>0.0</v>
      </c>
      <c r="G1637" s="32">
        <f t="shared" si="7"/>
        <v>4750</v>
      </c>
      <c r="H1637" s="32"/>
      <c r="I1637" s="14"/>
      <c r="J1637" s="14"/>
    </row>
    <row r="1638" hidden="1">
      <c r="A1638" s="88" t="s">
        <v>338</v>
      </c>
      <c r="B1638" s="92" t="s">
        <v>688</v>
      </c>
      <c r="C1638" s="92"/>
      <c r="D1638" s="92" t="s">
        <v>690</v>
      </c>
      <c r="E1638" s="85">
        <v>18.0</v>
      </c>
      <c r="F1638" s="85">
        <v>0.0</v>
      </c>
      <c r="G1638" s="32">
        <f t="shared" si="7"/>
        <v>4500</v>
      </c>
      <c r="H1638" s="32"/>
      <c r="I1638" s="14"/>
      <c r="J1638" s="14"/>
    </row>
    <row r="1639" hidden="1">
      <c r="A1639" s="88" t="s">
        <v>338</v>
      </c>
      <c r="B1639" s="92" t="s">
        <v>691</v>
      </c>
      <c r="C1639" s="92"/>
      <c r="D1639" s="92" t="s">
        <v>693</v>
      </c>
      <c r="E1639" s="85">
        <v>18.0</v>
      </c>
      <c r="F1639" s="85">
        <v>0.0</v>
      </c>
      <c r="G1639" s="32">
        <f t="shared" si="7"/>
        <v>4500</v>
      </c>
      <c r="H1639" s="32"/>
      <c r="I1639" s="14"/>
      <c r="J1639" s="14"/>
    </row>
    <row r="1640" hidden="1">
      <c r="A1640" s="88" t="s">
        <v>338</v>
      </c>
      <c r="B1640" s="92" t="s">
        <v>694</v>
      </c>
      <c r="C1640" s="92"/>
      <c r="D1640" s="92" t="s">
        <v>696</v>
      </c>
      <c r="E1640" s="85">
        <v>19.0</v>
      </c>
      <c r="F1640" s="85">
        <v>0.0</v>
      </c>
      <c r="G1640" s="32">
        <f t="shared" si="7"/>
        <v>4750</v>
      </c>
      <c r="H1640" s="32"/>
      <c r="I1640" s="14"/>
      <c r="J1640" s="14"/>
    </row>
    <row r="1641" hidden="1">
      <c r="A1641" s="88" t="s">
        <v>338</v>
      </c>
      <c r="B1641" s="92" t="s">
        <v>697</v>
      </c>
      <c r="C1641" s="92"/>
      <c r="D1641" s="92" t="s">
        <v>699</v>
      </c>
      <c r="E1641" s="85">
        <v>19.0</v>
      </c>
      <c r="F1641" s="85">
        <v>1.0</v>
      </c>
      <c r="G1641" s="32">
        <f t="shared" si="7"/>
        <v>4850</v>
      </c>
      <c r="H1641" s="32"/>
      <c r="I1641" s="14"/>
      <c r="J1641" s="14"/>
    </row>
    <row r="1642" hidden="1">
      <c r="A1642" s="88" t="s">
        <v>338</v>
      </c>
      <c r="B1642" s="92" t="s">
        <v>700</v>
      </c>
      <c r="C1642" s="91"/>
      <c r="D1642" s="91" t="s">
        <v>702</v>
      </c>
      <c r="E1642" s="85">
        <v>16.0</v>
      </c>
      <c r="F1642" s="85">
        <v>0.0</v>
      </c>
      <c r="G1642" s="32">
        <f t="shared" si="7"/>
        <v>4000</v>
      </c>
      <c r="H1642" s="32"/>
      <c r="I1642" s="14"/>
      <c r="J1642" s="14"/>
    </row>
    <row r="1643" hidden="1">
      <c r="A1643" s="88" t="s">
        <v>338</v>
      </c>
      <c r="B1643" s="92" t="s">
        <v>703</v>
      </c>
      <c r="C1643" s="92"/>
      <c r="D1643" s="92" t="s">
        <v>705</v>
      </c>
      <c r="E1643" s="85">
        <v>21.0</v>
      </c>
      <c r="F1643" s="85">
        <v>3.0</v>
      </c>
      <c r="G1643" s="32">
        <f t="shared" si="7"/>
        <v>5550</v>
      </c>
      <c r="H1643" s="32"/>
      <c r="I1643" s="14"/>
      <c r="J1643" s="14"/>
    </row>
    <row r="1644" hidden="1">
      <c r="A1644" s="88" t="s">
        <v>338</v>
      </c>
      <c r="B1644" s="92" t="s">
        <v>706</v>
      </c>
      <c r="C1644" s="92"/>
      <c r="D1644" s="92" t="s">
        <v>708</v>
      </c>
      <c r="E1644" s="85">
        <v>13.0</v>
      </c>
      <c r="F1644" s="85">
        <v>3.0</v>
      </c>
      <c r="G1644" s="32">
        <f t="shared" si="7"/>
        <v>3550</v>
      </c>
      <c r="H1644" s="32"/>
      <c r="I1644" s="14"/>
      <c r="J1644" s="14"/>
    </row>
    <row r="1645" hidden="1">
      <c r="A1645" s="88" t="s">
        <v>338</v>
      </c>
      <c r="B1645" s="92" t="s">
        <v>709</v>
      </c>
      <c r="C1645" s="92"/>
      <c r="D1645" s="92" t="s">
        <v>711</v>
      </c>
      <c r="E1645" s="85">
        <v>18.0</v>
      </c>
      <c r="F1645" s="85">
        <v>0.0</v>
      </c>
      <c r="G1645" s="32">
        <f t="shared" si="7"/>
        <v>4500</v>
      </c>
      <c r="H1645" s="32"/>
      <c r="I1645" s="14"/>
      <c r="J1645" s="14"/>
    </row>
    <row r="1646" hidden="1">
      <c r="A1646" s="88" t="s">
        <v>338</v>
      </c>
      <c r="B1646" s="92" t="s">
        <v>712</v>
      </c>
      <c r="C1646" s="92"/>
      <c r="D1646" s="92" t="s">
        <v>714</v>
      </c>
      <c r="E1646" s="85">
        <v>20.0</v>
      </c>
      <c r="F1646" s="85">
        <v>3.0</v>
      </c>
      <c r="G1646" s="32">
        <f t="shared" si="7"/>
        <v>5300</v>
      </c>
      <c r="H1646" s="32"/>
      <c r="I1646" s="14"/>
      <c r="J1646" s="14"/>
    </row>
    <row r="1647" hidden="1">
      <c r="A1647" s="88" t="s">
        <v>338</v>
      </c>
      <c r="B1647" s="92" t="s">
        <v>799</v>
      </c>
      <c r="C1647" s="92"/>
      <c r="D1647" s="92" t="s">
        <v>801</v>
      </c>
      <c r="E1647" s="85">
        <v>14.0</v>
      </c>
      <c r="F1647" s="85">
        <v>3.0</v>
      </c>
      <c r="G1647" s="32">
        <f t="shared" si="7"/>
        <v>3800</v>
      </c>
      <c r="H1647" s="32"/>
      <c r="I1647" s="14"/>
      <c r="J1647" s="14"/>
    </row>
    <row r="1648" hidden="1">
      <c r="A1648" s="88" t="s">
        <v>338</v>
      </c>
      <c r="B1648" s="92" t="s">
        <v>795</v>
      </c>
      <c r="C1648" s="92"/>
      <c r="D1648" s="92" t="s">
        <v>797</v>
      </c>
      <c r="E1648" s="85">
        <v>13.0</v>
      </c>
      <c r="F1648" s="85">
        <v>0.0</v>
      </c>
      <c r="G1648" s="32">
        <f t="shared" si="7"/>
        <v>3250</v>
      </c>
      <c r="H1648" s="32"/>
      <c r="I1648" s="14"/>
      <c r="J1648" s="14"/>
    </row>
    <row r="1649" hidden="1">
      <c r="A1649" s="88" t="s">
        <v>338</v>
      </c>
      <c r="B1649" s="92" t="s">
        <v>715</v>
      </c>
      <c r="C1649" s="92"/>
      <c r="D1649" s="92" t="s">
        <v>717</v>
      </c>
      <c r="E1649" s="85">
        <v>14.0</v>
      </c>
      <c r="F1649" s="85">
        <v>1.0</v>
      </c>
      <c r="G1649" s="32">
        <f t="shared" si="7"/>
        <v>3600</v>
      </c>
      <c r="H1649" s="32"/>
      <c r="I1649" s="14"/>
      <c r="J1649" s="14"/>
    </row>
    <row r="1650" hidden="1">
      <c r="A1650" s="88" t="s">
        <v>338</v>
      </c>
      <c r="B1650" s="92" t="s">
        <v>718</v>
      </c>
      <c r="C1650" s="92"/>
      <c r="D1650" s="92" t="s">
        <v>720</v>
      </c>
      <c r="E1650" s="85">
        <v>10.0</v>
      </c>
      <c r="F1650" s="85">
        <v>0.0</v>
      </c>
      <c r="G1650" s="32">
        <f t="shared" si="7"/>
        <v>2500</v>
      </c>
      <c r="H1650" s="32"/>
      <c r="I1650" s="14"/>
      <c r="J1650" s="14"/>
    </row>
    <row r="1651" hidden="1">
      <c r="A1651" s="88" t="s">
        <v>338</v>
      </c>
      <c r="B1651" s="92" t="s">
        <v>721</v>
      </c>
      <c r="C1651" s="92"/>
      <c r="D1651" s="92" t="s">
        <v>723</v>
      </c>
      <c r="E1651" s="85">
        <v>17.0</v>
      </c>
      <c r="F1651" s="85">
        <v>10.0</v>
      </c>
      <c r="G1651" s="32">
        <f t="shared" si="7"/>
        <v>5250</v>
      </c>
      <c r="H1651" s="32"/>
      <c r="I1651" s="14"/>
      <c r="J1651" s="14"/>
    </row>
    <row r="1652" hidden="1">
      <c r="A1652" s="88" t="s">
        <v>338</v>
      </c>
      <c r="B1652" s="93" t="s">
        <v>724</v>
      </c>
      <c r="C1652" s="92"/>
      <c r="D1652" s="92" t="s">
        <v>726</v>
      </c>
      <c r="E1652" s="85">
        <v>10.0</v>
      </c>
      <c r="F1652" s="85">
        <v>1.0</v>
      </c>
      <c r="G1652" s="32">
        <f t="shared" si="7"/>
        <v>2600</v>
      </c>
      <c r="H1652" s="32"/>
      <c r="I1652" s="14"/>
      <c r="J1652" s="14"/>
    </row>
    <row r="1653" hidden="1">
      <c r="A1653" s="88" t="s">
        <v>338</v>
      </c>
      <c r="B1653" s="92" t="s">
        <v>767</v>
      </c>
      <c r="C1653" s="92"/>
      <c r="D1653" s="92" t="s">
        <v>769</v>
      </c>
      <c r="E1653" s="85">
        <v>3.0</v>
      </c>
      <c r="F1653" s="85">
        <v>0.0</v>
      </c>
      <c r="G1653" s="32">
        <f t="shared" si="7"/>
        <v>750</v>
      </c>
      <c r="H1653" s="32"/>
      <c r="I1653" s="14"/>
      <c r="J1653" s="14"/>
    </row>
    <row r="1654" hidden="1">
      <c r="A1654" s="88" t="s">
        <v>338</v>
      </c>
      <c r="B1654" s="92" t="s">
        <v>730</v>
      </c>
      <c r="C1654" s="92"/>
      <c r="D1654" s="92" t="s">
        <v>732</v>
      </c>
      <c r="E1654" s="85">
        <v>12.0</v>
      </c>
      <c r="F1654" s="85">
        <v>0.0</v>
      </c>
      <c r="G1654" s="32">
        <f t="shared" si="7"/>
        <v>3000</v>
      </c>
      <c r="H1654" s="32"/>
      <c r="I1654" s="14"/>
      <c r="J1654" s="14"/>
    </row>
    <row r="1655" hidden="1">
      <c r="A1655" s="88" t="s">
        <v>338</v>
      </c>
      <c r="B1655" s="92" t="s">
        <v>748</v>
      </c>
      <c r="C1655" s="92"/>
      <c r="D1655" s="92" t="s">
        <v>750</v>
      </c>
      <c r="E1655" s="85">
        <v>10.0</v>
      </c>
      <c r="F1655" s="85">
        <v>0.0</v>
      </c>
      <c r="G1655" s="32">
        <f t="shared" si="7"/>
        <v>2500</v>
      </c>
      <c r="H1655" s="32"/>
      <c r="I1655" s="14"/>
      <c r="J1655" s="14"/>
    </row>
    <row r="1656" hidden="1">
      <c r="A1656" s="88" t="s">
        <v>338</v>
      </c>
      <c r="B1656" s="92" t="s">
        <v>733</v>
      </c>
      <c r="C1656" s="92"/>
      <c r="D1656" s="92" t="s">
        <v>735</v>
      </c>
      <c r="E1656" s="85">
        <v>14.0</v>
      </c>
      <c r="F1656" s="85">
        <v>0.0</v>
      </c>
      <c r="G1656" s="32">
        <f t="shared" si="7"/>
        <v>3500</v>
      </c>
      <c r="H1656" s="32"/>
      <c r="I1656" s="14"/>
      <c r="J1656" s="14"/>
    </row>
    <row r="1657" hidden="1">
      <c r="A1657" s="88" t="s">
        <v>338</v>
      </c>
      <c r="B1657" s="92" t="s">
        <v>727</v>
      </c>
      <c r="C1657" s="92"/>
      <c r="D1657" s="92" t="s">
        <v>729</v>
      </c>
      <c r="E1657" s="85">
        <v>11.0</v>
      </c>
      <c r="F1657" s="85">
        <v>0.0</v>
      </c>
      <c r="G1657" s="32">
        <f t="shared" si="7"/>
        <v>2750</v>
      </c>
      <c r="H1657" s="32"/>
      <c r="I1657" s="14"/>
      <c r="J1657" s="14"/>
    </row>
    <row r="1658" hidden="1">
      <c r="A1658" s="88" t="s">
        <v>338</v>
      </c>
      <c r="B1658" s="92" t="s">
        <v>736</v>
      </c>
      <c r="C1658" s="92"/>
      <c r="D1658" s="92" t="s">
        <v>738</v>
      </c>
      <c r="E1658" s="85">
        <v>12.0</v>
      </c>
      <c r="F1658" s="85">
        <v>0.0</v>
      </c>
      <c r="G1658" s="32">
        <f t="shared" si="7"/>
        <v>3000</v>
      </c>
      <c r="H1658" s="32"/>
      <c r="I1658" s="14"/>
      <c r="J1658" s="14"/>
    </row>
    <row r="1659" hidden="1">
      <c r="A1659" s="88" t="s">
        <v>338</v>
      </c>
      <c r="B1659" s="92" t="s">
        <v>739</v>
      </c>
      <c r="C1659" s="92"/>
      <c r="D1659" s="92" t="s">
        <v>741</v>
      </c>
      <c r="E1659" s="85">
        <v>10.0</v>
      </c>
      <c r="F1659" s="85">
        <v>0.0</v>
      </c>
      <c r="G1659" s="32">
        <f t="shared" si="7"/>
        <v>2500</v>
      </c>
      <c r="H1659" s="32"/>
      <c r="I1659" s="14"/>
      <c r="J1659" s="14"/>
    </row>
    <row r="1660" hidden="1">
      <c r="A1660" s="88" t="s">
        <v>338</v>
      </c>
      <c r="B1660" s="92" t="s">
        <v>788</v>
      </c>
      <c r="C1660" s="92"/>
      <c r="D1660" s="92" t="s">
        <v>790</v>
      </c>
      <c r="E1660" s="85">
        <v>12.0</v>
      </c>
      <c r="F1660" s="85">
        <v>4.0</v>
      </c>
      <c r="G1660" s="32">
        <f t="shared" si="7"/>
        <v>3400</v>
      </c>
      <c r="H1660" s="32"/>
      <c r="I1660" s="14"/>
      <c r="J1660" s="14"/>
    </row>
    <row r="1661" hidden="1">
      <c r="A1661" s="88" t="s">
        <v>338</v>
      </c>
      <c r="B1661" s="92" t="s">
        <v>751</v>
      </c>
      <c r="C1661" s="92"/>
      <c r="D1661" s="92" t="s">
        <v>753</v>
      </c>
      <c r="E1661" s="85">
        <v>12.0</v>
      </c>
      <c r="F1661" s="85">
        <v>0.0</v>
      </c>
      <c r="G1661" s="32">
        <f t="shared" si="7"/>
        <v>3000</v>
      </c>
      <c r="H1661" s="32"/>
      <c r="I1661" s="14"/>
      <c r="J1661" s="14"/>
    </row>
    <row r="1662" hidden="1">
      <c r="A1662" s="88" t="s">
        <v>338</v>
      </c>
      <c r="B1662" s="92" t="s">
        <v>742</v>
      </c>
      <c r="C1662" s="92"/>
      <c r="D1662" s="92" t="s">
        <v>744</v>
      </c>
      <c r="E1662" s="85">
        <v>13.0</v>
      </c>
      <c r="F1662" s="85">
        <v>2.0</v>
      </c>
      <c r="G1662" s="32">
        <f t="shared" si="7"/>
        <v>3450</v>
      </c>
      <c r="H1662" s="32"/>
      <c r="I1662" s="14"/>
      <c r="J1662" s="14"/>
    </row>
    <row r="1663" hidden="1">
      <c r="A1663" s="88" t="s">
        <v>338</v>
      </c>
      <c r="B1663" s="16" t="s">
        <v>816</v>
      </c>
      <c r="C1663" s="92"/>
      <c r="D1663" s="92" t="s">
        <v>818</v>
      </c>
      <c r="E1663" s="85">
        <v>13.0</v>
      </c>
      <c r="F1663" s="85">
        <v>0.0</v>
      </c>
      <c r="G1663" s="32">
        <f t="shared" si="7"/>
        <v>3250</v>
      </c>
      <c r="H1663" s="32"/>
      <c r="I1663" s="14"/>
      <c r="J1663" s="14"/>
    </row>
    <row r="1664" hidden="1">
      <c r="A1664" s="88" t="s">
        <v>338</v>
      </c>
      <c r="B1664" s="16" t="s">
        <v>754</v>
      </c>
      <c r="C1664" s="92"/>
      <c r="D1664" s="92" t="s">
        <v>756</v>
      </c>
      <c r="E1664" s="85">
        <v>14.0</v>
      </c>
      <c r="F1664" s="80">
        <v>0.0</v>
      </c>
      <c r="G1664" s="32">
        <f>sum(E1664*250)+(E1663*100)</f>
        <v>4800</v>
      </c>
      <c r="H1664" s="32"/>
      <c r="I1664" s="14"/>
      <c r="J1664" s="14"/>
    </row>
    <row r="1665" hidden="1">
      <c r="A1665" s="88" t="s">
        <v>338</v>
      </c>
      <c r="B1665" s="7" t="s">
        <v>757</v>
      </c>
      <c r="C1665" s="92"/>
      <c r="D1665" s="92" t="s">
        <v>759</v>
      </c>
      <c r="E1665" s="85">
        <v>24.0</v>
      </c>
      <c r="F1665" s="85">
        <v>0.0</v>
      </c>
      <c r="G1665" s="32">
        <f t="shared" ref="G1665:G1707" si="8">sum(E1665*250)+(F1665*100)</f>
        <v>6000</v>
      </c>
      <c r="H1665" s="32"/>
      <c r="I1665" s="14"/>
      <c r="J1665" s="14"/>
    </row>
    <row r="1666" hidden="1">
      <c r="A1666" s="88" t="s">
        <v>338</v>
      </c>
      <c r="B1666" s="16" t="s">
        <v>571</v>
      </c>
      <c r="C1666" s="92"/>
      <c r="D1666" s="92" t="s">
        <v>573</v>
      </c>
      <c r="E1666" s="85">
        <v>4.0</v>
      </c>
      <c r="F1666" s="85">
        <v>0.0</v>
      </c>
      <c r="G1666" s="32">
        <f t="shared" si="8"/>
        <v>1000</v>
      </c>
      <c r="H1666" s="32"/>
      <c r="I1666" s="14"/>
      <c r="J1666" s="14"/>
    </row>
    <row r="1667" hidden="1">
      <c r="A1667" s="88" t="s">
        <v>338</v>
      </c>
      <c r="B1667" s="7" t="s">
        <v>219</v>
      </c>
      <c r="C1667" s="91"/>
      <c r="D1667" s="91" t="s">
        <v>887</v>
      </c>
      <c r="E1667" s="85">
        <v>4.0</v>
      </c>
      <c r="F1667" s="85">
        <v>0.0</v>
      </c>
      <c r="G1667" s="32">
        <f t="shared" si="8"/>
        <v>1000</v>
      </c>
      <c r="H1667" s="32"/>
      <c r="I1667" s="14"/>
      <c r="J1667" s="14"/>
    </row>
    <row r="1668" hidden="1">
      <c r="A1668" s="88" t="s">
        <v>338</v>
      </c>
      <c r="B1668" s="7" t="s">
        <v>840</v>
      </c>
      <c r="C1668" s="91"/>
      <c r="D1668" s="91" t="s">
        <v>842</v>
      </c>
      <c r="E1668" s="85">
        <v>2.0</v>
      </c>
      <c r="F1668" s="85">
        <v>0.0</v>
      </c>
      <c r="G1668" s="32">
        <f t="shared" si="8"/>
        <v>500</v>
      </c>
      <c r="H1668" s="32"/>
      <c r="I1668" s="14"/>
      <c r="J1668" s="14"/>
    </row>
    <row r="1669" hidden="1">
      <c r="A1669" s="88" t="s">
        <v>340</v>
      </c>
      <c r="B1669" s="92" t="s">
        <v>832</v>
      </c>
      <c r="C1669" s="92"/>
      <c r="D1669" s="92" t="s">
        <v>834</v>
      </c>
      <c r="E1669" s="85">
        <v>37.0</v>
      </c>
      <c r="F1669" s="85">
        <v>16.0</v>
      </c>
      <c r="G1669" s="32">
        <f t="shared" si="8"/>
        <v>10850</v>
      </c>
      <c r="H1669" s="32"/>
      <c r="I1669" s="14"/>
      <c r="J1669" s="14"/>
    </row>
    <row r="1670" hidden="1">
      <c r="A1670" s="88" t="s">
        <v>340</v>
      </c>
      <c r="B1670" s="92" t="s">
        <v>835</v>
      </c>
      <c r="C1670" s="92"/>
      <c r="D1670" s="92" t="s">
        <v>837</v>
      </c>
      <c r="E1670" s="85">
        <v>41.0</v>
      </c>
      <c r="F1670" s="85">
        <v>0.0</v>
      </c>
      <c r="G1670" s="32">
        <f t="shared" si="8"/>
        <v>10250</v>
      </c>
      <c r="H1670" s="32"/>
      <c r="I1670" s="14"/>
      <c r="J1670" s="14"/>
    </row>
    <row r="1671" hidden="1">
      <c r="A1671" s="88" t="s">
        <v>340</v>
      </c>
      <c r="B1671" s="92" t="s">
        <v>764</v>
      </c>
      <c r="C1671" s="92"/>
      <c r="D1671" s="92" t="s">
        <v>838</v>
      </c>
      <c r="E1671" s="85">
        <v>34.0</v>
      </c>
      <c r="F1671" s="85">
        <v>0.0</v>
      </c>
      <c r="G1671" s="32">
        <f t="shared" si="8"/>
        <v>8500</v>
      </c>
      <c r="H1671" s="32"/>
      <c r="I1671" s="14"/>
      <c r="J1671" s="14"/>
    </row>
    <row r="1672" hidden="1">
      <c r="A1672" s="88" t="s">
        <v>340</v>
      </c>
      <c r="B1672" s="92" t="s">
        <v>213</v>
      </c>
      <c r="C1672" s="92"/>
      <c r="D1672" s="92" t="s">
        <v>660</v>
      </c>
      <c r="E1672" s="85">
        <v>28.0</v>
      </c>
      <c r="F1672" s="85">
        <v>0.0</v>
      </c>
      <c r="G1672" s="32">
        <f t="shared" si="8"/>
        <v>7000</v>
      </c>
      <c r="H1672" s="32"/>
      <c r="I1672" s="14"/>
      <c r="J1672" s="14"/>
    </row>
    <row r="1673" hidden="1">
      <c r="A1673" s="88" t="s">
        <v>340</v>
      </c>
      <c r="B1673" s="92" t="s">
        <v>661</v>
      </c>
      <c r="C1673" s="92"/>
      <c r="D1673" s="92" t="s">
        <v>663</v>
      </c>
      <c r="E1673" s="85">
        <v>33.0</v>
      </c>
      <c r="F1673" s="85">
        <v>0.0</v>
      </c>
      <c r="G1673" s="32">
        <f t="shared" si="8"/>
        <v>8250</v>
      </c>
      <c r="H1673" s="32"/>
      <c r="I1673" s="14"/>
      <c r="J1673" s="14"/>
    </row>
    <row r="1674" hidden="1">
      <c r="A1674" s="88" t="s">
        <v>340</v>
      </c>
      <c r="B1674" s="92" t="s">
        <v>664</v>
      </c>
      <c r="C1674" s="92"/>
      <c r="D1674" s="92" t="s">
        <v>666</v>
      </c>
      <c r="E1674" s="85">
        <v>34.0</v>
      </c>
      <c r="F1674" s="85">
        <v>0.0</v>
      </c>
      <c r="G1674" s="32">
        <f t="shared" si="8"/>
        <v>8500</v>
      </c>
      <c r="H1674" s="32"/>
      <c r="I1674" s="14"/>
      <c r="J1674" s="14"/>
    </row>
    <row r="1675" hidden="1">
      <c r="A1675" s="88" t="s">
        <v>340</v>
      </c>
      <c r="B1675" s="92" t="s">
        <v>667</v>
      </c>
      <c r="C1675" s="92"/>
      <c r="D1675" s="92" t="s">
        <v>669</v>
      </c>
      <c r="E1675" s="85">
        <v>33.0</v>
      </c>
      <c r="F1675" s="85">
        <v>6.0</v>
      </c>
      <c r="G1675" s="32">
        <f t="shared" si="8"/>
        <v>8850</v>
      </c>
      <c r="H1675" s="32"/>
      <c r="I1675" s="14"/>
      <c r="J1675" s="14"/>
    </row>
    <row r="1676" hidden="1">
      <c r="A1676" s="88" t="s">
        <v>340</v>
      </c>
      <c r="B1676" s="92" t="s">
        <v>670</v>
      </c>
      <c r="C1676" s="92"/>
      <c r="D1676" s="92" t="s">
        <v>672</v>
      </c>
      <c r="E1676" s="85">
        <v>14.0</v>
      </c>
      <c r="F1676" s="85">
        <v>0.0</v>
      </c>
      <c r="G1676" s="32">
        <f t="shared" si="8"/>
        <v>3500</v>
      </c>
      <c r="H1676" s="32"/>
      <c r="I1676" s="14"/>
      <c r="J1676" s="14"/>
    </row>
    <row r="1677" hidden="1">
      <c r="A1677" s="88" t="s">
        <v>340</v>
      </c>
      <c r="B1677" s="92" t="s">
        <v>673</v>
      </c>
      <c r="C1677" s="92"/>
      <c r="D1677" s="92" t="s">
        <v>675</v>
      </c>
      <c r="E1677" s="85">
        <v>29.0</v>
      </c>
      <c r="F1677" s="85">
        <v>11.0</v>
      </c>
      <c r="G1677" s="32">
        <f t="shared" si="8"/>
        <v>8350</v>
      </c>
      <c r="H1677" s="32"/>
      <c r="I1677" s="14"/>
      <c r="J1677" s="14"/>
    </row>
    <row r="1678" hidden="1">
      <c r="A1678" s="88" t="s">
        <v>340</v>
      </c>
      <c r="B1678" s="92" t="s">
        <v>676</v>
      </c>
      <c r="C1678" s="92"/>
      <c r="D1678" s="92" t="s">
        <v>678</v>
      </c>
      <c r="E1678" s="85">
        <v>19.0</v>
      </c>
      <c r="F1678" s="85">
        <v>4.0</v>
      </c>
      <c r="G1678" s="32">
        <f t="shared" si="8"/>
        <v>5150</v>
      </c>
      <c r="H1678" s="32"/>
      <c r="I1678" s="14"/>
      <c r="J1678" s="14"/>
    </row>
    <row r="1679" hidden="1">
      <c r="A1679" s="88" t="s">
        <v>340</v>
      </c>
      <c r="B1679" s="92" t="s">
        <v>679</v>
      </c>
      <c r="C1679" s="92"/>
      <c r="D1679" s="92" t="s">
        <v>888</v>
      </c>
      <c r="E1679" s="85">
        <v>20.0</v>
      </c>
      <c r="F1679" s="85">
        <v>8.0</v>
      </c>
      <c r="G1679" s="32">
        <f t="shared" si="8"/>
        <v>5800</v>
      </c>
      <c r="H1679" s="32"/>
      <c r="I1679" s="14"/>
      <c r="J1679" s="14"/>
    </row>
    <row r="1680" hidden="1">
      <c r="A1680" s="88" t="s">
        <v>340</v>
      </c>
      <c r="B1680" s="92" t="s">
        <v>682</v>
      </c>
      <c r="C1680" s="92"/>
      <c r="D1680" s="92" t="s">
        <v>684</v>
      </c>
      <c r="E1680" s="85">
        <v>15.0</v>
      </c>
      <c r="F1680" s="85">
        <v>0.0</v>
      </c>
      <c r="G1680" s="32">
        <f t="shared" si="8"/>
        <v>3750</v>
      </c>
      <c r="H1680" s="32"/>
      <c r="I1680" s="14"/>
      <c r="J1680" s="14"/>
    </row>
    <row r="1681" hidden="1">
      <c r="A1681" s="88" t="s">
        <v>340</v>
      </c>
      <c r="B1681" s="92" t="s">
        <v>685</v>
      </c>
      <c r="C1681" s="92"/>
      <c r="D1681" s="92" t="s">
        <v>687</v>
      </c>
      <c r="E1681" s="85">
        <v>19.0</v>
      </c>
      <c r="F1681" s="85">
        <v>0.0</v>
      </c>
      <c r="G1681" s="32">
        <f t="shared" si="8"/>
        <v>4750</v>
      </c>
      <c r="H1681" s="32"/>
      <c r="I1681" s="14"/>
      <c r="J1681" s="14"/>
    </row>
    <row r="1682" hidden="1">
      <c r="A1682" s="88" t="s">
        <v>340</v>
      </c>
      <c r="B1682" s="92" t="s">
        <v>688</v>
      </c>
      <c r="C1682" s="92"/>
      <c r="D1682" s="92" t="s">
        <v>690</v>
      </c>
      <c r="E1682" s="85">
        <v>24.0</v>
      </c>
      <c r="F1682" s="85">
        <v>0.0</v>
      </c>
      <c r="G1682" s="32">
        <f t="shared" si="8"/>
        <v>6000</v>
      </c>
      <c r="H1682" s="32"/>
      <c r="I1682" s="14"/>
      <c r="J1682" s="14"/>
    </row>
    <row r="1683" hidden="1">
      <c r="A1683" s="88" t="s">
        <v>340</v>
      </c>
      <c r="B1683" s="92" t="s">
        <v>691</v>
      </c>
      <c r="C1683" s="92"/>
      <c r="D1683" s="92" t="s">
        <v>693</v>
      </c>
      <c r="E1683" s="85">
        <v>18.0</v>
      </c>
      <c r="F1683" s="85">
        <v>0.0</v>
      </c>
      <c r="G1683" s="32">
        <f t="shared" si="8"/>
        <v>4500</v>
      </c>
      <c r="H1683" s="32"/>
      <c r="I1683" s="14"/>
      <c r="J1683" s="14"/>
    </row>
    <row r="1684" hidden="1">
      <c r="A1684" s="88" t="s">
        <v>340</v>
      </c>
      <c r="B1684" s="92" t="s">
        <v>694</v>
      </c>
      <c r="C1684" s="92"/>
      <c r="D1684" s="92" t="s">
        <v>696</v>
      </c>
      <c r="E1684" s="85">
        <v>21.0</v>
      </c>
      <c r="F1684" s="85">
        <v>0.0</v>
      </c>
      <c r="G1684" s="32">
        <f t="shared" si="8"/>
        <v>5250</v>
      </c>
      <c r="H1684" s="32"/>
      <c r="I1684" s="14"/>
      <c r="J1684" s="14"/>
    </row>
    <row r="1685" hidden="1">
      <c r="A1685" s="88" t="s">
        <v>340</v>
      </c>
      <c r="B1685" s="92" t="s">
        <v>697</v>
      </c>
      <c r="C1685" s="92"/>
      <c r="D1685" s="92" t="s">
        <v>699</v>
      </c>
      <c r="E1685" s="85">
        <v>12.0</v>
      </c>
      <c r="F1685" s="85">
        <v>0.0</v>
      </c>
      <c r="G1685" s="32">
        <f t="shared" si="8"/>
        <v>3000</v>
      </c>
      <c r="H1685" s="32"/>
      <c r="I1685" s="14"/>
      <c r="J1685" s="14"/>
    </row>
    <row r="1686" hidden="1">
      <c r="A1686" s="88" t="s">
        <v>340</v>
      </c>
      <c r="B1686" s="92" t="s">
        <v>700</v>
      </c>
      <c r="C1686" s="92"/>
      <c r="D1686" s="92" t="s">
        <v>889</v>
      </c>
      <c r="E1686" s="85">
        <v>29.0</v>
      </c>
      <c r="F1686" s="85">
        <v>0.0</v>
      </c>
      <c r="G1686" s="32">
        <f t="shared" si="8"/>
        <v>7250</v>
      </c>
      <c r="H1686" s="32"/>
      <c r="I1686" s="14"/>
      <c r="J1686" s="14"/>
    </row>
    <row r="1687" hidden="1">
      <c r="A1687" s="88" t="s">
        <v>340</v>
      </c>
      <c r="B1687" s="92" t="s">
        <v>703</v>
      </c>
      <c r="C1687" s="92"/>
      <c r="D1687" s="92" t="s">
        <v>705</v>
      </c>
      <c r="E1687" s="85">
        <v>23.0</v>
      </c>
      <c r="F1687" s="85">
        <v>2.0</v>
      </c>
      <c r="G1687" s="32">
        <f t="shared" si="8"/>
        <v>5950</v>
      </c>
      <c r="H1687" s="32"/>
      <c r="I1687" s="14"/>
      <c r="J1687" s="14"/>
    </row>
    <row r="1688" hidden="1">
      <c r="A1688" s="88" t="s">
        <v>340</v>
      </c>
      <c r="B1688" s="92" t="s">
        <v>706</v>
      </c>
      <c r="C1688" s="92"/>
      <c r="D1688" s="92" t="s">
        <v>708</v>
      </c>
      <c r="E1688" s="85">
        <v>13.0</v>
      </c>
      <c r="F1688" s="85">
        <v>0.0</v>
      </c>
      <c r="G1688" s="32">
        <f t="shared" si="8"/>
        <v>3250</v>
      </c>
      <c r="H1688" s="32"/>
      <c r="I1688" s="14"/>
      <c r="J1688" s="14"/>
    </row>
    <row r="1689" hidden="1">
      <c r="A1689" s="88" t="s">
        <v>340</v>
      </c>
      <c r="B1689" s="92" t="s">
        <v>709</v>
      </c>
      <c r="C1689" s="92"/>
      <c r="D1689" s="92" t="s">
        <v>711</v>
      </c>
      <c r="E1689" s="85">
        <v>18.0</v>
      </c>
      <c r="F1689" s="85">
        <v>0.0</v>
      </c>
      <c r="G1689" s="32">
        <f t="shared" si="8"/>
        <v>4500</v>
      </c>
      <c r="H1689" s="32"/>
      <c r="I1689" s="14"/>
      <c r="J1689" s="14"/>
    </row>
    <row r="1690" hidden="1">
      <c r="A1690" s="88" t="s">
        <v>340</v>
      </c>
      <c r="B1690" s="92" t="s">
        <v>712</v>
      </c>
      <c r="C1690" s="92"/>
      <c r="D1690" s="92" t="s">
        <v>714</v>
      </c>
      <c r="E1690" s="85">
        <v>15.0</v>
      </c>
      <c r="F1690" s="85">
        <v>2.0</v>
      </c>
      <c r="G1690" s="32">
        <f t="shared" si="8"/>
        <v>3950</v>
      </c>
      <c r="H1690" s="32"/>
      <c r="I1690" s="14"/>
      <c r="J1690" s="14"/>
    </row>
    <row r="1691" hidden="1">
      <c r="A1691" s="88" t="s">
        <v>340</v>
      </c>
      <c r="B1691" s="92" t="s">
        <v>799</v>
      </c>
      <c r="C1691" s="92"/>
      <c r="D1691" s="92" t="s">
        <v>801</v>
      </c>
      <c r="E1691" s="85">
        <v>16.0</v>
      </c>
      <c r="F1691" s="85">
        <v>5.0</v>
      </c>
      <c r="G1691" s="32">
        <f t="shared" si="8"/>
        <v>4500</v>
      </c>
      <c r="H1691" s="32"/>
      <c r="I1691" s="14"/>
      <c r="J1691" s="14"/>
    </row>
    <row r="1692" hidden="1">
      <c r="A1692" s="88" t="s">
        <v>340</v>
      </c>
      <c r="B1692" s="92" t="s">
        <v>795</v>
      </c>
      <c r="C1692" s="92"/>
      <c r="D1692" s="92" t="s">
        <v>797</v>
      </c>
      <c r="E1692" s="85">
        <v>11.0</v>
      </c>
      <c r="F1692" s="85">
        <v>0.0</v>
      </c>
      <c r="G1692" s="32">
        <f t="shared" si="8"/>
        <v>2750</v>
      </c>
      <c r="H1692" s="32"/>
      <c r="I1692" s="14"/>
      <c r="J1692" s="14"/>
    </row>
    <row r="1693" hidden="1">
      <c r="A1693" s="88" t="s">
        <v>340</v>
      </c>
      <c r="B1693" s="92" t="s">
        <v>715</v>
      </c>
      <c r="C1693" s="92"/>
      <c r="D1693" s="92" t="s">
        <v>717</v>
      </c>
      <c r="E1693" s="85">
        <v>19.0</v>
      </c>
      <c r="F1693" s="85">
        <v>0.0</v>
      </c>
      <c r="G1693" s="32">
        <f t="shared" si="8"/>
        <v>4750</v>
      </c>
      <c r="H1693" s="32"/>
      <c r="I1693" s="14"/>
      <c r="J1693" s="14"/>
    </row>
    <row r="1694" hidden="1">
      <c r="A1694" s="88" t="s">
        <v>340</v>
      </c>
      <c r="B1694" s="92" t="s">
        <v>718</v>
      </c>
      <c r="C1694" s="92"/>
      <c r="D1694" s="92" t="s">
        <v>720</v>
      </c>
      <c r="E1694" s="85">
        <v>17.0</v>
      </c>
      <c r="F1694" s="85">
        <v>1.0</v>
      </c>
      <c r="G1694" s="32">
        <f t="shared" si="8"/>
        <v>4350</v>
      </c>
      <c r="H1694" s="32"/>
      <c r="I1694" s="14"/>
      <c r="J1694" s="14"/>
    </row>
    <row r="1695" hidden="1">
      <c r="A1695" s="88" t="s">
        <v>340</v>
      </c>
      <c r="B1695" s="92" t="s">
        <v>721</v>
      </c>
      <c r="C1695" s="92"/>
      <c r="D1695" s="92" t="s">
        <v>723</v>
      </c>
      <c r="E1695" s="85">
        <v>14.0</v>
      </c>
      <c r="F1695" s="85">
        <v>11.0</v>
      </c>
      <c r="G1695" s="32">
        <f t="shared" si="8"/>
        <v>4600</v>
      </c>
      <c r="H1695" s="32"/>
      <c r="I1695" s="14"/>
      <c r="J1695" s="14"/>
    </row>
    <row r="1696" hidden="1">
      <c r="A1696" s="88" t="s">
        <v>340</v>
      </c>
      <c r="B1696" s="93" t="s">
        <v>724</v>
      </c>
      <c r="C1696" s="92"/>
      <c r="D1696" s="92" t="s">
        <v>726</v>
      </c>
      <c r="E1696" s="85">
        <v>18.0</v>
      </c>
      <c r="F1696" s="85">
        <v>3.0</v>
      </c>
      <c r="G1696" s="32">
        <f t="shared" si="8"/>
        <v>4800</v>
      </c>
      <c r="H1696" s="32"/>
      <c r="I1696" s="14"/>
      <c r="J1696" s="14"/>
    </row>
    <row r="1697" hidden="1">
      <c r="A1697" s="88" t="s">
        <v>340</v>
      </c>
      <c r="B1697" s="92" t="s">
        <v>767</v>
      </c>
      <c r="C1697" s="92"/>
      <c r="D1697" s="92" t="s">
        <v>769</v>
      </c>
      <c r="E1697" s="85">
        <v>22.0</v>
      </c>
      <c r="F1697" s="85">
        <v>0.0</v>
      </c>
      <c r="G1697" s="32">
        <f t="shared" si="8"/>
        <v>5500</v>
      </c>
      <c r="H1697" s="32"/>
      <c r="I1697" s="14"/>
      <c r="J1697" s="14"/>
    </row>
    <row r="1698" hidden="1">
      <c r="A1698" s="88" t="s">
        <v>340</v>
      </c>
      <c r="B1698" s="92" t="s">
        <v>730</v>
      </c>
      <c r="C1698" s="92"/>
      <c r="D1698" s="92" t="s">
        <v>732</v>
      </c>
      <c r="E1698" s="85">
        <v>16.0</v>
      </c>
      <c r="F1698" s="85">
        <v>0.0</v>
      </c>
      <c r="G1698" s="32">
        <f t="shared" si="8"/>
        <v>4000</v>
      </c>
      <c r="H1698" s="32"/>
      <c r="I1698" s="14"/>
      <c r="J1698" s="14"/>
    </row>
    <row r="1699" hidden="1">
      <c r="A1699" s="88" t="s">
        <v>340</v>
      </c>
      <c r="B1699" s="92" t="s">
        <v>748</v>
      </c>
      <c r="C1699" s="92"/>
      <c r="D1699" s="92" t="s">
        <v>750</v>
      </c>
      <c r="E1699" s="85">
        <v>14.0</v>
      </c>
      <c r="F1699" s="85">
        <v>0.0</v>
      </c>
      <c r="G1699" s="32">
        <f t="shared" si="8"/>
        <v>3500</v>
      </c>
      <c r="H1699" s="32"/>
      <c r="I1699" s="14"/>
      <c r="J1699" s="14"/>
    </row>
    <row r="1700" hidden="1">
      <c r="A1700" s="88" t="s">
        <v>340</v>
      </c>
      <c r="B1700" s="92" t="s">
        <v>733</v>
      </c>
      <c r="C1700" s="92"/>
      <c r="D1700" s="92" t="s">
        <v>735</v>
      </c>
      <c r="E1700" s="85">
        <v>17.0</v>
      </c>
      <c r="F1700" s="85">
        <v>0.0</v>
      </c>
      <c r="G1700" s="32">
        <f t="shared" si="8"/>
        <v>4250</v>
      </c>
      <c r="H1700" s="32"/>
      <c r="I1700" s="14"/>
      <c r="J1700" s="14"/>
    </row>
    <row r="1701" hidden="1">
      <c r="A1701" s="88" t="s">
        <v>340</v>
      </c>
      <c r="B1701" s="92" t="s">
        <v>727</v>
      </c>
      <c r="C1701" s="92"/>
      <c r="D1701" s="92" t="s">
        <v>729</v>
      </c>
      <c r="E1701" s="85">
        <v>14.0</v>
      </c>
      <c r="F1701" s="85">
        <v>0.0</v>
      </c>
      <c r="G1701" s="32">
        <f t="shared" si="8"/>
        <v>3500</v>
      </c>
      <c r="H1701" s="32"/>
      <c r="I1701" s="14"/>
      <c r="J1701" s="14"/>
    </row>
    <row r="1702" hidden="1">
      <c r="A1702" s="88" t="s">
        <v>340</v>
      </c>
      <c r="B1702" s="92" t="s">
        <v>736</v>
      </c>
      <c r="C1702" s="92"/>
      <c r="D1702" s="92" t="s">
        <v>738</v>
      </c>
      <c r="E1702" s="85">
        <v>16.0</v>
      </c>
      <c r="F1702" s="85">
        <v>0.0</v>
      </c>
      <c r="G1702" s="32">
        <f t="shared" si="8"/>
        <v>4000</v>
      </c>
      <c r="H1702" s="32"/>
      <c r="I1702" s="14"/>
      <c r="J1702" s="14"/>
    </row>
    <row r="1703" hidden="1">
      <c r="A1703" s="88" t="s">
        <v>340</v>
      </c>
      <c r="B1703" s="92" t="s">
        <v>739</v>
      </c>
      <c r="C1703" s="92"/>
      <c r="D1703" s="92" t="s">
        <v>741</v>
      </c>
      <c r="E1703" s="85">
        <v>9.0</v>
      </c>
      <c r="F1703" s="85">
        <v>1.0</v>
      </c>
      <c r="G1703" s="32">
        <f t="shared" si="8"/>
        <v>2350</v>
      </c>
      <c r="H1703" s="32"/>
      <c r="I1703" s="14"/>
      <c r="J1703" s="14"/>
    </row>
    <row r="1704" hidden="1">
      <c r="A1704" s="88" t="s">
        <v>340</v>
      </c>
      <c r="B1704" s="92" t="s">
        <v>788</v>
      </c>
      <c r="C1704" s="92"/>
      <c r="D1704" s="92" t="s">
        <v>790</v>
      </c>
      <c r="E1704" s="85">
        <v>11.0</v>
      </c>
      <c r="F1704" s="85">
        <v>3.0</v>
      </c>
      <c r="G1704" s="32">
        <f t="shared" si="8"/>
        <v>3050</v>
      </c>
      <c r="H1704" s="32"/>
      <c r="I1704" s="14"/>
      <c r="J1704" s="14"/>
    </row>
    <row r="1705" hidden="1">
      <c r="A1705" s="88" t="s">
        <v>340</v>
      </c>
      <c r="B1705" s="92" t="s">
        <v>751</v>
      </c>
      <c r="C1705" s="92"/>
      <c r="D1705" s="92" t="s">
        <v>753</v>
      </c>
      <c r="E1705" s="85">
        <v>19.0</v>
      </c>
      <c r="F1705" s="85">
        <v>0.0</v>
      </c>
      <c r="G1705" s="32">
        <f t="shared" si="8"/>
        <v>4750</v>
      </c>
      <c r="H1705" s="32"/>
      <c r="I1705" s="14"/>
      <c r="J1705" s="14"/>
    </row>
    <row r="1706" hidden="1">
      <c r="A1706" s="88" t="s">
        <v>340</v>
      </c>
      <c r="B1706" s="92" t="s">
        <v>742</v>
      </c>
      <c r="C1706" s="92"/>
      <c r="D1706" s="92" t="s">
        <v>744</v>
      </c>
      <c r="E1706" s="85">
        <v>17.0</v>
      </c>
      <c r="F1706" s="85">
        <v>3.0</v>
      </c>
      <c r="G1706" s="32">
        <f t="shared" si="8"/>
        <v>4550</v>
      </c>
      <c r="H1706" s="32"/>
      <c r="I1706" s="14"/>
      <c r="J1706" s="14"/>
    </row>
    <row r="1707" hidden="1">
      <c r="A1707" s="88" t="s">
        <v>340</v>
      </c>
      <c r="B1707" s="16" t="s">
        <v>816</v>
      </c>
      <c r="C1707" s="92"/>
      <c r="D1707" s="92" t="s">
        <v>818</v>
      </c>
      <c r="E1707" s="85">
        <v>12.0</v>
      </c>
      <c r="F1707" s="85">
        <v>0.0</v>
      </c>
      <c r="G1707" s="32">
        <f t="shared" si="8"/>
        <v>3000</v>
      </c>
      <c r="H1707" s="32"/>
      <c r="I1707" s="14"/>
      <c r="J1707" s="14"/>
    </row>
    <row r="1708" hidden="1">
      <c r="A1708" s="88" t="s">
        <v>340</v>
      </c>
      <c r="B1708" s="16" t="s">
        <v>754</v>
      </c>
      <c r="C1708" s="92"/>
      <c r="D1708" s="92" t="s">
        <v>756</v>
      </c>
      <c r="E1708" s="85">
        <v>15.0</v>
      </c>
      <c r="F1708" s="80">
        <v>0.0</v>
      </c>
      <c r="G1708" s="32">
        <f>sum(E1708*250)+(E1707*100)</f>
        <v>4950</v>
      </c>
      <c r="H1708" s="32"/>
      <c r="I1708" s="14"/>
      <c r="J1708" s="14"/>
    </row>
    <row r="1709" hidden="1">
      <c r="A1709" s="88" t="s">
        <v>340</v>
      </c>
      <c r="B1709" s="7" t="s">
        <v>757</v>
      </c>
      <c r="C1709" s="92"/>
      <c r="D1709" s="92" t="s">
        <v>759</v>
      </c>
      <c r="E1709" s="85">
        <v>26.0</v>
      </c>
      <c r="F1709" s="85">
        <v>0.0</v>
      </c>
      <c r="G1709" s="32">
        <f t="shared" ref="G1709:G1749" si="9">sum(E1709*250)+(F1709*100)</f>
        <v>6500</v>
      </c>
      <c r="H1709" s="32"/>
      <c r="I1709" s="14"/>
      <c r="J1709" s="14"/>
    </row>
    <row r="1710" hidden="1">
      <c r="A1710" s="88" t="s">
        <v>340</v>
      </c>
      <c r="B1710" s="7" t="s">
        <v>571</v>
      </c>
      <c r="C1710" s="91"/>
      <c r="D1710" s="91" t="s">
        <v>573</v>
      </c>
      <c r="E1710" s="85">
        <v>4.0</v>
      </c>
      <c r="F1710" s="85">
        <v>0.0</v>
      </c>
      <c r="G1710" s="32">
        <f t="shared" si="9"/>
        <v>1000</v>
      </c>
      <c r="H1710" s="32"/>
      <c r="I1710" s="14"/>
      <c r="J1710" s="14"/>
    </row>
    <row r="1711" hidden="1">
      <c r="A1711" s="88" t="s">
        <v>341</v>
      </c>
      <c r="B1711" s="92" t="s">
        <v>832</v>
      </c>
      <c r="C1711" s="91"/>
      <c r="D1711" s="91" t="s">
        <v>834</v>
      </c>
      <c r="E1711" s="85">
        <v>24.0</v>
      </c>
      <c r="F1711" s="85">
        <v>11.0</v>
      </c>
      <c r="G1711" s="32">
        <f t="shared" si="9"/>
        <v>7100</v>
      </c>
      <c r="H1711" s="32"/>
      <c r="I1711" s="14"/>
      <c r="J1711" s="14"/>
    </row>
    <row r="1712" hidden="1">
      <c r="A1712" s="88" t="s">
        <v>341</v>
      </c>
      <c r="B1712" s="92" t="s">
        <v>835</v>
      </c>
      <c r="C1712" s="92"/>
      <c r="D1712" s="92" t="s">
        <v>837</v>
      </c>
      <c r="E1712" s="85">
        <v>32.0</v>
      </c>
      <c r="F1712" s="85">
        <v>0.0</v>
      </c>
      <c r="G1712" s="32">
        <f t="shared" si="9"/>
        <v>8000</v>
      </c>
      <c r="H1712" s="32"/>
      <c r="I1712" s="14"/>
      <c r="J1712" s="14"/>
    </row>
    <row r="1713" hidden="1">
      <c r="A1713" s="88" t="s">
        <v>341</v>
      </c>
      <c r="B1713" s="92" t="s">
        <v>764</v>
      </c>
      <c r="C1713" s="92"/>
      <c r="D1713" s="92" t="s">
        <v>838</v>
      </c>
      <c r="E1713" s="85">
        <v>31.0</v>
      </c>
      <c r="F1713" s="85">
        <v>0.0</v>
      </c>
      <c r="G1713" s="32">
        <f t="shared" si="9"/>
        <v>7750</v>
      </c>
      <c r="H1713" s="32"/>
      <c r="I1713" s="14"/>
      <c r="J1713" s="14"/>
    </row>
    <row r="1714" hidden="1">
      <c r="A1714" s="88" t="s">
        <v>341</v>
      </c>
      <c r="B1714" s="92" t="s">
        <v>213</v>
      </c>
      <c r="C1714" s="92"/>
      <c r="D1714" s="92" t="s">
        <v>660</v>
      </c>
      <c r="E1714" s="85">
        <v>19.0</v>
      </c>
      <c r="F1714" s="85">
        <v>0.0</v>
      </c>
      <c r="G1714" s="32">
        <f t="shared" si="9"/>
        <v>4750</v>
      </c>
      <c r="H1714" s="32"/>
      <c r="I1714" s="14"/>
      <c r="J1714" s="14"/>
    </row>
    <row r="1715" hidden="1">
      <c r="A1715" s="88" t="s">
        <v>341</v>
      </c>
      <c r="B1715" s="92" t="s">
        <v>661</v>
      </c>
      <c r="C1715" s="92"/>
      <c r="D1715" s="92" t="s">
        <v>663</v>
      </c>
      <c r="E1715" s="85">
        <v>26.0</v>
      </c>
      <c r="F1715" s="85">
        <v>0.0</v>
      </c>
      <c r="G1715" s="32">
        <f t="shared" si="9"/>
        <v>6500</v>
      </c>
      <c r="H1715" s="32"/>
      <c r="I1715" s="14"/>
      <c r="J1715" s="14"/>
    </row>
    <row r="1716" hidden="1">
      <c r="A1716" s="88" t="s">
        <v>341</v>
      </c>
      <c r="B1716" s="92" t="s">
        <v>664</v>
      </c>
      <c r="C1716" s="92"/>
      <c r="D1716" s="92" t="s">
        <v>666</v>
      </c>
      <c r="E1716" s="85">
        <v>20.0</v>
      </c>
      <c r="F1716" s="85">
        <v>1.0</v>
      </c>
      <c r="G1716" s="32">
        <f t="shared" si="9"/>
        <v>5100</v>
      </c>
      <c r="H1716" s="32"/>
      <c r="I1716" s="14"/>
      <c r="J1716" s="14"/>
    </row>
    <row r="1717" hidden="1">
      <c r="A1717" s="88" t="s">
        <v>341</v>
      </c>
      <c r="B1717" s="92" t="s">
        <v>667</v>
      </c>
      <c r="C1717" s="92"/>
      <c r="D1717" s="92" t="s">
        <v>669</v>
      </c>
      <c r="E1717" s="85">
        <v>20.0</v>
      </c>
      <c r="F1717" s="85">
        <v>0.0</v>
      </c>
      <c r="G1717" s="32">
        <f t="shared" si="9"/>
        <v>5000</v>
      </c>
      <c r="H1717" s="32"/>
      <c r="I1717" s="14"/>
      <c r="J1717" s="14"/>
    </row>
    <row r="1718" hidden="1">
      <c r="A1718" s="88" t="s">
        <v>341</v>
      </c>
      <c r="B1718" s="92" t="s">
        <v>670</v>
      </c>
      <c r="C1718" s="92"/>
      <c r="D1718" s="92" t="s">
        <v>672</v>
      </c>
      <c r="E1718" s="85">
        <v>17.0</v>
      </c>
      <c r="F1718" s="85">
        <v>0.0</v>
      </c>
      <c r="G1718" s="32">
        <f t="shared" si="9"/>
        <v>4250</v>
      </c>
      <c r="H1718" s="32"/>
      <c r="I1718" s="14"/>
      <c r="J1718" s="14"/>
    </row>
    <row r="1719" hidden="1">
      <c r="A1719" s="88" t="s">
        <v>341</v>
      </c>
      <c r="B1719" s="92" t="s">
        <v>673</v>
      </c>
      <c r="C1719" s="92"/>
      <c r="D1719" s="92" t="s">
        <v>675</v>
      </c>
      <c r="E1719" s="85">
        <v>16.0</v>
      </c>
      <c r="F1719" s="85">
        <v>5.0</v>
      </c>
      <c r="G1719" s="32">
        <f t="shared" si="9"/>
        <v>4500</v>
      </c>
      <c r="H1719" s="32"/>
      <c r="I1719" s="14"/>
      <c r="J1719" s="14"/>
    </row>
    <row r="1720" hidden="1">
      <c r="A1720" s="88" t="s">
        <v>341</v>
      </c>
      <c r="B1720" s="92" t="s">
        <v>676</v>
      </c>
      <c r="C1720" s="92"/>
      <c r="D1720" s="92" t="s">
        <v>678</v>
      </c>
      <c r="E1720" s="85">
        <v>14.0</v>
      </c>
      <c r="F1720" s="85">
        <v>1.0</v>
      </c>
      <c r="G1720" s="32">
        <f t="shared" si="9"/>
        <v>3600</v>
      </c>
      <c r="H1720" s="32"/>
      <c r="I1720" s="14"/>
      <c r="J1720" s="14"/>
    </row>
    <row r="1721" hidden="1">
      <c r="A1721" s="88" t="s">
        <v>341</v>
      </c>
      <c r="B1721" s="92" t="s">
        <v>679</v>
      </c>
      <c r="C1721" s="92"/>
      <c r="D1721" s="92" t="s">
        <v>890</v>
      </c>
      <c r="E1721" s="85">
        <v>12.0</v>
      </c>
      <c r="F1721" s="85">
        <v>7.0</v>
      </c>
      <c r="G1721" s="32">
        <f t="shared" si="9"/>
        <v>3700</v>
      </c>
      <c r="H1721" s="32"/>
      <c r="I1721" s="14"/>
      <c r="J1721" s="14"/>
    </row>
    <row r="1722" hidden="1">
      <c r="A1722" s="88" t="s">
        <v>341</v>
      </c>
      <c r="B1722" s="92" t="s">
        <v>682</v>
      </c>
      <c r="C1722" s="92"/>
      <c r="D1722" s="92" t="s">
        <v>684</v>
      </c>
      <c r="E1722" s="85">
        <v>15.0</v>
      </c>
      <c r="F1722" s="85">
        <v>0.0</v>
      </c>
      <c r="G1722" s="32">
        <f t="shared" si="9"/>
        <v>3750</v>
      </c>
      <c r="H1722" s="32"/>
      <c r="I1722" s="14"/>
      <c r="J1722" s="14"/>
    </row>
    <row r="1723" hidden="1">
      <c r="A1723" s="88" t="s">
        <v>341</v>
      </c>
      <c r="B1723" s="92" t="s">
        <v>685</v>
      </c>
      <c r="C1723" s="92"/>
      <c r="D1723" s="92" t="s">
        <v>687</v>
      </c>
      <c r="E1723" s="85">
        <v>13.0</v>
      </c>
      <c r="F1723" s="85">
        <v>0.0</v>
      </c>
      <c r="G1723" s="32">
        <f t="shared" si="9"/>
        <v>3250</v>
      </c>
      <c r="H1723" s="32"/>
      <c r="I1723" s="14"/>
      <c r="J1723" s="14"/>
    </row>
    <row r="1724" hidden="1">
      <c r="A1724" s="88" t="s">
        <v>341</v>
      </c>
      <c r="B1724" s="92" t="s">
        <v>688</v>
      </c>
      <c r="C1724" s="92"/>
      <c r="D1724" s="92" t="s">
        <v>690</v>
      </c>
      <c r="E1724" s="85">
        <v>21.0</v>
      </c>
      <c r="F1724" s="85">
        <v>0.0</v>
      </c>
      <c r="G1724" s="32">
        <f t="shared" si="9"/>
        <v>5250</v>
      </c>
      <c r="H1724" s="32"/>
      <c r="I1724" s="14"/>
      <c r="J1724" s="14"/>
    </row>
    <row r="1725" hidden="1">
      <c r="A1725" s="88" t="s">
        <v>341</v>
      </c>
      <c r="B1725" s="92" t="s">
        <v>691</v>
      </c>
      <c r="C1725" s="92"/>
      <c r="D1725" s="92" t="s">
        <v>693</v>
      </c>
      <c r="E1725" s="85">
        <v>13.0</v>
      </c>
      <c r="F1725" s="85">
        <v>0.0</v>
      </c>
      <c r="G1725" s="32">
        <f t="shared" si="9"/>
        <v>3250</v>
      </c>
      <c r="H1725" s="32"/>
      <c r="I1725" s="14"/>
      <c r="J1725" s="14"/>
    </row>
    <row r="1726" hidden="1">
      <c r="A1726" s="88" t="s">
        <v>341</v>
      </c>
      <c r="B1726" s="92" t="s">
        <v>694</v>
      </c>
      <c r="C1726" s="92"/>
      <c r="D1726" s="92" t="s">
        <v>696</v>
      </c>
      <c r="E1726" s="85">
        <v>15.0</v>
      </c>
      <c r="F1726" s="85">
        <v>0.0</v>
      </c>
      <c r="G1726" s="32">
        <f t="shared" si="9"/>
        <v>3750</v>
      </c>
      <c r="H1726" s="32"/>
      <c r="I1726" s="14"/>
      <c r="J1726" s="14"/>
    </row>
    <row r="1727" hidden="1">
      <c r="A1727" s="88" t="s">
        <v>341</v>
      </c>
      <c r="B1727" s="92" t="s">
        <v>697</v>
      </c>
      <c r="C1727" s="92"/>
      <c r="D1727" s="92" t="s">
        <v>699</v>
      </c>
      <c r="E1727" s="85">
        <v>16.0</v>
      </c>
      <c r="F1727" s="85">
        <v>0.0</v>
      </c>
      <c r="G1727" s="32">
        <f t="shared" si="9"/>
        <v>4000</v>
      </c>
      <c r="H1727" s="32"/>
      <c r="I1727" s="14"/>
      <c r="J1727" s="14"/>
    </row>
    <row r="1728" hidden="1">
      <c r="A1728" s="88" t="s">
        <v>341</v>
      </c>
      <c r="B1728" s="92" t="s">
        <v>700</v>
      </c>
      <c r="C1728" s="92"/>
      <c r="D1728" s="92" t="s">
        <v>889</v>
      </c>
      <c r="E1728" s="85">
        <v>19.0</v>
      </c>
      <c r="F1728" s="85">
        <v>0.0</v>
      </c>
      <c r="G1728" s="32">
        <f t="shared" si="9"/>
        <v>4750</v>
      </c>
      <c r="H1728" s="32"/>
      <c r="I1728" s="14"/>
      <c r="J1728" s="14"/>
    </row>
    <row r="1729" hidden="1">
      <c r="A1729" s="88" t="s">
        <v>341</v>
      </c>
      <c r="B1729" s="92" t="s">
        <v>703</v>
      </c>
      <c r="C1729" s="92"/>
      <c r="D1729" s="92" t="s">
        <v>705</v>
      </c>
      <c r="E1729" s="85">
        <v>16.0</v>
      </c>
      <c r="F1729" s="85">
        <v>3.0</v>
      </c>
      <c r="G1729" s="32">
        <f t="shared" si="9"/>
        <v>4300</v>
      </c>
      <c r="H1729" s="32"/>
      <c r="I1729" s="14"/>
      <c r="J1729" s="14"/>
    </row>
    <row r="1730" hidden="1">
      <c r="A1730" s="88" t="s">
        <v>341</v>
      </c>
      <c r="B1730" s="92" t="s">
        <v>706</v>
      </c>
      <c r="C1730" s="92"/>
      <c r="D1730" s="92" t="s">
        <v>708</v>
      </c>
      <c r="E1730" s="85">
        <v>13.0</v>
      </c>
      <c r="F1730" s="85">
        <v>0.0</v>
      </c>
      <c r="G1730" s="32">
        <f t="shared" si="9"/>
        <v>3250</v>
      </c>
      <c r="H1730" s="32"/>
      <c r="I1730" s="14"/>
      <c r="J1730" s="14"/>
    </row>
    <row r="1731" hidden="1">
      <c r="A1731" s="88" t="s">
        <v>341</v>
      </c>
      <c r="B1731" s="92" t="s">
        <v>709</v>
      </c>
      <c r="C1731" s="92"/>
      <c r="D1731" s="92" t="s">
        <v>711</v>
      </c>
      <c r="E1731" s="85">
        <v>18.0</v>
      </c>
      <c r="F1731" s="85">
        <v>0.0</v>
      </c>
      <c r="G1731" s="32">
        <f t="shared" si="9"/>
        <v>4500</v>
      </c>
      <c r="H1731" s="32"/>
      <c r="I1731" s="14"/>
      <c r="J1731" s="14"/>
    </row>
    <row r="1732" hidden="1">
      <c r="A1732" s="88" t="s">
        <v>341</v>
      </c>
      <c r="B1732" s="92" t="s">
        <v>712</v>
      </c>
      <c r="C1732" s="92"/>
      <c r="D1732" s="92" t="s">
        <v>714</v>
      </c>
      <c r="E1732" s="85">
        <v>15.0</v>
      </c>
      <c r="F1732" s="85">
        <v>1.0</v>
      </c>
      <c r="G1732" s="32">
        <f t="shared" si="9"/>
        <v>3850</v>
      </c>
      <c r="H1732" s="32"/>
      <c r="I1732" s="14"/>
      <c r="J1732" s="14"/>
    </row>
    <row r="1733" hidden="1">
      <c r="A1733" s="88" t="s">
        <v>341</v>
      </c>
      <c r="B1733" s="92" t="s">
        <v>799</v>
      </c>
      <c r="C1733" s="92"/>
      <c r="D1733" s="92" t="s">
        <v>801</v>
      </c>
      <c r="E1733" s="85">
        <v>22.0</v>
      </c>
      <c r="F1733" s="85">
        <v>5.0</v>
      </c>
      <c r="G1733" s="32">
        <f t="shared" si="9"/>
        <v>6000</v>
      </c>
      <c r="H1733" s="32"/>
      <c r="I1733" s="14"/>
      <c r="J1733" s="14"/>
    </row>
    <row r="1734" hidden="1">
      <c r="A1734" s="88" t="s">
        <v>341</v>
      </c>
      <c r="B1734" s="92" t="s">
        <v>795</v>
      </c>
      <c r="C1734" s="92"/>
      <c r="D1734" s="92" t="s">
        <v>797</v>
      </c>
      <c r="E1734" s="85">
        <v>12.0</v>
      </c>
      <c r="F1734" s="85">
        <v>0.0</v>
      </c>
      <c r="G1734" s="32">
        <f t="shared" si="9"/>
        <v>3000</v>
      </c>
      <c r="H1734" s="32"/>
      <c r="I1734" s="14"/>
      <c r="J1734" s="14"/>
    </row>
    <row r="1735" hidden="1">
      <c r="A1735" s="88" t="s">
        <v>341</v>
      </c>
      <c r="B1735" s="92" t="s">
        <v>715</v>
      </c>
      <c r="C1735" s="92"/>
      <c r="D1735" s="92" t="s">
        <v>717</v>
      </c>
      <c r="E1735" s="85">
        <v>14.0</v>
      </c>
      <c r="F1735" s="85">
        <v>0.0</v>
      </c>
      <c r="G1735" s="32">
        <f t="shared" si="9"/>
        <v>3500</v>
      </c>
      <c r="H1735" s="32"/>
      <c r="I1735" s="14"/>
      <c r="J1735" s="14"/>
    </row>
    <row r="1736" hidden="1">
      <c r="A1736" s="88" t="s">
        <v>341</v>
      </c>
      <c r="B1736" s="92" t="s">
        <v>718</v>
      </c>
      <c r="C1736" s="92"/>
      <c r="D1736" s="92" t="s">
        <v>720</v>
      </c>
      <c r="E1736" s="85">
        <v>13.0</v>
      </c>
      <c r="F1736" s="85">
        <v>0.0</v>
      </c>
      <c r="G1736" s="32">
        <f t="shared" si="9"/>
        <v>3250</v>
      </c>
      <c r="H1736" s="32"/>
      <c r="I1736" s="14"/>
      <c r="J1736" s="14"/>
    </row>
    <row r="1737" hidden="1">
      <c r="A1737" s="88" t="s">
        <v>341</v>
      </c>
      <c r="B1737" s="92" t="s">
        <v>721</v>
      </c>
      <c r="C1737" s="92"/>
      <c r="D1737" s="92" t="s">
        <v>723</v>
      </c>
      <c r="E1737" s="85">
        <v>10.0</v>
      </c>
      <c r="F1737" s="85">
        <v>7.0</v>
      </c>
      <c r="G1737" s="32">
        <f t="shared" si="9"/>
        <v>3200</v>
      </c>
      <c r="H1737" s="32"/>
      <c r="I1737" s="14"/>
      <c r="J1737" s="14"/>
    </row>
    <row r="1738" hidden="1">
      <c r="A1738" s="88" t="s">
        <v>341</v>
      </c>
      <c r="B1738" s="93" t="s">
        <v>724</v>
      </c>
      <c r="C1738" s="92"/>
      <c r="D1738" s="92" t="s">
        <v>726</v>
      </c>
      <c r="E1738" s="85">
        <v>8.0</v>
      </c>
      <c r="F1738" s="85">
        <v>0.0</v>
      </c>
      <c r="G1738" s="32">
        <f t="shared" si="9"/>
        <v>2000</v>
      </c>
      <c r="H1738" s="32"/>
      <c r="I1738" s="14"/>
      <c r="J1738" s="14"/>
    </row>
    <row r="1739" hidden="1">
      <c r="A1739" s="88" t="s">
        <v>341</v>
      </c>
      <c r="B1739" s="92" t="s">
        <v>767</v>
      </c>
      <c r="C1739" s="92"/>
      <c r="D1739" s="92" t="s">
        <v>769</v>
      </c>
      <c r="E1739" s="85">
        <v>20.0</v>
      </c>
      <c r="F1739" s="85">
        <v>0.0</v>
      </c>
      <c r="G1739" s="32">
        <f t="shared" si="9"/>
        <v>5000</v>
      </c>
      <c r="H1739" s="32"/>
      <c r="I1739" s="14"/>
      <c r="J1739" s="14"/>
    </row>
    <row r="1740" hidden="1">
      <c r="A1740" s="88" t="s">
        <v>341</v>
      </c>
      <c r="B1740" s="92" t="s">
        <v>730</v>
      </c>
      <c r="C1740" s="92"/>
      <c r="D1740" s="92" t="s">
        <v>732</v>
      </c>
      <c r="E1740" s="85">
        <v>15.0</v>
      </c>
      <c r="F1740" s="85">
        <v>1.0</v>
      </c>
      <c r="G1740" s="32">
        <f t="shared" si="9"/>
        <v>3850</v>
      </c>
      <c r="H1740" s="32"/>
      <c r="I1740" s="14"/>
      <c r="J1740" s="14"/>
    </row>
    <row r="1741" hidden="1">
      <c r="A1741" s="88" t="s">
        <v>341</v>
      </c>
      <c r="B1741" s="92" t="s">
        <v>748</v>
      </c>
      <c r="C1741" s="92"/>
      <c r="D1741" s="92" t="s">
        <v>750</v>
      </c>
      <c r="E1741" s="85">
        <v>10.0</v>
      </c>
      <c r="F1741" s="85">
        <v>0.0</v>
      </c>
      <c r="G1741" s="32">
        <f t="shared" si="9"/>
        <v>2500</v>
      </c>
      <c r="H1741" s="32"/>
      <c r="I1741" s="14"/>
      <c r="J1741" s="14"/>
    </row>
    <row r="1742" hidden="1">
      <c r="A1742" s="88" t="s">
        <v>341</v>
      </c>
      <c r="B1742" s="92" t="s">
        <v>733</v>
      </c>
      <c r="C1742" s="92"/>
      <c r="D1742" s="92" t="s">
        <v>735</v>
      </c>
      <c r="E1742" s="85">
        <v>17.0</v>
      </c>
      <c r="F1742" s="85">
        <v>0.0</v>
      </c>
      <c r="G1742" s="32">
        <f t="shared" si="9"/>
        <v>4250</v>
      </c>
      <c r="H1742" s="32"/>
      <c r="I1742" s="14"/>
      <c r="J1742" s="14"/>
    </row>
    <row r="1743" hidden="1">
      <c r="A1743" s="88" t="s">
        <v>341</v>
      </c>
      <c r="B1743" s="92" t="s">
        <v>727</v>
      </c>
      <c r="C1743" s="92"/>
      <c r="D1743" s="92" t="s">
        <v>729</v>
      </c>
      <c r="E1743" s="85">
        <v>13.0</v>
      </c>
      <c r="F1743" s="85">
        <v>0.0</v>
      </c>
      <c r="G1743" s="32">
        <f t="shared" si="9"/>
        <v>3250</v>
      </c>
      <c r="H1743" s="32"/>
      <c r="I1743" s="14"/>
      <c r="J1743" s="14"/>
    </row>
    <row r="1744" hidden="1">
      <c r="A1744" s="88" t="s">
        <v>341</v>
      </c>
      <c r="B1744" s="92" t="s">
        <v>736</v>
      </c>
      <c r="C1744" s="92"/>
      <c r="D1744" s="92" t="s">
        <v>738</v>
      </c>
      <c r="E1744" s="85">
        <v>11.0</v>
      </c>
      <c r="F1744" s="85">
        <v>0.0</v>
      </c>
      <c r="G1744" s="32">
        <f t="shared" si="9"/>
        <v>2750</v>
      </c>
      <c r="H1744" s="32"/>
      <c r="I1744" s="14"/>
      <c r="J1744" s="14"/>
    </row>
    <row r="1745" hidden="1">
      <c r="A1745" s="88" t="s">
        <v>341</v>
      </c>
      <c r="B1745" s="92" t="s">
        <v>739</v>
      </c>
      <c r="C1745" s="92"/>
      <c r="D1745" s="92" t="s">
        <v>741</v>
      </c>
      <c r="E1745" s="85">
        <v>14.0</v>
      </c>
      <c r="F1745" s="85">
        <v>0.0</v>
      </c>
      <c r="G1745" s="32">
        <f t="shared" si="9"/>
        <v>3500</v>
      </c>
      <c r="H1745" s="32"/>
      <c r="I1745" s="14"/>
      <c r="J1745" s="14"/>
    </row>
    <row r="1746" hidden="1">
      <c r="A1746" s="88" t="s">
        <v>341</v>
      </c>
      <c r="B1746" s="92" t="s">
        <v>788</v>
      </c>
      <c r="C1746" s="92"/>
      <c r="D1746" s="92" t="s">
        <v>790</v>
      </c>
      <c r="E1746" s="85">
        <v>8.0</v>
      </c>
      <c r="F1746" s="85">
        <v>1.0</v>
      </c>
      <c r="G1746" s="32">
        <f t="shared" si="9"/>
        <v>2100</v>
      </c>
      <c r="H1746" s="32"/>
      <c r="I1746" s="14"/>
      <c r="J1746" s="14"/>
    </row>
    <row r="1747" hidden="1">
      <c r="A1747" s="88" t="s">
        <v>341</v>
      </c>
      <c r="B1747" s="92" t="s">
        <v>751</v>
      </c>
      <c r="C1747" s="92"/>
      <c r="D1747" s="92" t="s">
        <v>753</v>
      </c>
      <c r="E1747" s="85">
        <v>13.0</v>
      </c>
      <c r="F1747" s="85">
        <v>0.0</v>
      </c>
      <c r="G1747" s="32">
        <f t="shared" si="9"/>
        <v>3250</v>
      </c>
      <c r="H1747" s="32"/>
      <c r="I1747" s="14"/>
      <c r="J1747" s="14"/>
    </row>
    <row r="1748" hidden="1">
      <c r="A1748" s="88" t="s">
        <v>341</v>
      </c>
      <c r="B1748" s="92" t="s">
        <v>742</v>
      </c>
      <c r="C1748" s="92"/>
      <c r="D1748" s="92" t="s">
        <v>744</v>
      </c>
      <c r="E1748" s="85">
        <v>10.0</v>
      </c>
      <c r="F1748" s="85">
        <v>0.0</v>
      </c>
      <c r="G1748" s="32">
        <f t="shared" si="9"/>
        <v>2500</v>
      </c>
      <c r="H1748" s="32"/>
      <c r="I1748" s="14"/>
      <c r="J1748" s="14"/>
    </row>
    <row r="1749" hidden="1">
      <c r="A1749" s="88" t="s">
        <v>341</v>
      </c>
      <c r="B1749" s="16" t="s">
        <v>816</v>
      </c>
      <c r="C1749" s="91"/>
      <c r="D1749" s="91" t="s">
        <v>818</v>
      </c>
      <c r="E1749" s="85">
        <v>6.0</v>
      </c>
      <c r="F1749" s="85">
        <v>0.0</v>
      </c>
      <c r="G1749" s="32">
        <f t="shared" si="9"/>
        <v>1500</v>
      </c>
      <c r="H1749" s="32"/>
      <c r="I1749" s="14"/>
      <c r="J1749" s="14"/>
    </row>
    <row r="1750" hidden="1">
      <c r="A1750" s="88" t="s">
        <v>341</v>
      </c>
      <c r="B1750" s="16" t="s">
        <v>754</v>
      </c>
      <c r="C1750" s="92"/>
      <c r="D1750" s="92" t="s">
        <v>756</v>
      </c>
      <c r="E1750" s="85">
        <v>8.0</v>
      </c>
      <c r="F1750" s="34">
        <v>0.0</v>
      </c>
      <c r="G1750" s="32">
        <f>sum(E1750*250)+(E1749*100)</f>
        <v>2600</v>
      </c>
      <c r="H1750" s="32"/>
      <c r="I1750" s="14"/>
      <c r="J1750" s="14"/>
    </row>
    <row r="1751" hidden="1">
      <c r="A1751" s="88" t="s">
        <v>341</v>
      </c>
      <c r="B1751" s="7" t="s">
        <v>757</v>
      </c>
      <c r="C1751" s="92"/>
      <c r="D1751" s="92" t="s">
        <v>759</v>
      </c>
      <c r="E1751" s="85">
        <v>17.0</v>
      </c>
      <c r="F1751" s="85">
        <v>0.0</v>
      </c>
      <c r="G1751" s="32">
        <f t="shared" ref="G1751:G1792" si="10">sum(E1751*250)+(F1751*100)</f>
        <v>4250</v>
      </c>
      <c r="H1751" s="32"/>
      <c r="I1751" s="14"/>
      <c r="J1751" s="14"/>
    </row>
    <row r="1752" hidden="1">
      <c r="A1752" s="88" t="s">
        <v>341</v>
      </c>
      <c r="B1752" s="7" t="s">
        <v>891</v>
      </c>
      <c r="C1752" s="92"/>
      <c r="D1752" s="92" t="s">
        <v>892</v>
      </c>
      <c r="E1752" s="85">
        <v>2.0</v>
      </c>
      <c r="F1752" s="85">
        <v>0.0</v>
      </c>
      <c r="G1752" s="32">
        <f t="shared" si="10"/>
        <v>500</v>
      </c>
      <c r="H1752" s="32"/>
      <c r="I1752" s="14"/>
      <c r="J1752" s="14"/>
    </row>
    <row r="1753" hidden="1">
      <c r="A1753" s="88" t="s">
        <v>342</v>
      </c>
      <c r="B1753" s="92" t="s">
        <v>832</v>
      </c>
      <c r="C1753" s="92"/>
      <c r="D1753" s="92" t="s">
        <v>893</v>
      </c>
      <c r="E1753" s="85">
        <v>36.0</v>
      </c>
      <c r="F1753" s="85">
        <v>13.0</v>
      </c>
      <c r="G1753" s="32">
        <f t="shared" si="10"/>
        <v>10300</v>
      </c>
      <c r="H1753" s="32"/>
      <c r="I1753" s="14"/>
      <c r="J1753" s="14"/>
    </row>
    <row r="1754" hidden="1">
      <c r="A1754" s="88" t="s">
        <v>342</v>
      </c>
      <c r="B1754" s="92" t="s">
        <v>835</v>
      </c>
      <c r="C1754" s="92"/>
      <c r="D1754" s="92" t="s">
        <v>837</v>
      </c>
      <c r="E1754" s="85">
        <v>37.0</v>
      </c>
      <c r="F1754" s="85">
        <v>0.0</v>
      </c>
      <c r="G1754" s="32">
        <f t="shared" si="10"/>
        <v>9250</v>
      </c>
      <c r="H1754" s="32"/>
      <c r="I1754" s="14"/>
      <c r="J1754" s="14"/>
    </row>
    <row r="1755" hidden="1">
      <c r="A1755" s="88" t="s">
        <v>342</v>
      </c>
      <c r="B1755" s="92" t="s">
        <v>764</v>
      </c>
      <c r="C1755" s="92"/>
      <c r="D1755" s="92" t="s">
        <v>838</v>
      </c>
      <c r="E1755" s="85">
        <v>31.0</v>
      </c>
      <c r="F1755" s="85">
        <v>0.0</v>
      </c>
      <c r="G1755" s="32">
        <f t="shared" si="10"/>
        <v>7750</v>
      </c>
      <c r="H1755" s="32"/>
      <c r="I1755" s="14"/>
      <c r="J1755" s="14"/>
    </row>
    <row r="1756" hidden="1">
      <c r="A1756" s="88" t="s">
        <v>342</v>
      </c>
      <c r="B1756" s="92" t="s">
        <v>213</v>
      </c>
      <c r="C1756" s="92"/>
      <c r="D1756" s="92" t="s">
        <v>660</v>
      </c>
      <c r="E1756" s="85">
        <v>28.0</v>
      </c>
      <c r="F1756" s="85">
        <v>0.0</v>
      </c>
      <c r="G1756" s="32">
        <f t="shared" si="10"/>
        <v>7000</v>
      </c>
      <c r="H1756" s="32"/>
      <c r="I1756" s="14"/>
      <c r="J1756" s="14"/>
    </row>
    <row r="1757" hidden="1">
      <c r="A1757" s="88" t="s">
        <v>342</v>
      </c>
      <c r="B1757" s="92" t="s">
        <v>661</v>
      </c>
      <c r="C1757" s="92"/>
      <c r="D1757" s="92" t="s">
        <v>663</v>
      </c>
      <c r="E1757" s="85">
        <v>20.0</v>
      </c>
      <c r="F1757" s="85">
        <v>0.0</v>
      </c>
      <c r="G1757" s="32">
        <f t="shared" si="10"/>
        <v>5000</v>
      </c>
      <c r="H1757" s="32"/>
      <c r="I1757" s="14"/>
      <c r="J1757" s="14"/>
    </row>
    <row r="1758" hidden="1">
      <c r="A1758" s="88" t="s">
        <v>342</v>
      </c>
      <c r="B1758" s="92" t="s">
        <v>664</v>
      </c>
      <c r="C1758" s="92"/>
      <c r="D1758" s="92" t="s">
        <v>666</v>
      </c>
      <c r="E1758" s="85">
        <v>20.0</v>
      </c>
      <c r="F1758" s="85">
        <v>0.0</v>
      </c>
      <c r="G1758" s="32">
        <f t="shared" si="10"/>
        <v>5000</v>
      </c>
      <c r="H1758" s="32"/>
      <c r="I1758" s="14"/>
      <c r="J1758" s="14"/>
    </row>
    <row r="1759" hidden="1">
      <c r="A1759" s="88" t="s">
        <v>342</v>
      </c>
      <c r="B1759" s="92" t="s">
        <v>667</v>
      </c>
      <c r="C1759" s="92"/>
      <c r="D1759" s="92" t="s">
        <v>669</v>
      </c>
      <c r="E1759" s="85">
        <v>18.0</v>
      </c>
      <c r="F1759" s="85">
        <v>0.0</v>
      </c>
      <c r="G1759" s="32">
        <f t="shared" si="10"/>
        <v>4500</v>
      </c>
      <c r="H1759" s="32"/>
      <c r="I1759" s="14"/>
      <c r="J1759" s="14"/>
    </row>
    <row r="1760" hidden="1">
      <c r="A1760" s="88" t="s">
        <v>342</v>
      </c>
      <c r="B1760" s="92" t="s">
        <v>670</v>
      </c>
      <c r="C1760" s="92"/>
      <c r="D1760" s="92" t="s">
        <v>672</v>
      </c>
      <c r="E1760" s="85">
        <v>17.0</v>
      </c>
      <c r="F1760" s="85">
        <v>1.0</v>
      </c>
      <c r="G1760" s="32">
        <f t="shared" si="10"/>
        <v>4350</v>
      </c>
      <c r="H1760" s="32"/>
      <c r="I1760" s="14"/>
      <c r="J1760" s="14"/>
    </row>
    <row r="1761" hidden="1">
      <c r="A1761" s="88" t="s">
        <v>342</v>
      </c>
      <c r="B1761" s="92" t="s">
        <v>673</v>
      </c>
      <c r="C1761" s="92"/>
      <c r="D1761" s="92" t="s">
        <v>675</v>
      </c>
      <c r="E1761" s="85">
        <v>22.0</v>
      </c>
      <c r="F1761" s="85">
        <v>6.0</v>
      </c>
      <c r="G1761" s="32">
        <f t="shared" si="10"/>
        <v>6100</v>
      </c>
      <c r="H1761" s="32"/>
      <c r="I1761" s="14"/>
      <c r="J1761" s="14"/>
    </row>
    <row r="1762" hidden="1">
      <c r="A1762" s="88" t="s">
        <v>342</v>
      </c>
      <c r="B1762" s="92" t="s">
        <v>676</v>
      </c>
      <c r="C1762" s="92"/>
      <c r="D1762" s="92" t="s">
        <v>678</v>
      </c>
      <c r="E1762" s="85">
        <v>14.0</v>
      </c>
      <c r="F1762" s="85">
        <v>3.0</v>
      </c>
      <c r="G1762" s="32">
        <f t="shared" si="10"/>
        <v>3800</v>
      </c>
      <c r="H1762" s="32"/>
      <c r="I1762" s="14"/>
      <c r="J1762" s="14"/>
    </row>
    <row r="1763" hidden="1">
      <c r="A1763" s="88" t="s">
        <v>342</v>
      </c>
      <c r="B1763" s="92" t="s">
        <v>679</v>
      </c>
      <c r="C1763" s="92"/>
      <c r="D1763" s="92" t="s">
        <v>894</v>
      </c>
      <c r="E1763" s="85">
        <v>19.0</v>
      </c>
      <c r="F1763" s="85">
        <v>9.0</v>
      </c>
      <c r="G1763" s="32">
        <f t="shared" si="10"/>
        <v>5650</v>
      </c>
      <c r="H1763" s="32"/>
      <c r="I1763" s="14"/>
      <c r="J1763" s="14"/>
    </row>
    <row r="1764" hidden="1">
      <c r="A1764" s="88" t="s">
        <v>342</v>
      </c>
      <c r="B1764" s="92" t="s">
        <v>682</v>
      </c>
      <c r="C1764" s="92"/>
      <c r="D1764" s="92" t="s">
        <v>684</v>
      </c>
      <c r="E1764" s="85">
        <v>16.0</v>
      </c>
      <c r="F1764" s="85">
        <v>0.0</v>
      </c>
      <c r="G1764" s="32">
        <f t="shared" si="10"/>
        <v>4000</v>
      </c>
      <c r="H1764" s="32"/>
      <c r="I1764" s="14"/>
      <c r="J1764" s="14"/>
    </row>
    <row r="1765" hidden="1">
      <c r="A1765" s="88" t="s">
        <v>342</v>
      </c>
      <c r="B1765" s="92" t="s">
        <v>685</v>
      </c>
      <c r="C1765" s="92"/>
      <c r="D1765" s="92" t="s">
        <v>687</v>
      </c>
      <c r="E1765" s="85">
        <v>14.0</v>
      </c>
      <c r="F1765" s="85">
        <v>0.0</v>
      </c>
      <c r="G1765" s="32">
        <f t="shared" si="10"/>
        <v>3500</v>
      </c>
      <c r="H1765" s="32"/>
      <c r="I1765" s="14"/>
      <c r="J1765" s="14"/>
    </row>
    <row r="1766" hidden="1">
      <c r="A1766" s="88" t="s">
        <v>342</v>
      </c>
      <c r="B1766" s="92" t="s">
        <v>688</v>
      </c>
      <c r="C1766" s="92"/>
      <c r="D1766" s="92" t="s">
        <v>690</v>
      </c>
      <c r="E1766" s="85">
        <v>20.0</v>
      </c>
      <c r="F1766" s="85">
        <v>0.0</v>
      </c>
      <c r="G1766" s="32">
        <f t="shared" si="10"/>
        <v>5000</v>
      </c>
      <c r="H1766" s="32"/>
      <c r="I1766" s="14"/>
      <c r="J1766" s="14"/>
    </row>
    <row r="1767" hidden="1">
      <c r="A1767" s="88" t="s">
        <v>342</v>
      </c>
      <c r="B1767" s="92" t="s">
        <v>691</v>
      </c>
      <c r="C1767" s="92"/>
      <c r="D1767" s="92" t="s">
        <v>693</v>
      </c>
      <c r="E1767" s="85">
        <v>14.0</v>
      </c>
      <c r="F1767" s="85">
        <v>0.0</v>
      </c>
      <c r="G1767" s="32">
        <f t="shared" si="10"/>
        <v>3500</v>
      </c>
      <c r="H1767" s="32"/>
      <c r="I1767" s="14"/>
      <c r="J1767" s="14"/>
    </row>
    <row r="1768" hidden="1">
      <c r="A1768" s="88" t="s">
        <v>342</v>
      </c>
      <c r="B1768" s="92" t="s">
        <v>694</v>
      </c>
      <c r="C1768" s="92"/>
      <c r="D1768" s="92" t="s">
        <v>696</v>
      </c>
      <c r="E1768" s="85">
        <v>16.0</v>
      </c>
      <c r="F1768" s="85">
        <v>0.0</v>
      </c>
      <c r="G1768" s="32">
        <f t="shared" si="10"/>
        <v>4000</v>
      </c>
      <c r="H1768" s="32"/>
      <c r="I1768" s="14"/>
      <c r="J1768" s="14"/>
    </row>
    <row r="1769" hidden="1">
      <c r="A1769" s="88" t="s">
        <v>342</v>
      </c>
      <c r="B1769" s="92" t="s">
        <v>697</v>
      </c>
      <c r="C1769" s="92"/>
      <c r="D1769" s="92" t="s">
        <v>699</v>
      </c>
      <c r="E1769" s="85">
        <v>21.0</v>
      </c>
      <c r="F1769" s="85">
        <v>1.0</v>
      </c>
      <c r="G1769" s="32">
        <f t="shared" si="10"/>
        <v>5350</v>
      </c>
      <c r="H1769" s="32"/>
      <c r="I1769" s="14"/>
      <c r="J1769" s="14"/>
    </row>
    <row r="1770" hidden="1">
      <c r="A1770" s="88" t="s">
        <v>342</v>
      </c>
      <c r="B1770" s="92" t="s">
        <v>700</v>
      </c>
      <c r="C1770" s="92"/>
      <c r="D1770" s="92" t="s">
        <v>889</v>
      </c>
      <c r="E1770" s="85">
        <v>16.0</v>
      </c>
      <c r="F1770" s="85">
        <v>0.0</v>
      </c>
      <c r="G1770" s="32">
        <f t="shared" si="10"/>
        <v>4000</v>
      </c>
      <c r="H1770" s="32"/>
      <c r="I1770" s="14"/>
      <c r="J1770" s="14"/>
    </row>
    <row r="1771" hidden="1">
      <c r="A1771" s="88" t="s">
        <v>342</v>
      </c>
      <c r="B1771" s="92" t="s">
        <v>703</v>
      </c>
      <c r="C1771" s="92"/>
      <c r="D1771" s="92" t="s">
        <v>705</v>
      </c>
      <c r="E1771" s="85">
        <v>13.0</v>
      </c>
      <c r="F1771" s="85">
        <v>4.0</v>
      </c>
      <c r="G1771" s="32">
        <f t="shared" si="10"/>
        <v>3650</v>
      </c>
      <c r="H1771" s="32"/>
      <c r="I1771" s="14"/>
      <c r="J1771" s="14"/>
    </row>
    <row r="1772" hidden="1">
      <c r="A1772" s="88" t="s">
        <v>342</v>
      </c>
      <c r="B1772" s="92" t="s">
        <v>706</v>
      </c>
      <c r="C1772" s="92"/>
      <c r="D1772" s="92" t="s">
        <v>708</v>
      </c>
      <c r="E1772" s="85">
        <v>11.0</v>
      </c>
      <c r="F1772" s="85">
        <v>0.0</v>
      </c>
      <c r="G1772" s="32">
        <f t="shared" si="10"/>
        <v>2750</v>
      </c>
      <c r="H1772" s="32"/>
      <c r="I1772" s="14"/>
      <c r="J1772" s="14"/>
    </row>
    <row r="1773" hidden="1">
      <c r="A1773" s="88" t="s">
        <v>342</v>
      </c>
      <c r="B1773" s="92" t="s">
        <v>709</v>
      </c>
      <c r="C1773" s="92"/>
      <c r="D1773" s="92" t="s">
        <v>711</v>
      </c>
      <c r="E1773" s="85">
        <v>23.0</v>
      </c>
      <c r="F1773" s="85">
        <v>0.0</v>
      </c>
      <c r="G1773" s="32">
        <f t="shared" si="10"/>
        <v>5750</v>
      </c>
      <c r="H1773" s="32"/>
      <c r="I1773" s="14"/>
      <c r="J1773" s="14"/>
    </row>
    <row r="1774" hidden="1">
      <c r="A1774" s="88" t="s">
        <v>342</v>
      </c>
      <c r="B1774" s="92" t="s">
        <v>712</v>
      </c>
      <c r="C1774" s="92"/>
      <c r="D1774" s="92" t="s">
        <v>714</v>
      </c>
      <c r="E1774" s="85">
        <v>20.0</v>
      </c>
      <c r="F1774" s="85">
        <v>0.0</v>
      </c>
      <c r="G1774" s="32">
        <f t="shared" si="10"/>
        <v>5000</v>
      </c>
      <c r="H1774" s="32"/>
      <c r="I1774" s="14"/>
      <c r="J1774" s="14"/>
    </row>
    <row r="1775" hidden="1">
      <c r="A1775" s="88" t="s">
        <v>342</v>
      </c>
      <c r="B1775" s="92" t="s">
        <v>799</v>
      </c>
      <c r="C1775" s="92"/>
      <c r="D1775" s="92" t="s">
        <v>801</v>
      </c>
      <c r="E1775" s="85">
        <v>8.0</v>
      </c>
      <c r="F1775" s="85">
        <v>3.0</v>
      </c>
      <c r="G1775" s="32">
        <f t="shared" si="10"/>
        <v>2300</v>
      </c>
      <c r="H1775" s="32"/>
      <c r="I1775" s="14"/>
      <c r="J1775" s="14"/>
    </row>
    <row r="1776" hidden="1">
      <c r="A1776" s="88" t="s">
        <v>342</v>
      </c>
      <c r="B1776" s="92" t="s">
        <v>795</v>
      </c>
      <c r="C1776" s="92"/>
      <c r="D1776" s="92" t="s">
        <v>797</v>
      </c>
      <c r="E1776" s="85">
        <v>12.0</v>
      </c>
      <c r="F1776" s="85">
        <v>0.0</v>
      </c>
      <c r="G1776" s="32">
        <f t="shared" si="10"/>
        <v>3000</v>
      </c>
      <c r="H1776" s="32"/>
      <c r="I1776" s="14"/>
      <c r="J1776" s="14"/>
    </row>
    <row r="1777" hidden="1">
      <c r="A1777" s="88" t="s">
        <v>342</v>
      </c>
      <c r="B1777" s="92" t="s">
        <v>715</v>
      </c>
      <c r="C1777" s="92"/>
      <c r="D1777" s="92" t="s">
        <v>717</v>
      </c>
      <c r="E1777" s="85">
        <v>9.0</v>
      </c>
      <c r="F1777" s="85">
        <v>1.0</v>
      </c>
      <c r="G1777" s="32">
        <f t="shared" si="10"/>
        <v>2350</v>
      </c>
      <c r="H1777" s="32"/>
      <c r="I1777" s="14"/>
      <c r="J1777" s="14"/>
    </row>
    <row r="1778" hidden="1">
      <c r="A1778" s="88" t="s">
        <v>342</v>
      </c>
      <c r="B1778" s="92" t="s">
        <v>718</v>
      </c>
      <c r="C1778" s="92"/>
      <c r="D1778" s="92" t="s">
        <v>720</v>
      </c>
      <c r="E1778" s="85">
        <v>12.0</v>
      </c>
      <c r="F1778" s="85">
        <v>0.0</v>
      </c>
      <c r="G1778" s="32">
        <f t="shared" si="10"/>
        <v>3000</v>
      </c>
      <c r="H1778" s="32"/>
      <c r="I1778" s="14"/>
      <c r="J1778" s="14"/>
    </row>
    <row r="1779" hidden="1">
      <c r="A1779" s="88" t="s">
        <v>342</v>
      </c>
      <c r="B1779" s="92" t="s">
        <v>721</v>
      </c>
      <c r="C1779" s="92"/>
      <c r="D1779" s="92" t="s">
        <v>723</v>
      </c>
      <c r="E1779" s="85">
        <v>7.0</v>
      </c>
      <c r="F1779" s="85">
        <v>5.0</v>
      </c>
      <c r="G1779" s="32">
        <f t="shared" si="10"/>
        <v>2250</v>
      </c>
      <c r="H1779" s="32"/>
      <c r="I1779" s="14"/>
      <c r="J1779" s="14"/>
    </row>
    <row r="1780" hidden="1">
      <c r="A1780" s="88" t="s">
        <v>342</v>
      </c>
      <c r="B1780" s="93" t="s">
        <v>724</v>
      </c>
      <c r="C1780" s="92"/>
      <c r="D1780" s="92" t="s">
        <v>726</v>
      </c>
      <c r="E1780" s="85">
        <v>7.0</v>
      </c>
      <c r="F1780" s="85">
        <v>0.0</v>
      </c>
      <c r="G1780" s="32">
        <f t="shared" si="10"/>
        <v>1750</v>
      </c>
      <c r="H1780" s="32"/>
      <c r="I1780" s="14"/>
      <c r="J1780" s="14"/>
    </row>
    <row r="1781" hidden="1">
      <c r="A1781" s="88" t="s">
        <v>342</v>
      </c>
      <c r="B1781" s="92" t="s">
        <v>767</v>
      </c>
      <c r="C1781" s="92"/>
      <c r="D1781" s="92" t="s">
        <v>769</v>
      </c>
      <c r="E1781" s="85">
        <v>16.0</v>
      </c>
      <c r="F1781" s="85">
        <v>0.0</v>
      </c>
      <c r="G1781" s="32">
        <f t="shared" si="10"/>
        <v>4000</v>
      </c>
      <c r="H1781" s="32"/>
      <c r="I1781" s="14"/>
      <c r="J1781" s="14"/>
    </row>
    <row r="1782" hidden="1">
      <c r="A1782" s="88" t="s">
        <v>342</v>
      </c>
      <c r="B1782" s="92" t="s">
        <v>730</v>
      </c>
      <c r="C1782" s="92"/>
      <c r="D1782" s="92" t="s">
        <v>732</v>
      </c>
      <c r="E1782" s="85">
        <v>14.0</v>
      </c>
      <c r="F1782" s="85">
        <v>2.0</v>
      </c>
      <c r="G1782" s="32">
        <f t="shared" si="10"/>
        <v>3700</v>
      </c>
      <c r="H1782" s="32"/>
      <c r="I1782" s="14"/>
      <c r="J1782" s="14"/>
    </row>
    <row r="1783" hidden="1">
      <c r="A1783" s="88" t="s">
        <v>342</v>
      </c>
      <c r="B1783" s="92" t="s">
        <v>748</v>
      </c>
      <c r="C1783" s="92"/>
      <c r="D1783" s="92" t="s">
        <v>750</v>
      </c>
      <c r="E1783" s="85">
        <v>8.0</v>
      </c>
      <c r="F1783" s="85">
        <v>0.0</v>
      </c>
      <c r="G1783" s="32">
        <f t="shared" si="10"/>
        <v>2000</v>
      </c>
      <c r="H1783" s="32"/>
      <c r="I1783" s="14"/>
      <c r="J1783" s="14"/>
    </row>
    <row r="1784" hidden="1">
      <c r="A1784" s="88" t="s">
        <v>342</v>
      </c>
      <c r="B1784" s="92" t="s">
        <v>733</v>
      </c>
      <c r="C1784" s="92"/>
      <c r="D1784" s="92" t="s">
        <v>735</v>
      </c>
      <c r="E1784" s="85">
        <v>16.0</v>
      </c>
      <c r="F1784" s="85">
        <v>0.0</v>
      </c>
      <c r="G1784" s="32">
        <f t="shared" si="10"/>
        <v>4000</v>
      </c>
      <c r="H1784" s="32"/>
      <c r="I1784" s="14"/>
      <c r="J1784" s="14"/>
    </row>
    <row r="1785" hidden="1">
      <c r="A1785" s="88" t="s">
        <v>342</v>
      </c>
      <c r="B1785" s="92" t="s">
        <v>727</v>
      </c>
      <c r="C1785" s="92"/>
      <c r="D1785" s="92" t="s">
        <v>729</v>
      </c>
      <c r="E1785" s="85">
        <v>8.0</v>
      </c>
      <c r="F1785" s="85">
        <v>0.0</v>
      </c>
      <c r="G1785" s="32">
        <f t="shared" si="10"/>
        <v>2000</v>
      </c>
      <c r="H1785" s="32"/>
      <c r="I1785" s="14"/>
      <c r="J1785" s="14"/>
    </row>
    <row r="1786" hidden="1">
      <c r="A1786" s="88" t="s">
        <v>342</v>
      </c>
      <c r="B1786" s="92" t="s">
        <v>736</v>
      </c>
      <c r="C1786" s="92"/>
      <c r="D1786" s="92" t="s">
        <v>738</v>
      </c>
      <c r="E1786" s="85">
        <v>10.0</v>
      </c>
      <c r="F1786" s="85">
        <v>0.0</v>
      </c>
      <c r="G1786" s="32">
        <f t="shared" si="10"/>
        <v>2500</v>
      </c>
      <c r="H1786" s="32"/>
      <c r="I1786" s="14"/>
      <c r="J1786" s="14"/>
    </row>
    <row r="1787" hidden="1">
      <c r="A1787" s="88" t="s">
        <v>342</v>
      </c>
      <c r="B1787" s="92" t="s">
        <v>895</v>
      </c>
      <c r="C1787" s="92"/>
      <c r="D1787" s="92" t="s">
        <v>896</v>
      </c>
      <c r="E1787" s="85">
        <v>2.0</v>
      </c>
      <c r="F1787" s="85">
        <v>0.0</v>
      </c>
      <c r="G1787" s="32">
        <f t="shared" si="10"/>
        <v>500</v>
      </c>
      <c r="H1787" s="32"/>
      <c r="I1787" s="14"/>
      <c r="J1787" s="14"/>
    </row>
    <row r="1788" hidden="1">
      <c r="A1788" s="88" t="s">
        <v>342</v>
      </c>
      <c r="B1788" s="92" t="s">
        <v>739</v>
      </c>
      <c r="C1788" s="92"/>
      <c r="D1788" s="92" t="s">
        <v>741</v>
      </c>
      <c r="E1788" s="85">
        <v>9.0</v>
      </c>
      <c r="F1788" s="85">
        <v>0.0</v>
      </c>
      <c r="G1788" s="32">
        <f t="shared" si="10"/>
        <v>2250</v>
      </c>
      <c r="H1788" s="32"/>
      <c r="I1788" s="14"/>
      <c r="J1788" s="14"/>
    </row>
    <row r="1789" hidden="1">
      <c r="A1789" s="88" t="s">
        <v>342</v>
      </c>
      <c r="B1789" s="92" t="s">
        <v>788</v>
      </c>
      <c r="C1789" s="92"/>
      <c r="D1789" s="92" t="s">
        <v>790</v>
      </c>
      <c r="E1789" s="85">
        <v>9.0</v>
      </c>
      <c r="F1789" s="85">
        <v>0.0</v>
      </c>
      <c r="G1789" s="32">
        <f t="shared" si="10"/>
        <v>2250</v>
      </c>
      <c r="H1789" s="32"/>
      <c r="I1789" s="14"/>
      <c r="J1789" s="14"/>
    </row>
    <row r="1790" hidden="1">
      <c r="A1790" s="88" t="s">
        <v>342</v>
      </c>
      <c r="B1790" s="92" t="s">
        <v>751</v>
      </c>
      <c r="C1790" s="92"/>
      <c r="D1790" s="92" t="s">
        <v>753</v>
      </c>
      <c r="E1790" s="85">
        <v>13.0</v>
      </c>
      <c r="F1790" s="85">
        <v>10.0</v>
      </c>
      <c r="G1790" s="32">
        <f t="shared" si="10"/>
        <v>4250</v>
      </c>
      <c r="H1790" s="32"/>
      <c r="I1790" s="14"/>
      <c r="J1790" s="14"/>
    </row>
    <row r="1791" hidden="1">
      <c r="A1791" s="88" t="s">
        <v>342</v>
      </c>
      <c r="B1791" s="92" t="s">
        <v>742</v>
      </c>
      <c r="C1791" s="92"/>
      <c r="D1791" s="92" t="s">
        <v>744</v>
      </c>
      <c r="E1791" s="85">
        <v>10.0</v>
      </c>
      <c r="F1791" s="85">
        <v>4.0</v>
      </c>
      <c r="G1791" s="32">
        <f t="shared" si="10"/>
        <v>2900</v>
      </c>
      <c r="H1791" s="32"/>
      <c r="I1791" s="14"/>
      <c r="J1791" s="14"/>
    </row>
    <row r="1792" hidden="1">
      <c r="A1792" s="88" t="s">
        <v>342</v>
      </c>
      <c r="B1792" s="16" t="s">
        <v>816</v>
      </c>
      <c r="C1792" s="92"/>
      <c r="D1792" s="92" t="s">
        <v>897</v>
      </c>
      <c r="E1792" s="85">
        <v>4.0</v>
      </c>
      <c r="F1792" s="85">
        <v>0.0</v>
      </c>
      <c r="G1792" s="32">
        <f t="shared" si="10"/>
        <v>1000</v>
      </c>
      <c r="H1792" s="32"/>
      <c r="I1792" s="14"/>
      <c r="J1792" s="14"/>
    </row>
    <row r="1793" hidden="1">
      <c r="A1793" s="88" t="s">
        <v>342</v>
      </c>
      <c r="B1793" s="16" t="s">
        <v>754</v>
      </c>
      <c r="C1793" s="92"/>
      <c r="D1793" s="92" t="s">
        <v>756</v>
      </c>
      <c r="E1793" s="85">
        <v>5.0</v>
      </c>
      <c r="G1793" s="32">
        <f>sum(E1793*250)+(E1792*100)</f>
        <v>1650</v>
      </c>
      <c r="H1793" s="32"/>
      <c r="I1793" s="14"/>
      <c r="J1793" s="14"/>
    </row>
    <row r="1794" hidden="1">
      <c r="A1794" s="88" t="s">
        <v>342</v>
      </c>
      <c r="B1794" s="7" t="s">
        <v>757</v>
      </c>
      <c r="C1794" s="92"/>
      <c r="D1794" s="92" t="s">
        <v>759</v>
      </c>
      <c r="E1794" s="85">
        <v>20.0</v>
      </c>
      <c r="F1794" s="85">
        <v>0.0</v>
      </c>
      <c r="G1794" s="32">
        <f t="shared" ref="G1794:G2187" si="11">sum(E1794*250)+(F1794*100)</f>
        <v>5000</v>
      </c>
      <c r="H1794" s="32"/>
      <c r="I1794" s="14"/>
      <c r="J1794" s="14"/>
    </row>
    <row r="1795" hidden="1">
      <c r="A1795" s="88" t="s">
        <v>342</v>
      </c>
      <c r="B1795" s="7" t="s">
        <v>891</v>
      </c>
      <c r="C1795" s="91"/>
      <c r="D1795" s="91" t="s">
        <v>892</v>
      </c>
      <c r="E1795" s="85">
        <v>1.0</v>
      </c>
      <c r="F1795" s="85">
        <v>0.0</v>
      </c>
      <c r="G1795" s="32">
        <f t="shared" si="11"/>
        <v>250</v>
      </c>
      <c r="H1795" s="32"/>
    </row>
    <row r="1796" hidden="1">
      <c r="A1796" s="88" t="s">
        <v>347</v>
      </c>
      <c r="B1796" s="92" t="s">
        <v>832</v>
      </c>
      <c r="C1796" s="92"/>
      <c r="D1796" s="92" t="s">
        <v>893</v>
      </c>
      <c r="E1796" s="85">
        <v>30.0</v>
      </c>
      <c r="F1796" s="85">
        <v>9.0</v>
      </c>
      <c r="G1796" s="32">
        <f t="shared" si="11"/>
        <v>8400</v>
      </c>
      <c r="H1796" s="32"/>
      <c r="I1796" s="32"/>
      <c r="J1796" s="32"/>
    </row>
    <row r="1797" hidden="1">
      <c r="A1797" s="88" t="s">
        <v>347</v>
      </c>
      <c r="B1797" s="92" t="s">
        <v>835</v>
      </c>
      <c r="C1797" s="92"/>
      <c r="D1797" s="92" t="s">
        <v>837</v>
      </c>
      <c r="E1797" s="85">
        <v>33.0</v>
      </c>
      <c r="F1797" s="85">
        <v>0.0</v>
      </c>
      <c r="G1797" s="32">
        <f t="shared" si="11"/>
        <v>8250</v>
      </c>
      <c r="H1797" s="32"/>
      <c r="I1797" s="32"/>
      <c r="J1797" s="32"/>
    </row>
    <row r="1798" hidden="1">
      <c r="A1798" s="88" t="s">
        <v>347</v>
      </c>
      <c r="B1798" s="92" t="s">
        <v>764</v>
      </c>
      <c r="C1798" s="92"/>
      <c r="D1798" s="92" t="s">
        <v>838</v>
      </c>
      <c r="E1798" s="85">
        <v>29.0</v>
      </c>
      <c r="F1798" s="85">
        <v>0.0</v>
      </c>
      <c r="G1798" s="32">
        <f t="shared" si="11"/>
        <v>7250</v>
      </c>
      <c r="H1798" s="32"/>
      <c r="I1798" s="32"/>
      <c r="J1798" s="32"/>
    </row>
    <row r="1799" hidden="1">
      <c r="A1799" s="88" t="s">
        <v>347</v>
      </c>
      <c r="B1799" s="92" t="s">
        <v>213</v>
      </c>
      <c r="C1799" s="92"/>
      <c r="D1799" s="92" t="s">
        <v>660</v>
      </c>
      <c r="E1799" s="85">
        <v>24.0</v>
      </c>
      <c r="F1799" s="85">
        <v>0.0</v>
      </c>
      <c r="G1799" s="32">
        <f t="shared" si="11"/>
        <v>6000</v>
      </c>
      <c r="H1799" s="32"/>
      <c r="I1799" s="32"/>
      <c r="J1799" s="32"/>
    </row>
    <row r="1800" hidden="1">
      <c r="A1800" s="88" t="s">
        <v>347</v>
      </c>
      <c r="B1800" s="92" t="s">
        <v>661</v>
      </c>
      <c r="C1800" s="92"/>
      <c r="D1800" s="92" t="s">
        <v>663</v>
      </c>
      <c r="E1800" s="85">
        <v>25.0</v>
      </c>
      <c r="F1800" s="85">
        <v>0.0</v>
      </c>
      <c r="G1800" s="32">
        <f t="shared" si="11"/>
        <v>6250</v>
      </c>
      <c r="H1800" s="32"/>
      <c r="I1800" s="32"/>
      <c r="J1800" s="32"/>
    </row>
    <row r="1801" hidden="1">
      <c r="A1801" s="88" t="s">
        <v>347</v>
      </c>
      <c r="B1801" s="92" t="s">
        <v>664</v>
      </c>
      <c r="C1801" s="91"/>
      <c r="D1801" s="91" t="s">
        <v>666</v>
      </c>
      <c r="E1801" s="85">
        <v>18.0</v>
      </c>
      <c r="F1801" s="85">
        <v>0.0</v>
      </c>
      <c r="G1801" s="32">
        <f t="shared" si="11"/>
        <v>4500</v>
      </c>
      <c r="H1801" s="32"/>
      <c r="I1801" s="32"/>
      <c r="J1801" s="32"/>
    </row>
    <row r="1802" hidden="1">
      <c r="A1802" s="88" t="s">
        <v>347</v>
      </c>
      <c r="B1802" s="92" t="s">
        <v>667</v>
      </c>
      <c r="C1802" s="92"/>
      <c r="D1802" s="92" t="s">
        <v>669</v>
      </c>
      <c r="E1802" s="85">
        <v>19.0</v>
      </c>
      <c r="F1802" s="85">
        <v>0.0</v>
      </c>
      <c r="G1802" s="32">
        <f t="shared" si="11"/>
        <v>4750</v>
      </c>
      <c r="H1802" s="32"/>
      <c r="I1802" s="32"/>
      <c r="J1802" s="32"/>
    </row>
    <row r="1803" hidden="1">
      <c r="A1803" s="88" t="s">
        <v>347</v>
      </c>
      <c r="B1803" s="92" t="s">
        <v>670</v>
      </c>
      <c r="C1803" s="92"/>
      <c r="D1803" s="92" t="s">
        <v>672</v>
      </c>
      <c r="E1803" s="85">
        <v>16.0</v>
      </c>
      <c r="F1803" s="85">
        <v>0.0</v>
      </c>
      <c r="G1803" s="32">
        <f t="shared" si="11"/>
        <v>4000</v>
      </c>
      <c r="H1803" s="32"/>
      <c r="I1803" s="32"/>
      <c r="J1803" s="32"/>
    </row>
    <row r="1804" hidden="1">
      <c r="A1804" s="88" t="s">
        <v>347</v>
      </c>
      <c r="B1804" s="92" t="s">
        <v>673</v>
      </c>
      <c r="C1804" s="92"/>
      <c r="D1804" s="92" t="s">
        <v>675</v>
      </c>
      <c r="E1804" s="85">
        <v>14.0</v>
      </c>
      <c r="F1804" s="85">
        <v>4.0</v>
      </c>
      <c r="G1804" s="32">
        <f t="shared" si="11"/>
        <v>3900</v>
      </c>
      <c r="H1804" s="32"/>
      <c r="I1804" s="32"/>
      <c r="J1804" s="32"/>
    </row>
    <row r="1805" hidden="1">
      <c r="A1805" s="88" t="s">
        <v>347</v>
      </c>
      <c r="B1805" s="92" t="s">
        <v>676</v>
      </c>
      <c r="C1805" s="92"/>
      <c r="D1805" s="92" t="s">
        <v>678</v>
      </c>
      <c r="E1805" s="85">
        <v>17.0</v>
      </c>
      <c r="F1805" s="85">
        <v>2.0</v>
      </c>
      <c r="G1805" s="32">
        <f t="shared" si="11"/>
        <v>4450</v>
      </c>
      <c r="H1805" s="32"/>
      <c r="I1805" s="32"/>
      <c r="J1805" s="32"/>
    </row>
    <row r="1806" hidden="1">
      <c r="A1806" s="88" t="s">
        <v>347</v>
      </c>
      <c r="B1806" s="92" t="s">
        <v>679</v>
      </c>
      <c r="C1806" s="92"/>
      <c r="D1806" s="92" t="s">
        <v>898</v>
      </c>
      <c r="E1806" s="85">
        <v>15.0</v>
      </c>
      <c r="F1806" s="85">
        <v>7.0</v>
      </c>
      <c r="G1806" s="32">
        <f t="shared" si="11"/>
        <v>4450</v>
      </c>
      <c r="H1806" s="32"/>
      <c r="I1806" s="32"/>
      <c r="J1806" s="32"/>
    </row>
    <row r="1807" hidden="1">
      <c r="A1807" s="88" t="s">
        <v>347</v>
      </c>
      <c r="B1807" s="92" t="s">
        <v>682</v>
      </c>
      <c r="C1807" s="92"/>
      <c r="D1807" s="92" t="s">
        <v>684</v>
      </c>
      <c r="E1807" s="85">
        <v>15.0</v>
      </c>
      <c r="F1807" s="85">
        <v>0.0</v>
      </c>
      <c r="G1807" s="32">
        <f t="shared" si="11"/>
        <v>3750</v>
      </c>
      <c r="H1807" s="32"/>
      <c r="I1807" s="32"/>
      <c r="J1807" s="32"/>
    </row>
    <row r="1808" hidden="1">
      <c r="A1808" s="88" t="s">
        <v>347</v>
      </c>
      <c r="B1808" s="92" t="s">
        <v>685</v>
      </c>
      <c r="C1808" s="92"/>
      <c r="D1808" s="92" t="s">
        <v>687</v>
      </c>
      <c r="E1808" s="85">
        <v>16.0</v>
      </c>
      <c r="F1808" s="85">
        <v>0.0</v>
      </c>
      <c r="G1808" s="32">
        <f t="shared" si="11"/>
        <v>4000</v>
      </c>
      <c r="H1808" s="32"/>
      <c r="I1808" s="32"/>
      <c r="J1808" s="32"/>
    </row>
    <row r="1809" hidden="1">
      <c r="A1809" s="88" t="s">
        <v>347</v>
      </c>
      <c r="B1809" s="92" t="s">
        <v>688</v>
      </c>
      <c r="C1809" s="92"/>
      <c r="D1809" s="92" t="s">
        <v>690</v>
      </c>
      <c r="E1809" s="85">
        <v>18.0</v>
      </c>
      <c r="F1809" s="85">
        <v>0.0</v>
      </c>
      <c r="G1809" s="32">
        <f t="shared" si="11"/>
        <v>4500</v>
      </c>
      <c r="H1809" s="32"/>
      <c r="I1809" s="32"/>
      <c r="J1809" s="32"/>
    </row>
    <row r="1810" hidden="1">
      <c r="A1810" s="88" t="s">
        <v>347</v>
      </c>
      <c r="B1810" s="92" t="s">
        <v>691</v>
      </c>
      <c r="C1810" s="92"/>
      <c r="D1810" s="92" t="s">
        <v>693</v>
      </c>
      <c r="E1810" s="85">
        <v>10.0</v>
      </c>
      <c r="F1810" s="85">
        <v>0.0</v>
      </c>
      <c r="G1810" s="32">
        <f t="shared" si="11"/>
        <v>2500</v>
      </c>
      <c r="H1810" s="32"/>
      <c r="I1810" s="32"/>
      <c r="J1810" s="32"/>
    </row>
    <row r="1811" hidden="1">
      <c r="A1811" s="88" t="s">
        <v>347</v>
      </c>
      <c r="B1811" s="92" t="s">
        <v>694</v>
      </c>
      <c r="C1811" s="92"/>
      <c r="D1811" s="92" t="s">
        <v>696</v>
      </c>
      <c r="E1811" s="85">
        <v>10.0</v>
      </c>
      <c r="F1811" s="85">
        <v>0.0</v>
      </c>
      <c r="G1811" s="32">
        <f t="shared" si="11"/>
        <v>2500</v>
      </c>
      <c r="H1811" s="32"/>
      <c r="I1811" s="32"/>
      <c r="J1811" s="32"/>
    </row>
    <row r="1812" hidden="1">
      <c r="A1812" s="88" t="s">
        <v>347</v>
      </c>
      <c r="B1812" s="92" t="s">
        <v>697</v>
      </c>
      <c r="C1812" s="92"/>
      <c r="D1812" s="92" t="s">
        <v>699</v>
      </c>
      <c r="E1812" s="85">
        <v>17.0</v>
      </c>
      <c r="F1812" s="85">
        <v>0.0</v>
      </c>
      <c r="G1812" s="32">
        <f t="shared" si="11"/>
        <v>4250</v>
      </c>
      <c r="H1812" s="32"/>
      <c r="I1812" s="32"/>
      <c r="J1812" s="32"/>
    </row>
    <row r="1813" hidden="1">
      <c r="A1813" s="88" t="s">
        <v>347</v>
      </c>
      <c r="B1813" s="92" t="s">
        <v>700</v>
      </c>
      <c r="C1813" s="92"/>
      <c r="D1813" s="92" t="s">
        <v>889</v>
      </c>
      <c r="E1813" s="85">
        <v>16.0</v>
      </c>
      <c r="F1813" s="85">
        <v>0.0</v>
      </c>
      <c r="G1813" s="32">
        <f t="shared" si="11"/>
        <v>4000</v>
      </c>
      <c r="H1813" s="32"/>
      <c r="I1813" s="32"/>
      <c r="J1813" s="32"/>
    </row>
    <row r="1814" hidden="1">
      <c r="A1814" s="88" t="s">
        <v>347</v>
      </c>
      <c r="B1814" s="92" t="s">
        <v>703</v>
      </c>
      <c r="C1814" s="92"/>
      <c r="D1814" s="92" t="s">
        <v>705</v>
      </c>
      <c r="E1814" s="85">
        <v>12.0</v>
      </c>
      <c r="F1814" s="85">
        <v>1.0</v>
      </c>
      <c r="G1814" s="32">
        <f t="shared" si="11"/>
        <v>3100</v>
      </c>
      <c r="H1814" s="32"/>
      <c r="I1814" s="32"/>
      <c r="J1814" s="32"/>
    </row>
    <row r="1815" hidden="1">
      <c r="A1815" s="88" t="s">
        <v>347</v>
      </c>
      <c r="B1815" s="92" t="s">
        <v>706</v>
      </c>
      <c r="C1815" s="92"/>
      <c r="D1815" s="92" t="s">
        <v>708</v>
      </c>
      <c r="E1815" s="85">
        <v>12.0</v>
      </c>
      <c r="F1815" s="85">
        <v>1.0</v>
      </c>
      <c r="G1815" s="32">
        <f t="shared" si="11"/>
        <v>3100</v>
      </c>
      <c r="H1815" s="32"/>
      <c r="I1815" s="32"/>
      <c r="J1815" s="32"/>
    </row>
    <row r="1816" hidden="1">
      <c r="A1816" s="88" t="s">
        <v>347</v>
      </c>
      <c r="B1816" s="92" t="s">
        <v>709</v>
      </c>
      <c r="C1816" s="92"/>
      <c r="D1816" s="92" t="s">
        <v>711</v>
      </c>
      <c r="E1816" s="85">
        <v>14.0</v>
      </c>
      <c r="F1816" s="85">
        <v>0.0</v>
      </c>
      <c r="G1816" s="32">
        <f t="shared" si="11"/>
        <v>3500</v>
      </c>
      <c r="H1816" s="32"/>
      <c r="I1816" s="32"/>
      <c r="J1816" s="32"/>
    </row>
    <row r="1817" hidden="1">
      <c r="A1817" s="88" t="s">
        <v>347</v>
      </c>
      <c r="B1817" s="92" t="s">
        <v>712</v>
      </c>
      <c r="C1817" s="92"/>
      <c r="D1817" s="92" t="s">
        <v>714</v>
      </c>
      <c r="E1817" s="85">
        <v>20.0</v>
      </c>
      <c r="F1817" s="85">
        <v>2.0</v>
      </c>
      <c r="G1817" s="32">
        <f t="shared" si="11"/>
        <v>5200</v>
      </c>
      <c r="H1817" s="32"/>
      <c r="I1817" s="32"/>
      <c r="J1817" s="32"/>
    </row>
    <row r="1818" hidden="1">
      <c r="A1818" s="88" t="s">
        <v>347</v>
      </c>
      <c r="B1818" s="92" t="s">
        <v>799</v>
      </c>
      <c r="C1818" s="92"/>
      <c r="D1818" s="92" t="s">
        <v>801</v>
      </c>
      <c r="E1818" s="85">
        <v>13.0</v>
      </c>
      <c r="F1818" s="85">
        <v>5.0</v>
      </c>
      <c r="G1818" s="32">
        <f t="shared" si="11"/>
        <v>3750</v>
      </c>
      <c r="H1818" s="32"/>
      <c r="I1818" s="32"/>
      <c r="J1818" s="32"/>
    </row>
    <row r="1819" hidden="1">
      <c r="A1819" s="88" t="s">
        <v>347</v>
      </c>
      <c r="B1819" s="92" t="s">
        <v>795</v>
      </c>
      <c r="C1819" s="92"/>
      <c r="D1819" s="92" t="s">
        <v>797</v>
      </c>
      <c r="E1819" s="85">
        <v>11.0</v>
      </c>
      <c r="F1819" s="85">
        <v>0.0</v>
      </c>
      <c r="G1819" s="32">
        <f t="shared" si="11"/>
        <v>2750</v>
      </c>
      <c r="H1819" s="32"/>
      <c r="I1819" s="32"/>
      <c r="J1819" s="32"/>
    </row>
    <row r="1820" hidden="1">
      <c r="A1820" s="88" t="s">
        <v>347</v>
      </c>
      <c r="B1820" s="92" t="s">
        <v>715</v>
      </c>
      <c r="C1820" s="92"/>
      <c r="D1820" s="92" t="s">
        <v>717</v>
      </c>
      <c r="E1820" s="85">
        <v>8.0</v>
      </c>
      <c r="F1820" s="85">
        <v>0.0</v>
      </c>
      <c r="G1820" s="32">
        <f t="shared" si="11"/>
        <v>2000</v>
      </c>
      <c r="H1820" s="32"/>
      <c r="I1820" s="32"/>
      <c r="J1820" s="32"/>
    </row>
    <row r="1821" hidden="1">
      <c r="A1821" s="88" t="s">
        <v>347</v>
      </c>
      <c r="B1821" s="92" t="s">
        <v>718</v>
      </c>
      <c r="C1821" s="92"/>
      <c r="D1821" s="92" t="s">
        <v>720</v>
      </c>
      <c r="E1821" s="85">
        <v>14.0</v>
      </c>
      <c r="F1821" s="85">
        <v>0.0</v>
      </c>
      <c r="G1821" s="32">
        <f t="shared" si="11"/>
        <v>3500</v>
      </c>
      <c r="H1821" s="32"/>
      <c r="I1821" s="32"/>
      <c r="J1821" s="32"/>
    </row>
    <row r="1822" hidden="1">
      <c r="A1822" s="88" t="s">
        <v>347</v>
      </c>
      <c r="B1822" s="92" t="s">
        <v>721</v>
      </c>
      <c r="C1822" s="92"/>
      <c r="D1822" s="92" t="s">
        <v>723</v>
      </c>
      <c r="E1822" s="85">
        <v>12.0</v>
      </c>
      <c r="F1822" s="85">
        <v>4.0</v>
      </c>
      <c r="G1822" s="32">
        <f t="shared" si="11"/>
        <v>3400</v>
      </c>
      <c r="H1822" s="32"/>
      <c r="I1822" s="32"/>
      <c r="J1822" s="32"/>
    </row>
    <row r="1823" hidden="1">
      <c r="A1823" s="88" t="s">
        <v>347</v>
      </c>
      <c r="B1823" s="93" t="s">
        <v>724</v>
      </c>
      <c r="C1823" s="92"/>
      <c r="D1823" s="92" t="s">
        <v>726</v>
      </c>
      <c r="E1823" s="85">
        <v>8.0</v>
      </c>
      <c r="F1823" s="85">
        <v>0.0</v>
      </c>
      <c r="G1823" s="32">
        <f t="shared" si="11"/>
        <v>2000</v>
      </c>
      <c r="H1823" s="32"/>
      <c r="I1823" s="32"/>
      <c r="J1823" s="32"/>
    </row>
    <row r="1824" hidden="1">
      <c r="A1824" s="88" t="s">
        <v>347</v>
      </c>
      <c r="B1824" s="93" t="s">
        <v>899</v>
      </c>
      <c r="C1824" s="92"/>
      <c r="D1824" s="92" t="s">
        <v>900</v>
      </c>
      <c r="E1824" s="85">
        <v>3.0</v>
      </c>
      <c r="F1824" s="85">
        <v>0.0</v>
      </c>
      <c r="G1824" s="32">
        <f t="shared" si="11"/>
        <v>750</v>
      </c>
      <c r="H1824" s="32"/>
      <c r="I1824" s="32"/>
      <c r="J1824" s="32"/>
    </row>
    <row r="1825" hidden="1">
      <c r="A1825" s="88" t="s">
        <v>347</v>
      </c>
      <c r="B1825" s="92" t="s">
        <v>767</v>
      </c>
      <c r="C1825" s="92"/>
      <c r="D1825" s="92" t="s">
        <v>769</v>
      </c>
      <c r="E1825" s="85">
        <v>20.0</v>
      </c>
      <c r="F1825" s="85">
        <v>0.0</v>
      </c>
      <c r="G1825" s="32">
        <f t="shared" si="11"/>
        <v>5000</v>
      </c>
      <c r="H1825" s="32"/>
      <c r="I1825" s="32"/>
      <c r="J1825" s="32"/>
    </row>
    <row r="1826" hidden="1">
      <c r="A1826" s="88" t="s">
        <v>347</v>
      </c>
      <c r="B1826" s="92" t="s">
        <v>730</v>
      </c>
      <c r="C1826" s="92"/>
      <c r="D1826" s="92" t="s">
        <v>732</v>
      </c>
      <c r="E1826" s="85">
        <v>14.0</v>
      </c>
      <c r="F1826" s="85">
        <v>0.0</v>
      </c>
      <c r="G1826" s="32">
        <f t="shared" si="11"/>
        <v>3500</v>
      </c>
      <c r="H1826" s="32"/>
      <c r="I1826" s="32"/>
      <c r="J1826" s="32"/>
    </row>
    <row r="1827" hidden="1">
      <c r="A1827" s="88" t="s">
        <v>347</v>
      </c>
      <c r="B1827" s="92" t="s">
        <v>748</v>
      </c>
      <c r="C1827" s="92"/>
      <c r="D1827" s="92" t="s">
        <v>750</v>
      </c>
      <c r="E1827" s="85">
        <v>10.0</v>
      </c>
      <c r="F1827" s="85">
        <v>1.0</v>
      </c>
      <c r="G1827" s="32">
        <f t="shared" si="11"/>
        <v>2600</v>
      </c>
      <c r="H1827" s="32"/>
      <c r="I1827" s="32"/>
      <c r="J1827" s="32"/>
    </row>
    <row r="1828" hidden="1">
      <c r="A1828" s="88" t="s">
        <v>347</v>
      </c>
      <c r="B1828" s="92" t="s">
        <v>733</v>
      </c>
      <c r="C1828" s="92"/>
      <c r="D1828" s="92" t="s">
        <v>735</v>
      </c>
      <c r="E1828" s="85">
        <v>18.0</v>
      </c>
      <c r="F1828" s="85">
        <v>0.0</v>
      </c>
      <c r="G1828" s="32">
        <f t="shared" si="11"/>
        <v>4500</v>
      </c>
      <c r="H1828" s="32"/>
      <c r="I1828" s="32"/>
      <c r="J1828" s="32"/>
    </row>
    <row r="1829" hidden="1">
      <c r="A1829" s="88" t="s">
        <v>347</v>
      </c>
      <c r="B1829" s="92" t="s">
        <v>727</v>
      </c>
      <c r="C1829" s="92"/>
      <c r="D1829" s="92" t="s">
        <v>729</v>
      </c>
      <c r="E1829" s="85">
        <v>8.0</v>
      </c>
      <c r="F1829" s="85">
        <v>0.0</v>
      </c>
      <c r="G1829" s="32">
        <f t="shared" si="11"/>
        <v>2000</v>
      </c>
      <c r="H1829" s="32"/>
      <c r="I1829" s="32"/>
      <c r="J1829" s="32"/>
    </row>
    <row r="1830" hidden="1">
      <c r="A1830" s="88" t="s">
        <v>347</v>
      </c>
      <c r="B1830" s="92" t="s">
        <v>736</v>
      </c>
      <c r="C1830" s="92"/>
      <c r="D1830" s="92" t="s">
        <v>738</v>
      </c>
      <c r="E1830" s="85">
        <v>14.0</v>
      </c>
      <c r="F1830" s="85">
        <v>0.0</v>
      </c>
      <c r="G1830" s="32">
        <f t="shared" si="11"/>
        <v>3500</v>
      </c>
      <c r="H1830" s="32"/>
      <c r="I1830" s="32"/>
      <c r="J1830" s="32"/>
    </row>
    <row r="1831" hidden="1">
      <c r="A1831" s="88" t="s">
        <v>347</v>
      </c>
      <c r="B1831" s="92" t="s">
        <v>895</v>
      </c>
      <c r="C1831" s="92"/>
      <c r="D1831" s="92" t="s">
        <v>896</v>
      </c>
      <c r="E1831" s="85">
        <v>6.0</v>
      </c>
      <c r="F1831" s="85">
        <v>0.0</v>
      </c>
      <c r="G1831" s="32">
        <f t="shared" si="11"/>
        <v>1500</v>
      </c>
      <c r="H1831" s="32"/>
      <c r="I1831" s="32"/>
      <c r="J1831" s="32"/>
    </row>
    <row r="1832" hidden="1">
      <c r="A1832" s="88" t="s">
        <v>347</v>
      </c>
      <c r="B1832" s="92" t="s">
        <v>739</v>
      </c>
      <c r="C1832" s="92"/>
      <c r="D1832" s="92" t="s">
        <v>741</v>
      </c>
      <c r="E1832" s="85">
        <v>14.0</v>
      </c>
      <c r="F1832" s="85">
        <v>0.0</v>
      </c>
      <c r="G1832" s="32">
        <f t="shared" si="11"/>
        <v>3500</v>
      </c>
      <c r="H1832" s="32"/>
      <c r="I1832" s="32"/>
      <c r="J1832" s="32"/>
    </row>
    <row r="1833" hidden="1">
      <c r="A1833" s="88" t="s">
        <v>347</v>
      </c>
      <c r="B1833" s="92" t="s">
        <v>788</v>
      </c>
      <c r="C1833" s="92"/>
      <c r="D1833" s="92" t="s">
        <v>790</v>
      </c>
      <c r="E1833" s="85">
        <v>9.0</v>
      </c>
      <c r="F1833" s="85">
        <v>0.0</v>
      </c>
      <c r="G1833" s="32">
        <f t="shared" si="11"/>
        <v>2250</v>
      </c>
      <c r="H1833" s="32"/>
      <c r="I1833" s="32"/>
      <c r="J1833" s="32"/>
    </row>
    <row r="1834" hidden="1">
      <c r="A1834" s="88" t="s">
        <v>347</v>
      </c>
      <c r="B1834" s="92" t="s">
        <v>751</v>
      </c>
      <c r="C1834" s="92"/>
      <c r="D1834" s="92" t="s">
        <v>753</v>
      </c>
      <c r="E1834" s="85">
        <v>12.0</v>
      </c>
      <c r="F1834" s="85">
        <v>0.0</v>
      </c>
      <c r="G1834" s="32">
        <f t="shared" si="11"/>
        <v>3000</v>
      </c>
      <c r="H1834" s="32"/>
      <c r="I1834" s="32"/>
      <c r="J1834" s="32"/>
    </row>
    <row r="1835" hidden="1">
      <c r="A1835" s="88" t="s">
        <v>347</v>
      </c>
      <c r="B1835" s="92" t="s">
        <v>742</v>
      </c>
      <c r="C1835" s="92"/>
      <c r="D1835" s="92" t="s">
        <v>744</v>
      </c>
      <c r="E1835" s="85">
        <v>4.0</v>
      </c>
      <c r="F1835" s="85">
        <v>0.0</v>
      </c>
      <c r="G1835" s="32">
        <f t="shared" si="11"/>
        <v>1000</v>
      </c>
      <c r="H1835" s="32"/>
      <c r="I1835" s="32"/>
      <c r="J1835" s="32"/>
    </row>
    <row r="1836" hidden="1">
      <c r="A1836" s="88" t="s">
        <v>347</v>
      </c>
      <c r="B1836" s="16" t="s">
        <v>816</v>
      </c>
      <c r="C1836" s="92"/>
      <c r="D1836" s="92" t="s">
        <v>897</v>
      </c>
      <c r="E1836" s="85">
        <v>6.0</v>
      </c>
      <c r="F1836" s="85">
        <v>0.0</v>
      </c>
      <c r="G1836" s="32">
        <f t="shared" si="11"/>
        <v>1500</v>
      </c>
      <c r="H1836" s="32"/>
      <c r="I1836" s="32"/>
      <c r="J1836" s="32"/>
    </row>
    <row r="1837" hidden="1">
      <c r="A1837" s="88" t="s">
        <v>347</v>
      </c>
      <c r="B1837" s="16" t="s">
        <v>754</v>
      </c>
      <c r="C1837" s="92"/>
      <c r="D1837" s="92" t="s">
        <v>756</v>
      </c>
      <c r="E1837" s="85">
        <v>0.0</v>
      </c>
      <c r="F1837" s="85">
        <v>0.0</v>
      </c>
      <c r="G1837" s="32">
        <f t="shared" si="11"/>
        <v>0</v>
      </c>
      <c r="H1837" s="32"/>
      <c r="I1837" s="32"/>
      <c r="J1837" s="32"/>
    </row>
    <row r="1838" hidden="1">
      <c r="A1838" s="88" t="s">
        <v>347</v>
      </c>
      <c r="B1838" s="7" t="s">
        <v>757</v>
      </c>
      <c r="C1838" s="91"/>
      <c r="D1838" s="91" t="s">
        <v>759</v>
      </c>
      <c r="E1838" s="85">
        <v>7.0</v>
      </c>
      <c r="F1838" s="85">
        <v>0.0</v>
      </c>
      <c r="G1838" s="32">
        <f t="shared" si="11"/>
        <v>1750</v>
      </c>
      <c r="H1838" s="32"/>
      <c r="I1838" s="32"/>
      <c r="J1838" s="32"/>
    </row>
    <row r="1839" hidden="1">
      <c r="A1839" s="88" t="s">
        <v>348</v>
      </c>
      <c r="B1839" s="92" t="s">
        <v>832</v>
      </c>
      <c r="C1839" s="92"/>
      <c r="D1839" s="92" t="s">
        <v>893</v>
      </c>
      <c r="E1839" s="85">
        <v>28.0</v>
      </c>
      <c r="F1839" s="85">
        <v>5.0</v>
      </c>
      <c r="G1839" s="32">
        <f t="shared" si="11"/>
        <v>7500</v>
      </c>
      <c r="H1839" s="32"/>
      <c r="I1839" s="32">
        <v>7500.0</v>
      </c>
      <c r="J1839" s="32">
        <f t="shared" ref="J1839:J1882" si="12">MINUS(G1839,I1839)</f>
        <v>0</v>
      </c>
    </row>
    <row r="1840" hidden="1">
      <c r="A1840" s="88" t="s">
        <v>348</v>
      </c>
      <c r="B1840" s="92" t="s">
        <v>835</v>
      </c>
      <c r="C1840" s="92"/>
      <c r="D1840" s="92" t="s">
        <v>837</v>
      </c>
      <c r="E1840" s="85">
        <v>30.0</v>
      </c>
      <c r="F1840" s="85">
        <v>0.0</v>
      </c>
      <c r="G1840" s="32">
        <f t="shared" si="11"/>
        <v>7500</v>
      </c>
      <c r="H1840" s="32"/>
      <c r="I1840" s="32">
        <v>7500.0</v>
      </c>
      <c r="J1840" s="32">
        <f t="shared" si="12"/>
        <v>0</v>
      </c>
    </row>
    <row r="1841" hidden="1">
      <c r="A1841" s="88" t="s">
        <v>348</v>
      </c>
      <c r="B1841" s="92" t="s">
        <v>764</v>
      </c>
      <c r="C1841" s="92"/>
      <c r="D1841" s="92" t="s">
        <v>838</v>
      </c>
      <c r="E1841" s="85">
        <v>31.0</v>
      </c>
      <c r="F1841" s="85">
        <v>0.0</v>
      </c>
      <c r="G1841" s="32">
        <f t="shared" si="11"/>
        <v>7750</v>
      </c>
      <c r="H1841" s="32"/>
      <c r="I1841" s="32">
        <v>7750.0</v>
      </c>
      <c r="J1841" s="32">
        <f t="shared" si="12"/>
        <v>0</v>
      </c>
    </row>
    <row r="1842" hidden="1">
      <c r="A1842" s="88" t="s">
        <v>348</v>
      </c>
      <c r="B1842" s="92" t="s">
        <v>213</v>
      </c>
      <c r="C1842" s="92"/>
      <c r="D1842" s="92" t="s">
        <v>660</v>
      </c>
      <c r="E1842" s="85">
        <v>20.0</v>
      </c>
      <c r="F1842" s="85">
        <v>0.0</v>
      </c>
      <c r="G1842" s="32">
        <f t="shared" si="11"/>
        <v>5000</v>
      </c>
      <c r="H1842" s="32"/>
      <c r="I1842" s="32">
        <v>5000.0</v>
      </c>
      <c r="J1842" s="32">
        <f t="shared" si="12"/>
        <v>0</v>
      </c>
    </row>
    <row r="1843" hidden="1">
      <c r="A1843" s="88" t="s">
        <v>348</v>
      </c>
      <c r="B1843" s="92" t="s">
        <v>661</v>
      </c>
      <c r="C1843" s="92"/>
      <c r="D1843" s="92" t="s">
        <v>663</v>
      </c>
      <c r="E1843" s="85">
        <v>15.0</v>
      </c>
      <c r="F1843" s="85">
        <v>0.0</v>
      </c>
      <c r="G1843" s="32">
        <f t="shared" si="11"/>
        <v>3750</v>
      </c>
      <c r="H1843" s="32"/>
      <c r="I1843" s="32">
        <v>3750.0</v>
      </c>
      <c r="J1843" s="32">
        <f t="shared" si="12"/>
        <v>0</v>
      </c>
    </row>
    <row r="1844" hidden="1">
      <c r="A1844" s="88" t="s">
        <v>348</v>
      </c>
      <c r="B1844" s="92" t="s">
        <v>664</v>
      </c>
      <c r="C1844" s="92"/>
      <c r="D1844" s="92" t="s">
        <v>901</v>
      </c>
      <c r="E1844" s="85">
        <v>17.0</v>
      </c>
      <c r="F1844" s="85">
        <v>0.0</v>
      </c>
      <c r="G1844" s="32">
        <f t="shared" si="11"/>
        <v>4250</v>
      </c>
      <c r="H1844" s="32"/>
      <c r="I1844" s="32">
        <v>4250.0</v>
      </c>
      <c r="J1844" s="32">
        <f t="shared" si="12"/>
        <v>0</v>
      </c>
    </row>
    <row r="1845" hidden="1">
      <c r="A1845" s="88" t="s">
        <v>348</v>
      </c>
      <c r="B1845" s="92" t="s">
        <v>667</v>
      </c>
      <c r="C1845" s="92"/>
      <c r="D1845" s="92" t="s">
        <v>669</v>
      </c>
      <c r="E1845" s="85">
        <v>21.0</v>
      </c>
      <c r="F1845" s="85">
        <v>0.0</v>
      </c>
      <c r="G1845" s="32">
        <f t="shared" si="11"/>
        <v>5250</v>
      </c>
      <c r="H1845" s="32"/>
      <c r="I1845" s="32">
        <v>5250.0</v>
      </c>
      <c r="J1845" s="32">
        <f t="shared" si="12"/>
        <v>0</v>
      </c>
    </row>
    <row r="1846" hidden="1">
      <c r="A1846" s="88" t="s">
        <v>348</v>
      </c>
      <c r="B1846" s="92" t="s">
        <v>670</v>
      </c>
      <c r="C1846" s="92"/>
      <c r="D1846" s="92" t="s">
        <v>672</v>
      </c>
      <c r="E1846" s="85">
        <v>16.0</v>
      </c>
      <c r="F1846" s="85">
        <v>0.0</v>
      </c>
      <c r="G1846" s="32">
        <f t="shared" si="11"/>
        <v>4000</v>
      </c>
      <c r="H1846" s="32"/>
      <c r="I1846" s="32">
        <v>4000.0</v>
      </c>
      <c r="J1846" s="32">
        <f t="shared" si="12"/>
        <v>0</v>
      </c>
    </row>
    <row r="1847" hidden="1">
      <c r="A1847" s="88" t="s">
        <v>348</v>
      </c>
      <c r="B1847" s="92" t="s">
        <v>673</v>
      </c>
      <c r="C1847" s="92"/>
      <c r="D1847" s="92" t="s">
        <v>675</v>
      </c>
      <c r="E1847" s="85">
        <v>13.0</v>
      </c>
      <c r="F1847" s="85">
        <v>2.0</v>
      </c>
      <c r="G1847" s="32">
        <f t="shared" si="11"/>
        <v>3450</v>
      </c>
      <c r="H1847" s="32"/>
      <c r="I1847" s="32">
        <v>3450.0</v>
      </c>
      <c r="J1847" s="32">
        <f t="shared" si="12"/>
        <v>0</v>
      </c>
    </row>
    <row r="1848" hidden="1">
      <c r="A1848" s="88" t="s">
        <v>348</v>
      </c>
      <c r="B1848" s="92" t="s">
        <v>676</v>
      </c>
      <c r="C1848" s="92"/>
      <c r="D1848" s="92" t="s">
        <v>678</v>
      </c>
      <c r="E1848" s="85">
        <v>10.0</v>
      </c>
      <c r="F1848" s="85">
        <v>0.0</v>
      </c>
      <c r="G1848" s="32">
        <f t="shared" si="11"/>
        <v>2500</v>
      </c>
      <c r="H1848" s="32"/>
      <c r="I1848" s="32">
        <v>2500.0</v>
      </c>
      <c r="J1848" s="32">
        <f t="shared" si="12"/>
        <v>0</v>
      </c>
    </row>
    <row r="1849" hidden="1">
      <c r="A1849" s="88" t="s">
        <v>348</v>
      </c>
      <c r="B1849" s="92" t="s">
        <v>679</v>
      </c>
      <c r="C1849" s="92"/>
      <c r="D1849" s="92" t="s">
        <v>902</v>
      </c>
      <c r="E1849" s="85">
        <v>15.0</v>
      </c>
      <c r="F1849" s="85">
        <v>8.0</v>
      </c>
      <c r="G1849" s="32">
        <f t="shared" si="11"/>
        <v>4550</v>
      </c>
      <c r="H1849" s="32"/>
      <c r="I1849" s="32">
        <v>4550.0</v>
      </c>
      <c r="J1849" s="32">
        <f t="shared" si="12"/>
        <v>0</v>
      </c>
    </row>
    <row r="1850" hidden="1">
      <c r="A1850" s="88" t="s">
        <v>348</v>
      </c>
      <c r="B1850" s="92" t="s">
        <v>682</v>
      </c>
      <c r="C1850" s="92"/>
      <c r="D1850" s="92" t="s">
        <v>684</v>
      </c>
      <c r="E1850" s="85">
        <v>9.0</v>
      </c>
      <c r="F1850" s="85">
        <v>0.0</v>
      </c>
      <c r="G1850" s="32">
        <f t="shared" si="11"/>
        <v>2250</v>
      </c>
      <c r="H1850" s="32"/>
      <c r="I1850" s="32">
        <v>2250.0</v>
      </c>
      <c r="J1850" s="32">
        <f t="shared" si="12"/>
        <v>0</v>
      </c>
    </row>
    <row r="1851" hidden="1">
      <c r="A1851" s="88" t="s">
        <v>348</v>
      </c>
      <c r="B1851" s="92" t="s">
        <v>685</v>
      </c>
      <c r="C1851" s="92"/>
      <c r="D1851" s="92" t="s">
        <v>687</v>
      </c>
      <c r="E1851" s="85">
        <v>17.0</v>
      </c>
      <c r="F1851" s="85">
        <v>0.0</v>
      </c>
      <c r="G1851" s="32">
        <f t="shared" si="11"/>
        <v>4250</v>
      </c>
      <c r="H1851" s="32"/>
      <c r="I1851" s="32">
        <v>4250.0</v>
      </c>
      <c r="J1851" s="32">
        <f t="shared" si="12"/>
        <v>0</v>
      </c>
    </row>
    <row r="1852" hidden="1">
      <c r="A1852" s="88" t="s">
        <v>348</v>
      </c>
      <c r="B1852" s="92" t="s">
        <v>688</v>
      </c>
      <c r="C1852" s="92"/>
      <c r="D1852" s="92" t="s">
        <v>690</v>
      </c>
      <c r="E1852" s="85">
        <v>18.0</v>
      </c>
      <c r="F1852" s="85">
        <v>0.0</v>
      </c>
      <c r="G1852" s="32">
        <f t="shared" si="11"/>
        <v>4500</v>
      </c>
      <c r="H1852" s="32"/>
      <c r="I1852" s="32">
        <v>4500.0</v>
      </c>
      <c r="J1852" s="32">
        <f t="shared" si="12"/>
        <v>0</v>
      </c>
    </row>
    <row r="1853" hidden="1">
      <c r="A1853" s="88" t="s">
        <v>348</v>
      </c>
      <c r="B1853" s="92" t="s">
        <v>691</v>
      </c>
      <c r="C1853" s="92"/>
      <c r="D1853" s="92" t="s">
        <v>693</v>
      </c>
      <c r="E1853" s="85">
        <v>13.0</v>
      </c>
      <c r="F1853" s="85">
        <v>0.0</v>
      </c>
      <c r="G1853" s="32">
        <f t="shared" si="11"/>
        <v>3250</v>
      </c>
      <c r="H1853" s="32"/>
      <c r="I1853" s="32">
        <v>3250.0</v>
      </c>
      <c r="J1853" s="32">
        <f t="shared" si="12"/>
        <v>0</v>
      </c>
    </row>
    <row r="1854" hidden="1">
      <c r="A1854" s="88" t="s">
        <v>348</v>
      </c>
      <c r="B1854" s="92" t="s">
        <v>694</v>
      </c>
      <c r="C1854" s="92"/>
      <c r="D1854" s="92" t="s">
        <v>696</v>
      </c>
      <c r="E1854" s="85">
        <v>14.0</v>
      </c>
      <c r="F1854" s="85">
        <v>0.0</v>
      </c>
      <c r="G1854" s="32">
        <f t="shared" si="11"/>
        <v>3500</v>
      </c>
      <c r="H1854" s="32"/>
      <c r="I1854" s="32">
        <v>3500.0</v>
      </c>
      <c r="J1854" s="32">
        <f t="shared" si="12"/>
        <v>0</v>
      </c>
    </row>
    <row r="1855" hidden="1">
      <c r="A1855" s="88" t="s">
        <v>348</v>
      </c>
      <c r="B1855" s="92" t="s">
        <v>697</v>
      </c>
      <c r="C1855" s="92"/>
      <c r="D1855" s="92" t="s">
        <v>699</v>
      </c>
      <c r="E1855" s="85">
        <v>15.0</v>
      </c>
      <c r="F1855" s="85">
        <v>2.0</v>
      </c>
      <c r="G1855" s="32">
        <f t="shared" si="11"/>
        <v>3950</v>
      </c>
      <c r="H1855" s="32"/>
      <c r="I1855" s="32">
        <v>3950.0</v>
      </c>
      <c r="J1855" s="32">
        <f t="shared" si="12"/>
        <v>0</v>
      </c>
    </row>
    <row r="1856" hidden="1">
      <c r="A1856" s="88" t="s">
        <v>348</v>
      </c>
      <c r="B1856" s="92" t="s">
        <v>700</v>
      </c>
      <c r="C1856" s="92"/>
      <c r="D1856" s="92" t="s">
        <v>889</v>
      </c>
      <c r="E1856" s="85">
        <v>10.0</v>
      </c>
      <c r="F1856" s="85">
        <v>0.0</v>
      </c>
      <c r="G1856" s="32">
        <f t="shared" si="11"/>
        <v>2500</v>
      </c>
      <c r="H1856" s="32"/>
      <c r="I1856" s="32">
        <v>2500.0</v>
      </c>
      <c r="J1856" s="32">
        <f t="shared" si="12"/>
        <v>0</v>
      </c>
    </row>
    <row r="1857" hidden="1">
      <c r="A1857" s="88" t="s">
        <v>348</v>
      </c>
      <c r="B1857" s="92" t="s">
        <v>703</v>
      </c>
      <c r="C1857" s="92"/>
      <c r="D1857" s="92" t="s">
        <v>705</v>
      </c>
      <c r="E1857" s="85">
        <v>11.0</v>
      </c>
      <c r="F1857" s="85">
        <v>2.0</v>
      </c>
      <c r="G1857" s="32">
        <f t="shared" si="11"/>
        <v>2950</v>
      </c>
      <c r="H1857" s="32"/>
      <c r="I1857" s="32">
        <v>2950.0</v>
      </c>
      <c r="J1857" s="32">
        <f t="shared" si="12"/>
        <v>0</v>
      </c>
    </row>
    <row r="1858" hidden="1">
      <c r="A1858" s="88" t="s">
        <v>348</v>
      </c>
      <c r="B1858" s="92" t="s">
        <v>706</v>
      </c>
      <c r="C1858" s="92"/>
      <c r="D1858" s="92" t="s">
        <v>708</v>
      </c>
      <c r="E1858" s="85">
        <v>11.0</v>
      </c>
      <c r="F1858" s="85">
        <v>0.0</v>
      </c>
      <c r="G1858" s="32">
        <f t="shared" si="11"/>
        <v>2750</v>
      </c>
      <c r="H1858" s="32"/>
      <c r="I1858" s="32">
        <v>2750.0</v>
      </c>
      <c r="J1858" s="32">
        <f t="shared" si="12"/>
        <v>0</v>
      </c>
    </row>
    <row r="1859" hidden="1">
      <c r="A1859" s="88" t="s">
        <v>348</v>
      </c>
      <c r="B1859" s="92" t="s">
        <v>709</v>
      </c>
      <c r="C1859" s="92"/>
      <c r="D1859" s="92" t="s">
        <v>711</v>
      </c>
      <c r="E1859" s="85">
        <v>19.0</v>
      </c>
      <c r="F1859" s="85">
        <v>0.0</v>
      </c>
      <c r="G1859" s="32">
        <f t="shared" si="11"/>
        <v>4750</v>
      </c>
      <c r="H1859" s="32"/>
      <c r="I1859" s="32">
        <v>4750.0</v>
      </c>
      <c r="J1859" s="32">
        <f t="shared" si="12"/>
        <v>0</v>
      </c>
    </row>
    <row r="1860" hidden="1">
      <c r="A1860" s="88" t="s">
        <v>348</v>
      </c>
      <c r="B1860" s="92" t="s">
        <v>712</v>
      </c>
      <c r="C1860" s="92"/>
      <c r="D1860" s="92" t="s">
        <v>714</v>
      </c>
      <c r="E1860" s="85">
        <v>14.0</v>
      </c>
      <c r="F1860" s="85">
        <v>2.0</v>
      </c>
      <c r="G1860" s="32">
        <f t="shared" si="11"/>
        <v>3700</v>
      </c>
      <c r="H1860" s="32"/>
      <c r="I1860" s="32">
        <v>3700.0</v>
      </c>
      <c r="J1860" s="32">
        <f t="shared" si="12"/>
        <v>0</v>
      </c>
    </row>
    <row r="1861" hidden="1">
      <c r="A1861" s="88" t="s">
        <v>348</v>
      </c>
      <c r="B1861" s="92" t="s">
        <v>799</v>
      </c>
      <c r="C1861" s="92"/>
      <c r="D1861" s="92" t="s">
        <v>801</v>
      </c>
      <c r="E1861" s="85">
        <v>9.0</v>
      </c>
      <c r="F1861" s="85">
        <v>2.0</v>
      </c>
      <c r="G1861" s="32">
        <f t="shared" si="11"/>
        <v>2450</v>
      </c>
      <c r="H1861" s="32"/>
      <c r="I1861" s="32">
        <v>2450.0</v>
      </c>
      <c r="J1861" s="32">
        <f t="shared" si="12"/>
        <v>0</v>
      </c>
    </row>
    <row r="1862" hidden="1">
      <c r="A1862" s="88" t="s">
        <v>348</v>
      </c>
      <c r="B1862" s="92" t="s">
        <v>795</v>
      </c>
      <c r="C1862" s="92"/>
      <c r="D1862" s="92" t="s">
        <v>797</v>
      </c>
      <c r="E1862" s="85">
        <v>11.0</v>
      </c>
      <c r="F1862" s="85">
        <v>0.0</v>
      </c>
      <c r="G1862" s="32">
        <f t="shared" si="11"/>
        <v>2750</v>
      </c>
      <c r="H1862" s="32"/>
      <c r="I1862" s="32">
        <v>2750.0</v>
      </c>
      <c r="J1862" s="32">
        <f t="shared" si="12"/>
        <v>0</v>
      </c>
    </row>
    <row r="1863" hidden="1">
      <c r="A1863" s="88" t="s">
        <v>348</v>
      </c>
      <c r="B1863" s="92" t="s">
        <v>715</v>
      </c>
      <c r="C1863" s="92"/>
      <c r="D1863" s="92" t="s">
        <v>717</v>
      </c>
      <c r="E1863" s="85">
        <v>12.0</v>
      </c>
      <c r="F1863" s="85">
        <v>3.0</v>
      </c>
      <c r="G1863" s="32">
        <f t="shared" si="11"/>
        <v>3300</v>
      </c>
      <c r="H1863" s="32"/>
      <c r="I1863" s="32">
        <v>3300.0</v>
      </c>
      <c r="J1863" s="32">
        <f t="shared" si="12"/>
        <v>0</v>
      </c>
    </row>
    <row r="1864" hidden="1">
      <c r="A1864" s="88" t="s">
        <v>348</v>
      </c>
      <c r="B1864" s="92" t="s">
        <v>718</v>
      </c>
      <c r="C1864" s="92"/>
      <c r="D1864" s="92" t="s">
        <v>720</v>
      </c>
      <c r="E1864" s="85">
        <v>9.0</v>
      </c>
      <c r="F1864" s="85">
        <v>0.0</v>
      </c>
      <c r="G1864" s="32">
        <f t="shared" si="11"/>
        <v>2250</v>
      </c>
      <c r="H1864" s="32"/>
      <c r="I1864" s="32">
        <v>2250.0</v>
      </c>
      <c r="J1864" s="32">
        <f t="shared" si="12"/>
        <v>0</v>
      </c>
    </row>
    <row r="1865" hidden="1">
      <c r="A1865" s="88" t="s">
        <v>348</v>
      </c>
      <c r="B1865" s="92" t="s">
        <v>721</v>
      </c>
      <c r="C1865" s="92"/>
      <c r="D1865" s="92" t="s">
        <v>723</v>
      </c>
      <c r="E1865" s="85">
        <v>11.0</v>
      </c>
      <c r="F1865" s="85">
        <v>6.0</v>
      </c>
      <c r="G1865" s="32">
        <f t="shared" si="11"/>
        <v>3350</v>
      </c>
      <c r="H1865" s="32"/>
      <c r="I1865" s="32">
        <v>3850.0</v>
      </c>
      <c r="J1865" s="32">
        <f t="shared" si="12"/>
        <v>-500</v>
      </c>
    </row>
    <row r="1866" hidden="1">
      <c r="A1866" s="88" t="s">
        <v>348</v>
      </c>
      <c r="B1866" s="93" t="s">
        <v>724</v>
      </c>
      <c r="C1866" s="92"/>
      <c r="D1866" s="92" t="s">
        <v>726</v>
      </c>
      <c r="E1866" s="85">
        <v>10.0</v>
      </c>
      <c r="F1866" s="85">
        <v>1.0</v>
      </c>
      <c r="G1866" s="32">
        <f t="shared" si="11"/>
        <v>2600</v>
      </c>
      <c r="H1866" s="32"/>
      <c r="I1866" s="32">
        <v>2600.0</v>
      </c>
      <c r="J1866" s="32">
        <f t="shared" si="12"/>
        <v>0</v>
      </c>
    </row>
    <row r="1867" hidden="1">
      <c r="A1867" s="88" t="s">
        <v>348</v>
      </c>
      <c r="B1867" s="93" t="s">
        <v>903</v>
      </c>
      <c r="C1867" s="92"/>
      <c r="D1867" s="92" t="s">
        <v>904</v>
      </c>
      <c r="E1867" s="85">
        <v>1.0</v>
      </c>
      <c r="F1867" s="85">
        <v>0.0</v>
      </c>
      <c r="G1867" s="32">
        <f t="shared" si="11"/>
        <v>250</v>
      </c>
      <c r="H1867" s="32"/>
      <c r="I1867" s="32">
        <v>250.0</v>
      </c>
      <c r="J1867" s="32">
        <f t="shared" si="12"/>
        <v>0</v>
      </c>
    </row>
    <row r="1868" hidden="1">
      <c r="A1868" s="88" t="s">
        <v>348</v>
      </c>
      <c r="B1868" s="93" t="s">
        <v>899</v>
      </c>
      <c r="C1868" s="92"/>
      <c r="D1868" s="92" t="s">
        <v>900</v>
      </c>
      <c r="E1868" s="85">
        <v>4.0</v>
      </c>
      <c r="F1868" s="85">
        <v>0.0</v>
      </c>
      <c r="G1868" s="32">
        <f t="shared" si="11"/>
        <v>1000</v>
      </c>
      <c r="H1868" s="32"/>
      <c r="I1868" s="32">
        <v>1000.0</v>
      </c>
      <c r="J1868" s="32">
        <f t="shared" si="12"/>
        <v>0</v>
      </c>
    </row>
    <row r="1869" hidden="1">
      <c r="A1869" s="88" t="s">
        <v>348</v>
      </c>
      <c r="B1869" s="92" t="s">
        <v>767</v>
      </c>
      <c r="C1869" s="92"/>
      <c r="D1869" s="92" t="s">
        <v>769</v>
      </c>
      <c r="E1869" s="85">
        <v>16.0</v>
      </c>
      <c r="F1869" s="85">
        <v>2.0</v>
      </c>
      <c r="G1869" s="32">
        <f t="shared" si="11"/>
        <v>4200</v>
      </c>
      <c r="H1869" s="32"/>
      <c r="I1869" s="32">
        <v>4200.0</v>
      </c>
      <c r="J1869" s="32">
        <f t="shared" si="12"/>
        <v>0</v>
      </c>
    </row>
    <row r="1870" hidden="1">
      <c r="A1870" s="88" t="s">
        <v>348</v>
      </c>
      <c r="B1870" s="92" t="s">
        <v>730</v>
      </c>
      <c r="C1870" s="92"/>
      <c r="D1870" s="92" t="s">
        <v>732</v>
      </c>
      <c r="E1870" s="85">
        <v>13.0</v>
      </c>
      <c r="F1870" s="85">
        <v>0.0</v>
      </c>
      <c r="G1870" s="32">
        <f t="shared" si="11"/>
        <v>3250</v>
      </c>
      <c r="H1870" s="32"/>
      <c r="I1870" s="32">
        <v>3250.0</v>
      </c>
      <c r="J1870" s="32">
        <f t="shared" si="12"/>
        <v>0</v>
      </c>
    </row>
    <row r="1871" hidden="1">
      <c r="A1871" s="88" t="s">
        <v>348</v>
      </c>
      <c r="B1871" s="93" t="s">
        <v>905</v>
      </c>
      <c r="C1871" s="92"/>
      <c r="D1871" s="92" t="s">
        <v>906</v>
      </c>
      <c r="E1871" s="85">
        <v>6.0</v>
      </c>
      <c r="F1871" s="85">
        <v>2.0</v>
      </c>
      <c r="G1871" s="32">
        <f t="shared" si="11"/>
        <v>1700</v>
      </c>
      <c r="H1871" s="32"/>
      <c r="I1871" s="32">
        <v>1700.0</v>
      </c>
      <c r="J1871" s="32">
        <f t="shared" si="12"/>
        <v>0</v>
      </c>
    </row>
    <row r="1872" hidden="1">
      <c r="A1872" s="88" t="s">
        <v>348</v>
      </c>
      <c r="B1872" s="92" t="s">
        <v>748</v>
      </c>
      <c r="C1872" s="92"/>
      <c r="D1872" s="92" t="s">
        <v>750</v>
      </c>
      <c r="E1872" s="85">
        <v>10.0</v>
      </c>
      <c r="F1872" s="85">
        <v>4.0</v>
      </c>
      <c r="G1872" s="32">
        <f t="shared" si="11"/>
        <v>2900</v>
      </c>
      <c r="H1872" s="32"/>
      <c r="I1872" s="32">
        <v>2900.0</v>
      </c>
      <c r="J1872" s="32">
        <f t="shared" si="12"/>
        <v>0</v>
      </c>
    </row>
    <row r="1873" hidden="1">
      <c r="A1873" s="88" t="s">
        <v>348</v>
      </c>
      <c r="B1873" s="92" t="s">
        <v>733</v>
      </c>
      <c r="C1873" s="92"/>
      <c r="D1873" s="92" t="s">
        <v>735</v>
      </c>
      <c r="E1873" s="85">
        <v>13.0</v>
      </c>
      <c r="F1873" s="85">
        <v>0.0</v>
      </c>
      <c r="G1873" s="32">
        <f t="shared" si="11"/>
        <v>3250</v>
      </c>
      <c r="H1873" s="32"/>
      <c r="I1873" s="32">
        <v>3250.0</v>
      </c>
      <c r="J1873" s="32">
        <f t="shared" si="12"/>
        <v>0</v>
      </c>
    </row>
    <row r="1874" hidden="1">
      <c r="A1874" s="88" t="s">
        <v>348</v>
      </c>
      <c r="B1874" s="92" t="s">
        <v>727</v>
      </c>
      <c r="C1874" s="92"/>
      <c r="D1874" s="92" t="s">
        <v>729</v>
      </c>
      <c r="E1874" s="85">
        <v>11.0</v>
      </c>
      <c r="F1874" s="85">
        <v>0.0</v>
      </c>
      <c r="G1874" s="32">
        <f t="shared" si="11"/>
        <v>2750</v>
      </c>
      <c r="H1874" s="32"/>
      <c r="I1874" s="32">
        <v>2750.0</v>
      </c>
      <c r="J1874" s="32">
        <f t="shared" si="12"/>
        <v>0</v>
      </c>
    </row>
    <row r="1875" hidden="1">
      <c r="A1875" s="88" t="s">
        <v>348</v>
      </c>
      <c r="B1875" s="92" t="s">
        <v>736</v>
      </c>
      <c r="C1875" s="92"/>
      <c r="D1875" s="92" t="s">
        <v>738</v>
      </c>
      <c r="E1875" s="85">
        <v>10.0</v>
      </c>
      <c r="F1875" s="85">
        <v>0.0</v>
      </c>
      <c r="G1875" s="32">
        <f t="shared" si="11"/>
        <v>2500</v>
      </c>
      <c r="H1875" s="32"/>
      <c r="I1875" s="32">
        <v>2500.0</v>
      </c>
      <c r="J1875" s="32">
        <f t="shared" si="12"/>
        <v>0</v>
      </c>
    </row>
    <row r="1876" hidden="1">
      <c r="A1876" s="88" t="s">
        <v>348</v>
      </c>
      <c r="B1876" s="92" t="s">
        <v>895</v>
      </c>
      <c r="C1876" s="92"/>
      <c r="D1876" s="92" t="s">
        <v>896</v>
      </c>
      <c r="E1876" s="85">
        <v>6.0</v>
      </c>
      <c r="F1876" s="85">
        <v>0.0</v>
      </c>
      <c r="G1876" s="32">
        <f t="shared" si="11"/>
        <v>1500</v>
      </c>
      <c r="H1876" s="32"/>
      <c r="I1876" s="32">
        <v>1500.0</v>
      </c>
      <c r="J1876" s="32">
        <f t="shared" si="12"/>
        <v>0</v>
      </c>
    </row>
    <row r="1877" hidden="1">
      <c r="A1877" s="88" t="s">
        <v>348</v>
      </c>
      <c r="B1877" s="92" t="s">
        <v>739</v>
      </c>
      <c r="C1877" s="92"/>
      <c r="D1877" s="92" t="s">
        <v>741</v>
      </c>
      <c r="E1877" s="85">
        <v>5.0</v>
      </c>
      <c r="F1877" s="85">
        <v>0.0</v>
      </c>
      <c r="G1877" s="32">
        <f t="shared" si="11"/>
        <v>1250</v>
      </c>
      <c r="H1877" s="32"/>
      <c r="I1877" s="32">
        <v>1250.0</v>
      </c>
      <c r="J1877" s="32">
        <f t="shared" si="12"/>
        <v>0</v>
      </c>
    </row>
    <row r="1878" hidden="1">
      <c r="A1878" s="88" t="s">
        <v>348</v>
      </c>
      <c r="B1878" s="92" t="s">
        <v>788</v>
      </c>
      <c r="C1878" s="92"/>
      <c r="D1878" s="92" t="s">
        <v>790</v>
      </c>
      <c r="E1878" s="85">
        <v>9.0</v>
      </c>
      <c r="F1878" s="85">
        <v>0.0</v>
      </c>
      <c r="G1878" s="32">
        <f t="shared" si="11"/>
        <v>2250</v>
      </c>
      <c r="H1878" s="32"/>
      <c r="I1878" s="32">
        <v>2250.0</v>
      </c>
      <c r="J1878" s="32">
        <f t="shared" si="12"/>
        <v>0</v>
      </c>
    </row>
    <row r="1879" hidden="1">
      <c r="A1879" s="88" t="s">
        <v>348</v>
      </c>
      <c r="B1879" s="92" t="s">
        <v>751</v>
      </c>
      <c r="C1879" s="92"/>
      <c r="D1879" s="92" t="s">
        <v>753</v>
      </c>
      <c r="E1879" s="85">
        <v>12.0</v>
      </c>
      <c r="F1879" s="85">
        <v>1.0</v>
      </c>
      <c r="G1879" s="32">
        <f t="shared" si="11"/>
        <v>3100</v>
      </c>
      <c r="H1879" s="32"/>
      <c r="I1879" s="32">
        <v>3350.0</v>
      </c>
      <c r="J1879" s="32">
        <f t="shared" si="12"/>
        <v>-250</v>
      </c>
    </row>
    <row r="1880" hidden="1">
      <c r="A1880" s="88" t="s">
        <v>348</v>
      </c>
      <c r="B1880" s="92" t="s">
        <v>742</v>
      </c>
      <c r="C1880" s="92"/>
      <c r="D1880" s="92" t="s">
        <v>744</v>
      </c>
      <c r="E1880" s="85">
        <v>8.0</v>
      </c>
      <c r="F1880" s="85">
        <v>2.0</v>
      </c>
      <c r="G1880" s="32">
        <f t="shared" si="11"/>
        <v>2200</v>
      </c>
      <c r="H1880" s="32"/>
      <c r="I1880" s="32">
        <v>2200.0</v>
      </c>
      <c r="J1880" s="32">
        <f t="shared" si="12"/>
        <v>0</v>
      </c>
    </row>
    <row r="1881" hidden="1">
      <c r="A1881" s="88" t="s">
        <v>348</v>
      </c>
      <c r="B1881" s="16" t="s">
        <v>816</v>
      </c>
      <c r="C1881" s="92"/>
      <c r="D1881" s="92" t="s">
        <v>897</v>
      </c>
      <c r="E1881" s="85">
        <v>6.0</v>
      </c>
      <c r="F1881" s="85">
        <v>0.0</v>
      </c>
      <c r="G1881" s="32">
        <f t="shared" si="11"/>
        <v>1500</v>
      </c>
      <c r="H1881" s="32"/>
      <c r="I1881" s="32">
        <v>1500.0</v>
      </c>
      <c r="J1881" s="32">
        <f t="shared" si="12"/>
        <v>0</v>
      </c>
    </row>
    <row r="1882" hidden="1">
      <c r="A1882" s="88" t="s">
        <v>348</v>
      </c>
      <c r="B1882" s="76"/>
      <c r="C1882" s="92"/>
      <c r="D1882" s="92" t="s">
        <v>907</v>
      </c>
      <c r="E1882" s="76"/>
      <c r="F1882" s="76"/>
      <c r="G1882" s="32">
        <f t="shared" si="11"/>
        <v>0</v>
      </c>
      <c r="H1882" s="32"/>
      <c r="I1882" s="32">
        <v>0.0</v>
      </c>
      <c r="J1882" s="32">
        <f t="shared" si="12"/>
        <v>0</v>
      </c>
    </row>
    <row r="1883" hidden="1">
      <c r="A1883" s="88" t="s">
        <v>350</v>
      </c>
      <c r="B1883" s="92" t="s">
        <v>832</v>
      </c>
      <c r="C1883" s="92"/>
      <c r="D1883" s="92" t="s">
        <v>893</v>
      </c>
      <c r="E1883" s="85">
        <v>24.0</v>
      </c>
      <c r="F1883" s="85">
        <v>4.0</v>
      </c>
      <c r="G1883" s="32">
        <f t="shared" si="11"/>
        <v>6400</v>
      </c>
      <c r="H1883" s="32"/>
      <c r="I1883" s="32"/>
      <c r="J1883" s="32"/>
    </row>
    <row r="1884" hidden="1">
      <c r="A1884" s="88" t="s">
        <v>350</v>
      </c>
      <c r="B1884" s="92" t="s">
        <v>835</v>
      </c>
      <c r="C1884" s="92"/>
      <c r="D1884" s="92" t="s">
        <v>837</v>
      </c>
      <c r="E1884" s="85">
        <v>26.0</v>
      </c>
      <c r="F1884" s="85">
        <v>0.0</v>
      </c>
      <c r="G1884" s="32">
        <f t="shared" si="11"/>
        <v>6500</v>
      </c>
      <c r="H1884" s="32"/>
      <c r="I1884" s="32"/>
      <c r="J1884" s="32"/>
    </row>
    <row r="1885" hidden="1">
      <c r="A1885" s="88" t="s">
        <v>350</v>
      </c>
      <c r="B1885" s="92" t="s">
        <v>764</v>
      </c>
      <c r="C1885" s="92"/>
      <c r="D1885" s="92" t="s">
        <v>838</v>
      </c>
      <c r="E1885" s="85">
        <v>23.0</v>
      </c>
      <c r="F1885" s="85">
        <v>0.0</v>
      </c>
      <c r="G1885" s="32">
        <f t="shared" si="11"/>
        <v>5750</v>
      </c>
      <c r="H1885" s="32"/>
      <c r="I1885" s="32"/>
      <c r="J1885" s="32"/>
    </row>
    <row r="1886" hidden="1">
      <c r="A1886" s="88" t="s">
        <v>350</v>
      </c>
      <c r="B1886" s="92" t="s">
        <v>213</v>
      </c>
      <c r="C1886" s="92"/>
      <c r="D1886" s="92" t="s">
        <v>660</v>
      </c>
      <c r="E1886" s="85">
        <v>23.0</v>
      </c>
      <c r="F1886" s="85">
        <v>1.0</v>
      </c>
      <c r="G1886" s="32">
        <f t="shared" si="11"/>
        <v>5850</v>
      </c>
      <c r="H1886" s="32"/>
      <c r="I1886" s="32"/>
      <c r="J1886" s="32"/>
    </row>
    <row r="1887" hidden="1">
      <c r="A1887" s="88" t="s">
        <v>350</v>
      </c>
      <c r="B1887" s="92" t="s">
        <v>661</v>
      </c>
      <c r="C1887" s="92"/>
      <c r="D1887" s="92" t="s">
        <v>663</v>
      </c>
      <c r="E1887" s="85">
        <v>20.0</v>
      </c>
      <c r="F1887" s="85">
        <v>0.0</v>
      </c>
      <c r="G1887" s="32">
        <f t="shared" si="11"/>
        <v>5000</v>
      </c>
      <c r="H1887" s="32"/>
      <c r="I1887" s="32"/>
      <c r="J1887" s="32"/>
    </row>
    <row r="1888" hidden="1">
      <c r="A1888" s="88" t="s">
        <v>350</v>
      </c>
      <c r="B1888" s="92" t="s">
        <v>664</v>
      </c>
      <c r="C1888" s="92"/>
      <c r="D1888" s="92" t="s">
        <v>901</v>
      </c>
      <c r="E1888" s="85">
        <v>16.0</v>
      </c>
      <c r="F1888" s="85">
        <v>0.0</v>
      </c>
      <c r="G1888" s="32">
        <f t="shared" si="11"/>
        <v>4000</v>
      </c>
      <c r="H1888" s="32"/>
      <c r="I1888" s="32"/>
      <c r="J1888" s="32"/>
    </row>
    <row r="1889" hidden="1">
      <c r="A1889" s="88" t="s">
        <v>350</v>
      </c>
      <c r="B1889" s="92" t="s">
        <v>667</v>
      </c>
      <c r="C1889" s="92"/>
      <c r="D1889" s="92" t="s">
        <v>669</v>
      </c>
      <c r="E1889" s="85">
        <v>12.0</v>
      </c>
      <c r="F1889" s="85">
        <v>0.0</v>
      </c>
      <c r="G1889" s="32">
        <f t="shared" si="11"/>
        <v>3000</v>
      </c>
      <c r="H1889" s="32"/>
      <c r="I1889" s="32"/>
      <c r="J1889" s="32"/>
    </row>
    <row r="1890" hidden="1">
      <c r="A1890" s="88" t="s">
        <v>350</v>
      </c>
      <c r="B1890" s="92" t="s">
        <v>670</v>
      </c>
      <c r="C1890" s="92"/>
      <c r="D1890" s="92" t="s">
        <v>672</v>
      </c>
      <c r="E1890" s="85">
        <v>15.0</v>
      </c>
      <c r="F1890" s="85">
        <v>0.0</v>
      </c>
      <c r="G1890" s="32">
        <f t="shared" si="11"/>
        <v>3750</v>
      </c>
      <c r="H1890" s="32"/>
      <c r="I1890" s="32"/>
      <c r="J1890" s="32"/>
    </row>
    <row r="1891" hidden="1">
      <c r="A1891" s="88" t="s">
        <v>350</v>
      </c>
      <c r="B1891" s="92" t="s">
        <v>673</v>
      </c>
      <c r="C1891" s="92"/>
      <c r="D1891" s="92" t="s">
        <v>675</v>
      </c>
      <c r="E1891" s="85">
        <v>13.0</v>
      </c>
      <c r="F1891" s="85">
        <v>2.0</v>
      </c>
      <c r="G1891" s="32">
        <f t="shared" si="11"/>
        <v>3450</v>
      </c>
      <c r="H1891" s="32"/>
      <c r="I1891" s="32"/>
      <c r="J1891" s="32"/>
    </row>
    <row r="1892" hidden="1">
      <c r="A1892" s="88" t="s">
        <v>350</v>
      </c>
      <c r="B1892" s="92" t="s">
        <v>676</v>
      </c>
      <c r="C1892" s="92"/>
      <c r="D1892" s="92" t="s">
        <v>678</v>
      </c>
      <c r="E1892" s="85">
        <v>11.0</v>
      </c>
      <c r="F1892" s="85">
        <v>1.0</v>
      </c>
      <c r="G1892" s="32">
        <f t="shared" si="11"/>
        <v>2850</v>
      </c>
      <c r="H1892" s="32"/>
      <c r="I1892" s="32"/>
      <c r="J1892" s="32"/>
    </row>
    <row r="1893" hidden="1">
      <c r="A1893" s="88" t="s">
        <v>350</v>
      </c>
      <c r="B1893" s="92" t="s">
        <v>679</v>
      </c>
      <c r="C1893" s="92"/>
      <c r="D1893" s="92" t="s">
        <v>908</v>
      </c>
      <c r="E1893" s="85">
        <v>12.0</v>
      </c>
      <c r="F1893" s="85">
        <v>5.0</v>
      </c>
      <c r="G1893" s="32">
        <f t="shared" si="11"/>
        <v>3500</v>
      </c>
      <c r="H1893" s="32"/>
      <c r="I1893" s="32"/>
      <c r="J1893" s="32"/>
    </row>
    <row r="1894" hidden="1">
      <c r="A1894" s="88" t="s">
        <v>350</v>
      </c>
      <c r="B1894" s="92" t="s">
        <v>682</v>
      </c>
      <c r="C1894" s="92"/>
      <c r="D1894" s="92" t="s">
        <v>684</v>
      </c>
      <c r="E1894" s="85">
        <v>11.0</v>
      </c>
      <c r="F1894" s="85">
        <v>0.0</v>
      </c>
      <c r="G1894" s="32">
        <f t="shared" si="11"/>
        <v>2750</v>
      </c>
      <c r="H1894" s="32"/>
      <c r="I1894" s="32"/>
      <c r="J1894" s="32"/>
    </row>
    <row r="1895" hidden="1">
      <c r="A1895" s="88" t="s">
        <v>350</v>
      </c>
      <c r="B1895" s="92" t="s">
        <v>685</v>
      </c>
      <c r="C1895" s="92"/>
      <c r="D1895" s="92" t="s">
        <v>687</v>
      </c>
      <c r="E1895" s="85">
        <v>4.0</v>
      </c>
      <c r="F1895" s="85">
        <v>0.0</v>
      </c>
      <c r="G1895" s="32">
        <f t="shared" si="11"/>
        <v>1000</v>
      </c>
      <c r="H1895" s="32"/>
      <c r="I1895" s="32"/>
      <c r="J1895" s="32"/>
    </row>
    <row r="1896" hidden="1">
      <c r="A1896" s="88" t="s">
        <v>350</v>
      </c>
      <c r="B1896" s="92" t="s">
        <v>688</v>
      </c>
      <c r="C1896" s="92"/>
      <c r="D1896" s="92" t="s">
        <v>690</v>
      </c>
      <c r="E1896" s="85">
        <v>16.0</v>
      </c>
      <c r="F1896" s="85">
        <v>0.0</v>
      </c>
      <c r="G1896" s="32">
        <f t="shared" si="11"/>
        <v>4000</v>
      </c>
      <c r="H1896" s="32"/>
      <c r="I1896" s="32"/>
      <c r="J1896" s="32"/>
    </row>
    <row r="1897" hidden="1">
      <c r="A1897" s="88" t="s">
        <v>350</v>
      </c>
      <c r="B1897" s="92" t="s">
        <v>691</v>
      </c>
      <c r="C1897" s="92"/>
      <c r="D1897" s="92" t="s">
        <v>693</v>
      </c>
      <c r="E1897" s="85">
        <v>9.0</v>
      </c>
      <c r="F1897" s="85">
        <v>0.0</v>
      </c>
      <c r="G1897" s="32">
        <f t="shared" si="11"/>
        <v>2250</v>
      </c>
      <c r="H1897" s="32"/>
      <c r="I1897" s="32"/>
      <c r="J1897" s="32"/>
    </row>
    <row r="1898" hidden="1">
      <c r="A1898" s="88" t="s">
        <v>350</v>
      </c>
      <c r="B1898" s="92" t="s">
        <v>694</v>
      </c>
      <c r="C1898" s="92"/>
      <c r="D1898" s="92" t="s">
        <v>696</v>
      </c>
      <c r="E1898" s="85">
        <v>9.0</v>
      </c>
      <c r="F1898" s="85">
        <v>0.0</v>
      </c>
      <c r="G1898" s="32">
        <f t="shared" si="11"/>
        <v>2250</v>
      </c>
      <c r="H1898" s="32"/>
      <c r="I1898" s="32"/>
      <c r="J1898" s="32"/>
    </row>
    <row r="1899" hidden="1">
      <c r="A1899" s="88" t="s">
        <v>350</v>
      </c>
      <c r="B1899" s="92" t="s">
        <v>697</v>
      </c>
      <c r="C1899" s="92"/>
      <c r="D1899" s="92" t="s">
        <v>699</v>
      </c>
      <c r="E1899" s="85">
        <v>14.0</v>
      </c>
      <c r="F1899" s="85">
        <v>0.0</v>
      </c>
      <c r="G1899" s="32">
        <f t="shared" si="11"/>
        <v>3500</v>
      </c>
      <c r="H1899" s="32"/>
      <c r="I1899" s="32"/>
      <c r="J1899" s="32"/>
    </row>
    <row r="1900" hidden="1">
      <c r="A1900" s="88" t="s">
        <v>350</v>
      </c>
      <c r="B1900" s="92" t="s">
        <v>700</v>
      </c>
      <c r="C1900" s="92"/>
      <c r="D1900" s="92" t="s">
        <v>889</v>
      </c>
      <c r="E1900" s="85">
        <v>12.0</v>
      </c>
      <c r="F1900" s="85">
        <v>0.0</v>
      </c>
      <c r="G1900" s="32">
        <f t="shared" si="11"/>
        <v>3000</v>
      </c>
      <c r="H1900" s="32"/>
      <c r="I1900" s="32"/>
      <c r="J1900" s="32"/>
    </row>
    <row r="1901" hidden="1">
      <c r="A1901" s="88" t="s">
        <v>350</v>
      </c>
      <c r="B1901" s="92" t="s">
        <v>703</v>
      </c>
      <c r="C1901" s="92"/>
      <c r="D1901" s="92" t="s">
        <v>705</v>
      </c>
      <c r="E1901" s="85">
        <v>12.0</v>
      </c>
      <c r="F1901" s="85">
        <v>2.0</v>
      </c>
      <c r="G1901" s="32">
        <f t="shared" si="11"/>
        <v>3200</v>
      </c>
      <c r="H1901" s="32"/>
      <c r="I1901" s="32"/>
      <c r="J1901" s="32"/>
    </row>
    <row r="1902" hidden="1">
      <c r="A1902" s="88" t="s">
        <v>350</v>
      </c>
      <c r="B1902" s="92" t="s">
        <v>706</v>
      </c>
      <c r="C1902" s="92"/>
      <c r="D1902" s="92" t="s">
        <v>708</v>
      </c>
      <c r="E1902" s="85">
        <v>11.0</v>
      </c>
      <c r="F1902" s="85">
        <v>0.0</v>
      </c>
      <c r="G1902" s="32">
        <f t="shared" si="11"/>
        <v>2750</v>
      </c>
      <c r="H1902" s="32"/>
      <c r="I1902" s="32"/>
      <c r="J1902" s="32"/>
    </row>
    <row r="1903" hidden="1">
      <c r="A1903" s="88" t="s">
        <v>350</v>
      </c>
      <c r="B1903" s="92" t="s">
        <v>709</v>
      </c>
      <c r="C1903" s="92"/>
      <c r="D1903" s="92" t="s">
        <v>711</v>
      </c>
      <c r="E1903" s="85">
        <v>18.0</v>
      </c>
      <c r="F1903" s="85">
        <v>0.0</v>
      </c>
      <c r="G1903" s="32">
        <f t="shared" si="11"/>
        <v>4500</v>
      </c>
      <c r="H1903" s="32"/>
      <c r="I1903" s="32"/>
      <c r="J1903" s="32"/>
    </row>
    <row r="1904" hidden="1">
      <c r="A1904" s="88" t="s">
        <v>350</v>
      </c>
      <c r="B1904" s="92" t="s">
        <v>712</v>
      </c>
      <c r="C1904" s="92"/>
      <c r="D1904" s="92" t="s">
        <v>714</v>
      </c>
      <c r="E1904" s="85">
        <v>13.0</v>
      </c>
      <c r="F1904" s="85">
        <v>0.0</v>
      </c>
      <c r="G1904" s="32">
        <f t="shared" si="11"/>
        <v>3250</v>
      </c>
      <c r="H1904" s="32"/>
      <c r="I1904" s="32"/>
      <c r="J1904" s="32"/>
    </row>
    <row r="1905" hidden="1">
      <c r="A1905" s="88" t="s">
        <v>350</v>
      </c>
      <c r="B1905" s="92" t="s">
        <v>799</v>
      </c>
      <c r="C1905" s="92"/>
      <c r="D1905" s="92" t="s">
        <v>801</v>
      </c>
      <c r="E1905" s="85">
        <v>3.0</v>
      </c>
      <c r="F1905" s="85">
        <v>1.0</v>
      </c>
      <c r="G1905" s="32">
        <f t="shared" si="11"/>
        <v>850</v>
      </c>
      <c r="H1905" s="32"/>
      <c r="I1905" s="32"/>
      <c r="J1905" s="32"/>
    </row>
    <row r="1906" hidden="1">
      <c r="A1906" s="88" t="s">
        <v>350</v>
      </c>
      <c r="B1906" s="92" t="s">
        <v>795</v>
      </c>
      <c r="C1906" s="92"/>
      <c r="D1906" s="92" t="s">
        <v>797</v>
      </c>
      <c r="E1906" s="85">
        <v>11.0</v>
      </c>
      <c r="F1906" s="85">
        <v>0.0</v>
      </c>
      <c r="G1906" s="32">
        <f t="shared" si="11"/>
        <v>2750</v>
      </c>
      <c r="H1906" s="32"/>
      <c r="I1906" s="32"/>
      <c r="J1906" s="32"/>
    </row>
    <row r="1907" hidden="1">
      <c r="A1907" s="88" t="s">
        <v>350</v>
      </c>
      <c r="B1907" s="92" t="s">
        <v>715</v>
      </c>
      <c r="C1907" s="92"/>
      <c r="D1907" s="92" t="s">
        <v>717</v>
      </c>
      <c r="E1907" s="85">
        <v>12.0</v>
      </c>
      <c r="F1907" s="85">
        <v>0.0</v>
      </c>
      <c r="G1907" s="32">
        <f t="shared" si="11"/>
        <v>3000</v>
      </c>
      <c r="H1907" s="32"/>
      <c r="I1907" s="32"/>
      <c r="J1907" s="32"/>
    </row>
    <row r="1908" hidden="1">
      <c r="A1908" s="88" t="s">
        <v>350</v>
      </c>
      <c r="B1908" s="92" t="s">
        <v>718</v>
      </c>
      <c r="C1908" s="92"/>
      <c r="D1908" s="92" t="s">
        <v>720</v>
      </c>
      <c r="E1908" s="85">
        <v>13.0</v>
      </c>
      <c r="F1908" s="85">
        <v>0.0</v>
      </c>
      <c r="G1908" s="32">
        <f t="shared" si="11"/>
        <v>3250</v>
      </c>
      <c r="H1908" s="32"/>
      <c r="I1908" s="32"/>
      <c r="J1908" s="32"/>
    </row>
    <row r="1909" hidden="1">
      <c r="A1909" s="88" t="s">
        <v>350</v>
      </c>
      <c r="B1909" s="92" t="s">
        <v>721</v>
      </c>
      <c r="C1909" s="92"/>
      <c r="D1909" s="92" t="s">
        <v>723</v>
      </c>
      <c r="E1909" s="85">
        <v>9.0</v>
      </c>
      <c r="F1909" s="85">
        <v>2.0</v>
      </c>
      <c r="G1909" s="32">
        <f t="shared" si="11"/>
        <v>2450</v>
      </c>
      <c r="H1909" s="32"/>
      <c r="I1909" s="32"/>
      <c r="J1909" s="32"/>
    </row>
    <row r="1910" hidden="1">
      <c r="A1910" s="88" t="s">
        <v>350</v>
      </c>
      <c r="B1910" s="93" t="s">
        <v>724</v>
      </c>
      <c r="C1910" s="92"/>
      <c r="D1910" s="92" t="s">
        <v>726</v>
      </c>
      <c r="E1910" s="85">
        <v>7.0</v>
      </c>
      <c r="F1910" s="85">
        <v>0.0</v>
      </c>
      <c r="G1910" s="32">
        <f t="shared" si="11"/>
        <v>1750</v>
      </c>
      <c r="H1910" s="32"/>
      <c r="I1910" s="32"/>
      <c r="J1910" s="32"/>
    </row>
    <row r="1911" hidden="1">
      <c r="A1911" s="88" t="s">
        <v>350</v>
      </c>
      <c r="B1911" s="93" t="s">
        <v>903</v>
      </c>
      <c r="C1911" s="92"/>
      <c r="D1911" s="92" t="s">
        <v>904</v>
      </c>
      <c r="E1911" s="85">
        <v>5.0</v>
      </c>
      <c r="F1911" s="85">
        <v>0.0</v>
      </c>
      <c r="G1911" s="32">
        <f t="shared" si="11"/>
        <v>1250</v>
      </c>
      <c r="H1911" s="32"/>
      <c r="I1911" s="32"/>
      <c r="J1911" s="32"/>
    </row>
    <row r="1912" hidden="1">
      <c r="A1912" s="88" t="s">
        <v>350</v>
      </c>
      <c r="B1912" s="93" t="s">
        <v>899</v>
      </c>
      <c r="C1912" s="92"/>
      <c r="D1912" s="92" t="s">
        <v>900</v>
      </c>
      <c r="E1912" s="85">
        <v>5.0</v>
      </c>
      <c r="F1912" s="85">
        <v>0.0</v>
      </c>
      <c r="G1912" s="32">
        <f t="shared" si="11"/>
        <v>1250</v>
      </c>
      <c r="H1912" s="32"/>
      <c r="I1912" s="32"/>
      <c r="J1912" s="32"/>
    </row>
    <row r="1913" hidden="1">
      <c r="A1913" s="88" t="s">
        <v>350</v>
      </c>
      <c r="B1913" s="92" t="s">
        <v>767</v>
      </c>
      <c r="C1913" s="92"/>
      <c r="D1913" s="92" t="s">
        <v>769</v>
      </c>
      <c r="E1913" s="85">
        <v>9.0</v>
      </c>
      <c r="F1913" s="85">
        <v>0.0</v>
      </c>
      <c r="G1913" s="32">
        <f t="shared" si="11"/>
        <v>2250</v>
      </c>
      <c r="H1913" s="32"/>
      <c r="I1913" s="32"/>
      <c r="J1913" s="32"/>
    </row>
    <row r="1914" hidden="1">
      <c r="A1914" s="88" t="s">
        <v>350</v>
      </c>
      <c r="B1914" s="92" t="s">
        <v>730</v>
      </c>
      <c r="C1914" s="92"/>
      <c r="D1914" s="92" t="s">
        <v>732</v>
      </c>
      <c r="E1914" s="85">
        <v>12.0</v>
      </c>
      <c r="F1914" s="85">
        <v>0.0</v>
      </c>
      <c r="G1914" s="32">
        <f t="shared" si="11"/>
        <v>3000</v>
      </c>
      <c r="H1914" s="32"/>
      <c r="I1914" s="32"/>
      <c r="J1914" s="32"/>
    </row>
    <row r="1915" hidden="1">
      <c r="A1915" s="88" t="s">
        <v>350</v>
      </c>
      <c r="B1915" s="93" t="s">
        <v>905</v>
      </c>
      <c r="C1915" s="92"/>
      <c r="D1915" s="92" t="s">
        <v>906</v>
      </c>
      <c r="E1915" s="85">
        <v>11.0</v>
      </c>
      <c r="F1915" s="85">
        <v>5.0</v>
      </c>
      <c r="G1915" s="32">
        <f t="shared" si="11"/>
        <v>3250</v>
      </c>
      <c r="H1915" s="32"/>
      <c r="I1915" s="32"/>
      <c r="J1915" s="32"/>
    </row>
    <row r="1916" hidden="1">
      <c r="A1916" s="88" t="s">
        <v>350</v>
      </c>
      <c r="B1916" s="92" t="s">
        <v>748</v>
      </c>
      <c r="C1916" s="92"/>
      <c r="D1916" s="92" t="s">
        <v>750</v>
      </c>
      <c r="E1916" s="85">
        <v>8.0</v>
      </c>
      <c r="F1916" s="85">
        <v>1.0</v>
      </c>
      <c r="G1916" s="32">
        <f t="shared" si="11"/>
        <v>2100</v>
      </c>
      <c r="H1916" s="32"/>
      <c r="I1916" s="32"/>
      <c r="J1916" s="32"/>
    </row>
    <row r="1917" hidden="1">
      <c r="A1917" s="88" t="s">
        <v>350</v>
      </c>
      <c r="B1917" s="92" t="s">
        <v>733</v>
      </c>
      <c r="C1917" s="92"/>
      <c r="D1917" s="92" t="s">
        <v>735</v>
      </c>
      <c r="E1917" s="85">
        <v>12.0</v>
      </c>
      <c r="F1917" s="85">
        <v>0.0</v>
      </c>
      <c r="G1917" s="32">
        <f t="shared" si="11"/>
        <v>3000</v>
      </c>
      <c r="H1917" s="32"/>
      <c r="I1917" s="32"/>
      <c r="J1917" s="32"/>
    </row>
    <row r="1918" hidden="1">
      <c r="A1918" s="88" t="s">
        <v>350</v>
      </c>
      <c r="B1918" s="92" t="s">
        <v>727</v>
      </c>
      <c r="C1918" s="92"/>
      <c r="D1918" s="92" t="s">
        <v>729</v>
      </c>
      <c r="E1918" s="85">
        <v>8.0</v>
      </c>
      <c r="F1918" s="85">
        <v>0.0</v>
      </c>
      <c r="G1918" s="32">
        <f t="shared" si="11"/>
        <v>2000</v>
      </c>
      <c r="H1918" s="32"/>
      <c r="I1918" s="32"/>
      <c r="J1918" s="32"/>
    </row>
    <row r="1919" hidden="1">
      <c r="A1919" s="88" t="s">
        <v>350</v>
      </c>
      <c r="B1919" s="92" t="s">
        <v>736</v>
      </c>
      <c r="C1919" s="92"/>
      <c r="D1919" s="92" t="s">
        <v>738</v>
      </c>
      <c r="E1919" s="85">
        <v>11.0</v>
      </c>
      <c r="F1919" s="85">
        <v>0.0</v>
      </c>
      <c r="G1919" s="32">
        <f t="shared" si="11"/>
        <v>2750</v>
      </c>
      <c r="H1919" s="32"/>
      <c r="I1919" s="32"/>
      <c r="J1919" s="32"/>
    </row>
    <row r="1920" hidden="1">
      <c r="A1920" s="88" t="s">
        <v>350</v>
      </c>
      <c r="B1920" s="92" t="s">
        <v>895</v>
      </c>
      <c r="C1920" s="92"/>
      <c r="D1920" s="92" t="s">
        <v>896</v>
      </c>
      <c r="E1920" s="85">
        <v>4.0</v>
      </c>
      <c r="F1920" s="85">
        <v>0.0</v>
      </c>
      <c r="G1920" s="32">
        <f t="shared" si="11"/>
        <v>1000</v>
      </c>
      <c r="H1920" s="32"/>
      <c r="I1920" s="32"/>
      <c r="J1920" s="32"/>
    </row>
    <row r="1921" hidden="1">
      <c r="A1921" s="88" t="s">
        <v>350</v>
      </c>
      <c r="B1921" s="92" t="s">
        <v>739</v>
      </c>
      <c r="C1921" s="92"/>
      <c r="D1921" s="92" t="s">
        <v>741</v>
      </c>
      <c r="E1921" s="85">
        <v>9.0</v>
      </c>
      <c r="F1921" s="85">
        <v>0.0</v>
      </c>
      <c r="G1921" s="32">
        <f t="shared" si="11"/>
        <v>2250</v>
      </c>
      <c r="H1921" s="32"/>
      <c r="I1921" s="32"/>
      <c r="J1921" s="32"/>
    </row>
    <row r="1922" hidden="1">
      <c r="A1922" s="88" t="s">
        <v>350</v>
      </c>
      <c r="B1922" s="92" t="s">
        <v>788</v>
      </c>
      <c r="C1922" s="92"/>
      <c r="D1922" s="92" t="s">
        <v>790</v>
      </c>
      <c r="E1922" s="85">
        <v>4.0</v>
      </c>
      <c r="F1922" s="85">
        <v>0.0</v>
      </c>
      <c r="G1922" s="32">
        <f t="shared" si="11"/>
        <v>1000</v>
      </c>
      <c r="H1922" s="32"/>
      <c r="I1922" s="32"/>
      <c r="J1922" s="32"/>
    </row>
    <row r="1923" hidden="1">
      <c r="A1923" s="88" t="s">
        <v>350</v>
      </c>
      <c r="B1923" s="92" t="s">
        <v>751</v>
      </c>
      <c r="C1923" s="92"/>
      <c r="D1923" s="92" t="s">
        <v>753</v>
      </c>
      <c r="E1923" s="85">
        <v>8.0</v>
      </c>
      <c r="F1923" s="85">
        <v>0.0</v>
      </c>
      <c r="G1923" s="32">
        <f t="shared" si="11"/>
        <v>2000</v>
      </c>
      <c r="H1923" s="32"/>
      <c r="I1923" s="32"/>
      <c r="J1923" s="32"/>
    </row>
    <row r="1924" hidden="1">
      <c r="A1924" s="88" t="s">
        <v>350</v>
      </c>
      <c r="B1924" s="92" t="s">
        <v>742</v>
      </c>
      <c r="C1924" s="92"/>
      <c r="D1924" s="92" t="s">
        <v>744</v>
      </c>
      <c r="E1924" s="85">
        <v>9.0</v>
      </c>
      <c r="F1924" s="85">
        <v>2.0</v>
      </c>
      <c r="G1924" s="32">
        <f t="shared" si="11"/>
        <v>2450</v>
      </c>
      <c r="H1924" s="32"/>
      <c r="I1924" s="32"/>
      <c r="J1924" s="32"/>
    </row>
    <row r="1925" hidden="1">
      <c r="A1925" s="88" t="s">
        <v>350</v>
      </c>
      <c r="B1925" s="7" t="s">
        <v>816</v>
      </c>
      <c r="C1925" s="91"/>
      <c r="D1925" s="91" t="s">
        <v>897</v>
      </c>
      <c r="E1925" s="88">
        <v>1.0</v>
      </c>
      <c r="F1925" s="88">
        <v>0.0</v>
      </c>
      <c r="G1925" s="32">
        <f t="shared" si="11"/>
        <v>250</v>
      </c>
      <c r="H1925" s="32"/>
      <c r="I1925" s="32"/>
      <c r="J1925" s="32"/>
    </row>
    <row r="1926" hidden="1">
      <c r="A1926" s="88" t="s">
        <v>350</v>
      </c>
      <c r="B1926" s="76"/>
      <c r="C1926" s="92"/>
      <c r="D1926" s="92" t="s">
        <v>907</v>
      </c>
      <c r="E1926" s="76"/>
      <c r="F1926" s="76"/>
      <c r="G1926" s="32">
        <f t="shared" si="11"/>
        <v>0</v>
      </c>
      <c r="H1926" s="32"/>
      <c r="I1926" s="32"/>
      <c r="J1926" s="32"/>
    </row>
    <row r="1927" hidden="1">
      <c r="A1927" s="88" t="s">
        <v>351</v>
      </c>
      <c r="B1927" s="92" t="s">
        <v>832</v>
      </c>
      <c r="C1927" s="91"/>
      <c r="D1927" s="91" t="s">
        <v>893</v>
      </c>
      <c r="E1927" s="85">
        <v>38.0</v>
      </c>
      <c r="F1927" s="85">
        <v>8.0</v>
      </c>
      <c r="G1927" s="32">
        <f t="shared" si="11"/>
        <v>10300</v>
      </c>
      <c r="H1927" s="32"/>
      <c r="I1927" s="32"/>
      <c r="J1927" s="32"/>
    </row>
    <row r="1928" hidden="1">
      <c r="A1928" s="88" t="s">
        <v>351</v>
      </c>
      <c r="B1928" s="92" t="s">
        <v>835</v>
      </c>
      <c r="C1928" s="92"/>
      <c r="D1928" s="92" t="s">
        <v>837</v>
      </c>
      <c r="E1928" s="85">
        <v>35.0</v>
      </c>
      <c r="F1928" s="85">
        <v>0.0</v>
      </c>
      <c r="G1928" s="32">
        <f t="shared" si="11"/>
        <v>8750</v>
      </c>
      <c r="H1928" s="32"/>
      <c r="I1928" s="32"/>
      <c r="J1928" s="32"/>
    </row>
    <row r="1929" hidden="1">
      <c r="A1929" s="88" t="s">
        <v>351</v>
      </c>
      <c r="B1929" s="92" t="s">
        <v>764</v>
      </c>
      <c r="C1929" s="92"/>
      <c r="D1929" s="92" t="s">
        <v>838</v>
      </c>
      <c r="E1929" s="85">
        <v>31.0</v>
      </c>
      <c r="F1929" s="85">
        <v>0.0</v>
      </c>
      <c r="G1929" s="32">
        <f t="shared" si="11"/>
        <v>7750</v>
      </c>
      <c r="H1929" s="32"/>
      <c r="I1929" s="32"/>
      <c r="J1929" s="32"/>
    </row>
    <row r="1930" hidden="1">
      <c r="A1930" s="88" t="s">
        <v>351</v>
      </c>
      <c r="B1930" s="92" t="s">
        <v>213</v>
      </c>
      <c r="C1930" s="92"/>
      <c r="D1930" s="92" t="s">
        <v>660</v>
      </c>
      <c r="E1930" s="85">
        <v>24.0</v>
      </c>
      <c r="F1930" s="85">
        <v>2.0</v>
      </c>
      <c r="G1930" s="32">
        <f t="shared" si="11"/>
        <v>6200</v>
      </c>
      <c r="H1930" s="32"/>
      <c r="I1930" s="32"/>
      <c r="J1930" s="32"/>
    </row>
    <row r="1931" hidden="1">
      <c r="A1931" s="88" t="s">
        <v>351</v>
      </c>
      <c r="B1931" s="92" t="s">
        <v>661</v>
      </c>
      <c r="C1931" s="92"/>
      <c r="D1931" s="92" t="s">
        <v>663</v>
      </c>
      <c r="E1931" s="85">
        <v>24.0</v>
      </c>
      <c r="F1931" s="85">
        <v>0.0</v>
      </c>
      <c r="G1931" s="32">
        <f t="shared" si="11"/>
        <v>6000</v>
      </c>
      <c r="H1931" s="32"/>
      <c r="I1931" s="32"/>
      <c r="J1931" s="32"/>
    </row>
    <row r="1932" hidden="1">
      <c r="A1932" s="88" t="s">
        <v>351</v>
      </c>
      <c r="B1932" s="92" t="s">
        <v>664</v>
      </c>
      <c r="C1932" s="92"/>
      <c r="D1932" s="92" t="s">
        <v>901</v>
      </c>
      <c r="E1932" s="85">
        <v>30.0</v>
      </c>
      <c r="F1932" s="85">
        <v>0.0</v>
      </c>
      <c r="G1932" s="32">
        <f t="shared" si="11"/>
        <v>7500</v>
      </c>
      <c r="H1932" s="32"/>
      <c r="I1932" s="32"/>
      <c r="J1932" s="32"/>
    </row>
    <row r="1933" hidden="1">
      <c r="A1933" s="88" t="s">
        <v>351</v>
      </c>
      <c r="B1933" s="92" t="s">
        <v>667</v>
      </c>
      <c r="C1933" s="92"/>
      <c r="D1933" s="92" t="s">
        <v>669</v>
      </c>
      <c r="E1933" s="85">
        <v>23.0</v>
      </c>
      <c r="F1933" s="85">
        <v>2.0</v>
      </c>
      <c r="G1933" s="32">
        <f t="shared" si="11"/>
        <v>5950</v>
      </c>
      <c r="H1933" s="32"/>
      <c r="I1933" s="32"/>
      <c r="J1933" s="32"/>
    </row>
    <row r="1934" hidden="1">
      <c r="A1934" s="88" t="s">
        <v>351</v>
      </c>
      <c r="B1934" s="92" t="s">
        <v>670</v>
      </c>
      <c r="C1934" s="92"/>
      <c r="D1934" s="92" t="s">
        <v>672</v>
      </c>
      <c r="E1934" s="85">
        <v>18.0</v>
      </c>
      <c r="F1934" s="85">
        <v>0.0</v>
      </c>
      <c r="G1934" s="32">
        <f t="shared" si="11"/>
        <v>4500</v>
      </c>
      <c r="H1934" s="32"/>
      <c r="I1934" s="32"/>
      <c r="J1934" s="32"/>
    </row>
    <row r="1935" hidden="1">
      <c r="A1935" s="88" t="s">
        <v>351</v>
      </c>
      <c r="B1935" s="92" t="s">
        <v>673</v>
      </c>
      <c r="C1935" s="92"/>
      <c r="D1935" s="92" t="s">
        <v>675</v>
      </c>
      <c r="E1935" s="85">
        <v>11.0</v>
      </c>
      <c r="F1935" s="85">
        <v>1.0</v>
      </c>
      <c r="G1935" s="32">
        <f t="shared" si="11"/>
        <v>2850</v>
      </c>
      <c r="H1935" s="32"/>
      <c r="I1935" s="32"/>
      <c r="J1935" s="32"/>
    </row>
    <row r="1936" hidden="1">
      <c r="A1936" s="88" t="s">
        <v>351</v>
      </c>
      <c r="B1936" s="92" t="s">
        <v>676</v>
      </c>
      <c r="C1936" s="92"/>
      <c r="D1936" s="92" t="s">
        <v>678</v>
      </c>
      <c r="E1936" s="85">
        <v>12.0</v>
      </c>
      <c r="F1936" s="85">
        <v>1.0</v>
      </c>
      <c r="G1936" s="32">
        <f t="shared" si="11"/>
        <v>3100</v>
      </c>
      <c r="H1936" s="32"/>
      <c r="I1936" s="32"/>
      <c r="J1936" s="32"/>
    </row>
    <row r="1937" hidden="1">
      <c r="A1937" s="88" t="s">
        <v>351</v>
      </c>
      <c r="B1937" s="92" t="s">
        <v>679</v>
      </c>
      <c r="C1937" s="92"/>
      <c r="D1937" s="92" t="s">
        <v>909</v>
      </c>
      <c r="E1937" s="85">
        <v>15.0</v>
      </c>
      <c r="F1937" s="85">
        <v>4.0</v>
      </c>
      <c r="G1937" s="32">
        <f t="shared" si="11"/>
        <v>4150</v>
      </c>
      <c r="H1937" s="32"/>
      <c r="I1937" s="32"/>
      <c r="J1937" s="32"/>
    </row>
    <row r="1938" hidden="1">
      <c r="A1938" s="88" t="s">
        <v>351</v>
      </c>
      <c r="B1938" s="92" t="s">
        <v>682</v>
      </c>
      <c r="C1938" s="92"/>
      <c r="D1938" s="92" t="s">
        <v>684</v>
      </c>
      <c r="E1938" s="85">
        <v>11.0</v>
      </c>
      <c r="F1938" s="85">
        <v>0.0</v>
      </c>
      <c r="G1938" s="32">
        <f t="shared" si="11"/>
        <v>2750</v>
      </c>
      <c r="H1938" s="32"/>
      <c r="I1938" s="32"/>
      <c r="J1938" s="32"/>
    </row>
    <row r="1939" hidden="1">
      <c r="A1939" s="88" t="s">
        <v>351</v>
      </c>
      <c r="B1939" s="91" t="s">
        <v>685</v>
      </c>
      <c r="C1939" s="92"/>
      <c r="D1939" s="92" t="s">
        <v>687</v>
      </c>
      <c r="E1939" s="85">
        <v>17.0</v>
      </c>
      <c r="F1939" s="85">
        <v>0.0</v>
      </c>
      <c r="G1939" s="32">
        <f t="shared" si="11"/>
        <v>4250</v>
      </c>
      <c r="H1939" s="32"/>
      <c r="I1939" s="32"/>
      <c r="J1939" s="32"/>
    </row>
    <row r="1940" hidden="1">
      <c r="A1940" s="88" t="s">
        <v>351</v>
      </c>
      <c r="B1940" s="92" t="s">
        <v>688</v>
      </c>
      <c r="C1940" s="92"/>
      <c r="D1940" s="92" t="s">
        <v>690</v>
      </c>
      <c r="E1940" s="85">
        <v>21.0</v>
      </c>
      <c r="F1940" s="85">
        <v>0.0</v>
      </c>
      <c r="G1940" s="32">
        <f t="shared" si="11"/>
        <v>5250</v>
      </c>
      <c r="H1940" s="32"/>
      <c r="I1940" s="32"/>
      <c r="J1940" s="32"/>
    </row>
    <row r="1941" hidden="1">
      <c r="A1941" s="88" t="s">
        <v>351</v>
      </c>
      <c r="B1941" s="92" t="s">
        <v>691</v>
      </c>
      <c r="C1941" s="92"/>
      <c r="D1941" s="92" t="s">
        <v>693</v>
      </c>
      <c r="E1941" s="85">
        <v>12.0</v>
      </c>
      <c r="F1941" s="85">
        <v>0.0</v>
      </c>
      <c r="G1941" s="32">
        <f t="shared" si="11"/>
        <v>3000</v>
      </c>
      <c r="H1941" s="32"/>
      <c r="I1941" s="32"/>
      <c r="J1941" s="32"/>
    </row>
    <row r="1942" hidden="1">
      <c r="A1942" s="88" t="s">
        <v>351</v>
      </c>
      <c r="B1942" s="92" t="s">
        <v>694</v>
      </c>
      <c r="C1942" s="92"/>
      <c r="D1942" s="92" t="s">
        <v>696</v>
      </c>
      <c r="E1942" s="85">
        <v>10.0</v>
      </c>
      <c r="F1942" s="85">
        <v>0.0</v>
      </c>
      <c r="G1942" s="32">
        <f t="shared" si="11"/>
        <v>2500</v>
      </c>
      <c r="H1942" s="32"/>
      <c r="I1942" s="32"/>
      <c r="J1942" s="32"/>
    </row>
    <row r="1943" hidden="1">
      <c r="A1943" s="88" t="s">
        <v>351</v>
      </c>
      <c r="B1943" s="92" t="s">
        <v>697</v>
      </c>
      <c r="C1943" s="92"/>
      <c r="D1943" s="92" t="s">
        <v>699</v>
      </c>
      <c r="E1943" s="85">
        <v>15.0</v>
      </c>
      <c r="F1943" s="85">
        <v>0.0</v>
      </c>
      <c r="G1943" s="32">
        <f t="shared" si="11"/>
        <v>3750</v>
      </c>
      <c r="H1943" s="32"/>
      <c r="I1943" s="32"/>
      <c r="J1943" s="32"/>
    </row>
    <row r="1944" hidden="1">
      <c r="A1944" s="88" t="s">
        <v>351</v>
      </c>
      <c r="B1944" s="92" t="s">
        <v>700</v>
      </c>
      <c r="C1944" s="92"/>
      <c r="D1944" s="92" t="s">
        <v>889</v>
      </c>
      <c r="E1944" s="85">
        <v>16.0</v>
      </c>
      <c r="F1944" s="85">
        <v>0.0</v>
      </c>
      <c r="G1944" s="32">
        <f t="shared" si="11"/>
        <v>4000</v>
      </c>
      <c r="H1944" s="32"/>
      <c r="I1944" s="32"/>
      <c r="J1944" s="32"/>
    </row>
    <row r="1945" hidden="1">
      <c r="A1945" s="88" t="s">
        <v>351</v>
      </c>
      <c r="B1945" s="92" t="s">
        <v>703</v>
      </c>
      <c r="C1945" s="92"/>
      <c r="D1945" s="92" t="s">
        <v>705</v>
      </c>
      <c r="E1945" s="85">
        <v>14.0</v>
      </c>
      <c r="F1945" s="85">
        <v>1.0</v>
      </c>
      <c r="G1945" s="32">
        <f t="shared" si="11"/>
        <v>3600</v>
      </c>
      <c r="H1945" s="32"/>
      <c r="I1945" s="32"/>
      <c r="J1945" s="32"/>
    </row>
    <row r="1946" hidden="1">
      <c r="A1946" s="88" t="s">
        <v>351</v>
      </c>
      <c r="B1946" s="92" t="s">
        <v>706</v>
      </c>
      <c r="C1946" s="92"/>
      <c r="D1946" s="92" t="s">
        <v>708</v>
      </c>
      <c r="E1946" s="85">
        <v>9.0</v>
      </c>
      <c r="F1946" s="85">
        <v>0.0</v>
      </c>
      <c r="G1946" s="32">
        <f t="shared" si="11"/>
        <v>2250</v>
      </c>
      <c r="H1946" s="32"/>
      <c r="I1946" s="32"/>
      <c r="J1946" s="32"/>
    </row>
    <row r="1947" hidden="1">
      <c r="A1947" s="88" t="s">
        <v>351</v>
      </c>
      <c r="B1947" s="92" t="s">
        <v>709</v>
      </c>
      <c r="C1947" s="92"/>
      <c r="D1947" s="92" t="s">
        <v>711</v>
      </c>
      <c r="E1947" s="85">
        <v>17.0</v>
      </c>
      <c r="F1947" s="85">
        <v>0.0</v>
      </c>
      <c r="G1947" s="32">
        <f t="shared" si="11"/>
        <v>4250</v>
      </c>
      <c r="H1947" s="32"/>
      <c r="I1947" s="32"/>
      <c r="J1947" s="32"/>
    </row>
    <row r="1948" hidden="1">
      <c r="A1948" s="88" t="s">
        <v>351</v>
      </c>
      <c r="B1948" s="92" t="s">
        <v>712</v>
      </c>
      <c r="C1948" s="92"/>
      <c r="D1948" s="92" t="s">
        <v>714</v>
      </c>
      <c r="E1948" s="85">
        <v>18.0</v>
      </c>
      <c r="F1948" s="85">
        <v>2.0</v>
      </c>
      <c r="G1948" s="32">
        <f t="shared" si="11"/>
        <v>4700</v>
      </c>
      <c r="H1948" s="32"/>
      <c r="I1948" s="32"/>
      <c r="J1948" s="32"/>
    </row>
    <row r="1949" hidden="1">
      <c r="A1949" s="88" t="s">
        <v>351</v>
      </c>
      <c r="B1949" s="92" t="s">
        <v>799</v>
      </c>
      <c r="C1949" s="92"/>
      <c r="D1949" s="92" t="s">
        <v>801</v>
      </c>
      <c r="E1949" s="85">
        <v>10.0</v>
      </c>
      <c r="F1949" s="85">
        <v>2.0</v>
      </c>
      <c r="G1949" s="32">
        <f t="shared" si="11"/>
        <v>2700</v>
      </c>
      <c r="H1949" s="32"/>
      <c r="I1949" s="32"/>
      <c r="J1949" s="32"/>
    </row>
    <row r="1950" hidden="1">
      <c r="A1950" s="88" t="s">
        <v>351</v>
      </c>
      <c r="B1950" s="92" t="s">
        <v>795</v>
      </c>
      <c r="C1950" s="92"/>
      <c r="D1950" s="92" t="s">
        <v>797</v>
      </c>
      <c r="E1950" s="85">
        <v>10.0</v>
      </c>
      <c r="F1950" s="85">
        <v>0.0</v>
      </c>
      <c r="G1950" s="32">
        <f t="shared" si="11"/>
        <v>2500</v>
      </c>
      <c r="H1950" s="32"/>
      <c r="I1950" s="32"/>
      <c r="J1950" s="32"/>
    </row>
    <row r="1951" hidden="1">
      <c r="A1951" s="88" t="s">
        <v>351</v>
      </c>
      <c r="B1951" s="92" t="s">
        <v>715</v>
      </c>
      <c r="C1951" s="92"/>
      <c r="D1951" s="92" t="s">
        <v>717</v>
      </c>
      <c r="E1951" s="85">
        <v>13.0</v>
      </c>
      <c r="F1951" s="85">
        <v>0.0</v>
      </c>
      <c r="G1951" s="32">
        <f t="shared" si="11"/>
        <v>3250</v>
      </c>
      <c r="H1951" s="32"/>
      <c r="I1951" s="32"/>
      <c r="J1951" s="32"/>
    </row>
    <row r="1952" hidden="1">
      <c r="A1952" s="88" t="s">
        <v>351</v>
      </c>
      <c r="B1952" s="92" t="s">
        <v>718</v>
      </c>
      <c r="C1952" s="92"/>
      <c r="D1952" s="92" t="s">
        <v>720</v>
      </c>
      <c r="E1952" s="85">
        <v>8.0</v>
      </c>
      <c r="F1952" s="85">
        <v>0.0</v>
      </c>
      <c r="G1952" s="32">
        <f t="shared" si="11"/>
        <v>2000</v>
      </c>
      <c r="H1952" s="32"/>
      <c r="I1952" s="32"/>
      <c r="J1952" s="32"/>
    </row>
    <row r="1953" hidden="1">
      <c r="A1953" s="88" t="s">
        <v>351</v>
      </c>
      <c r="B1953" s="92" t="s">
        <v>721</v>
      </c>
      <c r="C1953" s="92"/>
      <c r="D1953" s="92" t="s">
        <v>723</v>
      </c>
      <c r="E1953" s="85">
        <v>16.0</v>
      </c>
      <c r="F1953" s="85">
        <v>3.0</v>
      </c>
      <c r="G1953" s="32">
        <f t="shared" si="11"/>
        <v>4300</v>
      </c>
      <c r="H1953" s="32"/>
      <c r="I1953" s="32"/>
      <c r="J1953" s="32"/>
    </row>
    <row r="1954" hidden="1">
      <c r="A1954" s="88" t="s">
        <v>351</v>
      </c>
      <c r="B1954" s="93" t="s">
        <v>724</v>
      </c>
      <c r="C1954" s="92"/>
      <c r="D1954" s="92" t="s">
        <v>726</v>
      </c>
      <c r="E1954" s="85">
        <v>15.0</v>
      </c>
      <c r="F1954" s="85">
        <v>1.0</v>
      </c>
      <c r="G1954" s="32">
        <f t="shared" si="11"/>
        <v>3850</v>
      </c>
      <c r="H1954" s="32"/>
      <c r="I1954" s="32"/>
      <c r="J1954" s="32"/>
    </row>
    <row r="1955" hidden="1">
      <c r="A1955" s="88" t="s">
        <v>351</v>
      </c>
      <c r="B1955" s="93" t="s">
        <v>903</v>
      </c>
      <c r="C1955" s="92"/>
      <c r="D1955" s="92" t="s">
        <v>904</v>
      </c>
      <c r="E1955" s="85">
        <v>6.0</v>
      </c>
      <c r="F1955" s="85">
        <v>0.0</v>
      </c>
      <c r="G1955" s="32">
        <f t="shared" si="11"/>
        <v>1500</v>
      </c>
      <c r="H1955" s="32"/>
      <c r="I1955" s="32"/>
      <c r="J1955" s="32"/>
    </row>
    <row r="1956" hidden="1">
      <c r="A1956" s="88" t="s">
        <v>351</v>
      </c>
      <c r="B1956" s="93" t="s">
        <v>899</v>
      </c>
      <c r="C1956" s="92"/>
      <c r="D1956" s="92" t="s">
        <v>900</v>
      </c>
      <c r="E1956" s="85">
        <v>8.0</v>
      </c>
      <c r="F1956" s="85">
        <v>0.0</v>
      </c>
      <c r="G1956" s="32">
        <f t="shared" si="11"/>
        <v>2000</v>
      </c>
      <c r="H1956" s="32"/>
      <c r="I1956" s="32"/>
      <c r="J1956" s="32"/>
    </row>
    <row r="1957" hidden="1">
      <c r="A1957" s="88" t="s">
        <v>351</v>
      </c>
      <c r="B1957" s="92" t="s">
        <v>767</v>
      </c>
      <c r="C1957" s="92"/>
      <c r="D1957" s="92" t="s">
        <v>769</v>
      </c>
      <c r="E1957" s="85">
        <v>17.0</v>
      </c>
      <c r="F1957" s="85">
        <v>0.0</v>
      </c>
      <c r="G1957" s="32">
        <f t="shared" si="11"/>
        <v>4250</v>
      </c>
      <c r="H1957" s="32"/>
      <c r="I1957" s="32"/>
      <c r="J1957" s="32"/>
    </row>
    <row r="1958" hidden="1">
      <c r="A1958" s="88" t="s">
        <v>351</v>
      </c>
      <c r="B1958" s="92" t="s">
        <v>730</v>
      </c>
      <c r="C1958" s="92"/>
      <c r="D1958" s="92" t="s">
        <v>732</v>
      </c>
      <c r="E1958" s="85">
        <v>12.0</v>
      </c>
      <c r="F1958" s="85">
        <v>0.0</v>
      </c>
      <c r="G1958" s="32">
        <f t="shared" si="11"/>
        <v>3000</v>
      </c>
      <c r="H1958" s="32"/>
      <c r="I1958" s="32"/>
      <c r="J1958" s="32"/>
    </row>
    <row r="1959" hidden="1">
      <c r="A1959" s="88" t="s">
        <v>351</v>
      </c>
      <c r="B1959" s="93" t="s">
        <v>905</v>
      </c>
      <c r="C1959" s="92"/>
      <c r="D1959" s="92" t="s">
        <v>906</v>
      </c>
      <c r="E1959" s="85">
        <v>9.0</v>
      </c>
      <c r="F1959" s="85">
        <v>1.0</v>
      </c>
      <c r="G1959" s="32">
        <f t="shared" si="11"/>
        <v>2350</v>
      </c>
      <c r="H1959" s="32"/>
      <c r="I1959" s="32"/>
      <c r="J1959" s="32"/>
    </row>
    <row r="1960" hidden="1">
      <c r="A1960" s="88" t="s">
        <v>351</v>
      </c>
      <c r="B1960" s="92" t="s">
        <v>748</v>
      </c>
      <c r="C1960" s="92"/>
      <c r="D1960" s="92" t="s">
        <v>750</v>
      </c>
      <c r="E1960" s="85">
        <v>12.0</v>
      </c>
      <c r="F1960" s="85">
        <v>0.0</v>
      </c>
      <c r="G1960" s="32">
        <f t="shared" si="11"/>
        <v>3000</v>
      </c>
      <c r="H1960" s="32"/>
      <c r="I1960" s="32"/>
      <c r="J1960" s="32"/>
    </row>
    <row r="1961" hidden="1">
      <c r="A1961" s="88" t="s">
        <v>351</v>
      </c>
      <c r="B1961" s="92" t="s">
        <v>733</v>
      </c>
      <c r="C1961" s="92"/>
      <c r="D1961" s="92" t="s">
        <v>735</v>
      </c>
      <c r="E1961" s="85">
        <v>13.0</v>
      </c>
      <c r="F1961" s="85">
        <v>0.0</v>
      </c>
      <c r="G1961" s="32">
        <f t="shared" si="11"/>
        <v>3250</v>
      </c>
      <c r="H1961" s="32"/>
      <c r="I1961" s="32"/>
      <c r="J1961" s="32"/>
    </row>
    <row r="1962" hidden="1">
      <c r="A1962" s="88" t="s">
        <v>351</v>
      </c>
      <c r="B1962" s="92" t="s">
        <v>727</v>
      </c>
      <c r="C1962" s="92"/>
      <c r="D1962" s="92" t="s">
        <v>729</v>
      </c>
      <c r="E1962" s="85">
        <v>10.0</v>
      </c>
      <c r="F1962" s="85">
        <v>0.0</v>
      </c>
      <c r="G1962" s="32">
        <f t="shared" si="11"/>
        <v>2500</v>
      </c>
      <c r="H1962" s="32"/>
      <c r="I1962" s="32"/>
      <c r="J1962" s="32"/>
    </row>
    <row r="1963" hidden="1">
      <c r="A1963" s="88" t="s">
        <v>351</v>
      </c>
      <c r="B1963" s="92" t="s">
        <v>736</v>
      </c>
      <c r="C1963" s="92"/>
      <c r="D1963" s="92" t="s">
        <v>738</v>
      </c>
      <c r="E1963" s="85">
        <v>8.0</v>
      </c>
      <c r="F1963" s="85">
        <v>0.0</v>
      </c>
      <c r="G1963" s="32">
        <f t="shared" si="11"/>
        <v>2000</v>
      </c>
      <c r="H1963" s="32"/>
      <c r="I1963" s="32"/>
      <c r="J1963" s="32"/>
    </row>
    <row r="1964" hidden="1">
      <c r="A1964" s="88" t="s">
        <v>351</v>
      </c>
      <c r="B1964" s="92" t="s">
        <v>895</v>
      </c>
      <c r="C1964" s="92"/>
      <c r="D1964" s="92" t="s">
        <v>896</v>
      </c>
      <c r="E1964" s="85">
        <v>8.0</v>
      </c>
      <c r="F1964" s="85">
        <v>0.0</v>
      </c>
      <c r="G1964" s="32">
        <f t="shared" si="11"/>
        <v>2000</v>
      </c>
      <c r="H1964" s="32"/>
      <c r="I1964" s="32"/>
      <c r="J1964" s="32"/>
    </row>
    <row r="1965" hidden="1">
      <c r="A1965" s="88" t="s">
        <v>351</v>
      </c>
      <c r="B1965" s="92" t="s">
        <v>739</v>
      </c>
      <c r="C1965" s="92"/>
      <c r="D1965" s="92" t="s">
        <v>741</v>
      </c>
      <c r="E1965" s="85">
        <v>9.0</v>
      </c>
      <c r="F1965" s="85">
        <v>0.0</v>
      </c>
      <c r="G1965" s="32">
        <f t="shared" si="11"/>
        <v>2250</v>
      </c>
      <c r="H1965" s="32"/>
      <c r="I1965" s="32"/>
      <c r="J1965" s="32"/>
    </row>
    <row r="1966" hidden="1">
      <c r="A1966" s="88" t="s">
        <v>351</v>
      </c>
      <c r="B1966" s="92" t="s">
        <v>910</v>
      </c>
      <c r="C1966" s="91"/>
      <c r="D1966" s="91" t="s">
        <v>911</v>
      </c>
      <c r="E1966" s="85">
        <v>7.0</v>
      </c>
      <c r="F1966" s="85">
        <v>0.0</v>
      </c>
      <c r="G1966" s="32">
        <f t="shared" si="11"/>
        <v>1750</v>
      </c>
      <c r="H1966" s="32"/>
      <c r="I1966" s="32"/>
      <c r="J1966" s="32"/>
    </row>
    <row r="1967" hidden="1">
      <c r="A1967" s="88" t="s">
        <v>351</v>
      </c>
      <c r="B1967" s="92" t="s">
        <v>788</v>
      </c>
      <c r="C1967" s="92"/>
      <c r="D1967" s="92" t="s">
        <v>790</v>
      </c>
      <c r="E1967" s="85">
        <v>9.0</v>
      </c>
      <c r="F1967" s="85">
        <v>1.0</v>
      </c>
      <c r="G1967" s="32">
        <f t="shared" si="11"/>
        <v>2350</v>
      </c>
      <c r="H1967" s="32"/>
      <c r="I1967" s="32"/>
      <c r="J1967" s="32"/>
    </row>
    <row r="1968" hidden="1">
      <c r="A1968" s="88" t="s">
        <v>351</v>
      </c>
      <c r="B1968" s="91" t="s">
        <v>751</v>
      </c>
      <c r="C1968" s="91"/>
      <c r="D1968" s="91" t="s">
        <v>753</v>
      </c>
      <c r="E1968" s="85">
        <v>3.0</v>
      </c>
      <c r="F1968" s="85">
        <v>0.0</v>
      </c>
      <c r="G1968" s="32">
        <f t="shared" si="11"/>
        <v>750</v>
      </c>
      <c r="H1968" s="32"/>
      <c r="I1968" s="32"/>
      <c r="J1968" s="32"/>
    </row>
    <row r="1969" hidden="1">
      <c r="A1969" s="88" t="s">
        <v>351</v>
      </c>
      <c r="B1969" s="92" t="s">
        <v>742</v>
      </c>
      <c r="C1969" s="92"/>
      <c r="D1969" s="92" t="s">
        <v>744</v>
      </c>
      <c r="E1969" s="85">
        <v>5.0</v>
      </c>
      <c r="F1969" s="85">
        <v>0.0</v>
      </c>
      <c r="G1969" s="32">
        <f t="shared" si="11"/>
        <v>1250</v>
      </c>
      <c r="H1969" s="32"/>
      <c r="I1969" s="32"/>
      <c r="J1969" s="32"/>
    </row>
    <row r="1970" hidden="1">
      <c r="A1970" s="88" t="s">
        <v>351</v>
      </c>
      <c r="B1970" s="76"/>
      <c r="C1970" s="92"/>
      <c r="D1970" s="92" t="s">
        <v>907</v>
      </c>
      <c r="E1970" s="85"/>
      <c r="F1970" s="85"/>
      <c r="G1970" s="32">
        <f t="shared" si="11"/>
        <v>0</v>
      </c>
      <c r="H1970" s="32"/>
      <c r="I1970" s="32"/>
      <c r="J1970" s="32"/>
    </row>
    <row r="1971" hidden="1">
      <c r="A1971" s="88" t="s">
        <v>352</v>
      </c>
      <c r="B1971" s="92" t="s">
        <v>832</v>
      </c>
      <c r="C1971" s="91"/>
      <c r="D1971" s="91" t="s">
        <v>912</v>
      </c>
      <c r="E1971" s="85">
        <v>41.0</v>
      </c>
      <c r="F1971" s="85">
        <v>11.0</v>
      </c>
      <c r="G1971" s="32">
        <f t="shared" si="11"/>
        <v>11350</v>
      </c>
      <c r="H1971" s="32"/>
      <c r="I1971" s="32"/>
      <c r="J1971" s="32"/>
    </row>
    <row r="1972" hidden="1">
      <c r="A1972" s="88" t="s">
        <v>352</v>
      </c>
      <c r="B1972" s="92" t="s">
        <v>835</v>
      </c>
      <c r="C1972" s="92"/>
      <c r="D1972" s="92" t="s">
        <v>837</v>
      </c>
      <c r="E1972" s="85">
        <v>40.0</v>
      </c>
      <c r="F1972" s="85">
        <v>0.0</v>
      </c>
      <c r="G1972" s="32">
        <f t="shared" si="11"/>
        <v>10000</v>
      </c>
      <c r="H1972" s="32"/>
      <c r="I1972" s="32"/>
      <c r="J1972" s="32"/>
    </row>
    <row r="1973" hidden="1">
      <c r="A1973" s="88" t="s">
        <v>352</v>
      </c>
      <c r="B1973" s="92" t="s">
        <v>764</v>
      </c>
      <c r="C1973" s="92"/>
      <c r="D1973" s="92" t="s">
        <v>838</v>
      </c>
      <c r="E1973" s="85">
        <v>35.0</v>
      </c>
      <c r="F1973" s="85">
        <v>0.0</v>
      </c>
      <c r="G1973" s="32">
        <f t="shared" si="11"/>
        <v>8750</v>
      </c>
      <c r="H1973" s="32"/>
      <c r="I1973" s="32"/>
      <c r="J1973" s="32"/>
    </row>
    <row r="1974" hidden="1">
      <c r="A1974" s="88" t="s">
        <v>352</v>
      </c>
      <c r="B1974" s="92" t="s">
        <v>213</v>
      </c>
      <c r="C1974" s="92"/>
      <c r="D1974" s="92" t="s">
        <v>660</v>
      </c>
      <c r="E1974" s="85">
        <v>28.0</v>
      </c>
      <c r="F1974" s="85">
        <v>1.0</v>
      </c>
      <c r="G1974" s="32">
        <f t="shared" si="11"/>
        <v>7100</v>
      </c>
      <c r="H1974" s="32"/>
      <c r="I1974" s="32"/>
      <c r="J1974" s="32"/>
    </row>
    <row r="1975" hidden="1">
      <c r="A1975" s="88" t="s">
        <v>352</v>
      </c>
      <c r="B1975" s="92" t="s">
        <v>661</v>
      </c>
      <c r="C1975" s="92"/>
      <c r="D1975" s="92" t="s">
        <v>663</v>
      </c>
      <c r="E1975" s="85">
        <v>25.0</v>
      </c>
      <c r="F1975" s="85">
        <v>0.0</v>
      </c>
      <c r="G1975" s="32">
        <f t="shared" si="11"/>
        <v>6250</v>
      </c>
      <c r="H1975" s="32"/>
      <c r="I1975" s="32"/>
      <c r="J1975" s="32"/>
    </row>
    <row r="1976" hidden="1">
      <c r="A1976" s="88" t="s">
        <v>352</v>
      </c>
      <c r="B1976" s="92" t="s">
        <v>664</v>
      </c>
      <c r="C1976" s="92"/>
      <c r="D1976" s="92" t="s">
        <v>901</v>
      </c>
      <c r="E1976" s="85">
        <v>24.0</v>
      </c>
      <c r="F1976" s="85">
        <v>0.0</v>
      </c>
      <c r="G1976" s="32">
        <f t="shared" si="11"/>
        <v>6000</v>
      </c>
      <c r="H1976" s="32"/>
      <c r="I1976" s="32"/>
      <c r="J1976" s="32"/>
    </row>
    <row r="1977" hidden="1">
      <c r="A1977" s="88" t="s">
        <v>352</v>
      </c>
      <c r="B1977" s="92" t="s">
        <v>667</v>
      </c>
      <c r="C1977" s="92"/>
      <c r="D1977" s="92" t="s">
        <v>669</v>
      </c>
      <c r="E1977" s="85">
        <v>20.0</v>
      </c>
      <c r="F1977" s="85">
        <v>0.0</v>
      </c>
      <c r="G1977" s="32">
        <f t="shared" si="11"/>
        <v>5000</v>
      </c>
      <c r="H1977" s="32"/>
      <c r="I1977" s="32"/>
      <c r="J1977" s="32"/>
    </row>
    <row r="1978" hidden="1">
      <c r="A1978" s="88" t="s">
        <v>352</v>
      </c>
      <c r="B1978" s="92" t="s">
        <v>670</v>
      </c>
      <c r="C1978" s="92"/>
      <c r="D1978" s="92" t="s">
        <v>672</v>
      </c>
      <c r="E1978" s="85">
        <v>18.0</v>
      </c>
      <c r="F1978" s="85">
        <v>3.0</v>
      </c>
      <c r="G1978" s="32">
        <f t="shared" si="11"/>
        <v>4800</v>
      </c>
      <c r="H1978" s="32"/>
      <c r="I1978" s="32"/>
      <c r="J1978" s="32"/>
    </row>
    <row r="1979" hidden="1">
      <c r="A1979" s="88" t="s">
        <v>352</v>
      </c>
      <c r="B1979" s="92" t="s">
        <v>673</v>
      </c>
      <c r="C1979" s="92"/>
      <c r="D1979" s="92" t="s">
        <v>675</v>
      </c>
      <c r="E1979" s="85">
        <v>16.0</v>
      </c>
      <c r="F1979" s="85">
        <v>2.0</v>
      </c>
      <c r="G1979" s="32">
        <f t="shared" si="11"/>
        <v>4200</v>
      </c>
      <c r="H1979" s="32"/>
      <c r="I1979" s="32"/>
      <c r="J1979" s="32"/>
    </row>
    <row r="1980" hidden="1">
      <c r="A1980" s="88" t="s">
        <v>352</v>
      </c>
      <c r="B1980" s="92" t="s">
        <v>676</v>
      </c>
      <c r="C1980" s="92"/>
      <c r="D1980" s="92" t="s">
        <v>678</v>
      </c>
      <c r="E1980" s="85">
        <v>16.0</v>
      </c>
      <c r="F1980" s="85">
        <v>0.0</v>
      </c>
      <c r="G1980" s="32">
        <f t="shared" si="11"/>
        <v>4000</v>
      </c>
      <c r="H1980" s="32"/>
      <c r="I1980" s="32"/>
      <c r="J1980" s="32"/>
    </row>
    <row r="1981" hidden="1">
      <c r="A1981" s="88" t="s">
        <v>352</v>
      </c>
      <c r="B1981" s="92" t="s">
        <v>679</v>
      </c>
      <c r="C1981" s="92"/>
      <c r="D1981" s="92" t="s">
        <v>913</v>
      </c>
      <c r="E1981" s="85">
        <v>15.0</v>
      </c>
      <c r="F1981" s="85">
        <v>4.0</v>
      </c>
      <c r="G1981" s="32">
        <f t="shared" si="11"/>
        <v>4150</v>
      </c>
      <c r="H1981" s="32"/>
      <c r="I1981" s="32"/>
      <c r="J1981" s="32"/>
    </row>
    <row r="1982" hidden="1">
      <c r="A1982" s="88" t="s">
        <v>352</v>
      </c>
      <c r="B1982" s="92" t="s">
        <v>682</v>
      </c>
      <c r="C1982" s="92"/>
      <c r="D1982" s="92" t="s">
        <v>684</v>
      </c>
      <c r="E1982" s="85">
        <v>15.0</v>
      </c>
      <c r="F1982" s="85">
        <v>0.0</v>
      </c>
      <c r="G1982" s="32">
        <f t="shared" si="11"/>
        <v>3750</v>
      </c>
      <c r="H1982" s="32"/>
      <c r="I1982" s="32"/>
      <c r="J1982" s="32"/>
    </row>
    <row r="1983" hidden="1">
      <c r="A1983" s="88" t="s">
        <v>352</v>
      </c>
      <c r="B1983" s="273" t="s">
        <v>914</v>
      </c>
      <c r="C1983" s="92"/>
      <c r="D1983" s="92" t="s">
        <v>687</v>
      </c>
      <c r="E1983" s="85">
        <v>15.0</v>
      </c>
      <c r="F1983" s="85">
        <v>0.0</v>
      </c>
      <c r="G1983" s="32">
        <f t="shared" si="11"/>
        <v>3750</v>
      </c>
      <c r="H1983" s="32"/>
      <c r="I1983" s="32"/>
      <c r="J1983" s="32"/>
    </row>
    <row r="1984" hidden="1">
      <c r="A1984" s="88" t="s">
        <v>352</v>
      </c>
      <c r="B1984" s="92" t="s">
        <v>688</v>
      </c>
      <c r="C1984" s="92"/>
      <c r="D1984" s="92" t="s">
        <v>690</v>
      </c>
      <c r="E1984" s="85">
        <v>15.0</v>
      </c>
      <c r="F1984" s="85">
        <v>0.0</v>
      </c>
      <c r="G1984" s="32">
        <f t="shared" si="11"/>
        <v>3750</v>
      </c>
      <c r="H1984" s="32"/>
      <c r="I1984" s="32"/>
      <c r="J1984" s="32"/>
    </row>
    <row r="1985" hidden="1">
      <c r="A1985" s="88" t="s">
        <v>352</v>
      </c>
      <c r="B1985" s="92" t="s">
        <v>691</v>
      </c>
      <c r="C1985" s="92"/>
      <c r="D1985" s="92" t="s">
        <v>693</v>
      </c>
      <c r="E1985" s="85">
        <v>14.0</v>
      </c>
      <c r="F1985" s="85">
        <v>0.0</v>
      </c>
      <c r="G1985" s="32">
        <f t="shared" si="11"/>
        <v>3500</v>
      </c>
      <c r="H1985" s="32"/>
      <c r="I1985" s="32"/>
      <c r="J1985" s="32"/>
    </row>
    <row r="1986" hidden="1">
      <c r="A1986" s="88" t="s">
        <v>352</v>
      </c>
      <c r="B1986" s="92" t="s">
        <v>694</v>
      </c>
      <c r="C1986" s="92"/>
      <c r="D1986" s="92" t="s">
        <v>696</v>
      </c>
      <c r="E1986" s="85">
        <v>14.0</v>
      </c>
      <c r="F1986" s="85">
        <v>0.0</v>
      </c>
      <c r="G1986" s="32">
        <f t="shared" si="11"/>
        <v>3500</v>
      </c>
      <c r="H1986" s="32"/>
      <c r="I1986" s="32"/>
      <c r="J1986" s="32"/>
    </row>
    <row r="1987" hidden="1">
      <c r="A1987" s="88" t="s">
        <v>352</v>
      </c>
      <c r="B1987" s="92" t="s">
        <v>697</v>
      </c>
      <c r="C1987" s="92"/>
      <c r="D1987" s="92" t="s">
        <v>699</v>
      </c>
      <c r="E1987" s="85">
        <v>13.0</v>
      </c>
      <c r="F1987" s="85">
        <v>0.0</v>
      </c>
      <c r="G1987" s="32">
        <f t="shared" si="11"/>
        <v>3250</v>
      </c>
      <c r="H1987" s="32"/>
      <c r="I1987" s="32"/>
      <c r="J1987" s="32"/>
    </row>
    <row r="1988" hidden="1">
      <c r="A1988" s="88" t="s">
        <v>352</v>
      </c>
      <c r="B1988" s="91" t="s">
        <v>700</v>
      </c>
      <c r="C1988" s="92"/>
      <c r="D1988" s="92" t="s">
        <v>889</v>
      </c>
      <c r="E1988" s="85">
        <v>13.0</v>
      </c>
      <c r="F1988" s="85">
        <v>0.0</v>
      </c>
      <c r="G1988" s="32">
        <f t="shared" si="11"/>
        <v>3250</v>
      </c>
      <c r="H1988" s="32"/>
      <c r="I1988" s="32"/>
      <c r="J1988" s="32"/>
    </row>
    <row r="1989" hidden="1">
      <c r="A1989" s="88" t="s">
        <v>352</v>
      </c>
      <c r="B1989" s="92" t="s">
        <v>703</v>
      </c>
      <c r="C1989" s="92"/>
      <c r="D1989" s="92" t="s">
        <v>705</v>
      </c>
      <c r="E1989" s="85">
        <v>13.0</v>
      </c>
      <c r="F1989" s="85">
        <v>2.0</v>
      </c>
      <c r="G1989" s="32">
        <f t="shared" si="11"/>
        <v>3450</v>
      </c>
      <c r="H1989" s="32"/>
      <c r="I1989" s="32"/>
      <c r="J1989" s="32"/>
    </row>
    <row r="1990" hidden="1">
      <c r="A1990" s="88" t="s">
        <v>352</v>
      </c>
      <c r="B1990" s="92" t="s">
        <v>706</v>
      </c>
      <c r="C1990" s="92"/>
      <c r="D1990" s="92" t="s">
        <v>708</v>
      </c>
      <c r="E1990" s="85">
        <v>12.0</v>
      </c>
      <c r="F1990" s="85">
        <v>0.0</v>
      </c>
      <c r="G1990" s="32">
        <f t="shared" si="11"/>
        <v>3000</v>
      </c>
      <c r="H1990" s="32"/>
      <c r="I1990" s="32"/>
      <c r="J1990" s="32"/>
    </row>
    <row r="1991" hidden="1">
      <c r="A1991" s="88" t="s">
        <v>352</v>
      </c>
      <c r="B1991" s="92" t="s">
        <v>709</v>
      </c>
      <c r="C1991" s="92"/>
      <c r="D1991" s="92" t="s">
        <v>711</v>
      </c>
      <c r="E1991" s="85">
        <v>12.0</v>
      </c>
      <c r="F1991" s="85">
        <v>0.0</v>
      </c>
      <c r="G1991" s="32">
        <f t="shared" si="11"/>
        <v>3000</v>
      </c>
      <c r="H1991" s="32"/>
      <c r="I1991" s="32"/>
      <c r="J1991" s="32"/>
    </row>
    <row r="1992" hidden="1">
      <c r="A1992" s="88" t="s">
        <v>352</v>
      </c>
      <c r="B1992" s="92" t="s">
        <v>712</v>
      </c>
      <c r="C1992" s="92"/>
      <c r="D1992" s="92" t="s">
        <v>714</v>
      </c>
      <c r="E1992" s="85">
        <v>12.0</v>
      </c>
      <c r="F1992" s="85">
        <v>0.0</v>
      </c>
      <c r="G1992" s="32">
        <f t="shared" si="11"/>
        <v>3000</v>
      </c>
      <c r="H1992" s="32"/>
      <c r="I1992" s="32"/>
      <c r="J1992" s="32"/>
    </row>
    <row r="1993" hidden="1">
      <c r="A1993" s="88" t="s">
        <v>352</v>
      </c>
      <c r="B1993" s="92" t="s">
        <v>799</v>
      </c>
      <c r="C1993" s="92"/>
      <c r="D1993" s="92" t="s">
        <v>801</v>
      </c>
      <c r="E1993" s="85">
        <v>11.0</v>
      </c>
      <c r="F1993" s="85">
        <v>1.0</v>
      </c>
      <c r="G1993" s="32">
        <f t="shared" si="11"/>
        <v>2850</v>
      </c>
      <c r="H1993" s="32"/>
      <c r="I1993" s="32"/>
      <c r="J1993" s="32"/>
    </row>
    <row r="1994" hidden="1">
      <c r="A1994" s="88" t="s">
        <v>352</v>
      </c>
      <c r="B1994" s="92" t="s">
        <v>795</v>
      </c>
      <c r="C1994" s="92"/>
      <c r="D1994" s="92" t="s">
        <v>797</v>
      </c>
      <c r="E1994" s="85">
        <v>11.0</v>
      </c>
      <c r="F1994" s="85">
        <v>0.0</v>
      </c>
      <c r="G1994" s="32">
        <f t="shared" si="11"/>
        <v>2750</v>
      </c>
      <c r="H1994" s="32"/>
      <c r="I1994" s="32"/>
      <c r="J1994" s="32"/>
    </row>
    <row r="1995" hidden="1">
      <c r="A1995" s="88" t="s">
        <v>352</v>
      </c>
      <c r="B1995" s="92" t="s">
        <v>715</v>
      </c>
      <c r="C1995" s="92"/>
      <c r="D1995" s="92" t="s">
        <v>717</v>
      </c>
      <c r="E1995" s="85">
        <v>10.0</v>
      </c>
      <c r="F1995" s="85">
        <v>0.0</v>
      </c>
      <c r="G1995" s="32">
        <f t="shared" si="11"/>
        <v>2500</v>
      </c>
      <c r="H1995" s="32"/>
      <c r="I1995" s="32"/>
      <c r="J1995" s="32"/>
    </row>
    <row r="1996" hidden="1">
      <c r="A1996" s="88" t="s">
        <v>352</v>
      </c>
      <c r="B1996" s="92" t="s">
        <v>718</v>
      </c>
      <c r="C1996" s="92"/>
      <c r="D1996" s="92" t="s">
        <v>720</v>
      </c>
      <c r="E1996" s="85">
        <v>8.0</v>
      </c>
      <c r="F1996" s="85">
        <v>0.0</v>
      </c>
      <c r="G1996" s="32">
        <f t="shared" si="11"/>
        <v>2000</v>
      </c>
      <c r="H1996" s="32"/>
      <c r="I1996" s="32"/>
      <c r="J1996" s="32"/>
    </row>
    <row r="1997" hidden="1">
      <c r="A1997" s="88" t="s">
        <v>352</v>
      </c>
      <c r="B1997" s="92" t="s">
        <v>721</v>
      </c>
      <c r="C1997" s="92"/>
      <c r="D1997" s="92" t="s">
        <v>723</v>
      </c>
      <c r="E1997" s="85">
        <v>7.0</v>
      </c>
      <c r="F1997" s="85">
        <v>3.0</v>
      </c>
      <c r="G1997" s="32">
        <f t="shared" si="11"/>
        <v>2050</v>
      </c>
      <c r="H1997" s="32"/>
      <c r="I1997" s="32"/>
      <c r="J1997" s="32"/>
    </row>
    <row r="1998" hidden="1">
      <c r="A1998" s="88" t="s">
        <v>352</v>
      </c>
      <c r="B1998" s="93" t="s">
        <v>724</v>
      </c>
      <c r="C1998" s="92"/>
      <c r="D1998" s="92" t="s">
        <v>726</v>
      </c>
      <c r="E1998" s="85">
        <v>4.0</v>
      </c>
      <c r="F1998" s="85">
        <v>1.0</v>
      </c>
      <c r="G1998" s="32">
        <f t="shared" si="11"/>
        <v>1100</v>
      </c>
      <c r="H1998" s="32"/>
      <c r="I1998" s="32"/>
      <c r="J1998" s="32"/>
    </row>
    <row r="1999" hidden="1">
      <c r="A1999" s="88" t="s">
        <v>352</v>
      </c>
      <c r="B1999" s="92" t="s">
        <v>742</v>
      </c>
      <c r="C1999" s="92"/>
      <c r="D1999" s="92" t="s">
        <v>744</v>
      </c>
      <c r="E1999" s="85">
        <v>4.0</v>
      </c>
      <c r="F1999" s="85">
        <v>0.0</v>
      </c>
      <c r="G1999" s="32">
        <f t="shared" si="11"/>
        <v>1000</v>
      </c>
      <c r="H1999" s="32"/>
      <c r="I1999" s="32"/>
      <c r="J1999" s="32"/>
    </row>
    <row r="2000" hidden="1">
      <c r="A2000" s="88" t="s">
        <v>352</v>
      </c>
      <c r="B2000" s="93" t="s">
        <v>899</v>
      </c>
      <c r="C2000" s="92"/>
      <c r="D2000" s="92" t="s">
        <v>900</v>
      </c>
      <c r="E2000" s="85">
        <v>3.0</v>
      </c>
      <c r="F2000" s="85">
        <v>0.0</v>
      </c>
      <c r="G2000" s="32">
        <f t="shared" si="11"/>
        <v>750</v>
      </c>
      <c r="H2000" s="32"/>
      <c r="I2000" s="32"/>
      <c r="J2000" s="32"/>
    </row>
    <row r="2001" hidden="1">
      <c r="A2001" s="88" t="s">
        <v>352</v>
      </c>
      <c r="B2001" s="92" t="s">
        <v>767</v>
      </c>
      <c r="C2001" s="92"/>
      <c r="D2001" s="92" t="s">
        <v>769</v>
      </c>
      <c r="E2001" s="85">
        <v>13.0</v>
      </c>
      <c r="F2001" s="85">
        <v>2.0</v>
      </c>
      <c r="G2001" s="32">
        <f t="shared" si="11"/>
        <v>3450</v>
      </c>
      <c r="H2001" s="32"/>
      <c r="I2001" s="32"/>
      <c r="J2001" s="32"/>
    </row>
    <row r="2002" hidden="1">
      <c r="A2002" s="88" t="s">
        <v>352</v>
      </c>
      <c r="B2002" s="92" t="s">
        <v>730</v>
      </c>
      <c r="C2002" s="92"/>
      <c r="D2002" s="92" t="s">
        <v>732</v>
      </c>
      <c r="E2002" s="85">
        <v>12.0</v>
      </c>
      <c r="F2002" s="85">
        <v>1.0</v>
      </c>
      <c r="G2002" s="32">
        <f t="shared" si="11"/>
        <v>3100</v>
      </c>
      <c r="H2002" s="32"/>
      <c r="I2002" s="32"/>
      <c r="J2002" s="32"/>
    </row>
    <row r="2003" hidden="1">
      <c r="A2003" s="88" t="s">
        <v>352</v>
      </c>
      <c r="B2003" s="93" t="s">
        <v>905</v>
      </c>
      <c r="C2003" s="92"/>
      <c r="D2003" s="92" t="s">
        <v>906</v>
      </c>
      <c r="E2003" s="85">
        <v>11.0</v>
      </c>
      <c r="F2003" s="85">
        <v>4.0</v>
      </c>
      <c r="G2003" s="32">
        <f t="shared" si="11"/>
        <v>3150</v>
      </c>
      <c r="H2003" s="32"/>
      <c r="I2003" s="32"/>
      <c r="J2003" s="32"/>
    </row>
    <row r="2004" hidden="1">
      <c r="A2004" s="88" t="s">
        <v>352</v>
      </c>
      <c r="B2004" s="92" t="s">
        <v>748</v>
      </c>
      <c r="C2004" s="92"/>
      <c r="D2004" s="92" t="s">
        <v>750</v>
      </c>
      <c r="E2004" s="85">
        <v>11.0</v>
      </c>
      <c r="F2004" s="85">
        <v>1.0</v>
      </c>
      <c r="G2004" s="32">
        <f t="shared" si="11"/>
        <v>2850</v>
      </c>
      <c r="H2004" s="32"/>
      <c r="I2004" s="32"/>
      <c r="J2004" s="32"/>
    </row>
    <row r="2005" hidden="1">
      <c r="A2005" s="88" t="s">
        <v>352</v>
      </c>
      <c r="B2005" s="92" t="s">
        <v>733</v>
      </c>
      <c r="C2005" s="92"/>
      <c r="D2005" s="92" t="s">
        <v>735</v>
      </c>
      <c r="E2005" s="85">
        <v>10.0</v>
      </c>
      <c r="F2005" s="85">
        <v>0.0</v>
      </c>
      <c r="G2005" s="32">
        <f t="shared" si="11"/>
        <v>2500</v>
      </c>
      <c r="H2005" s="32"/>
      <c r="I2005" s="32"/>
      <c r="J2005" s="32"/>
    </row>
    <row r="2006" hidden="1">
      <c r="A2006" s="88" t="s">
        <v>352</v>
      </c>
      <c r="B2006" s="92" t="s">
        <v>727</v>
      </c>
      <c r="C2006" s="92"/>
      <c r="D2006" s="92" t="s">
        <v>729</v>
      </c>
      <c r="E2006" s="85">
        <v>10.0</v>
      </c>
      <c r="F2006" s="85">
        <v>0.0</v>
      </c>
      <c r="G2006" s="32">
        <f t="shared" si="11"/>
        <v>2500</v>
      </c>
      <c r="H2006" s="32"/>
      <c r="I2006" s="32"/>
      <c r="J2006" s="32"/>
    </row>
    <row r="2007" hidden="1">
      <c r="A2007" s="88" t="s">
        <v>352</v>
      </c>
      <c r="B2007" s="92" t="s">
        <v>736</v>
      </c>
      <c r="C2007" s="92"/>
      <c r="D2007" s="92" t="s">
        <v>738</v>
      </c>
      <c r="E2007" s="85">
        <v>9.0</v>
      </c>
      <c r="F2007" s="85">
        <v>0.0</v>
      </c>
      <c r="G2007" s="32">
        <f t="shared" si="11"/>
        <v>2250</v>
      </c>
      <c r="H2007" s="32"/>
      <c r="I2007" s="32"/>
      <c r="J2007" s="32"/>
    </row>
    <row r="2008" hidden="1">
      <c r="A2008" s="88" t="s">
        <v>352</v>
      </c>
      <c r="B2008" s="92" t="s">
        <v>895</v>
      </c>
      <c r="C2008" s="92"/>
      <c r="D2008" s="92" t="s">
        <v>896</v>
      </c>
      <c r="E2008" s="85">
        <v>8.0</v>
      </c>
      <c r="F2008" s="85">
        <v>0.0</v>
      </c>
      <c r="G2008" s="32">
        <f t="shared" si="11"/>
        <v>2000</v>
      </c>
      <c r="H2008" s="32"/>
      <c r="I2008" s="32"/>
      <c r="J2008" s="32"/>
    </row>
    <row r="2009" hidden="1">
      <c r="A2009" s="88" t="s">
        <v>352</v>
      </c>
      <c r="B2009" s="93" t="s">
        <v>903</v>
      </c>
      <c r="C2009" s="92"/>
      <c r="D2009" s="92" t="s">
        <v>904</v>
      </c>
      <c r="E2009" s="85">
        <v>7.0</v>
      </c>
      <c r="F2009" s="85">
        <v>1.0</v>
      </c>
      <c r="G2009" s="32">
        <f t="shared" si="11"/>
        <v>1850</v>
      </c>
      <c r="H2009" s="32"/>
      <c r="I2009" s="32"/>
      <c r="J2009" s="32"/>
    </row>
    <row r="2010" hidden="1">
      <c r="A2010" s="88" t="s">
        <v>352</v>
      </c>
      <c r="B2010" s="92" t="s">
        <v>739</v>
      </c>
      <c r="C2010" s="92"/>
      <c r="D2010" s="92" t="s">
        <v>741</v>
      </c>
      <c r="E2010" s="85">
        <v>6.0</v>
      </c>
      <c r="F2010" s="85">
        <v>0.0</v>
      </c>
      <c r="G2010" s="32">
        <f t="shared" si="11"/>
        <v>1500</v>
      </c>
      <c r="H2010" s="32"/>
      <c r="I2010" s="32"/>
      <c r="J2010" s="32"/>
    </row>
    <row r="2011" hidden="1">
      <c r="A2011" s="88" t="s">
        <v>352</v>
      </c>
      <c r="B2011" s="92" t="s">
        <v>910</v>
      </c>
      <c r="C2011" s="92"/>
      <c r="D2011" s="92" t="s">
        <v>915</v>
      </c>
      <c r="E2011" s="85">
        <v>6.0</v>
      </c>
      <c r="F2011" s="85">
        <v>0.0</v>
      </c>
      <c r="G2011" s="32">
        <f t="shared" si="11"/>
        <v>1500</v>
      </c>
      <c r="H2011" s="32"/>
      <c r="I2011" s="32"/>
      <c r="J2011" s="32"/>
    </row>
    <row r="2012" hidden="1">
      <c r="A2012" s="88" t="s">
        <v>352</v>
      </c>
      <c r="B2012" s="92" t="s">
        <v>788</v>
      </c>
      <c r="C2012" s="92"/>
      <c r="D2012" s="92" t="s">
        <v>790</v>
      </c>
      <c r="E2012" s="85">
        <v>6.0</v>
      </c>
      <c r="F2012" s="85">
        <v>1.0</v>
      </c>
      <c r="G2012" s="32">
        <f t="shared" si="11"/>
        <v>1600</v>
      </c>
      <c r="H2012" s="32"/>
      <c r="I2012" s="32"/>
      <c r="J2012" s="32"/>
    </row>
    <row r="2013" hidden="1">
      <c r="A2013" s="88" t="s">
        <v>352</v>
      </c>
      <c r="B2013" s="273" t="s">
        <v>916</v>
      </c>
      <c r="C2013" s="92"/>
      <c r="D2013" s="92" t="s">
        <v>917</v>
      </c>
      <c r="E2013" s="85">
        <v>5.0</v>
      </c>
      <c r="F2013" s="85">
        <v>0.0</v>
      </c>
      <c r="G2013" s="32">
        <f t="shared" si="11"/>
        <v>1250</v>
      </c>
      <c r="H2013" s="32"/>
      <c r="I2013" s="32"/>
      <c r="J2013" s="32"/>
    </row>
    <row r="2014" hidden="1">
      <c r="A2014" s="88" t="s">
        <v>352</v>
      </c>
      <c r="B2014" s="76"/>
      <c r="C2014" s="92"/>
      <c r="D2014" s="92" t="s">
        <v>907</v>
      </c>
      <c r="E2014" s="86"/>
      <c r="F2014" s="86"/>
      <c r="G2014" s="32">
        <f t="shared" si="11"/>
        <v>0</v>
      </c>
      <c r="H2014" s="32"/>
      <c r="I2014" s="32"/>
      <c r="J2014" s="32"/>
    </row>
    <row r="2015" hidden="1">
      <c r="A2015" s="34" t="s">
        <v>353</v>
      </c>
      <c r="B2015" s="99" t="s">
        <v>832</v>
      </c>
      <c r="C2015" s="274"/>
      <c r="D2015" s="274" t="s">
        <v>918</v>
      </c>
      <c r="E2015" s="80">
        <v>37.0</v>
      </c>
      <c r="F2015" s="80">
        <v>15.0</v>
      </c>
      <c r="G2015" s="32">
        <f t="shared" si="11"/>
        <v>10750</v>
      </c>
      <c r="H2015" s="32"/>
      <c r="I2015" s="32"/>
      <c r="J2015" s="32"/>
    </row>
    <row r="2016" hidden="1">
      <c r="A2016" s="34" t="s">
        <v>353</v>
      </c>
      <c r="B2016" s="91" t="s">
        <v>667</v>
      </c>
      <c r="C2016" s="274"/>
      <c r="D2016" s="274" t="s">
        <v>669</v>
      </c>
      <c r="E2016" s="80">
        <v>16.0</v>
      </c>
      <c r="F2016" s="80">
        <v>1.0</v>
      </c>
      <c r="G2016" s="32">
        <f t="shared" si="11"/>
        <v>4100</v>
      </c>
      <c r="H2016" s="32"/>
      <c r="I2016" s="32"/>
      <c r="J2016" s="32"/>
    </row>
    <row r="2017" hidden="1">
      <c r="A2017" s="34" t="s">
        <v>353</v>
      </c>
      <c r="B2017" s="91" t="s">
        <v>764</v>
      </c>
      <c r="C2017" s="274"/>
      <c r="D2017" s="274" t="s">
        <v>838</v>
      </c>
      <c r="E2017" s="80">
        <v>33.0</v>
      </c>
      <c r="F2017" s="80">
        <v>0.0</v>
      </c>
      <c r="G2017" s="32">
        <f t="shared" si="11"/>
        <v>8250</v>
      </c>
      <c r="H2017" s="32"/>
      <c r="I2017" s="32"/>
      <c r="J2017" s="32"/>
    </row>
    <row r="2018" hidden="1">
      <c r="A2018" s="34" t="s">
        <v>353</v>
      </c>
      <c r="B2018" s="91" t="s">
        <v>835</v>
      </c>
      <c r="C2018" s="274"/>
      <c r="D2018" s="274" t="s">
        <v>837</v>
      </c>
      <c r="E2018" s="80">
        <v>30.0</v>
      </c>
      <c r="F2018" s="80">
        <v>0.0</v>
      </c>
      <c r="G2018" s="32">
        <f t="shared" si="11"/>
        <v>7500</v>
      </c>
      <c r="H2018" s="32"/>
      <c r="I2018" s="32"/>
      <c r="J2018" s="32"/>
    </row>
    <row r="2019" hidden="1">
      <c r="A2019" s="34" t="s">
        <v>353</v>
      </c>
      <c r="B2019" s="91" t="s">
        <v>213</v>
      </c>
      <c r="C2019" s="274"/>
      <c r="D2019" s="274" t="s">
        <v>660</v>
      </c>
      <c r="E2019" s="80">
        <v>26.0</v>
      </c>
      <c r="F2019" s="80">
        <v>3.0</v>
      </c>
      <c r="G2019" s="32">
        <f t="shared" si="11"/>
        <v>6800</v>
      </c>
      <c r="H2019" s="32"/>
      <c r="I2019" s="32"/>
      <c r="J2019" s="32"/>
    </row>
    <row r="2020" hidden="1">
      <c r="A2020" s="34" t="s">
        <v>353</v>
      </c>
      <c r="B2020" s="91" t="s">
        <v>688</v>
      </c>
      <c r="C2020" s="274"/>
      <c r="D2020" s="274" t="s">
        <v>690</v>
      </c>
      <c r="E2020" s="80">
        <v>17.0</v>
      </c>
      <c r="F2020" s="80">
        <v>0.0</v>
      </c>
      <c r="G2020" s="32">
        <f t="shared" si="11"/>
        <v>4250</v>
      </c>
      <c r="H2020" s="32"/>
      <c r="I2020" s="32"/>
      <c r="J2020" s="32"/>
    </row>
    <row r="2021" hidden="1">
      <c r="A2021" s="34" t="s">
        <v>353</v>
      </c>
      <c r="B2021" s="91" t="s">
        <v>664</v>
      </c>
      <c r="C2021" s="274"/>
      <c r="D2021" s="274" t="s">
        <v>901</v>
      </c>
      <c r="E2021" s="80">
        <v>25.0</v>
      </c>
      <c r="F2021" s="80">
        <v>0.0</v>
      </c>
      <c r="G2021" s="32">
        <f t="shared" si="11"/>
        <v>6250</v>
      </c>
      <c r="H2021" s="32"/>
      <c r="I2021" s="32"/>
      <c r="J2021" s="32"/>
    </row>
    <row r="2022" hidden="1">
      <c r="A2022" s="34" t="s">
        <v>353</v>
      </c>
      <c r="B2022" s="91" t="s">
        <v>709</v>
      </c>
      <c r="C2022" s="274"/>
      <c r="D2022" s="274" t="s">
        <v>711</v>
      </c>
      <c r="E2022" s="80">
        <v>17.0</v>
      </c>
      <c r="F2022" s="80">
        <v>0.0</v>
      </c>
      <c r="G2022" s="32">
        <f t="shared" si="11"/>
        <v>4250</v>
      </c>
      <c r="H2022" s="32"/>
      <c r="I2022" s="32"/>
      <c r="J2022" s="32"/>
    </row>
    <row r="2023" hidden="1">
      <c r="A2023" s="34" t="s">
        <v>353</v>
      </c>
      <c r="B2023" s="91" t="s">
        <v>661</v>
      </c>
      <c r="C2023" s="274"/>
      <c r="D2023" s="274" t="s">
        <v>663</v>
      </c>
      <c r="E2023" s="80">
        <v>23.0</v>
      </c>
      <c r="F2023" s="80">
        <v>0.0</v>
      </c>
      <c r="G2023" s="32">
        <f t="shared" si="11"/>
        <v>5750</v>
      </c>
      <c r="H2023" s="32"/>
      <c r="I2023" s="32"/>
      <c r="J2023" s="32"/>
    </row>
    <row r="2024" hidden="1">
      <c r="A2024" s="34" t="s">
        <v>353</v>
      </c>
      <c r="B2024" s="91" t="s">
        <v>697</v>
      </c>
      <c r="C2024" s="274"/>
      <c r="D2024" s="274" t="s">
        <v>699</v>
      </c>
      <c r="E2024" s="80">
        <v>17.0</v>
      </c>
      <c r="F2024" s="80">
        <v>0.0</v>
      </c>
      <c r="G2024" s="32">
        <f t="shared" si="11"/>
        <v>4250</v>
      </c>
      <c r="H2024" s="32"/>
      <c r="I2024" s="32"/>
      <c r="J2024" s="32"/>
    </row>
    <row r="2025" hidden="1">
      <c r="A2025" s="34" t="s">
        <v>353</v>
      </c>
      <c r="B2025" s="91" t="s">
        <v>682</v>
      </c>
      <c r="C2025" s="274"/>
      <c r="D2025" s="274" t="s">
        <v>684</v>
      </c>
      <c r="E2025" s="80">
        <v>14.0</v>
      </c>
      <c r="F2025" s="80">
        <v>0.0</v>
      </c>
      <c r="G2025" s="32">
        <f t="shared" si="11"/>
        <v>3500</v>
      </c>
      <c r="H2025" s="32"/>
      <c r="I2025" s="32"/>
      <c r="J2025" s="32"/>
    </row>
    <row r="2026" hidden="1">
      <c r="A2026" s="34" t="s">
        <v>353</v>
      </c>
      <c r="B2026" s="91" t="s">
        <v>691</v>
      </c>
      <c r="C2026" s="274"/>
      <c r="D2026" s="274" t="s">
        <v>693</v>
      </c>
      <c r="E2026" s="80">
        <v>22.0</v>
      </c>
      <c r="F2026" s="80">
        <v>0.0</v>
      </c>
      <c r="G2026" s="32">
        <f t="shared" si="11"/>
        <v>5500</v>
      </c>
      <c r="H2026" s="32"/>
      <c r="I2026" s="32"/>
      <c r="J2026" s="32"/>
    </row>
    <row r="2027" hidden="1">
      <c r="A2027" s="34" t="s">
        <v>353</v>
      </c>
      <c r="B2027" s="91" t="s">
        <v>676</v>
      </c>
      <c r="C2027" s="274"/>
      <c r="D2027" s="274" t="s">
        <v>678</v>
      </c>
      <c r="E2027" s="80">
        <v>14.0</v>
      </c>
      <c r="F2027" s="80">
        <v>0.0</v>
      </c>
      <c r="G2027" s="32">
        <f t="shared" si="11"/>
        <v>3500</v>
      </c>
      <c r="H2027" s="32"/>
      <c r="I2027" s="32"/>
      <c r="J2027" s="32"/>
    </row>
    <row r="2028" hidden="1">
      <c r="A2028" s="34" t="s">
        <v>353</v>
      </c>
      <c r="B2028" s="91" t="s">
        <v>799</v>
      </c>
      <c r="C2028" s="274"/>
      <c r="D2028" s="274" t="s">
        <v>801</v>
      </c>
      <c r="E2028" s="80">
        <v>21.0</v>
      </c>
      <c r="F2028" s="80">
        <v>11.0</v>
      </c>
      <c r="G2028" s="32">
        <f t="shared" si="11"/>
        <v>6350</v>
      </c>
      <c r="H2028" s="32"/>
      <c r="I2028" s="32"/>
      <c r="J2028" s="32"/>
    </row>
    <row r="2029" hidden="1">
      <c r="A2029" s="34" t="s">
        <v>353</v>
      </c>
      <c r="B2029" s="91" t="s">
        <v>914</v>
      </c>
      <c r="C2029" s="274"/>
      <c r="D2029" s="274" t="s">
        <v>687</v>
      </c>
      <c r="E2029" s="80">
        <v>14.0</v>
      </c>
      <c r="F2029" s="80">
        <v>0.0</v>
      </c>
      <c r="G2029" s="32">
        <f t="shared" si="11"/>
        <v>3500</v>
      </c>
      <c r="H2029" s="32"/>
      <c r="I2029" s="32"/>
      <c r="J2029" s="32"/>
    </row>
    <row r="2030" hidden="1">
      <c r="A2030" s="34" t="s">
        <v>353</v>
      </c>
      <c r="B2030" s="91" t="s">
        <v>685</v>
      </c>
      <c r="C2030" s="274"/>
      <c r="D2030" s="274" t="s">
        <v>889</v>
      </c>
      <c r="E2030" s="80">
        <v>14.0</v>
      </c>
      <c r="F2030" s="80">
        <v>0.0</v>
      </c>
      <c r="G2030" s="32">
        <f t="shared" si="11"/>
        <v>3500</v>
      </c>
      <c r="H2030" s="32"/>
      <c r="I2030" s="32"/>
      <c r="J2030" s="32"/>
    </row>
    <row r="2031" hidden="1">
      <c r="A2031" s="34" t="s">
        <v>353</v>
      </c>
      <c r="B2031" s="91" t="s">
        <v>795</v>
      </c>
      <c r="C2031" s="274"/>
      <c r="D2031" s="274" t="s">
        <v>797</v>
      </c>
      <c r="E2031" s="80">
        <v>13.0</v>
      </c>
      <c r="F2031" s="80">
        <v>0.0</v>
      </c>
      <c r="G2031" s="32">
        <f t="shared" si="11"/>
        <v>3250</v>
      </c>
      <c r="H2031" s="32"/>
      <c r="I2031" s="32"/>
      <c r="J2031" s="32"/>
    </row>
    <row r="2032" hidden="1">
      <c r="A2032" s="34" t="s">
        <v>353</v>
      </c>
      <c r="B2032" s="91" t="s">
        <v>703</v>
      </c>
      <c r="C2032" s="274"/>
      <c r="D2032" s="274" t="s">
        <v>705</v>
      </c>
      <c r="E2032" s="80">
        <v>12.0</v>
      </c>
      <c r="F2032" s="80">
        <v>2.0</v>
      </c>
      <c r="G2032" s="32">
        <f t="shared" si="11"/>
        <v>3200</v>
      </c>
      <c r="H2032" s="32"/>
      <c r="I2032" s="32"/>
      <c r="J2032" s="32"/>
    </row>
    <row r="2033" hidden="1">
      <c r="A2033" s="34" t="s">
        <v>353</v>
      </c>
      <c r="B2033" s="91" t="s">
        <v>679</v>
      </c>
      <c r="C2033" s="274"/>
      <c r="D2033" s="274" t="s">
        <v>919</v>
      </c>
      <c r="E2033" s="80">
        <v>14.0</v>
      </c>
      <c r="F2033" s="80">
        <v>9.0</v>
      </c>
      <c r="G2033" s="32">
        <f t="shared" si="11"/>
        <v>4400</v>
      </c>
      <c r="H2033" s="32"/>
      <c r="I2033" s="32"/>
      <c r="J2033" s="32"/>
    </row>
    <row r="2034" hidden="1">
      <c r="A2034" s="34" t="s">
        <v>353</v>
      </c>
      <c r="B2034" s="91" t="s">
        <v>694</v>
      </c>
      <c r="C2034" s="274"/>
      <c r="D2034" s="274" t="s">
        <v>696</v>
      </c>
      <c r="E2034" s="80">
        <v>15.0</v>
      </c>
      <c r="F2034" s="80">
        <v>0.0</v>
      </c>
      <c r="G2034" s="32">
        <f t="shared" si="11"/>
        <v>3750</v>
      </c>
      <c r="H2034" s="32"/>
      <c r="I2034" s="32"/>
      <c r="J2034" s="32"/>
    </row>
    <row r="2035" hidden="1">
      <c r="A2035" s="34" t="s">
        <v>353</v>
      </c>
      <c r="B2035" s="91" t="s">
        <v>670</v>
      </c>
      <c r="C2035" s="274"/>
      <c r="D2035" s="274" t="s">
        <v>672</v>
      </c>
      <c r="E2035" s="80">
        <v>10.0</v>
      </c>
      <c r="F2035" s="80">
        <v>0.0</v>
      </c>
      <c r="G2035" s="32">
        <f t="shared" si="11"/>
        <v>2500</v>
      </c>
      <c r="H2035" s="32"/>
      <c r="I2035" s="32"/>
      <c r="J2035" s="32"/>
    </row>
    <row r="2036" hidden="1">
      <c r="A2036" s="34" t="s">
        <v>353</v>
      </c>
      <c r="B2036" s="91" t="s">
        <v>721</v>
      </c>
      <c r="C2036" s="274"/>
      <c r="D2036" s="274" t="s">
        <v>723</v>
      </c>
      <c r="E2036" s="80">
        <v>9.0</v>
      </c>
      <c r="F2036" s="80">
        <v>8.0</v>
      </c>
      <c r="G2036" s="32">
        <f t="shared" si="11"/>
        <v>3050</v>
      </c>
      <c r="H2036" s="32"/>
      <c r="I2036" s="32"/>
      <c r="J2036" s="32"/>
    </row>
    <row r="2037" hidden="1">
      <c r="A2037" s="34" t="s">
        <v>353</v>
      </c>
      <c r="B2037" s="91" t="s">
        <v>673</v>
      </c>
      <c r="C2037" s="274"/>
      <c r="D2037" s="274" t="s">
        <v>675</v>
      </c>
      <c r="E2037" s="80">
        <v>19.0</v>
      </c>
      <c r="F2037" s="80">
        <v>3.0</v>
      </c>
      <c r="G2037" s="32">
        <f t="shared" si="11"/>
        <v>5050</v>
      </c>
      <c r="H2037" s="32"/>
      <c r="I2037" s="32"/>
      <c r="J2037" s="32"/>
    </row>
    <row r="2038" hidden="1">
      <c r="A2038" s="34" t="s">
        <v>353</v>
      </c>
      <c r="B2038" s="91" t="s">
        <v>706</v>
      </c>
      <c r="C2038" s="274"/>
      <c r="D2038" s="274" t="s">
        <v>708</v>
      </c>
      <c r="E2038" s="80">
        <v>11.0</v>
      </c>
      <c r="F2038" s="80">
        <v>1.0</v>
      </c>
      <c r="G2038" s="32">
        <f t="shared" si="11"/>
        <v>2850</v>
      </c>
      <c r="H2038" s="32"/>
      <c r="I2038" s="32"/>
      <c r="J2038" s="32"/>
    </row>
    <row r="2039" hidden="1">
      <c r="A2039" s="34" t="s">
        <v>353</v>
      </c>
      <c r="B2039" s="91" t="s">
        <v>712</v>
      </c>
      <c r="C2039" s="274"/>
      <c r="D2039" s="274" t="s">
        <v>714</v>
      </c>
      <c r="E2039" s="80">
        <v>13.0</v>
      </c>
      <c r="F2039" s="80">
        <v>1.0</v>
      </c>
      <c r="G2039" s="32">
        <f t="shared" si="11"/>
        <v>3350</v>
      </c>
      <c r="H2039" s="32"/>
      <c r="I2039" s="32"/>
      <c r="J2039" s="32"/>
    </row>
    <row r="2040" hidden="1">
      <c r="A2040" s="34" t="s">
        <v>353</v>
      </c>
      <c r="B2040" s="91" t="s">
        <v>715</v>
      </c>
      <c r="C2040" s="274"/>
      <c r="D2040" s="274" t="s">
        <v>717</v>
      </c>
      <c r="E2040" s="80">
        <v>10.0</v>
      </c>
      <c r="F2040" s="80">
        <v>0.0</v>
      </c>
      <c r="G2040" s="32">
        <f t="shared" si="11"/>
        <v>2500</v>
      </c>
      <c r="H2040" s="32"/>
      <c r="I2040" s="32"/>
      <c r="J2040" s="32"/>
    </row>
    <row r="2041" hidden="1">
      <c r="A2041" s="34" t="s">
        <v>353</v>
      </c>
      <c r="B2041" s="91" t="s">
        <v>718</v>
      </c>
      <c r="C2041" s="274"/>
      <c r="D2041" s="274" t="s">
        <v>720</v>
      </c>
      <c r="E2041" s="80">
        <v>11.0</v>
      </c>
      <c r="F2041" s="80">
        <v>0.0</v>
      </c>
      <c r="G2041" s="32">
        <f t="shared" si="11"/>
        <v>2750</v>
      </c>
      <c r="H2041" s="32"/>
      <c r="I2041" s="32"/>
      <c r="J2041" s="32"/>
    </row>
    <row r="2042" hidden="1">
      <c r="A2042" s="34" t="s">
        <v>353</v>
      </c>
      <c r="B2042" s="96" t="s">
        <v>905</v>
      </c>
      <c r="C2042" s="274"/>
      <c r="D2042" s="274" t="s">
        <v>906</v>
      </c>
      <c r="E2042" s="80">
        <v>10.0</v>
      </c>
      <c r="F2042" s="80">
        <v>3.0</v>
      </c>
      <c r="G2042" s="32">
        <f t="shared" si="11"/>
        <v>2800</v>
      </c>
      <c r="H2042" s="32"/>
      <c r="I2042" s="32"/>
      <c r="J2042" s="32"/>
    </row>
    <row r="2043" hidden="1">
      <c r="A2043" s="34" t="s">
        <v>353</v>
      </c>
      <c r="B2043" s="96" t="s">
        <v>899</v>
      </c>
      <c r="C2043" s="274"/>
      <c r="D2043" s="274" t="s">
        <v>900</v>
      </c>
      <c r="E2043" s="80">
        <v>10.0</v>
      </c>
      <c r="F2043" s="80">
        <v>0.0</v>
      </c>
      <c r="G2043" s="32">
        <f t="shared" si="11"/>
        <v>2500</v>
      </c>
      <c r="H2043" s="32"/>
      <c r="I2043" s="32"/>
      <c r="J2043" s="32"/>
    </row>
    <row r="2044" hidden="1">
      <c r="A2044" s="34" t="s">
        <v>353</v>
      </c>
      <c r="B2044" s="96" t="s">
        <v>724</v>
      </c>
      <c r="C2044" s="274"/>
      <c r="D2044" s="274" t="s">
        <v>726</v>
      </c>
      <c r="E2044" s="80">
        <v>13.0</v>
      </c>
      <c r="F2044" s="80">
        <v>0.0</v>
      </c>
      <c r="G2044" s="32">
        <f t="shared" si="11"/>
        <v>3250</v>
      </c>
      <c r="H2044" s="32"/>
      <c r="I2044" s="32"/>
      <c r="J2044" s="32"/>
    </row>
    <row r="2045" hidden="1">
      <c r="A2045" s="34" t="s">
        <v>353</v>
      </c>
      <c r="B2045" s="96" t="s">
        <v>903</v>
      </c>
      <c r="C2045" s="274"/>
      <c r="D2045" s="274" t="s">
        <v>904</v>
      </c>
      <c r="E2045" s="80">
        <v>8.0</v>
      </c>
      <c r="F2045" s="80">
        <v>0.0</v>
      </c>
      <c r="G2045" s="32">
        <f t="shared" si="11"/>
        <v>2000</v>
      </c>
      <c r="H2045" s="32"/>
      <c r="I2045" s="32"/>
      <c r="J2045" s="32"/>
    </row>
    <row r="2046" hidden="1">
      <c r="A2046" s="34" t="s">
        <v>353</v>
      </c>
      <c r="B2046" s="91" t="s">
        <v>910</v>
      </c>
      <c r="C2046" s="274"/>
      <c r="D2046" s="274" t="s">
        <v>915</v>
      </c>
      <c r="E2046" s="80">
        <v>6.0</v>
      </c>
      <c r="F2046" s="80">
        <v>0.0</v>
      </c>
      <c r="G2046" s="32">
        <f t="shared" si="11"/>
        <v>1500</v>
      </c>
      <c r="H2046" s="32"/>
      <c r="I2046" s="32"/>
      <c r="J2046" s="32"/>
    </row>
    <row r="2047" hidden="1">
      <c r="A2047" s="34" t="s">
        <v>353</v>
      </c>
      <c r="B2047" s="92"/>
      <c r="C2047" s="275"/>
      <c r="D2047" s="275" t="s">
        <v>907</v>
      </c>
      <c r="E2047" s="276">
        <v>0.0</v>
      </c>
      <c r="F2047" s="276">
        <v>0.0</v>
      </c>
      <c r="G2047" s="277">
        <f t="shared" si="11"/>
        <v>0</v>
      </c>
      <c r="H2047" s="277"/>
      <c r="I2047" s="277"/>
      <c r="J2047" s="277"/>
    </row>
    <row r="2048" hidden="1">
      <c r="A2048" s="34" t="s">
        <v>353</v>
      </c>
      <c r="B2048" s="91" t="s">
        <v>767</v>
      </c>
      <c r="C2048" s="274"/>
      <c r="D2048" s="274" t="s">
        <v>769</v>
      </c>
      <c r="E2048" s="80">
        <v>15.0</v>
      </c>
      <c r="F2048" s="80">
        <v>3.0</v>
      </c>
      <c r="G2048" s="32">
        <f t="shared" si="11"/>
        <v>4050</v>
      </c>
      <c r="H2048" s="32"/>
      <c r="I2048" s="32"/>
      <c r="J2048" s="32"/>
    </row>
    <row r="2049" hidden="1">
      <c r="A2049" s="34" t="s">
        <v>353</v>
      </c>
      <c r="B2049" s="91" t="s">
        <v>730</v>
      </c>
      <c r="C2049" s="274"/>
      <c r="D2049" s="274" t="s">
        <v>732</v>
      </c>
      <c r="E2049" s="80">
        <v>13.0</v>
      </c>
      <c r="F2049" s="80">
        <v>0.0</v>
      </c>
      <c r="G2049" s="32">
        <f t="shared" si="11"/>
        <v>3250</v>
      </c>
      <c r="H2049" s="32"/>
      <c r="I2049" s="32"/>
      <c r="J2049" s="32"/>
    </row>
    <row r="2050" hidden="1">
      <c r="A2050" s="34" t="s">
        <v>353</v>
      </c>
      <c r="B2050" s="91" t="s">
        <v>788</v>
      </c>
      <c r="C2050" s="274"/>
      <c r="D2050" s="274" t="s">
        <v>790</v>
      </c>
      <c r="E2050" s="80">
        <v>13.0</v>
      </c>
      <c r="F2050" s="80">
        <v>0.0</v>
      </c>
      <c r="G2050" s="32">
        <f t="shared" si="11"/>
        <v>3250</v>
      </c>
      <c r="H2050" s="32"/>
      <c r="I2050" s="32"/>
      <c r="J2050" s="32"/>
    </row>
    <row r="2051" hidden="1">
      <c r="A2051" s="34" t="s">
        <v>353</v>
      </c>
      <c r="B2051" s="91" t="s">
        <v>742</v>
      </c>
      <c r="C2051" s="274"/>
      <c r="D2051" s="274" t="s">
        <v>744</v>
      </c>
      <c r="E2051" s="80">
        <v>6.0</v>
      </c>
      <c r="F2051" s="80">
        <v>1.0</v>
      </c>
      <c r="G2051" s="32">
        <f t="shared" si="11"/>
        <v>1600</v>
      </c>
      <c r="H2051" s="32"/>
      <c r="I2051" s="32"/>
      <c r="J2051" s="32"/>
    </row>
    <row r="2052" hidden="1">
      <c r="A2052" s="34" t="s">
        <v>353</v>
      </c>
      <c r="B2052" s="91" t="s">
        <v>748</v>
      </c>
      <c r="C2052" s="274"/>
      <c r="D2052" s="274" t="s">
        <v>750</v>
      </c>
      <c r="E2052" s="80">
        <v>8.0</v>
      </c>
      <c r="F2052" s="80">
        <v>0.0</v>
      </c>
      <c r="G2052" s="32">
        <f t="shared" si="11"/>
        <v>2000</v>
      </c>
      <c r="H2052" s="32"/>
      <c r="I2052" s="32"/>
      <c r="J2052" s="32"/>
    </row>
    <row r="2053" hidden="1">
      <c r="A2053" s="34" t="s">
        <v>353</v>
      </c>
      <c r="B2053" s="91" t="s">
        <v>895</v>
      </c>
      <c r="C2053" s="274"/>
      <c r="D2053" s="274" t="s">
        <v>896</v>
      </c>
      <c r="E2053" s="80">
        <v>8.0</v>
      </c>
      <c r="F2053" s="80">
        <v>0.0</v>
      </c>
      <c r="G2053" s="32">
        <f t="shared" si="11"/>
        <v>2000</v>
      </c>
      <c r="H2053" s="32"/>
      <c r="I2053" s="32"/>
      <c r="J2053" s="32"/>
    </row>
    <row r="2054" hidden="1">
      <c r="A2054" s="34" t="s">
        <v>353</v>
      </c>
      <c r="B2054" s="91" t="s">
        <v>727</v>
      </c>
      <c r="C2054" s="274"/>
      <c r="D2054" s="274" t="s">
        <v>729</v>
      </c>
      <c r="E2054" s="80">
        <v>3.0</v>
      </c>
      <c r="F2054" s="80">
        <v>0.0</v>
      </c>
      <c r="G2054" s="32">
        <f t="shared" si="11"/>
        <v>750</v>
      </c>
      <c r="H2054" s="32"/>
      <c r="I2054" s="32"/>
      <c r="J2054" s="32"/>
    </row>
    <row r="2055" hidden="1">
      <c r="A2055" s="34" t="s">
        <v>353</v>
      </c>
      <c r="B2055" s="91" t="s">
        <v>916</v>
      </c>
      <c r="C2055" s="274"/>
      <c r="D2055" s="274" t="s">
        <v>917</v>
      </c>
      <c r="E2055" s="80">
        <v>7.0</v>
      </c>
      <c r="F2055" s="80">
        <v>0.0</v>
      </c>
      <c r="G2055" s="32">
        <f t="shared" si="11"/>
        <v>1750</v>
      </c>
      <c r="H2055" s="32"/>
      <c r="I2055" s="32"/>
      <c r="J2055" s="32"/>
    </row>
    <row r="2056" hidden="1">
      <c r="A2056" s="34" t="s">
        <v>353</v>
      </c>
      <c r="B2056" s="91" t="s">
        <v>736</v>
      </c>
      <c r="C2056" s="274"/>
      <c r="D2056" s="274" t="s">
        <v>738</v>
      </c>
      <c r="E2056" s="80">
        <v>5.0</v>
      </c>
      <c r="F2056" s="80">
        <v>0.0</v>
      </c>
      <c r="G2056" s="32">
        <f t="shared" si="11"/>
        <v>1250</v>
      </c>
      <c r="H2056" s="32"/>
      <c r="I2056" s="32"/>
      <c r="J2056" s="32"/>
    </row>
    <row r="2057" hidden="1">
      <c r="A2057" s="34" t="s">
        <v>353</v>
      </c>
      <c r="B2057" s="91" t="s">
        <v>733</v>
      </c>
      <c r="C2057" s="274"/>
      <c r="D2057" s="274" t="s">
        <v>735</v>
      </c>
      <c r="E2057" s="80">
        <v>8.0</v>
      </c>
      <c r="F2057" s="80">
        <v>0.0</v>
      </c>
      <c r="G2057" s="32">
        <f t="shared" si="11"/>
        <v>2000</v>
      </c>
      <c r="H2057" s="32"/>
      <c r="I2057" s="32"/>
      <c r="J2057" s="32"/>
    </row>
    <row r="2058" hidden="1">
      <c r="A2058" s="34" t="s">
        <v>353</v>
      </c>
      <c r="B2058" s="91" t="s">
        <v>739</v>
      </c>
      <c r="C2058" s="274"/>
      <c r="D2058" s="274" t="s">
        <v>741</v>
      </c>
      <c r="E2058" s="80">
        <v>6.0</v>
      </c>
      <c r="F2058" s="80">
        <v>0.0</v>
      </c>
      <c r="G2058" s="32">
        <f t="shared" si="11"/>
        <v>1500</v>
      </c>
      <c r="H2058" s="32"/>
      <c r="I2058" s="32"/>
      <c r="J2058" s="32"/>
    </row>
    <row r="2059" hidden="1">
      <c r="A2059" s="34" t="s">
        <v>354</v>
      </c>
      <c r="B2059" s="278"/>
      <c r="C2059" s="278"/>
      <c r="D2059" s="278" t="s">
        <v>918</v>
      </c>
      <c r="E2059" s="80">
        <v>33.0</v>
      </c>
      <c r="F2059" s="80">
        <v>12.0</v>
      </c>
      <c r="G2059" s="32">
        <f t="shared" si="11"/>
        <v>9450</v>
      </c>
      <c r="H2059" s="32"/>
      <c r="I2059" s="32"/>
      <c r="J2059" s="32"/>
    </row>
    <row r="2060" hidden="1">
      <c r="A2060" s="34" t="s">
        <v>354</v>
      </c>
      <c r="B2060" s="278"/>
      <c r="C2060" s="278"/>
      <c r="D2060" s="278" t="s">
        <v>669</v>
      </c>
      <c r="E2060" s="80">
        <v>23.0</v>
      </c>
      <c r="F2060" s="80">
        <v>2.0</v>
      </c>
      <c r="G2060" s="32">
        <f t="shared" si="11"/>
        <v>5950</v>
      </c>
      <c r="H2060" s="32"/>
      <c r="I2060" s="32"/>
      <c r="J2060" s="32"/>
    </row>
    <row r="2061" hidden="1">
      <c r="A2061" s="34" t="s">
        <v>354</v>
      </c>
      <c r="B2061" s="278"/>
      <c r="C2061" s="278"/>
      <c r="D2061" s="278" t="s">
        <v>838</v>
      </c>
      <c r="E2061" s="80">
        <v>29.0</v>
      </c>
      <c r="F2061" s="80">
        <v>0.0</v>
      </c>
      <c r="G2061" s="32">
        <f t="shared" si="11"/>
        <v>7250</v>
      </c>
      <c r="H2061" s="32"/>
      <c r="I2061" s="32"/>
      <c r="J2061" s="32"/>
    </row>
    <row r="2062" hidden="1">
      <c r="A2062" s="34" t="s">
        <v>354</v>
      </c>
      <c r="B2062" s="278"/>
      <c r="C2062" s="278"/>
      <c r="D2062" s="278" t="s">
        <v>837</v>
      </c>
      <c r="E2062" s="80">
        <v>29.0</v>
      </c>
      <c r="F2062" s="80">
        <v>0.0</v>
      </c>
      <c r="G2062" s="32">
        <f t="shared" si="11"/>
        <v>7250</v>
      </c>
      <c r="H2062" s="32"/>
      <c r="I2062" s="32"/>
      <c r="J2062" s="32"/>
    </row>
    <row r="2063" hidden="1">
      <c r="A2063" s="34" t="s">
        <v>354</v>
      </c>
      <c r="B2063" s="278"/>
      <c r="C2063" s="278"/>
      <c r="D2063" s="278" t="s">
        <v>660</v>
      </c>
      <c r="E2063" s="80">
        <v>28.0</v>
      </c>
      <c r="F2063" s="80">
        <v>2.0</v>
      </c>
      <c r="G2063" s="32">
        <f t="shared" si="11"/>
        <v>7200</v>
      </c>
      <c r="H2063" s="32"/>
      <c r="I2063" s="32"/>
      <c r="J2063" s="32"/>
    </row>
    <row r="2064" hidden="1">
      <c r="A2064" s="34" t="s">
        <v>354</v>
      </c>
      <c r="B2064" s="278"/>
      <c r="C2064" s="278"/>
      <c r="D2064" s="278" t="s">
        <v>690</v>
      </c>
      <c r="E2064" s="80">
        <v>18.0</v>
      </c>
      <c r="F2064" s="80">
        <v>0.0</v>
      </c>
      <c r="G2064" s="32">
        <f t="shared" si="11"/>
        <v>4500</v>
      </c>
      <c r="H2064" s="32"/>
      <c r="I2064" s="32"/>
      <c r="J2064" s="32"/>
    </row>
    <row r="2065" hidden="1">
      <c r="A2065" s="34" t="s">
        <v>354</v>
      </c>
      <c r="B2065" s="278"/>
      <c r="C2065" s="278"/>
      <c r="D2065" s="278" t="s">
        <v>901</v>
      </c>
      <c r="E2065" s="80">
        <v>25.0</v>
      </c>
      <c r="F2065" s="80">
        <v>0.0</v>
      </c>
      <c r="G2065" s="32">
        <f t="shared" si="11"/>
        <v>6250</v>
      </c>
      <c r="H2065" s="32"/>
      <c r="I2065" s="32"/>
      <c r="J2065" s="32"/>
    </row>
    <row r="2066" hidden="1">
      <c r="A2066" s="34" t="s">
        <v>354</v>
      </c>
      <c r="B2066" s="278"/>
      <c r="C2066" s="278"/>
      <c r="D2066" s="278" t="s">
        <v>711</v>
      </c>
      <c r="E2066" s="80">
        <v>13.0</v>
      </c>
      <c r="F2066" s="80">
        <v>0.0</v>
      </c>
      <c r="G2066" s="32">
        <f t="shared" si="11"/>
        <v>3250</v>
      </c>
      <c r="H2066" s="32"/>
      <c r="I2066" s="32"/>
      <c r="J2066" s="32"/>
    </row>
    <row r="2067" hidden="1">
      <c r="A2067" s="34" t="s">
        <v>354</v>
      </c>
      <c r="B2067" s="278"/>
      <c r="C2067" s="278"/>
      <c r="D2067" s="278" t="s">
        <v>663</v>
      </c>
      <c r="E2067" s="80">
        <v>23.0</v>
      </c>
      <c r="F2067" s="80">
        <v>1.0</v>
      </c>
      <c r="G2067" s="32">
        <f t="shared" si="11"/>
        <v>5850</v>
      </c>
      <c r="H2067" s="32"/>
      <c r="I2067" s="32"/>
      <c r="J2067" s="32"/>
    </row>
    <row r="2068" hidden="1">
      <c r="A2068" s="34" t="s">
        <v>354</v>
      </c>
      <c r="B2068" s="278"/>
      <c r="C2068" s="278"/>
      <c r="D2068" s="278" t="s">
        <v>699</v>
      </c>
      <c r="E2068" s="80">
        <v>8.0</v>
      </c>
      <c r="F2068" s="80">
        <v>1.0</v>
      </c>
      <c r="G2068" s="32">
        <f t="shared" si="11"/>
        <v>2100</v>
      </c>
      <c r="H2068" s="32"/>
      <c r="I2068" s="32"/>
      <c r="J2068" s="32"/>
    </row>
    <row r="2069" hidden="1">
      <c r="A2069" s="34" t="s">
        <v>354</v>
      </c>
      <c r="B2069" s="278"/>
      <c r="C2069" s="278"/>
      <c r="D2069" s="278" t="s">
        <v>684</v>
      </c>
      <c r="E2069" s="80">
        <v>14.0</v>
      </c>
      <c r="F2069" s="80">
        <v>0.0</v>
      </c>
      <c r="G2069" s="32">
        <f t="shared" si="11"/>
        <v>3500</v>
      </c>
      <c r="H2069" s="32"/>
      <c r="I2069" s="32"/>
      <c r="J2069" s="32"/>
    </row>
    <row r="2070" hidden="1">
      <c r="A2070" s="34" t="s">
        <v>354</v>
      </c>
      <c r="B2070" s="278"/>
      <c r="C2070" s="278"/>
      <c r="D2070" s="278" t="s">
        <v>693</v>
      </c>
      <c r="E2070" s="80">
        <v>18.0</v>
      </c>
      <c r="F2070" s="80">
        <v>0.0</v>
      </c>
      <c r="G2070" s="32">
        <f t="shared" si="11"/>
        <v>4500</v>
      </c>
      <c r="H2070" s="32"/>
      <c r="I2070" s="32"/>
      <c r="J2070" s="32"/>
    </row>
    <row r="2071" hidden="1">
      <c r="A2071" s="34" t="s">
        <v>354</v>
      </c>
      <c r="B2071" s="278"/>
      <c r="C2071" s="278"/>
      <c r="D2071" s="278" t="s">
        <v>678</v>
      </c>
      <c r="E2071" s="80">
        <v>15.0</v>
      </c>
      <c r="F2071" s="80">
        <v>0.0</v>
      </c>
      <c r="G2071" s="32">
        <f t="shared" si="11"/>
        <v>3750</v>
      </c>
      <c r="H2071" s="32"/>
      <c r="I2071" s="32"/>
      <c r="J2071" s="32"/>
    </row>
    <row r="2072" hidden="1">
      <c r="A2072" s="34" t="s">
        <v>354</v>
      </c>
      <c r="B2072" s="278"/>
      <c r="C2072" s="278"/>
      <c r="D2072" s="278" t="s">
        <v>801</v>
      </c>
      <c r="E2072" s="80">
        <v>9.0</v>
      </c>
      <c r="F2072" s="80">
        <v>2.0</v>
      </c>
      <c r="G2072" s="32">
        <f t="shared" si="11"/>
        <v>2450</v>
      </c>
      <c r="H2072" s="32"/>
      <c r="I2072" s="32"/>
      <c r="J2072" s="32"/>
    </row>
    <row r="2073" hidden="1">
      <c r="A2073" s="34" t="s">
        <v>354</v>
      </c>
      <c r="B2073" s="278"/>
      <c r="C2073" s="278"/>
      <c r="D2073" s="278" t="s">
        <v>687</v>
      </c>
      <c r="E2073" s="80">
        <v>15.0</v>
      </c>
      <c r="F2073" s="80">
        <v>0.0</v>
      </c>
      <c r="G2073" s="32">
        <f t="shared" si="11"/>
        <v>3750</v>
      </c>
      <c r="H2073" s="32"/>
      <c r="I2073" s="32"/>
      <c r="J2073" s="32"/>
    </row>
    <row r="2074" hidden="1">
      <c r="A2074" s="34" t="s">
        <v>354</v>
      </c>
      <c r="B2074" s="278"/>
      <c r="C2074" s="278"/>
      <c r="D2074" s="278" t="s">
        <v>889</v>
      </c>
      <c r="E2074" s="80">
        <v>21.0</v>
      </c>
      <c r="F2074" s="80">
        <v>0.0</v>
      </c>
      <c r="G2074" s="32">
        <f t="shared" si="11"/>
        <v>5250</v>
      </c>
      <c r="H2074" s="32"/>
      <c r="I2074" s="32"/>
      <c r="J2074" s="32"/>
    </row>
    <row r="2075" hidden="1">
      <c r="A2075" s="34" t="s">
        <v>354</v>
      </c>
      <c r="B2075" s="278"/>
      <c r="C2075" s="278"/>
      <c r="D2075" s="278" t="s">
        <v>797</v>
      </c>
      <c r="E2075" s="80">
        <v>10.0</v>
      </c>
      <c r="F2075" s="80">
        <v>0.0</v>
      </c>
      <c r="G2075" s="32">
        <f t="shared" si="11"/>
        <v>2500</v>
      </c>
      <c r="H2075" s="32"/>
      <c r="I2075" s="32"/>
      <c r="J2075" s="32"/>
    </row>
    <row r="2076" hidden="1">
      <c r="A2076" s="34" t="s">
        <v>354</v>
      </c>
      <c r="B2076" s="278"/>
      <c r="C2076" s="278"/>
      <c r="D2076" s="278" t="s">
        <v>705</v>
      </c>
      <c r="E2076" s="80">
        <v>15.0</v>
      </c>
      <c r="F2076" s="80">
        <v>2.0</v>
      </c>
      <c r="G2076" s="32">
        <f t="shared" si="11"/>
        <v>3950</v>
      </c>
      <c r="H2076" s="32"/>
      <c r="I2076" s="32"/>
      <c r="J2076" s="32"/>
    </row>
    <row r="2077" hidden="1">
      <c r="A2077" s="34" t="s">
        <v>354</v>
      </c>
      <c r="B2077" s="278"/>
      <c r="C2077" s="278"/>
      <c r="D2077" s="278" t="s">
        <v>920</v>
      </c>
      <c r="E2077" s="80">
        <v>13.0</v>
      </c>
      <c r="F2077" s="80">
        <v>11.0</v>
      </c>
      <c r="G2077" s="32">
        <f t="shared" si="11"/>
        <v>4350</v>
      </c>
      <c r="H2077" s="32"/>
      <c r="I2077" s="32"/>
      <c r="J2077" s="32"/>
    </row>
    <row r="2078" hidden="1">
      <c r="A2078" s="34" t="s">
        <v>354</v>
      </c>
      <c r="B2078" s="278"/>
      <c r="C2078" s="278"/>
      <c r="D2078" s="278" t="s">
        <v>696</v>
      </c>
      <c r="E2078" s="80">
        <v>14.0</v>
      </c>
      <c r="F2078" s="80">
        <v>0.0</v>
      </c>
      <c r="G2078" s="32">
        <f t="shared" si="11"/>
        <v>3500</v>
      </c>
      <c r="H2078" s="32"/>
      <c r="I2078" s="32"/>
      <c r="J2078" s="32"/>
    </row>
    <row r="2079" hidden="1">
      <c r="A2079" s="34" t="s">
        <v>354</v>
      </c>
      <c r="B2079" s="278"/>
      <c r="C2079" s="278"/>
      <c r="D2079" s="278" t="s">
        <v>672</v>
      </c>
      <c r="E2079" s="80">
        <v>12.0</v>
      </c>
      <c r="F2079" s="80">
        <v>3.0</v>
      </c>
      <c r="G2079" s="32">
        <f t="shared" si="11"/>
        <v>3300</v>
      </c>
      <c r="H2079" s="32"/>
      <c r="I2079" s="32"/>
      <c r="J2079" s="32"/>
    </row>
    <row r="2080" hidden="1">
      <c r="A2080" s="34" t="s">
        <v>354</v>
      </c>
      <c r="B2080" s="278"/>
      <c r="C2080" s="278"/>
      <c r="D2080" s="278" t="s">
        <v>723</v>
      </c>
      <c r="E2080" s="80">
        <v>8.0</v>
      </c>
      <c r="F2080" s="80">
        <v>4.0</v>
      </c>
      <c r="G2080" s="32">
        <f t="shared" si="11"/>
        <v>2400</v>
      </c>
      <c r="H2080" s="32"/>
      <c r="I2080" s="32"/>
      <c r="J2080" s="32"/>
    </row>
    <row r="2081" hidden="1">
      <c r="A2081" s="34" t="s">
        <v>354</v>
      </c>
      <c r="B2081" s="278"/>
      <c r="C2081" s="278"/>
      <c r="D2081" s="278" t="s">
        <v>675</v>
      </c>
      <c r="E2081" s="80">
        <v>14.0</v>
      </c>
      <c r="F2081" s="80">
        <v>5.0</v>
      </c>
      <c r="G2081" s="32">
        <f t="shared" si="11"/>
        <v>4000</v>
      </c>
      <c r="H2081" s="32"/>
      <c r="I2081" s="32"/>
      <c r="J2081" s="32"/>
    </row>
    <row r="2082" hidden="1">
      <c r="A2082" s="34" t="s">
        <v>354</v>
      </c>
      <c r="B2082" s="278"/>
      <c r="C2082" s="278"/>
      <c r="D2082" s="278" t="s">
        <v>708</v>
      </c>
      <c r="E2082" s="80">
        <v>11.0</v>
      </c>
      <c r="F2082" s="80">
        <v>1.0</v>
      </c>
      <c r="G2082" s="32">
        <f t="shared" si="11"/>
        <v>2850</v>
      </c>
      <c r="H2082" s="32"/>
      <c r="I2082" s="32"/>
      <c r="J2082" s="32"/>
    </row>
    <row r="2083" hidden="1">
      <c r="A2083" s="34" t="s">
        <v>354</v>
      </c>
      <c r="B2083" s="278"/>
      <c r="C2083" s="278"/>
      <c r="D2083" s="278" t="s">
        <v>714</v>
      </c>
      <c r="E2083" s="80">
        <v>10.0</v>
      </c>
      <c r="F2083" s="80">
        <v>2.0</v>
      </c>
      <c r="G2083" s="32">
        <f t="shared" si="11"/>
        <v>2700</v>
      </c>
      <c r="H2083" s="32"/>
      <c r="I2083" s="32"/>
      <c r="J2083" s="32"/>
    </row>
    <row r="2084" hidden="1">
      <c r="A2084" s="34" t="s">
        <v>354</v>
      </c>
      <c r="B2084" s="278"/>
      <c r="C2084" s="278"/>
      <c r="D2084" s="278" t="s">
        <v>717</v>
      </c>
      <c r="E2084" s="80">
        <v>11.0</v>
      </c>
      <c r="F2084" s="80">
        <v>0.0</v>
      </c>
      <c r="G2084" s="32">
        <f t="shared" si="11"/>
        <v>2750</v>
      </c>
      <c r="H2084" s="32"/>
      <c r="I2084" s="32"/>
      <c r="J2084" s="32"/>
    </row>
    <row r="2085" hidden="1">
      <c r="A2085" s="34" t="s">
        <v>354</v>
      </c>
      <c r="B2085" s="278"/>
      <c r="C2085" s="278"/>
      <c r="D2085" s="278" t="s">
        <v>720</v>
      </c>
      <c r="E2085" s="80">
        <v>10.0</v>
      </c>
      <c r="F2085" s="80">
        <v>1.0</v>
      </c>
      <c r="G2085" s="32">
        <f t="shared" si="11"/>
        <v>2600</v>
      </c>
      <c r="H2085" s="32"/>
      <c r="I2085" s="32"/>
      <c r="J2085" s="32"/>
    </row>
    <row r="2086" hidden="1">
      <c r="A2086" s="34" t="s">
        <v>354</v>
      </c>
      <c r="B2086" s="278"/>
      <c r="C2086" s="278"/>
      <c r="D2086" s="278" t="s">
        <v>906</v>
      </c>
      <c r="E2086" s="80">
        <v>7.0</v>
      </c>
      <c r="F2086" s="80">
        <v>7.0</v>
      </c>
      <c r="G2086" s="32">
        <f t="shared" si="11"/>
        <v>2450</v>
      </c>
      <c r="H2086" s="32"/>
      <c r="I2086" s="32"/>
      <c r="J2086" s="32"/>
    </row>
    <row r="2087" hidden="1">
      <c r="A2087" s="34" t="s">
        <v>354</v>
      </c>
      <c r="B2087" s="278"/>
      <c r="C2087" s="278"/>
      <c r="D2087" s="278" t="s">
        <v>900</v>
      </c>
      <c r="E2087" s="80">
        <v>8.0</v>
      </c>
      <c r="F2087" s="80">
        <v>0.0</v>
      </c>
      <c r="G2087" s="32">
        <f t="shared" si="11"/>
        <v>2000</v>
      </c>
      <c r="H2087" s="32"/>
      <c r="I2087" s="32"/>
      <c r="J2087" s="32"/>
    </row>
    <row r="2088" hidden="1">
      <c r="A2088" s="34" t="s">
        <v>354</v>
      </c>
      <c r="B2088" s="278"/>
      <c r="C2088" s="278"/>
      <c r="D2088" s="278" t="s">
        <v>726</v>
      </c>
      <c r="E2088" s="80">
        <v>10.0</v>
      </c>
      <c r="F2088" s="80">
        <v>0.0</v>
      </c>
      <c r="G2088" s="32">
        <f t="shared" si="11"/>
        <v>2500</v>
      </c>
      <c r="H2088" s="32"/>
      <c r="I2088" s="32"/>
      <c r="J2088" s="32"/>
    </row>
    <row r="2089" hidden="1">
      <c r="A2089" s="34" t="s">
        <v>354</v>
      </c>
      <c r="B2089" s="278"/>
      <c r="C2089" s="278"/>
      <c r="D2089" s="278" t="s">
        <v>904</v>
      </c>
      <c r="E2089" s="80">
        <v>6.0</v>
      </c>
      <c r="F2089" s="80">
        <v>0.0</v>
      </c>
      <c r="G2089" s="32">
        <f t="shared" si="11"/>
        <v>1500</v>
      </c>
      <c r="H2089" s="32"/>
      <c r="I2089" s="32"/>
      <c r="J2089" s="32"/>
    </row>
    <row r="2090" hidden="1">
      <c r="A2090" s="34" t="s">
        <v>354</v>
      </c>
      <c r="B2090" s="278"/>
      <c r="C2090" s="278"/>
      <c r="D2090" s="278" t="s">
        <v>915</v>
      </c>
      <c r="E2090" s="80">
        <v>3.0</v>
      </c>
      <c r="F2090" s="80">
        <v>0.0</v>
      </c>
      <c r="G2090" s="32">
        <f t="shared" si="11"/>
        <v>750</v>
      </c>
      <c r="H2090" s="32"/>
      <c r="I2090" s="32"/>
      <c r="J2090" s="32"/>
    </row>
    <row r="2091" hidden="1">
      <c r="A2091" s="34" t="s">
        <v>354</v>
      </c>
      <c r="B2091" s="275"/>
      <c r="C2091" s="275"/>
      <c r="D2091" s="275" t="s">
        <v>907</v>
      </c>
      <c r="E2091" s="80">
        <v>0.0</v>
      </c>
      <c r="F2091" s="80">
        <v>0.0</v>
      </c>
      <c r="G2091" s="32">
        <f t="shared" si="11"/>
        <v>0</v>
      </c>
      <c r="H2091" s="32"/>
      <c r="I2091" s="32"/>
      <c r="J2091" s="32"/>
    </row>
    <row r="2092" hidden="1">
      <c r="A2092" s="34" t="s">
        <v>354</v>
      </c>
      <c r="B2092" s="278"/>
      <c r="C2092" s="278"/>
      <c r="D2092" s="278" t="s">
        <v>769</v>
      </c>
      <c r="E2092" s="80">
        <v>8.0</v>
      </c>
      <c r="F2092" s="80">
        <v>1.0</v>
      </c>
      <c r="G2092" s="32">
        <f t="shared" si="11"/>
        <v>2100</v>
      </c>
      <c r="H2092" s="32"/>
      <c r="I2092" s="32"/>
      <c r="J2092" s="32"/>
    </row>
    <row r="2093" hidden="1">
      <c r="A2093" s="34" t="s">
        <v>354</v>
      </c>
      <c r="B2093" s="278"/>
      <c r="C2093" s="278"/>
      <c r="D2093" s="278" t="s">
        <v>732</v>
      </c>
      <c r="E2093" s="80">
        <v>17.0</v>
      </c>
      <c r="F2093" s="80">
        <v>0.0</v>
      </c>
      <c r="G2093" s="32">
        <f t="shared" si="11"/>
        <v>4250</v>
      </c>
      <c r="H2093" s="32"/>
      <c r="I2093" s="32"/>
      <c r="J2093" s="32"/>
    </row>
    <row r="2094" hidden="1">
      <c r="A2094" s="34" t="s">
        <v>354</v>
      </c>
      <c r="B2094" s="278"/>
      <c r="C2094" s="278"/>
      <c r="D2094" s="278" t="s">
        <v>790</v>
      </c>
      <c r="E2094" s="80">
        <v>5.0</v>
      </c>
      <c r="F2094" s="80">
        <v>0.0</v>
      </c>
      <c r="G2094" s="32">
        <f t="shared" si="11"/>
        <v>1250</v>
      </c>
      <c r="H2094" s="32"/>
      <c r="I2094" s="32"/>
      <c r="J2094" s="32"/>
    </row>
    <row r="2095" hidden="1">
      <c r="A2095" s="34" t="s">
        <v>354</v>
      </c>
      <c r="B2095" s="278"/>
      <c r="C2095" s="278"/>
      <c r="D2095" s="278" t="s">
        <v>744</v>
      </c>
      <c r="E2095" s="80">
        <v>8.0</v>
      </c>
      <c r="F2095" s="80">
        <v>1.0</v>
      </c>
      <c r="G2095" s="32">
        <f t="shared" si="11"/>
        <v>2100</v>
      </c>
      <c r="H2095" s="32"/>
      <c r="I2095" s="32"/>
      <c r="J2095" s="32"/>
    </row>
    <row r="2096" hidden="1">
      <c r="A2096" s="34" t="s">
        <v>354</v>
      </c>
      <c r="B2096" s="278"/>
      <c r="C2096" s="278"/>
      <c r="D2096" s="278" t="s">
        <v>750</v>
      </c>
      <c r="E2096" s="80">
        <v>11.0</v>
      </c>
      <c r="F2096" s="80">
        <v>0.0</v>
      </c>
      <c r="G2096" s="32">
        <f t="shared" si="11"/>
        <v>2750</v>
      </c>
      <c r="H2096" s="32"/>
      <c r="I2096" s="32"/>
      <c r="J2096" s="32"/>
    </row>
    <row r="2097" hidden="1">
      <c r="A2097" s="34" t="s">
        <v>354</v>
      </c>
      <c r="B2097" s="278"/>
      <c r="C2097" s="278"/>
      <c r="D2097" s="278" t="s">
        <v>896</v>
      </c>
      <c r="E2097" s="80">
        <v>8.0</v>
      </c>
      <c r="F2097" s="80">
        <v>0.0</v>
      </c>
      <c r="G2097" s="32">
        <f t="shared" si="11"/>
        <v>2000</v>
      </c>
      <c r="H2097" s="32"/>
      <c r="I2097" s="32"/>
      <c r="J2097" s="32"/>
    </row>
    <row r="2098" hidden="1">
      <c r="A2098" s="34" t="s">
        <v>354</v>
      </c>
      <c r="B2098" s="278"/>
      <c r="C2098" s="278"/>
      <c r="D2098" s="278" t="s">
        <v>729</v>
      </c>
      <c r="E2098" s="80">
        <v>7.0</v>
      </c>
      <c r="F2098" s="80">
        <v>0.0</v>
      </c>
      <c r="G2098" s="32">
        <f t="shared" si="11"/>
        <v>1750</v>
      </c>
      <c r="H2098" s="32"/>
      <c r="I2098" s="32"/>
      <c r="J2098" s="32"/>
    </row>
    <row r="2099" hidden="1">
      <c r="A2099" s="34" t="s">
        <v>354</v>
      </c>
      <c r="B2099" s="278"/>
      <c r="C2099" s="278"/>
      <c r="D2099" s="278" t="s">
        <v>917</v>
      </c>
      <c r="E2099" s="80">
        <v>5.0</v>
      </c>
      <c r="F2099" s="80">
        <v>0.0</v>
      </c>
      <c r="G2099" s="32">
        <f t="shared" si="11"/>
        <v>1250</v>
      </c>
      <c r="H2099" s="32"/>
      <c r="I2099" s="32"/>
      <c r="J2099" s="32"/>
    </row>
    <row r="2100" hidden="1">
      <c r="A2100" s="34" t="s">
        <v>354</v>
      </c>
      <c r="B2100" s="278"/>
      <c r="C2100" s="278"/>
      <c r="D2100" s="278" t="s">
        <v>738</v>
      </c>
      <c r="E2100" s="80">
        <v>7.0</v>
      </c>
      <c r="F2100" s="80">
        <v>0.0</v>
      </c>
      <c r="G2100" s="32">
        <f t="shared" si="11"/>
        <v>1750</v>
      </c>
      <c r="H2100" s="32"/>
      <c r="I2100" s="32"/>
      <c r="J2100" s="32"/>
    </row>
    <row r="2101" hidden="1">
      <c r="A2101" s="34" t="s">
        <v>354</v>
      </c>
      <c r="B2101" s="278"/>
      <c r="C2101" s="278"/>
      <c r="D2101" s="278" t="s">
        <v>735</v>
      </c>
      <c r="E2101" s="80">
        <v>11.0</v>
      </c>
      <c r="F2101" s="80">
        <v>0.0</v>
      </c>
      <c r="G2101" s="32">
        <f t="shared" si="11"/>
        <v>2750</v>
      </c>
      <c r="H2101" s="32"/>
      <c r="I2101" s="32"/>
      <c r="J2101" s="32"/>
    </row>
    <row r="2102" hidden="1">
      <c r="A2102" s="34" t="s">
        <v>354</v>
      </c>
      <c r="B2102" s="278"/>
      <c r="C2102" s="278"/>
      <c r="D2102" s="278" t="s">
        <v>741</v>
      </c>
      <c r="E2102" s="80">
        <v>7.0</v>
      </c>
      <c r="F2102" s="80">
        <v>0.0</v>
      </c>
      <c r="G2102" s="32">
        <f t="shared" si="11"/>
        <v>1750</v>
      </c>
      <c r="H2102" s="32"/>
      <c r="I2102" s="32"/>
      <c r="J2102" s="32"/>
    </row>
    <row r="2103" hidden="1">
      <c r="A2103" s="104" t="s">
        <v>355</v>
      </c>
      <c r="B2103" s="279"/>
      <c r="C2103" s="279"/>
      <c r="D2103" s="279" t="s">
        <v>921</v>
      </c>
      <c r="E2103" s="104">
        <v>38.0</v>
      </c>
      <c r="F2103" s="104">
        <v>18.0</v>
      </c>
      <c r="G2103" s="280">
        <f t="shared" si="11"/>
        <v>11300</v>
      </c>
    </row>
    <row r="2104" hidden="1">
      <c r="A2104" s="104" t="s">
        <v>355</v>
      </c>
      <c r="B2104" s="279"/>
      <c r="C2104" s="279"/>
      <c r="D2104" s="279" t="s">
        <v>922</v>
      </c>
      <c r="E2104" s="104">
        <v>35.0</v>
      </c>
      <c r="F2104" s="104">
        <v>2.0</v>
      </c>
      <c r="G2104" s="280">
        <f t="shared" si="11"/>
        <v>8950</v>
      </c>
    </row>
    <row r="2105" hidden="1">
      <c r="A2105" s="104" t="s">
        <v>355</v>
      </c>
      <c r="B2105" s="279"/>
      <c r="C2105" s="279"/>
      <c r="D2105" s="279" t="s">
        <v>923</v>
      </c>
      <c r="E2105" s="104">
        <v>33.0</v>
      </c>
      <c r="F2105" s="104">
        <v>0.0</v>
      </c>
      <c r="G2105" s="280">
        <f t="shared" si="11"/>
        <v>8250</v>
      </c>
    </row>
    <row r="2106" hidden="1">
      <c r="A2106" s="104" t="s">
        <v>355</v>
      </c>
      <c r="B2106" s="279"/>
      <c r="C2106" s="279"/>
      <c r="D2106" s="279" t="s">
        <v>924</v>
      </c>
      <c r="E2106" s="104">
        <v>31.0</v>
      </c>
      <c r="F2106" s="104">
        <v>1.0</v>
      </c>
      <c r="G2106" s="280">
        <f t="shared" si="11"/>
        <v>7850</v>
      </c>
    </row>
    <row r="2107" hidden="1">
      <c r="A2107" s="104" t="s">
        <v>355</v>
      </c>
      <c r="B2107" s="279"/>
      <c r="C2107" s="279"/>
      <c r="D2107" s="279" t="s">
        <v>925</v>
      </c>
      <c r="E2107" s="104">
        <v>27.0</v>
      </c>
      <c r="F2107" s="104">
        <v>4.0</v>
      </c>
      <c r="G2107" s="280">
        <f t="shared" si="11"/>
        <v>7150</v>
      </c>
    </row>
    <row r="2108" hidden="1">
      <c r="A2108" s="104" t="s">
        <v>355</v>
      </c>
      <c r="B2108" s="279"/>
      <c r="C2108" s="279"/>
      <c r="D2108" s="279" t="s">
        <v>926</v>
      </c>
      <c r="E2108" s="104">
        <v>25.0</v>
      </c>
      <c r="F2108" s="104">
        <v>0.0</v>
      </c>
      <c r="G2108" s="280">
        <f t="shared" si="11"/>
        <v>6250</v>
      </c>
    </row>
    <row r="2109" hidden="1">
      <c r="A2109" s="104" t="s">
        <v>355</v>
      </c>
      <c r="B2109" s="279"/>
      <c r="C2109" s="279"/>
      <c r="D2109" s="279" t="s">
        <v>927</v>
      </c>
      <c r="E2109" s="104">
        <v>23.0</v>
      </c>
      <c r="F2109" s="104">
        <v>0.0</v>
      </c>
      <c r="G2109" s="280">
        <f t="shared" si="11"/>
        <v>5750</v>
      </c>
    </row>
    <row r="2110" hidden="1">
      <c r="A2110" s="104" t="s">
        <v>355</v>
      </c>
      <c r="B2110" s="279"/>
      <c r="C2110" s="279"/>
      <c r="D2110" s="279" t="s">
        <v>928</v>
      </c>
      <c r="E2110" s="104">
        <v>22.0</v>
      </c>
      <c r="F2110" s="104">
        <v>0.0</v>
      </c>
      <c r="G2110" s="280">
        <f t="shared" si="11"/>
        <v>5500</v>
      </c>
    </row>
    <row r="2111" hidden="1">
      <c r="A2111" s="104" t="s">
        <v>355</v>
      </c>
      <c r="B2111" s="279"/>
      <c r="C2111" s="279"/>
      <c r="D2111" s="279" t="s">
        <v>929</v>
      </c>
      <c r="E2111" s="104">
        <v>21.0</v>
      </c>
      <c r="F2111" s="104">
        <v>1.0</v>
      </c>
      <c r="G2111" s="280">
        <f t="shared" si="11"/>
        <v>5350</v>
      </c>
    </row>
    <row r="2112" hidden="1">
      <c r="A2112" s="104" t="s">
        <v>355</v>
      </c>
      <c r="B2112" s="279"/>
      <c r="C2112" s="279"/>
      <c r="D2112" s="279" t="s">
        <v>930</v>
      </c>
      <c r="E2112" s="104">
        <v>21.0</v>
      </c>
      <c r="F2112" s="104">
        <v>0.0</v>
      </c>
      <c r="G2112" s="280">
        <f t="shared" si="11"/>
        <v>5250</v>
      </c>
    </row>
    <row r="2113" hidden="1">
      <c r="A2113" s="104" t="s">
        <v>355</v>
      </c>
      <c r="B2113" s="279"/>
      <c r="C2113" s="279"/>
      <c r="D2113" s="279" t="s">
        <v>931</v>
      </c>
      <c r="E2113" s="104">
        <v>21.0</v>
      </c>
      <c r="F2113" s="104">
        <v>0.0</v>
      </c>
      <c r="G2113" s="280">
        <f t="shared" si="11"/>
        <v>5250</v>
      </c>
    </row>
    <row r="2114" hidden="1">
      <c r="A2114" s="104" t="s">
        <v>355</v>
      </c>
      <c r="B2114" s="279"/>
      <c r="C2114" s="279"/>
      <c r="D2114" s="279" t="s">
        <v>932</v>
      </c>
      <c r="E2114" s="104">
        <v>20.0</v>
      </c>
      <c r="F2114" s="104">
        <v>0.0</v>
      </c>
      <c r="G2114" s="280">
        <f t="shared" si="11"/>
        <v>5000</v>
      </c>
    </row>
    <row r="2115" hidden="1">
      <c r="A2115" s="104" t="s">
        <v>355</v>
      </c>
      <c r="B2115" s="279"/>
      <c r="C2115" s="279"/>
      <c r="D2115" s="279" t="s">
        <v>933</v>
      </c>
      <c r="E2115" s="104">
        <v>18.0</v>
      </c>
      <c r="F2115" s="104">
        <v>3.0</v>
      </c>
      <c r="G2115" s="280">
        <f t="shared" si="11"/>
        <v>4800</v>
      </c>
    </row>
    <row r="2116" hidden="1">
      <c r="A2116" s="104" t="s">
        <v>355</v>
      </c>
      <c r="B2116" s="279"/>
      <c r="C2116" s="279"/>
      <c r="D2116" s="279" t="s">
        <v>934</v>
      </c>
      <c r="E2116" s="104">
        <v>16.0</v>
      </c>
      <c r="F2116" s="104">
        <v>8.0</v>
      </c>
      <c r="G2116" s="280">
        <f t="shared" si="11"/>
        <v>4800</v>
      </c>
    </row>
    <row r="2117" hidden="1">
      <c r="A2117" s="104" t="s">
        <v>355</v>
      </c>
      <c r="B2117" s="279"/>
      <c r="C2117" s="279"/>
      <c r="D2117" s="279" t="s">
        <v>935</v>
      </c>
      <c r="E2117" s="104">
        <v>15.0</v>
      </c>
      <c r="F2117" s="104">
        <v>0.0</v>
      </c>
      <c r="G2117" s="280">
        <f t="shared" si="11"/>
        <v>3750</v>
      </c>
    </row>
    <row r="2118" hidden="1">
      <c r="A2118" s="104" t="s">
        <v>355</v>
      </c>
      <c r="B2118" s="279"/>
      <c r="C2118" s="279"/>
      <c r="D2118" s="279" t="s">
        <v>936</v>
      </c>
      <c r="E2118" s="104">
        <v>15.0</v>
      </c>
      <c r="F2118" s="104">
        <v>0.0</v>
      </c>
      <c r="G2118" s="280">
        <f t="shared" si="11"/>
        <v>3750</v>
      </c>
    </row>
    <row r="2119" hidden="1">
      <c r="A2119" s="104" t="s">
        <v>355</v>
      </c>
      <c r="B2119" s="279"/>
      <c r="C2119" s="279"/>
      <c r="D2119" s="279" t="s">
        <v>937</v>
      </c>
      <c r="E2119" s="104">
        <v>14.0</v>
      </c>
      <c r="F2119" s="104">
        <v>0.0</v>
      </c>
      <c r="G2119" s="280">
        <f t="shared" si="11"/>
        <v>3500</v>
      </c>
    </row>
    <row r="2120" hidden="1">
      <c r="A2120" s="104" t="s">
        <v>355</v>
      </c>
      <c r="B2120" s="279"/>
      <c r="C2120" s="279"/>
      <c r="D2120" s="279" t="s">
        <v>938</v>
      </c>
      <c r="E2120" s="104">
        <v>14.0</v>
      </c>
      <c r="F2120" s="104">
        <v>1.0</v>
      </c>
      <c r="G2120" s="280">
        <f t="shared" si="11"/>
        <v>3600</v>
      </c>
    </row>
    <row r="2121" hidden="1">
      <c r="A2121" s="104" t="s">
        <v>355</v>
      </c>
      <c r="B2121" s="279"/>
      <c r="C2121" s="279"/>
      <c r="D2121" s="279" t="s">
        <v>939</v>
      </c>
      <c r="E2121" s="104">
        <v>14.0</v>
      </c>
      <c r="F2121" s="104">
        <v>11.0</v>
      </c>
      <c r="G2121" s="280">
        <f t="shared" si="11"/>
        <v>4600</v>
      </c>
    </row>
    <row r="2122" hidden="1">
      <c r="A2122" s="104" t="s">
        <v>355</v>
      </c>
      <c r="B2122" s="279"/>
      <c r="C2122" s="279"/>
      <c r="D2122" s="279" t="s">
        <v>940</v>
      </c>
      <c r="E2122" s="104">
        <v>14.0</v>
      </c>
      <c r="F2122" s="104">
        <v>0.0</v>
      </c>
      <c r="G2122" s="280">
        <f t="shared" si="11"/>
        <v>3500</v>
      </c>
    </row>
    <row r="2123" hidden="1">
      <c r="A2123" s="104" t="s">
        <v>355</v>
      </c>
      <c r="B2123" s="279"/>
      <c r="C2123" s="279"/>
      <c r="D2123" s="279" t="s">
        <v>941</v>
      </c>
      <c r="E2123" s="104">
        <v>13.0</v>
      </c>
      <c r="F2123" s="104">
        <v>2.0</v>
      </c>
      <c r="G2123" s="280">
        <f t="shared" si="11"/>
        <v>3450</v>
      </c>
    </row>
    <row r="2124" hidden="1">
      <c r="A2124" s="104" t="s">
        <v>355</v>
      </c>
      <c r="B2124" s="279"/>
      <c r="C2124" s="279"/>
      <c r="D2124" s="279" t="s">
        <v>942</v>
      </c>
      <c r="E2124" s="104">
        <v>13.0</v>
      </c>
      <c r="F2124" s="104">
        <v>11.0</v>
      </c>
      <c r="G2124" s="280">
        <f t="shared" si="11"/>
        <v>4350</v>
      </c>
    </row>
    <row r="2125" hidden="1">
      <c r="A2125" s="104" t="s">
        <v>355</v>
      </c>
      <c r="B2125" s="279"/>
      <c r="C2125" s="279"/>
      <c r="D2125" s="279" t="s">
        <v>943</v>
      </c>
      <c r="E2125" s="104">
        <v>12.0</v>
      </c>
      <c r="F2125" s="104">
        <v>1.0</v>
      </c>
      <c r="G2125" s="280">
        <f t="shared" si="11"/>
        <v>3100</v>
      </c>
    </row>
    <row r="2126" hidden="1">
      <c r="A2126" s="104" t="s">
        <v>355</v>
      </c>
      <c r="B2126" s="279"/>
      <c r="C2126" s="279"/>
      <c r="D2126" s="279" t="s">
        <v>944</v>
      </c>
      <c r="E2126" s="104">
        <v>12.0</v>
      </c>
      <c r="F2126" s="104">
        <v>5.0</v>
      </c>
      <c r="G2126" s="280">
        <f t="shared" si="11"/>
        <v>3500</v>
      </c>
    </row>
    <row r="2127" hidden="1">
      <c r="A2127" s="104" t="s">
        <v>355</v>
      </c>
      <c r="B2127" s="279"/>
      <c r="C2127" s="279"/>
      <c r="D2127" s="279" t="s">
        <v>945</v>
      </c>
      <c r="E2127" s="104">
        <v>12.0</v>
      </c>
      <c r="F2127" s="104">
        <v>2.0</v>
      </c>
      <c r="G2127" s="280">
        <f t="shared" si="11"/>
        <v>3200</v>
      </c>
    </row>
    <row r="2128" hidden="1">
      <c r="A2128" s="104" t="s">
        <v>355</v>
      </c>
      <c r="B2128" s="279"/>
      <c r="C2128" s="279"/>
      <c r="D2128" s="279" t="s">
        <v>946</v>
      </c>
      <c r="E2128" s="104">
        <v>12.0</v>
      </c>
      <c r="F2128" s="104">
        <v>0.0</v>
      </c>
      <c r="G2128" s="280">
        <f t="shared" si="11"/>
        <v>3000</v>
      </c>
    </row>
    <row r="2129" hidden="1">
      <c r="A2129" s="104" t="s">
        <v>355</v>
      </c>
      <c r="B2129" s="279"/>
      <c r="C2129" s="279"/>
      <c r="D2129" s="279" t="s">
        <v>947</v>
      </c>
      <c r="E2129" s="104">
        <v>11.0</v>
      </c>
      <c r="F2129" s="104">
        <v>0.0</v>
      </c>
      <c r="G2129" s="280">
        <f t="shared" si="11"/>
        <v>2750</v>
      </c>
    </row>
    <row r="2130" hidden="1">
      <c r="A2130" s="104" t="s">
        <v>355</v>
      </c>
      <c r="B2130" s="279"/>
      <c r="C2130" s="279"/>
      <c r="D2130" s="279" t="s">
        <v>948</v>
      </c>
      <c r="E2130" s="104">
        <v>11.0</v>
      </c>
      <c r="F2130" s="104">
        <v>6.0</v>
      </c>
      <c r="G2130" s="280">
        <f t="shared" si="11"/>
        <v>3350</v>
      </c>
    </row>
    <row r="2131" hidden="1">
      <c r="A2131" s="104" t="s">
        <v>355</v>
      </c>
      <c r="B2131" s="279"/>
      <c r="C2131" s="279"/>
      <c r="D2131" s="279" t="s">
        <v>949</v>
      </c>
      <c r="E2131" s="104">
        <v>11.0</v>
      </c>
      <c r="F2131" s="104">
        <v>0.0</v>
      </c>
      <c r="G2131" s="280">
        <f t="shared" si="11"/>
        <v>2750</v>
      </c>
    </row>
    <row r="2132" hidden="1">
      <c r="A2132" s="104" t="s">
        <v>355</v>
      </c>
      <c r="B2132" s="279"/>
      <c r="C2132" s="279"/>
      <c r="D2132" s="279" t="s">
        <v>950</v>
      </c>
      <c r="E2132" s="104">
        <v>10.0</v>
      </c>
      <c r="F2132" s="104">
        <v>1.0</v>
      </c>
      <c r="G2132" s="280">
        <f t="shared" si="11"/>
        <v>2600</v>
      </c>
    </row>
    <row r="2133" hidden="1">
      <c r="A2133" s="104" t="s">
        <v>355</v>
      </c>
      <c r="B2133" s="279"/>
      <c r="C2133" s="279"/>
      <c r="D2133" s="279" t="s">
        <v>951</v>
      </c>
      <c r="E2133" s="104">
        <v>7.0</v>
      </c>
      <c r="F2133" s="104">
        <v>0.0</v>
      </c>
      <c r="G2133" s="280">
        <f t="shared" si="11"/>
        <v>1750</v>
      </c>
    </row>
    <row r="2134" hidden="1">
      <c r="A2134" s="104" t="s">
        <v>355</v>
      </c>
      <c r="B2134" s="279"/>
      <c r="C2134" s="279"/>
      <c r="D2134" s="279" t="s">
        <v>952</v>
      </c>
      <c r="E2134" s="104">
        <v>6.0</v>
      </c>
      <c r="F2134" s="104">
        <v>0.0</v>
      </c>
      <c r="G2134" s="280">
        <f t="shared" si="11"/>
        <v>1500</v>
      </c>
    </row>
    <row r="2135" hidden="1">
      <c r="A2135" s="104" t="s">
        <v>355</v>
      </c>
      <c r="B2135" s="279"/>
      <c r="C2135" s="279"/>
      <c r="D2135" s="279" t="s">
        <v>907</v>
      </c>
      <c r="E2135" s="104">
        <v>0.0</v>
      </c>
      <c r="F2135" s="104">
        <v>0.0</v>
      </c>
      <c r="G2135" s="280">
        <f t="shared" si="11"/>
        <v>0</v>
      </c>
    </row>
    <row r="2136" hidden="1">
      <c r="A2136" s="104" t="s">
        <v>355</v>
      </c>
      <c r="B2136" s="279"/>
      <c r="C2136" s="279"/>
      <c r="D2136" s="279" t="s">
        <v>953</v>
      </c>
      <c r="E2136" s="104">
        <v>16.0</v>
      </c>
      <c r="F2136" s="104">
        <v>3.0</v>
      </c>
      <c r="G2136" s="280">
        <f t="shared" si="11"/>
        <v>4300</v>
      </c>
    </row>
    <row r="2137" hidden="1">
      <c r="A2137" s="104" t="s">
        <v>355</v>
      </c>
      <c r="B2137" s="279"/>
      <c r="C2137" s="279"/>
      <c r="D2137" s="279" t="s">
        <v>954</v>
      </c>
      <c r="E2137" s="104">
        <v>13.0</v>
      </c>
      <c r="F2137" s="104">
        <v>0.0</v>
      </c>
      <c r="G2137" s="280">
        <f t="shared" si="11"/>
        <v>3250</v>
      </c>
    </row>
    <row r="2138" hidden="1">
      <c r="A2138" s="104" t="s">
        <v>355</v>
      </c>
      <c r="B2138" s="279"/>
      <c r="C2138" s="279"/>
      <c r="D2138" s="279" t="s">
        <v>955</v>
      </c>
      <c r="E2138" s="104">
        <v>12.0</v>
      </c>
      <c r="F2138" s="104">
        <v>4.0</v>
      </c>
      <c r="G2138" s="280">
        <f t="shared" si="11"/>
        <v>3400</v>
      </c>
    </row>
    <row r="2139" hidden="1">
      <c r="A2139" s="104" t="s">
        <v>355</v>
      </c>
      <c r="B2139" s="279"/>
      <c r="C2139" s="279"/>
      <c r="D2139" s="279" t="s">
        <v>956</v>
      </c>
      <c r="E2139" s="104">
        <v>11.0</v>
      </c>
      <c r="F2139" s="104">
        <v>1.0</v>
      </c>
      <c r="G2139" s="280">
        <f t="shared" si="11"/>
        <v>2850</v>
      </c>
    </row>
    <row r="2140" hidden="1">
      <c r="A2140" s="104" t="s">
        <v>355</v>
      </c>
      <c r="B2140" s="279"/>
      <c r="C2140" s="279"/>
      <c r="D2140" s="279" t="s">
        <v>957</v>
      </c>
      <c r="E2140" s="104">
        <v>11.0</v>
      </c>
      <c r="F2140" s="104">
        <v>0.0</v>
      </c>
      <c r="G2140" s="280">
        <f t="shared" si="11"/>
        <v>2750</v>
      </c>
    </row>
    <row r="2141" hidden="1">
      <c r="A2141" s="104" t="s">
        <v>355</v>
      </c>
      <c r="B2141" s="279"/>
      <c r="C2141" s="279"/>
      <c r="D2141" s="279" t="s">
        <v>958</v>
      </c>
      <c r="E2141" s="104">
        <v>10.0</v>
      </c>
      <c r="F2141" s="104">
        <v>0.0</v>
      </c>
      <c r="G2141" s="280">
        <f t="shared" si="11"/>
        <v>2500</v>
      </c>
    </row>
    <row r="2142" hidden="1">
      <c r="A2142" s="104" t="s">
        <v>355</v>
      </c>
      <c r="B2142" s="279"/>
      <c r="C2142" s="279"/>
      <c r="D2142" s="279" t="s">
        <v>959</v>
      </c>
      <c r="E2142" s="104">
        <v>4.0</v>
      </c>
      <c r="F2142" s="104">
        <v>0.0</v>
      </c>
      <c r="G2142" s="280">
        <f t="shared" si="11"/>
        <v>1000</v>
      </c>
    </row>
    <row r="2143" hidden="1">
      <c r="A2143" s="104" t="s">
        <v>355</v>
      </c>
      <c r="B2143" s="279"/>
      <c r="C2143" s="279"/>
      <c r="D2143" s="279" t="s">
        <v>960</v>
      </c>
      <c r="E2143" s="104">
        <v>3.0</v>
      </c>
      <c r="F2143" s="104">
        <v>0.0</v>
      </c>
      <c r="G2143" s="280">
        <f t="shared" si="11"/>
        <v>750</v>
      </c>
    </row>
    <row r="2144" hidden="1">
      <c r="A2144" s="104" t="s">
        <v>355</v>
      </c>
      <c r="B2144" s="279"/>
      <c r="C2144" s="279"/>
      <c r="D2144" s="279" t="s">
        <v>961</v>
      </c>
      <c r="E2144" s="104">
        <v>1.0</v>
      </c>
      <c r="F2144" s="104">
        <v>0.0</v>
      </c>
      <c r="G2144" s="280">
        <f t="shared" si="11"/>
        <v>250</v>
      </c>
    </row>
    <row r="2145" hidden="1">
      <c r="A2145" s="104" t="s">
        <v>355</v>
      </c>
      <c r="B2145" s="279"/>
      <c r="C2145" s="279"/>
      <c r="D2145" s="279" t="s">
        <v>962</v>
      </c>
      <c r="E2145" s="104">
        <v>1.0</v>
      </c>
      <c r="F2145" s="104">
        <v>0.0</v>
      </c>
      <c r="G2145" s="280">
        <f t="shared" si="11"/>
        <v>250</v>
      </c>
    </row>
    <row r="2146" hidden="1">
      <c r="A2146" s="104" t="s">
        <v>355</v>
      </c>
      <c r="B2146" s="279"/>
      <c r="C2146" s="279"/>
      <c r="D2146" s="279" t="s">
        <v>963</v>
      </c>
      <c r="E2146" s="104">
        <v>1.0</v>
      </c>
      <c r="F2146" s="104">
        <v>0.0</v>
      </c>
      <c r="G2146" s="280">
        <f t="shared" si="11"/>
        <v>250</v>
      </c>
    </row>
    <row r="2147" hidden="1">
      <c r="A2147" s="104" t="s">
        <v>382</v>
      </c>
      <c r="B2147" s="104"/>
      <c r="C2147" s="104"/>
      <c r="D2147" s="104" t="s">
        <v>921</v>
      </c>
      <c r="E2147" s="104">
        <v>35.0</v>
      </c>
      <c r="F2147" s="104">
        <v>15.0</v>
      </c>
      <c r="G2147" s="280">
        <f t="shared" si="11"/>
        <v>10250</v>
      </c>
    </row>
    <row r="2148" hidden="1">
      <c r="A2148" s="104" t="s">
        <v>382</v>
      </c>
      <c r="B2148" s="104"/>
      <c r="C2148" s="104"/>
      <c r="D2148" s="104" t="s">
        <v>964</v>
      </c>
      <c r="E2148" s="104">
        <v>31.0</v>
      </c>
      <c r="F2148" s="104">
        <v>0.0</v>
      </c>
      <c r="G2148" s="280">
        <f t="shared" si="11"/>
        <v>7750</v>
      </c>
    </row>
    <row r="2149" hidden="1">
      <c r="A2149" s="104" t="s">
        <v>382</v>
      </c>
      <c r="B2149" s="104"/>
      <c r="C2149" s="104"/>
      <c r="D2149" s="104" t="s">
        <v>924</v>
      </c>
      <c r="E2149" s="104">
        <v>29.0</v>
      </c>
      <c r="F2149" s="104">
        <v>0.0</v>
      </c>
      <c r="G2149" s="280">
        <f t="shared" si="11"/>
        <v>7250</v>
      </c>
    </row>
    <row r="2150" hidden="1">
      <c r="A2150" s="104" t="s">
        <v>382</v>
      </c>
      <c r="B2150" s="104"/>
      <c r="C2150" s="104"/>
      <c r="D2150" s="104" t="s">
        <v>929</v>
      </c>
      <c r="E2150" s="104">
        <v>25.0</v>
      </c>
      <c r="F2150" s="104">
        <v>0.0</v>
      </c>
      <c r="G2150" s="280">
        <f t="shared" si="11"/>
        <v>6250</v>
      </c>
    </row>
    <row r="2151" hidden="1">
      <c r="A2151" s="104" t="s">
        <v>382</v>
      </c>
      <c r="B2151" s="104"/>
      <c r="C2151" s="104"/>
      <c r="D2151" s="104" t="s">
        <v>965</v>
      </c>
      <c r="E2151" s="104">
        <v>22.0</v>
      </c>
      <c r="F2151" s="104">
        <v>0.0</v>
      </c>
      <c r="G2151" s="280">
        <f t="shared" si="11"/>
        <v>5500</v>
      </c>
    </row>
    <row r="2152" hidden="1">
      <c r="A2152" s="104" t="s">
        <v>382</v>
      </c>
      <c r="B2152" s="104"/>
      <c r="C2152" s="104"/>
      <c r="D2152" s="104" t="s">
        <v>925</v>
      </c>
      <c r="E2152" s="104">
        <v>21.0</v>
      </c>
      <c r="F2152" s="104">
        <v>1.0</v>
      </c>
      <c r="G2152" s="280">
        <f t="shared" si="11"/>
        <v>5350</v>
      </c>
    </row>
    <row r="2153" hidden="1">
      <c r="A2153" s="104" t="s">
        <v>382</v>
      </c>
      <c r="B2153" s="104"/>
      <c r="C2153" s="104"/>
      <c r="D2153" s="104" t="s">
        <v>922</v>
      </c>
      <c r="E2153" s="104">
        <v>20.0</v>
      </c>
      <c r="F2153" s="104">
        <v>5.0</v>
      </c>
      <c r="G2153" s="280">
        <f t="shared" si="11"/>
        <v>5500</v>
      </c>
    </row>
    <row r="2154" hidden="1">
      <c r="A2154" s="104" t="s">
        <v>382</v>
      </c>
      <c r="B2154" s="104"/>
      <c r="C2154" s="104"/>
      <c r="D2154" s="104" t="s">
        <v>966</v>
      </c>
      <c r="E2154" s="104">
        <v>18.0</v>
      </c>
      <c r="F2154" s="104">
        <v>0.0</v>
      </c>
      <c r="G2154" s="280">
        <f t="shared" si="11"/>
        <v>4500</v>
      </c>
    </row>
    <row r="2155" hidden="1">
      <c r="A2155" s="104" t="s">
        <v>382</v>
      </c>
      <c r="B2155" s="104"/>
      <c r="C2155" s="104"/>
      <c r="D2155" s="104" t="s">
        <v>933</v>
      </c>
      <c r="E2155" s="104">
        <v>18.0</v>
      </c>
      <c r="F2155" s="104">
        <v>0.0</v>
      </c>
      <c r="G2155" s="280">
        <f t="shared" si="11"/>
        <v>4500</v>
      </c>
    </row>
    <row r="2156" hidden="1">
      <c r="A2156" s="104" t="s">
        <v>382</v>
      </c>
      <c r="B2156" s="104"/>
      <c r="C2156" s="104"/>
      <c r="D2156" s="104" t="s">
        <v>947</v>
      </c>
      <c r="E2156" s="104">
        <v>16.0</v>
      </c>
      <c r="F2156" s="104">
        <v>1.0</v>
      </c>
      <c r="G2156" s="280">
        <f t="shared" si="11"/>
        <v>4100</v>
      </c>
    </row>
    <row r="2157" hidden="1">
      <c r="A2157" s="104" t="s">
        <v>382</v>
      </c>
      <c r="B2157" s="104"/>
      <c r="C2157" s="104"/>
      <c r="D2157" s="104" t="s">
        <v>938</v>
      </c>
      <c r="E2157" s="104">
        <v>16.0</v>
      </c>
      <c r="F2157" s="104">
        <v>1.0</v>
      </c>
      <c r="G2157" s="280">
        <f t="shared" si="11"/>
        <v>4100</v>
      </c>
    </row>
    <row r="2158" hidden="1">
      <c r="A2158" s="104" t="s">
        <v>382</v>
      </c>
      <c r="B2158" s="104"/>
      <c r="C2158" s="104"/>
      <c r="D2158" s="104" t="s">
        <v>928</v>
      </c>
      <c r="E2158" s="104">
        <v>15.0</v>
      </c>
      <c r="F2158" s="104">
        <v>0.0</v>
      </c>
      <c r="G2158" s="280">
        <f t="shared" si="11"/>
        <v>3750</v>
      </c>
    </row>
    <row r="2159" hidden="1">
      <c r="A2159" s="104" t="s">
        <v>382</v>
      </c>
      <c r="B2159" s="104"/>
      <c r="C2159" s="104"/>
      <c r="D2159" s="104" t="s">
        <v>932</v>
      </c>
      <c r="E2159" s="104">
        <v>14.0</v>
      </c>
      <c r="F2159" s="104">
        <v>0.0</v>
      </c>
      <c r="G2159" s="280">
        <f t="shared" si="11"/>
        <v>3500</v>
      </c>
    </row>
    <row r="2160" hidden="1">
      <c r="A2160" s="104" t="s">
        <v>382</v>
      </c>
      <c r="B2160" s="104"/>
      <c r="C2160" s="104"/>
      <c r="D2160" s="104" t="s">
        <v>967</v>
      </c>
      <c r="E2160" s="104">
        <v>14.0</v>
      </c>
      <c r="F2160" s="104">
        <v>3.0</v>
      </c>
      <c r="G2160" s="280">
        <f t="shared" si="11"/>
        <v>3800</v>
      </c>
    </row>
    <row r="2161" hidden="1">
      <c r="A2161" s="104" t="s">
        <v>382</v>
      </c>
      <c r="B2161" s="104"/>
      <c r="C2161" s="104"/>
      <c r="D2161" s="104" t="s">
        <v>939</v>
      </c>
      <c r="E2161" s="104">
        <v>14.0</v>
      </c>
      <c r="F2161" s="104">
        <v>8.0</v>
      </c>
      <c r="G2161" s="280">
        <f t="shared" si="11"/>
        <v>4300</v>
      </c>
    </row>
    <row r="2162" hidden="1">
      <c r="A2162" s="104" t="s">
        <v>382</v>
      </c>
      <c r="B2162" s="104"/>
      <c r="C2162" s="104"/>
      <c r="D2162" s="104" t="s">
        <v>940</v>
      </c>
      <c r="E2162" s="104">
        <v>14.0</v>
      </c>
      <c r="F2162" s="104">
        <v>1.0</v>
      </c>
      <c r="G2162" s="280">
        <f t="shared" si="11"/>
        <v>3600</v>
      </c>
    </row>
    <row r="2163" hidden="1">
      <c r="A2163" s="104" t="s">
        <v>382</v>
      </c>
      <c r="B2163" s="104"/>
      <c r="C2163" s="104"/>
      <c r="D2163" s="104" t="s">
        <v>968</v>
      </c>
      <c r="E2163" s="104">
        <v>14.0</v>
      </c>
      <c r="F2163" s="104">
        <v>0.0</v>
      </c>
      <c r="G2163" s="280">
        <f t="shared" si="11"/>
        <v>3500</v>
      </c>
    </row>
    <row r="2164" hidden="1">
      <c r="A2164" s="104" t="s">
        <v>382</v>
      </c>
      <c r="B2164" s="104"/>
      <c r="C2164" s="104"/>
      <c r="D2164" s="104" t="s">
        <v>969</v>
      </c>
      <c r="E2164" s="104">
        <v>13.0</v>
      </c>
      <c r="F2164" s="104">
        <v>0.0</v>
      </c>
      <c r="G2164" s="280">
        <f t="shared" si="11"/>
        <v>3250</v>
      </c>
    </row>
    <row r="2165" hidden="1">
      <c r="A2165" s="104" t="s">
        <v>382</v>
      </c>
      <c r="B2165" s="104"/>
      <c r="C2165" s="104"/>
      <c r="D2165" s="104" t="s">
        <v>935</v>
      </c>
      <c r="E2165" s="104">
        <v>13.0</v>
      </c>
      <c r="F2165" s="104">
        <v>0.0</v>
      </c>
      <c r="G2165" s="280">
        <f t="shared" si="11"/>
        <v>3250</v>
      </c>
    </row>
    <row r="2166" hidden="1">
      <c r="A2166" s="104" t="s">
        <v>382</v>
      </c>
      <c r="B2166" s="104"/>
      <c r="C2166" s="104"/>
      <c r="D2166" s="104" t="s">
        <v>941</v>
      </c>
      <c r="E2166" s="104">
        <v>12.0</v>
      </c>
      <c r="F2166" s="104">
        <v>0.0</v>
      </c>
      <c r="G2166" s="280">
        <f t="shared" si="11"/>
        <v>3000</v>
      </c>
    </row>
    <row r="2167" hidden="1">
      <c r="A2167" s="104" t="s">
        <v>382</v>
      </c>
      <c r="B2167" s="104"/>
      <c r="C2167" s="104"/>
      <c r="D2167" s="104" t="s">
        <v>953</v>
      </c>
      <c r="E2167" s="104">
        <v>12.0</v>
      </c>
      <c r="F2167" s="104">
        <v>4.0</v>
      </c>
      <c r="G2167" s="280">
        <f t="shared" si="11"/>
        <v>3400</v>
      </c>
    </row>
    <row r="2168" hidden="1">
      <c r="A2168" s="104" t="s">
        <v>382</v>
      </c>
      <c r="B2168" s="104"/>
      <c r="C2168" s="104"/>
      <c r="D2168" s="104" t="s">
        <v>970</v>
      </c>
      <c r="E2168" s="104">
        <v>12.0</v>
      </c>
      <c r="F2168" s="104">
        <v>0.0</v>
      </c>
      <c r="G2168" s="280">
        <f t="shared" si="11"/>
        <v>3000</v>
      </c>
    </row>
    <row r="2169" hidden="1">
      <c r="A2169" s="104" t="s">
        <v>382</v>
      </c>
      <c r="B2169" s="104"/>
      <c r="C2169" s="104"/>
      <c r="D2169" s="104" t="s">
        <v>971</v>
      </c>
      <c r="E2169" s="104">
        <v>13.0</v>
      </c>
      <c r="F2169" s="104">
        <v>0.0</v>
      </c>
      <c r="G2169" s="280">
        <f t="shared" si="11"/>
        <v>3250</v>
      </c>
    </row>
    <row r="2170" hidden="1">
      <c r="A2170" s="104" t="s">
        <v>382</v>
      </c>
      <c r="B2170" s="104"/>
      <c r="C2170" s="104"/>
      <c r="D2170" s="104" t="s">
        <v>972</v>
      </c>
      <c r="E2170" s="104">
        <v>13.0</v>
      </c>
      <c r="F2170" s="104">
        <v>5.0</v>
      </c>
      <c r="G2170" s="280">
        <f t="shared" si="11"/>
        <v>3750</v>
      </c>
    </row>
    <row r="2171" hidden="1">
      <c r="A2171" s="104" t="s">
        <v>382</v>
      </c>
      <c r="B2171" s="104"/>
      <c r="C2171" s="104"/>
      <c r="D2171" s="104" t="s">
        <v>945</v>
      </c>
      <c r="E2171" s="104">
        <v>11.0</v>
      </c>
      <c r="F2171" s="104">
        <v>1.0</v>
      </c>
      <c r="G2171" s="280">
        <f t="shared" si="11"/>
        <v>2850</v>
      </c>
    </row>
    <row r="2172" hidden="1">
      <c r="A2172" s="104" t="s">
        <v>382</v>
      </c>
      <c r="B2172" s="104"/>
      <c r="C2172" s="104"/>
      <c r="D2172" s="104" t="s">
        <v>949</v>
      </c>
      <c r="E2172" s="104">
        <v>11.0</v>
      </c>
      <c r="F2172" s="104">
        <v>0.0</v>
      </c>
      <c r="G2172" s="280">
        <f t="shared" si="11"/>
        <v>2750</v>
      </c>
    </row>
    <row r="2173" hidden="1">
      <c r="A2173" s="104" t="s">
        <v>382</v>
      </c>
      <c r="B2173" s="104"/>
      <c r="C2173" s="104"/>
      <c r="D2173" s="104" t="s">
        <v>973</v>
      </c>
      <c r="E2173" s="104">
        <v>10.0</v>
      </c>
      <c r="F2173" s="104">
        <v>5.0</v>
      </c>
      <c r="G2173" s="280">
        <f t="shared" si="11"/>
        <v>3000</v>
      </c>
    </row>
    <row r="2174" hidden="1">
      <c r="A2174" s="104" t="s">
        <v>382</v>
      </c>
      <c r="B2174" s="104"/>
      <c r="C2174" s="104"/>
      <c r="D2174" s="104" t="s">
        <v>974</v>
      </c>
      <c r="E2174" s="104">
        <v>10.0</v>
      </c>
      <c r="F2174" s="104">
        <v>0.0</v>
      </c>
      <c r="G2174" s="280">
        <f t="shared" si="11"/>
        <v>2500</v>
      </c>
    </row>
    <row r="2175" hidden="1">
      <c r="A2175" s="104" t="s">
        <v>382</v>
      </c>
      <c r="B2175" s="104"/>
      <c r="C2175" s="104"/>
      <c r="D2175" s="104" t="s">
        <v>975</v>
      </c>
      <c r="E2175" s="104">
        <v>10.0</v>
      </c>
      <c r="F2175" s="104">
        <v>0.0</v>
      </c>
      <c r="G2175" s="280">
        <f t="shared" si="11"/>
        <v>2500</v>
      </c>
    </row>
    <row r="2176" hidden="1">
      <c r="A2176" s="104" t="s">
        <v>382</v>
      </c>
      <c r="B2176" s="104"/>
      <c r="C2176" s="104"/>
      <c r="D2176" s="104" t="s">
        <v>950</v>
      </c>
      <c r="E2176" s="104">
        <v>8.0</v>
      </c>
      <c r="F2176" s="104">
        <v>0.0</v>
      </c>
      <c r="G2176" s="280">
        <f t="shared" si="11"/>
        <v>2000</v>
      </c>
    </row>
    <row r="2177" hidden="1">
      <c r="A2177" s="104" t="s">
        <v>382</v>
      </c>
      <c r="B2177" s="104"/>
      <c r="C2177" s="104"/>
      <c r="D2177" s="104" t="s">
        <v>942</v>
      </c>
      <c r="E2177" s="104">
        <v>6.0</v>
      </c>
      <c r="F2177" s="104">
        <v>4.0</v>
      </c>
      <c r="G2177" s="280">
        <f t="shared" si="11"/>
        <v>1900</v>
      </c>
    </row>
    <row r="2178" hidden="1">
      <c r="A2178" s="104" t="s">
        <v>382</v>
      </c>
      <c r="B2178" s="104"/>
      <c r="C2178" s="104"/>
      <c r="D2178" s="104" t="s">
        <v>976</v>
      </c>
      <c r="E2178" s="104">
        <v>4.0</v>
      </c>
      <c r="F2178" s="104">
        <v>0.0</v>
      </c>
      <c r="G2178" s="280">
        <f t="shared" si="11"/>
        <v>1000</v>
      </c>
    </row>
    <row r="2179" hidden="1">
      <c r="A2179" s="104" t="s">
        <v>382</v>
      </c>
      <c r="B2179" s="104"/>
      <c r="C2179" s="104"/>
      <c r="D2179" s="104" t="s">
        <v>907</v>
      </c>
      <c r="E2179" s="104">
        <v>0.0</v>
      </c>
      <c r="F2179" s="104">
        <v>0.0</v>
      </c>
      <c r="G2179" s="280">
        <f t="shared" si="11"/>
        <v>0</v>
      </c>
    </row>
    <row r="2180" hidden="1">
      <c r="A2180" s="104" t="s">
        <v>382</v>
      </c>
      <c r="B2180" s="104"/>
      <c r="C2180" s="104"/>
      <c r="D2180" s="104" t="s">
        <v>977</v>
      </c>
      <c r="E2180" s="104">
        <v>17.0</v>
      </c>
      <c r="F2180" s="104">
        <v>0.0</v>
      </c>
      <c r="G2180" s="280">
        <f t="shared" si="11"/>
        <v>4250</v>
      </c>
    </row>
    <row r="2181" hidden="1">
      <c r="A2181" s="104" t="s">
        <v>382</v>
      </c>
      <c r="B2181" s="104"/>
      <c r="C2181" s="104"/>
      <c r="D2181" s="104" t="s">
        <v>978</v>
      </c>
      <c r="E2181" s="104">
        <v>15.0</v>
      </c>
      <c r="F2181" s="104">
        <v>3.0</v>
      </c>
      <c r="G2181" s="280">
        <f t="shared" si="11"/>
        <v>4050</v>
      </c>
    </row>
    <row r="2182" hidden="1">
      <c r="A2182" s="104" t="s">
        <v>382</v>
      </c>
      <c r="B2182" s="281"/>
      <c r="C2182" s="281"/>
      <c r="D2182" s="281" t="s">
        <v>979</v>
      </c>
      <c r="E2182" s="281">
        <v>12.0</v>
      </c>
      <c r="F2182" s="281">
        <v>2.0</v>
      </c>
      <c r="G2182" s="280">
        <f t="shared" si="11"/>
        <v>3200</v>
      </c>
    </row>
    <row r="2183" hidden="1">
      <c r="A2183" s="104" t="s">
        <v>382</v>
      </c>
      <c r="B2183" s="281"/>
      <c r="C2183" s="281"/>
      <c r="D2183" s="281" t="s">
        <v>980</v>
      </c>
      <c r="E2183" s="281">
        <v>10.0</v>
      </c>
      <c r="F2183" s="281">
        <v>0.0</v>
      </c>
      <c r="G2183" s="280">
        <f t="shared" si="11"/>
        <v>2500</v>
      </c>
    </row>
    <row r="2184" hidden="1">
      <c r="A2184" s="104" t="s">
        <v>382</v>
      </c>
      <c r="B2184" s="281"/>
      <c r="C2184" s="281"/>
      <c r="D2184" s="281" t="s">
        <v>981</v>
      </c>
      <c r="E2184" s="281">
        <v>8.0</v>
      </c>
      <c r="F2184" s="281">
        <v>0.0</v>
      </c>
      <c r="G2184" s="280">
        <f t="shared" si="11"/>
        <v>2000</v>
      </c>
    </row>
    <row r="2185" hidden="1">
      <c r="A2185" s="104" t="s">
        <v>382</v>
      </c>
      <c r="B2185" s="281"/>
      <c r="C2185" s="281"/>
      <c r="D2185" s="281" t="s">
        <v>982</v>
      </c>
      <c r="E2185" s="281">
        <v>8.0</v>
      </c>
      <c r="F2185" s="281">
        <v>0.0</v>
      </c>
      <c r="G2185" s="280">
        <f t="shared" si="11"/>
        <v>2000</v>
      </c>
    </row>
    <row r="2186" hidden="1">
      <c r="A2186" s="104" t="s">
        <v>382</v>
      </c>
      <c r="B2186" s="281"/>
      <c r="C2186" s="281"/>
      <c r="D2186" s="281" t="s">
        <v>896</v>
      </c>
      <c r="E2186" s="281">
        <v>6.0</v>
      </c>
      <c r="F2186" s="281">
        <v>0.0</v>
      </c>
      <c r="G2186" s="280">
        <f t="shared" si="11"/>
        <v>1500</v>
      </c>
    </row>
    <row r="2187" hidden="1">
      <c r="A2187" s="104" t="s">
        <v>382</v>
      </c>
      <c r="B2187" s="281"/>
      <c r="C2187" s="281"/>
      <c r="D2187" s="281" t="s">
        <v>952</v>
      </c>
      <c r="E2187" s="281">
        <v>0.0</v>
      </c>
      <c r="F2187" s="281">
        <v>0.0</v>
      </c>
      <c r="G2187" s="280">
        <f t="shared" si="11"/>
        <v>0</v>
      </c>
    </row>
    <row r="2188">
      <c r="B2188" s="100"/>
      <c r="C2188" s="100"/>
      <c r="D2188" s="100"/>
      <c r="E2188" s="100"/>
      <c r="F2188" s="100"/>
    </row>
    <row r="2189">
      <c r="B2189" s="100"/>
      <c r="C2189" s="100"/>
      <c r="D2189" s="100"/>
      <c r="E2189" s="100"/>
      <c r="F2189" s="100"/>
    </row>
    <row r="2190">
      <c r="B2190" s="100"/>
      <c r="C2190" s="100"/>
      <c r="D2190" s="100"/>
      <c r="E2190" s="100"/>
      <c r="F2190" s="100"/>
    </row>
    <row r="2191">
      <c r="B2191" s="100"/>
      <c r="C2191" s="100"/>
      <c r="D2191" s="100"/>
      <c r="E2191" s="100"/>
      <c r="F2191" s="100"/>
    </row>
    <row r="2192">
      <c r="B2192" s="100"/>
      <c r="C2192" s="100"/>
      <c r="D2192" s="100"/>
      <c r="E2192" s="100"/>
      <c r="F2192" s="100"/>
    </row>
    <row r="2193">
      <c r="B2193" s="100"/>
      <c r="C2193" s="100"/>
      <c r="D2193" s="100"/>
      <c r="E2193" s="100"/>
      <c r="F2193" s="100"/>
    </row>
    <row r="2194">
      <c r="B2194" s="100"/>
      <c r="C2194" s="100"/>
      <c r="D2194" s="100"/>
      <c r="E2194" s="100"/>
      <c r="F2194" s="100"/>
    </row>
    <row r="2195">
      <c r="B2195" s="100"/>
      <c r="C2195" s="100"/>
      <c r="D2195" s="100"/>
      <c r="E2195" s="100"/>
      <c r="F2195" s="100"/>
    </row>
    <row r="2196">
      <c r="B2196" s="100"/>
      <c r="C2196" s="100"/>
      <c r="D2196" s="100"/>
      <c r="E2196" s="100"/>
      <c r="F2196" s="100"/>
    </row>
  </sheetData>
  <autoFilter ref="$A$4:$J$2187">
    <filterColumn colId="0">
      <filters>
        <filter val="Week 3/23/26 - 3/29/26"/>
      </filters>
    </filterColumn>
  </autoFilter>
  <mergeCells count="1">
    <mergeCell ref="A1:G1"/>
  </mergeCells>
  <dataValidations>
    <dataValidation type="list" allowBlank="1" showErrorMessage="1" sqref="A1167:A1221">
      <formula1>"Week 9/1/25 - 9/7/25"</formula1>
    </dataValidation>
    <dataValidation type="list" allowBlank="1" showErrorMessage="1" sqref="A873:A920">
      <formula1>"Week 10/13/25 - 10/19/25"</formula1>
    </dataValidation>
    <dataValidation type="list" allowBlank="1" showErrorMessage="1" sqref="A72:A75">
      <formula1>"Week 2/23/26 - 3/1/26"</formula1>
    </dataValidation>
    <dataValidation type="list" allowBlank="1" showErrorMessage="1" sqref="A1324:A1366">
      <formula1>"Week 8/11/25 - 8/17/25 "</formula1>
    </dataValidation>
    <dataValidation type="list" allowBlank="1" showErrorMessage="1" sqref="A1410:A1452">
      <formula1>"Week 7/28/25 - 8/3/25"</formula1>
    </dataValidation>
    <dataValidation type="list" allowBlank="1" showErrorMessage="1" sqref="A239:A291">
      <formula1>"Week 1/19/26 - 1/25/26"</formula1>
    </dataValidation>
    <dataValidation type="list" allowBlank="1" showErrorMessage="1" sqref="A921:A968">
      <formula1>"Week 10/6/25 - 10/12/25"</formula1>
    </dataValidation>
    <dataValidation type="list" allowBlank="1" showErrorMessage="1" sqref="A6:A55">
      <formula1>"Week 12/15/25 - 12/21/25"</formula1>
    </dataValidation>
    <dataValidation type="list" allowBlank="1" showErrorMessage="1" sqref="A80:A132">
      <formula1>"Week 2/9/26 - 2/15/26"</formula1>
    </dataValidation>
    <dataValidation type="list" allowBlank="1" showErrorMessage="1" sqref="A342:A391">
      <formula1>"Week 1/5/26 - 1/11/26"</formula1>
    </dataValidation>
    <dataValidation type="list" allowBlank="1" showErrorMessage="1" sqref="A76:A79">
      <formula1>"Week 2/16/26 - 2/22/26"</formula1>
    </dataValidation>
    <dataValidation type="list" allowBlank="1" showErrorMessage="1" sqref="A1367:A1409">
      <formula1>"Week 8/4/25 - 8/10/25"</formula1>
    </dataValidation>
    <dataValidation type="list" allowBlank="1" showErrorMessage="1" sqref="A486:A535">
      <formula1>"Week 12/8/25 - 12/14/25"</formula1>
    </dataValidation>
    <dataValidation type="list" allowBlank="1" showErrorMessage="1" sqref="A634:A682">
      <formula1>"Week 11/17/25 - 11/23/25"</formula1>
    </dataValidation>
    <dataValidation type="list" allowBlank="1" showErrorMessage="1" sqref="A1277:A1323">
      <formula1>"Week 8/18/25 - 8/24/25 "</formula1>
    </dataValidation>
    <dataValidation type="list" allowBlank="1" showErrorMessage="1" sqref="A292:A341">
      <formula1>"Week 1/12/26 - 1/18/26"</formula1>
    </dataValidation>
    <dataValidation type="list" allowBlank="1" showErrorMessage="1" sqref="A64:A67">
      <formula1>"Week 3/9/26 - 3/15/26"</formula1>
    </dataValidation>
    <dataValidation type="list" allowBlank="1" showErrorMessage="1" sqref="A392:A438">
      <formula1>"Week 12/29/25 - 1/4/26"</formula1>
    </dataValidation>
    <dataValidation type="list" allowBlank="1" showErrorMessage="1" sqref="A969:A1016">
      <formula1>"Week 9/29/25 - 10/5/25"</formula1>
    </dataValidation>
    <dataValidation type="list" allowBlank="1" showErrorMessage="1" sqref="A5 A827:A872">
      <formula1>"Week 10/20/25 - 10/26/25"</formula1>
    </dataValidation>
    <dataValidation type="list" allowBlank="1" showErrorMessage="1" sqref="A536:A585">
      <formula1>"Week 12/1/25 - 12/7/25"</formula1>
    </dataValidation>
    <dataValidation type="list" allowBlank="1" showErrorMessage="1" sqref="A68:A71">
      <formula1>"Week 3/2/26 - 3/8/26"</formula1>
    </dataValidation>
    <dataValidation type="list" allowBlank="1" showErrorMessage="1" sqref="A683:A730">
      <formula1>"Week 11/10/25 - 11/16/25"</formula1>
    </dataValidation>
    <dataValidation type="list" allowBlank="1" showErrorMessage="1" sqref="A779:A826">
      <formula1>"Week 10/27/25 - 11/2/25"</formula1>
    </dataValidation>
    <dataValidation type="list" allowBlank="1" showErrorMessage="1" sqref="A1017:A1064">
      <formula1>"Week 9/22/25 - 9/28/25"</formula1>
    </dataValidation>
    <dataValidation type="list" allowBlank="1" showErrorMessage="1" sqref="A186:A238">
      <formula1>"Week 1/26/26 - 2/1/26"</formula1>
    </dataValidation>
    <dataValidation type="list" allowBlank="1" showErrorMessage="1" sqref="A56:A59">
      <formula1>"Week 3/23/26 - 3/29/26"</formula1>
    </dataValidation>
    <dataValidation type="list" allowBlank="1" showErrorMessage="1" sqref="A731:A778">
      <formula1>"Week 11/3/25 - 11/9/25"</formula1>
    </dataValidation>
    <dataValidation type="list" allowBlank="1" showErrorMessage="1" sqref="A1112:A1166">
      <formula1>"Week 9/08/25 - 9/14/25"</formula1>
    </dataValidation>
    <dataValidation type="list" allowBlank="1" showErrorMessage="1" sqref="A1222:A1276">
      <formula1>"Week 8/25/25 - 8/31/25"</formula1>
    </dataValidation>
    <dataValidation type="list" allowBlank="1" showErrorMessage="1" sqref="A586:A633">
      <formula1>"Week 11/24/25 - 11/30/25"</formula1>
    </dataValidation>
    <dataValidation type="list" allowBlank="1" showErrorMessage="1" sqref="A1453:A2187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60:A63">
      <formula1>"Week 3/16/26 - 3/22/26"</formula1>
    </dataValidation>
    <dataValidation type="list" allowBlank="1" showErrorMessage="1" sqref="A1065:A1111">
      <formula1>"Week 9/15/25 - 9/21/25"</formula1>
    </dataValidation>
    <dataValidation type="list" allowBlank="1" showErrorMessage="1" sqref="A133:A185">
      <formula1>"Week 2/2/26 - 2/8/26"</formula1>
    </dataValidation>
    <dataValidation type="list" allowBlank="1" showErrorMessage="1" sqref="A439:A485">
      <formula1>"Week 12/22/25 - 12/28/25"</formula1>
    </dataValidation>
  </dataValidations>
  <hyperlinks>
    <hyperlink r:id="rId2" location="gid=920755828" ref="A2"/>
    <hyperlink r:id="rId3" location="gid=600816539" ref="A3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4" width="28.0"/>
    <col customWidth="1" min="8" max="8" width="28.88"/>
  </cols>
  <sheetData>
    <row r="1">
      <c r="A1" s="244" t="s">
        <v>983</v>
      </c>
      <c r="B1" s="282"/>
      <c r="C1" s="282"/>
      <c r="D1" s="282"/>
      <c r="E1" s="282"/>
      <c r="F1" s="282"/>
      <c r="G1" s="282"/>
      <c r="H1" s="282"/>
    </row>
    <row r="2">
      <c r="A2" s="283" t="s">
        <v>984</v>
      </c>
      <c r="B2" s="3"/>
      <c r="C2" s="3"/>
      <c r="D2" s="3"/>
      <c r="E2" s="3"/>
      <c r="F2" s="3"/>
      <c r="G2" s="3"/>
      <c r="H2" s="3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985</v>
      </c>
      <c r="F3" s="3" t="s">
        <v>986</v>
      </c>
      <c r="G3" s="3" t="s">
        <v>12</v>
      </c>
      <c r="H3" s="3"/>
    </row>
    <row r="4" hidden="1">
      <c r="A4" s="6" t="s">
        <v>254</v>
      </c>
      <c r="B4" s="16" t="s">
        <v>987</v>
      </c>
      <c r="C4" s="16" t="s">
        <v>988</v>
      </c>
      <c r="D4" s="16" t="s">
        <v>989</v>
      </c>
      <c r="E4" s="284">
        <v>0.0</v>
      </c>
      <c r="F4" s="88">
        <v>0.0</v>
      </c>
      <c r="G4" s="12">
        <f t="shared" ref="G4:G372" si="1">sum(E4*250)+(F4*250)</f>
        <v>0</v>
      </c>
      <c r="H4" s="13" t="str">
        <f t="shared" ref="H4:H200" si="2">E4 &amp; " ACA Signups + " &amp; F4 &amp; " Medicare Signups"</f>
        <v>0 ACA Signups + 0 Medicare Signups</v>
      </c>
    </row>
    <row r="5">
      <c r="A5" s="6" t="s">
        <v>242</v>
      </c>
      <c r="B5" s="16" t="s">
        <v>987</v>
      </c>
      <c r="C5" s="16" t="s">
        <v>988</v>
      </c>
      <c r="D5" s="16" t="s">
        <v>989</v>
      </c>
      <c r="E5" s="285">
        <v>0.0</v>
      </c>
      <c r="F5" s="76"/>
      <c r="G5" s="12">
        <f t="shared" si="1"/>
        <v>0</v>
      </c>
      <c r="H5" s="13" t="str">
        <f t="shared" si="2"/>
        <v>0 ACA Signups +  Medicare Signups</v>
      </c>
    </row>
    <row r="6">
      <c r="A6" s="6" t="s">
        <v>242</v>
      </c>
      <c r="B6" s="16" t="s">
        <v>990</v>
      </c>
      <c r="C6" s="16" t="s">
        <v>991</v>
      </c>
      <c r="D6" s="16" t="s">
        <v>992</v>
      </c>
      <c r="E6" s="285">
        <v>0.0</v>
      </c>
      <c r="F6" s="76"/>
      <c r="G6" s="12">
        <f t="shared" si="1"/>
        <v>0</v>
      </c>
      <c r="H6" s="13" t="str">
        <f t="shared" si="2"/>
        <v>0 ACA Signups +  Medicare Signups</v>
      </c>
    </row>
    <row r="7">
      <c r="A7" s="6" t="s">
        <v>242</v>
      </c>
      <c r="B7" s="16" t="s">
        <v>993</v>
      </c>
      <c r="C7" s="16" t="s">
        <v>994</v>
      </c>
      <c r="D7" s="16" t="s">
        <v>995</v>
      </c>
      <c r="E7" s="285">
        <v>0.0</v>
      </c>
      <c r="F7" s="76"/>
      <c r="G7" s="12">
        <f t="shared" si="1"/>
        <v>0</v>
      </c>
      <c r="H7" s="13" t="str">
        <f t="shared" si="2"/>
        <v>0 ACA Signups +  Medicare Signups</v>
      </c>
    </row>
    <row r="8">
      <c r="A8" s="6" t="s">
        <v>242</v>
      </c>
      <c r="B8" s="16" t="s">
        <v>996</v>
      </c>
      <c r="C8" s="16" t="s">
        <v>997</v>
      </c>
      <c r="D8" s="16" t="s">
        <v>998</v>
      </c>
      <c r="E8" s="285">
        <v>0.0</v>
      </c>
      <c r="F8" s="76"/>
      <c r="G8" s="12">
        <f t="shared" si="1"/>
        <v>0</v>
      </c>
      <c r="H8" s="13" t="str">
        <f t="shared" si="2"/>
        <v>0 ACA Signups +  Medicare Signups</v>
      </c>
    </row>
    <row r="9">
      <c r="A9" s="6" t="s">
        <v>242</v>
      </c>
      <c r="B9" s="16" t="s">
        <v>999</v>
      </c>
      <c r="C9" s="16" t="s">
        <v>1000</v>
      </c>
      <c r="D9" s="16" t="s">
        <v>1001</v>
      </c>
      <c r="E9" s="285">
        <v>0.0</v>
      </c>
      <c r="F9" s="76"/>
      <c r="G9" s="12">
        <f t="shared" si="1"/>
        <v>0</v>
      </c>
      <c r="H9" s="13" t="str">
        <f t="shared" si="2"/>
        <v>0 ACA Signups +  Medicare Signups</v>
      </c>
    </row>
    <row r="10">
      <c r="A10" s="6" t="s">
        <v>242</v>
      </c>
      <c r="B10" s="16" t="s">
        <v>1002</v>
      </c>
      <c r="C10" s="16" t="s">
        <v>1003</v>
      </c>
      <c r="D10" s="16" t="s">
        <v>1004</v>
      </c>
      <c r="E10" s="285">
        <v>0.0</v>
      </c>
      <c r="F10" s="76"/>
      <c r="G10" s="12">
        <f t="shared" si="1"/>
        <v>0</v>
      </c>
      <c r="H10" s="13" t="str">
        <f t="shared" si="2"/>
        <v>0 ACA Signups +  Medicare Signups</v>
      </c>
    </row>
    <row r="11">
      <c r="A11" s="6" t="s">
        <v>242</v>
      </c>
      <c r="B11" s="16" t="s">
        <v>1005</v>
      </c>
      <c r="C11" s="16" t="s">
        <v>1006</v>
      </c>
      <c r="D11" s="16" t="s">
        <v>1007</v>
      </c>
      <c r="E11" s="285">
        <v>0.0</v>
      </c>
      <c r="F11" s="76"/>
      <c r="G11" s="12">
        <f t="shared" si="1"/>
        <v>0</v>
      </c>
      <c r="H11" s="13" t="str">
        <f t="shared" si="2"/>
        <v>0 ACA Signups +  Medicare Signups</v>
      </c>
    </row>
    <row r="12" hidden="1">
      <c r="A12" s="6" t="s">
        <v>13</v>
      </c>
      <c r="B12" s="16" t="s">
        <v>987</v>
      </c>
      <c r="C12" s="16" t="s">
        <v>988</v>
      </c>
      <c r="D12" s="16" t="s">
        <v>989</v>
      </c>
      <c r="E12" s="205">
        <v>0.0</v>
      </c>
      <c r="F12" s="76"/>
      <c r="G12" s="12">
        <f t="shared" si="1"/>
        <v>0</v>
      </c>
      <c r="H12" s="13" t="str">
        <f t="shared" si="2"/>
        <v>0 ACA Signups +  Medicare Signups</v>
      </c>
    </row>
    <row r="13" hidden="1">
      <c r="A13" s="6" t="s">
        <v>13</v>
      </c>
      <c r="B13" s="16" t="s">
        <v>990</v>
      </c>
      <c r="C13" s="16" t="s">
        <v>991</v>
      </c>
      <c r="D13" s="16" t="s">
        <v>992</v>
      </c>
      <c r="E13" s="205">
        <v>0.0</v>
      </c>
      <c r="F13" s="76"/>
      <c r="G13" s="12">
        <f t="shared" si="1"/>
        <v>0</v>
      </c>
      <c r="H13" s="13" t="str">
        <f t="shared" si="2"/>
        <v>0 ACA Signups +  Medicare Signups</v>
      </c>
    </row>
    <row r="14" hidden="1">
      <c r="A14" s="6" t="s">
        <v>13</v>
      </c>
      <c r="B14" s="16" t="s">
        <v>993</v>
      </c>
      <c r="C14" s="16" t="s">
        <v>994</v>
      </c>
      <c r="D14" s="16" t="s">
        <v>995</v>
      </c>
      <c r="E14" s="205">
        <v>0.0</v>
      </c>
      <c r="F14" s="76"/>
      <c r="G14" s="12">
        <f t="shared" si="1"/>
        <v>0</v>
      </c>
      <c r="H14" s="13" t="str">
        <f t="shared" si="2"/>
        <v>0 ACA Signups +  Medicare Signups</v>
      </c>
    </row>
    <row r="15" hidden="1">
      <c r="A15" s="6" t="s">
        <v>13</v>
      </c>
      <c r="B15" s="16" t="s">
        <v>996</v>
      </c>
      <c r="C15" s="16" t="s">
        <v>997</v>
      </c>
      <c r="D15" s="16" t="s">
        <v>998</v>
      </c>
      <c r="E15" s="205">
        <v>0.0</v>
      </c>
      <c r="F15" s="76"/>
      <c r="G15" s="12">
        <f t="shared" si="1"/>
        <v>0</v>
      </c>
      <c r="H15" s="13" t="str">
        <f t="shared" si="2"/>
        <v>0 ACA Signups +  Medicare Signups</v>
      </c>
    </row>
    <row r="16" hidden="1">
      <c r="A16" s="6" t="s">
        <v>13</v>
      </c>
      <c r="B16" s="16" t="s">
        <v>999</v>
      </c>
      <c r="C16" s="16" t="s">
        <v>1000</v>
      </c>
      <c r="D16" s="16" t="s">
        <v>1001</v>
      </c>
      <c r="E16" s="205">
        <v>0.0</v>
      </c>
      <c r="F16" s="76"/>
      <c r="G16" s="12">
        <f t="shared" si="1"/>
        <v>0</v>
      </c>
      <c r="H16" s="13" t="str">
        <f t="shared" si="2"/>
        <v>0 ACA Signups +  Medicare Signups</v>
      </c>
    </row>
    <row r="17" hidden="1">
      <c r="A17" s="6" t="s">
        <v>13</v>
      </c>
      <c r="B17" s="16" t="s">
        <v>1002</v>
      </c>
      <c r="C17" s="16" t="s">
        <v>1003</v>
      </c>
      <c r="D17" s="16" t="s">
        <v>1004</v>
      </c>
      <c r="E17" s="205">
        <v>0.0</v>
      </c>
      <c r="F17" s="76"/>
      <c r="G17" s="12">
        <f t="shared" si="1"/>
        <v>0</v>
      </c>
      <c r="H17" s="13" t="str">
        <f t="shared" si="2"/>
        <v>0 ACA Signups +  Medicare Signups</v>
      </c>
    </row>
    <row r="18" hidden="1">
      <c r="A18" s="6" t="s">
        <v>13</v>
      </c>
      <c r="B18" s="16" t="s">
        <v>1005</v>
      </c>
      <c r="C18" s="16" t="s">
        <v>1006</v>
      </c>
      <c r="D18" s="16" t="s">
        <v>1007</v>
      </c>
      <c r="E18" s="205">
        <v>0.0</v>
      </c>
      <c r="F18" s="76"/>
      <c r="G18" s="12">
        <f t="shared" si="1"/>
        <v>0</v>
      </c>
      <c r="H18" s="13" t="str">
        <f t="shared" si="2"/>
        <v>0 ACA Signups +  Medicare Signups</v>
      </c>
    </row>
    <row r="19" hidden="1">
      <c r="A19" s="6" t="s">
        <v>203</v>
      </c>
      <c r="B19" s="16" t="s">
        <v>987</v>
      </c>
      <c r="C19" s="16" t="s">
        <v>988</v>
      </c>
      <c r="D19" s="16" t="s">
        <v>989</v>
      </c>
      <c r="E19" s="286"/>
      <c r="F19" s="76"/>
      <c r="G19" s="12">
        <f t="shared" si="1"/>
        <v>0</v>
      </c>
      <c r="H19" s="13" t="str">
        <f t="shared" si="2"/>
        <v> ACA Signups +  Medicare Signups</v>
      </c>
    </row>
    <row r="20" hidden="1">
      <c r="A20" s="6" t="s">
        <v>203</v>
      </c>
      <c r="B20" s="16" t="s">
        <v>990</v>
      </c>
      <c r="C20" s="16" t="s">
        <v>991</v>
      </c>
      <c r="D20" s="16" t="s">
        <v>992</v>
      </c>
      <c r="E20" s="287">
        <v>0.0</v>
      </c>
      <c r="F20" s="76"/>
      <c r="G20" s="12">
        <f t="shared" si="1"/>
        <v>0</v>
      </c>
      <c r="H20" s="13" t="str">
        <f t="shared" si="2"/>
        <v>0 ACA Signups +  Medicare Signups</v>
      </c>
    </row>
    <row r="21" hidden="1">
      <c r="A21" s="6" t="s">
        <v>203</v>
      </c>
      <c r="B21" s="16" t="s">
        <v>993</v>
      </c>
      <c r="C21" s="16" t="s">
        <v>994</v>
      </c>
      <c r="D21" s="16" t="s">
        <v>995</v>
      </c>
      <c r="E21" s="288">
        <v>1.0</v>
      </c>
      <c r="F21" s="76"/>
      <c r="G21" s="12">
        <f t="shared" si="1"/>
        <v>250</v>
      </c>
      <c r="H21" s="13" t="str">
        <f t="shared" si="2"/>
        <v>1 ACA Signups +  Medicare Signups</v>
      </c>
    </row>
    <row r="22" hidden="1">
      <c r="A22" s="6" t="s">
        <v>203</v>
      </c>
      <c r="B22" s="16" t="s">
        <v>996</v>
      </c>
      <c r="C22" s="16" t="s">
        <v>997</v>
      </c>
      <c r="D22" s="16" t="s">
        <v>998</v>
      </c>
      <c r="E22" s="286"/>
      <c r="F22" s="76"/>
      <c r="G22" s="12">
        <f t="shared" si="1"/>
        <v>0</v>
      </c>
      <c r="H22" s="13" t="str">
        <f t="shared" si="2"/>
        <v> ACA Signups +  Medicare Signups</v>
      </c>
    </row>
    <row r="23" hidden="1">
      <c r="A23" s="6" t="s">
        <v>203</v>
      </c>
      <c r="B23" s="16" t="s">
        <v>999</v>
      </c>
      <c r="C23" s="16" t="s">
        <v>1000</v>
      </c>
      <c r="D23" s="16" t="s">
        <v>1001</v>
      </c>
      <c r="E23" s="288">
        <v>1.0</v>
      </c>
      <c r="F23" s="76"/>
      <c r="G23" s="12">
        <f t="shared" si="1"/>
        <v>250</v>
      </c>
      <c r="H23" s="13" t="str">
        <f t="shared" si="2"/>
        <v>1 ACA Signups +  Medicare Signups</v>
      </c>
    </row>
    <row r="24" hidden="1">
      <c r="A24" s="6" t="s">
        <v>203</v>
      </c>
      <c r="B24" s="16" t="s">
        <v>1002</v>
      </c>
      <c r="C24" s="16" t="s">
        <v>1003</v>
      </c>
      <c r="D24" s="16" t="s">
        <v>1004</v>
      </c>
      <c r="E24" s="288">
        <v>2.0</v>
      </c>
      <c r="F24" s="76"/>
      <c r="G24" s="12">
        <f t="shared" si="1"/>
        <v>500</v>
      </c>
      <c r="H24" s="13" t="str">
        <f t="shared" si="2"/>
        <v>2 ACA Signups +  Medicare Signups</v>
      </c>
    </row>
    <row r="25" hidden="1">
      <c r="A25" s="6" t="s">
        <v>203</v>
      </c>
      <c r="B25" s="16" t="s">
        <v>1005</v>
      </c>
      <c r="C25" s="16" t="s">
        <v>1006</v>
      </c>
      <c r="D25" s="16" t="s">
        <v>1007</v>
      </c>
      <c r="E25" s="288">
        <v>2.0</v>
      </c>
      <c r="F25" s="76"/>
      <c r="G25" s="12">
        <f t="shared" si="1"/>
        <v>500</v>
      </c>
      <c r="H25" s="13" t="str">
        <f t="shared" si="2"/>
        <v>2 ACA Signups +  Medicare Signups</v>
      </c>
    </row>
    <row r="26" hidden="1">
      <c r="A26" s="6" t="s">
        <v>204</v>
      </c>
      <c r="B26" s="16" t="s">
        <v>987</v>
      </c>
      <c r="C26" s="16" t="s">
        <v>988</v>
      </c>
      <c r="D26" s="16" t="s">
        <v>989</v>
      </c>
      <c r="E26" s="288">
        <v>0.0</v>
      </c>
      <c r="F26" s="76"/>
      <c r="G26" s="12">
        <f t="shared" si="1"/>
        <v>0</v>
      </c>
      <c r="H26" s="13" t="str">
        <f t="shared" si="2"/>
        <v>0 ACA Signups +  Medicare Signups</v>
      </c>
    </row>
    <row r="27" hidden="1">
      <c r="A27" s="6" t="s">
        <v>204</v>
      </c>
      <c r="B27" s="16" t="s">
        <v>990</v>
      </c>
      <c r="C27" s="16" t="s">
        <v>991</v>
      </c>
      <c r="D27" s="16" t="s">
        <v>992</v>
      </c>
      <c r="E27" s="287">
        <v>0.0</v>
      </c>
      <c r="F27" s="76"/>
      <c r="G27" s="12">
        <f t="shared" si="1"/>
        <v>0</v>
      </c>
      <c r="H27" s="13" t="str">
        <f t="shared" si="2"/>
        <v>0 ACA Signups +  Medicare Signups</v>
      </c>
    </row>
    <row r="28" hidden="1">
      <c r="A28" s="6" t="s">
        <v>204</v>
      </c>
      <c r="B28" s="16" t="s">
        <v>993</v>
      </c>
      <c r="C28" s="16" t="s">
        <v>994</v>
      </c>
      <c r="D28" s="16" t="s">
        <v>995</v>
      </c>
      <c r="E28" s="269">
        <v>1.0</v>
      </c>
      <c r="F28" s="76"/>
      <c r="G28" s="12">
        <f t="shared" si="1"/>
        <v>250</v>
      </c>
      <c r="H28" s="13" t="str">
        <f t="shared" si="2"/>
        <v>1 ACA Signups +  Medicare Signups</v>
      </c>
    </row>
    <row r="29" hidden="1">
      <c r="A29" s="6" t="s">
        <v>204</v>
      </c>
      <c r="B29" s="16" t="s">
        <v>996</v>
      </c>
      <c r="C29" s="16" t="s">
        <v>997</v>
      </c>
      <c r="D29" s="16" t="s">
        <v>998</v>
      </c>
      <c r="E29" s="289">
        <v>0.0</v>
      </c>
      <c r="F29" s="76"/>
      <c r="G29" s="12">
        <f t="shared" si="1"/>
        <v>0</v>
      </c>
      <c r="H29" s="13" t="str">
        <f t="shared" si="2"/>
        <v>0 ACA Signups +  Medicare Signups</v>
      </c>
    </row>
    <row r="30" hidden="1">
      <c r="A30" s="6" t="s">
        <v>204</v>
      </c>
      <c r="B30" s="16" t="s">
        <v>999</v>
      </c>
      <c r="C30" s="16" t="s">
        <v>1000</v>
      </c>
      <c r="D30" s="16" t="s">
        <v>1001</v>
      </c>
      <c r="E30" s="269">
        <v>3.0</v>
      </c>
      <c r="F30" s="76"/>
      <c r="G30" s="12">
        <f t="shared" si="1"/>
        <v>750</v>
      </c>
      <c r="H30" s="13" t="str">
        <f t="shared" si="2"/>
        <v>3 ACA Signups +  Medicare Signups</v>
      </c>
    </row>
    <row r="31" hidden="1">
      <c r="A31" s="6" t="s">
        <v>204</v>
      </c>
      <c r="B31" s="16" t="s">
        <v>1002</v>
      </c>
      <c r="C31" s="16" t="s">
        <v>1003</v>
      </c>
      <c r="D31" s="16" t="s">
        <v>1004</v>
      </c>
      <c r="E31" s="269">
        <v>1.0</v>
      </c>
      <c r="F31" s="76"/>
      <c r="G31" s="12">
        <f t="shared" si="1"/>
        <v>250</v>
      </c>
      <c r="H31" s="13" t="str">
        <f t="shared" si="2"/>
        <v>1 ACA Signups +  Medicare Signups</v>
      </c>
    </row>
    <row r="32" hidden="1">
      <c r="A32" s="6" t="s">
        <v>204</v>
      </c>
      <c r="B32" s="16" t="s">
        <v>1005</v>
      </c>
      <c r="C32" s="16" t="s">
        <v>1006</v>
      </c>
      <c r="D32" s="16" t="s">
        <v>1007</v>
      </c>
      <c r="E32" s="269">
        <v>2.0</v>
      </c>
      <c r="F32" s="76"/>
      <c r="G32" s="12">
        <f t="shared" si="1"/>
        <v>500</v>
      </c>
      <c r="H32" s="13" t="str">
        <f t="shared" si="2"/>
        <v>2 ACA Signups +  Medicare Signups</v>
      </c>
    </row>
    <row r="33" hidden="1">
      <c r="A33" s="6" t="s">
        <v>205</v>
      </c>
      <c r="B33" s="16" t="s">
        <v>987</v>
      </c>
      <c r="C33" s="16" t="s">
        <v>988</v>
      </c>
      <c r="D33" s="16" t="s">
        <v>989</v>
      </c>
      <c r="E33" s="57"/>
      <c r="F33" s="76"/>
      <c r="G33" s="12">
        <f t="shared" si="1"/>
        <v>0</v>
      </c>
      <c r="H33" s="13" t="str">
        <f t="shared" si="2"/>
        <v> ACA Signups +  Medicare Signups</v>
      </c>
    </row>
    <row r="34" hidden="1">
      <c r="A34" s="6" t="s">
        <v>205</v>
      </c>
      <c r="B34" s="16" t="s">
        <v>990</v>
      </c>
      <c r="C34" s="16" t="s">
        <v>991</v>
      </c>
      <c r="D34" s="16" t="s">
        <v>992</v>
      </c>
      <c r="E34" s="290">
        <v>6.0</v>
      </c>
      <c r="F34" s="76"/>
      <c r="G34" s="12">
        <f t="shared" si="1"/>
        <v>1500</v>
      </c>
      <c r="H34" s="13" t="str">
        <f t="shared" si="2"/>
        <v>6 ACA Signups +  Medicare Signups</v>
      </c>
    </row>
    <row r="35" hidden="1">
      <c r="A35" s="6" t="s">
        <v>205</v>
      </c>
      <c r="B35" s="16" t="s">
        <v>993</v>
      </c>
      <c r="C35" s="16" t="s">
        <v>994</v>
      </c>
      <c r="D35" s="16" t="s">
        <v>995</v>
      </c>
      <c r="E35" s="291">
        <v>4.0</v>
      </c>
      <c r="F35" s="76"/>
      <c r="G35" s="12">
        <f t="shared" si="1"/>
        <v>1000</v>
      </c>
      <c r="H35" s="13" t="str">
        <f t="shared" si="2"/>
        <v>4 ACA Signups +  Medicare Signups</v>
      </c>
    </row>
    <row r="36" hidden="1">
      <c r="A36" s="6" t="s">
        <v>205</v>
      </c>
      <c r="B36" s="16" t="s">
        <v>996</v>
      </c>
      <c r="C36" s="16" t="s">
        <v>997</v>
      </c>
      <c r="D36" s="16" t="s">
        <v>998</v>
      </c>
      <c r="E36" s="57"/>
      <c r="F36" s="76"/>
      <c r="G36" s="12">
        <f t="shared" si="1"/>
        <v>0</v>
      </c>
      <c r="H36" s="13" t="str">
        <f t="shared" si="2"/>
        <v> ACA Signups +  Medicare Signups</v>
      </c>
    </row>
    <row r="37" hidden="1">
      <c r="A37" s="6" t="s">
        <v>205</v>
      </c>
      <c r="B37" s="16" t="s">
        <v>1008</v>
      </c>
      <c r="C37" s="16" t="s">
        <v>1009</v>
      </c>
      <c r="D37" s="16" t="s">
        <v>1010</v>
      </c>
      <c r="E37" s="286"/>
      <c r="F37" s="76"/>
      <c r="G37" s="12">
        <f t="shared" si="1"/>
        <v>0</v>
      </c>
      <c r="H37" s="13" t="str">
        <f t="shared" si="2"/>
        <v> ACA Signups +  Medicare Signups</v>
      </c>
    </row>
    <row r="38" hidden="1">
      <c r="A38" s="6" t="s">
        <v>205</v>
      </c>
      <c r="B38" s="16" t="s">
        <v>999</v>
      </c>
      <c r="C38" s="16" t="s">
        <v>1000</v>
      </c>
      <c r="D38" s="16" t="s">
        <v>1001</v>
      </c>
      <c r="E38" s="291">
        <v>14.0</v>
      </c>
      <c r="F38" s="76"/>
      <c r="G38" s="12">
        <f t="shared" si="1"/>
        <v>3500</v>
      </c>
      <c r="H38" s="13" t="str">
        <f t="shared" si="2"/>
        <v>14 ACA Signups +  Medicare Signups</v>
      </c>
    </row>
    <row r="39" hidden="1">
      <c r="A39" s="6" t="s">
        <v>205</v>
      </c>
      <c r="B39" s="16" t="s">
        <v>1002</v>
      </c>
      <c r="C39" s="16" t="s">
        <v>1003</v>
      </c>
      <c r="D39" s="16" t="s">
        <v>1004</v>
      </c>
      <c r="E39" s="291">
        <v>10.0</v>
      </c>
      <c r="F39" s="76"/>
      <c r="G39" s="12">
        <f t="shared" si="1"/>
        <v>2500</v>
      </c>
      <c r="H39" s="13" t="str">
        <f t="shared" si="2"/>
        <v>10 ACA Signups +  Medicare Signups</v>
      </c>
    </row>
    <row r="40" hidden="1">
      <c r="A40" s="6" t="s">
        <v>205</v>
      </c>
      <c r="B40" s="16" t="s">
        <v>1005</v>
      </c>
      <c r="C40" s="16" t="s">
        <v>1006</v>
      </c>
      <c r="D40" s="16" t="s">
        <v>1007</v>
      </c>
      <c r="E40" s="291">
        <v>8.0</v>
      </c>
      <c r="F40" s="76"/>
      <c r="G40" s="12">
        <f t="shared" si="1"/>
        <v>2000</v>
      </c>
      <c r="H40" s="13" t="str">
        <f t="shared" si="2"/>
        <v>8 ACA Signups +  Medicare Signups</v>
      </c>
    </row>
    <row r="41" hidden="1">
      <c r="A41" s="6" t="s">
        <v>243</v>
      </c>
      <c r="B41" s="16" t="s">
        <v>987</v>
      </c>
      <c r="C41" s="16" t="s">
        <v>988</v>
      </c>
      <c r="D41" s="16" t="s">
        <v>989</v>
      </c>
      <c r="E41" s="269">
        <v>0.0</v>
      </c>
      <c r="F41" s="76"/>
      <c r="G41" s="12">
        <f t="shared" si="1"/>
        <v>0</v>
      </c>
      <c r="H41" s="13" t="str">
        <f t="shared" si="2"/>
        <v>0 ACA Signups +  Medicare Signups</v>
      </c>
    </row>
    <row r="42" hidden="1">
      <c r="A42" s="6" t="s">
        <v>243</v>
      </c>
      <c r="B42" s="16" t="s">
        <v>990</v>
      </c>
      <c r="C42" s="16" t="s">
        <v>991</v>
      </c>
      <c r="D42" s="16" t="s">
        <v>992</v>
      </c>
      <c r="E42" s="292">
        <v>4.0</v>
      </c>
      <c r="F42" s="76"/>
      <c r="G42" s="12">
        <f t="shared" si="1"/>
        <v>1000</v>
      </c>
      <c r="H42" s="13" t="str">
        <f t="shared" si="2"/>
        <v>4 ACA Signups +  Medicare Signups</v>
      </c>
    </row>
    <row r="43" hidden="1">
      <c r="A43" s="6" t="s">
        <v>243</v>
      </c>
      <c r="B43" s="16" t="s">
        <v>993</v>
      </c>
      <c r="C43" s="16" t="s">
        <v>994</v>
      </c>
      <c r="D43" s="16" t="s">
        <v>995</v>
      </c>
      <c r="E43" s="288">
        <v>8.0</v>
      </c>
      <c r="F43" s="76"/>
      <c r="G43" s="12">
        <f t="shared" si="1"/>
        <v>2000</v>
      </c>
      <c r="H43" s="13" t="str">
        <f t="shared" si="2"/>
        <v>8 ACA Signups +  Medicare Signups</v>
      </c>
    </row>
    <row r="44" hidden="1">
      <c r="A44" s="6" t="s">
        <v>243</v>
      </c>
      <c r="B44" s="16" t="s">
        <v>996</v>
      </c>
      <c r="C44" s="16" t="s">
        <v>997</v>
      </c>
      <c r="D44" s="16" t="s">
        <v>998</v>
      </c>
      <c r="E44" s="269">
        <v>0.0</v>
      </c>
      <c r="F44" s="76"/>
      <c r="G44" s="12">
        <f t="shared" si="1"/>
        <v>0</v>
      </c>
      <c r="H44" s="13" t="str">
        <f t="shared" si="2"/>
        <v>0 ACA Signups +  Medicare Signups</v>
      </c>
    </row>
    <row r="45" hidden="1">
      <c r="A45" s="6" t="s">
        <v>243</v>
      </c>
      <c r="B45" s="16" t="s">
        <v>1008</v>
      </c>
      <c r="C45" s="16" t="s">
        <v>1009</v>
      </c>
      <c r="D45" s="16" t="s">
        <v>1010</v>
      </c>
      <c r="E45" s="288">
        <v>14.0</v>
      </c>
      <c r="F45" s="76"/>
      <c r="G45" s="12">
        <f t="shared" si="1"/>
        <v>3500</v>
      </c>
      <c r="H45" s="13" t="str">
        <f t="shared" si="2"/>
        <v>14 ACA Signups +  Medicare Signups</v>
      </c>
    </row>
    <row r="46" hidden="1">
      <c r="A46" s="6" t="s">
        <v>243</v>
      </c>
      <c r="B46" s="16" t="s">
        <v>999</v>
      </c>
      <c r="C46" s="16" t="s">
        <v>1000</v>
      </c>
      <c r="D46" s="16" t="s">
        <v>1001</v>
      </c>
      <c r="E46" s="288">
        <v>11.0</v>
      </c>
      <c r="F46" s="76"/>
      <c r="G46" s="12">
        <f t="shared" si="1"/>
        <v>2750</v>
      </c>
      <c r="H46" s="13" t="str">
        <f t="shared" si="2"/>
        <v>11 ACA Signups +  Medicare Signups</v>
      </c>
    </row>
    <row r="47" hidden="1">
      <c r="A47" s="6" t="s">
        <v>243</v>
      </c>
      <c r="B47" s="16" t="s">
        <v>1002</v>
      </c>
      <c r="C47" s="16" t="s">
        <v>1003</v>
      </c>
      <c r="D47" s="16" t="s">
        <v>1004</v>
      </c>
      <c r="E47" s="288">
        <v>8.0</v>
      </c>
      <c r="F47" s="76"/>
      <c r="G47" s="12">
        <f t="shared" si="1"/>
        <v>2000</v>
      </c>
      <c r="H47" s="13" t="str">
        <f t="shared" si="2"/>
        <v>8 ACA Signups +  Medicare Signups</v>
      </c>
    </row>
    <row r="48" hidden="1">
      <c r="A48" s="6" t="s">
        <v>243</v>
      </c>
      <c r="B48" s="16" t="s">
        <v>1005</v>
      </c>
      <c r="C48" s="16" t="s">
        <v>1006</v>
      </c>
      <c r="D48" s="16" t="s">
        <v>1007</v>
      </c>
      <c r="E48" s="288">
        <v>11.0</v>
      </c>
      <c r="F48" s="76"/>
      <c r="G48" s="12">
        <f t="shared" si="1"/>
        <v>2750</v>
      </c>
      <c r="H48" s="13" t="str">
        <f t="shared" si="2"/>
        <v>11 ACA Signups +  Medicare Signups</v>
      </c>
    </row>
    <row r="49" hidden="1">
      <c r="A49" s="6" t="s">
        <v>244</v>
      </c>
      <c r="B49" s="16" t="s">
        <v>987</v>
      </c>
      <c r="C49" s="16" t="s">
        <v>988</v>
      </c>
      <c r="D49" s="16" t="s">
        <v>989</v>
      </c>
      <c r="E49" s="269">
        <v>0.0</v>
      </c>
      <c r="F49" s="76"/>
      <c r="G49" s="12">
        <f t="shared" si="1"/>
        <v>0</v>
      </c>
      <c r="H49" s="13" t="str">
        <f t="shared" si="2"/>
        <v>0 ACA Signups +  Medicare Signups</v>
      </c>
    </row>
    <row r="50" hidden="1">
      <c r="A50" s="6" t="s">
        <v>244</v>
      </c>
      <c r="B50" s="16" t="s">
        <v>990</v>
      </c>
      <c r="C50" s="16" t="s">
        <v>991</v>
      </c>
      <c r="D50" s="16" t="s">
        <v>992</v>
      </c>
      <c r="E50" s="287">
        <v>2.0</v>
      </c>
      <c r="F50" s="76"/>
      <c r="G50" s="12">
        <f t="shared" si="1"/>
        <v>500</v>
      </c>
      <c r="H50" s="13" t="str">
        <f t="shared" si="2"/>
        <v>2 ACA Signups +  Medicare Signups</v>
      </c>
    </row>
    <row r="51" hidden="1">
      <c r="A51" s="6" t="s">
        <v>244</v>
      </c>
      <c r="B51" s="16" t="s">
        <v>993</v>
      </c>
      <c r="C51" s="16" t="s">
        <v>994</v>
      </c>
      <c r="D51" s="16" t="s">
        <v>995</v>
      </c>
      <c r="E51" s="269">
        <v>9.0</v>
      </c>
      <c r="F51" s="76"/>
      <c r="G51" s="12">
        <f t="shared" si="1"/>
        <v>2250</v>
      </c>
      <c r="H51" s="13" t="str">
        <f t="shared" si="2"/>
        <v>9 ACA Signups +  Medicare Signups</v>
      </c>
    </row>
    <row r="52" hidden="1">
      <c r="A52" s="6" t="s">
        <v>244</v>
      </c>
      <c r="B52" s="16" t="s">
        <v>996</v>
      </c>
      <c r="C52" s="16" t="s">
        <v>997</v>
      </c>
      <c r="D52" s="16" t="s">
        <v>998</v>
      </c>
      <c r="E52" s="269">
        <v>0.0</v>
      </c>
      <c r="F52" s="76"/>
      <c r="G52" s="12">
        <f t="shared" si="1"/>
        <v>0</v>
      </c>
      <c r="H52" s="13" t="str">
        <f t="shared" si="2"/>
        <v>0 ACA Signups +  Medicare Signups</v>
      </c>
    </row>
    <row r="53" hidden="1">
      <c r="A53" s="6" t="s">
        <v>244</v>
      </c>
      <c r="B53" s="16" t="s">
        <v>1008</v>
      </c>
      <c r="C53" s="16" t="s">
        <v>1009</v>
      </c>
      <c r="D53" s="16" t="s">
        <v>1010</v>
      </c>
      <c r="E53" s="269">
        <v>4.0</v>
      </c>
      <c r="F53" s="76"/>
      <c r="G53" s="12">
        <f t="shared" si="1"/>
        <v>1000</v>
      </c>
      <c r="H53" s="13" t="str">
        <f t="shared" si="2"/>
        <v>4 ACA Signups +  Medicare Signups</v>
      </c>
    </row>
    <row r="54" hidden="1">
      <c r="A54" s="6" t="s">
        <v>244</v>
      </c>
      <c r="B54" s="16" t="s">
        <v>999</v>
      </c>
      <c r="C54" s="16" t="s">
        <v>1000</v>
      </c>
      <c r="D54" s="16" t="s">
        <v>1001</v>
      </c>
      <c r="E54" s="269">
        <v>15.0</v>
      </c>
      <c r="F54" s="76"/>
      <c r="G54" s="12">
        <f t="shared" si="1"/>
        <v>3750</v>
      </c>
      <c r="H54" s="13" t="str">
        <f t="shared" si="2"/>
        <v>15 ACA Signups +  Medicare Signups</v>
      </c>
    </row>
    <row r="55" hidden="1">
      <c r="A55" s="6" t="s">
        <v>244</v>
      </c>
      <c r="B55" s="16" t="s">
        <v>1002</v>
      </c>
      <c r="C55" s="16" t="s">
        <v>1003</v>
      </c>
      <c r="D55" s="16" t="s">
        <v>1004</v>
      </c>
      <c r="E55" s="269">
        <v>13.0</v>
      </c>
      <c r="F55" s="76"/>
      <c r="G55" s="12">
        <f t="shared" si="1"/>
        <v>3250</v>
      </c>
      <c r="H55" s="13" t="str">
        <f t="shared" si="2"/>
        <v>13 ACA Signups +  Medicare Signups</v>
      </c>
    </row>
    <row r="56" hidden="1">
      <c r="A56" s="6" t="s">
        <v>244</v>
      </c>
      <c r="B56" s="16" t="s">
        <v>1005</v>
      </c>
      <c r="C56" s="16" t="s">
        <v>1006</v>
      </c>
      <c r="D56" s="16" t="s">
        <v>1007</v>
      </c>
      <c r="E56" s="269">
        <v>24.0</v>
      </c>
      <c r="F56" s="76"/>
      <c r="G56" s="12">
        <f t="shared" si="1"/>
        <v>6000</v>
      </c>
      <c r="H56" s="13" t="str">
        <f t="shared" si="2"/>
        <v>24 ACA Signups +  Medicare Signups</v>
      </c>
    </row>
    <row r="57" hidden="1">
      <c r="A57" s="6" t="s">
        <v>248</v>
      </c>
      <c r="B57" s="16" t="s">
        <v>987</v>
      </c>
      <c r="C57" s="16" t="s">
        <v>988</v>
      </c>
      <c r="D57" s="16" t="s">
        <v>989</v>
      </c>
      <c r="E57" s="291">
        <v>0.0</v>
      </c>
      <c r="F57" s="86"/>
      <c r="G57" s="12">
        <f t="shared" si="1"/>
        <v>0</v>
      </c>
      <c r="H57" s="13" t="str">
        <f t="shared" si="2"/>
        <v>0 ACA Signups +  Medicare Signups</v>
      </c>
    </row>
    <row r="58" hidden="1">
      <c r="A58" s="6" t="s">
        <v>248</v>
      </c>
      <c r="B58" s="16" t="s">
        <v>990</v>
      </c>
      <c r="C58" s="16" t="s">
        <v>991</v>
      </c>
      <c r="D58" s="16" t="s">
        <v>992</v>
      </c>
      <c r="E58" s="290">
        <v>7.0</v>
      </c>
      <c r="F58" s="86"/>
      <c r="G58" s="12">
        <f t="shared" si="1"/>
        <v>1750</v>
      </c>
      <c r="H58" s="13" t="str">
        <f t="shared" si="2"/>
        <v>7 ACA Signups +  Medicare Signups</v>
      </c>
    </row>
    <row r="59" hidden="1">
      <c r="A59" s="6" t="s">
        <v>248</v>
      </c>
      <c r="B59" s="16" t="s">
        <v>993</v>
      </c>
      <c r="C59" s="16" t="s">
        <v>994</v>
      </c>
      <c r="D59" s="16" t="s">
        <v>995</v>
      </c>
      <c r="E59" s="291">
        <v>5.0</v>
      </c>
      <c r="F59" s="86"/>
      <c r="G59" s="12">
        <f t="shared" si="1"/>
        <v>1250</v>
      </c>
      <c r="H59" s="13" t="str">
        <f t="shared" si="2"/>
        <v>5 ACA Signups +  Medicare Signups</v>
      </c>
    </row>
    <row r="60" hidden="1">
      <c r="A60" s="6" t="s">
        <v>248</v>
      </c>
      <c r="B60" s="16" t="s">
        <v>996</v>
      </c>
      <c r="C60" s="16" t="s">
        <v>997</v>
      </c>
      <c r="D60" s="16" t="s">
        <v>998</v>
      </c>
      <c r="E60" s="291">
        <v>0.0</v>
      </c>
      <c r="F60" s="86"/>
      <c r="G60" s="12">
        <f t="shared" si="1"/>
        <v>0</v>
      </c>
      <c r="H60" s="13" t="str">
        <f t="shared" si="2"/>
        <v>0 ACA Signups +  Medicare Signups</v>
      </c>
    </row>
    <row r="61" hidden="1">
      <c r="A61" s="6" t="s">
        <v>248</v>
      </c>
      <c r="B61" s="16" t="s">
        <v>1008</v>
      </c>
      <c r="C61" s="16" t="s">
        <v>1009</v>
      </c>
      <c r="D61" s="16" t="s">
        <v>1010</v>
      </c>
      <c r="E61" s="291">
        <v>2.0</v>
      </c>
      <c r="F61" s="86"/>
      <c r="G61" s="12">
        <f t="shared" si="1"/>
        <v>500</v>
      </c>
      <c r="H61" s="13" t="str">
        <f t="shared" si="2"/>
        <v>2 ACA Signups +  Medicare Signups</v>
      </c>
    </row>
    <row r="62" hidden="1">
      <c r="A62" s="6" t="s">
        <v>248</v>
      </c>
      <c r="B62" s="16" t="s">
        <v>999</v>
      </c>
      <c r="C62" s="16" t="s">
        <v>1000</v>
      </c>
      <c r="D62" s="16" t="s">
        <v>1001</v>
      </c>
      <c r="E62" s="291">
        <v>8.0</v>
      </c>
      <c r="F62" s="86"/>
      <c r="G62" s="12">
        <f t="shared" si="1"/>
        <v>2000</v>
      </c>
      <c r="H62" s="13" t="str">
        <f t="shared" si="2"/>
        <v>8 ACA Signups +  Medicare Signups</v>
      </c>
    </row>
    <row r="63" hidden="1">
      <c r="A63" s="6" t="s">
        <v>248</v>
      </c>
      <c r="B63" s="16" t="s">
        <v>1002</v>
      </c>
      <c r="C63" s="16" t="s">
        <v>1003</v>
      </c>
      <c r="D63" s="16" t="s">
        <v>1004</v>
      </c>
      <c r="E63" s="291">
        <v>5.0</v>
      </c>
      <c r="F63" s="86"/>
      <c r="G63" s="12">
        <f t="shared" si="1"/>
        <v>1250</v>
      </c>
      <c r="H63" s="13" t="str">
        <f t="shared" si="2"/>
        <v>5 ACA Signups +  Medicare Signups</v>
      </c>
    </row>
    <row r="64" hidden="1">
      <c r="A64" s="6" t="s">
        <v>248</v>
      </c>
      <c r="B64" s="16" t="s">
        <v>1005</v>
      </c>
      <c r="C64" s="16" t="s">
        <v>1006</v>
      </c>
      <c r="D64" s="16" t="s">
        <v>1007</v>
      </c>
      <c r="E64" s="291">
        <v>13.0</v>
      </c>
      <c r="F64" s="86"/>
      <c r="G64" s="12">
        <f t="shared" si="1"/>
        <v>3250</v>
      </c>
      <c r="H64" s="13" t="str">
        <f t="shared" si="2"/>
        <v>13 ACA Signups +  Medicare Signups</v>
      </c>
    </row>
    <row r="65" hidden="1">
      <c r="A65" s="6" t="s">
        <v>249</v>
      </c>
      <c r="B65" s="16" t="s">
        <v>987</v>
      </c>
      <c r="C65" s="16" t="s">
        <v>988</v>
      </c>
      <c r="D65" s="16" t="s">
        <v>989</v>
      </c>
      <c r="E65" s="288">
        <v>2.0</v>
      </c>
      <c r="F65" s="85">
        <v>0.0</v>
      </c>
      <c r="G65" s="12">
        <f t="shared" si="1"/>
        <v>500</v>
      </c>
      <c r="H65" s="13" t="str">
        <f t="shared" si="2"/>
        <v>2 ACA Signups + 0 Medicare Signups</v>
      </c>
    </row>
    <row r="66" hidden="1">
      <c r="A66" s="6" t="s">
        <v>249</v>
      </c>
      <c r="B66" s="16" t="s">
        <v>990</v>
      </c>
      <c r="C66" s="16" t="s">
        <v>991</v>
      </c>
      <c r="D66" s="16" t="s">
        <v>992</v>
      </c>
      <c r="E66" s="292">
        <v>15.0</v>
      </c>
      <c r="F66" s="85">
        <v>0.0</v>
      </c>
      <c r="G66" s="12">
        <f t="shared" si="1"/>
        <v>3750</v>
      </c>
      <c r="H66" s="13" t="str">
        <f t="shared" si="2"/>
        <v>15 ACA Signups + 0 Medicare Signups</v>
      </c>
    </row>
    <row r="67" hidden="1">
      <c r="A67" s="6" t="s">
        <v>249</v>
      </c>
      <c r="B67" s="16" t="s">
        <v>993</v>
      </c>
      <c r="C67" s="16" t="s">
        <v>994</v>
      </c>
      <c r="D67" s="16" t="s">
        <v>995</v>
      </c>
      <c r="E67" s="288">
        <v>18.0</v>
      </c>
      <c r="F67" s="85">
        <v>0.0</v>
      </c>
      <c r="G67" s="12">
        <f t="shared" si="1"/>
        <v>4500</v>
      </c>
      <c r="H67" s="13" t="str">
        <f t="shared" si="2"/>
        <v>18 ACA Signups + 0 Medicare Signups</v>
      </c>
    </row>
    <row r="68" hidden="1">
      <c r="A68" s="6" t="s">
        <v>249</v>
      </c>
      <c r="B68" s="16" t="s">
        <v>996</v>
      </c>
      <c r="C68" s="16" t="s">
        <v>997</v>
      </c>
      <c r="D68" s="16" t="s">
        <v>998</v>
      </c>
      <c r="E68" s="289">
        <v>2.0</v>
      </c>
      <c r="F68" s="85">
        <v>0.0</v>
      </c>
      <c r="G68" s="12">
        <f t="shared" si="1"/>
        <v>500</v>
      </c>
      <c r="H68" s="13" t="str">
        <f t="shared" si="2"/>
        <v>2 ACA Signups + 0 Medicare Signups</v>
      </c>
    </row>
    <row r="69" hidden="1">
      <c r="A69" s="6" t="s">
        <v>249</v>
      </c>
      <c r="B69" s="16" t="s">
        <v>1008</v>
      </c>
      <c r="C69" s="16" t="s">
        <v>1009</v>
      </c>
      <c r="D69" s="16" t="s">
        <v>1010</v>
      </c>
      <c r="E69" s="288">
        <v>12.0</v>
      </c>
      <c r="F69" s="85">
        <v>0.0</v>
      </c>
      <c r="G69" s="12">
        <f t="shared" si="1"/>
        <v>3000</v>
      </c>
      <c r="H69" s="13" t="str">
        <f t="shared" si="2"/>
        <v>12 ACA Signups + 0 Medicare Signups</v>
      </c>
    </row>
    <row r="70" hidden="1">
      <c r="A70" s="6" t="s">
        <v>249</v>
      </c>
      <c r="B70" s="16" t="s">
        <v>999</v>
      </c>
      <c r="C70" s="16" t="s">
        <v>1000</v>
      </c>
      <c r="D70" s="16" t="s">
        <v>1001</v>
      </c>
      <c r="E70" s="288">
        <v>20.0</v>
      </c>
      <c r="F70" s="85">
        <v>0.0</v>
      </c>
      <c r="G70" s="12">
        <f t="shared" si="1"/>
        <v>5000</v>
      </c>
      <c r="H70" s="13" t="str">
        <f t="shared" si="2"/>
        <v>20 ACA Signups + 0 Medicare Signups</v>
      </c>
    </row>
    <row r="71" hidden="1">
      <c r="A71" s="6" t="s">
        <v>249</v>
      </c>
      <c r="B71" s="16" t="s">
        <v>1002</v>
      </c>
      <c r="C71" s="16" t="s">
        <v>1003</v>
      </c>
      <c r="D71" s="16" t="s">
        <v>1004</v>
      </c>
      <c r="E71" s="288">
        <v>30.0</v>
      </c>
      <c r="F71" s="85">
        <v>0.0</v>
      </c>
      <c r="G71" s="12">
        <f t="shared" si="1"/>
        <v>7500</v>
      </c>
      <c r="H71" s="13" t="str">
        <f t="shared" si="2"/>
        <v>30 ACA Signups + 0 Medicare Signups</v>
      </c>
    </row>
    <row r="72" hidden="1">
      <c r="A72" s="6" t="s">
        <v>249</v>
      </c>
      <c r="B72" s="16" t="s">
        <v>1005</v>
      </c>
      <c r="C72" s="16" t="s">
        <v>1006</v>
      </c>
      <c r="D72" s="16" t="s">
        <v>1007</v>
      </c>
      <c r="E72" s="288">
        <v>21.0</v>
      </c>
      <c r="F72" s="85">
        <v>0.0</v>
      </c>
      <c r="G72" s="12">
        <f t="shared" si="1"/>
        <v>5250</v>
      </c>
      <c r="H72" s="13" t="str">
        <f t="shared" si="2"/>
        <v>21 ACA Signups + 0 Medicare Signups</v>
      </c>
    </row>
    <row r="73" hidden="1">
      <c r="A73" s="6" t="s">
        <v>250</v>
      </c>
      <c r="B73" s="7" t="s">
        <v>987</v>
      </c>
      <c r="C73" s="7" t="s">
        <v>988</v>
      </c>
      <c r="D73" s="7" t="s">
        <v>989</v>
      </c>
      <c r="E73" s="284">
        <v>1.0</v>
      </c>
      <c r="F73" s="85">
        <v>0.0</v>
      </c>
      <c r="G73" s="12">
        <f t="shared" si="1"/>
        <v>250</v>
      </c>
      <c r="H73" s="13" t="str">
        <f t="shared" si="2"/>
        <v>1 ACA Signups + 0 Medicare Signups</v>
      </c>
    </row>
    <row r="74" hidden="1">
      <c r="A74" s="6" t="s">
        <v>250</v>
      </c>
      <c r="B74" s="16" t="s">
        <v>990</v>
      </c>
      <c r="C74" s="16" t="s">
        <v>991</v>
      </c>
      <c r="D74" s="16" t="s">
        <v>992</v>
      </c>
      <c r="E74" s="284">
        <v>20.0</v>
      </c>
      <c r="F74" s="85">
        <v>0.0</v>
      </c>
      <c r="G74" s="12">
        <f t="shared" si="1"/>
        <v>5000</v>
      </c>
      <c r="H74" s="13" t="str">
        <f t="shared" si="2"/>
        <v>20 ACA Signups + 0 Medicare Signups</v>
      </c>
    </row>
    <row r="75" hidden="1">
      <c r="A75" s="6" t="s">
        <v>250</v>
      </c>
      <c r="B75" s="16" t="s">
        <v>993</v>
      </c>
      <c r="C75" s="16" t="s">
        <v>994</v>
      </c>
      <c r="D75" s="16" t="s">
        <v>995</v>
      </c>
      <c r="E75" s="293">
        <v>42.0</v>
      </c>
      <c r="F75" s="85">
        <v>0.0</v>
      </c>
      <c r="G75" s="12">
        <f t="shared" si="1"/>
        <v>10500</v>
      </c>
      <c r="H75" s="13" t="str">
        <f t="shared" si="2"/>
        <v>42 ACA Signups + 0 Medicare Signups</v>
      </c>
    </row>
    <row r="76" hidden="1">
      <c r="A76" s="6" t="s">
        <v>250</v>
      </c>
      <c r="B76" s="16" t="s">
        <v>996</v>
      </c>
      <c r="C76" s="16" t="s">
        <v>997</v>
      </c>
      <c r="D76" s="16" t="s">
        <v>998</v>
      </c>
      <c r="E76" s="294">
        <v>4.0</v>
      </c>
      <c r="F76" s="85">
        <v>0.0</v>
      </c>
      <c r="G76" s="12">
        <f t="shared" si="1"/>
        <v>1000</v>
      </c>
      <c r="H76" s="13" t="str">
        <f t="shared" si="2"/>
        <v>4 ACA Signups + 0 Medicare Signups</v>
      </c>
    </row>
    <row r="77" hidden="1">
      <c r="A77" s="6" t="s">
        <v>250</v>
      </c>
      <c r="B77" s="16" t="s">
        <v>1008</v>
      </c>
      <c r="C77" s="16" t="s">
        <v>1009</v>
      </c>
      <c r="D77" s="16" t="s">
        <v>1010</v>
      </c>
      <c r="E77" s="293">
        <v>22.0</v>
      </c>
      <c r="F77" s="85">
        <v>0.0</v>
      </c>
      <c r="G77" s="12">
        <f t="shared" si="1"/>
        <v>5500</v>
      </c>
      <c r="H77" s="13" t="str">
        <f t="shared" si="2"/>
        <v>22 ACA Signups + 0 Medicare Signups</v>
      </c>
    </row>
    <row r="78" hidden="1">
      <c r="A78" s="6" t="s">
        <v>250</v>
      </c>
      <c r="B78" s="16" t="s">
        <v>999</v>
      </c>
      <c r="C78" s="16" t="s">
        <v>1000</v>
      </c>
      <c r="D78" s="16" t="s">
        <v>1001</v>
      </c>
      <c r="E78" s="293">
        <v>20.0</v>
      </c>
      <c r="F78" s="85">
        <v>0.0</v>
      </c>
      <c r="G78" s="12">
        <f t="shared" si="1"/>
        <v>5000</v>
      </c>
      <c r="H78" s="13" t="str">
        <f t="shared" si="2"/>
        <v>20 ACA Signups + 0 Medicare Signups</v>
      </c>
    </row>
    <row r="79" hidden="1">
      <c r="A79" s="6" t="s">
        <v>250</v>
      </c>
      <c r="B79" s="16" t="s">
        <v>1002</v>
      </c>
      <c r="C79" s="16" t="s">
        <v>1003</v>
      </c>
      <c r="D79" s="16" t="s">
        <v>1004</v>
      </c>
      <c r="E79" s="284">
        <v>17.0</v>
      </c>
      <c r="F79" s="85">
        <v>0.0</v>
      </c>
      <c r="G79" s="12">
        <f t="shared" si="1"/>
        <v>4250</v>
      </c>
      <c r="H79" s="13" t="str">
        <f t="shared" si="2"/>
        <v>17 ACA Signups + 0 Medicare Signups</v>
      </c>
    </row>
    <row r="80" hidden="1">
      <c r="A80" s="6" t="s">
        <v>250</v>
      </c>
      <c r="B80" s="16" t="s">
        <v>1005</v>
      </c>
      <c r="C80" s="16" t="s">
        <v>1006</v>
      </c>
      <c r="D80" s="16" t="s">
        <v>1007</v>
      </c>
      <c r="E80" s="293">
        <v>44.0</v>
      </c>
      <c r="F80" s="85">
        <v>0.0</v>
      </c>
      <c r="G80" s="12">
        <f t="shared" si="1"/>
        <v>11000</v>
      </c>
      <c r="H80" s="13" t="str">
        <f t="shared" si="2"/>
        <v>44 ACA Signups + 0 Medicare Signups</v>
      </c>
    </row>
    <row r="81" hidden="1">
      <c r="A81" s="6" t="s">
        <v>254</v>
      </c>
      <c r="B81" s="16" t="s">
        <v>990</v>
      </c>
      <c r="C81" s="16" t="s">
        <v>991</v>
      </c>
      <c r="D81" s="16" t="s">
        <v>992</v>
      </c>
      <c r="E81" s="284">
        <v>5.0</v>
      </c>
      <c r="F81" s="88">
        <v>0.0</v>
      </c>
      <c r="G81" s="12">
        <f t="shared" si="1"/>
        <v>1250</v>
      </c>
      <c r="H81" s="13" t="str">
        <f t="shared" si="2"/>
        <v>5 ACA Signups + 0 Medicare Signups</v>
      </c>
    </row>
    <row r="82" hidden="1">
      <c r="A82" s="6" t="s">
        <v>254</v>
      </c>
      <c r="B82" s="16" t="s">
        <v>993</v>
      </c>
      <c r="C82" s="16" t="s">
        <v>994</v>
      </c>
      <c r="D82" s="16" t="s">
        <v>995</v>
      </c>
      <c r="E82" s="284">
        <v>12.0</v>
      </c>
      <c r="F82" s="88">
        <v>0.0</v>
      </c>
      <c r="G82" s="12">
        <f t="shared" si="1"/>
        <v>3000</v>
      </c>
      <c r="H82" s="13" t="str">
        <f t="shared" si="2"/>
        <v>12 ACA Signups + 0 Medicare Signups</v>
      </c>
    </row>
    <row r="83" hidden="1">
      <c r="A83" s="6" t="s">
        <v>254</v>
      </c>
      <c r="B83" s="16" t="s">
        <v>996</v>
      </c>
      <c r="C83" s="16" t="s">
        <v>997</v>
      </c>
      <c r="D83" s="16" t="s">
        <v>998</v>
      </c>
      <c r="E83" s="284">
        <v>2.0</v>
      </c>
      <c r="F83" s="88">
        <v>0.0</v>
      </c>
      <c r="G83" s="12">
        <f t="shared" si="1"/>
        <v>500</v>
      </c>
      <c r="H83" s="13" t="str">
        <f t="shared" si="2"/>
        <v>2 ACA Signups + 0 Medicare Signups</v>
      </c>
    </row>
    <row r="84" hidden="1">
      <c r="A84" s="6" t="s">
        <v>254</v>
      </c>
      <c r="B84" s="16" t="s">
        <v>1008</v>
      </c>
      <c r="C84" s="16" t="s">
        <v>1009</v>
      </c>
      <c r="D84" s="16" t="s">
        <v>1010</v>
      </c>
      <c r="E84" s="284">
        <v>10.0</v>
      </c>
      <c r="F84" s="88">
        <v>0.0</v>
      </c>
      <c r="G84" s="12">
        <f t="shared" si="1"/>
        <v>2500</v>
      </c>
      <c r="H84" s="13" t="str">
        <f t="shared" si="2"/>
        <v>10 ACA Signups + 0 Medicare Signups</v>
      </c>
    </row>
    <row r="85" hidden="1">
      <c r="A85" s="6" t="s">
        <v>254</v>
      </c>
      <c r="B85" s="16" t="s">
        <v>999</v>
      </c>
      <c r="C85" s="16" t="s">
        <v>1000</v>
      </c>
      <c r="D85" s="16" t="s">
        <v>1001</v>
      </c>
      <c r="E85" s="284">
        <v>6.0</v>
      </c>
      <c r="F85" s="88">
        <v>0.0</v>
      </c>
      <c r="G85" s="12">
        <f t="shared" si="1"/>
        <v>1500</v>
      </c>
      <c r="H85" s="13" t="str">
        <f t="shared" si="2"/>
        <v>6 ACA Signups + 0 Medicare Signups</v>
      </c>
    </row>
    <row r="86" hidden="1">
      <c r="A86" s="6" t="s">
        <v>254</v>
      </c>
      <c r="B86" s="16" t="s">
        <v>1002</v>
      </c>
      <c r="C86" s="16" t="s">
        <v>1003</v>
      </c>
      <c r="D86" s="16" t="s">
        <v>1004</v>
      </c>
      <c r="E86" s="284">
        <v>5.0</v>
      </c>
      <c r="F86" s="88">
        <v>0.0</v>
      </c>
      <c r="G86" s="12">
        <f t="shared" si="1"/>
        <v>1250</v>
      </c>
      <c r="H86" s="13" t="str">
        <f t="shared" si="2"/>
        <v>5 ACA Signups + 0 Medicare Signups</v>
      </c>
    </row>
    <row r="87" hidden="1">
      <c r="A87" s="6" t="s">
        <v>254</v>
      </c>
      <c r="B87" s="16" t="s">
        <v>1005</v>
      </c>
      <c r="C87" s="16" t="s">
        <v>1006</v>
      </c>
      <c r="D87" s="16" t="s">
        <v>1007</v>
      </c>
      <c r="E87" s="284">
        <v>27.0</v>
      </c>
      <c r="F87" s="88">
        <v>0.0</v>
      </c>
      <c r="G87" s="12">
        <f t="shared" si="1"/>
        <v>6750</v>
      </c>
      <c r="H87" s="13" t="str">
        <f t="shared" si="2"/>
        <v>27 ACA Signups + 0 Medicare Signups</v>
      </c>
    </row>
    <row r="88" hidden="1">
      <c r="A88" s="6" t="s">
        <v>265</v>
      </c>
      <c r="B88" s="7" t="s">
        <v>1011</v>
      </c>
      <c r="C88" s="16" t="s">
        <v>1012</v>
      </c>
      <c r="D88" s="16" t="s">
        <v>1013</v>
      </c>
      <c r="E88" s="295"/>
      <c r="F88" s="295"/>
      <c r="G88" s="12">
        <f t="shared" si="1"/>
        <v>0</v>
      </c>
      <c r="H88" s="13" t="str">
        <f t="shared" si="2"/>
        <v> ACA Signups +  Medicare Signups</v>
      </c>
    </row>
    <row r="89" hidden="1">
      <c r="A89" s="6" t="s">
        <v>265</v>
      </c>
      <c r="B89" s="16" t="s">
        <v>987</v>
      </c>
      <c r="C89" s="16" t="s">
        <v>988</v>
      </c>
      <c r="D89" s="16" t="s">
        <v>989</v>
      </c>
      <c r="E89" s="295"/>
      <c r="F89" s="295"/>
      <c r="G89" s="12">
        <f t="shared" si="1"/>
        <v>0</v>
      </c>
      <c r="H89" s="13" t="str">
        <f t="shared" si="2"/>
        <v> ACA Signups +  Medicare Signups</v>
      </c>
    </row>
    <row r="90" hidden="1">
      <c r="A90" s="6" t="s">
        <v>265</v>
      </c>
      <c r="B90" s="16" t="s">
        <v>990</v>
      </c>
      <c r="C90" s="16" t="s">
        <v>991</v>
      </c>
      <c r="D90" s="16" t="s">
        <v>992</v>
      </c>
      <c r="E90" s="295"/>
      <c r="F90" s="295"/>
      <c r="G90" s="12">
        <f t="shared" si="1"/>
        <v>0</v>
      </c>
      <c r="H90" s="13" t="str">
        <f t="shared" si="2"/>
        <v> ACA Signups +  Medicare Signups</v>
      </c>
    </row>
    <row r="91" hidden="1">
      <c r="A91" s="6" t="s">
        <v>265</v>
      </c>
      <c r="B91" s="16" t="s">
        <v>993</v>
      </c>
      <c r="C91" s="16" t="s">
        <v>994</v>
      </c>
      <c r="D91" s="16" t="s">
        <v>995</v>
      </c>
      <c r="E91" s="295"/>
      <c r="F91" s="295"/>
      <c r="G91" s="12">
        <f t="shared" si="1"/>
        <v>0</v>
      </c>
      <c r="H91" s="13" t="str">
        <f t="shared" si="2"/>
        <v> ACA Signups +  Medicare Signups</v>
      </c>
    </row>
    <row r="92" hidden="1">
      <c r="A92" s="6" t="s">
        <v>265</v>
      </c>
      <c r="B92" s="16" t="s">
        <v>996</v>
      </c>
      <c r="C92" s="16" t="s">
        <v>997</v>
      </c>
      <c r="D92" s="16" t="s">
        <v>998</v>
      </c>
      <c r="E92" s="295"/>
      <c r="F92" s="295"/>
      <c r="G92" s="12">
        <f t="shared" si="1"/>
        <v>0</v>
      </c>
      <c r="H92" s="13" t="str">
        <f t="shared" si="2"/>
        <v> ACA Signups +  Medicare Signups</v>
      </c>
    </row>
    <row r="93" hidden="1">
      <c r="A93" s="6" t="s">
        <v>265</v>
      </c>
      <c r="B93" s="16" t="s">
        <v>1008</v>
      </c>
      <c r="C93" s="16" t="s">
        <v>1009</v>
      </c>
      <c r="D93" s="16" t="s">
        <v>1010</v>
      </c>
      <c r="E93" s="295"/>
      <c r="F93" s="295"/>
      <c r="G93" s="12">
        <f t="shared" si="1"/>
        <v>0</v>
      </c>
      <c r="H93" s="13" t="str">
        <f t="shared" si="2"/>
        <v> ACA Signups +  Medicare Signups</v>
      </c>
    </row>
    <row r="94" hidden="1">
      <c r="A94" s="6" t="s">
        <v>265</v>
      </c>
      <c r="B94" s="16" t="s">
        <v>999</v>
      </c>
      <c r="C94" s="16" t="s">
        <v>1000</v>
      </c>
      <c r="D94" s="16" t="s">
        <v>1001</v>
      </c>
      <c r="E94" s="295"/>
      <c r="F94" s="295"/>
      <c r="G94" s="12">
        <f t="shared" si="1"/>
        <v>0</v>
      </c>
      <c r="H94" s="13" t="str">
        <f t="shared" si="2"/>
        <v> ACA Signups +  Medicare Signups</v>
      </c>
    </row>
    <row r="95" hidden="1">
      <c r="A95" s="6" t="s">
        <v>265</v>
      </c>
      <c r="B95" s="16" t="s">
        <v>1002</v>
      </c>
      <c r="C95" s="16" t="s">
        <v>1003</v>
      </c>
      <c r="D95" s="16" t="s">
        <v>1004</v>
      </c>
      <c r="E95" s="295"/>
      <c r="F95" s="295"/>
      <c r="G95" s="12">
        <f t="shared" si="1"/>
        <v>0</v>
      </c>
      <c r="H95" s="13" t="str">
        <f t="shared" si="2"/>
        <v> ACA Signups +  Medicare Signups</v>
      </c>
    </row>
    <row r="96" hidden="1">
      <c r="A96" s="6" t="s">
        <v>265</v>
      </c>
      <c r="B96" s="16" t="s">
        <v>1005</v>
      </c>
      <c r="C96" s="16" t="s">
        <v>1006</v>
      </c>
      <c r="D96" s="16" t="s">
        <v>1007</v>
      </c>
      <c r="E96" s="295"/>
      <c r="F96" s="295"/>
      <c r="G96" s="12">
        <f t="shared" si="1"/>
        <v>0</v>
      </c>
      <c r="H96" s="13" t="str">
        <f t="shared" si="2"/>
        <v> ACA Signups +  Medicare Signups</v>
      </c>
    </row>
    <row r="97" hidden="1">
      <c r="A97" s="6" t="s">
        <v>266</v>
      </c>
      <c r="B97" s="7" t="s">
        <v>1011</v>
      </c>
      <c r="C97" s="16" t="s">
        <v>1012</v>
      </c>
      <c r="D97" s="16" t="s">
        <v>1013</v>
      </c>
      <c r="E97" s="296"/>
      <c r="F97" s="296"/>
      <c r="G97" s="12">
        <f t="shared" si="1"/>
        <v>0</v>
      </c>
      <c r="H97" s="13" t="str">
        <f t="shared" si="2"/>
        <v> ACA Signups +  Medicare Signups</v>
      </c>
    </row>
    <row r="98" hidden="1">
      <c r="A98" s="6" t="s">
        <v>266</v>
      </c>
      <c r="B98" s="16" t="s">
        <v>987</v>
      </c>
      <c r="C98" s="16" t="s">
        <v>988</v>
      </c>
      <c r="D98" s="16" t="s">
        <v>989</v>
      </c>
      <c r="E98" s="296"/>
      <c r="F98" s="296"/>
      <c r="G98" s="12">
        <f t="shared" si="1"/>
        <v>0</v>
      </c>
      <c r="H98" s="13" t="str">
        <f t="shared" si="2"/>
        <v> ACA Signups +  Medicare Signups</v>
      </c>
    </row>
    <row r="99" hidden="1">
      <c r="A99" s="6" t="s">
        <v>266</v>
      </c>
      <c r="B99" s="16" t="s">
        <v>990</v>
      </c>
      <c r="C99" s="16" t="s">
        <v>991</v>
      </c>
      <c r="D99" s="16" t="s">
        <v>992</v>
      </c>
      <c r="E99" s="296"/>
      <c r="F99" s="296"/>
      <c r="G99" s="12">
        <f t="shared" si="1"/>
        <v>0</v>
      </c>
      <c r="H99" s="13" t="str">
        <f t="shared" si="2"/>
        <v> ACA Signups +  Medicare Signups</v>
      </c>
    </row>
    <row r="100" hidden="1">
      <c r="A100" s="6" t="s">
        <v>266</v>
      </c>
      <c r="B100" s="16" t="s">
        <v>993</v>
      </c>
      <c r="C100" s="16" t="s">
        <v>994</v>
      </c>
      <c r="D100" s="16" t="s">
        <v>995</v>
      </c>
      <c r="E100" s="296"/>
      <c r="F100" s="296"/>
      <c r="G100" s="12">
        <f t="shared" si="1"/>
        <v>0</v>
      </c>
      <c r="H100" s="13" t="str">
        <f t="shared" si="2"/>
        <v> ACA Signups +  Medicare Signups</v>
      </c>
    </row>
    <row r="101" hidden="1">
      <c r="A101" s="6" t="s">
        <v>266</v>
      </c>
      <c r="B101" s="16" t="s">
        <v>996</v>
      </c>
      <c r="C101" s="16" t="s">
        <v>997</v>
      </c>
      <c r="D101" s="16" t="s">
        <v>998</v>
      </c>
      <c r="E101" s="296"/>
      <c r="F101" s="296"/>
      <c r="G101" s="12">
        <f t="shared" si="1"/>
        <v>0</v>
      </c>
      <c r="H101" s="13" t="str">
        <f t="shared" si="2"/>
        <v> ACA Signups +  Medicare Signups</v>
      </c>
    </row>
    <row r="102" hidden="1">
      <c r="A102" s="6" t="s">
        <v>266</v>
      </c>
      <c r="B102" s="16" t="s">
        <v>1008</v>
      </c>
      <c r="C102" s="16" t="s">
        <v>1009</v>
      </c>
      <c r="D102" s="16" t="s">
        <v>1010</v>
      </c>
      <c r="E102" s="296"/>
      <c r="F102" s="296"/>
      <c r="G102" s="12">
        <f t="shared" si="1"/>
        <v>0</v>
      </c>
      <c r="H102" s="13" t="str">
        <f t="shared" si="2"/>
        <v> ACA Signups +  Medicare Signups</v>
      </c>
    </row>
    <row r="103" hidden="1">
      <c r="A103" s="6" t="s">
        <v>266</v>
      </c>
      <c r="B103" s="16" t="s">
        <v>999</v>
      </c>
      <c r="C103" s="16" t="s">
        <v>1000</v>
      </c>
      <c r="D103" s="16" t="s">
        <v>1001</v>
      </c>
      <c r="E103" s="296"/>
      <c r="F103" s="296"/>
      <c r="G103" s="12">
        <f t="shared" si="1"/>
        <v>0</v>
      </c>
      <c r="H103" s="13" t="str">
        <f t="shared" si="2"/>
        <v> ACA Signups +  Medicare Signups</v>
      </c>
    </row>
    <row r="104" hidden="1">
      <c r="A104" s="6" t="s">
        <v>266</v>
      </c>
      <c r="B104" s="16" t="s">
        <v>1002</v>
      </c>
      <c r="C104" s="16" t="s">
        <v>1003</v>
      </c>
      <c r="D104" s="16" t="s">
        <v>1004</v>
      </c>
      <c r="E104" s="296"/>
      <c r="F104" s="296"/>
      <c r="G104" s="12">
        <f t="shared" si="1"/>
        <v>0</v>
      </c>
      <c r="H104" s="13" t="str">
        <f t="shared" si="2"/>
        <v> ACA Signups +  Medicare Signups</v>
      </c>
    </row>
    <row r="105" hidden="1">
      <c r="A105" s="6" t="s">
        <v>266</v>
      </c>
      <c r="B105" s="16" t="s">
        <v>1005</v>
      </c>
      <c r="C105" s="16" t="s">
        <v>1006</v>
      </c>
      <c r="D105" s="16" t="s">
        <v>1007</v>
      </c>
      <c r="E105" s="296"/>
      <c r="F105" s="296"/>
      <c r="G105" s="12">
        <f t="shared" si="1"/>
        <v>0</v>
      </c>
      <c r="H105" s="13" t="str">
        <f t="shared" si="2"/>
        <v> ACA Signups +  Medicare Signups</v>
      </c>
    </row>
    <row r="106" hidden="1">
      <c r="A106" s="6" t="s">
        <v>270</v>
      </c>
      <c r="B106" s="7" t="s">
        <v>1011</v>
      </c>
      <c r="C106" s="16" t="s">
        <v>1012</v>
      </c>
      <c r="D106" s="16" t="s">
        <v>1013</v>
      </c>
      <c r="E106" s="235">
        <v>0.0</v>
      </c>
      <c r="F106" s="264">
        <v>0.0</v>
      </c>
      <c r="G106" s="12">
        <f t="shared" si="1"/>
        <v>0</v>
      </c>
      <c r="H106" s="13" t="str">
        <f t="shared" si="2"/>
        <v>0 ACA Signups + 0 Medicare Signups</v>
      </c>
    </row>
    <row r="107" hidden="1">
      <c r="A107" s="6" t="s">
        <v>270</v>
      </c>
      <c r="B107" s="16" t="s">
        <v>987</v>
      </c>
      <c r="C107" s="16" t="s">
        <v>988</v>
      </c>
      <c r="D107" s="16" t="s">
        <v>989</v>
      </c>
      <c r="E107" s="235">
        <v>0.0</v>
      </c>
      <c r="F107" s="264">
        <v>0.0</v>
      </c>
      <c r="G107" s="12">
        <f t="shared" si="1"/>
        <v>0</v>
      </c>
      <c r="H107" s="13" t="str">
        <f t="shared" si="2"/>
        <v>0 ACA Signups + 0 Medicare Signups</v>
      </c>
    </row>
    <row r="108" hidden="1">
      <c r="A108" s="6" t="s">
        <v>270</v>
      </c>
      <c r="B108" s="16" t="s">
        <v>990</v>
      </c>
      <c r="C108" s="16" t="s">
        <v>991</v>
      </c>
      <c r="D108" s="16" t="s">
        <v>992</v>
      </c>
      <c r="E108" s="235">
        <v>0.0</v>
      </c>
      <c r="F108" s="264">
        <v>0.0</v>
      </c>
      <c r="G108" s="12">
        <f t="shared" si="1"/>
        <v>0</v>
      </c>
      <c r="H108" s="13" t="str">
        <f t="shared" si="2"/>
        <v>0 ACA Signups + 0 Medicare Signups</v>
      </c>
    </row>
    <row r="109" hidden="1">
      <c r="A109" s="6" t="s">
        <v>270</v>
      </c>
      <c r="B109" s="16" t="s">
        <v>993</v>
      </c>
      <c r="C109" s="16" t="s">
        <v>994</v>
      </c>
      <c r="D109" s="16" t="s">
        <v>995</v>
      </c>
      <c r="E109" s="235">
        <v>0.0</v>
      </c>
      <c r="F109" s="264">
        <v>0.0</v>
      </c>
      <c r="G109" s="12">
        <f t="shared" si="1"/>
        <v>0</v>
      </c>
      <c r="H109" s="13" t="str">
        <f t="shared" si="2"/>
        <v>0 ACA Signups + 0 Medicare Signups</v>
      </c>
    </row>
    <row r="110" hidden="1">
      <c r="A110" s="6" t="s">
        <v>270</v>
      </c>
      <c r="B110" s="16" t="s">
        <v>996</v>
      </c>
      <c r="C110" s="16" t="s">
        <v>997</v>
      </c>
      <c r="D110" s="16" t="s">
        <v>998</v>
      </c>
      <c r="E110" s="235">
        <v>0.0</v>
      </c>
      <c r="F110" s="264">
        <v>0.0</v>
      </c>
      <c r="G110" s="12">
        <f t="shared" si="1"/>
        <v>0</v>
      </c>
      <c r="H110" s="13" t="str">
        <f t="shared" si="2"/>
        <v>0 ACA Signups + 0 Medicare Signups</v>
      </c>
    </row>
    <row r="111" hidden="1">
      <c r="A111" s="6" t="s">
        <v>270</v>
      </c>
      <c r="B111" s="16" t="s">
        <v>1008</v>
      </c>
      <c r="C111" s="16" t="s">
        <v>1009</v>
      </c>
      <c r="D111" s="16" t="s">
        <v>1010</v>
      </c>
      <c r="E111" s="235">
        <v>0.0</v>
      </c>
      <c r="F111" s="264">
        <v>0.0</v>
      </c>
      <c r="G111" s="12">
        <f t="shared" si="1"/>
        <v>0</v>
      </c>
      <c r="H111" s="13" t="str">
        <f t="shared" si="2"/>
        <v>0 ACA Signups + 0 Medicare Signups</v>
      </c>
    </row>
    <row r="112" hidden="1">
      <c r="A112" s="6" t="s">
        <v>270</v>
      </c>
      <c r="B112" s="16" t="s">
        <v>999</v>
      </c>
      <c r="C112" s="16" t="s">
        <v>1000</v>
      </c>
      <c r="D112" s="16" t="s">
        <v>1001</v>
      </c>
      <c r="E112" s="235">
        <v>0.0</v>
      </c>
      <c r="F112" s="264">
        <v>0.0</v>
      </c>
      <c r="G112" s="12">
        <f t="shared" si="1"/>
        <v>0</v>
      </c>
      <c r="H112" s="13" t="str">
        <f t="shared" si="2"/>
        <v>0 ACA Signups + 0 Medicare Signups</v>
      </c>
    </row>
    <row r="113" hidden="1">
      <c r="A113" s="6" t="s">
        <v>270</v>
      </c>
      <c r="B113" s="16" t="s">
        <v>1002</v>
      </c>
      <c r="C113" s="16" t="s">
        <v>1003</v>
      </c>
      <c r="D113" s="16" t="s">
        <v>1004</v>
      </c>
      <c r="E113" s="235">
        <v>0.0</v>
      </c>
      <c r="F113" s="264">
        <v>0.0</v>
      </c>
      <c r="G113" s="12">
        <f t="shared" si="1"/>
        <v>0</v>
      </c>
      <c r="H113" s="13" t="str">
        <f t="shared" si="2"/>
        <v>0 ACA Signups + 0 Medicare Signups</v>
      </c>
    </row>
    <row r="114" hidden="1">
      <c r="A114" s="6" t="s">
        <v>270</v>
      </c>
      <c r="B114" s="16" t="s">
        <v>1005</v>
      </c>
      <c r="C114" s="16" t="s">
        <v>1006</v>
      </c>
      <c r="D114" s="16" t="s">
        <v>1007</v>
      </c>
      <c r="E114" s="235">
        <v>0.0</v>
      </c>
      <c r="F114" s="264">
        <v>0.0</v>
      </c>
      <c r="G114" s="12">
        <f t="shared" si="1"/>
        <v>0</v>
      </c>
      <c r="H114" s="13" t="str">
        <f t="shared" si="2"/>
        <v>0 ACA Signups + 0 Medicare Signups</v>
      </c>
    </row>
    <row r="115" hidden="1">
      <c r="A115" s="6" t="s">
        <v>297</v>
      </c>
      <c r="B115" s="7" t="s">
        <v>1011</v>
      </c>
      <c r="C115" s="16" t="s">
        <v>1012</v>
      </c>
      <c r="D115" s="16" t="s">
        <v>1013</v>
      </c>
      <c r="E115" s="78"/>
      <c r="F115" s="78"/>
      <c r="G115" s="12">
        <f t="shared" si="1"/>
        <v>0</v>
      </c>
      <c r="H115" s="13" t="str">
        <f t="shared" si="2"/>
        <v> ACA Signups +  Medicare Signups</v>
      </c>
    </row>
    <row r="116" hidden="1">
      <c r="A116" s="6" t="s">
        <v>297</v>
      </c>
      <c r="B116" s="16" t="s">
        <v>987</v>
      </c>
      <c r="C116" s="16" t="s">
        <v>988</v>
      </c>
      <c r="D116" s="16" t="s">
        <v>989</v>
      </c>
      <c r="E116" s="297"/>
      <c r="F116" s="297"/>
      <c r="G116" s="12">
        <f t="shared" si="1"/>
        <v>0</v>
      </c>
      <c r="H116" s="13" t="str">
        <f t="shared" si="2"/>
        <v> ACA Signups +  Medicare Signups</v>
      </c>
    </row>
    <row r="117" hidden="1">
      <c r="A117" s="6" t="s">
        <v>297</v>
      </c>
      <c r="B117" s="16" t="s">
        <v>990</v>
      </c>
      <c r="C117" s="16" t="s">
        <v>991</v>
      </c>
      <c r="D117" s="16" t="s">
        <v>992</v>
      </c>
      <c r="E117" s="297"/>
      <c r="F117" s="297"/>
      <c r="G117" s="12">
        <f t="shared" si="1"/>
        <v>0</v>
      </c>
      <c r="H117" s="13" t="str">
        <f t="shared" si="2"/>
        <v> ACA Signups +  Medicare Signups</v>
      </c>
    </row>
    <row r="118" hidden="1">
      <c r="A118" s="6" t="s">
        <v>297</v>
      </c>
      <c r="B118" s="16" t="s">
        <v>993</v>
      </c>
      <c r="C118" s="16" t="s">
        <v>994</v>
      </c>
      <c r="D118" s="16" t="s">
        <v>995</v>
      </c>
      <c r="E118" s="297"/>
      <c r="F118" s="297"/>
      <c r="G118" s="12">
        <f t="shared" si="1"/>
        <v>0</v>
      </c>
      <c r="H118" s="13" t="str">
        <f t="shared" si="2"/>
        <v> ACA Signups +  Medicare Signups</v>
      </c>
    </row>
    <row r="119" hidden="1">
      <c r="A119" s="6" t="s">
        <v>297</v>
      </c>
      <c r="B119" s="16" t="s">
        <v>996</v>
      </c>
      <c r="C119" s="16" t="s">
        <v>997</v>
      </c>
      <c r="D119" s="16" t="s">
        <v>998</v>
      </c>
      <c r="E119" s="297"/>
      <c r="F119" s="297"/>
      <c r="G119" s="12">
        <f t="shared" si="1"/>
        <v>0</v>
      </c>
      <c r="H119" s="13" t="str">
        <f t="shared" si="2"/>
        <v> ACA Signups +  Medicare Signups</v>
      </c>
    </row>
    <row r="120" hidden="1">
      <c r="A120" s="6" t="s">
        <v>297</v>
      </c>
      <c r="B120" s="16" t="s">
        <v>1008</v>
      </c>
      <c r="C120" s="16" t="s">
        <v>1009</v>
      </c>
      <c r="D120" s="16" t="s">
        <v>1010</v>
      </c>
      <c r="E120" s="297"/>
      <c r="F120" s="297"/>
      <c r="G120" s="12">
        <f t="shared" si="1"/>
        <v>0</v>
      </c>
      <c r="H120" s="13" t="str">
        <f t="shared" si="2"/>
        <v> ACA Signups +  Medicare Signups</v>
      </c>
    </row>
    <row r="121" hidden="1">
      <c r="A121" s="6" t="s">
        <v>297</v>
      </c>
      <c r="B121" s="16" t="s">
        <v>999</v>
      </c>
      <c r="C121" s="16" t="s">
        <v>1000</v>
      </c>
      <c r="D121" s="16" t="s">
        <v>1001</v>
      </c>
      <c r="E121" s="78"/>
      <c r="F121" s="78"/>
      <c r="G121" s="12">
        <f t="shared" si="1"/>
        <v>0</v>
      </c>
      <c r="H121" s="13" t="str">
        <f t="shared" si="2"/>
        <v> ACA Signups +  Medicare Signups</v>
      </c>
    </row>
    <row r="122" hidden="1">
      <c r="A122" s="6" t="s">
        <v>297</v>
      </c>
      <c r="B122" s="16" t="s">
        <v>1002</v>
      </c>
      <c r="C122" s="16" t="s">
        <v>1003</v>
      </c>
      <c r="D122" s="16" t="s">
        <v>1004</v>
      </c>
      <c r="E122" s="78"/>
      <c r="F122" s="78"/>
      <c r="G122" s="12">
        <f t="shared" si="1"/>
        <v>0</v>
      </c>
      <c r="H122" s="13" t="str">
        <f t="shared" si="2"/>
        <v> ACA Signups +  Medicare Signups</v>
      </c>
    </row>
    <row r="123" hidden="1">
      <c r="A123" s="6" t="s">
        <v>297</v>
      </c>
      <c r="B123" s="16" t="s">
        <v>1005</v>
      </c>
      <c r="C123" s="16" t="s">
        <v>1006</v>
      </c>
      <c r="D123" s="16" t="s">
        <v>1007</v>
      </c>
      <c r="E123" s="297"/>
      <c r="F123" s="297"/>
      <c r="G123" s="12">
        <f t="shared" si="1"/>
        <v>0</v>
      </c>
      <c r="H123" s="13" t="str">
        <f t="shared" si="2"/>
        <v> ACA Signups +  Medicare Signups</v>
      </c>
    </row>
    <row r="124" hidden="1">
      <c r="A124" s="6" t="s">
        <v>298</v>
      </c>
      <c r="B124" s="7" t="s">
        <v>1011</v>
      </c>
      <c r="C124" s="16" t="s">
        <v>1012</v>
      </c>
      <c r="D124" s="16" t="s">
        <v>1013</v>
      </c>
      <c r="E124" s="76"/>
      <c r="F124" s="76"/>
      <c r="G124" s="12">
        <f t="shared" si="1"/>
        <v>0</v>
      </c>
      <c r="H124" s="13" t="str">
        <f t="shared" si="2"/>
        <v> ACA Signups +  Medicare Signups</v>
      </c>
    </row>
    <row r="125" hidden="1">
      <c r="A125" s="6" t="s">
        <v>298</v>
      </c>
      <c r="B125" s="16" t="s">
        <v>987</v>
      </c>
      <c r="C125" s="16" t="s">
        <v>988</v>
      </c>
      <c r="D125" s="16" t="s">
        <v>989</v>
      </c>
      <c r="E125" s="77"/>
      <c r="F125" s="77"/>
      <c r="G125" s="12">
        <f t="shared" si="1"/>
        <v>0</v>
      </c>
      <c r="H125" s="13" t="str">
        <f t="shared" si="2"/>
        <v> ACA Signups +  Medicare Signups</v>
      </c>
    </row>
    <row r="126" hidden="1">
      <c r="A126" s="6" t="s">
        <v>298</v>
      </c>
      <c r="B126" s="16" t="s">
        <v>990</v>
      </c>
      <c r="C126" s="16" t="s">
        <v>991</v>
      </c>
      <c r="D126" s="16" t="s">
        <v>992</v>
      </c>
      <c r="E126" s="235">
        <v>1.0</v>
      </c>
      <c r="F126" s="264">
        <v>0.0</v>
      </c>
      <c r="G126" s="12">
        <f t="shared" si="1"/>
        <v>250</v>
      </c>
      <c r="H126" s="13" t="str">
        <f t="shared" si="2"/>
        <v>1 ACA Signups + 0 Medicare Signups</v>
      </c>
    </row>
    <row r="127" hidden="1">
      <c r="A127" s="6" t="s">
        <v>298</v>
      </c>
      <c r="B127" s="16" t="s">
        <v>993</v>
      </c>
      <c r="C127" s="16" t="s">
        <v>994</v>
      </c>
      <c r="D127" s="16" t="s">
        <v>995</v>
      </c>
      <c r="E127" s="235">
        <v>1.0</v>
      </c>
      <c r="F127" s="264">
        <v>0.0</v>
      </c>
      <c r="G127" s="12">
        <f t="shared" si="1"/>
        <v>250</v>
      </c>
      <c r="H127" s="13" t="str">
        <f t="shared" si="2"/>
        <v>1 ACA Signups + 0 Medicare Signups</v>
      </c>
    </row>
    <row r="128" hidden="1">
      <c r="A128" s="6" t="s">
        <v>298</v>
      </c>
      <c r="B128" s="16" t="s">
        <v>996</v>
      </c>
      <c r="C128" s="16" t="s">
        <v>997</v>
      </c>
      <c r="D128" s="16" t="s">
        <v>998</v>
      </c>
      <c r="E128" s="232">
        <v>0.0</v>
      </c>
      <c r="F128" s="298">
        <v>0.0</v>
      </c>
      <c r="G128" s="12">
        <f t="shared" si="1"/>
        <v>0</v>
      </c>
      <c r="H128" s="13" t="str">
        <f t="shared" si="2"/>
        <v>0 ACA Signups + 0 Medicare Signups</v>
      </c>
    </row>
    <row r="129" hidden="1">
      <c r="A129" s="6" t="s">
        <v>298</v>
      </c>
      <c r="B129" s="16" t="s">
        <v>1008</v>
      </c>
      <c r="C129" s="16" t="s">
        <v>1009</v>
      </c>
      <c r="D129" s="16" t="s">
        <v>1010</v>
      </c>
      <c r="E129" s="129"/>
      <c r="F129" s="77"/>
      <c r="G129" s="12">
        <f t="shared" si="1"/>
        <v>0</v>
      </c>
      <c r="H129" s="13" t="str">
        <f t="shared" si="2"/>
        <v> ACA Signups +  Medicare Signups</v>
      </c>
    </row>
    <row r="130" hidden="1">
      <c r="A130" s="6" t="s">
        <v>298</v>
      </c>
      <c r="B130" s="16" t="s">
        <v>999</v>
      </c>
      <c r="C130" s="16" t="s">
        <v>1000</v>
      </c>
      <c r="D130" s="16" t="s">
        <v>1001</v>
      </c>
      <c r="E130" s="77"/>
      <c r="F130" s="77"/>
      <c r="G130" s="12">
        <f t="shared" si="1"/>
        <v>0</v>
      </c>
      <c r="H130" s="13" t="str">
        <f t="shared" si="2"/>
        <v> ACA Signups +  Medicare Signups</v>
      </c>
    </row>
    <row r="131" hidden="1">
      <c r="A131" s="6" t="s">
        <v>298</v>
      </c>
      <c r="B131" s="16" t="s">
        <v>1002</v>
      </c>
      <c r="C131" s="16" t="s">
        <v>1003</v>
      </c>
      <c r="D131" s="16" t="s">
        <v>1004</v>
      </c>
      <c r="E131" s="77"/>
      <c r="F131" s="77"/>
      <c r="G131" s="12">
        <f t="shared" si="1"/>
        <v>0</v>
      </c>
      <c r="H131" s="13" t="str">
        <f t="shared" si="2"/>
        <v> ACA Signups +  Medicare Signups</v>
      </c>
    </row>
    <row r="132" hidden="1">
      <c r="A132" s="6" t="s">
        <v>298</v>
      </c>
      <c r="B132" s="16" t="s">
        <v>1005</v>
      </c>
      <c r="C132" s="16" t="s">
        <v>1006</v>
      </c>
      <c r="D132" s="16" t="s">
        <v>1007</v>
      </c>
      <c r="E132" s="235">
        <v>1.0</v>
      </c>
      <c r="F132" s="264">
        <v>0.0</v>
      </c>
      <c r="G132" s="12">
        <f t="shared" si="1"/>
        <v>250</v>
      </c>
      <c r="H132" s="13" t="str">
        <f t="shared" si="2"/>
        <v>1 ACA Signups + 0 Medicare Signups</v>
      </c>
    </row>
    <row r="133" hidden="1">
      <c r="A133" s="6" t="s">
        <v>299</v>
      </c>
      <c r="B133" s="7" t="s">
        <v>1011</v>
      </c>
      <c r="C133" s="16" t="s">
        <v>1012</v>
      </c>
      <c r="D133" s="16" t="s">
        <v>1013</v>
      </c>
      <c r="E133" s="129"/>
      <c r="F133" s="129"/>
      <c r="G133" s="12">
        <f t="shared" si="1"/>
        <v>0</v>
      </c>
      <c r="H133" s="13" t="str">
        <f t="shared" si="2"/>
        <v> ACA Signups +  Medicare Signups</v>
      </c>
    </row>
    <row r="134" hidden="1">
      <c r="A134" s="6" t="s">
        <v>299</v>
      </c>
      <c r="B134" s="16" t="s">
        <v>987</v>
      </c>
      <c r="C134" s="16" t="s">
        <v>988</v>
      </c>
      <c r="D134" s="16" t="s">
        <v>989</v>
      </c>
      <c r="E134" s="18">
        <v>0.0</v>
      </c>
      <c r="F134" s="58">
        <v>0.0</v>
      </c>
      <c r="G134" s="12">
        <f t="shared" si="1"/>
        <v>0</v>
      </c>
      <c r="H134" s="13" t="str">
        <f t="shared" si="2"/>
        <v>0 ACA Signups + 0 Medicare Signups</v>
      </c>
    </row>
    <row r="135" hidden="1">
      <c r="A135" s="6" t="s">
        <v>299</v>
      </c>
      <c r="B135" s="16" t="s">
        <v>990</v>
      </c>
      <c r="C135" s="16" t="s">
        <v>991</v>
      </c>
      <c r="D135" s="16" t="s">
        <v>992</v>
      </c>
      <c r="E135" s="18">
        <v>0.0</v>
      </c>
      <c r="F135" s="58">
        <v>0.0</v>
      </c>
      <c r="G135" s="12">
        <f t="shared" si="1"/>
        <v>0</v>
      </c>
      <c r="H135" s="13" t="str">
        <f t="shared" si="2"/>
        <v>0 ACA Signups + 0 Medicare Signups</v>
      </c>
    </row>
    <row r="136" hidden="1">
      <c r="A136" s="6" t="s">
        <v>299</v>
      </c>
      <c r="B136" s="16" t="s">
        <v>993</v>
      </c>
      <c r="C136" s="16" t="s">
        <v>994</v>
      </c>
      <c r="D136" s="16" t="s">
        <v>995</v>
      </c>
      <c r="E136" s="18">
        <v>0.0</v>
      </c>
      <c r="F136" s="58">
        <v>0.0</v>
      </c>
      <c r="G136" s="12">
        <f t="shared" si="1"/>
        <v>0</v>
      </c>
      <c r="H136" s="13" t="str">
        <f t="shared" si="2"/>
        <v>0 ACA Signups + 0 Medicare Signups</v>
      </c>
    </row>
    <row r="137" hidden="1">
      <c r="A137" s="6" t="s">
        <v>299</v>
      </c>
      <c r="B137" s="16" t="s">
        <v>996</v>
      </c>
      <c r="C137" s="16" t="s">
        <v>997</v>
      </c>
      <c r="D137" s="16" t="s">
        <v>998</v>
      </c>
      <c r="E137" s="235">
        <v>2.0</v>
      </c>
      <c r="F137" s="58">
        <v>0.0</v>
      </c>
      <c r="G137" s="12">
        <f t="shared" si="1"/>
        <v>500</v>
      </c>
      <c r="H137" s="13" t="str">
        <f t="shared" si="2"/>
        <v>2 ACA Signups + 0 Medicare Signups</v>
      </c>
    </row>
    <row r="138" hidden="1">
      <c r="A138" s="6" t="s">
        <v>299</v>
      </c>
      <c r="B138" s="16" t="s">
        <v>1008</v>
      </c>
      <c r="C138" s="16" t="s">
        <v>1009</v>
      </c>
      <c r="D138" s="16" t="s">
        <v>1010</v>
      </c>
      <c r="E138" s="18">
        <v>0.0</v>
      </c>
      <c r="F138" s="58">
        <v>0.0</v>
      </c>
      <c r="G138" s="12">
        <f t="shared" si="1"/>
        <v>0</v>
      </c>
      <c r="H138" s="13" t="str">
        <f t="shared" si="2"/>
        <v>0 ACA Signups + 0 Medicare Signups</v>
      </c>
    </row>
    <row r="139" hidden="1">
      <c r="A139" s="6" t="s">
        <v>299</v>
      </c>
      <c r="B139" s="16" t="s">
        <v>999</v>
      </c>
      <c r="C139" s="16" t="s">
        <v>1000</v>
      </c>
      <c r="D139" s="16" t="s">
        <v>1001</v>
      </c>
      <c r="E139" s="18">
        <v>0.0</v>
      </c>
      <c r="F139" s="58">
        <v>0.0</v>
      </c>
      <c r="G139" s="12">
        <f t="shared" si="1"/>
        <v>0</v>
      </c>
      <c r="H139" s="13" t="str">
        <f t="shared" si="2"/>
        <v>0 ACA Signups + 0 Medicare Signups</v>
      </c>
    </row>
    <row r="140" hidden="1">
      <c r="A140" s="6" t="s">
        <v>299</v>
      </c>
      <c r="B140" s="16" t="s">
        <v>1002</v>
      </c>
      <c r="C140" s="16" t="s">
        <v>1003</v>
      </c>
      <c r="D140" s="16" t="s">
        <v>1004</v>
      </c>
      <c r="E140" s="18">
        <v>0.0</v>
      </c>
      <c r="F140" s="58">
        <v>0.0</v>
      </c>
      <c r="G140" s="12">
        <f t="shared" si="1"/>
        <v>0</v>
      </c>
      <c r="H140" s="13" t="str">
        <f t="shared" si="2"/>
        <v>0 ACA Signups + 0 Medicare Signups</v>
      </c>
    </row>
    <row r="141" hidden="1">
      <c r="A141" s="6" t="s">
        <v>299</v>
      </c>
      <c r="B141" s="16" t="s">
        <v>1005</v>
      </c>
      <c r="C141" s="16" t="s">
        <v>1006</v>
      </c>
      <c r="D141" s="16" t="s">
        <v>1007</v>
      </c>
      <c r="E141" s="235">
        <v>1.0</v>
      </c>
      <c r="F141" s="58">
        <v>0.0</v>
      </c>
      <c r="G141" s="12">
        <f t="shared" si="1"/>
        <v>250</v>
      </c>
      <c r="H141" s="13" t="str">
        <f t="shared" si="2"/>
        <v>1 ACA Signups + 0 Medicare Signups</v>
      </c>
    </row>
    <row r="142" hidden="1">
      <c r="A142" s="6" t="s">
        <v>300</v>
      </c>
      <c r="B142" s="7" t="s">
        <v>1011</v>
      </c>
      <c r="C142" s="16" t="s">
        <v>1012</v>
      </c>
      <c r="D142" s="16" t="s">
        <v>1013</v>
      </c>
      <c r="E142" s="235">
        <v>0.0</v>
      </c>
      <c r="F142" s="264">
        <v>0.0</v>
      </c>
      <c r="G142" s="12">
        <f t="shared" si="1"/>
        <v>0</v>
      </c>
      <c r="H142" s="13" t="str">
        <f t="shared" si="2"/>
        <v>0 ACA Signups + 0 Medicare Signups</v>
      </c>
    </row>
    <row r="143" hidden="1">
      <c r="A143" s="6" t="s">
        <v>300</v>
      </c>
      <c r="B143" s="16" t="s">
        <v>987</v>
      </c>
      <c r="C143" s="16" t="s">
        <v>988</v>
      </c>
      <c r="D143" s="16" t="s">
        <v>989</v>
      </c>
      <c r="E143" s="235">
        <v>0.0</v>
      </c>
      <c r="F143" s="264">
        <v>0.0</v>
      </c>
      <c r="G143" s="12">
        <f t="shared" si="1"/>
        <v>0</v>
      </c>
      <c r="H143" s="13" t="str">
        <f t="shared" si="2"/>
        <v>0 ACA Signups + 0 Medicare Signups</v>
      </c>
    </row>
    <row r="144" hidden="1">
      <c r="A144" s="6" t="s">
        <v>300</v>
      </c>
      <c r="B144" s="16" t="s">
        <v>990</v>
      </c>
      <c r="C144" s="16" t="s">
        <v>991</v>
      </c>
      <c r="D144" s="16" t="s">
        <v>992</v>
      </c>
      <c r="E144" s="235">
        <v>1.0</v>
      </c>
      <c r="F144" s="264">
        <v>0.0</v>
      </c>
      <c r="G144" s="12">
        <f t="shared" si="1"/>
        <v>250</v>
      </c>
      <c r="H144" s="13" t="str">
        <f t="shared" si="2"/>
        <v>1 ACA Signups + 0 Medicare Signups</v>
      </c>
    </row>
    <row r="145" hidden="1">
      <c r="A145" s="6" t="s">
        <v>300</v>
      </c>
      <c r="B145" s="16" t="s">
        <v>993</v>
      </c>
      <c r="C145" s="16" t="s">
        <v>994</v>
      </c>
      <c r="D145" s="16" t="s">
        <v>995</v>
      </c>
      <c r="E145" s="235">
        <v>1.0</v>
      </c>
      <c r="F145" s="264">
        <v>0.0</v>
      </c>
      <c r="G145" s="12">
        <f t="shared" si="1"/>
        <v>250</v>
      </c>
      <c r="H145" s="13" t="str">
        <f t="shared" si="2"/>
        <v>1 ACA Signups + 0 Medicare Signups</v>
      </c>
    </row>
    <row r="146" hidden="1">
      <c r="A146" s="6" t="s">
        <v>300</v>
      </c>
      <c r="B146" s="16" t="s">
        <v>996</v>
      </c>
      <c r="C146" s="16" t="s">
        <v>997</v>
      </c>
      <c r="D146" s="16" t="s">
        <v>998</v>
      </c>
      <c r="E146" s="235">
        <v>0.0</v>
      </c>
      <c r="F146" s="264">
        <v>0.0</v>
      </c>
      <c r="G146" s="12">
        <f t="shared" si="1"/>
        <v>0</v>
      </c>
      <c r="H146" s="13" t="str">
        <f t="shared" si="2"/>
        <v>0 ACA Signups + 0 Medicare Signups</v>
      </c>
    </row>
    <row r="147" hidden="1">
      <c r="A147" s="6" t="s">
        <v>300</v>
      </c>
      <c r="B147" s="16" t="s">
        <v>1008</v>
      </c>
      <c r="C147" s="16" t="s">
        <v>1009</v>
      </c>
      <c r="D147" s="16" t="s">
        <v>1010</v>
      </c>
      <c r="E147" s="235">
        <v>0.0</v>
      </c>
      <c r="F147" s="264">
        <v>0.0</v>
      </c>
      <c r="G147" s="12">
        <f t="shared" si="1"/>
        <v>0</v>
      </c>
      <c r="H147" s="13" t="str">
        <f t="shared" si="2"/>
        <v>0 ACA Signups + 0 Medicare Signups</v>
      </c>
    </row>
    <row r="148" hidden="1">
      <c r="A148" s="6" t="s">
        <v>300</v>
      </c>
      <c r="B148" s="16" t="s">
        <v>999</v>
      </c>
      <c r="C148" s="16" t="s">
        <v>1000</v>
      </c>
      <c r="D148" s="16" t="s">
        <v>1001</v>
      </c>
      <c r="E148" s="235">
        <v>0.0</v>
      </c>
      <c r="F148" s="264">
        <v>0.0</v>
      </c>
      <c r="G148" s="12">
        <f t="shared" si="1"/>
        <v>0</v>
      </c>
      <c r="H148" s="13" t="str">
        <f t="shared" si="2"/>
        <v>0 ACA Signups + 0 Medicare Signups</v>
      </c>
    </row>
    <row r="149" hidden="1">
      <c r="A149" s="6" t="s">
        <v>300</v>
      </c>
      <c r="B149" s="16" t="s">
        <v>1002</v>
      </c>
      <c r="C149" s="16" t="s">
        <v>1003</v>
      </c>
      <c r="D149" s="16" t="s">
        <v>1004</v>
      </c>
      <c r="E149" s="235">
        <v>0.0</v>
      </c>
      <c r="F149" s="264">
        <v>0.0</v>
      </c>
      <c r="G149" s="12">
        <f t="shared" si="1"/>
        <v>0</v>
      </c>
      <c r="H149" s="13" t="str">
        <f t="shared" si="2"/>
        <v>0 ACA Signups + 0 Medicare Signups</v>
      </c>
    </row>
    <row r="150" hidden="1">
      <c r="A150" s="6" t="s">
        <v>300</v>
      </c>
      <c r="B150" s="16" t="s">
        <v>1005</v>
      </c>
      <c r="C150" s="16" t="s">
        <v>1006</v>
      </c>
      <c r="D150" s="16" t="s">
        <v>1007</v>
      </c>
      <c r="E150" s="235">
        <v>3.0</v>
      </c>
      <c r="F150" s="264">
        <v>0.0</v>
      </c>
      <c r="G150" s="12">
        <f t="shared" si="1"/>
        <v>750</v>
      </c>
      <c r="H150" s="13" t="str">
        <f t="shared" si="2"/>
        <v>3 ACA Signups + 0 Medicare Signups</v>
      </c>
    </row>
    <row r="151" hidden="1">
      <c r="A151" s="54" t="s">
        <v>301</v>
      </c>
      <c r="B151" s="7" t="s">
        <v>1011</v>
      </c>
      <c r="C151" s="16" t="s">
        <v>1012</v>
      </c>
      <c r="D151" s="16" t="s">
        <v>1013</v>
      </c>
      <c r="E151" s="235">
        <v>0.0</v>
      </c>
      <c r="F151" s="264">
        <v>0.0</v>
      </c>
      <c r="G151" s="12">
        <f t="shared" si="1"/>
        <v>0</v>
      </c>
      <c r="H151" s="13" t="str">
        <f t="shared" si="2"/>
        <v>0 ACA Signups + 0 Medicare Signups</v>
      </c>
    </row>
    <row r="152" hidden="1">
      <c r="A152" s="54" t="s">
        <v>301</v>
      </c>
      <c r="B152" s="16" t="s">
        <v>987</v>
      </c>
      <c r="C152" s="16" t="s">
        <v>988</v>
      </c>
      <c r="D152" s="16" t="s">
        <v>989</v>
      </c>
      <c r="E152" s="235">
        <v>2.0</v>
      </c>
      <c r="F152" s="264">
        <v>0.0</v>
      </c>
      <c r="G152" s="12">
        <f t="shared" si="1"/>
        <v>500</v>
      </c>
      <c r="H152" s="13" t="str">
        <f t="shared" si="2"/>
        <v>2 ACA Signups + 0 Medicare Signups</v>
      </c>
    </row>
    <row r="153" hidden="1">
      <c r="A153" s="54" t="s">
        <v>301</v>
      </c>
      <c r="B153" s="16" t="s">
        <v>990</v>
      </c>
      <c r="C153" s="16" t="s">
        <v>991</v>
      </c>
      <c r="D153" s="16" t="s">
        <v>992</v>
      </c>
      <c r="E153" s="235">
        <v>0.0</v>
      </c>
      <c r="F153" s="264">
        <v>0.0</v>
      </c>
      <c r="G153" s="12">
        <f t="shared" si="1"/>
        <v>0</v>
      </c>
      <c r="H153" s="13" t="str">
        <f t="shared" si="2"/>
        <v>0 ACA Signups + 0 Medicare Signups</v>
      </c>
    </row>
    <row r="154" hidden="1">
      <c r="A154" s="54" t="s">
        <v>301</v>
      </c>
      <c r="B154" s="16" t="s">
        <v>993</v>
      </c>
      <c r="C154" s="16" t="s">
        <v>994</v>
      </c>
      <c r="D154" s="16" t="s">
        <v>995</v>
      </c>
      <c r="E154" s="235">
        <v>0.0</v>
      </c>
      <c r="F154" s="264">
        <v>0.0</v>
      </c>
      <c r="G154" s="12">
        <f t="shared" si="1"/>
        <v>0</v>
      </c>
      <c r="H154" s="13" t="str">
        <f t="shared" si="2"/>
        <v>0 ACA Signups + 0 Medicare Signups</v>
      </c>
    </row>
    <row r="155" hidden="1">
      <c r="A155" s="54" t="s">
        <v>301</v>
      </c>
      <c r="B155" s="16" t="s">
        <v>996</v>
      </c>
      <c r="C155" s="16" t="s">
        <v>997</v>
      </c>
      <c r="D155" s="16" t="s">
        <v>998</v>
      </c>
      <c r="E155" s="235">
        <v>0.0</v>
      </c>
      <c r="F155" s="264">
        <v>0.0</v>
      </c>
      <c r="G155" s="12">
        <f t="shared" si="1"/>
        <v>0</v>
      </c>
      <c r="H155" s="13" t="str">
        <f t="shared" si="2"/>
        <v>0 ACA Signups + 0 Medicare Signups</v>
      </c>
    </row>
    <row r="156" hidden="1">
      <c r="A156" s="54" t="s">
        <v>301</v>
      </c>
      <c r="B156" s="16" t="s">
        <v>1008</v>
      </c>
      <c r="C156" s="16" t="s">
        <v>1009</v>
      </c>
      <c r="D156" s="16" t="s">
        <v>1010</v>
      </c>
      <c r="E156" s="235">
        <v>0.0</v>
      </c>
      <c r="F156" s="264">
        <v>0.0</v>
      </c>
      <c r="G156" s="12">
        <f t="shared" si="1"/>
        <v>0</v>
      </c>
      <c r="H156" s="13" t="str">
        <f t="shared" si="2"/>
        <v>0 ACA Signups + 0 Medicare Signups</v>
      </c>
    </row>
    <row r="157" hidden="1">
      <c r="A157" s="54" t="s">
        <v>301</v>
      </c>
      <c r="B157" s="16" t="s">
        <v>999</v>
      </c>
      <c r="C157" s="16" t="s">
        <v>1000</v>
      </c>
      <c r="D157" s="16" t="s">
        <v>1001</v>
      </c>
      <c r="E157" s="235">
        <v>0.0</v>
      </c>
      <c r="F157" s="264">
        <v>0.0</v>
      </c>
      <c r="G157" s="12">
        <f t="shared" si="1"/>
        <v>0</v>
      </c>
      <c r="H157" s="13" t="str">
        <f t="shared" si="2"/>
        <v>0 ACA Signups + 0 Medicare Signups</v>
      </c>
    </row>
    <row r="158" hidden="1">
      <c r="A158" s="54" t="s">
        <v>301</v>
      </c>
      <c r="B158" s="16" t="s">
        <v>1002</v>
      </c>
      <c r="C158" s="16" t="s">
        <v>1003</v>
      </c>
      <c r="D158" s="16" t="s">
        <v>1004</v>
      </c>
      <c r="E158" s="235">
        <v>0.0</v>
      </c>
      <c r="F158" s="264">
        <v>0.0</v>
      </c>
      <c r="G158" s="12">
        <f t="shared" si="1"/>
        <v>0</v>
      </c>
      <c r="H158" s="13" t="str">
        <f t="shared" si="2"/>
        <v>0 ACA Signups + 0 Medicare Signups</v>
      </c>
    </row>
    <row r="159" hidden="1">
      <c r="A159" s="54" t="s">
        <v>301</v>
      </c>
      <c r="B159" s="16" t="s">
        <v>1005</v>
      </c>
      <c r="C159" s="16" t="s">
        <v>1006</v>
      </c>
      <c r="D159" s="16" t="s">
        <v>1007</v>
      </c>
      <c r="E159" s="235">
        <v>1.0</v>
      </c>
      <c r="F159" s="264">
        <v>0.0</v>
      </c>
      <c r="G159" s="12">
        <f t="shared" si="1"/>
        <v>250</v>
      </c>
      <c r="H159" s="13" t="str">
        <f t="shared" si="2"/>
        <v>1 ACA Signups + 0 Medicare Signups</v>
      </c>
    </row>
    <row r="160" hidden="1">
      <c r="A160" s="54" t="s">
        <v>302</v>
      </c>
      <c r="B160" s="7" t="s">
        <v>1011</v>
      </c>
      <c r="C160" s="7" t="s">
        <v>1012</v>
      </c>
      <c r="D160" s="7" t="s">
        <v>1013</v>
      </c>
      <c r="E160" s="81">
        <v>3.0</v>
      </c>
      <c r="F160" s="81"/>
      <c r="G160" s="12">
        <f t="shared" si="1"/>
        <v>750</v>
      </c>
      <c r="H160" s="13" t="str">
        <f t="shared" si="2"/>
        <v>3 ACA Signups +  Medicare Signups</v>
      </c>
    </row>
    <row r="161" hidden="1">
      <c r="A161" s="54" t="s">
        <v>302</v>
      </c>
      <c r="B161" s="16" t="s">
        <v>987</v>
      </c>
      <c r="C161" s="16" t="s">
        <v>988</v>
      </c>
      <c r="D161" s="16" t="s">
        <v>989</v>
      </c>
      <c r="E161" s="81">
        <v>3.0</v>
      </c>
      <c r="F161" s="81">
        <v>0.0</v>
      </c>
      <c r="G161" s="12">
        <f t="shared" si="1"/>
        <v>750</v>
      </c>
      <c r="H161" s="13" t="str">
        <f t="shared" si="2"/>
        <v>3 ACA Signups + 0 Medicare Signups</v>
      </c>
    </row>
    <row r="162" hidden="1">
      <c r="A162" s="54" t="s">
        <v>302</v>
      </c>
      <c r="B162" s="16" t="s">
        <v>990</v>
      </c>
      <c r="C162" s="16" t="s">
        <v>991</v>
      </c>
      <c r="D162" s="16" t="s">
        <v>992</v>
      </c>
      <c r="E162" s="81">
        <v>0.0</v>
      </c>
      <c r="F162" s="81">
        <v>0.0</v>
      </c>
      <c r="G162" s="12">
        <f t="shared" si="1"/>
        <v>0</v>
      </c>
      <c r="H162" s="13" t="str">
        <f t="shared" si="2"/>
        <v>0 ACA Signups + 0 Medicare Signups</v>
      </c>
    </row>
    <row r="163" hidden="1">
      <c r="A163" s="54" t="s">
        <v>302</v>
      </c>
      <c r="B163" s="16" t="s">
        <v>993</v>
      </c>
      <c r="C163" s="16" t="s">
        <v>994</v>
      </c>
      <c r="D163" s="16" t="s">
        <v>995</v>
      </c>
      <c r="E163" s="81">
        <v>0.0</v>
      </c>
      <c r="F163" s="81">
        <v>0.0</v>
      </c>
      <c r="G163" s="12">
        <f t="shared" si="1"/>
        <v>0</v>
      </c>
      <c r="H163" s="13" t="str">
        <f t="shared" si="2"/>
        <v>0 ACA Signups + 0 Medicare Signups</v>
      </c>
    </row>
    <row r="164" hidden="1">
      <c r="A164" s="54" t="s">
        <v>302</v>
      </c>
      <c r="B164" s="16" t="s">
        <v>996</v>
      </c>
      <c r="C164" s="16" t="s">
        <v>997</v>
      </c>
      <c r="D164" s="16" t="s">
        <v>998</v>
      </c>
      <c r="E164" s="81">
        <v>0.0</v>
      </c>
      <c r="F164" s="81">
        <v>0.0</v>
      </c>
      <c r="G164" s="12">
        <f t="shared" si="1"/>
        <v>0</v>
      </c>
      <c r="H164" s="13" t="str">
        <f t="shared" si="2"/>
        <v>0 ACA Signups + 0 Medicare Signups</v>
      </c>
    </row>
    <row r="165" hidden="1">
      <c r="A165" s="54" t="s">
        <v>302</v>
      </c>
      <c r="B165" s="16" t="s">
        <v>1008</v>
      </c>
      <c r="C165" s="16" t="s">
        <v>1009</v>
      </c>
      <c r="D165" s="16" t="s">
        <v>1010</v>
      </c>
      <c r="E165" s="81">
        <v>1.0</v>
      </c>
      <c r="F165" s="81">
        <v>0.0</v>
      </c>
      <c r="G165" s="12">
        <f t="shared" si="1"/>
        <v>250</v>
      </c>
      <c r="H165" s="13" t="str">
        <f t="shared" si="2"/>
        <v>1 ACA Signups + 0 Medicare Signups</v>
      </c>
    </row>
    <row r="166" hidden="1">
      <c r="A166" s="54" t="s">
        <v>302</v>
      </c>
      <c r="B166" s="16" t="s">
        <v>999</v>
      </c>
      <c r="C166" s="16" t="s">
        <v>1000</v>
      </c>
      <c r="D166" s="16" t="s">
        <v>1001</v>
      </c>
      <c r="E166" s="81">
        <v>0.0</v>
      </c>
      <c r="F166" s="81">
        <v>0.0</v>
      </c>
      <c r="G166" s="12">
        <f t="shared" si="1"/>
        <v>0</v>
      </c>
      <c r="H166" s="13" t="str">
        <f t="shared" si="2"/>
        <v>0 ACA Signups + 0 Medicare Signups</v>
      </c>
    </row>
    <row r="167" hidden="1">
      <c r="A167" s="54" t="s">
        <v>302</v>
      </c>
      <c r="B167" s="16" t="s">
        <v>1002</v>
      </c>
      <c r="C167" s="16" t="s">
        <v>1003</v>
      </c>
      <c r="D167" s="16" t="s">
        <v>1004</v>
      </c>
      <c r="E167" s="81">
        <v>0.0</v>
      </c>
      <c r="F167" s="81">
        <v>0.0</v>
      </c>
      <c r="G167" s="12">
        <f t="shared" si="1"/>
        <v>0</v>
      </c>
      <c r="H167" s="13" t="str">
        <f t="shared" si="2"/>
        <v>0 ACA Signups + 0 Medicare Signups</v>
      </c>
    </row>
    <row r="168" hidden="1">
      <c r="A168" s="54" t="s">
        <v>302</v>
      </c>
      <c r="B168" s="16" t="s">
        <v>1005</v>
      </c>
      <c r="C168" s="16" t="s">
        <v>1006</v>
      </c>
      <c r="D168" s="16" t="s">
        <v>1007</v>
      </c>
      <c r="E168" s="81">
        <v>0.0</v>
      </c>
      <c r="F168" s="81">
        <v>0.0</v>
      </c>
      <c r="G168" s="12">
        <f t="shared" si="1"/>
        <v>0</v>
      </c>
      <c r="H168" s="13" t="str">
        <f t="shared" si="2"/>
        <v>0 ACA Signups + 0 Medicare Signups</v>
      </c>
    </row>
    <row r="169" hidden="1">
      <c r="A169" s="88" t="s">
        <v>306</v>
      </c>
      <c r="B169" s="16" t="s">
        <v>987</v>
      </c>
      <c r="C169" s="16" t="s">
        <v>988</v>
      </c>
      <c r="D169" s="16" t="s">
        <v>989</v>
      </c>
      <c r="E169" s="81">
        <v>12.0</v>
      </c>
      <c r="F169" s="81">
        <v>0.0</v>
      </c>
      <c r="G169" s="12">
        <f t="shared" si="1"/>
        <v>3000</v>
      </c>
      <c r="H169" s="13" t="str">
        <f t="shared" si="2"/>
        <v>12 ACA Signups + 0 Medicare Signups</v>
      </c>
    </row>
    <row r="170" hidden="1">
      <c r="A170" s="88" t="s">
        <v>306</v>
      </c>
      <c r="B170" s="16" t="s">
        <v>990</v>
      </c>
      <c r="C170" s="16" t="s">
        <v>991</v>
      </c>
      <c r="D170" s="16" t="s">
        <v>992</v>
      </c>
      <c r="E170" s="81">
        <v>9.0</v>
      </c>
      <c r="F170" s="81">
        <v>0.0</v>
      </c>
      <c r="G170" s="12">
        <f t="shared" si="1"/>
        <v>2250</v>
      </c>
      <c r="H170" s="13" t="str">
        <f t="shared" si="2"/>
        <v>9 ACA Signups + 0 Medicare Signups</v>
      </c>
    </row>
    <row r="171" hidden="1">
      <c r="A171" s="88" t="s">
        <v>306</v>
      </c>
      <c r="B171" s="16" t="s">
        <v>993</v>
      </c>
      <c r="C171" s="16" t="s">
        <v>994</v>
      </c>
      <c r="D171" s="16" t="s">
        <v>995</v>
      </c>
      <c r="E171" s="81">
        <v>6.0</v>
      </c>
      <c r="F171" s="81">
        <v>0.0</v>
      </c>
      <c r="G171" s="12">
        <f t="shared" si="1"/>
        <v>1500</v>
      </c>
      <c r="H171" s="13" t="str">
        <f t="shared" si="2"/>
        <v>6 ACA Signups + 0 Medicare Signups</v>
      </c>
    </row>
    <row r="172" hidden="1">
      <c r="A172" s="88" t="s">
        <v>306</v>
      </c>
      <c r="B172" s="16" t="s">
        <v>996</v>
      </c>
      <c r="C172" s="16" t="s">
        <v>997</v>
      </c>
      <c r="D172" s="16" t="s">
        <v>998</v>
      </c>
      <c r="E172" s="81">
        <v>5.0</v>
      </c>
      <c r="F172" s="81">
        <v>0.0</v>
      </c>
      <c r="G172" s="12">
        <f t="shared" si="1"/>
        <v>1250</v>
      </c>
      <c r="H172" s="13" t="str">
        <f t="shared" si="2"/>
        <v>5 ACA Signups + 0 Medicare Signups</v>
      </c>
    </row>
    <row r="173" hidden="1">
      <c r="A173" s="88" t="s">
        <v>306</v>
      </c>
      <c r="B173" s="16" t="s">
        <v>1008</v>
      </c>
      <c r="C173" s="16" t="s">
        <v>1009</v>
      </c>
      <c r="D173" s="16" t="s">
        <v>1010</v>
      </c>
      <c r="E173" s="81">
        <v>4.0</v>
      </c>
      <c r="F173" s="81">
        <v>0.0</v>
      </c>
      <c r="G173" s="12">
        <f t="shared" si="1"/>
        <v>1000</v>
      </c>
      <c r="H173" s="13" t="str">
        <f t="shared" si="2"/>
        <v>4 ACA Signups + 0 Medicare Signups</v>
      </c>
    </row>
    <row r="174" hidden="1">
      <c r="A174" s="88" t="s">
        <v>306</v>
      </c>
      <c r="B174" s="16" t="s">
        <v>999</v>
      </c>
      <c r="C174" s="16" t="s">
        <v>1000</v>
      </c>
      <c r="D174" s="16" t="s">
        <v>1001</v>
      </c>
      <c r="E174" s="81">
        <v>4.0</v>
      </c>
      <c r="F174" s="81">
        <v>0.0</v>
      </c>
      <c r="G174" s="12">
        <f t="shared" si="1"/>
        <v>1000</v>
      </c>
      <c r="H174" s="13" t="str">
        <f t="shared" si="2"/>
        <v>4 ACA Signups + 0 Medicare Signups</v>
      </c>
    </row>
    <row r="175" hidden="1">
      <c r="A175" s="88" t="s">
        <v>306</v>
      </c>
      <c r="B175" s="16" t="s">
        <v>1002</v>
      </c>
      <c r="C175" s="16" t="s">
        <v>1003</v>
      </c>
      <c r="D175" s="16" t="s">
        <v>1004</v>
      </c>
      <c r="E175" s="81">
        <v>2.0</v>
      </c>
      <c r="F175" s="81">
        <v>0.0</v>
      </c>
      <c r="G175" s="12">
        <f t="shared" si="1"/>
        <v>500</v>
      </c>
      <c r="H175" s="13" t="str">
        <f t="shared" si="2"/>
        <v>2 ACA Signups + 0 Medicare Signups</v>
      </c>
    </row>
    <row r="176" hidden="1">
      <c r="A176" s="88" t="s">
        <v>306</v>
      </c>
      <c r="B176" s="16" t="s">
        <v>1005</v>
      </c>
      <c r="C176" s="16" t="s">
        <v>1006</v>
      </c>
      <c r="D176" s="16" t="s">
        <v>1007</v>
      </c>
      <c r="E176" s="81">
        <v>3.0</v>
      </c>
      <c r="F176" s="81">
        <v>0.0</v>
      </c>
      <c r="G176" s="12">
        <f t="shared" si="1"/>
        <v>750</v>
      </c>
      <c r="H176" s="13" t="str">
        <f t="shared" si="2"/>
        <v>3 ACA Signups + 0 Medicare Signups</v>
      </c>
    </row>
    <row r="177" hidden="1">
      <c r="A177" s="89" t="s">
        <v>307</v>
      </c>
      <c r="B177" s="16" t="s">
        <v>987</v>
      </c>
      <c r="C177" s="16" t="s">
        <v>988</v>
      </c>
      <c r="D177" s="16" t="s">
        <v>989</v>
      </c>
      <c r="E177" s="81">
        <v>10.0</v>
      </c>
      <c r="F177" s="81">
        <v>0.0</v>
      </c>
      <c r="G177" s="12">
        <f t="shared" si="1"/>
        <v>2500</v>
      </c>
      <c r="H177" s="13" t="str">
        <f t="shared" si="2"/>
        <v>10 ACA Signups + 0 Medicare Signups</v>
      </c>
    </row>
    <row r="178" hidden="1">
      <c r="A178" s="89" t="s">
        <v>307</v>
      </c>
      <c r="B178" s="16" t="s">
        <v>990</v>
      </c>
      <c r="C178" s="16" t="s">
        <v>991</v>
      </c>
      <c r="D178" s="16" t="s">
        <v>992</v>
      </c>
      <c r="E178" s="81">
        <v>5.0</v>
      </c>
      <c r="F178" s="81">
        <v>0.0</v>
      </c>
      <c r="G178" s="12">
        <f t="shared" si="1"/>
        <v>1250</v>
      </c>
      <c r="H178" s="13" t="str">
        <f t="shared" si="2"/>
        <v>5 ACA Signups + 0 Medicare Signups</v>
      </c>
    </row>
    <row r="179" hidden="1">
      <c r="A179" s="89" t="s">
        <v>307</v>
      </c>
      <c r="B179" s="16" t="s">
        <v>993</v>
      </c>
      <c r="C179" s="16" t="s">
        <v>994</v>
      </c>
      <c r="D179" s="16" t="s">
        <v>995</v>
      </c>
      <c r="E179" s="81">
        <v>5.0</v>
      </c>
      <c r="F179" s="81">
        <v>0.0</v>
      </c>
      <c r="G179" s="12">
        <f t="shared" si="1"/>
        <v>1250</v>
      </c>
      <c r="H179" s="13" t="str">
        <f t="shared" si="2"/>
        <v>5 ACA Signups + 0 Medicare Signups</v>
      </c>
    </row>
    <row r="180" hidden="1">
      <c r="A180" s="89" t="s">
        <v>307</v>
      </c>
      <c r="B180" s="16" t="s">
        <v>996</v>
      </c>
      <c r="C180" s="16" t="s">
        <v>997</v>
      </c>
      <c r="D180" s="16" t="s">
        <v>998</v>
      </c>
      <c r="E180" s="81">
        <v>6.0</v>
      </c>
      <c r="F180" s="81">
        <v>0.0</v>
      </c>
      <c r="G180" s="12">
        <f t="shared" si="1"/>
        <v>1500</v>
      </c>
      <c r="H180" s="13" t="str">
        <f t="shared" si="2"/>
        <v>6 ACA Signups + 0 Medicare Signups</v>
      </c>
    </row>
    <row r="181" hidden="1">
      <c r="A181" s="89" t="s">
        <v>307</v>
      </c>
      <c r="B181" s="16" t="s">
        <v>1008</v>
      </c>
      <c r="C181" s="16" t="s">
        <v>1009</v>
      </c>
      <c r="D181" s="16" t="s">
        <v>1010</v>
      </c>
      <c r="E181" s="81">
        <v>2.0</v>
      </c>
      <c r="F181" s="81">
        <v>0.0</v>
      </c>
      <c r="G181" s="12">
        <f t="shared" si="1"/>
        <v>500</v>
      </c>
      <c r="H181" s="13" t="str">
        <f t="shared" si="2"/>
        <v>2 ACA Signups + 0 Medicare Signups</v>
      </c>
    </row>
    <row r="182" hidden="1">
      <c r="A182" s="89" t="s">
        <v>307</v>
      </c>
      <c r="B182" s="16" t="s">
        <v>999</v>
      </c>
      <c r="C182" s="16" t="s">
        <v>1000</v>
      </c>
      <c r="D182" s="16" t="s">
        <v>1001</v>
      </c>
      <c r="E182" s="81">
        <v>5.0</v>
      </c>
      <c r="F182" s="81">
        <v>0.0</v>
      </c>
      <c r="G182" s="12">
        <f t="shared" si="1"/>
        <v>1250</v>
      </c>
      <c r="H182" s="13" t="str">
        <f t="shared" si="2"/>
        <v>5 ACA Signups + 0 Medicare Signups</v>
      </c>
    </row>
    <row r="183" hidden="1">
      <c r="A183" s="89" t="s">
        <v>307</v>
      </c>
      <c r="B183" s="16" t="s">
        <v>1002</v>
      </c>
      <c r="C183" s="16" t="s">
        <v>1003</v>
      </c>
      <c r="D183" s="16" t="s">
        <v>1004</v>
      </c>
      <c r="E183" s="81">
        <v>6.0</v>
      </c>
      <c r="F183" s="81">
        <v>0.0</v>
      </c>
      <c r="G183" s="12">
        <f t="shared" si="1"/>
        <v>1500</v>
      </c>
      <c r="H183" s="13" t="str">
        <f t="shared" si="2"/>
        <v>6 ACA Signups + 0 Medicare Signups</v>
      </c>
    </row>
    <row r="184" hidden="1">
      <c r="A184" s="89" t="s">
        <v>307</v>
      </c>
      <c r="B184" s="16" t="s">
        <v>1005</v>
      </c>
      <c r="C184" s="16" t="s">
        <v>1006</v>
      </c>
      <c r="D184" s="16" t="s">
        <v>1007</v>
      </c>
      <c r="E184" s="81">
        <v>6.0</v>
      </c>
      <c r="F184" s="81">
        <v>0.0</v>
      </c>
      <c r="G184" s="12">
        <f t="shared" si="1"/>
        <v>1500</v>
      </c>
      <c r="H184" s="13" t="str">
        <f t="shared" si="2"/>
        <v>6 ACA Signups + 0 Medicare Signups</v>
      </c>
    </row>
    <row r="185" hidden="1">
      <c r="A185" s="54" t="s">
        <v>308</v>
      </c>
      <c r="B185" s="16" t="s">
        <v>987</v>
      </c>
      <c r="C185" s="16" t="s">
        <v>988</v>
      </c>
      <c r="D185" s="16" t="s">
        <v>989</v>
      </c>
      <c r="E185" s="81">
        <v>8.0</v>
      </c>
      <c r="F185" s="81">
        <v>0.0</v>
      </c>
      <c r="G185" s="12">
        <f t="shared" si="1"/>
        <v>2000</v>
      </c>
      <c r="H185" s="13" t="str">
        <f t="shared" si="2"/>
        <v>8 ACA Signups + 0 Medicare Signups</v>
      </c>
    </row>
    <row r="186" hidden="1">
      <c r="A186" s="54" t="s">
        <v>308</v>
      </c>
      <c r="B186" s="16" t="s">
        <v>990</v>
      </c>
      <c r="C186" s="16" t="s">
        <v>991</v>
      </c>
      <c r="D186" s="16" t="s">
        <v>992</v>
      </c>
      <c r="E186" s="81">
        <v>9.0</v>
      </c>
      <c r="F186" s="81">
        <v>0.0</v>
      </c>
      <c r="G186" s="12">
        <f t="shared" si="1"/>
        <v>2250</v>
      </c>
      <c r="H186" s="13" t="str">
        <f t="shared" si="2"/>
        <v>9 ACA Signups + 0 Medicare Signups</v>
      </c>
    </row>
    <row r="187" hidden="1">
      <c r="A187" s="54" t="s">
        <v>308</v>
      </c>
      <c r="B187" s="16" t="s">
        <v>993</v>
      </c>
      <c r="C187" s="16" t="s">
        <v>994</v>
      </c>
      <c r="D187" s="16" t="s">
        <v>995</v>
      </c>
      <c r="E187" s="81">
        <v>6.0</v>
      </c>
      <c r="F187" s="81">
        <v>0.0</v>
      </c>
      <c r="G187" s="12">
        <f t="shared" si="1"/>
        <v>1500</v>
      </c>
      <c r="H187" s="13" t="str">
        <f t="shared" si="2"/>
        <v>6 ACA Signups + 0 Medicare Signups</v>
      </c>
    </row>
    <row r="188" hidden="1">
      <c r="A188" s="54" t="s">
        <v>308</v>
      </c>
      <c r="B188" s="16" t="s">
        <v>996</v>
      </c>
      <c r="C188" s="16" t="s">
        <v>997</v>
      </c>
      <c r="D188" s="16" t="s">
        <v>998</v>
      </c>
      <c r="E188" s="81">
        <v>7.0</v>
      </c>
      <c r="F188" s="81">
        <v>0.0</v>
      </c>
      <c r="G188" s="12">
        <f t="shared" si="1"/>
        <v>1750</v>
      </c>
      <c r="H188" s="13" t="str">
        <f t="shared" si="2"/>
        <v>7 ACA Signups + 0 Medicare Signups</v>
      </c>
    </row>
    <row r="189" hidden="1">
      <c r="A189" s="54" t="s">
        <v>308</v>
      </c>
      <c r="B189" s="16" t="s">
        <v>1008</v>
      </c>
      <c r="C189" s="16" t="s">
        <v>1009</v>
      </c>
      <c r="D189" s="16" t="s">
        <v>1010</v>
      </c>
      <c r="E189" s="81">
        <v>7.0</v>
      </c>
      <c r="F189" s="81">
        <v>0.0</v>
      </c>
      <c r="G189" s="12">
        <f t="shared" si="1"/>
        <v>1750</v>
      </c>
      <c r="H189" s="13" t="str">
        <f t="shared" si="2"/>
        <v>7 ACA Signups + 0 Medicare Signups</v>
      </c>
    </row>
    <row r="190" hidden="1">
      <c r="A190" s="54" t="s">
        <v>308</v>
      </c>
      <c r="B190" s="16" t="s">
        <v>999</v>
      </c>
      <c r="C190" s="16" t="s">
        <v>1000</v>
      </c>
      <c r="D190" s="16" t="s">
        <v>1001</v>
      </c>
      <c r="E190" s="81">
        <v>3.0</v>
      </c>
      <c r="F190" s="81">
        <v>0.0</v>
      </c>
      <c r="G190" s="12">
        <f t="shared" si="1"/>
        <v>750</v>
      </c>
      <c r="H190" s="13" t="str">
        <f t="shared" si="2"/>
        <v>3 ACA Signups + 0 Medicare Signups</v>
      </c>
    </row>
    <row r="191" hidden="1">
      <c r="A191" s="54" t="s">
        <v>308</v>
      </c>
      <c r="B191" s="16" t="s">
        <v>1002</v>
      </c>
      <c r="C191" s="16" t="s">
        <v>1003</v>
      </c>
      <c r="D191" s="16" t="s">
        <v>1004</v>
      </c>
      <c r="E191" s="81">
        <v>4.0</v>
      </c>
      <c r="F191" s="81">
        <v>0.0</v>
      </c>
      <c r="G191" s="12">
        <f t="shared" si="1"/>
        <v>1000</v>
      </c>
      <c r="H191" s="13" t="str">
        <f t="shared" si="2"/>
        <v>4 ACA Signups + 0 Medicare Signups</v>
      </c>
    </row>
    <row r="192" hidden="1">
      <c r="A192" s="54" t="s">
        <v>308</v>
      </c>
      <c r="B192" s="16" t="s">
        <v>1005</v>
      </c>
      <c r="C192" s="16" t="s">
        <v>1006</v>
      </c>
      <c r="D192" s="16" t="s">
        <v>1007</v>
      </c>
      <c r="E192" s="81">
        <v>9.0</v>
      </c>
      <c r="F192" s="81">
        <v>0.0</v>
      </c>
      <c r="G192" s="12">
        <f t="shared" si="1"/>
        <v>2250</v>
      </c>
      <c r="H192" s="13" t="str">
        <f t="shared" si="2"/>
        <v>9 ACA Signups + 0 Medicare Signups</v>
      </c>
    </row>
    <row r="193" hidden="1">
      <c r="A193" s="88" t="s">
        <v>309</v>
      </c>
      <c r="B193" s="92" t="s">
        <v>987</v>
      </c>
      <c r="C193" s="92" t="s">
        <v>988</v>
      </c>
      <c r="D193" s="92" t="s">
        <v>989</v>
      </c>
      <c r="E193" s="80">
        <v>15.0</v>
      </c>
      <c r="F193" s="83">
        <v>0.0</v>
      </c>
      <c r="G193" s="32">
        <f t="shared" si="1"/>
        <v>3750</v>
      </c>
      <c r="H193" s="83" t="str">
        <f t="shared" si="2"/>
        <v>15 ACA Signups + 0 Medicare Signups</v>
      </c>
    </row>
    <row r="194" hidden="1">
      <c r="A194" s="88" t="s">
        <v>309</v>
      </c>
      <c r="B194" s="92" t="s">
        <v>990</v>
      </c>
      <c r="C194" s="92" t="s">
        <v>991</v>
      </c>
      <c r="D194" s="92" t="s">
        <v>992</v>
      </c>
      <c r="E194" s="80">
        <v>4.0</v>
      </c>
      <c r="F194" s="83">
        <v>0.0</v>
      </c>
      <c r="G194" s="32">
        <f t="shared" si="1"/>
        <v>1000</v>
      </c>
      <c r="H194" s="83" t="str">
        <f t="shared" si="2"/>
        <v>4 ACA Signups + 0 Medicare Signups</v>
      </c>
    </row>
    <row r="195" hidden="1">
      <c r="A195" s="88" t="s">
        <v>309</v>
      </c>
      <c r="B195" s="92" t="s">
        <v>993</v>
      </c>
      <c r="C195" s="91" t="s">
        <v>994</v>
      </c>
      <c r="D195" s="92" t="s">
        <v>995</v>
      </c>
      <c r="E195" s="80">
        <v>6.0</v>
      </c>
      <c r="F195" s="83">
        <v>0.0</v>
      </c>
      <c r="G195" s="32">
        <f t="shared" si="1"/>
        <v>1500</v>
      </c>
      <c r="H195" s="83" t="str">
        <f t="shared" si="2"/>
        <v>6 ACA Signups + 0 Medicare Signups</v>
      </c>
    </row>
    <row r="196" hidden="1">
      <c r="A196" s="88" t="s">
        <v>309</v>
      </c>
      <c r="B196" s="92" t="s">
        <v>996</v>
      </c>
      <c r="C196" s="92" t="s">
        <v>997</v>
      </c>
      <c r="D196" s="92" t="s">
        <v>998</v>
      </c>
      <c r="E196" s="80">
        <v>7.0</v>
      </c>
      <c r="F196" s="83">
        <v>0.0</v>
      </c>
      <c r="G196" s="32">
        <f t="shared" si="1"/>
        <v>1750</v>
      </c>
      <c r="H196" s="83" t="str">
        <f t="shared" si="2"/>
        <v>7 ACA Signups + 0 Medicare Signups</v>
      </c>
    </row>
    <row r="197" hidden="1">
      <c r="A197" s="88" t="s">
        <v>309</v>
      </c>
      <c r="B197" s="92" t="s">
        <v>1008</v>
      </c>
      <c r="C197" s="92" t="s">
        <v>1009</v>
      </c>
      <c r="D197" s="92" t="s">
        <v>1010</v>
      </c>
      <c r="E197" s="80">
        <v>3.0</v>
      </c>
      <c r="F197" s="83">
        <v>0.0</v>
      </c>
      <c r="G197" s="32">
        <f t="shared" si="1"/>
        <v>750</v>
      </c>
      <c r="H197" s="83" t="str">
        <f t="shared" si="2"/>
        <v>3 ACA Signups + 0 Medicare Signups</v>
      </c>
    </row>
    <row r="198" hidden="1">
      <c r="A198" s="88" t="s">
        <v>309</v>
      </c>
      <c r="B198" s="92" t="s">
        <v>999</v>
      </c>
      <c r="C198" s="92" t="s">
        <v>1000</v>
      </c>
      <c r="D198" s="92" t="s">
        <v>1001</v>
      </c>
      <c r="E198" s="80">
        <v>6.0</v>
      </c>
      <c r="F198" s="83">
        <v>0.0</v>
      </c>
      <c r="G198" s="32">
        <f t="shared" si="1"/>
        <v>1500</v>
      </c>
      <c r="H198" s="83" t="str">
        <f t="shared" si="2"/>
        <v>6 ACA Signups + 0 Medicare Signups</v>
      </c>
    </row>
    <row r="199" hidden="1">
      <c r="A199" s="88" t="s">
        <v>309</v>
      </c>
      <c r="B199" s="92" t="s">
        <v>1002</v>
      </c>
      <c r="C199" s="92" t="s">
        <v>1003</v>
      </c>
      <c r="D199" s="92" t="s">
        <v>1004</v>
      </c>
      <c r="E199" s="80">
        <v>8.0</v>
      </c>
      <c r="F199" s="83">
        <v>0.0</v>
      </c>
      <c r="G199" s="32">
        <f t="shared" si="1"/>
        <v>2000</v>
      </c>
      <c r="H199" s="83" t="str">
        <f t="shared" si="2"/>
        <v>8 ACA Signups + 0 Medicare Signups</v>
      </c>
    </row>
    <row r="200" hidden="1">
      <c r="A200" s="88" t="s">
        <v>309</v>
      </c>
      <c r="B200" s="92" t="s">
        <v>1005</v>
      </c>
      <c r="C200" s="92" t="s">
        <v>1006</v>
      </c>
      <c r="D200" s="92" t="s">
        <v>1007</v>
      </c>
      <c r="E200" s="80">
        <v>6.0</v>
      </c>
      <c r="F200" s="83">
        <v>0.0</v>
      </c>
      <c r="G200" s="32">
        <f t="shared" si="1"/>
        <v>1500</v>
      </c>
      <c r="H200" s="83" t="str">
        <f t="shared" si="2"/>
        <v>6 ACA Signups + 0 Medicare Signups</v>
      </c>
    </row>
    <row r="201" hidden="1">
      <c r="A201" s="88" t="s">
        <v>310</v>
      </c>
      <c r="B201" s="92" t="s">
        <v>987</v>
      </c>
      <c r="C201" s="91" t="s">
        <v>988</v>
      </c>
      <c r="D201" s="92" t="s">
        <v>989</v>
      </c>
      <c r="E201" s="80">
        <v>7.0</v>
      </c>
      <c r="F201" s="80">
        <v>0.0</v>
      </c>
      <c r="G201" s="32">
        <f t="shared" si="1"/>
        <v>1750</v>
      </c>
      <c r="H201" s="80" t="s">
        <v>1014</v>
      </c>
    </row>
    <row r="202" hidden="1">
      <c r="A202" s="88" t="s">
        <v>310</v>
      </c>
      <c r="B202" s="92" t="s">
        <v>990</v>
      </c>
      <c r="C202" s="91" t="s">
        <v>991</v>
      </c>
      <c r="D202" s="92" t="s">
        <v>992</v>
      </c>
      <c r="E202" s="80">
        <v>7.0</v>
      </c>
      <c r="F202" s="80">
        <v>0.0</v>
      </c>
      <c r="G202" s="32">
        <f t="shared" si="1"/>
        <v>1750</v>
      </c>
      <c r="H202" s="80" t="s">
        <v>1014</v>
      </c>
    </row>
    <row r="203" hidden="1">
      <c r="A203" s="88" t="s">
        <v>310</v>
      </c>
      <c r="B203" s="92" t="s">
        <v>993</v>
      </c>
      <c r="C203" s="91" t="s">
        <v>1015</v>
      </c>
      <c r="D203" s="92" t="s">
        <v>995</v>
      </c>
      <c r="E203" s="80">
        <v>7.0</v>
      </c>
      <c r="F203" s="80">
        <v>0.0</v>
      </c>
      <c r="G203" s="32">
        <f t="shared" si="1"/>
        <v>1750</v>
      </c>
      <c r="H203" s="80" t="s">
        <v>1014</v>
      </c>
    </row>
    <row r="204" hidden="1">
      <c r="A204" s="88" t="s">
        <v>310</v>
      </c>
      <c r="B204" s="92" t="s">
        <v>996</v>
      </c>
      <c r="C204" s="91" t="s">
        <v>997</v>
      </c>
      <c r="D204" s="92" t="s">
        <v>998</v>
      </c>
      <c r="E204" s="80">
        <v>10.0</v>
      </c>
      <c r="F204" s="80">
        <v>0.0</v>
      </c>
      <c r="G204" s="32">
        <f t="shared" si="1"/>
        <v>2500</v>
      </c>
      <c r="H204" s="80" t="s">
        <v>1016</v>
      </c>
    </row>
    <row r="205" hidden="1">
      <c r="A205" s="88" t="s">
        <v>310</v>
      </c>
      <c r="B205" s="92" t="s">
        <v>1008</v>
      </c>
      <c r="C205" s="91" t="s">
        <v>1009</v>
      </c>
      <c r="D205" s="92" t="s">
        <v>1010</v>
      </c>
      <c r="E205" s="80">
        <v>5.0</v>
      </c>
      <c r="F205" s="80">
        <v>0.0</v>
      </c>
      <c r="G205" s="32">
        <f t="shared" si="1"/>
        <v>1250</v>
      </c>
      <c r="H205" s="80" t="s">
        <v>1017</v>
      </c>
    </row>
    <row r="206" hidden="1">
      <c r="A206" s="88" t="s">
        <v>310</v>
      </c>
      <c r="B206" s="92" t="s">
        <v>999</v>
      </c>
      <c r="C206" s="91" t="s">
        <v>1000</v>
      </c>
      <c r="D206" s="92" t="s">
        <v>1001</v>
      </c>
      <c r="E206" s="80">
        <v>9.0</v>
      </c>
      <c r="F206" s="80">
        <v>0.0</v>
      </c>
      <c r="G206" s="32">
        <f t="shared" si="1"/>
        <v>2250</v>
      </c>
      <c r="H206" s="80" t="s">
        <v>1018</v>
      </c>
    </row>
    <row r="207" hidden="1">
      <c r="A207" s="88" t="s">
        <v>310</v>
      </c>
      <c r="B207" s="92" t="s">
        <v>1002</v>
      </c>
      <c r="C207" s="91" t="s">
        <v>1003</v>
      </c>
      <c r="D207" s="92" t="s">
        <v>1004</v>
      </c>
      <c r="E207" s="80">
        <v>9.0</v>
      </c>
      <c r="F207" s="80">
        <v>0.0</v>
      </c>
      <c r="G207" s="32">
        <f t="shared" si="1"/>
        <v>2250</v>
      </c>
      <c r="H207" s="80" t="s">
        <v>1018</v>
      </c>
    </row>
    <row r="208" hidden="1">
      <c r="A208" s="88" t="s">
        <v>310</v>
      </c>
      <c r="B208" s="92" t="s">
        <v>1005</v>
      </c>
      <c r="C208" s="91" t="s">
        <v>1006</v>
      </c>
      <c r="D208" s="92" t="s">
        <v>1007</v>
      </c>
      <c r="E208" s="80">
        <v>11.0</v>
      </c>
      <c r="F208" s="80">
        <v>0.0</v>
      </c>
      <c r="G208" s="32">
        <f t="shared" si="1"/>
        <v>2750</v>
      </c>
      <c r="H208" s="80" t="s">
        <v>1019</v>
      </c>
    </row>
    <row r="209" hidden="1">
      <c r="A209" s="88" t="s">
        <v>332</v>
      </c>
      <c r="B209" s="92" t="s">
        <v>987</v>
      </c>
      <c r="C209" s="92"/>
      <c r="D209" s="92" t="s">
        <v>989</v>
      </c>
      <c r="E209" s="80">
        <v>5.0</v>
      </c>
      <c r="F209" s="80">
        <v>0.0</v>
      </c>
      <c r="G209" s="32">
        <f t="shared" si="1"/>
        <v>1250</v>
      </c>
      <c r="H209" s="32"/>
    </row>
    <row r="210" hidden="1">
      <c r="A210" s="88" t="s">
        <v>332</v>
      </c>
      <c r="B210" s="92" t="s">
        <v>990</v>
      </c>
      <c r="C210" s="92"/>
      <c r="D210" s="92" t="s">
        <v>992</v>
      </c>
      <c r="E210" s="80">
        <v>7.0</v>
      </c>
      <c r="F210" s="80">
        <v>0.0</v>
      </c>
      <c r="G210" s="32">
        <f t="shared" si="1"/>
        <v>1750</v>
      </c>
      <c r="H210" s="32"/>
    </row>
    <row r="211" hidden="1">
      <c r="A211" s="88" t="s">
        <v>332</v>
      </c>
      <c r="B211" s="92" t="s">
        <v>993</v>
      </c>
      <c r="C211" s="92"/>
      <c r="D211" s="92" t="s">
        <v>995</v>
      </c>
      <c r="E211" s="80">
        <v>8.0</v>
      </c>
      <c r="F211" s="80">
        <v>0.0</v>
      </c>
      <c r="G211" s="32">
        <f t="shared" si="1"/>
        <v>2000</v>
      </c>
      <c r="H211" s="32"/>
    </row>
    <row r="212" hidden="1">
      <c r="A212" s="88" t="s">
        <v>332</v>
      </c>
      <c r="B212" s="92" t="s">
        <v>996</v>
      </c>
      <c r="C212" s="92"/>
      <c r="D212" s="92" t="s">
        <v>998</v>
      </c>
      <c r="E212" s="80">
        <v>7.0</v>
      </c>
      <c r="F212" s="80">
        <v>0.0</v>
      </c>
      <c r="G212" s="32">
        <f t="shared" si="1"/>
        <v>1750</v>
      </c>
      <c r="H212" s="32"/>
    </row>
    <row r="213" hidden="1">
      <c r="A213" s="88" t="s">
        <v>332</v>
      </c>
      <c r="B213" s="92" t="s">
        <v>1008</v>
      </c>
      <c r="C213" s="92"/>
      <c r="D213" s="92" t="s">
        <v>1010</v>
      </c>
      <c r="E213" s="80">
        <v>4.0</v>
      </c>
      <c r="F213" s="80">
        <v>0.0</v>
      </c>
      <c r="G213" s="32">
        <f t="shared" si="1"/>
        <v>1000</v>
      </c>
      <c r="H213" s="32"/>
    </row>
    <row r="214" hidden="1">
      <c r="A214" s="88" t="s">
        <v>332</v>
      </c>
      <c r="B214" s="92" t="s">
        <v>999</v>
      </c>
      <c r="C214" s="92"/>
      <c r="D214" s="92" t="s">
        <v>1001</v>
      </c>
      <c r="E214" s="80">
        <v>5.0</v>
      </c>
      <c r="F214" s="80">
        <v>0.0</v>
      </c>
      <c r="G214" s="32">
        <f t="shared" si="1"/>
        <v>1250</v>
      </c>
      <c r="H214" s="32"/>
    </row>
    <row r="215" hidden="1">
      <c r="A215" s="88" t="s">
        <v>332</v>
      </c>
      <c r="B215" s="92" t="s">
        <v>1002</v>
      </c>
      <c r="C215" s="92"/>
      <c r="D215" s="92" t="s">
        <v>1004</v>
      </c>
      <c r="E215" s="80">
        <v>7.0</v>
      </c>
      <c r="F215" s="80">
        <v>0.0</v>
      </c>
      <c r="G215" s="32">
        <f t="shared" si="1"/>
        <v>1750</v>
      </c>
      <c r="H215" s="32"/>
    </row>
    <row r="216" hidden="1">
      <c r="A216" s="88" t="s">
        <v>332</v>
      </c>
      <c r="B216" s="92" t="s">
        <v>1005</v>
      </c>
      <c r="C216" s="92"/>
      <c r="D216" s="92" t="s">
        <v>1007</v>
      </c>
      <c r="E216" s="80">
        <v>13.0</v>
      </c>
      <c r="F216" s="80">
        <v>0.0</v>
      </c>
      <c r="G216" s="32">
        <f t="shared" si="1"/>
        <v>3250</v>
      </c>
      <c r="H216" s="32"/>
    </row>
    <row r="217" hidden="1">
      <c r="A217" s="88" t="s">
        <v>336</v>
      </c>
      <c r="B217" s="92" t="s">
        <v>987</v>
      </c>
      <c r="C217" s="92"/>
      <c r="D217" s="92" t="s">
        <v>989</v>
      </c>
      <c r="E217" s="80">
        <v>8.0</v>
      </c>
      <c r="F217" s="80">
        <v>0.0</v>
      </c>
      <c r="G217" s="32">
        <f t="shared" si="1"/>
        <v>2000</v>
      </c>
      <c r="H217" s="32"/>
    </row>
    <row r="218" hidden="1">
      <c r="A218" s="88" t="s">
        <v>336</v>
      </c>
      <c r="B218" s="92" t="s">
        <v>990</v>
      </c>
      <c r="C218" s="92"/>
      <c r="D218" s="92" t="s">
        <v>992</v>
      </c>
      <c r="E218" s="80">
        <v>8.0</v>
      </c>
      <c r="F218" s="80">
        <v>0.0</v>
      </c>
      <c r="G218" s="32">
        <f t="shared" si="1"/>
        <v>2000</v>
      </c>
      <c r="H218" s="32"/>
    </row>
    <row r="219" hidden="1">
      <c r="A219" s="88" t="s">
        <v>336</v>
      </c>
      <c r="B219" s="92" t="s">
        <v>993</v>
      </c>
      <c r="C219" s="92"/>
      <c r="D219" s="92" t="s">
        <v>995</v>
      </c>
      <c r="E219" s="80">
        <v>4.0</v>
      </c>
      <c r="F219" s="80">
        <v>0.0</v>
      </c>
      <c r="G219" s="32">
        <f t="shared" si="1"/>
        <v>1000</v>
      </c>
      <c r="H219" s="32"/>
    </row>
    <row r="220" hidden="1">
      <c r="A220" s="88" t="s">
        <v>336</v>
      </c>
      <c r="B220" s="92" t="s">
        <v>996</v>
      </c>
      <c r="C220" s="92"/>
      <c r="D220" s="92" t="s">
        <v>998</v>
      </c>
      <c r="E220" s="80">
        <v>6.0</v>
      </c>
      <c r="F220" s="80">
        <v>0.0</v>
      </c>
      <c r="G220" s="32">
        <f t="shared" si="1"/>
        <v>1500</v>
      </c>
      <c r="H220" s="32"/>
    </row>
    <row r="221" hidden="1">
      <c r="A221" s="88" t="s">
        <v>336</v>
      </c>
      <c r="B221" s="92" t="s">
        <v>1008</v>
      </c>
      <c r="C221" s="92"/>
      <c r="D221" s="92" t="s">
        <v>1010</v>
      </c>
      <c r="E221" s="80">
        <v>5.0</v>
      </c>
      <c r="F221" s="80">
        <v>0.0</v>
      </c>
      <c r="G221" s="32">
        <f t="shared" si="1"/>
        <v>1250</v>
      </c>
      <c r="H221" s="32"/>
    </row>
    <row r="222" hidden="1">
      <c r="A222" s="88" t="s">
        <v>336</v>
      </c>
      <c r="B222" s="92" t="s">
        <v>999</v>
      </c>
      <c r="C222" s="92"/>
      <c r="D222" s="92" t="s">
        <v>1001</v>
      </c>
      <c r="E222" s="80">
        <v>5.0</v>
      </c>
      <c r="F222" s="80">
        <v>0.0</v>
      </c>
      <c r="G222" s="32">
        <f t="shared" si="1"/>
        <v>1250</v>
      </c>
      <c r="H222" s="32"/>
    </row>
    <row r="223" hidden="1">
      <c r="A223" s="88" t="s">
        <v>336</v>
      </c>
      <c r="B223" s="92" t="s">
        <v>1002</v>
      </c>
      <c r="C223" s="92"/>
      <c r="D223" s="92" t="s">
        <v>1004</v>
      </c>
      <c r="E223" s="80">
        <v>5.0</v>
      </c>
      <c r="F223" s="80">
        <v>0.0</v>
      </c>
      <c r="G223" s="32">
        <f t="shared" si="1"/>
        <v>1250</v>
      </c>
      <c r="H223" s="32"/>
    </row>
    <row r="224" hidden="1">
      <c r="A224" s="88" t="s">
        <v>336</v>
      </c>
      <c r="B224" s="92" t="s">
        <v>1005</v>
      </c>
      <c r="C224" s="92"/>
      <c r="D224" s="92" t="s">
        <v>1007</v>
      </c>
      <c r="E224" s="80">
        <v>13.0</v>
      </c>
      <c r="F224" s="80">
        <v>0.0</v>
      </c>
      <c r="G224" s="32">
        <f t="shared" si="1"/>
        <v>3250</v>
      </c>
      <c r="H224" s="32"/>
    </row>
    <row r="225" hidden="1">
      <c r="A225" s="88" t="s">
        <v>337</v>
      </c>
      <c r="B225" s="92" t="s">
        <v>987</v>
      </c>
      <c r="C225" s="92"/>
      <c r="D225" s="92" t="s">
        <v>989</v>
      </c>
      <c r="E225" s="80">
        <v>13.0</v>
      </c>
      <c r="F225" s="80">
        <v>0.0</v>
      </c>
      <c r="G225" s="32">
        <f t="shared" si="1"/>
        <v>3250</v>
      </c>
      <c r="H225" s="32"/>
    </row>
    <row r="226" hidden="1">
      <c r="A226" s="88" t="s">
        <v>337</v>
      </c>
      <c r="B226" s="92" t="s">
        <v>990</v>
      </c>
      <c r="C226" s="92"/>
      <c r="D226" s="92" t="s">
        <v>992</v>
      </c>
      <c r="E226" s="80">
        <v>4.0</v>
      </c>
      <c r="F226" s="80">
        <v>0.0</v>
      </c>
      <c r="G226" s="32">
        <f t="shared" si="1"/>
        <v>1000</v>
      </c>
      <c r="H226" s="32"/>
    </row>
    <row r="227" hidden="1">
      <c r="A227" s="88" t="s">
        <v>337</v>
      </c>
      <c r="B227" s="92" t="s">
        <v>993</v>
      </c>
      <c r="C227" s="92"/>
      <c r="D227" s="92" t="s">
        <v>995</v>
      </c>
      <c r="E227" s="80">
        <v>8.0</v>
      </c>
      <c r="F227" s="80">
        <v>0.0</v>
      </c>
      <c r="G227" s="32">
        <f t="shared" si="1"/>
        <v>2000</v>
      </c>
      <c r="H227" s="32"/>
    </row>
    <row r="228" hidden="1">
      <c r="A228" s="88" t="s">
        <v>337</v>
      </c>
      <c r="B228" s="92" t="s">
        <v>996</v>
      </c>
      <c r="C228" s="92"/>
      <c r="D228" s="92" t="s">
        <v>998</v>
      </c>
      <c r="E228" s="80">
        <v>7.0</v>
      </c>
      <c r="F228" s="80">
        <v>0.0</v>
      </c>
      <c r="G228" s="32">
        <f t="shared" si="1"/>
        <v>1750</v>
      </c>
      <c r="H228" s="32"/>
    </row>
    <row r="229" hidden="1">
      <c r="A229" s="88" t="s">
        <v>337</v>
      </c>
      <c r="B229" s="92" t="s">
        <v>1008</v>
      </c>
      <c r="C229" s="92"/>
      <c r="D229" s="92" t="s">
        <v>1010</v>
      </c>
      <c r="E229" s="80">
        <v>5.0</v>
      </c>
      <c r="F229" s="80">
        <v>0.0</v>
      </c>
      <c r="G229" s="32">
        <f t="shared" si="1"/>
        <v>1250</v>
      </c>
      <c r="H229" s="32"/>
    </row>
    <row r="230" hidden="1">
      <c r="A230" s="88" t="s">
        <v>337</v>
      </c>
      <c r="B230" s="92" t="s">
        <v>999</v>
      </c>
      <c r="C230" s="92"/>
      <c r="D230" s="92" t="s">
        <v>1001</v>
      </c>
      <c r="E230" s="80">
        <v>4.0</v>
      </c>
      <c r="F230" s="80">
        <v>0.0</v>
      </c>
      <c r="G230" s="32">
        <f t="shared" si="1"/>
        <v>1000</v>
      </c>
      <c r="H230" s="32"/>
    </row>
    <row r="231" hidden="1">
      <c r="A231" s="88" t="s">
        <v>337</v>
      </c>
      <c r="B231" s="92" t="s">
        <v>1002</v>
      </c>
      <c r="C231" s="92"/>
      <c r="D231" s="92" t="s">
        <v>1004</v>
      </c>
      <c r="E231" s="80">
        <v>4.0</v>
      </c>
      <c r="F231" s="80">
        <v>0.0</v>
      </c>
      <c r="G231" s="32">
        <f t="shared" si="1"/>
        <v>1000</v>
      </c>
      <c r="H231" s="32"/>
    </row>
    <row r="232" hidden="1">
      <c r="A232" s="88" t="s">
        <v>337</v>
      </c>
      <c r="B232" s="92" t="s">
        <v>1005</v>
      </c>
      <c r="C232" s="92"/>
      <c r="D232" s="92" t="s">
        <v>1007</v>
      </c>
      <c r="E232" s="80">
        <v>10.0</v>
      </c>
      <c r="F232" s="80">
        <v>0.0</v>
      </c>
      <c r="G232" s="32">
        <f t="shared" si="1"/>
        <v>2500</v>
      </c>
      <c r="H232" s="32"/>
    </row>
    <row r="233" hidden="1">
      <c r="A233" s="88" t="s">
        <v>338</v>
      </c>
      <c r="B233" s="92" t="s">
        <v>987</v>
      </c>
      <c r="C233" s="92"/>
      <c r="D233" s="92" t="s">
        <v>989</v>
      </c>
      <c r="E233" s="80">
        <v>7.0</v>
      </c>
      <c r="F233" s="80">
        <v>0.0</v>
      </c>
      <c r="G233" s="32">
        <f t="shared" si="1"/>
        <v>1750</v>
      </c>
      <c r="H233" s="32"/>
    </row>
    <row r="234" hidden="1">
      <c r="A234" s="88" t="s">
        <v>338</v>
      </c>
      <c r="B234" s="92" t="s">
        <v>990</v>
      </c>
      <c r="C234" s="92"/>
      <c r="D234" s="92" t="s">
        <v>992</v>
      </c>
      <c r="E234" s="80">
        <v>6.0</v>
      </c>
      <c r="F234" s="83"/>
      <c r="G234" s="32">
        <f t="shared" si="1"/>
        <v>1500</v>
      </c>
      <c r="H234" s="32"/>
    </row>
    <row r="235" hidden="1">
      <c r="A235" s="88" t="s">
        <v>338</v>
      </c>
      <c r="B235" s="92" t="s">
        <v>993</v>
      </c>
      <c r="C235" s="92"/>
      <c r="D235" s="92" t="s">
        <v>995</v>
      </c>
      <c r="E235" s="80">
        <v>5.0</v>
      </c>
      <c r="F235" s="83"/>
      <c r="G235" s="32">
        <f t="shared" si="1"/>
        <v>1250</v>
      </c>
      <c r="H235" s="32"/>
    </row>
    <row r="236" hidden="1">
      <c r="A236" s="88" t="s">
        <v>338</v>
      </c>
      <c r="B236" s="92" t="s">
        <v>996</v>
      </c>
      <c r="C236" s="92"/>
      <c r="D236" s="92" t="s">
        <v>998</v>
      </c>
      <c r="E236" s="80">
        <v>5.0</v>
      </c>
      <c r="F236" s="80">
        <v>12.0</v>
      </c>
      <c r="G236" s="32">
        <f t="shared" si="1"/>
        <v>4250</v>
      </c>
      <c r="H236" s="32"/>
    </row>
    <row r="237" hidden="1">
      <c r="A237" s="88" t="s">
        <v>338</v>
      </c>
      <c r="B237" s="92" t="s">
        <v>1008</v>
      </c>
      <c r="C237" s="92"/>
      <c r="D237" s="92" t="s">
        <v>1010</v>
      </c>
      <c r="E237" s="80">
        <v>2.0</v>
      </c>
      <c r="F237" s="83"/>
      <c r="G237" s="32">
        <f t="shared" si="1"/>
        <v>500</v>
      </c>
      <c r="H237" s="32"/>
    </row>
    <row r="238" hidden="1">
      <c r="A238" s="88" t="s">
        <v>338</v>
      </c>
      <c r="B238" s="92" t="s">
        <v>999</v>
      </c>
      <c r="C238" s="92"/>
      <c r="D238" s="92" t="s">
        <v>1001</v>
      </c>
      <c r="E238" s="80">
        <v>5.0</v>
      </c>
      <c r="F238" s="83"/>
      <c r="G238" s="32">
        <f t="shared" si="1"/>
        <v>1250</v>
      </c>
      <c r="H238" s="32"/>
    </row>
    <row r="239" hidden="1">
      <c r="A239" s="88" t="s">
        <v>338</v>
      </c>
      <c r="B239" s="92" t="s">
        <v>1002</v>
      </c>
      <c r="C239" s="92"/>
      <c r="D239" s="92" t="s">
        <v>1004</v>
      </c>
      <c r="E239" s="80">
        <v>5.0</v>
      </c>
      <c r="F239" s="83"/>
      <c r="G239" s="32">
        <f t="shared" si="1"/>
        <v>1250</v>
      </c>
      <c r="H239" s="32"/>
    </row>
    <row r="240" hidden="1">
      <c r="A240" s="88" t="s">
        <v>338</v>
      </c>
      <c r="B240" s="92" t="s">
        <v>1005</v>
      </c>
      <c r="C240" s="92"/>
      <c r="D240" s="92" t="s">
        <v>1007</v>
      </c>
      <c r="E240" s="80">
        <v>5.0</v>
      </c>
      <c r="F240" s="83"/>
      <c r="G240" s="32">
        <f t="shared" si="1"/>
        <v>1250</v>
      </c>
      <c r="H240" s="32"/>
    </row>
    <row r="241" hidden="1">
      <c r="A241" s="76" t="s">
        <v>338</v>
      </c>
      <c r="B241" s="92" t="s">
        <v>987</v>
      </c>
      <c r="C241" s="92"/>
      <c r="D241" s="92" t="s">
        <v>989</v>
      </c>
      <c r="E241" s="83">
        <v>7.0</v>
      </c>
      <c r="F241" s="83">
        <v>0.0</v>
      </c>
      <c r="G241" s="32">
        <f t="shared" si="1"/>
        <v>1750</v>
      </c>
      <c r="H241" s="32"/>
    </row>
    <row r="242" hidden="1">
      <c r="A242" s="76" t="s">
        <v>338</v>
      </c>
      <c r="B242" s="92" t="s">
        <v>990</v>
      </c>
      <c r="C242" s="92"/>
      <c r="D242" s="92" t="s">
        <v>992</v>
      </c>
      <c r="E242" s="83">
        <v>6.0</v>
      </c>
      <c r="F242" s="83">
        <v>0.0</v>
      </c>
      <c r="G242" s="32">
        <f t="shared" si="1"/>
        <v>1500</v>
      </c>
      <c r="H242" s="32"/>
    </row>
    <row r="243" hidden="1">
      <c r="A243" s="76" t="s">
        <v>338</v>
      </c>
      <c r="B243" s="92" t="s">
        <v>993</v>
      </c>
      <c r="C243" s="92"/>
      <c r="D243" s="92" t="s">
        <v>995</v>
      </c>
      <c r="E243" s="83">
        <v>5.0</v>
      </c>
      <c r="F243" s="83">
        <v>0.0</v>
      </c>
      <c r="G243" s="32">
        <f t="shared" si="1"/>
        <v>1250</v>
      </c>
      <c r="H243" s="32"/>
    </row>
    <row r="244" hidden="1">
      <c r="A244" s="76" t="s">
        <v>338</v>
      </c>
      <c r="B244" s="92" t="s">
        <v>996</v>
      </c>
      <c r="C244" s="92"/>
      <c r="D244" s="92" t="s">
        <v>998</v>
      </c>
      <c r="E244" s="83">
        <v>5.0</v>
      </c>
      <c r="F244" s="83">
        <v>12.0</v>
      </c>
      <c r="G244" s="32">
        <f t="shared" si="1"/>
        <v>4250</v>
      </c>
      <c r="H244" s="32"/>
    </row>
    <row r="245" hidden="1">
      <c r="A245" s="76" t="s">
        <v>338</v>
      </c>
      <c r="B245" s="92" t="s">
        <v>1008</v>
      </c>
      <c r="C245" s="92"/>
      <c r="D245" s="92" t="s">
        <v>1010</v>
      </c>
      <c r="E245" s="83">
        <v>2.0</v>
      </c>
      <c r="F245" s="83">
        <v>0.0</v>
      </c>
      <c r="G245" s="32">
        <f t="shared" si="1"/>
        <v>500</v>
      </c>
      <c r="H245" s="32"/>
    </row>
    <row r="246" hidden="1">
      <c r="A246" s="76" t="s">
        <v>338</v>
      </c>
      <c r="B246" s="92" t="s">
        <v>999</v>
      </c>
      <c r="C246" s="92"/>
      <c r="D246" s="92" t="s">
        <v>1001</v>
      </c>
      <c r="E246" s="83">
        <v>5.0</v>
      </c>
      <c r="F246" s="83">
        <v>0.0</v>
      </c>
      <c r="G246" s="32">
        <f t="shared" si="1"/>
        <v>1250</v>
      </c>
      <c r="H246" s="32"/>
    </row>
    <row r="247" hidden="1">
      <c r="A247" s="76" t="s">
        <v>338</v>
      </c>
      <c r="B247" s="92" t="s">
        <v>1002</v>
      </c>
      <c r="C247" s="92"/>
      <c r="D247" s="92" t="s">
        <v>1004</v>
      </c>
      <c r="E247" s="83">
        <v>5.0</v>
      </c>
      <c r="F247" s="83">
        <v>0.0</v>
      </c>
      <c r="G247" s="32">
        <f t="shared" si="1"/>
        <v>1250</v>
      </c>
      <c r="H247" s="32"/>
    </row>
    <row r="248" hidden="1">
      <c r="A248" s="76" t="s">
        <v>338</v>
      </c>
      <c r="B248" s="92" t="s">
        <v>1005</v>
      </c>
      <c r="C248" s="92"/>
      <c r="D248" s="92" t="s">
        <v>1007</v>
      </c>
      <c r="E248" s="83">
        <v>5.0</v>
      </c>
      <c r="F248" s="83">
        <v>0.0</v>
      </c>
      <c r="G248" s="32">
        <f t="shared" si="1"/>
        <v>1250</v>
      </c>
      <c r="H248" s="32"/>
    </row>
    <row r="249" hidden="1">
      <c r="A249" s="88" t="s">
        <v>338</v>
      </c>
      <c r="B249" s="92" t="s">
        <v>987</v>
      </c>
      <c r="C249" s="92"/>
      <c r="D249" s="92" t="s">
        <v>989</v>
      </c>
      <c r="E249" s="80">
        <v>7.0</v>
      </c>
      <c r="F249" s="80">
        <v>0.0</v>
      </c>
      <c r="G249" s="32">
        <f t="shared" si="1"/>
        <v>1750</v>
      </c>
      <c r="H249" s="32"/>
    </row>
    <row r="250" hidden="1">
      <c r="A250" s="88" t="s">
        <v>338</v>
      </c>
      <c r="B250" s="92" t="s">
        <v>990</v>
      </c>
      <c r="C250" s="92"/>
      <c r="D250" s="92" t="s">
        <v>992</v>
      </c>
      <c r="E250" s="80">
        <v>6.0</v>
      </c>
      <c r="F250" s="80">
        <v>0.0</v>
      </c>
      <c r="G250" s="32">
        <f t="shared" si="1"/>
        <v>1500</v>
      </c>
      <c r="H250" s="32"/>
    </row>
    <row r="251" hidden="1">
      <c r="A251" s="88" t="s">
        <v>338</v>
      </c>
      <c r="B251" s="92" t="s">
        <v>993</v>
      </c>
      <c r="C251" s="92"/>
      <c r="D251" s="92" t="s">
        <v>995</v>
      </c>
      <c r="E251" s="80">
        <v>5.0</v>
      </c>
      <c r="F251" s="80">
        <v>0.0</v>
      </c>
      <c r="G251" s="32">
        <f t="shared" si="1"/>
        <v>1250</v>
      </c>
      <c r="H251" s="32"/>
    </row>
    <row r="252" hidden="1">
      <c r="A252" s="88" t="s">
        <v>338</v>
      </c>
      <c r="B252" s="92" t="s">
        <v>996</v>
      </c>
      <c r="C252" s="92"/>
      <c r="D252" s="92" t="s">
        <v>998</v>
      </c>
      <c r="E252" s="80">
        <v>5.0</v>
      </c>
      <c r="F252" s="80">
        <v>12.0</v>
      </c>
      <c r="G252" s="32">
        <f t="shared" si="1"/>
        <v>4250</v>
      </c>
      <c r="H252" s="32"/>
    </row>
    <row r="253" hidden="1">
      <c r="A253" s="88" t="s">
        <v>338</v>
      </c>
      <c r="B253" s="92" t="s">
        <v>1008</v>
      </c>
      <c r="C253" s="92"/>
      <c r="D253" s="92" t="s">
        <v>1010</v>
      </c>
      <c r="E253" s="80">
        <v>2.0</v>
      </c>
      <c r="F253" s="80">
        <v>0.0</v>
      </c>
      <c r="G253" s="32">
        <f t="shared" si="1"/>
        <v>500</v>
      </c>
      <c r="H253" s="32"/>
    </row>
    <row r="254" hidden="1">
      <c r="A254" s="88" t="s">
        <v>338</v>
      </c>
      <c r="B254" s="92" t="s">
        <v>999</v>
      </c>
      <c r="C254" s="92"/>
      <c r="D254" s="92" t="s">
        <v>1001</v>
      </c>
      <c r="E254" s="80">
        <v>5.0</v>
      </c>
      <c r="F254" s="80">
        <v>0.0</v>
      </c>
      <c r="G254" s="32">
        <f t="shared" si="1"/>
        <v>1250</v>
      </c>
      <c r="H254" s="32"/>
    </row>
    <row r="255" hidden="1">
      <c r="A255" s="88" t="s">
        <v>338</v>
      </c>
      <c r="B255" s="92" t="s">
        <v>1002</v>
      </c>
      <c r="C255" s="92"/>
      <c r="D255" s="92" t="s">
        <v>1004</v>
      </c>
      <c r="E255" s="80">
        <v>5.0</v>
      </c>
      <c r="F255" s="80">
        <v>0.0</v>
      </c>
      <c r="G255" s="32">
        <f t="shared" si="1"/>
        <v>1250</v>
      </c>
      <c r="H255" s="32"/>
    </row>
    <row r="256" hidden="1">
      <c r="A256" s="88" t="s">
        <v>338</v>
      </c>
      <c r="B256" s="92" t="s">
        <v>1005</v>
      </c>
      <c r="C256" s="92"/>
      <c r="D256" s="92" t="s">
        <v>1007</v>
      </c>
      <c r="E256" s="80">
        <v>5.0</v>
      </c>
      <c r="F256" s="80">
        <v>0.0</v>
      </c>
      <c r="G256" s="32">
        <f t="shared" si="1"/>
        <v>1250</v>
      </c>
      <c r="H256" s="32"/>
    </row>
    <row r="257" hidden="1">
      <c r="A257" s="88" t="s">
        <v>340</v>
      </c>
      <c r="B257" s="92" t="s">
        <v>987</v>
      </c>
      <c r="C257" s="92"/>
      <c r="D257" s="92" t="s">
        <v>989</v>
      </c>
      <c r="E257" s="80">
        <v>12.0</v>
      </c>
      <c r="F257" s="80">
        <v>0.0</v>
      </c>
      <c r="G257" s="32">
        <f t="shared" si="1"/>
        <v>3000</v>
      </c>
      <c r="H257" s="32"/>
    </row>
    <row r="258" hidden="1">
      <c r="A258" s="88" t="s">
        <v>340</v>
      </c>
      <c r="B258" s="92" t="s">
        <v>990</v>
      </c>
      <c r="C258" s="92"/>
      <c r="D258" s="92" t="s">
        <v>992</v>
      </c>
      <c r="E258" s="80">
        <v>9.0</v>
      </c>
      <c r="F258" s="80">
        <v>0.0</v>
      </c>
      <c r="G258" s="32">
        <f t="shared" si="1"/>
        <v>2250</v>
      </c>
      <c r="H258" s="32"/>
    </row>
    <row r="259" hidden="1">
      <c r="A259" s="88" t="s">
        <v>340</v>
      </c>
      <c r="B259" s="92" t="s">
        <v>993</v>
      </c>
      <c r="C259" s="92"/>
      <c r="D259" s="92" t="s">
        <v>995</v>
      </c>
      <c r="E259" s="80">
        <v>10.0</v>
      </c>
      <c r="F259" s="80">
        <v>0.0</v>
      </c>
      <c r="G259" s="32">
        <f t="shared" si="1"/>
        <v>2500</v>
      </c>
      <c r="H259" s="32"/>
    </row>
    <row r="260" hidden="1">
      <c r="A260" s="88" t="s">
        <v>340</v>
      </c>
      <c r="B260" s="92" t="s">
        <v>996</v>
      </c>
      <c r="C260" s="92"/>
      <c r="D260" s="92" t="s">
        <v>998</v>
      </c>
      <c r="E260" s="80">
        <v>12.0</v>
      </c>
      <c r="F260" s="80">
        <v>0.0</v>
      </c>
      <c r="G260" s="32">
        <f t="shared" si="1"/>
        <v>3000</v>
      </c>
      <c r="H260" s="32"/>
    </row>
    <row r="261" hidden="1">
      <c r="A261" s="88" t="s">
        <v>340</v>
      </c>
      <c r="B261" s="92" t="s">
        <v>1008</v>
      </c>
      <c r="C261" s="92"/>
      <c r="D261" s="92" t="s">
        <v>1010</v>
      </c>
      <c r="E261" s="80">
        <v>8.0</v>
      </c>
      <c r="F261" s="80">
        <v>0.0</v>
      </c>
      <c r="G261" s="32">
        <f t="shared" si="1"/>
        <v>2000</v>
      </c>
      <c r="H261" s="32"/>
    </row>
    <row r="262" hidden="1">
      <c r="A262" s="88" t="s">
        <v>340</v>
      </c>
      <c r="B262" s="92" t="s">
        <v>999</v>
      </c>
      <c r="C262" s="91"/>
      <c r="D262" s="91" t="s">
        <v>1001</v>
      </c>
      <c r="E262" s="80">
        <v>7.0</v>
      </c>
      <c r="F262" s="80">
        <v>0.0</v>
      </c>
      <c r="G262" s="32">
        <f t="shared" si="1"/>
        <v>1750</v>
      </c>
      <c r="H262" s="32"/>
    </row>
    <row r="263" hidden="1">
      <c r="A263" s="88" t="s">
        <v>340</v>
      </c>
      <c r="B263" s="92" t="s">
        <v>1002</v>
      </c>
      <c r="C263" s="92"/>
      <c r="D263" s="92" t="s">
        <v>1004</v>
      </c>
      <c r="E263" s="80">
        <v>7.0</v>
      </c>
      <c r="F263" s="80">
        <v>0.0</v>
      </c>
      <c r="G263" s="32">
        <f t="shared" si="1"/>
        <v>1750</v>
      </c>
      <c r="H263" s="32"/>
    </row>
    <row r="264" hidden="1">
      <c r="A264" s="88" t="s">
        <v>340</v>
      </c>
      <c r="B264" s="92" t="s">
        <v>1005</v>
      </c>
      <c r="C264" s="92"/>
      <c r="D264" s="92" t="s">
        <v>1007</v>
      </c>
      <c r="E264" s="80">
        <v>5.0</v>
      </c>
      <c r="F264" s="80">
        <v>0.0</v>
      </c>
      <c r="G264" s="32">
        <f t="shared" si="1"/>
        <v>1250</v>
      </c>
      <c r="H264" s="32"/>
    </row>
    <row r="265" hidden="1">
      <c r="A265" s="88" t="s">
        <v>341</v>
      </c>
      <c r="B265" s="92" t="s">
        <v>987</v>
      </c>
      <c r="C265" s="92"/>
      <c r="D265" s="92" t="s">
        <v>989</v>
      </c>
      <c r="E265" s="80">
        <v>13.0</v>
      </c>
      <c r="F265" s="80">
        <v>0.0</v>
      </c>
      <c r="G265" s="32">
        <f t="shared" si="1"/>
        <v>3250</v>
      </c>
      <c r="H265" s="32"/>
    </row>
    <row r="266" hidden="1">
      <c r="A266" s="88" t="s">
        <v>341</v>
      </c>
      <c r="B266" s="92" t="s">
        <v>990</v>
      </c>
      <c r="C266" s="92"/>
      <c r="D266" s="92" t="s">
        <v>992</v>
      </c>
      <c r="E266" s="80">
        <v>11.0</v>
      </c>
      <c r="F266" s="80">
        <v>0.0</v>
      </c>
      <c r="G266" s="32">
        <f t="shared" si="1"/>
        <v>2750</v>
      </c>
      <c r="H266" s="32"/>
    </row>
    <row r="267" hidden="1">
      <c r="A267" s="88" t="s">
        <v>341</v>
      </c>
      <c r="B267" s="92" t="s">
        <v>993</v>
      </c>
      <c r="C267" s="92"/>
      <c r="D267" s="92" t="s">
        <v>995</v>
      </c>
      <c r="E267" s="80">
        <v>10.0</v>
      </c>
      <c r="F267" s="80">
        <v>0.0</v>
      </c>
      <c r="G267" s="32">
        <f t="shared" si="1"/>
        <v>2500</v>
      </c>
      <c r="H267" s="32"/>
    </row>
    <row r="268" hidden="1">
      <c r="A268" s="88" t="s">
        <v>341</v>
      </c>
      <c r="B268" s="92" t="s">
        <v>996</v>
      </c>
      <c r="C268" s="92"/>
      <c r="D268" s="92" t="s">
        <v>998</v>
      </c>
      <c r="E268" s="80">
        <v>7.0</v>
      </c>
      <c r="F268" s="80">
        <v>0.0</v>
      </c>
      <c r="G268" s="32">
        <f t="shared" si="1"/>
        <v>1750</v>
      </c>
      <c r="H268" s="32"/>
    </row>
    <row r="269" hidden="1">
      <c r="A269" s="88" t="s">
        <v>341</v>
      </c>
      <c r="B269" s="92" t="s">
        <v>1008</v>
      </c>
      <c r="C269" s="92"/>
      <c r="D269" s="92" t="s">
        <v>1010</v>
      </c>
      <c r="E269" s="80">
        <v>3.0</v>
      </c>
      <c r="F269" s="80">
        <v>0.0</v>
      </c>
      <c r="G269" s="32">
        <f t="shared" si="1"/>
        <v>750</v>
      </c>
      <c r="H269" s="32"/>
    </row>
    <row r="270" hidden="1">
      <c r="A270" s="88" t="s">
        <v>341</v>
      </c>
      <c r="B270" s="92" t="s">
        <v>999</v>
      </c>
      <c r="C270" s="92"/>
      <c r="D270" s="92" t="s">
        <v>1020</v>
      </c>
      <c r="E270" s="80">
        <v>3.0</v>
      </c>
      <c r="F270" s="80">
        <v>0.0</v>
      </c>
      <c r="G270" s="32">
        <f t="shared" si="1"/>
        <v>750</v>
      </c>
      <c r="H270" s="32"/>
    </row>
    <row r="271" hidden="1">
      <c r="A271" s="88" t="s">
        <v>341</v>
      </c>
      <c r="B271" s="92" t="s">
        <v>1002</v>
      </c>
      <c r="C271" s="92"/>
      <c r="D271" s="92" t="s">
        <v>1004</v>
      </c>
      <c r="E271" s="80">
        <v>3.0</v>
      </c>
      <c r="F271" s="80">
        <v>0.0</v>
      </c>
      <c r="G271" s="32">
        <f t="shared" si="1"/>
        <v>750</v>
      </c>
      <c r="H271" s="32"/>
    </row>
    <row r="272" hidden="1">
      <c r="A272" s="88" t="s">
        <v>341</v>
      </c>
      <c r="B272" s="92" t="s">
        <v>1005</v>
      </c>
      <c r="C272" s="91"/>
      <c r="D272" s="91" t="s">
        <v>1007</v>
      </c>
      <c r="E272" s="34">
        <v>1.0</v>
      </c>
      <c r="F272" s="34">
        <v>0.0</v>
      </c>
      <c r="G272" s="32">
        <f t="shared" si="1"/>
        <v>250</v>
      </c>
      <c r="H272" s="32"/>
    </row>
    <row r="273" hidden="1">
      <c r="A273" s="88" t="s">
        <v>342</v>
      </c>
      <c r="B273" s="92" t="s">
        <v>987</v>
      </c>
      <c r="C273" s="92"/>
      <c r="D273" s="92" t="s">
        <v>989</v>
      </c>
      <c r="E273" s="80">
        <v>7.0</v>
      </c>
      <c r="F273" s="80">
        <v>0.0</v>
      </c>
      <c r="G273" s="32">
        <f t="shared" si="1"/>
        <v>1750</v>
      </c>
      <c r="H273" s="32"/>
    </row>
    <row r="274" hidden="1">
      <c r="A274" s="88" t="s">
        <v>342</v>
      </c>
      <c r="B274" s="92" t="s">
        <v>219</v>
      </c>
      <c r="C274" s="92"/>
      <c r="D274" s="92" t="s">
        <v>887</v>
      </c>
      <c r="E274" s="80">
        <v>6.0</v>
      </c>
      <c r="F274" s="80">
        <v>0.0</v>
      </c>
      <c r="G274" s="32">
        <f t="shared" si="1"/>
        <v>1500</v>
      </c>
      <c r="H274" s="32"/>
    </row>
    <row r="275" hidden="1">
      <c r="A275" s="88" t="s">
        <v>342</v>
      </c>
      <c r="B275" s="92" t="s">
        <v>990</v>
      </c>
      <c r="C275" s="92"/>
      <c r="D275" s="92" t="s">
        <v>992</v>
      </c>
      <c r="E275" s="80">
        <v>11.0</v>
      </c>
      <c r="F275" s="80">
        <v>0.0</v>
      </c>
      <c r="G275" s="32">
        <f t="shared" si="1"/>
        <v>2750</v>
      </c>
      <c r="H275" s="32"/>
    </row>
    <row r="276" hidden="1">
      <c r="A276" s="88" t="s">
        <v>342</v>
      </c>
      <c r="B276" s="92" t="s">
        <v>993</v>
      </c>
      <c r="C276" s="92"/>
      <c r="D276" s="92" t="s">
        <v>995</v>
      </c>
      <c r="E276" s="80">
        <v>8.0</v>
      </c>
      <c r="F276" s="80">
        <v>0.0</v>
      </c>
      <c r="G276" s="32">
        <f t="shared" si="1"/>
        <v>2000</v>
      </c>
      <c r="H276" s="32"/>
    </row>
    <row r="277" hidden="1">
      <c r="A277" s="88" t="s">
        <v>342</v>
      </c>
      <c r="B277" s="92" t="s">
        <v>996</v>
      </c>
      <c r="C277" s="92"/>
      <c r="D277" s="92" t="s">
        <v>998</v>
      </c>
      <c r="E277" s="80">
        <v>7.0</v>
      </c>
      <c r="F277" s="80">
        <v>0.0</v>
      </c>
      <c r="G277" s="32">
        <f t="shared" si="1"/>
        <v>1750</v>
      </c>
      <c r="H277" s="32"/>
    </row>
    <row r="278" hidden="1">
      <c r="A278" s="88" t="s">
        <v>342</v>
      </c>
      <c r="B278" s="92" t="s">
        <v>1008</v>
      </c>
      <c r="C278" s="92"/>
      <c r="D278" s="92" t="s">
        <v>1010</v>
      </c>
      <c r="E278" s="80">
        <v>3.0</v>
      </c>
      <c r="F278" s="80">
        <v>0.0</v>
      </c>
      <c r="G278" s="32">
        <f t="shared" si="1"/>
        <v>750</v>
      </c>
      <c r="H278" s="32"/>
    </row>
    <row r="279" hidden="1">
      <c r="A279" s="88" t="s">
        <v>342</v>
      </c>
      <c r="B279" s="92" t="s">
        <v>999</v>
      </c>
      <c r="C279" s="92"/>
      <c r="D279" s="92" t="s">
        <v>1020</v>
      </c>
      <c r="E279" s="80">
        <v>4.0</v>
      </c>
      <c r="F279" s="80">
        <v>0.0</v>
      </c>
      <c r="G279" s="32">
        <f t="shared" si="1"/>
        <v>1000</v>
      </c>
      <c r="H279" s="32"/>
    </row>
    <row r="280" hidden="1">
      <c r="A280" s="88" t="s">
        <v>342</v>
      </c>
      <c r="B280" s="92" t="s">
        <v>1002</v>
      </c>
      <c r="C280" s="92"/>
      <c r="D280" s="92" t="s">
        <v>1004</v>
      </c>
      <c r="E280" s="80">
        <v>4.0</v>
      </c>
      <c r="F280" s="80">
        <v>0.0</v>
      </c>
      <c r="G280" s="32">
        <f t="shared" si="1"/>
        <v>1000</v>
      </c>
      <c r="H280" s="32"/>
    </row>
    <row r="281" hidden="1">
      <c r="A281" s="88" t="s">
        <v>342</v>
      </c>
      <c r="B281" s="92" t="s">
        <v>1005</v>
      </c>
      <c r="C281" s="92"/>
      <c r="D281" s="92" t="s">
        <v>1021</v>
      </c>
      <c r="E281" s="83"/>
      <c r="F281" s="83"/>
      <c r="G281" s="32">
        <f t="shared" si="1"/>
        <v>0</v>
      </c>
      <c r="H281" s="32"/>
    </row>
    <row r="282" hidden="1">
      <c r="A282" s="88" t="s">
        <v>347</v>
      </c>
      <c r="B282" s="92" t="s">
        <v>987</v>
      </c>
      <c r="C282" s="92"/>
      <c r="D282" s="92" t="s">
        <v>989</v>
      </c>
      <c r="E282" s="80">
        <v>6.0</v>
      </c>
      <c r="F282" s="80">
        <v>0.0</v>
      </c>
      <c r="G282" s="32">
        <f t="shared" si="1"/>
        <v>1500</v>
      </c>
      <c r="H282" s="32"/>
    </row>
    <row r="283" hidden="1">
      <c r="A283" s="88" t="s">
        <v>347</v>
      </c>
      <c r="B283" s="92" t="s">
        <v>219</v>
      </c>
      <c r="C283" s="92"/>
      <c r="D283" s="92" t="s">
        <v>887</v>
      </c>
      <c r="E283" s="80">
        <v>7.0</v>
      </c>
      <c r="F283" s="80">
        <v>0.0</v>
      </c>
      <c r="G283" s="32">
        <f t="shared" si="1"/>
        <v>1750</v>
      </c>
      <c r="H283" s="32"/>
    </row>
    <row r="284" hidden="1">
      <c r="A284" s="88" t="s">
        <v>347</v>
      </c>
      <c r="B284" s="92" t="s">
        <v>990</v>
      </c>
      <c r="C284" s="92"/>
      <c r="D284" s="92" t="s">
        <v>992</v>
      </c>
      <c r="E284" s="80">
        <v>4.0</v>
      </c>
      <c r="F284" s="80">
        <v>0.0</v>
      </c>
      <c r="G284" s="32">
        <f t="shared" si="1"/>
        <v>1000</v>
      </c>
      <c r="H284" s="32"/>
    </row>
    <row r="285" hidden="1">
      <c r="A285" s="88" t="s">
        <v>347</v>
      </c>
      <c r="B285" s="92" t="s">
        <v>993</v>
      </c>
      <c r="C285" s="92"/>
      <c r="D285" s="92" t="s">
        <v>995</v>
      </c>
      <c r="E285" s="80">
        <v>7.0</v>
      </c>
      <c r="F285" s="80">
        <v>0.0</v>
      </c>
      <c r="G285" s="32">
        <f t="shared" si="1"/>
        <v>1750</v>
      </c>
      <c r="H285" s="32"/>
    </row>
    <row r="286" hidden="1">
      <c r="A286" s="88" t="s">
        <v>347</v>
      </c>
      <c r="B286" s="92" t="s">
        <v>996</v>
      </c>
      <c r="C286" s="92"/>
      <c r="D286" s="92" t="s">
        <v>998</v>
      </c>
      <c r="E286" s="80">
        <v>3.0</v>
      </c>
      <c r="F286" s="80">
        <v>0.0</v>
      </c>
      <c r="G286" s="32">
        <f t="shared" si="1"/>
        <v>750</v>
      </c>
      <c r="H286" s="32"/>
    </row>
    <row r="287" hidden="1">
      <c r="A287" s="88" t="s">
        <v>347</v>
      </c>
      <c r="B287" s="92" t="s">
        <v>1008</v>
      </c>
      <c r="C287" s="92"/>
      <c r="D287" s="92" t="s">
        <v>1010</v>
      </c>
      <c r="E287" s="80">
        <v>2.0</v>
      </c>
      <c r="F287" s="80">
        <v>0.0</v>
      </c>
      <c r="G287" s="32">
        <f t="shared" si="1"/>
        <v>500</v>
      </c>
      <c r="H287" s="32"/>
    </row>
    <row r="288" hidden="1">
      <c r="A288" s="88" t="s">
        <v>347</v>
      </c>
      <c r="B288" s="92" t="s">
        <v>999</v>
      </c>
      <c r="C288" s="92"/>
      <c r="D288" s="92" t="s">
        <v>1020</v>
      </c>
      <c r="E288" s="80">
        <v>2.0</v>
      </c>
      <c r="F288" s="80">
        <v>0.0</v>
      </c>
      <c r="G288" s="32">
        <f t="shared" si="1"/>
        <v>500</v>
      </c>
      <c r="H288" s="32"/>
    </row>
    <row r="289" hidden="1">
      <c r="A289" s="88" t="s">
        <v>347</v>
      </c>
      <c r="B289" s="92" t="s">
        <v>1002</v>
      </c>
      <c r="C289" s="92"/>
      <c r="D289" s="92" t="s">
        <v>1004</v>
      </c>
      <c r="E289" s="80">
        <v>3.0</v>
      </c>
      <c r="F289" s="80">
        <v>0.0</v>
      </c>
      <c r="G289" s="32">
        <f t="shared" si="1"/>
        <v>750</v>
      </c>
      <c r="H289" s="32"/>
    </row>
    <row r="290" hidden="1">
      <c r="A290" s="88" t="s">
        <v>347</v>
      </c>
      <c r="B290" s="76"/>
      <c r="C290" s="92"/>
      <c r="D290" s="92" t="s">
        <v>1022</v>
      </c>
      <c r="E290" s="80">
        <v>7.0</v>
      </c>
      <c r="F290" s="80">
        <v>0.0</v>
      </c>
      <c r="G290" s="32">
        <f t="shared" si="1"/>
        <v>1750</v>
      </c>
      <c r="H290" s="32"/>
    </row>
    <row r="291" hidden="1">
      <c r="A291" s="88" t="s">
        <v>348</v>
      </c>
      <c r="B291" s="92" t="s">
        <v>987</v>
      </c>
      <c r="C291" s="92"/>
      <c r="D291" s="92" t="s">
        <v>989</v>
      </c>
      <c r="E291" s="80">
        <v>13.0</v>
      </c>
      <c r="F291" s="80">
        <v>0.0</v>
      </c>
      <c r="G291" s="32">
        <f t="shared" si="1"/>
        <v>3250</v>
      </c>
      <c r="H291" s="32"/>
    </row>
    <row r="292" hidden="1">
      <c r="A292" s="88" t="s">
        <v>348</v>
      </c>
      <c r="B292" s="92" t="s">
        <v>219</v>
      </c>
      <c r="C292" s="92"/>
      <c r="D292" s="92" t="s">
        <v>887</v>
      </c>
      <c r="E292" s="80">
        <v>6.0</v>
      </c>
      <c r="F292" s="80">
        <v>0.0</v>
      </c>
      <c r="G292" s="32">
        <f t="shared" si="1"/>
        <v>1500</v>
      </c>
      <c r="H292" s="32"/>
    </row>
    <row r="293" hidden="1">
      <c r="A293" s="88" t="s">
        <v>348</v>
      </c>
      <c r="B293" s="92" t="s">
        <v>990</v>
      </c>
      <c r="C293" s="92"/>
      <c r="D293" s="92" t="s">
        <v>992</v>
      </c>
      <c r="E293" s="80">
        <v>6.0</v>
      </c>
      <c r="F293" s="80">
        <v>0.0</v>
      </c>
      <c r="G293" s="32">
        <f t="shared" si="1"/>
        <v>1500</v>
      </c>
      <c r="H293" s="32"/>
    </row>
    <row r="294" hidden="1">
      <c r="A294" s="88" t="s">
        <v>348</v>
      </c>
      <c r="B294" s="92" t="s">
        <v>993</v>
      </c>
      <c r="C294" s="92"/>
      <c r="D294" s="92" t="s">
        <v>995</v>
      </c>
      <c r="E294" s="80">
        <v>6.0</v>
      </c>
      <c r="F294" s="80">
        <v>0.0</v>
      </c>
      <c r="G294" s="32">
        <f t="shared" si="1"/>
        <v>1500</v>
      </c>
      <c r="H294" s="32"/>
    </row>
    <row r="295" hidden="1">
      <c r="A295" s="88" t="s">
        <v>348</v>
      </c>
      <c r="B295" s="92" t="s">
        <v>996</v>
      </c>
      <c r="C295" s="92"/>
      <c r="D295" s="92" t="s">
        <v>998</v>
      </c>
      <c r="E295" s="80">
        <v>2.0</v>
      </c>
      <c r="F295" s="80">
        <v>0.0</v>
      </c>
      <c r="G295" s="32">
        <f t="shared" si="1"/>
        <v>500</v>
      </c>
      <c r="H295" s="32"/>
    </row>
    <row r="296" hidden="1">
      <c r="A296" s="88" t="s">
        <v>348</v>
      </c>
      <c r="B296" s="92" t="s">
        <v>1008</v>
      </c>
      <c r="C296" s="92"/>
      <c r="D296" s="92" t="s">
        <v>1010</v>
      </c>
      <c r="E296" s="80">
        <v>5.0</v>
      </c>
      <c r="F296" s="80">
        <v>0.0</v>
      </c>
      <c r="G296" s="32">
        <f t="shared" si="1"/>
        <v>1250</v>
      </c>
      <c r="H296" s="32"/>
    </row>
    <row r="297" hidden="1">
      <c r="A297" s="88" t="s">
        <v>348</v>
      </c>
      <c r="B297" s="92" t="s">
        <v>999</v>
      </c>
      <c r="C297" s="92"/>
      <c r="D297" s="92" t="s">
        <v>1020</v>
      </c>
      <c r="E297" s="80">
        <v>3.0</v>
      </c>
      <c r="F297" s="80">
        <v>0.0</v>
      </c>
      <c r="G297" s="32">
        <f t="shared" si="1"/>
        <v>750</v>
      </c>
      <c r="H297" s="32"/>
    </row>
    <row r="298" hidden="1">
      <c r="A298" s="88" t="s">
        <v>348</v>
      </c>
      <c r="B298" s="92" t="s">
        <v>1002</v>
      </c>
      <c r="C298" s="92"/>
      <c r="D298" s="92" t="s">
        <v>1004</v>
      </c>
      <c r="E298" s="80">
        <v>4.0</v>
      </c>
      <c r="F298" s="80">
        <v>0.0</v>
      </c>
      <c r="G298" s="32">
        <f t="shared" si="1"/>
        <v>1000</v>
      </c>
      <c r="H298" s="32"/>
    </row>
    <row r="299" hidden="1">
      <c r="A299" s="88" t="s">
        <v>348</v>
      </c>
      <c r="B299" s="76"/>
      <c r="C299" s="92"/>
      <c r="D299" s="92" t="s">
        <v>1022</v>
      </c>
      <c r="E299" s="85">
        <v>9.0</v>
      </c>
      <c r="F299" s="85">
        <v>0.0</v>
      </c>
      <c r="G299" s="32">
        <f t="shared" si="1"/>
        <v>2250</v>
      </c>
      <c r="H299" s="32"/>
    </row>
    <row r="300" hidden="1">
      <c r="A300" s="88" t="s">
        <v>350</v>
      </c>
      <c r="B300" s="92" t="s">
        <v>987</v>
      </c>
      <c r="C300" s="92"/>
      <c r="D300" s="92" t="s">
        <v>989</v>
      </c>
      <c r="E300" s="80">
        <v>10.0</v>
      </c>
      <c r="F300" s="80">
        <v>0.0</v>
      </c>
      <c r="G300" s="32">
        <f t="shared" si="1"/>
        <v>2500</v>
      </c>
      <c r="H300" s="32"/>
    </row>
    <row r="301" hidden="1">
      <c r="A301" s="88" t="s">
        <v>350</v>
      </c>
      <c r="B301" s="92" t="s">
        <v>219</v>
      </c>
      <c r="C301" s="92"/>
      <c r="D301" s="92" t="s">
        <v>887</v>
      </c>
      <c r="E301" s="80">
        <v>5.0</v>
      </c>
      <c r="F301" s="80">
        <v>0.0</v>
      </c>
      <c r="G301" s="32">
        <f t="shared" si="1"/>
        <v>1250</v>
      </c>
      <c r="H301" s="32"/>
    </row>
    <row r="302" hidden="1">
      <c r="A302" s="88" t="s">
        <v>350</v>
      </c>
      <c r="B302" s="92" t="s">
        <v>990</v>
      </c>
      <c r="C302" s="92"/>
      <c r="D302" s="92" t="s">
        <v>992</v>
      </c>
      <c r="E302" s="80">
        <v>5.0</v>
      </c>
      <c r="F302" s="80">
        <v>0.0</v>
      </c>
      <c r="G302" s="32">
        <f t="shared" si="1"/>
        <v>1250</v>
      </c>
      <c r="H302" s="32"/>
    </row>
    <row r="303" hidden="1">
      <c r="A303" s="88" t="s">
        <v>350</v>
      </c>
      <c r="B303" s="92" t="s">
        <v>993</v>
      </c>
      <c r="C303" s="91"/>
      <c r="D303" s="91" t="s">
        <v>995</v>
      </c>
      <c r="E303" s="80">
        <v>2.0</v>
      </c>
      <c r="F303" s="80">
        <v>0.0</v>
      </c>
      <c r="G303" s="32">
        <f t="shared" si="1"/>
        <v>500</v>
      </c>
      <c r="H303" s="32"/>
    </row>
    <row r="304" hidden="1">
      <c r="A304" s="88" t="s">
        <v>350</v>
      </c>
      <c r="B304" s="92" t="s">
        <v>996</v>
      </c>
      <c r="C304" s="91"/>
      <c r="D304" s="91" t="s">
        <v>998</v>
      </c>
      <c r="E304" s="80">
        <v>4.0</v>
      </c>
      <c r="F304" s="80">
        <v>0.0</v>
      </c>
      <c r="G304" s="32">
        <f t="shared" si="1"/>
        <v>1000</v>
      </c>
      <c r="H304" s="32"/>
    </row>
    <row r="305" hidden="1">
      <c r="A305" s="88" t="s">
        <v>350</v>
      </c>
      <c r="B305" s="92" t="s">
        <v>1008</v>
      </c>
      <c r="C305" s="92"/>
      <c r="D305" s="92" t="s">
        <v>1010</v>
      </c>
      <c r="E305" s="80">
        <v>4.0</v>
      </c>
      <c r="F305" s="80">
        <v>0.0</v>
      </c>
      <c r="G305" s="32">
        <f t="shared" si="1"/>
        <v>1000</v>
      </c>
      <c r="H305" s="32"/>
    </row>
    <row r="306" hidden="1">
      <c r="A306" s="88" t="s">
        <v>350</v>
      </c>
      <c r="B306" s="92" t="s">
        <v>999</v>
      </c>
      <c r="C306" s="92"/>
      <c r="D306" s="92" t="s">
        <v>1020</v>
      </c>
      <c r="E306" s="80">
        <v>3.0</v>
      </c>
      <c r="F306" s="80">
        <v>0.0</v>
      </c>
      <c r="G306" s="32">
        <f t="shared" si="1"/>
        <v>750</v>
      </c>
      <c r="H306" s="32"/>
    </row>
    <row r="307" hidden="1">
      <c r="A307" s="88" t="s">
        <v>350</v>
      </c>
      <c r="B307" s="92" t="s">
        <v>1002</v>
      </c>
      <c r="C307" s="91"/>
      <c r="D307" s="91" t="s">
        <v>1004</v>
      </c>
      <c r="E307" s="80">
        <v>4.0</v>
      </c>
      <c r="F307" s="80">
        <v>0.0</v>
      </c>
      <c r="G307" s="32">
        <f t="shared" si="1"/>
        <v>1000</v>
      </c>
      <c r="H307" s="32"/>
    </row>
    <row r="308" hidden="1">
      <c r="A308" s="88" t="s">
        <v>350</v>
      </c>
      <c r="B308" s="76"/>
      <c r="C308" s="92"/>
      <c r="D308" s="92" t="s">
        <v>1022</v>
      </c>
      <c r="E308" s="85">
        <v>16.0</v>
      </c>
      <c r="F308" s="85">
        <v>0.0</v>
      </c>
      <c r="G308" s="32">
        <f t="shared" si="1"/>
        <v>4000</v>
      </c>
      <c r="H308" s="32"/>
    </row>
    <row r="309" hidden="1">
      <c r="A309" s="88" t="s">
        <v>1023</v>
      </c>
      <c r="B309" s="92" t="s">
        <v>987</v>
      </c>
      <c r="C309" s="92"/>
      <c r="D309" s="92" t="s">
        <v>989</v>
      </c>
      <c r="E309" s="80">
        <v>17.0</v>
      </c>
      <c r="F309" s="80">
        <v>0.0</v>
      </c>
      <c r="G309" s="32">
        <f t="shared" si="1"/>
        <v>4250</v>
      </c>
      <c r="H309" s="32"/>
    </row>
    <row r="310" hidden="1">
      <c r="A310" s="88" t="s">
        <v>1023</v>
      </c>
      <c r="B310" s="92" t="s">
        <v>219</v>
      </c>
      <c r="C310" s="92"/>
      <c r="D310" s="92" t="s">
        <v>887</v>
      </c>
      <c r="E310" s="80">
        <v>9.0</v>
      </c>
      <c r="F310" s="80">
        <v>0.0</v>
      </c>
      <c r="G310" s="32">
        <f t="shared" si="1"/>
        <v>2250</v>
      </c>
      <c r="H310" s="32"/>
    </row>
    <row r="311" hidden="1">
      <c r="A311" s="88" t="s">
        <v>1023</v>
      </c>
      <c r="B311" s="92" t="s">
        <v>990</v>
      </c>
      <c r="C311" s="92"/>
      <c r="D311" s="92" t="s">
        <v>992</v>
      </c>
      <c r="E311" s="80">
        <v>7.0</v>
      </c>
      <c r="F311" s="80">
        <v>0.0</v>
      </c>
      <c r="G311" s="32">
        <f t="shared" si="1"/>
        <v>1750</v>
      </c>
      <c r="H311" s="32"/>
    </row>
    <row r="312" hidden="1">
      <c r="A312" s="88" t="s">
        <v>1023</v>
      </c>
      <c r="B312" s="92" t="s">
        <v>993</v>
      </c>
      <c r="C312" s="92"/>
      <c r="D312" s="92" t="s">
        <v>1024</v>
      </c>
      <c r="E312" s="80">
        <v>6.0</v>
      </c>
      <c r="F312" s="80">
        <v>0.0</v>
      </c>
      <c r="G312" s="32">
        <f t="shared" si="1"/>
        <v>1500</v>
      </c>
      <c r="H312" s="32"/>
    </row>
    <row r="313" hidden="1">
      <c r="A313" s="88" t="s">
        <v>1023</v>
      </c>
      <c r="B313" s="92" t="s">
        <v>996</v>
      </c>
      <c r="C313" s="92"/>
      <c r="D313" s="92" t="s">
        <v>1025</v>
      </c>
      <c r="E313" s="80">
        <v>7.0</v>
      </c>
      <c r="F313" s="80">
        <v>0.0</v>
      </c>
      <c r="G313" s="32">
        <f t="shared" si="1"/>
        <v>1750</v>
      </c>
      <c r="H313" s="32"/>
    </row>
    <row r="314" hidden="1">
      <c r="A314" s="88" t="s">
        <v>1023</v>
      </c>
      <c r="B314" s="92" t="s">
        <v>1008</v>
      </c>
      <c r="C314" s="92"/>
      <c r="D314" s="92" t="s">
        <v>1010</v>
      </c>
      <c r="E314" s="80">
        <v>6.0</v>
      </c>
      <c r="F314" s="80">
        <v>0.0</v>
      </c>
      <c r="G314" s="32">
        <f t="shared" si="1"/>
        <v>1500</v>
      </c>
      <c r="H314" s="32"/>
    </row>
    <row r="315" hidden="1">
      <c r="A315" s="88" t="s">
        <v>1023</v>
      </c>
      <c r="B315" s="92" t="s">
        <v>999</v>
      </c>
      <c r="C315" s="92"/>
      <c r="D315" s="92" t="s">
        <v>1020</v>
      </c>
      <c r="E315" s="80">
        <v>5.0</v>
      </c>
      <c r="F315" s="80">
        <v>0.0</v>
      </c>
      <c r="G315" s="32">
        <f t="shared" si="1"/>
        <v>1250</v>
      </c>
      <c r="H315" s="32"/>
    </row>
    <row r="316" hidden="1">
      <c r="A316" s="88" t="s">
        <v>1023</v>
      </c>
      <c r="B316" s="92" t="s">
        <v>1002</v>
      </c>
      <c r="C316" s="92"/>
      <c r="D316" s="92" t="s">
        <v>1026</v>
      </c>
      <c r="E316" s="80">
        <v>5.0</v>
      </c>
      <c r="F316" s="80">
        <v>0.0</v>
      </c>
      <c r="G316" s="32">
        <f t="shared" si="1"/>
        <v>1250</v>
      </c>
      <c r="H316" s="32"/>
    </row>
    <row r="317" hidden="1">
      <c r="A317" s="88" t="s">
        <v>1023</v>
      </c>
      <c r="B317" s="92" t="s">
        <v>761</v>
      </c>
      <c r="C317" s="92"/>
      <c r="D317" s="92" t="s">
        <v>763</v>
      </c>
      <c r="E317" s="78"/>
      <c r="F317" s="78"/>
      <c r="G317" s="32">
        <f t="shared" si="1"/>
        <v>0</v>
      </c>
      <c r="H317" s="32"/>
    </row>
    <row r="318" hidden="1">
      <c r="A318" s="88" t="s">
        <v>1023</v>
      </c>
      <c r="B318" s="76"/>
      <c r="C318" s="92"/>
      <c r="D318" s="92" t="s">
        <v>1022</v>
      </c>
      <c r="E318" s="85">
        <v>12.0</v>
      </c>
      <c r="F318" s="85">
        <v>0.0</v>
      </c>
      <c r="G318" s="32">
        <f t="shared" si="1"/>
        <v>3000</v>
      </c>
      <c r="H318" s="32"/>
    </row>
    <row r="319" hidden="1">
      <c r="A319" s="34" t="s">
        <v>352</v>
      </c>
      <c r="B319" s="92" t="s">
        <v>990</v>
      </c>
      <c r="C319" s="92"/>
      <c r="D319" s="92" t="s">
        <v>992</v>
      </c>
      <c r="E319" s="80">
        <v>8.0</v>
      </c>
      <c r="F319" s="80">
        <v>0.0</v>
      </c>
      <c r="G319" s="32">
        <f t="shared" si="1"/>
        <v>2000</v>
      </c>
      <c r="H319" s="32"/>
    </row>
    <row r="320" hidden="1">
      <c r="A320" s="34" t="s">
        <v>352</v>
      </c>
      <c r="B320" s="92" t="s">
        <v>987</v>
      </c>
      <c r="C320" s="92"/>
      <c r="D320" s="92" t="s">
        <v>989</v>
      </c>
      <c r="E320" s="80">
        <v>9.0</v>
      </c>
      <c r="F320" s="80">
        <v>7.0</v>
      </c>
      <c r="G320" s="32">
        <f t="shared" si="1"/>
        <v>4000</v>
      </c>
      <c r="H320" s="32"/>
    </row>
    <row r="321" hidden="1">
      <c r="A321" s="34" t="s">
        <v>352</v>
      </c>
      <c r="B321" s="92" t="s">
        <v>1008</v>
      </c>
      <c r="C321" s="92"/>
      <c r="D321" s="92" t="s">
        <v>1010</v>
      </c>
      <c r="E321" s="80">
        <v>1.0</v>
      </c>
      <c r="F321" s="80">
        <v>0.0</v>
      </c>
      <c r="G321" s="32">
        <f t="shared" si="1"/>
        <v>250</v>
      </c>
      <c r="H321" s="32"/>
    </row>
    <row r="322" hidden="1">
      <c r="A322" s="34" t="s">
        <v>352</v>
      </c>
      <c r="B322" s="92" t="s">
        <v>993</v>
      </c>
      <c r="C322" s="92"/>
      <c r="D322" s="92" t="s">
        <v>1024</v>
      </c>
      <c r="E322" s="80">
        <v>9.0</v>
      </c>
      <c r="F322" s="80">
        <v>0.0</v>
      </c>
      <c r="G322" s="32">
        <f t="shared" si="1"/>
        <v>2250</v>
      </c>
      <c r="H322" s="32"/>
    </row>
    <row r="323" hidden="1">
      <c r="A323" s="34" t="s">
        <v>352</v>
      </c>
      <c r="B323" s="92" t="s">
        <v>219</v>
      </c>
      <c r="C323" s="92"/>
      <c r="D323" s="92" t="s">
        <v>887</v>
      </c>
      <c r="E323" s="80">
        <v>3.0</v>
      </c>
      <c r="F323" s="80">
        <v>0.0</v>
      </c>
      <c r="G323" s="32">
        <f t="shared" si="1"/>
        <v>750</v>
      </c>
      <c r="H323" s="32"/>
    </row>
    <row r="324" hidden="1">
      <c r="A324" s="34" t="s">
        <v>352</v>
      </c>
      <c r="B324" s="92" t="s">
        <v>1002</v>
      </c>
      <c r="C324" s="92"/>
      <c r="D324" s="92" t="s">
        <v>1026</v>
      </c>
      <c r="E324" s="80">
        <v>3.0</v>
      </c>
      <c r="F324" s="80">
        <v>0.0</v>
      </c>
      <c r="G324" s="32">
        <f t="shared" si="1"/>
        <v>750</v>
      </c>
      <c r="H324" s="32"/>
    </row>
    <row r="325" hidden="1">
      <c r="A325" s="34" t="s">
        <v>352</v>
      </c>
      <c r="B325" s="92" t="s">
        <v>761</v>
      </c>
      <c r="C325" s="92"/>
      <c r="D325" s="92" t="s">
        <v>763</v>
      </c>
      <c r="E325" s="83"/>
      <c r="F325" s="83"/>
      <c r="G325" s="32">
        <f t="shared" si="1"/>
        <v>0</v>
      </c>
      <c r="H325" s="32"/>
    </row>
    <row r="326" hidden="1">
      <c r="A326" s="34" t="s">
        <v>352</v>
      </c>
      <c r="B326" s="92" t="s">
        <v>996</v>
      </c>
      <c r="C326" s="92"/>
      <c r="D326" s="92" t="s">
        <v>1025</v>
      </c>
      <c r="E326" s="80">
        <v>2.0</v>
      </c>
      <c r="F326" s="80">
        <v>1.0</v>
      </c>
      <c r="G326" s="32">
        <f t="shared" si="1"/>
        <v>750</v>
      </c>
      <c r="H326" s="32"/>
    </row>
    <row r="327" hidden="1">
      <c r="A327" s="34" t="s">
        <v>352</v>
      </c>
      <c r="B327" s="92" t="s">
        <v>999</v>
      </c>
      <c r="C327" s="92"/>
      <c r="D327" s="92" t="s">
        <v>1020</v>
      </c>
      <c r="E327" s="80">
        <v>5.0</v>
      </c>
      <c r="F327" s="80">
        <v>0.0</v>
      </c>
      <c r="G327" s="32">
        <f t="shared" si="1"/>
        <v>1250</v>
      </c>
      <c r="H327" s="32"/>
    </row>
    <row r="328" hidden="1">
      <c r="A328" s="88" t="s">
        <v>352</v>
      </c>
      <c r="B328" s="76"/>
      <c r="C328" s="92"/>
      <c r="D328" s="92" t="s">
        <v>1022</v>
      </c>
      <c r="E328" s="85">
        <v>14.0</v>
      </c>
      <c r="F328" s="85">
        <v>0.0</v>
      </c>
      <c r="G328" s="32">
        <f t="shared" si="1"/>
        <v>3500</v>
      </c>
      <c r="H328" s="32"/>
    </row>
    <row r="329" hidden="1">
      <c r="A329" s="34" t="s">
        <v>353</v>
      </c>
      <c r="B329" s="91" t="s">
        <v>990</v>
      </c>
      <c r="C329" s="76"/>
      <c r="D329" s="76" t="s">
        <v>992</v>
      </c>
      <c r="E329" s="80">
        <v>10.0</v>
      </c>
      <c r="F329" s="80">
        <v>0.0</v>
      </c>
      <c r="G329" s="32">
        <f t="shared" si="1"/>
        <v>2500</v>
      </c>
      <c r="H329" s="32"/>
    </row>
    <row r="330" hidden="1">
      <c r="A330" s="34" t="s">
        <v>353</v>
      </c>
      <c r="B330" s="92"/>
      <c r="C330" s="76"/>
      <c r="D330" s="76" t="s">
        <v>1027</v>
      </c>
      <c r="E330" s="80">
        <v>0.0</v>
      </c>
      <c r="F330" s="80">
        <v>0.0</v>
      </c>
      <c r="G330" s="32">
        <f t="shared" si="1"/>
        <v>0</v>
      </c>
      <c r="H330" s="32"/>
    </row>
    <row r="331" hidden="1">
      <c r="A331" s="34" t="s">
        <v>353</v>
      </c>
      <c r="B331" s="91" t="s">
        <v>987</v>
      </c>
      <c r="C331" s="76"/>
      <c r="D331" s="76" t="s">
        <v>989</v>
      </c>
      <c r="E331" s="80">
        <v>9.0</v>
      </c>
      <c r="F331" s="80">
        <v>0.0</v>
      </c>
      <c r="G331" s="32">
        <f t="shared" si="1"/>
        <v>2250</v>
      </c>
      <c r="H331" s="32"/>
    </row>
    <row r="332" hidden="1">
      <c r="A332" s="34" t="s">
        <v>353</v>
      </c>
      <c r="B332" s="91" t="s">
        <v>1008</v>
      </c>
      <c r="C332" s="88"/>
      <c r="D332" s="88" t="s">
        <v>1010</v>
      </c>
      <c r="E332" s="80">
        <v>4.0</v>
      </c>
      <c r="F332" s="80">
        <v>0.0</v>
      </c>
      <c r="G332" s="32">
        <f t="shared" si="1"/>
        <v>1000</v>
      </c>
      <c r="H332" s="32"/>
    </row>
    <row r="333" hidden="1">
      <c r="A333" s="34" t="s">
        <v>353</v>
      </c>
      <c r="B333" s="91" t="s">
        <v>993</v>
      </c>
      <c r="C333" s="76"/>
      <c r="D333" s="76" t="s">
        <v>1024</v>
      </c>
      <c r="E333" s="80">
        <v>3.0</v>
      </c>
      <c r="F333" s="80">
        <v>0.0</v>
      </c>
      <c r="G333" s="32">
        <f t="shared" si="1"/>
        <v>750</v>
      </c>
      <c r="H333" s="32"/>
    </row>
    <row r="334" hidden="1">
      <c r="A334" s="34" t="s">
        <v>353</v>
      </c>
      <c r="B334" s="91" t="s">
        <v>219</v>
      </c>
      <c r="C334" s="76"/>
      <c r="D334" s="76" t="s">
        <v>887</v>
      </c>
      <c r="E334" s="80">
        <v>5.0</v>
      </c>
      <c r="F334" s="80">
        <v>0.0</v>
      </c>
      <c r="G334" s="32">
        <f t="shared" si="1"/>
        <v>1250</v>
      </c>
      <c r="H334" s="32"/>
    </row>
    <row r="335" hidden="1">
      <c r="A335" s="34" t="s">
        <v>353</v>
      </c>
      <c r="B335" s="91" t="s">
        <v>1002</v>
      </c>
      <c r="C335" s="76"/>
      <c r="D335" s="76" t="s">
        <v>1026</v>
      </c>
      <c r="E335" s="80">
        <v>6.0</v>
      </c>
      <c r="F335" s="80">
        <v>0.0</v>
      </c>
      <c r="G335" s="32">
        <f t="shared" si="1"/>
        <v>1500</v>
      </c>
      <c r="H335" s="32"/>
    </row>
    <row r="336" hidden="1">
      <c r="A336" s="34" t="s">
        <v>353</v>
      </c>
      <c r="B336" s="91" t="s">
        <v>761</v>
      </c>
      <c r="C336" s="76"/>
      <c r="D336" s="76" t="s">
        <v>763</v>
      </c>
      <c r="E336" s="34">
        <v>0.0</v>
      </c>
      <c r="F336" s="34">
        <v>0.0</v>
      </c>
      <c r="G336" s="32">
        <f t="shared" si="1"/>
        <v>0</v>
      </c>
      <c r="H336" s="32"/>
    </row>
    <row r="337" hidden="1">
      <c r="A337" s="34" t="s">
        <v>353</v>
      </c>
      <c r="B337" s="91" t="s">
        <v>996</v>
      </c>
      <c r="C337" s="76"/>
      <c r="D337" s="76" t="s">
        <v>1025</v>
      </c>
      <c r="E337" s="80">
        <v>5.0</v>
      </c>
      <c r="F337" s="80">
        <v>0.0</v>
      </c>
      <c r="G337" s="32">
        <f t="shared" si="1"/>
        <v>1250</v>
      </c>
      <c r="H337" s="32"/>
    </row>
    <row r="338" hidden="1">
      <c r="A338" s="34" t="s">
        <v>353</v>
      </c>
      <c r="B338" s="91" t="s">
        <v>999</v>
      </c>
      <c r="C338" s="76"/>
      <c r="D338" s="76" t="s">
        <v>1020</v>
      </c>
      <c r="E338" s="80">
        <v>5.0</v>
      </c>
      <c r="F338" s="80">
        <v>0.0</v>
      </c>
      <c r="G338" s="32">
        <f t="shared" si="1"/>
        <v>1250</v>
      </c>
      <c r="H338" s="32"/>
    </row>
    <row r="339" hidden="1">
      <c r="A339" s="34" t="s">
        <v>353</v>
      </c>
      <c r="B339" s="92"/>
      <c r="C339" s="275"/>
      <c r="D339" s="275" t="s">
        <v>1022</v>
      </c>
      <c r="E339" s="276">
        <v>16.0</v>
      </c>
      <c r="F339" s="276">
        <v>0.0</v>
      </c>
      <c r="G339" s="277">
        <f t="shared" si="1"/>
        <v>4000</v>
      </c>
      <c r="H339" s="277"/>
    </row>
    <row r="340" hidden="1">
      <c r="A340" s="34" t="s">
        <v>354</v>
      </c>
      <c r="B340" s="274"/>
      <c r="C340" s="274"/>
      <c r="D340" s="274" t="s">
        <v>992</v>
      </c>
      <c r="E340" s="80">
        <v>6.0</v>
      </c>
      <c r="F340" s="80">
        <v>0.0</v>
      </c>
      <c r="G340" s="32">
        <f t="shared" si="1"/>
        <v>1500</v>
      </c>
      <c r="H340" s="32"/>
    </row>
    <row r="341" hidden="1">
      <c r="A341" s="34" t="s">
        <v>354</v>
      </c>
      <c r="B341" s="274"/>
      <c r="C341" s="274"/>
      <c r="D341" s="274" t="s">
        <v>1027</v>
      </c>
      <c r="E341" s="80">
        <v>1.0</v>
      </c>
      <c r="F341" s="80">
        <v>0.0</v>
      </c>
      <c r="G341" s="32">
        <f t="shared" si="1"/>
        <v>250</v>
      </c>
      <c r="H341" s="32"/>
    </row>
    <row r="342" hidden="1">
      <c r="A342" s="34" t="s">
        <v>354</v>
      </c>
      <c r="B342" s="274"/>
      <c r="C342" s="274"/>
      <c r="D342" s="274" t="s">
        <v>989</v>
      </c>
      <c r="E342" s="80">
        <v>7.0</v>
      </c>
      <c r="F342" s="80">
        <v>0.0</v>
      </c>
      <c r="G342" s="32">
        <f t="shared" si="1"/>
        <v>1750</v>
      </c>
      <c r="H342" s="32"/>
    </row>
    <row r="343" hidden="1">
      <c r="A343" s="34" t="s">
        <v>354</v>
      </c>
      <c r="B343" s="274"/>
      <c r="C343" s="274"/>
      <c r="D343" s="274" t="s">
        <v>1028</v>
      </c>
      <c r="E343" s="80">
        <v>9.0</v>
      </c>
      <c r="F343" s="80">
        <v>0.0</v>
      </c>
      <c r="G343" s="32">
        <f t="shared" si="1"/>
        <v>2250</v>
      </c>
      <c r="H343" s="32"/>
    </row>
    <row r="344" hidden="1">
      <c r="A344" s="34" t="s">
        <v>354</v>
      </c>
      <c r="B344" s="274"/>
      <c r="C344" s="274"/>
      <c r="D344" s="274" t="s">
        <v>1024</v>
      </c>
      <c r="E344" s="80">
        <v>5.0</v>
      </c>
      <c r="F344" s="80">
        <v>0.0</v>
      </c>
      <c r="G344" s="32">
        <f t="shared" si="1"/>
        <v>1250</v>
      </c>
      <c r="H344" s="32"/>
    </row>
    <row r="345" hidden="1">
      <c r="A345" s="34" t="s">
        <v>354</v>
      </c>
      <c r="B345" s="274"/>
      <c r="C345" s="274"/>
      <c r="D345" s="274" t="s">
        <v>887</v>
      </c>
      <c r="E345" s="80">
        <v>10.0</v>
      </c>
      <c r="F345" s="80">
        <v>0.0</v>
      </c>
      <c r="G345" s="32">
        <f t="shared" si="1"/>
        <v>2500</v>
      </c>
      <c r="H345" s="32"/>
    </row>
    <row r="346" hidden="1">
      <c r="A346" s="34" t="s">
        <v>354</v>
      </c>
      <c r="B346" s="274"/>
      <c r="C346" s="274"/>
      <c r="D346" s="274" t="s">
        <v>1026</v>
      </c>
      <c r="E346" s="80">
        <v>8.0</v>
      </c>
      <c r="F346" s="80">
        <v>0.0</v>
      </c>
      <c r="G346" s="32">
        <f t="shared" si="1"/>
        <v>2000</v>
      </c>
      <c r="H346" s="32"/>
    </row>
    <row r="347" hidden="1">
      <c r="A347" s="34" t="s">
        <v>354</v>
      </c>
      <c r="B347" s="78"/>
      <c r="C347" s="78"/>
      <c r="D347" s="78" t="s">
        <v>763</v>
      </c>
      <c r="E347" s="83"/>
      <c r="F347" s="83"/>
      <c r="G347" s="32">
        <f t="shared" si="1"/>
        <v>0</v>
      </c>
      <c r="H347" s="32"/>
    </row>
    <row r="348" hidden="1">
      <c r="A348" s="34" t="s">
        <v>354</v>
      </c>
      <c r="B348" s="274"/>
      <c r="C348" s="274"/>
      <c r="D348" s="274" t="s">
        <v>1025</v>
      </c>
      <c r="E348" s="80">
        <v>4.0</v>
      </c>
      <c r="F348" s="80">
        <v>0.0</v>
      </c>
      <c r="G348" s="32">
        <f t="shared" si="1"/>
        <v>1000</v>
      </c>
      <c r="H348" s="32"/>
    </row>
    <row r="349" hidden="1">
      <c r="A349" s="34" t="s">
        <v>354</v>
      </c>
      <c r="B349" s="274"/>
      <c r="C349" s="274"/>
      <c r="D349" s="274" t="s">
        <v>1020</v>
      </c>
      <c r="E349" s="80">
        <v>6.0</v>
      </c>
      <c r="F349" s="80">
        <v>0.0</v>
      </c>
      <c r="G349" s="32">
        <f t="shared" si="1"/>
        <v>1500</v>
      </c>
      <c r="H349" s="32"/>
    </row>
    <row r="350" hidden="1">
      <c r="A350" s="34" t="s">
        <v>354</v>
      </c>
      <c r="B350" s="78"/>
      <c r="C350" s="78"/>
      <c r="D350" s="78" t="s">
        <v>1022</v>
      </c>
      <c r="E350" s="80">
        <v>18.0</v>
      </c>
      <c r="F350" s="80">
        <v>0.0</v>
      </c>
      <c r="G350" s="32">
        <f t="shared" si="1"/>
        <v>4500</v>
      </c>
      <c r="H350" s="32"/>
    </row>
    <row r="351" hidden="1">
      <c r="A351" s="104" t="s">
        <v>355</v>
      </c>
      <c r="B351" s="279"/>
      <c r="C351" s="279"/>
      <c r="D351" s="279" t="s">
        <v>992</v>
      </c>
      <c r="E351" s="104">
        <v>9.0</v>
      </c>
      <c r="F351" s="104">
        <v>0.0</v>
      </c>
      <c r="G351" s="280">
        <f t="shared" si="1"/>
        <v>2250</v>
      </c>
    </row>
    <row r="352" hidden="1">
      <c r="A352" s="104" t="s">
        <v>355</v>
      </c>
      <c r="B352" s="279"/>
      <c r="C352" s="279"/>
      <c r="D352" s="279" t="s">
        <v>1027</v>
      </c>
      <c r="E352" s="104">
        <v>1.0</v>
      </c>
      <c r="F352" s="104">
        <v>0.0</v>
      </c>
      <c r="G352" s="280">
        <f t="shared" si="1"/>
        <v>250</v>
      </c>
    </row>
    <row r="353" hidden="1">
      <c r="A353" s="104" t="s">
        <v>355</v>
      </c>
      <c r="B353" s="279"/>
      <c r="C353" s="279"/>
      <c r="D353" s="279" t="s">
        <v>989</v>
      </c>
      <c r="E353" s="104">
        <v>6.0</v>
      </c>
      <c r="F353" s="104">
        <v>0.0</v>
      </c>
      <c r="G353" s="280">
        <f t="shared" si="1"/>
        <v>1500</v>
      </c>
    </row>
    <row r="354" hidden="1">
      <c r="A354" s="104" t="s">
        <v>355</v>
      </c>
      <c r="B354" s="279"/>
      <c r="C354" s="279"/>
      <c r="D354" s="279" t="s">
        <v>1028</v>
      </c>
      <c r="E354" s="104">
        <v>5.0</v>
      </c>
      <c r="F354" s="104">
        <v>0.0</v>
      </c>
      <c r="G354" s="280">
        <f t="shared" si="1"/>
        <v>1250</v>
      </c>
    </row>
    <row r="355" hidden="1">
      <c r="A355" s="104" t="s">
        <v>355</v>
      </c>
      <c r="B355" s="279"/>
      <c r="C355" s="279"/>
      <c r="D355" s="279" t="s">
        <v>1024</v>
      </c>
      <c r="E355" s="104">
        <v>3.0</v>
      </c>
      <c r="F355" s="104">
        <v>0.0</v>
      </c>
      <c r="G355" s="280">
        <f t="shared" si="1"/>
        <v>750</v>
      </c>
    </row>
    <row r="356" hidden="1">
      <c r="A356" s="104" t="s">
        <v>355</v>
      </c>
      <c r="B356" s="279"/>
      <c r="C356" s="279"/>
      <c r="D356" s="279" t="s">
        <v>887</v>
      </c>
      <c r="E356" s="104">
        <v>5.0</v>
      </c>
      <c r="F356" s="104">
        <v>0.0</v>
      </c>
      <c r="G356" s="280">
        <f t="shared" si="1"/>
        <v>1250</v>
      </c>
    </row>
    <row r="357" hidden="1">
      <c r="A357" s="104" t="s">
        <v>355</v>
      </c>
      <c r="B357" s="279"/>
      <c r="C357" s="279"/>
      <c r="D357" s="279" t="s">
        <v>1026</v>
      </c>
      <c r="E357" s="104">
        <v>5.0</v>
      </c>
      <c r="F357" s="104">
        <v>0.0</v>
      </c>
      <c r="G357" s="280">
        <f t="shared" si="1"/>
        <v>1250</v>
      </c>
    </row>
    <row r="358" hidden="1">
      <c r="A358" s="104" t="s">
        <v>355</v>
      </c>
      <c r="B358" s="279"/>
      <c r="C358" s="279"/>
      <c r="D358" s="279" t="s">
        <v>763</v>
      </c>
      <c r="E358" s="104">
        <v>3.0</v>
      </c>
      <c r="F358" s="104">
        <v>0.0</v>
      </c>
      <c r="G358" s="280">
        <f t="shared" si="1"/>
        <v>750</v>
      </c>
    </row>
    <row r="359" hidden="1">
      <c r="A359" s="104" t="s">
        <v>355</v>
      </c>
      <c r="B359" s="279"/>
      <c r="C359" s="279"/>
      <c r="D359" s="279" t="s">
        <v>1025</v>
      </c>
      <c r="E359" s="104">
        <v>7.0</v>
      </c>
      <c r="F359" s="104">
        <v>0.0</v>
      </c>
      <c r="G359" s="280">
        <f t="shared" si="1"/>
        <v>1750</v>
      </c>
    </row>
    <row r="360" hidden="1">
      <c r="A360" s="104" t="s">
        <v>355</v>
      </c>
      <c r="B360" s="279"/>
      <c r="C360" s="279"/>
      <c r="D360" s="279" t="s">
        <v>1020</v>
      </c>
      <c r="E360" s="104">
        <v>4.0</v>
      </c>
      <c r="F360" s="104">
        <v>0.0</v>
      </c>
      <c r="G360" s="280">
        <f t="shared" si="1"/>
        <v>1000</v>
      </c>
    </row>
    <row r="361" hidden="1">
      <c r="A361" s="104" t="s">
        <v>355</v>
      </c>
      <c r="B361" s="299"/>
      <c r="C361" s="299"/>
      <c r="D361" s="299" t="s">
        <v>1022</v>
      </c>
      <c r="E361" s="104">
        <v>20.0</v>
      </c>
      <c r="F361" s="104">
        <v>0.0</v>
      </c>
      <c r="G361" s="280">
        <f t="shared" si="1"/>
        <v>5000</v>
      </c>
    </row>
    <row r="362" hidden="1">
      <c r="A362" s="104" t="s">
        <v>382</v>
      </c>
      <c r="B362" s="104"/>
      <c r="C362" s="104"/>
      <c r="D362" s="104" t="s">
        <v>992</v>
      </c>
      <c r="E362" s="104">
        <v>9.0</v>
      </c>
      <c r="F362" s="104">
        <v>0.0</v>
      </c>
      <c r="G362" s="280">
        <f t="shared" si="1"/>
        <v>2250</v>
      </c>
    </row>
    <row r="363" hidden="1">
      <c r="A363" s="104" t="s">
        <v>382</v>
      </c>
      <c r="B363" s="104"/>
      <c r="C363" s="104"/>
      <c r="D363" s="104" t="s">
        <v>1027</v>
      </c>
      <c r="E363" s="104">
        <v>7.0</v>
      </c>
      <c r="F363" s="104">
        <v>0.0</v>
      </c>
      <c r="G363" s="280">
        <f t="shared" si="1"/>
        <v>1750</v>
      </c>
    </row>
    <row r="364" hidden="1">
      <c r="A364" s="104" t="s">
        <v>382</v>
      </c>
      <c r="B364" s="104"/>
      <c r="C364" s="104"/>
      <c r="D364" s="104" t="s">
        <v>989</v>
      </c>
      <c r="E364" s="104">
        <v>6.0</v>
      </c>
      <c r="F364" s="104">
        <v>0.0</v>
      </c>
      <c r="G364" s="280">
        <f t="shared" si="1"/>
        <v>1500</v>
      </c>
    </row>
    <row r="365" hidden="1">
      <c r="A365" s="104" t="s">
        <v>382</v>
      </c>
      <c r="B365" s="104"/>
      <c r="C365" s="104"/>
      <c r="D365" s="104" t="s">
        <v>1028</v>
      </c>
      <c r="E365" s="104">
        <v>6.0</v>
      </c>
      <c r="F365" s="104">
        <v>0.0</v>
      </c>
      <c r="G365" s="280">
        <f t="shared" si="1"/>
        <v>1500</v>
      </c>
    </row>
    <row r="366" hidden="1">
      <c r="A366" s="104" t="s">
        <v>382</v>
      </c>
      <c r="B366" s="104"/>
      <c r="C366" s="104"/>
      <c r="D366" s="104" t="s">
        <v>1024</v>
      </c>
      <c r="E366" s="104">
        <v>5.0</v>
      </c>
      <c r="F366" s="104">
        <v>0.0</v>
      </c>
      <c r="G366" s="280">
        <f t="shared" si="1"/>
        <v>1250</v>
      </c>
    </row>
    <row r="367" hidden="1">
      <c r="A367" s="104" t="s">
        <v>382</v>
      </c>
      <c r="B367" s="104"/>
      <c r="C367" s="104"/>
      <c r="D367" s="104" t="s">
        <v>887</v>
      </c>
      <c r="E367" s="104">
        <v>5.0</v>
      </c>
      <c r="F367" s="104">
        <v>0.0</v>
      </c>
      <c r="G367" s="280">
        <f t="shared" si="1"/>
        <v>1250</v>
      </c>
    </row>
    <row r="368" hidden="1">
      <c r="A368" s="104" t="s">
        <v>382</v>
      </c>
      <c r="B368" s="104"/>
      <c r="C368" s="104"/>
      <c r="D368" s="104" t="s">
        <v>1026</v>
      </c>
      <c r="E368" s="104">
        <v>5.0</v>
      </c>
      <c r="F368" s="104">
        <v>0.0</v>
      </c>
      <c r="G368" s="280">
        <f t="shared" si="1"/>
        <v>1250</v>
      </c>
    </row>
    <row r="369" hidden="1">
      <c r="A369" s="104" t="s">
        <v>382</v>
      </c>
      <c r="B369" s="104"/>
      <c r="C369" s="104"/>
      <c r="D369" s="104" t="s">
        <v>763</v>
      </c>
      <c r="E369" s="104">
        <v>4.0</v>
      </c>
      <c r="F369" s="104">
        <v>0.0</v>
      </c>
      <c r="G369" s="280">
        <f t="shared" si="1"/>
        <v>1000</v>
      </c>
    </row>
    <row r="370" hidden="1">
      <c r="A370" s="104" t="s">
        <v>382</v>
      </c>
      <c r="B370" s="104"/>
      <c r="C370" s="104"/>
      <c r="D370" s="104" t="s">
        <v>1025</v>
      </c>
      <c r="E370" s="104">
        <v>4.0</v>
      </c>
      <c r="F370" s="104">
        <v>0.0</v>
      </c>
      <c r="G370" s="280">
        <f t="shared" si="1"/>
        <v>1000</v>
      </c>
    </row>
    <row r="371" hidden="1">
      <c r="A371" s="104" t="s">
        <v>382</v>
      </c>
      <c r="B371" s="104"/>
      <c r="C371" s="104"/>
      <c r="D371" s="104" t="s">
        <v>1020</v>
      </c>
      <c r="E371" s="104">
        <v>1.0</v>
      </c>
      <c r="F371" s="104">
        <v>0.0</v>
      </c>
      <c r="G371" s="280">
        <f t="shared" si="1"/>
        <v>250</v>
      </c>
    </row>
    <row r="372" hidden="1">
      <c r="A372" s="104" t="s">
        <v>382</v>
      </c>
      <c r="B372" s="104"/>
      <c r="C372" s="104"/>
      <c r="D372" s="104" t="s">
        <v>1022</v>
      </c>
      <c r="E372" s="104">
        <v>5.0</v>
      </c>
      <c r="F372" s="104">
        <v>0.0</v>
      </c>
      <c r="G372" s="280">
        <f t="shared" si="1"/>
        <v>1250</v>
      </c>
    </row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</sheetData>
  <autoFilter ref="$A$3:$G$458">
    <filterColumn colId="0">
      <filters>
        <filter val="Week 1/12/26 - 1/18/26"/>
      </filters>
    </filterColumn>
  </autoFilter>
  <dataValidations>
    <dataValidation type="list" allowBlank="1" showErrorMessage="1" sqref="A151:A159">
      <formula1>"Week 9/1/25 - 9/7/25"</formula1>
    </dataValidation>
    <dataValidation type="list" allowBlank="1" showErrorMessage="1" sqref="A97:A105">
      <formula1>"Week 10/13/25 - 10/19/25"</formula1>
    </dataValidation>
    <dataValidation type="list" allowBlank="1" showErrorMessage="1" sqref="A201:A361">
      <formula1>"Week 3/31/25 - 4/6/25,Week 4/7/25 - 4/13/25,Week 4/14/25 - 4/20/25,Week 4/21/25 - 4/27/25,Week 4/28/25 - 5/4/25,Week 5/4/25 - 5/11/25,Week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177:A184">
      <formula1>"Week 8/11/25 - 8/17/25 "</formula1>
    </dataValidation>
    <dataValidation type="list" allowBlank="1" showErrorMessage="1" sqref="A193:A200">
      <formula1>"Week 7/28/25 - 8/3/25"</formula1>
    </dataValidation>
    <dataValidation type="list" allowBlank="1" showErrorMessage="1" sqref="A106:A114">
      <formula1>"Week 10/6/25 - 10/12/25"</formula1>
    </dataValidation>
    <dataValidation type="list" allowBlank="1" showErrorMessage="1" sqref="A33:A40">
      <formula1>"Week 12/15/25 - 12/21/25"</formula1>
    </dataValidation>
    <dataValidation type="list" allowBlank="1" showErrorMessage="1" sqref="A12:A18">
      <formula1>"Week 1/5/26 - 1/11/26"</formula1>
    </dataValidation>
    <dataValidation type="list" allowBlank="1" showErrorMessage="1" sqref="A185:A192">
      <formula1>"Week 8/4/25 - 8/10/25"</formula1>
    </dataValidation>
    <dataValidation type="list" allowBlank="1" showErrorMessage="1" sqref="A41:A48">
      <formula1>"Week 12/8/25 - 12/14/25"</formula1>
    </dataValidation>
    <dataValidation type="list" allowBlank="1" showErrorMessage="1" sqref="A65:A72">
      <formula1>"Week 11/17/25 - 11/23/25"</formula1>
    </dataValidation>
    <dataValidation type="list" allowBlank="1" showErrorMessage="1" sqref="A169:A176">
      <formula1>"Week 8/18/25 - 8/24/25 "</formula1>
    </dataValidation>
    <dataValidation type="list" allowBlank="1" showErrorMessage="1" sqref="A5:A11">
      <formula1>"Week 1/12/26 - 1/18/26"</formula1>
    </dataValidation>
    <dataValidation type="list" allowBlank="1" showErrorMessage="1" sqref="A362:A372">
      <formula1>"Week 3/31/25 - 4/6/25"</formula1>
    </dataValidation>
    <dataValidation type="list" allowBlank="1" showErrorMessage="1" sqref="A19:A25">
      <formula1>"Week 12/29/25 - 1/4/26"</formula1>
    </dataValidation>
    <dataValidation type="list" allowBlank="1" showErrorMessage="1" sqref="A115:A123">
      <formula1>"Week 9/29/25 - 10/5/25"</formula1>
    </dataValidation>
    <dataValidation type="list" allowBlank="1" showErrorMessage="1" sqref="A49:A56">
      <formula1>"Week 12/1/25 - 12/7/25"</formula1>
    </dataValidation>
    <dataValidation type="list" allowBlank="1" showErrorMessage="1" sqref="A88:A96">
      <formula1>"Week 10/20/25 - 10/26/25"</formula1>
    </dataValidation>
    <dataValidation type="list" allowBlank="1" showErrorMessage="1" sqref="A73:A80">
      <formula1>"Week 11/10/25 - 11/16/25"</formula1>
    </dataValidation>
    <dataValidation type="list" allowBlank="1" showErrorMessage="1" sqref="A124:A132">
      <formula1>"Week 9/22/25 - 9/28/25"</formula1>
    </dataValidation>
    <dataValidation type="list" allowBlank="1" showErrorMessage="1" sqref="A4 A81:A87">
      <formula1>"Week 11/3/25 - 11/9/25"</formula1>
    </dataValidation>
    <dataValidation type="list" allowBlank="1" showErrorMessage="1" sqref="A142:A150">
      <formula1>"Week 9/08/25 - 9/14/25"</formula1>
    </dataValidation>
    <dataValidation type="list" allowBlank="1" showErrorMessage="1" sqref="A160:A168">
      <formula1>"Week 8/25/25 - 8/31/25"</formula1>
    </dataValidation>
    <dataValidation type="list" allowBlank="1" showErrorMessage="1" sqref="A57:A64">
      <formula1>"Week 11/24/25 - 11/30/25"</formula1>
    </dataValidation>
    <dataValidation type="list" allowBlank="1" showErrorMessage="1" sqref="A133:A141">
      <formula1>"Week 9/15/25 - 9/21/25"</formula1>
    </dataValidation>
    <dataValidation type="list" allowBlank="1" showErrorMessage="1" sqref="A26:A32">
      <formula1>"Week 12/22/25 - 12/28/25"</formula1>
    </dataValidation>
  </dataValidations>
  <hyperlinks>
    <hyperlink r:id="rId1" location="gid=0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3.13"/>
    <col customWidth="1" min="2" max="4" width="29.25"/>
    <col customWidth="1" min="5" max="5" width="22.38"/>
    <col customWidth="1" min="6" max="6" width="18.63"/>
    <col customWidth="1" min="9" max="9" width="39.13"/>
    <col hidden="1" min="10" max="11" width="12.63"/>
    <col customWidth="1" min="12" max="12" width="17.5"/>
  </cols>
  <sheetData>
    <row r="1">
      <c r="A1" s="2" t="s">
        <v>1029</v>
      </c>
      <c r="B1" s="300"/>
      <c r="C1" s="300"/>
      <c r="D1" s="300"/>
      <c r="E1" s="301"/>
      <c r="F1" s="302"/>
      <c r="G1" s="302"/>
      <c r="H1" s="302"/>
      <c r="I1" s="302"/>
      <c r="J1" s="302"/>
      <c r="K1" s="302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</row>
    <row r="2" ht="52.5" customHeight="1">
      <c r="A2" s="1" t="s">
        <v>2</v>
      </c>
      <c r="B2" s="303" t="s">
        <v>3</v>
      </c>
      <c r="C2" s="303"/>
      <c r="D2" s="303" t="s">
        <v>5</v>
      </c>
      <c r="E2" s="304" t="s">
        <v>1030</v>
      </c>
      <c r="F2" s="1" t="s">
        <v>394</v>
      </c>
      <c r="G2" s="1" t="s">
        <v>7</v>
      </c>
      <c r="H2" s="1" t="s">
        <v>12</v>
      </c>
      <c r="I2" s="1"/>
      <c r="J2" s="1"/>
      <c r="K2" s="1"/>
      <c r="L2" s="305" t="s">
        <v>1031</v>
      </c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</row>
    <row r="3">
      <c r="A3" s="54" t="s">
        <v>206</v>
      </c>
      <c r="B3" s="16" t="s">
        <v>996</v>
      </c>
      <c r="C3" s="16" t="s">
        <v>997</v>
      </c>
      <c r="D3" s="16" t="s">
        <v>1025</v>
      </c>
      <c r="E3" s="306">
        <v>8.0</v>
      </c>
      <c r="F3" s="307">
        <v>5.0</v>
      </c>
      <c r="G3" s="308" t="s">
        <v>1032</v>
      </c>
      <c r="H3" s="309">
        <f t="shared" ref="H3:H53" si="1">E3*300+F3*250+G3</f>
        <v>4500</v>
      </c>
      <c r="I3" s="12" t="str">
        <f t="shared" ref="I3:I1157" si="2">E3 &amp; " Complete Medical Records, " &amp; F3 &amp; " Patient Portal Logins"</f>
        <v>8 Complete Medical Records, 5 Patient Portal Logins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>
      <c r="A4" s="54" t="s">
        <v>206</v>
      </c>
      <c r="B4" s="16" t="s">
        <v>20</v>
      </c>
      <c r="C4" s="16" t="s">
        <v>231</v>
      </c>
      <c r="D4" s="16" t="s">
        <v>22</v>
      </c>
      <c r="E4" s="306">
        <v>8.0</v>
      </c>
      <c r="F4" s="307">
        <v>0.0</v>
      </c>
      <c r="G4" s="308" t="s">
        <v>1032</v>
      </c>
      <c r="H4" s="309">
        <f t="shared" si="1"/>
        <v>3250</v>
      </c>
      <c r="I4" s="12" t="str">
        <f t="shared" si="2"/>
        <v>8 Complete Medical Records, 0 Patient Portal Logins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A5" s="54" t="s">
        <v>206</v>
      </c>
      <c r="B5" s="16" t="s">
        <v>648</v>
      </c>
      <c r="C5" s="16" t="s">
        <v>649</v>
      </c>
      <c r="D5" s="16" t="s">
        <v>650</v>
      </c>
      <c r="E5" s="310">
        <v>10.0</v>
      </c>
      <c r="F5" s="307">
        <v>0.0</v>
      </c>
      <c r="G5" s="308" t="s">
        <v>1033</v>
      </c>
      <c r="H5" s="309">
        <f t="shared" si="1"/>
        <v>3475</v>
      </c>
      <c r="I5" s="12" t="str">
        <f t="shared" si="2"/>
        <v>10 Complete Medical Records, 0 Patient Portal Logins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54" t="s">
        <v>206</v>
      </c>
      <c r="B6" s="16" t="s">
        <v>571</v>
      </c>
      <c r="C6" s="16" t="s">
        <v>572</v>
      </c>
      <c r="D6" s="16" t="s">
        <v>573</v>
      </c>
      <c r="E6" s="306">
        <v>19.0</v>
      </c>
      <c r="F6" s="311">
        <v>1.0</v>
      </c>
      <c r="G6" s="308" t="s">
        <v>1034</v>
      </c>
      <c r="H6" s="309">
        <f t="shared" si="1"/>
        <v>6375</v>
      </c>
      <c r="I6" s="12" t="str">
        <f t="shared" si="2"/>
        <v>19 Complete Medical Records, 1 Patient Portal Logins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>
      <c r="A7" s="54" t="s">
        <v>206</v>
      </c>
      <c r="B7" s="16" t="s">
        <v>1005</v>
      </c>
      <c r="C7" s="16" t="s">
        <v>1006</v>
      </c>
      <c r="D7" s="16" t="s">
        <v>1021</v>
      </c>
      <c r="E7" s="312">
        <v>9.0</v>
      </c>
      <c r="F7" s="311">
        <v>9.0</v>
      </c>
      <c r="G7" s="313" t="s">
        <v>1035</v>
      </c>
      <c r="H7" s="309">
        <f t="shared" si="1"/>
        <v>5625</v>
      </c>
      <c r="I7" s="12" t="str">
        <f t="shared" si="2"/>
        <v>9 Complete Medical Records, 9 Patient Portal Logins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>
      <c r="A8" s="54" t="s">
        <v>206</v>
      </c>
      <c r="B8" s="16" t="s">
        <v>709</v>
      </c>
      <c r="C8" s="16" t="s">
        <v>710</v>
      </c>
      <c r="D8" s="16" t="s">
        <v>711</v>
      </c>
      <c r="E8" s="306">
        <v>8.0</v>
      </c>
      <c r="F8" s="307">
        <v>0.0</v>
      </c>
      <c r="G8" s="308" t="s">
        <v>1032</v>
      </c>
      <c r="H8" s="309">
        <f t="shared" si="1"/>
        <v>3250</v>
      </c>
      <c r="I8" s="12" t="str">
        <f t="shared" si="2"/>
        <v>8 Complete Medical Records, 0 Patient Portal Logins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>
      <c r="A9" s="54" t="s">
        <v>206</v>
      </c>
      <c r="B9" s="16" t="s">
        <v>1036</v>
      </c>
      <c r="C9" s="16" t="s">
        <v>1037</v>
      </c>
      <c r="D9" s="16" t="s">
        <v>1038</v>
      </c>
      <c r="E9" s="306">
        <v>8.0</v>
      </c>
      <c r="F9" s="307">
        <v>0.0</v>
      </c>
      <c r="G9" s="308" t="s">
        <v>1032</v>
      </c>
      <c r="H9" s="309">
        <f t="shared" si="1"/>
        <v>3250</v>
      </c>
      <c r="I9" s="12" t="str">
        <f t="shared" si="2"/>
        <v>8 Complete Medical Records, 0 Patient Portal Logins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54" t="s">
        <v>206</v>
      </c>
      <c r="B10" s="16" t="s">
        <v>1039</v>
      </c>
      <c r="C10" s="16" t="s">
        <v>1040</v>
      </c>
      <c r="D10" s="16" t="s">
        <v>1041</v>
      </c>
      <c r="E10" s="306">
        <v>8.0</v>
      </c>
      <c r="F10" s="307">
        <v>0.0</v>
      </c>
      <c r="G10" s="308" t="s">
        <v>1032</v>
      </c>
      <c r="H10" s="309">
        <f t="shared" si="1"/>
        <v>3250</v>
      </c>
      <c r="I10" s="12" t="str">
        <f t="shared" si="2"/>
        <v>8 Complete Medical Records, 0 Patient Portal Logins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54" t="s">
        <v>206</v>
      </c>
      <c r="B11" s="16" t="s">
        <v>1042</v>
      </c>
      <c r="C11" s="16" t="s">
        <v>1043</v>
      </c>
      <c r="D11" s="16" t="s">
        <v>1044</v>
      </c>
      <c r="E11" s="312">
        <v>9.0</v>
      </c>
      <c r="F11" s="314">
        <v>2.0</v>
      </c>
      <c r="G11" s="313" t="s">
        <v>1035</v>
      </c>
      <c r="H11" s="309">
        <f t="shared" si="1"/>
        <v>3875</v>
      </c>
      <c r="I11" s="12" t="str">
        <f t="shared" si="2"/>
        <v>9 Complete Medical Records, 2 Patient Portal Logins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54" t="s">
        <v>206</v>
      </c>
      <c r="B12" s="16" t="s">
        <v>1045</v>
      </c>
      <c r="C12" s="16" t="s">
        <v>1046</v>
      </c>
      <c r="D12" s="16" t="s">
        <v>1047</v>
      </c>
      <c r="E12" s="306">
        <v>8.0</v>
      </c>
      <c r="F12" s="307">
        <v>0.0</v>
      </c>
      <c r="G12" s="308" t="s">
        <v>1032</v>
      </c>
      <c r="H12" s="309">
        <f t="shared" si="1"/>
        <v>3250</v>
      </c>
      <c r="I12" s="12" t="str">
        <f t="shared" si="2"/>
        <v>8 Complete Medical Records, 0 Patient Portal Logins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>
      <c r="A13" s="54" t="s">
        <v>206</v>
      </c>
      <c r="B13" s="16" t="s">
        <v>742</v>
      </c>
      <c r="C13" s="16" t="s">
        <v>743</v>
      </c>
      <c r="D13" s="16" t="s">
        <v>979</v>
      </c>
      <c r="E13" s="310">
        <v>26.0</v>
      </c>
      <c r="F13" s="307">
        <v>0.0</v>
      </c>
      <c r="G13" s="308" t="s">
        <v>1048</v>
      </c>
      <c r="H13" s="309">
        <f t="shared" si="1"/>
        <v>8100</v>
      </c>
      <c r="I13" s="12" t="str">
        <f t="shared" si="2"/>
        <v>26 Complete Medical Records, 0 Patient Portal Logins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>
      <c r="A14" s="54" t="s">
        <v>206</v>
      </c>
      <c r="B14" s="16" t="s">
        <v>1049</v>
      </c>
      <c r="C14" s="16" t="s">
        <v>1050</v>
      </c>
      <c r="D14" s="16" t="s">
        <v>1051</v>
      </c>
      <c r="E14" s="306">
        <v>8.0</v>
      </c>
      <c r="F14" s="307">
        <v>0.0</v>
      </c>
      <c r="G14" s="308" t="s">
        <v>1032</v>
      </c>
      <c r="H14" s="309">
        <f t="shared" si="1"/>
        <v>3250</v>
      </c>
      <c r="I14" s="12" t="str">
        <f t="shared" si="2"/>
        <v>8 Complete Medical Records, 0 Patient Portal Logins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>
      <c r="A15" s="54" t="s">
        <v>206</v>
      </c>
      <c r="B15" s="16" t="s">
        <v>767</v>
      </c>
      <c r="C15" s="16" t="s">
        <v>768</v>
      </c>
      <c r="D15" s="16" t="s">
        <v>769</v>
      </c>
      <c r="E15" s="312">
        <v>9.0</v>
      </c>
      <c r="F15" s="315">
        <v>5.0</v>
      </c>
      <c r="G15" s="313" t="s">
        <v>1035</v>
      </c>
      <c r="H15" s="309">
        <f t="shared" si="1"/>
        <v>4625</v>
      </c>
      <c r="I15" s="12" t="str">
        <f t="shared" si="2"/>
        <v>9 Complete Medical Records, 5 Patient Portal Logins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>
      <c r="A16" s="54" t="s">
        <v>206</v>
      </c>
      <c r="B16" s="16" t="s">
        <v>1052</v>
      </c>
      <c r="C16" s="16" t="s">
        <v>1053</v>
      </c>
      <c r="D16" s="16" t="s">
        <v>1054</v>
      </c>
      <c r="E16" s="306">
        <v>8.0</v>
      </c>
      <c r="F16" s="307">
        <v>0.0</v>
      </c>
      <c r="G16" s="308" t="s">
        <v>1032</v>
      </c>
      <c r="H16" s="309">
        <f t="shared" si="1"/>
        <v>3250</v>
      </c>
      <c r="I16" s="12" t="str">
        <f t="shared" si="2"/>
        <v>8 Complete Medical Records, 0 Patient Portal Logins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>
      <c r="A17" s="54" t="s">
        <v>206</v>
      </c>
      <c r="B17" s="16" t="s">
        <v>1055</v>
      </c>
      <c r="C17" s="16" t="s">
        <v>1056</v>
      </c>
      <c r="D17" s="16" t="s">
        <v>1057</v>
      </c>
      <c r="E17" s="306">
        <v>19.0</v>
      </c>
      <c r="F17" s="311">
        <v>1.0</v>
      </c>
      <c r="G17" s="308" t="s">
        <v>1034</v>
      </c>
      <c r="H17" s="309">
        <f t="shared" si="1"/>
        <v>6375</v>
      </c>
      <c r="I17" s="12" t="str">
        <f t="shared" si="2"/>
        <v>19 Complete Medical Records, 1 Patient Portal Logins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>
      <c r="A18" s="54" t="s">
        <v>206</v>
      </c>
      <c r="B18" s="16" t="s">
        <v>1058</v>
      </c>
      <c r="C18" s="16" t="s">
        <v>1059</v>
      </c>
      <c r="D18" s="16" t="s">
        <v>1060</v>
      </c>
      <c r="E18" s="310">
        <v>26.0</v>
      </c>
      <c r="F18" s="307">
        <v>0.0</v>
      </c>
      <c r="G18" s="308" t="s">
        <v>1048</v>
      </c>
      <c r="H18" s="309">
        <f t="shared" si="1"/>
        <v>8100</v>
      </c>
      <c r="I18" s="12" t="str">
        <f t="shared" si="2"/>
        <v>26 Complete Medical Records, 0 Patient Portal Logins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>
      <c r="A19" s="54" t="s">
        <v>206</v>
      </c>
      <c r="B19" s="16" t="s">
        <v>1061</v>
      </c>
      <c r="C19" s="16" t="s">
        <v>1062</v>
      </c>
      <c r="D19" s="16" t="s">
        <v>1063</v>
      </c>
      <c r="E19" s="310">
        <v>26.0</v>
      </c>
      <c r="F19" s="307">
        <v>0.0</v>
      </c>
      <c r="G19" s="308" t="s">
        <v>1048</v>
      </c>
      <c r="H19" s="309">
        <f t="shared" si="1"/>
        <v>8100</v>
      </c>
      <c r="I19" s="12" t="str">
        <f t="shared" si="2"/>
        <v>26 Complete Medical Records, 0 Patient Portal Logins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>
      <c r="A20" s="54" t="s">
        <v>206</v>
      </c>
      <c r="B20" s="16" t="s">
        <v>1064</v>
      </c>
      <c r="C20" s="16" t="s">
        <v>1065</v>
      </c>
      <c r="D20" s="16" t="s">
        <v>1066</v>
      </c>
      <c r="E20" s="310">
        <v>26.0</v>
      </c>
      <c r="F20" s="307">
        <v>0.0</v>
      </c>
      <c r="G20" s="308" t="s">
        <v>1048</v>
      </c>
      <c r="H20" s="309">
        <f t="shared" si="1"/>
        <v>8100</v>
      </c>
      <c r="I20" s="12" t="str">
        <f t="shared" si="2"/>
        <v>26 Complete Medical Records, 0 Patient Portal Logins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>
      <c r="A21" s="54" t="s">
        <v>206</v>
      </c>
      <c r="B21" s="16" t="s">
        <v>1067</v>
      </c>
      <c r="C21" s="16" t="s">
        <v>1068</v>
      </c>
      <c r="D21" s="16" t="s">
        <v>1069</v>
      </c>
      <c r="E21" s="310">
        <v>26.0</v>
      </c>
      <c r="F21" s="307">
        <v>0.0</v>
      </c>
      <c r="G21" s="308" t="s">
        <v>1048</v>
      </c>
      <c r="H21" s="309">
        <f t="shared" si="1"/>
        <v>8100</v>
      </c>
      <c r="I21" s="12" t="str">
        <f t="shared" si="2"/>
        <v>26 Complete Medical Records, 0 Patient Portal Logins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>
      <c r="A22" s="54" t="s">
        <v>206</v>
      </c>
      <c r="B22" s="16" t="s">
        <v>1070</v>
      </c>
      <c r="C22" s="16" t="s">
        <v>1071</v>
      </c>
      <c r="D22" s="16" t="s">
        <v>1072</v>
      </c>
      <c r="E22" s="310">
        <v>26.0</v>
      </c>
      <c r="F22" s="307">
        <v>0.0</v>
      </c>
      <c r="G22" s="308" t="s">
        <v>1048</v>
      </c>
      <c r="H22" s="309">
        <f t="shared" si="1"/>
        <v>8100</v>
      </c>
      <c r="I22" s="12" t="str">
        <f t="shared" si="2"/>
        <v>26 Complete Medical Records, 0 Patient Portal Logins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>
      <c r="A23" s="54" t="s">
        <v>206</v>
      </c>
      <c r="B23" s="16" t="s">
        <v>1073</v>
      </c>
      <c r="C23" s="16" t="s">
        <v>1074</v>
      </c>
      <c r="D23" s="16" t="s">
        <v>1075</v>
      </c>
      <c r="E23" s="310">
        <v>26.0</v>
      </c>
      <c r="F23" s="307">
        <v>2.0</v>
      </c>
      <c r="G23" s="308" t="s">
        <v>1048</v>
      </c>
      <c r="H23" s="309">
        <f t="shared" si="1"/>
        <v>8600</v>
      </c>
      <c r="I23" s="12" t="str">
        <f t="shared" si="2"/>
        <v>26 Complete Medical Records, 2 Patient Portal Logins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>
      <c r="A24" s="54" t="s">
        <v>206</v>
      </c>
      <c r="B24" s="16" t="s">
        <v>1076</v>
      </c>
      <c r="C24" s="16" t="s">
        <v>1077</v>
      </c>
      <c r="D24" s="16" t="s">
        <v>1078</v>
      </c>
      <c r="E24" s="310">
        <v>10.0</v>
      </c>
      <c r="F24" s="307">
        <v>0.0</v>
      </c>
      <c r="G24" s="308" t="s">
        <v>1033</v>
      </c>
      <c r="H24" s="309">
        <f t="shared" si="1"/>
        <v>3475</v>
      </c>
      <c r="I24" s="12" t="str">
        <f t="shared" si="2"/>
        <v>10 Complete Medical Records, 0 Patient Portal Logins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54" t="s">
        <v>206</v>
      </c>
      <c r="B25" s="16" t="s">
        <v>1079</v>
      </c>
      <c r="C25" s="16" t="s">
        <v>1080</v>
      </c>
      <c r="D25" s="16" t="s">
        <v>1081</v>
      </c>
      <c r="E25" s="310">
        <v>10.0</v>
      </c>
      <c r="F25" s="307">
        <v>0.0</v>
      </c>
      <c r="G25" s="308" t="s">
        <v>1033</v>
      </c>
      <c r="H25" s="309">
        <f t="shared" si="1"/>
        <v>3475</v>
      </c>
      <c r="I25" s="12" t="str">
        <f t="shared" si="2"/>
        <v>10 Complete Medical Records, 0 Patient Portal Logins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54" t="s">
        <v>206</v>
      </c>
      <c r="B26" s="16" t="s">
        <v>1082</v>
      </c>
      <c r="C26" s="16" t="s">
        <v>1083</v>
      </c>
      <c r="D26" s="16" t="s">
        <v>1084</v>
      </c>
      <c r="E26" s="310">
        <v>10.0</v>
      </c>
      <c r="F26" s="307">
        <v>0.0</v>
      </c>
      <c r="G26" s="308" t="s">
        <v>1033</v>
      </c>
      <c r="H26" s="309">
        <f t="shared" si="1"/>
        <v>3475</v>
      </c>
      <c r="I26" s="12" t="str">
        <f t="shared" si="2"/>
        <v>10 Complete Medical Records, 0 Patient Portal Logins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54" t="s">
        <v>206</v>
      </c>
      <c r="B27" s="16" t="s">
        <v>1085</v>
      </c>
      <c r="C27" s="16" t="s">
        <v>1086</v>
      </c>
      <c r="D27" s="16" t="s">
        <v>1087</v>
      </c>
      <c r="E27" s="306">
        <v>19.0</v>
      </c>
      <c r="F27" s="311">
        <v>1.0</v>
      </c>
      <c r="G27" s="308" t="s">
        <v>1034</v>
      </c>
      <c r="H27" s="309">
        <f t="shared" si="1"/>
        <v>6375</v>
      </c>
      <c r="I27" s="12" t="str">
        <f t="shared" si="2"/>
        <v>19 Complete Medical Records, 1 Patient Portal Logins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54" t="s">
        <v>206</v>
      </c>
      <c r="B28" s="16" t="s">
        <v>1088</v>
      </c>
      <c r="C28" s="16" t="s">
        <v>1089</v>
      </c>
      <c r="D28" s="16" t="s">
        <v>1090</v>
      </c>
      <c r="E28" s="306">
        <v>8.0</v>
      </c>
      <c r="F28" s="307">
        <v>8.0</v>
      </c>
      <c r="G28" s="308" t="s">
        <v>1032</v>
      </c>
      <c r="H28" s="309">
        <f t="shared" si="1"/>
        <v>5250</v>
      </c>
      <c r="I28" s="39" t="str">
        <f t="shared" si="2"/>
        <v>8 Complete Medical Records, 8 Patient Portal Logins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>
      <c r="A29" s="54" t="s">
        <v>206</v>
      </c>
      <c r="B29" s="16" t="s">
        <v>1091</v>
      </c>
      <c r="C29" s="16" t="s">
        <v>1092</v>
      </c>
      <c r="D29" s="16" t="s">
        <v>1093</v>
      </c>
      <c r="E29" s="306">
        <v>19.0</v>
      </c>
      <c r="F29" s="311">
        <v>0.0</v>
      </c>
      <c r="G29" s="308" t="s">
        <v>1034</v>
      </c>
      <c r="H29" s="309">
        <f t="shared" si="1"/>
        <v>6125</v>
      </c>
      <c r="I29" s="39" t="str">
        <f t="shared" si="2"/>
        <v>19 Complete Medical Records, 0 Patient Portal Logins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54" t="s">
        <v>206</v>
      </c>
      <c r="B30" s="16" t="s">
        <v>1094</v>
      </c>
      <c r="C30" s="16" t="s">
        <v>1095</v>
      </c>
      <c r="D30" s="16" t="s">
        <v>1096</v>
      </c>
      <c r="E30" s="306">
        <v>19.0</v>
      </c>
      <c r="F30" s="314">
        <v>15.0</v>
      </c>
      <c r="G30" s="308" t="s">
        <v>1034</v>
      </c>
      <c r="H30" s="309">
        <f t="shared" si="1"/>
        <v>9875</v>
      </c>
      <c r="I30" s="39" t="str">
        <f t="shared" si="2"/>
        <v>19 Complete Medical Records, 15 Patient Portal Logins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54" t="s">
        <v>206</v>
      </c>
      <c r="B31" s="16" t="s">
        <v>1097</v>
      </c>
      <c r="C31" s="16" t="s">
        <v>1098</v>
      </c>
      <c r="D31" s="16" t="s">
        <v>1099</v>
      </c>
      <c r="E31" s="310">
        <v>10.0</v>
      </c>
      <c r="F31" s="307">
        <v>0.0</v>
      </c>
      <c r="G31" s="308" t="s">
        <v>1033</v>
      </c>
      <c r="H31" s="309">
        <f t="shared" si="1"/>
        <v>3475</v>
      </c>
      <c r="I31" s="39" t="str">
        <f t="shared" si="2"/>
        <v>10 Complete Medical Records, 0 Patient Portal Logins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54" t="s">
        <v>206</v>
      </c>
      <c r="B32" s="16" t="s">
        <v>255</v>
      </c>
      <c r="C32" s="16" t="s">
        <v>256</v>
      </c>
      <c r="D32" s="16" t="s">
        <v>257</v>
      </c>
      <c r="E32" s="312">
        <v>9.0</v>
      </c>
      <c r="F32" s="316">
        <v>0.0</v>
      </c>
      <c r="G32" s="313" t="s">
        <v>1035</v>
      </c>
      <c r="H32" s="309">
        <f t="shared" si="1"/>
        <v>3375</v>
      </c>
      <c r="I32" s="39" t="str">
        <f t="shared" si="2"/>
        <v>9 Complete Medical Records, 0 Patient Portal Logins</v>
      </c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54" t="s">
        <v>206</v>
      </c>
      <c r="B33" s="16" t="s">
        <v>1100</v>
      </c>
      <c r="C33" s="16" t="s">
        <v>1101</v>
      </c>
      <c r="D33" s="16" t="s">
        <v>1102</v>
      </c>
      <c r="E33" s="312">
        <v>9.0</v>
      </c>
      <c r="F33" s="317">
        <v>35.0</v>
      </c>
      <c r="G33" s="313" t="s">
        <v>1035</v>
      </c>
      <c r="H33" s="309">
        <f t="shared" si="1"/>
        <v>12125</v>
      </c>
      <c r="I33" s="39" t="str">
        <f t="shared" si="2"/>
        <v>9 Complete Medical Records, 35 Patient Portal Logins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54" t="s">
        <v>206</v>
      </c>
      <c r="B34" s="16" t="s">
        <v>1103</v>
      </c>
      <c r="C34" s="16" t="s">
        <v>1104</v>
      </c>
      <c r="D34" s="16" t="s">
        <v>1105</v>
      </c>
      <c r="E34" s="310">
        <v>26.0</v>
      </c>
      <c r="F34" s="307">
        <v>0.0</v>
      </c>
      <c r="G34" s="308" t="s">
        <v>1048</v>
      </c>
      <c r="H34" s="309">
        <f t="shared" si="1"/>
        <v>8100</v>
      </c>
      <c r="I34" s="39" t="str">
        <f t="shared" si="2"/>
        <v>26 Complete Medical Records, 0 Patient Portal Logins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54" t="s">
        <v>206</v>
      </c>
      <c r="B35" s="16" t="s">
        <v>1106</v>
      </c>
      <c r="C35" s="16" t="s">
        <v>1107</v>
      </c>
      <c r="D35" s="16" t="s">
        <v>1108</v>
      </c>
      <c r="E35" s="306">
        <v>19.0</v>
      </c>
      <c r="F35" s="314">
        <v>14.0</v>
      </c>
      <c r="G35" s="308" t="s">
        <v>1034</v>
      </c>
      <c r="H35" s="309">
        <f t="shared" si="1"/>
        <v>9625</v>
      </c>
      <c r="I35" s="12" t="str">
        <f t="shared" si="2"/>
        <v>19 Complete Medical Records, 14 Patient Portal Logins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54" t="s">
        <v>206</v>
      </c>
      <c r="B36" s="16" t="s">
        <v>1109</v>
      </c>
      <c r="C36" s="16" t="s">
        <v>1110</v>
      </c>
      <c r="D36" s="16" t="s">
        <v>1111</v>
      </c>
      <c r="E36" s="312">
        <v>9.0</v>
      </c>
      <c r="F36" s="316">
        <v>0.0</v>
      </c>
      <c r="G36" s="313" t="s">
        <v>1035</v>
      </c>
      <c r="H36" s="309">
        <f t="shared" si="1"/>
        <v>3375</v>
      </c>
      <c r="I36" s="12" t="str">
        <f t="shared" si="2"/>
        <v>9 Complete Medical Records, 0 Patient Portal Logins</v>
      </c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54" t="s">
        <v>206</v>
      </c>
      <c r="B37" s="16" t="s">
        <v>1112</v>
      </c>
      <c r="C37" s="16" t="s">
        <v>1113</v>
      </c>
      <c r="D37" s="16" t="s">
        <v>1114</v>
      </c>
      <c r="E37" s="310">
        <v>10.0</v>
      </c>
      <c r="F37" s="307">
        <v>0.0</v>
      </c>
      <c r="G37" s="308" t="s">
        <v>1033</v>
      </c>
      <c r="H37" s="309">
        <f t="shared" si="1"/>
        <v>3475</v>
      </c>
      <c r="I37" s="12" t="str">
        <f t="shared" si="2"/>
        <v>10 Complete Medical Records, 0 Patient Portal Logins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A38" s="54" t="s">
        <v>206</v>
      </c>
      <c r="B38" s="16" t="s">
        <v>1115</v>
      </c>
      <c r="C38" s="16" t="s">
        <v>1116</v>
      </c>
      <c r="D38" s="16" t="s">
        <v>1117</v>
      </c>
      <c r="E38" s="310">
        <v>26.0</v>
      </c>
      <c r="F38" s="315">
        <v>12.0</v>
      </c>
      <c r="G38" s="308" t="s">
        <v>1048</v>
      </c>
      <c r="H38" s="309">
        <f t="shared" si="1"/>
        <v>11100</v>
      </c>
      <c r="I38" s="12" t="str">
        <f t="shared" si="2"/>
        <v>26 Complete Medical Records, 12 Patient Portal Logins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54" t="s">
        <v>206</v>
      </c>
      <c r="B39" s="16" t="s">
        <v>1118</v>
      </c>
      <c r="C39" s="16" t="s">
        <v>1119</v>
      </c>
      <c r="D39" s="16" t="s">
        <v>1120</v>
      </c>
      <c r="E39" s="306">
        <v>8.0</v>
      </c>
      <c r="F39" s="315">
        <v>9.0</v>
      </c>
      <c r="G39" s="308" t="s">
        <v>1032</v>
      </c>
      <c r="H39" s="309">
        <f t="shared" si="1"/>
        <v>5500</v>
      </c>
      <c r="I39" s="12" t="str">
        <f t="shared" si="2"/>
        <v>8 Complete Medical Records, 9 Patient Portal Logins</v>
      </c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54" t="s">
        <v>206</v>
      </c>
      <c r="B40" s="16" t="s">
        <v>1121</v>
      </c>
      <c r="C40" s="16" t="s">
        <v>1122</v>
      </c>
      <c r="D40" s="16" t="s">
        <v>1123</v>
      </c>
      <c r="E40" s="310">
        <v>10.0</v>
      </c>
      <c r="F40" s="315">
        <v>28.0</v>
      </c>
      <c r="G40" s="308" t="s">
        <v>1033</v>
      </c>
      <c r="H40" s="309">
        <f t="shared" si="1"/>
        <v>10475</v>
      </c>
      <c r="I40" s="12" t="str">
        <f t="shared" si="2"/>
        <v>10 Complete Medical Records, 28 Patient Portal Logins</v>
      </c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54" t="s">
        <v>206</v>
      </c>
      <c r="B41" s="16" t="s">
        <v>1124</v>
      </c>
      <c r="C41" s="16" t="s">
        <v>1125</v>
      </c>
      <c r="D41" s="16" t="s">
        <v>1126</v>
      </c>
      <c r="E41" s="306">
        <v>19.0</v>
      </c>
      <c r="F41" s="311">
        <v>0.0</v>
      </c>
      <c r="G41" s="308" t="s">
        <v>1034</v>
      </c>
      <c r="H41" s="309">
        <f t="shared" si="1"/>
        <v>6125</v>
      </c>
      <c r="I41" s="12" t="str">
        <f t="shared" si="2"/>
        <v>19 Complete Medical Records, 0 Patient Portal Logins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54" t="s">
        <v>206</v>
      </c>
      <c r="B42" s="16" t="s">
        <v>1127</v>
      </c>
      <c r="C42" s="16" t="s">
        <v>1128</v>
      </c>
      <c r="D42" s="16" t="s">
        <v>1129</v>
      </c>
      <c r="E42" s="310">
        <v>10.0</v>
      </c>
      <c r="F42" s="307">
        <v>0.0</v>
      </c>
      <c r="G42" s="308" t="s">
        <v>1033</v>
      </c>
      <c r="H42" s="309">
        <f t="shared" si="1"/>
        <v>3475</v>
      </c>
      <c r="I42" s="12" t="str">
        <f t="shared" si="2"/>
        <v>10 Complete Medical Records, 0 Patient Portal Logins</v>
      </c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54" t="s">
        <v>206</v>
      </c>
      <c r="B43" s="16" t="s">
        <v>1130</v>
      </c>
      <c r="C43" s="16" t="s">
        <v>1131</v>
      </c>
      <c r="D43" s="16" t="s">
        <v>1132</v>
      </c>
      <c r="E43" s="310">
        <v>10.0</v>
      </c>
      <c r="F43" s="307">
        <v>0.0</v>
      </c>
      <c r="G43" s="308" t="s">
        <v>1033</v>
      </c>
      <c r="H43" s="309">
        <f t="shared" si="1"/>
        <v>3475</v>
      </c>
      <c r="I43" s="12" t="str">
        <f t="shared" si="2"/>
        <v>10 Complete Medical Records, 0 Patient Portal Logins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54" t="s">
        <v>206</v>
      </c>
      <c r="B44" s="16" t="s">
        <v>1133</v>
      </c>
      <c r="C44" s="16" t="s">
        <v>1134</v>
      </c>
      <c r="D44" s="16" t="s">
        <v>1135</v>
      </c>
      <c r="E44" s="306">
        <v>19.0</v>
      </c>
      <c r="F44" s="311">
        <v>0.0</v>
      </c>
      <c r="G44" s="308" t="s">
        <v>1034</v>
      </c>
      <c r="H44" s="309">
        <f t="shared" si="1"/>
        <v>6125</v>
      </c>
      <c r="I44" s="12" t="str">
        <f t="shared" si="2"/>
        <v>19 Complete Medical Records, 0 Patient Portal Logins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54" t="s">
        <v>206</v>
      </c>
      <c r="B45" s="16" t="s">
        <v>1136</v>
      </c>
      <c r="C45" s="16" t="s">
        <v>1137</v>
      </c>
      <c r="D45" s="16" t="s">
        <v>1138</v>
      </c>
      <c r="E45" s="312">
        <v>9.0</v>
      </c>
      <c r="F45" s="316">
        <v>0.0</v>
      </c>
      <c r="G45" s="313" t="s">
        <v>1035</v>
      </c>
      <c r="H45" s="309">
        <f t="shared" si="1"/>
        <v>3375</v>
      </c>
      <c r="I45" s="12" t="str">
        <f t="shared" si="2"/>
        <v>9 Complete Medical Records, 0 Patient Portal Logins</v>
      </c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54" t="s">
        <v>206</v>
      </c>
      <c r="B46" s="16" t="s">
        <v>1139</v>
      </c>
      <c r="C46" s="16" t="s">
        <v>1140</v>
      </c>
      <c r="D46" s="16" t="s">
        <v>1141</v>
      </c>
      <c r="E46" s="318">
        <v>9.0</v>
      </c>
      <c r="F46" s="315">
        <v>20.0</v>
      </c>
      <c r="G46" s="308" t="s">
        <v>1035</v>
      </c>
      <c r="H46" s="309">
        <f t="shared" si="1"/>
        <v>8375</v>
      </c>
      <c r="I46" s="12" t="str">
        <f t="shared" si="2"/>
        <v>9 Complete Medical Records, 20 Patient Portal Logins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54" t="s">
        <v>206</v>
      </c>
      <c r="B47" s="16" t="s">
        <v>1142</v>
      </c>
      <c r="C47" s="16" t="s">
        <v>1143</v>
      </c>
      <c r="D47" s="16" t="s">
        <v>1144</v>
      </c>
      <c r="E47" s="306">
        <v>19.0</v>
      </c>
      <c r="F47" s="314">
        <v>10.0</v>
      </c>
      <c r="G47" s="308" t="s">
        <v>1034</v>
      </c>
      <c r="H47" s="309">
        <f t="shared" si="1"/>
        <v>8625</v>
      </c>
      <c r="I47" s="12" t="str">
        <f t="shared" si="2"/>
        <v>19 Complete Medical Records, 10 Patient Portal Logins</v>
      </c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54" t="s">
        <v>206</v>
      </c>
      <c r="B48" s="16" t="s">
        <v>1145</v>
      </c>
      <c r="C48" s="16" t="s">
        <v>1146</v>
      </c>
      <c r="D48" s="16" t="s">
        <v>1147</v>
      </c>
      <c r="E48" s="312">
        <v>9.0</v>
      </c>
      <c r="F48" s="319">
        <v>0.0</v>
      </c>
      <c r="G48" s="313" t="s">
        <v>1035</v>
      </c>
      <c r="H48" s="309">
        <f t="shared" si="1"/>
        <v>3375</v>
      </c>
      <c r="I48" s="12" t="str">
        <f t="shared" si="2"/>
        <v>9 Complete Medical Records, 0 Patient Portal Logins</v>
      </c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54" t="s">
        <v>206</v>
      </c>
      <c r="B49" s="16" t="s">
        <v>1148</v>
      </c>
      <c r="C49" s="16" t="s">
        <v>1149</v>
      </c>
      <c r="D49" s="16" t="s">
        <v>1150</v>
      </c>
      <c r="E49" s="310">
        <v>26.0</v>
      </c>
      <c r="F49" s="315">
        <v>12.0</v>
      </c>
      <c r="G49" s="308" t="s">
        <v>1048</v>
      </c>
      <c r="H49" s="309">
        <f t="shared" si="1"/>
        <v>11100</v>
      </c>
      <c r="I49" s="12" t="str">
        <f t="shared" si="2"/>
        <v>26 Complete Medical Records, 12 Patient Portal Logins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54" t="s">
        <v>206</v>
      </c>
      <c r="B50" s="16" t="s">
        <v>1151</v>
      </c>
      <c r="C50" s="16" t="s">
        <v>1152</v>
      </c>
      <c r="D50" s="16" t="s">
        <v>1153</v>
      </c>
      <c r="E50" s="310">
        <v>10.0</v>
      </c>
      <c r="F50" s="315">
        <v>20.0</v>
      </c>
      <c r="G50" s="308" t="s">
        <v>1033</v>
      </c>
      <c r="H50" s="309">
        <f t="shared" si="1"/>
        <v>8475</v>
      </c>
      <c r="I50" s="12" t="str">
        <f t="shared" si="2"/>
        <v>10 Complete Medical Records, 20 Patient Portal Logins</v>
      </c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54" t="s">
        <v>206</v>
      </c>
      <c r="B51" s="16" t="s">
        <v>1154</v>
      </c>
      <c r="C51" s="16" t="s">
        <v>1155</v>
      </c>
      <c r="D51" s="16" t="s">
        <v>1156</v>
      </c>
      <c r="E51" s="318">
        <v>5.0</v>
      </c>
      <c r="F51" s="315">
        <v>14.0</v>
      </c>
      <c r="G51" s="308" t="s">
        <v>1157</v>
      </c>
      <c r="H51" s="309">
        <f t="shared" si="1"/>
        <v>5500</v>
      </c>
      <c r="I51" s="12" t="str">
        <f t="shared" si="2"/>
        <v>5 Complete Medical Records, 14 Patient Portal Logins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54" t="s">
        <v>206</v>
      </c>
      <c r="B52" s="21" t="s">
        <v>1158</v>
      </c>
      <c r="C52" s="21" t="s">
        <v>1159</v>
      </c>
      <c r="D52" s="21" t="s">
        <v>1160</v>
      </c>
      <c r="E52" s="312">
        <v>9.0</v>
      </c>
      <c r="F52" s="317">
        <v>8.0</v>
      </c>
      <c r="G52" s="313" t="s">
        <v>1035</v>
      </c>
      <c r="H52" s="309">
        <f t="shared" si="1"/>
        <v>5375</v>
      </c>
      <c r="I52" s="12" t="str">
        <f t="shared" si="2"/>
        <v>9 Complete Medical Records, 8 Patient Portal Logins</v>
      </c>
      <c r="J52" s="23"/>
      <c r="K52" s="23"/>
      <c r="L52" s="23"/>
      <c r="M52" s="14"/>
      <c r="N52" s="23"/>
      <c r="O52" s="23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54" t="s">
        <v>206</v>
      </c>
      <c r="B53" s="21" t="s">
        <v>1161</v>
      </c>
      <c r="C53" s="21" t="s">
        <v>1162</v>
      </c>
      <c r="D53" s="21" t="s">
        <v>1163</v>
      </c>
      <c r="E53" s="306">
        <v>19.0</v>
      </c>
      <c r="F53" s="311">
        <v>0.0</v>
      </c>
      <c r="G53" s="308" t="s">
        <v>1034</v>
      </c>
      <c r="H53" s="309">
        <f t="shared" si="1"/>
        <v>6125</v>
      </c>
      <c r="I53" s="12" t="str">
        <f t="shared" si="2"/>
        <v>19 Complete Medical Records, 0 Patient Portal Logins</v>
      </c>
      <c r="J53" s="23"/>
      <c r="K53" s="23"/>
      <c r="L53" s="23"/>
      <c r="M53" s="14"/>
      <c r="N53" s="23"/>
      <c r="O53" s="23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hidden="1">
      <c r="A54" s="6" t="s">
        <v>223</v>
      </c>
      <c r="B54" s="16" t="s">
        <v>996</v>
      </c>
      <c r="C54" s="16" t="s">
        <v>997</v>
      </c>
      <c r="D54" s="16" t="s">
        <v>1025</v>
      </c>
      <c r="E54" s="306">
        <v>5.0</v>
      </c>
      <c r="F54" s="311">
        <v>0.0</v>
      </c>
      <c r="G54" s="320">
        <v>21.0</v>
      </c>
      <c r="H54" s="321" t="str">
        <f t="shared" ref="H54:H465" si="3">E54*300+#REF!*125+F54*250+#REF!*250+G54*250</f>
        <v>#REF!</v>
      </c>
      <c r="I54" s="12" t="str">
        <f t="shared" si="2"/>
        <v>5 Complete Medical Records, 0 Patient Portal Logins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hidden="1">
      <c r="A55" s="6" t="s">
        <v>223</v>
      </c>
      <c r="B55" s="16" t="s">
        <v>20</v>
      </c>
      <c r="C55" s="16" t="s">
        <v>231</v>
      </c>
      <c r="D55" s="16" t="s">
        <v>22</v>
      </c>
      <c r="E55" s="306">
        <v>5.0</v>
      </c>
      <c r="F55" s="311">
        <v>2.0</v>
      </c>
      <c r="G55" s="320">
        <v>21.0</v>
      </c>
      <c r="H55" s="321" t="str">
        <f t="shared" si="3"/>
        <v>#REF!</v>
      </c>
      <c r="I55" s="12" t="str">
        <f t="shared" si="2"/>
        <v>5 Complete Medical Records, 2 Patient Portal Logins</v>
      </c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hidden="1">
      <c r="A56" s="6" t="s">
        <v>223</v>
      </c>
      <c r="B56" s="16" t="s">
        <v>648</v>
      </c>
      <c r="C56" s="16" t="s">
        <v>649</v>
      </c>
      <c r="D56" s="16" t="s">
        <v>650</v>
      </c>
      <c r="E56" s="310">
        <v>18.0</v>
      </c>
      <c r="F56" s="307">
        <v>1.0</v>
      </c>
      <c r="G56" s="320">
        <v>20.0</v>
      </c>
      <c r="H56" s="321" t="str">
        <f t="shared" si="3"/>
        <v>#REF!</v>
      </c>
      <c r="I56" s="12" t="str">
        <f t="shared" si="2"/>
        <v>18 Complete Medical Records, 1 Patient Portal Logins</v>
      </c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hidden="1">
      <c r="A57" s="6" t="s">
        <v>223</v>
      </c>
      <c r="B57" s="16" t="s">
        <v>571</v>
      </c>
      <c r="C57" s="16" t="s">
        <v>572</v>
      </c>
      <c r="D57" s="16" t="s">
        <v>573</v>
      </c>
      <c r="E57" s="306">
        <v>9.0</v>
      </c>
      <c r="F57" s="311">
        <v>1.0</v>
      </c>
      <c r="G57" s="320">
        <v>12.0</v>
      </c>
      <c r="H57" s="321" t="str">
        <f t="shared" si="3"/>
        <v>#REF!</v>
      </c>
      <c r="I57" s="12" t="str">
        <f t="shared" si="2"/>
        <v>9 Complete Medical Records, 1 Patient Portal Logins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hidden="1">
      <c r="A58" s="6" t="s">
        <v>223</v>
      </c>
      <c r="B58" s="16" t="s">
        <v>1005</v>
      </c>
      <c r="C58" s="16" t="s">
        <v>1006</v>
      </c>
      <c r="D58" s="16" t="s">
        <v>1021</v>
      </c>
      <c r="E58" s="312">
        <v>11.0</v>
      </c>
      <c r="F58" s="315">
        <v>3.0</v>
      </c>
      <c r="G58" s="269">
        <v>20.0</v>
      </c>
      <c r="H58" s="321" t="str">
        <f t="shared" si="3"/>
        <v>#REF!</v>
      </c>
      <c r="I58" s="12" t="str">
        <f t="shared" si="2"/>
        <v>11 Complete Medical Records, 3 Patient Portal Logins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hidden="1">
      <c r="A59" s="6" t="s">
        <v>223</v>
      </c>
      <c r="B59" s="16" t="s">
        <v>709</v>
      </c>
      <c r="C59" s="16" t="s">
        <v>710</v>
      </c>
      <c r="D59" s="16" t="s">
        <v>711</v>
      </c>
      <c r="E59" s="306">
        <v>5.0</v>
      </c>
      <c r="F59" s="311">
        <v>0.0</v>
      </c>
      <c r="G59" s="320">
        <v>21.0</v>
      </c>
      <c r="H59" s="321" t="str">
        <f t="shared" si="3"/>
        <v>#REF!</v>
      </c>
      <c r="I59" s="12" t="str">
        <f t="shared" si="2"/>
        <v>5 Complete Medical Records, 0 Patient Portal Logins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hidden="1">
      <c r="A60" s="6" t="s">
        <v>223</v>
      </c>
      <c r="B60" s="16" t="s">
        <v>1036</v>
      </c>
      <c r="C60" s="16" t="s">
        <v>1037</v>
      </c>
      <c r="D60" s="16" t="s">
        <v>1038</v>
      </c>
      <c r="E60" s="306">
        <v>5.0</v>
      </c>
      <c r="F60" s="311">
        <v>0.0</v>
      </c>
      <c r="G60" s="320">
        <v>21.0</v>
      </c>
      <c r="H60" s="321" t="str">
        <f t="shared" si="3"/>
        <v>#REF!</v>
      </c>
      <c r="I60" s="12" t="str">
        <f t="shared" si="2"/>
        <v>5 Complete Medical Records, 0 Patient Portal Logins</v>
      </c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hidden="1">
      <c r="A61" s="6" t="s">
        <v>223</v>
      </c>
      <c r="B61" s="16" t="s">
        <v>1039</v>
      </c>
      <c r="C61" s="16" t="s">
        <v>1040</v>
      </c>
      <c r="D61" s="16" t="s">
        <v>1041</v>
      </c>
      <c r="E61" s="306">
        <v>5.0</v>
      </c>
      <c r="F61" s="311">
        <v>0.0</v>
      </c>
      <c r="G61" s="320">
        <v>21.0</v>
      </c>
      <c r="H61" s="321" t="str">
        <f t="shared" si="3"/>
        <v>#REF!</v>
      </c>
      <c r="I61" s="12" t="str">
        <f t="shared" si="2"/>
        <v>5 Complete Medical Records, 0 Patient Portal Logins</v>
      </c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hidden="1">
      <c r="A62" s="6" t="s">
        <v>223</v>
      </c>
      <c r="B62" s="16" t="s">
        <v>1042</v>
      </c>
      <c r="C62" s="16" t="s">
        <v>1043</v>
      </c>
      <c r="D62" s="16" t="s">
        <v>1044</v>
      </c>
      <c r="E62" s="312">
        <v>11.0</v>
      </c>
      <c r="F62" s="314">
        <v>1.0</v>
      </c>
      <c r="G62" s="269">
        <v>20.0</v>
      </c>
      <c r="H62" s="321" t="str">
        <f t="shared" si="3"/>
        <v>#REF!</v>
      </c>
      <c r="I62" s="12" t="str">
        <f t="shared" si="2"/>
        <v>11 Complete Medical Records, 1 Patient Portal Logins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hidden="1">
      <c r="A63" s="6" t="s">
        <v>223</v>
      </c>
      <c r="B63" s="16" t="s">
        <v>1045</v>
      </c>
      <c r="C63" s="16" t="s">
        <v>1046</v>
      </c>
      <c r="D63" s="16" t="s">
        <v>1047</v>
      </c>
      <c r="E63" s="306">
        <v>5.0</v>
      </c>
      <c r="F63" s="311">
        <v>0.0</v>
      </c>
      <c r="G63" s="320">
        <v>21.0</v>
      </c>
      <c r="H63" s="321" t="str">
        <f t="shared" si="3"/>
        <v>#REF!</v>
      </c>
      <c r="I63" s="12" t="str">
        <f t="shared" si="2"/>
        <v>5 Complete Medical Records, 0 Patient Portal Logins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hidden="1">
      <c r="A64" s="6" t="s">
        <v>223</v>
      </c>
      <c r="B64" s="16" t="s">
        <v>742</v>
      </c>
      <c r="C64" s="16" t="s">
        <v>743</v>
      </c>
      <c r="D64" s="16" t="s">
        <v>979</v>
      </c>
      <c r="E64" s="322">
        <v>18.0</v>
      </c>
      <c r="F64" s="307">
        <v>0.0</v>
      </c>
      <c r="G64" s="320">
        <v>11.0</v>
      </c>
      <c r="H64" s="321" t="str">
        <f t="shared" si="3"/>
        <v>#REF!</v>
      </c>
      <c r="I64" s="12" t="str">
        <f t="shared" si="2"/>
        <v>18 Complete Medical Records, 0 Patient Portal Logins</v>
      </c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hidden="1">
      <c r="A65" s="6" t="s">
        <v>223</v>
      </c>
      <c r="B65" s="16" t="s">
        <v>1049</v>
      </c>
      <c r="C65" s="16" t="s">
        <v>1050</v>
      </c>
      <c r="D65" s="16" t="s">
        <v>1051</v>
      </c>
      <c r="E65" s="306">
        <v>5.0</v>
      </c>
      <c r="F65" s="314">
        <v>0.0</v>
      </c>
      <c r="G65" s="320">
        <v>21.0</v>
      </c>
      <c r="H65" s="321" t="str">
        <f t="shared" si="3"/>
        <v>#REF!</v>
      </c>
      <c r="I65" s="12" t="str">
        <f t="shared" si="2"/>
        <v>5 Complete Medical Records, 0 Patient Portal Logins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hidden="1">
      <c r="A66" s="6" t="s">
        <v>223</v>
      </c>
      <c r="B66" s="16" t="s">
        <v>767</v>
      </c>
      <c r="C66" s="16" t="s">
        <v>768</v>
      </c>
      <c r="D66" s="16" t="s">
        <v>769</v>
      </c>
      <c r="E66" s="312">
        <v>11.0</v>
      </c>
      <c r="F66" s="315">
        <v>2.0</v>
      </c>
      <c r="G66" s="269">
        <v>20.0</v>
      </c>
      <c r="H66" s="321" t="str">
        <f t="shared" si="3"/>
        <v>#REF!</v>
      </c>
      <c r="I66" s="12" t="str">
        <f t="shared" si="2"/>
        <v>11 Complete Medical Records, 2 Patient Portal Logins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hidden="1">
      <c r="A67" s="6" t="s">
        <v>223</v>
      </c>
      <c r="B67" s="16" t="s">
        <v>1052</v>
      </c>
      <c r="C67" s="16" t="s">
        <v>1053</v>
      </c>
      <c r="D67" s="16" t="s">
        <v>1054</v>
      </c>
      <c r="E67" s="306">
        <v>5.0</v>
      </c>
      <c r="F67" s="311">
        <v>0.0</v>
      </c>
      <c r="G67" s="320">
        <v>21.0</v>
      </c>
      <c r="H67" s="321" t="str">
        <f t="shared" si="3"/>
        <v>#REF!</v>
      </c>
      <c r="I67" s="12" t="str">
        <f t="shared" si="2"/>
        <v>5 Complete Medical Records, 0 Patient Portal Logins</v>
      </c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hidden="1">
      <c r="A68" s="6" t="s">
        <v>223</v>
      </c>
      <c r="B68" s="16" t="s">
        <v>1055</v>
      </c>
      <c r="C68" s="16" t="s">
        <v>1056</v>
      </c>
      <c r="D68" s="16" t="s">
        <v>1057</v>
      </c>
      <c r="E68" s="306">
        <v>9.0</v>
      </c>
      <c r="F68" s="311">
        <v>0.0</v>
      </c>
      <c r="G68" s="320">
        <v>12.0</v>
      </c>
      <c r="H68" s="321" t="str">
        <f t="shared" si="3"/>
        <v>#REF!</v>
      </c>
      <c r="I68" s="12" t="str">
        <f t="shared" si="2"/>
        <v>9 Complete Medical Records, 0 Patient Portal Logins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hidden="1">
      <c r="A69" s="6" t="s">
        <v>223</v>
      </c>
      <c r="B69" s="16" t="s">
        <v>1058</v>
      </c>
      <c r="C69" s="16" t="s">
        <v>1059</v>
      </c>
      <c r="D69" s="16" t="s">
        <v>1060</v>
      </c>
      <c r="E69" s="322">
        <v>18.0</v>
      </c>
      <c r="F69" s="307">
        <v>0.0</v>
      </c>
      <c r="G69" s="320">
        <v>11.0</v>
      </c>
      <c r="H69" s="321" t="str">
        <f t="shared" si="3"/>
        <v>#REF!</v>
      </c>
      <c r="I69" s="12" t="str">
        <f t="shared" si="2"/>
        <v>18 Complete Medical Records, 0 Patient Portal Logins</v>
      </c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hidden="1">
      <c r="A70" s="6" t="s">
        <v>223</v>
      </c>
      <c r="B70" s="16" t="s">
        <v>1061</v>
      </c>
      <c r="C70" s="16" t="s">
        <v>1062</v>
      </c>
      <c r="D70" s="16" t="s">
        <v>1063</v>
      </c>
      <c r="E70" s="322">
        <v>18.0</v>
      </c>
      <c r="F70" s="307">
        <v>0.0</v>
      </c>
      <c r="G70" s="320">
        <v>11.0</v>
      </c>
      <c r="H70" s="321" t="str">
        <f t="shared" si="3"/>
        <v>#REF!</v>
      </c>
      <c r="I70" s="12" t="str">
        <f t="shared" si="2"/>
        <v>18 Complete Medical Records, 0 Patient Portal Logins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hidden="1">
      <c r="A71" s="6" t="s">
        <v>223</v>
      </c>
      <c r="B71" s="16" t="s">
        <v>1064</v>
      </c>
      <c r="C71" s="16" t="s">
        <v>1065</v>
      </c>
      <c r="D71" s="16" t="s">
        <v>1066</v>
      </c>
      <c r="E71" s="322">
        <v>18.0</v>
      </c>
      <c r="F71" s="307">
        <v>0.0</v>
      </c>
      <c r="G71" s="320">
        <v>11.0</v>
      </c>
      <c r="H71" s="321" t="str">
        <f t="shared" si="3"/>
        <v>#REF!</v>
      </c>
      <c r="I71" s="12" t="str">
        <f t="shared" si="2"/>
        <v>18 Complete Medical Records, 0 Patient Portal Logins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hidden="1">
      <c r="A72" s="6" t="s">
        <v>223</v>
      </c>
      <c r="B72" s="16" t="s">
        <v>1067</v>
      </c>
      <c r="C72" s="16" t="s">
        <v>1068</v>
      </c>
      <c r="D72" s="16" t="s">
        <v>1069</v>
      </c>
      <c r="E72" s="322">
        <v>18.0</v>
      </c>
      <c r="F72" s="307">
        <v>0.0</v>
      </c>
      <c r="G72" s="320">
        <v>11.0</v>
      </c>
      <c r="H72" s="321" t="str">
        <f t="shared" si="3"/>
        <v>#REF!</v>
      </c>
      <c r="I72" s="12" t="str">
        <f t="shared" si="2"/>
        <v>18 Complete Medical Records, 0 Patient Portal Logins</v>
      </c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hidden="1">
      <c r="A73" s="6" t="s">
        <v>223</v>
      </c>
      <c r="B73" s="16" t="s">
        <v>1070</v>
      </c>
      <c r="C73" s="16" t="s">
        <v>1071</v>
      </c>
      <c r="D73" s="16" t="s">
        <v>1072</v>
      </c>
      <c r="E73" s="322">
        <v>18.0</v>
      </c>
      <c r="F73" s="307">
        <v>0.0</v>
      </c>
      <c r="G73" s="320">
        <v>11.0</v>
      </c>
      <c r="H73" s="321" t="str">
        <f t="shared" si="3"/>
        <v>#REF!</v>
      </c>
      <c r="I73" s="12" t="str">
        <f t="shared" si="2"/>
        <v>18 Complete Medical Records, 0 Patient Portal Logins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hidden="1">
      <c r="A74" s="6" t="s">
        <v>223</v>
      </c>
      <c r="B74" s="16" t="s">
        <v>1073</v>
      </c>
      <c r="C74" s="16" t="s">
        <v>1074</v>
      </c>
      <c r="D74" s="16" t="s">
        <v>1075</v>
      </c>
      <c r="E74" s="322">
        <v>18.0</v>
      </c>
      <c r="F74" s="307">
        <v>0.0</v>
      </c>
      <c r="G74" s="320">
        <v>11.0</v>
      </c>
      <c r="H74" s="321" t="str">
        <f t="shared" si="3"/>
        <v>#REF!</v>
      </c>
      <c r="I74" s="12" t="str">
        <f t="shared" si="2"/>
        <v>18 Complete Medical Records, 0 Patient Portal Logins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hidden="1">
      <c r="A75" s="6" t="s">
        <v>223</v>
      </c>
      <c r="B75" s="16" t="s">
        <v>1076</v>
      </c>
      <c r="C75" s="16" t="s">
        <v>1077</v>
      </c>
      <c r="D75" s="16" t="s">
        <v>1078</v>
      </c>
      <c r="E75" s="310">
        <v>18.0</v>
      </c>
      <c r="F75" s="307">
        <v>0.0</v>
      </c>
      <c r="G75" s="320">
        <v>20.0</v>
      </c>
      <c r="H75" s="321" t="str">
        <f t="shared" si="3"/>
        <v>#REF!</v>
      </c>
      <c r="I75" s="12" t="str">
        <f t="shared" si="2"/>
        <v>18 Complete Medical Records, 0 Patient Portal Logins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hidden="1">
      <c r="A76" s="6" t="s">
        <v>223</v>
      </c>
      <c r="B76" s="16" t="s">
        <v>1079</v>
      </c>
      <c r="C76" s="16" t="s">
        <v>1080</v>
      </c>
      <c r="D76" s="16" t="s">
        <v>1081</v>
      </c>
      <c r="E76" s="310">
        <v>18.0</v>
      </c>
      <c r="F76" s="307">
        <v>0.0</v>
      </c>
      <c r="G76" s="320">
        <v>20.0</v>
      </c>
      <c r="H76" s="321" t="str">
        <f t="shared" si="3"/>
        <v>#REF!</v>
      </c>
      <c r="I76" s="12" t="str">
        <f t="shared" si="2"/>
        <v>18 Complete Medical Records, 0 Patient Portal Logins</v>
      </c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hidden="1">
      <c r="A77" s="6" t="s">
        <v>223</v>
      </c>
      <c r="B77" s="16" t="s">
        <v>1082</v>
      </c>
      <c r="C77" s="16" t="s">
        <v>1083</v>
      </c>
      <c r="D77" s="16" t="s">
        <v>1084</v>
      </c>
      <c r="E77" s="310">
        <v>18.0</v>
      </c>
      <c r="F77" s="307">
        <v>0.0</v>
      </c>
      <c r="G77" s="320">
        <v>20.0</v>
      </c>
      <c r="H77" s="321" t="str">
        <f t="shared" si="3"/>
        <v>#REF!</v>
      </c>
      <c r="I77" s="12" t="str">
        <f t="shared" si="2"/>
        <v>18 Complete Medical Records, 0 Patient Portal Logins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hidden="1">
      <c r="A78" s="6" t="s">
        <v>223</v>
      </c>
      <c r="B78" s="16" t="s">
        <v>1085</v>
      </c>
      <c r="C78" s="16" t="s">
        <v>1086</v>
      </c>
      <c r="D78" s="16" t="s">
        <v>1087</v>
      </c>
      <c r="E78" s="306">
        <v>9.0</v>
      </c>
      <c r="F78" s="311">
        <v>0.0</v>
      </c>
      <c r="G78" s="320">
        <v>12.0</v>
      </c>
      <c r="H78" s="321" t="str">
        <f t="shared" si="3"/>
        <v>#REF!</v>
      </c>
      <c r="I78" s="12" t="str">
        <f t="shared" si="2"/>
        <v>9 Complete Medical Records, 0 Patient Portal Logins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hidden="1">
      <c r="A79" s="6" t="s">
        <v>223</v>
      </c>
      <c r="B79" s="16" t="s">
        <v>1088</v>
      </c>
      <c r="C79" s="16" t="s">
        <v>1089</v>
      </c>
      <c r="D79" s="16" t="s">
        <v>1090</v>
      </c>
      <c r="E79" s="306">
        <v>5.0</v>
      </c>
      <c r="F79" s="314">
        <v>28.0</v>
      </c>
      <c r="G79" s="320">
        <v>21.0</v>
      </c>
      <c r="H79" s="321" t="str">
        <f t="shared" si="3"/>
        <v>#REF!</v>
      </c>
      <c r="I79" s="39" t="str">
        <f t="shared" si="2"/>
        <v>5 Complete Medical Records, 28 Patient Portal Logins</v>
      </c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idden="1">
      <c r="A80" s="6" t="s">
        <v>223</v>
      </c>
      <c r="B80" s="16" t="s">
        <v>1091</v>
      </c>
      <c r="C80" s="16" t="s">
        <v>1092</v>
      </c>
      <c r="D80" s="16" t="s">
        <v>1093</v>
      </c>
      <c r="E80" s="306">
        <v>9.0</v>
      </c>
      <c r="F80" s="311">
        <v>0.0</v>
      </c>
      <c r="G80" s="320">
        <v>12.0</v>
      </c>
      <c r="H80" s="321" t="str">
        <f t="shared" si="3"/>
        <v>#REF!</v>
      </c>
      <c r="I80" s="39" t="str">
        <f t="shared" si="2"/>
        <v>9 Complete Medical Records, 0 Patient Portal Logins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hidden="1">
      <c r="A81" s="6" t="s">
        <v>223</v>
      </c>
      <c r="B81" s="16" t="s">
        <v>1094</v>
      </c>
      <c r="C81" s="16" t="s">
        <v>1095</v>
      </c>
      <c r="D81" s="16" t="s">
        <v>1096</v>
      </c>
      <c r="E81" s="306">
        <v>9.0</v>
      </c>
      <c r="F81" s="314">
        <v>5.0</v>
      </c>
      <c r="G81" s="320">
        <v>12.0</v>
      </c>
      <c r="H81" s="321" t="str">
        <f t="shared" si="3"/>
        <v>#REF!</v>
      </c>
      <c r="I81" s="39" t="str">
        <f t="shared" si="2"/>
        <v>9 Complete Medical Records, 5 Patient Portal Logins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hidden="1">
      <c r="A82" s="6" t="s">
        <v>223</v>
      </c>
      <c r="B82" s="16" t="s">
        <v>1097</v>
      </c>
      <c r="C82" s="16" t="s">
        <v>1098</v>
      </c>
      <c r="D82" s="16" t="s">
        <v>1099</v>
      </c>
      <c r="E82" s="310">
        <v>18.0</v>
      </c>
      <c r="F82" s="307">
        <v>0.0</v>
      </c>
      <c r="G82" s="320">
        <v>20.0</v>
      </c>
      <c r="H82" s="321" t="str">
        <f t="shared" si="3"/>
        <v>#REF!</v>
      </c>
      <c r="I82" s="39" t="str">
        <f t="shared" si="2"/>
        <v>18 Complete Medical Records, 0 Patient Portal Logins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hidden="1">
      <c r="A83" s="6" t="s">
        <v>223</v>
      </c>
      <c r="B83" s="16" t="s">
        <v>255</v>
      </c>
      <c r="C83" s="16" t="s">
        <v>256</v>
      </c>
      <c r="D83" s="16" t="s">
        <v>257</v>
      </c>
      <c r="E83" s="312">
        <v>11.0</v>
      </c>
      <c r="F83" s="319">
        <v>0.0</v>
      </c>
      <c r="G83" s="269">
        <v>20.0</v>
      </c>
      <c r="H83" s="321" t="str">
        <f t="shared" si="3"/>
        <v>#REF!</v>
      </c>
      <c r="I83" s="39" t="str">
        <f t="shared" si="2"/>
        <v>11 Complete Medical Records, 0 Patient Portal Logins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hidden="1">
      <c r="A84" s="6" t="s">
        <v>223</v>
      </c>
      <c r="B84" s="16" t="s">
        <v>1100</v>
      </c>
      <c r="C84" s="16" t="s">
        <v>1101</v>
      </c>
      <c r="D84" s="16" t="s">
        <v>1102</v>
      </c>
      <c r="E84" s="312">
        <v>11.0</v>
      </c>
      <c r="F84" s="319">
        <v>15.0</v>
      </c>
      <c r="G84" s="269">
        <v>20.0</v>
      </c>
      <c r="H84" s="321" t="str">
        <f t="shared" si="3"/>
        <v>#REF!</v>
      </c>
      <c r="I84" s="39" t="str">
        <f t="shared" si="2"/>
        <v>11 Complete Medical Records, 15 Patient Portal Logins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hidden="1">
      <c r="A85" s="6" t="s">
        <v>223</v>
      </c>
      <c r="B85" s="16" t="s">
        <v>1103</v>
      </c>
      <c r="C85" s="16" t="s">
        <v>1104</v>
      </c>
      <c r="D85" s="16" t="s">
        <v>1105</v>
      </c>
      <c r="E85" s="322">
        <v>18.0</v>
      </c>
      <c r="F85" s="307">
        <v>0.0</v>
      </c>
      <c r="G85" s="320">
        <v>11.0</v>
      </c>
      <c r="H85" s="321" t="str">
        <f t="shared" si="3"/>
        <v>#REF!</v>
      </c>
      <c r="I85" s="39" t="str">
        <f t="shared" si="2"/>
        <v>18 Complete Medical Records, 0 Patient Portal Logins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hidden="1">
      <c r="A86" s="6" t="s">
        <v>223</v>
      </c>
      <c r="B86" s="16" t="s">
        <v>1106</v>
      </c>
      <c r="C86" s="16" t="s">
        <v>1107</v>
      </c>
      <c r="D86" s="16" t="s">
        <v>1108</v>
      </c>
      <c r="E86" s="306">
        <v>9.0</v>
      </c>
      <c r="F86" s="311">
        <v>9.0</v>
      </c>
      <c r="G86" s="320">
        <v>12.0</v>
      </c>
      <c r="H86" s="321" t="str">
        <f t="shared" si="3"/>
        <v>#REF!</v>
      </c>
      <c r="I86" s="12" t="str">
        <f t="shared" si="2"/>
        <v>9 Complete Medical Records, 9 Patient Portal Logins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hidden="1">
      <c r="A87" s="6" t="s">
        <v>223</v>
      </c>
      <c r="B87" s="16" t="s">
        <v>1109</v>
      </c>
      <c r="C87" s="16" t="s">
        <v>1110</v>
      </c>
      <c r="D87" s="16" t="s">
        <v>1111</v>
      </c>
      <c r="E87" s="312">
        <v>11.0</v>
      </c>
      <c r="F87" s="319">
        <v>0.0</v>
      </c>
      <c r="G87" s="269">
        <v>20.0</v>
      </c>
      <c r="H87" s="321" t="str">
        <f t="shared" si="3"/>
        <v>#REF!</v>
      </c>
      <c r="I87" s="12" t="str">
        <f t="shared" si="2"/>
        <v>11 Complete Medical Records, 0 Patient Portal Logins</v>
      </c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hidden="1">
      <c r="A88" s="6" t="s">
        <v>223</v>
      </c>
      <c r="B88" s="16" t="s">
        <v>1112</v>
      </c>
      <c r="C88" s="16" t="s">
        <v>1113</v>
      </c>
      <c r="D88" s="16" t="s">
        <v>1114</v>
      </c>
      <c r="E88" s="310">
        <v>18.0</v>
      </c>
      <c r="F88" s="315">
        <v>1.0</v>
      </c>
      <c r="G88" s="320">
        <v>20.0</v>
      </c>
      <c r="H88" s="321" t="str">
        <f t="shared" si="3"/>
        <v>#REF!</v>
      </c>
      <c r="I88" s="12" t="str">
        <f t="shared" si="2"/>
        <v>18 Complete Medical Records, 1 Patient Portal Logins</v>
      </c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hidden="1">
      <c r="A89" s="6" t="s">
        <v>223</v>
      </c>
      <c r="B89" s="16" t="s">
        <v>1115</v>
      </c>
      <c r="C89" s="16" t="s">
        <v>1116</v>
      </c>
      <c r="D89" s="16" t="s">
        <v>1117</v>
      </c>
      <c r="E89" s="322">
        <v>18.0</v>
      </c>
      <c r="F89" s="315">
        <v>26.0</v>
      </c>
      <c r="G89" s="320">
        <v>11.0</v>
      </c>
      <c r="H89" s="321" t="str">
        <f t="shared" si="3"/>
        <v>#REF!</v>
      </c>
      <c r="I89" s="12" t="str">
        <f t="shared" si="2"/>
        <v>18 Complete Medical Records, 26 Patient Portal Logins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hidden="1">
      <c r="A90" s="6" t="s">
        <v>223</v>
      </c>
      <c r="B90" s="16" t="s">
        <v>1118</v>
      </c>
      <c r="C90" s="16" t="s">
        <v>1119</v>
      </c>
      <c r="D90" s="16" t="s">
        <v>1120</v>
      </c>
      <c r="E90" s="306">
        <v>5.0</v>
      </c>
      <c r="F90" s="315">
        <v>25.0</v>
      </c>
      <c r="G90" s="320">
        <v>21.0</v>
      </c>
      <c r="H90" s="321" t="str">
        <f t="shared" si="3"/>
        <v>#REF!</v>
      </c>
      <c r="I90" s="12" t="str">
        <f t="shared" si="2"/>
        <v>5 Complete Medical Records, 25 Patient Portal Logins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hidden="1">
      <c r="A91" s="6" t="s">
        <v>223</v>
      </c>
      <c r="B91" s="16" t="s">
        <v>1121</v>
      </c>
      <c r="C91" s="16" t="s">
        <v>1122</v>
      </c>
      <c r="D91" s="16" t="s">
        <v>1123</v>
      </c>
      <c r="E91" s="310">
        <v>18.0</v>
      </c>
      <c r="F91" s="315">
        <v>46.0</v>
      </c>
      <c r="G91" s="320">
        <v>20.0</v>
      </c>
      <c r="H91" s="321" t="str">
        <f t="shared" si="3"/>
        <v>#REF!</v>
      </c>
      <c r="I91" s="12" t="str">
        <f t="shared" si="2"/>
        <v>18 Complete Medical Records, 46 Patient Portal Logins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hidden="1">
      <c r="A92" s="6" t="s">
        <v>223</v>
      </c>
      <c r="B92" s="16" t="s">
        <v>1124</v>
      </c>
      <c r="C92" s="16" t="s">
        <v>1125</v>
      </c>
      <c r="D92" s="16" t="s">
        <v>1126</v>
      </c>
      <c r="E92" s="306">
        <v>9.0</v>
      </c>
      <c r="F92" s="311">
        <v>0.0</v>
      </c>
      <c r="G92" s="320">
        <v>12.0</v>
      </c>
      <c r="H92" s="321" t="str">
        <f t="shared" si="3"/>
        <v>#REF!</v>
      </c>
      <c r="I92" s="12" t="str">
        <f t="shared" si="2"/>
        <v>9 Complete Medical Records, 0 Patient Portal Logins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hidden="1">
      <c r="A93" s="6" t="s">
        <v>223</v>
      </c>
      <c r="B93" s="16" t="s">
        <v>1127</v>
      </c>
      <c r="C93" s="16" t="s">
        <v>1128</v>
      </c>
      <c r="D93" s="16" t="s">
        <v>1129</v>
      </c>
      <c r="E93" s="310">
        <v>18.0</v>
      </c>
      <c r="F93" s="307">
        <v>0.0</v>
      </c>
      <c r="G93" s="320">
        <v>20.0</v>
      </c>
      <c r="H93" s="321" t="str">
        <f t="shared" si="3"/>
        <v>#REF!</v>
      </c>
      <c r="I93" s="12" t="str">
        <f t="shared" si="2"/>
        <v>18 Complete Medical Records, 0 Patient Portal Logins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hidden="1">
      <c r="A94" s="6" t="s">
        <v>223</v>
      </c>
      <c r="B94" s="16" t="s">
        <v>1130</v>
      </c>
      <c r="C94" s="16" t="s">
        <v>1131</v>
      </c>
      <c r="D94" s="16" t="s">
        <v>1132</v>
      </c>
      <c r="E94" s="310">
        <v>18.0</v>
      </c>
      <c r="F94" s="307">
        <v>0.0</v>
      </c>
      <c r="G94" s="320">
        <v>20.0</v>
      </c>
      <c r="H94" s="321" t="str">
        <f t="shared" si="3"/>
        <v>#REF!</v>
      </c>
      <c r="I94" s="12" t="str">
        <f t="shared" si="2"/>
        <v>18 Complete Medical Records, 0 Patient Portal Logins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hidden="1">
      <c r="A95" s="6" t="s">
        <v>223</v>
      </c>
      <c r="B95" s="16" t="s">
        <v>1133</v>
      </c>
      <c r="C95" s="16" t="s">
        <v>1134</v>
      </c>
      <c r="D95" s="16" t="s">
        <v>1135</v>
      </c>
      <c r="E95" s="306">
        <v>9.0</v>
      </c>
      <c r="F95" s="311">
        <v>0.0</v>
      </c>
      <c r="G95" s="320">
        <v>12.0</v>
      </c>
      <c r="H95" s="321" t="str">
        <f t="shared" si="3"/>
        <v>#REF!</v>
      </c>
      <c r="I95" s="12" t="str">
        <f t="shared" si="2"/>
        <v>9 Complete Medical Records, 0 Patient Portal Logins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hidden="1">
      <c r="A96" s="6" t="s">
        <v>223</v>
      </c>
      <c r="B96" s="16" t="s">
        <v>1136</v>
      </c>
      <c r="C96" s="16" t="s">
        <v>1137</v>
      </c>
      <c r="D96" s="16" t="s">
        <v>1138</v>
      </c>
      <c r="E96" s="312">
        <v>11.0</v>
      </c>
      <c r="F96" s="319">
        <v>0.0</v>
      </c>
      <c r="G96" s="269">
        <v>20.0</v>
      </c>
      <c r="H96" s="321" t="str">
        <f t="shared" si="3"/>
        <v>#REF!</v>
      </c>
      <c r="I96" s="12" t="str">
        <f t="shared" si="2"/>
        <v>11 Complete Medical Records, 0 Patient Portal Logins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hidden="1">
      <c r="A97" s="6" t="s">
        <v>223</v>
      </c>
      <c r="B97" s="16" t="s">
        <v>1139</v>
      </c>
      <c r="C97" s="16" t="s">
        <v>1140</v>
      </c>
      <c r="D97" s="16" t="s">
        <v>1141</v>
      </c>
      <c r="E97" s="318">
        <v>11.0</v>
      </c>
      <c r="F97" s="315">
        <v>9.0</v>
      </c>
      <c r="G97" s="320">
        <v>20.0</v>
      </c>
      <c r="H97" s="321" t="str">
        <f t="shared" si="3"/>
        <v>#REF!</v>
      </c>
      <c r="I97" s="12" t="str">
        <f t="shared" si="2"/>
        <v>11 Complete Medical Records, 9 Patient Portal Logins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hidden="1">
      <c r="A98" s="6" t="s">
        <v>223</v>
      </c>
      <c r="B98" s="16" t="s">
        <v>1142</v>
      </c>
      <c r="C98" s="16" t="s">
        <v>1143</v>
      </c>
      <c r="D98" s="16" t="s">
        <v>1144</v>
      </c>
      <c r="E98" s="306">
        <v>9.0</v>
      </c>
      <c r="F98" s="314">
        <v>21.0</v>
      </c>
      <c r="G98" s="320">
        <v>12.0</v>
      </c>
      <c r="H98" s="321" t="str">
        <f t="shared" si="3"/>
        <v>#REF!</v>
      </c>
      <c r="I98" s="12" t="str">
        <f t="shared" si="2"/>
        <v>9 Complete Medical Records, 21 Patient Portal Logins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hidden="1">
      <c r="A99" s="6" t="s">
        <v>223</v>
      </c>
      <c r="B99" s="16" t="s">
        <v>1145</v>
      </c>
      <c r="C99" s="16" t="s">
        <v>1146</v>
      </c>
      <c r="D99" s="16" t="s">
        <v>1147</v>
      </c>
      <c r="E99" s="312">
        <v>11.0</v>
      </c>
      <c r="F99" s="319">
        <v>0.0</v>
      </c>
      <c r="G99" s="269">
        <v>20.0</v>
      </c>
      <c r="H99" s="321" t="str">
        <f t="shared" si="3"/>
        <v>#REF!</v>
      </c>
      <c r="I99" s="12" t="str">
        <f t="shared" si="2"/>
        <v>11 Complete Medical Records, 0 Patient Portal Logins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hidden="1">
      <c r="A100" s="6" t="s">
        <v>223</v>
      </c>
      <c r="B100" s="16" t="s">
        <v>1148</v>
      </c>
      <c r="C100" s="16" t="s">
        <v>1149</v>
      </c>
      <c r="D100" s="16" t="s">
        <v>1150</v>
      </c>
      <c r="E100" s="322">
        <v>18.0</v>
      </c>
      <c r="F100" s="315">
        <v>12.0</v>
      </c>
      <c r="G100" s="320">
        <v>11.0</v>
      </c>
      <c r="H100" s="321" t="str">
        <f t="shared" si="3"/>
        <v>#REF!</v>
      </c>
      <c r="I100" s="12" t="str">
        <f t="shared" si="2"/>
        <v>18 Complete Medical Records, 12 Patient Portal Logins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hidden="1">
      <c r="A101" s="6" t="s">
        <v>223</v>
      </c>
      <c r="B101" s="16" t="s">
        <v>1151</v>
      </c>
      <c r="C101" s="16" t="s">
        <v>1152</v>
      </c>
      <c r="D101" s="16" t="s">
        <v>1153</v>
      </c>
      <c r="E101" s="310">
        <v>18.0</v>
      </c>
      <c r="F101" s="315">
        <v>22.0</v>
      </c>
      <c r="G101" s="320">
        <v>20.0</v>
      </c>
      <c r="H101" s="321" t="str">
        <f t="shared" si="3"/>
        <v>#REF!</v>
      </c>
      <c r="I101" s="12" t="str">
        <f t="shared" si="2"/>
        <v>18 Complete Medical Records, 22 Patient Portal Logins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hidden="1">
      <c r="A102" s="6" t="s">
        <v>223</v>
      </c>
      <c r="B102" s="16" t="s">
        <v>1154</v>
      </c>
      <c r="C102" s="16" t="s">
        <v>1155</v>
      </c>
      <c r="D102" s="16" t="s">
        <v>1156</v>
      </c>
      <c r="E102" s="318">
        <v>9.0</v>
      </c>
      <c r="F102" s="315">
        <v>18.0</v>
      </c>
      <c r="G102" s="320">
        <v>5.0</v>
      </c>
      <c r="H102" s="321" t="str">
        <f t="shared" si="3"/>
        <v>#REF!</v>
      </c>
      <c r="I102" s="12" t="str">
        <f t="shared" si="2"/>
        <v>9 Complete Medical Records, 18 Patient Portal Logins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hidden="1">
      <c r="A103" s="6" t="s">
        <v>223</v>
      </c>
      <c r="B103" s="21" t="s">
        <v>1158</v>
      </c>
      <c r="C103" s="21" t="s">
        <v>1159</v>
      </c>
      <c r="D103" s="21" t="s">
        <v>1160</v>
      </c>
      <c r="E103" s="312">
        <v>11.0</v>
      </c>
      <c r="F103" s="319">
        <v>2.0</v>
      </c>
      <c r="G103" s="269">
        <v>20.0</v>
      </c>
      <c r="H103" s="321" t="str">
        <f t="shared" si="3"/>
        <v>#REF!</v>
      </c>
      <c r="I103" s="12" t="str">
        <f t="shared" si="2"/>
        <v>11 Complete Medical Records, 2 Patient Portal Logins</v>
      </c>
      <c r="J103" s="23"/>
      <c r="K103" s="23"/>
      <c r="L103" s="23"/>
      <c r="M103" s="14"/>
      <c r="N103" s="23"/>
      <c r="O103" s="23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hidden="1">
      <c r="A104" s="6" t="s">
        <v>223</v>
      </c>
      <c r="B104" s="21" t="s">
        <v>1161</v>
      </c>
      <c r="C104" s="21" t="s">
        <v>1162</v>
      </c>
      <c r="D104" s="21" t="s">
        <v>1163</v>
      </c>
      <c r="E104" s="306">
        <v>9.0</v>
      </c>
      <c r="F104" s="311">
        <v>0.0</v>
      </c>
      <c r="G104" s="320">
        <v>12.0</v>
      </c>
      <c r="H104" s="321" t="str">
        <f t="shared" si="3"/>
        <v>#REF!</v>
      </c>
      <c r="I104" s="12" t="str">
        <f t="shared" si="2"/>
        <v>9 Complete Medical Records, 0 Patient Portal Logins</v>
      </c>
      <c r="J104" s="23"/>
      <c r="K104" s="23"/>
      <c r="L104" s="23"/>
      <c r="M104" s="14"/>
      <c r="N104" s="23"/>
      <c r="O104" s="23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hidden="1">
      <c r="A105" s="6" t="s">
        <v>224</v>
      </c>
      <c r="B105" s="16" t="s">
        <v>996</v>
      </c>
      <c r="C105" s="16" t="s">
        <v>997</v>
      </c>
      <c r="D105" s="16" t="s">
        <v>1025</v>
      </c>
      <c r="E105" s="306">
        <v>9.0</v>
      </c>
      <c r="F105" s="311">
        <v>0.0</v>
      </c>
      <c r="G105" s="320">
        <v>29.0</v>
      </c>
      <c r="H105" s="323" t="str">
        <f t="shared" si="3"/>
        <v>#REF!</v>
      </c>
      <c r="I105" s="12" t="str">
        <f t="shared" si="2"/>
        <v>9 Complete Medical Records, 0 Patient Portal Logins</v>
      </c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</row>
    <row r="106" hidden="1">
      <c r="A106" s="6" t="s">
        <v>224</v>
      </c>
      <c r="B106" s="16" t="s">
        <v>20</v>
      </c>
      <c r="C106" s="16" t="s">
        <v>231</v>
      </c>
      <c r="D106" s="16" t="s">
        <v>22</v>
      </c>
      <c r="E106" s="306">
        <v>9.0</v>
      </c>
      <c r="F106" s="311">
        <v>3.0</v>
      </c>
      <c r="G106" s="320">
        <v>29.0</v>
      </c>
      <c r="H106" s="323" t="str">
        <f t="shared" si="3"/>
        <v>#REF!</v>
      </c>
      <c r="I106" s="12" t="str">
        <f t="shared" si="2"/>
        <v>9 Complete Medical Records, 3 Patient Portal Logins</v>
      </c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</row>
    <row r="107" hidden="1">
      <c r="A107" s="6" t="s">
        <v>224</v>
      </c>
      <c r="B107" s="16" t="s">
        <v>648</v>
      </c>
      <c r="C107" s="16" t="s">
        <v>649</v>
      </c>
      <c r="D107" s="16" t="s">
        <v>650</v>
      </c>
      <c r="E107" s="310">
        <v>36.0</v>
      </c>
      <c r="F107" s="307">
        <v>0.0</v>
      </c>
      <c r="G107" s="320">
        <v>16.0</v>
      </c>
      <c r="H107" s="323" t="str">
        <f t="shared" si="3"/>
        <v>#REF!</v>
      </c>
      <c r="I107" s="12" t="str">
        <f t="shared" si="2"/>
        <v>36 Complete Medical Records, 0 Patient Portal Logins</v>
      </c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</row>
    <row r="108" hidden="1">
      <c r="A108" s="6" t="s">
        <v>224</v>
      </c>
      <c r="B108" s="16" t="s">
        <v>571</v>
      </c>
      <c r="C108" s="16" t="s">
        <v>572</v>
      </c>
      <c r="D108" s="16" t="s">
        <v>573</v>
      </c>
      <c r="E108" s="306">
        <v>27.0</v>
      </c>
      <c r="F108" s="314">
        <v>2.0</v>
      </c>
      <c r="G108" s="320">
        <v>16.0</v>
      </c>
      <c r="H108" s="323" t="str">
        <f t="shared" si="3"/>
        <v>#REF!</v>
      </c>
      <c r="I108" s="12" t="str">
        <f t="shared" si="2"/>
        <v>27 Complete Medical Records, 2 Patient Portal Logins</v>
      </c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</row>
    <row r="109" hidden="1">
      <c r="A109" s="6" t="s">
        <v>224</v>
      </c>
      <c r="B109" s="16" t="s">
        <v>1005</v>
      </c>
      <c r="C109" s="16" t="s">
        <v>1006</v>
      </c>
      <c r="D109" s="16" t="s">
        <v>1021</v>
      </c>
      <c r="E109" s="324">
        <v>13.0</v>
      </c>
      <c r="F109" s="325">
        <v>0.0</v>
      </c>
      <c r="G109" s="326">
        <v>20.0</v>
      </c>
      <c r="H109" s="323" t="str">
        <f t="shared" si="3"/>
        <v>#REF!</v>
      </c>
      <c r="I109" s="12" t="str">
        <f t="shared" si="2"/>
        <v>13 Complete Medical Records, 0 Patient Portal Logins</v>
      </c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</row>
    <row r="110" hidden="1">
      <c r="A110" s="6" t="s">
        <v>224</v>
      </c>
      <c r="B110" s="16" t="s">
        <v>709</v>
      </c>
      <c r="C110" s="16" t="s">
        <v>710</v>
      </c>
      <c r="D110" s="16" t="s">
        <v>711</v>
      </c>
      <c r="E110" s="306">
        <v>9.0</v>
      </c>
      <c r="F110" s="311">
        <v>0.0</v>
      </c>
      <c r="G110" s="320">
        <v>29.0</v>
      </c>
      <c r="H110" s="323" t="str">
        <f t="shared" si="3"/>
        <v>#REF!</v>
      </c>
      <c r="I110" s="12" t="str">
        <f t="shared" si="2"/>
        <v>9 Complete Medical Records, 0 Patient Portal Logins</v>
      </c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</row>
    <row r="111" hidden="1">
      <c r="A111" s="6" t="s">
        <v>224</v>
      </c>
      <c r="B111" s="16" t="s">
        <v>1036</v>
      </c>
      <c r="C111" s="16" t="s">
        <v>1037</v>
      </c>
      <c r="D111" s="16" t="s">
        <v>1038</v>
      </c>
      <c r="E111" s="306">
        <v>9.0</v>
      </c>
      <c r="F111" s="311">
        <v>0.0</v>
      </c>
      <c r="G111" s="320">
        <v>29.0</v>
      </c>
      <c r="H111" s="323" t="str">
        <f t="shared" si="3"/>
        <v>#REF!</v>
      </c>
      <c r="I111" s="12" t="str">
        <f t="shared" si="2"/>
        <v>9 Complete Medical Records, 0 Patient Portal Logins</v>
      </c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</row>
    <row r="112" hidden="1">
      <c r="A112" s="6" t="s">
        <v>224</v>
      </c>
      <c r="B112" s="16" t="s">
        <v>1039</v>
      </c>
      <c r="C112" s="16" t="s">
        <v>1040</v>
      </c>
      <c r="D112" s="16" t="s">
        <v>1041</v>
      </c>
      <c r="E112" s="306">
        <v>9.0</v>
      </c>
      <c r="F112" s="311">
        <v>0.0</v>
      </c>
      <c r="G112" s="320">
        <v>29.0</v>
      </c>
      <c r="H112" s="323" t="str">
        <f t="shared" si="3"/>
        <v>#REF!</v>
      </c>
      <c r="I112" s="12" t="str">
        <f t="shared" si="2"/>
        <v>9 Complete Medical Records, 0 Patient Portal Logins</v>
      </c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</row>
    <row r="113" hidden="1">
      <c r="A113" s="6" t="s">
        <v>224</v>
      </c>
      <c r="B113" s="16" t="s">
        <v>1042</v>
      </c>
      <c r="C113" s="16" t="s">
        <v>1043</v>
      </c>
      <c r="D113" s="16" t="s">
        <v>1044</v>
      </c>
      <c r="E113" s="324">
        <v>13.0</v>
      </c>
      <c r="F113" s="325">
        <v>0.0</v>
      </c>
      <c r="G113" s="326">
        <v>20.0</v>
      </c>
      <c r="H113" s="323" t="str">
        <f t="shared" si="3"/>
        <v>#REF!</v>
      </c>
      <c r="I113" s="12" t="str">
        <f t="shared" si="2"/>
        <v>13 Complete Medical Records, 0 Patient Portal Logins</v>
      </c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</row>
    <row r="114" hidden="1">
      <c r="A114" s="6" t="s">
        <v>224</v>
      </c>
      <c r="B114" s="16" t="s">
        <v>1045</v>
      </c>
      <c r="C114" s="16" t="s">
        <v>1046</v>
      </c>
      <c r="D114" s="16" t="s">
        <v>1047</v>
      </c>
      <c r="E114" s="306">
        <v>9.0</v>
      </c>
      <c r="F114" s="311">
        <v>0.0</v>
      </c>
      <c r="G114" s="320">
        <v>29.0</v>
      </c>
      <c r="H114" s="323" t="str">
        <f t="shared" si="3"/>
        <v>#REF!</v>
      </c>
      <c r="I114" s="12" t="str">
        <f t="shared" si="2"/>
        <v>9 Complete Medical Records, 0 Patient Portal Logins</v>
      </c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</row>
    <row r="115" hidden="1">
      <c r="A115" s="6" t="s">
        <v>224</v>
      </c>
      <c r="B115" s="16" t="s">
        <v>742</v>
      </c>
      <c r="C115" s="16" t="s">
        <v>743</v>
      </c>
      <c r="D115" s="16" t="s">
        <v>979</v>
      </c>
      <c r="E115" s="310">
        <v>14.0</v>
      </c>
      <c r="F115" s="314">
        <v>0.0</v>
      </c>
      <c r="G115" s="320">
        <v>17.0</v>
      </c>
      <c r="H115" s="323" t="str">
        <f t="shared" si="3"/>
        <v>#REF!</v>
      </c>
      <c r="I115" s="12" t="str">
        <f t="shared" si="2"/>
        <v>14 Complete Medical Records, 0 Patient Portal Logins</v>
      </c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</row>
    <row r="116" hidden="1">
      <c r="A116" s="6" t="s">
        <v>224</v>
      </c>
      <c r="B116" s="16" t="s">
        <v>1049</v>
      </c>
      <c r="C116" s="16" t="s">
        <v>1050</v>
      </c>
      <c r="D116" s="16" t="s">
        <v>1051</v>
      </c>
      <c r="E116" s="306">
        <v>9.0</v>
      </c>
      <c r="F116" s="314">
        <v>0.0</v>
      </c>
      <c r="G116" s="320">
        <v>29.0</v>
      </c>
      <c r="H116" s="323" t="str">
        <f t="shared" si="3"/>
        <v>#REF!</v>
      </c>
      <c r="I116" s="12" t="str">
        <f t="shared" si="2"/>
        <v>9 Complete Medical Records, 0 Patient Portal Logins</v>
      </c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</row>
    <row r="117" hidden="1">
      <c r="A117" s="6" t="s">
        <v>224</v>
      </c>
      <c r="B117" s="16" t="s">
        <v>767</v>
      </c>
      <c r="C117" s="16" t="s">
        <v>768</v>
      </c>
      <c r="D117" s="16" t="s">
        <v>769</v>
      </c>
      <c r="E117" s="324">
        <v>13.0</v>
      </c>
      <c r="F117" s="325">
        <v>0.0</v>
      </c>
      <c r="G117" s="326">
        <v>20.0</v>
      </c>
      <c r="H117" s="323" t="str">
        <f t="shared" si="3"/>
        <v>#REF!</v>
      </c>
      <c r="I117" s="12" t="str">
        <f t="shared" si="2"/>
        <v>13 Complete Medical Records, 0 Patient Portal Logins</v>
      </c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</row>
    <row r="118" hidden="1">
      <c r="A118" s="6" t="s">
        <v>224</v>
      </c>
      <c r="B118" s="16" t="s">
        <v>1052</v>
      </c>
      <c r="C118" s="16" t="s">
        <v>1053</v>
      </c>
      <c r="D118" s="16" t="s">
        <v>1054</v>
      </c>
      <c r="E118" s="306">
        <v>9.0</v>
      </c>
      <c r="F118" s="311">
        <v>0.0</v>
      </c>
      <c r="G118" s="320">
        <v>29.0</v>
      </c>
      <c r="H118" s="323" t="str">
        <f t="shared" si="3"/>
        <v>#REF!</v>
      </c>
      <c r="I118" s="12" t="str">
        <f t="shared" si="2"/>
        <v>9 Complete Medical Records, 0 Patient Portal Logins</v>
      </c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</row>
    <row r="119" hidden="1">
      <c r="A119" s="6" t="s">
        <v>224</v>
      </c>
      <c r="B119" s="16" t="s">
        <v>1055</v>
      </c>
      <c r="C119" s="16" t="s">
        <v>1056</v>
      </c>
      <c r="D119" s="16" t="s">
        <v>1057</v>
      </c>
      <c r="E119" s="306">
        <v>27.0</v>
      </c>
      <c r="F119" s="311">
        <v>3.0</v>
      </c>
      <c r="G119" s="320">
        <v>16.0</v>
      </c>
      <c r="H119" s="323" t="str">
        <f t="shared" si="3"/>
        <v>#REF!</v>
      </c>
      <c r="I119" s="12" t="str">
        <f t="shared" si="2"/>
        <v>27 Complete Medical Records, 3 Patient Portal Logins</v>
      </c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</row>
    <row r="120" hidden="1">
      <c r="A120" s="6" t="s">
        <v>224</v>
      </c>
      <c r="B120" s="16" t="s">
        <v>1058</v>
      </c>
      <c r="C120" s="16" t="s">
        <v>1059</v>
      </c>
      <c r="D120" s="16" t="s">
        <v>1060</v>
      </c>
      <c r="E120" s="310">
        <v>14.0</v>
      </c>
      <c r="F120" s="307">
        <v>2.0</v>
      </c>
      <c r="G120" s="320">
        <v>17.0</v>
      </c>
      <c r="H120" s="323" t="str">
        <f t="shared" si="3"/>
        <v>#REF!</v>
      </c>
      <c r="I120" s="12" t="str">
        <f t="shared" si="2"/>
        <v>14 Complete Medical Records, 2 Patient Portal Logins</v>
      </c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</row>
    <row r="121" hidden="1">
      <c r="A121" s="6" t="s">
        <v>224</v>
      </c>
      <c r="B121" s="16" t="s">
        <v>1061</v>
      </c>
      <c r="C121" s="16" t="s">
        <v>1062</v>
      </c>
      <c r="D121" s="16" t="s">
        <v>1063</v>
      </c>
      <c r="E121" s="310">
        <v>14.0</v>
      </c>
      <c r="F121" s="315">
        <v>0.0</v>
      </c>
      <c r="G121" s="320">
        <v>17.0</v>
      </c>
      <c r="H121" s="323" t="str">
        <f t="shared" si="3"/>
        <v>#REF!</v>
      </c>
      <c r="I121" s="12" t="str">
        <f t="shared" si="2"/>
        <v>14 Complete Medical Records, 0 Patient Portal Logins</v>
      </c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</row>
    <row r="122" hidden="1">
      <c r="A122" s="6" t="s">
        <v>224</v>
      </c>
      <c r="B122" s="16" t="s">
        <v>1064</v>
      </c>
      <c r="C122" s="16" t="s">
        <v>1065</v>
      </c>
      <c r="D122" s="16" t="s">
        <v>1066</v>
      </c>
      <c r="E122" s="310">
        <v>14.0</v>
      </c>
      <c r="F122" s="315">
        <v>0.0</v>
      </c>
      <c r="G122" s="320">
        <v>17.0</v>
      </c>
      <c r="H122" s="323" t="str">
        <f t="shared" si="3"/>
        <v>#REF!</v>
      </c>
      <c r="I122" s="12" t="str">
        <f t="shared" si="2"/>
        <v>14 Complete Medical Records, 0 Patient Portal Logins</v>
      </c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</row>
    <row r="123" hidden="1">
      <c r="A123" s="6" t="s">
        <v>224</v>
      </c>
      <c r="B123" s="16" t="s">
        <v>1067</v>
      </c>
      <c r="C123" s="16" t="s">
        <v>1068</v>
      </c>
      <c r="D123" s="16" t="s">
        <v>1069</v>
      </c>
      <c r="E123" s="310">
        <v>14.0</v>
      </c>
      <c r="F123" s="315">
        <v>0.0</v>
      </c>
      <c r="G123" s="320">
        <v>17.0</v>
      </c>
      <c r="H123" s="323" t="str">
        <f t="shared" si="3"/>
        <v>#REF!</v>
      </c>
      <c r="I123" s="12" t="str">
        <f t="shared" si="2"/>
        <v>14 Complete Medical Records, 0 Patient Portal Logins</v>
      </c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</row>
    <row r="124" hidden="1">
      <c r="A124" s="6" t="s">
        <v>224</v>
      </c>
      <c r="B124" s="16" t="s">
        <v>1070</v>
      </c>
      <c r="C124" s="16" t="s">
        <v>1071</v>
      </c>
      <c r="D124" s="16" t="s">
        <v>1072</v>
      </c>
      <c r="E124" s="310">
        <v>14.0</v>
      </c>
      <c r="F124" s="315">
        <v>0.0</v>
      </c>
      <c r="G124" s="320">
        <v>17.0</v>
      </c>
      <c r="H124" s="323" t="str">
        <f t="shared" si="3"/>
        <v>#REF!</v>
      </c>
      <c r="I124" s="12" t="str">
        <f t="shared" si="2"/>
        <v>14 Complete Medical Records, 0 Patient Portal Logins</v>
      </c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</row>
    <row r="125" hidden="1">
      <c r="A125" s="6" t="s">
        <v>224</v>
      </c>
      <c r="B125" s="16" t="s">
        <v>1073</v>
      </c>
      <c r="C125" s="16" t="s">
        <v>1074</v>
      </c>
      <c r="D125" s="16" t="s">
        <v>1075</v>
      </c>
      <c r="E125" s="310">
        <v>14.0</v>
      </c>
      <c r="F125" s="315">
        <v>0.0</v>
      </c>
      <c r="G125" s="320">
        <v>17.0</v>
      </c>
      <c r="H125" s="323" t="str">
        <f t="shared" si="3"/>
        <v>#REF!</v>
      </c>
      <c r="I125" s="12" t="str">
        <f t="shared" si="2"/>
        <v>14 Complete Medical Records, 0 Patient Portal Logins</v>
      </c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</row>
    <row r="126" hidden="1">
      <c r="A126" s="6" t="s">
        <v>224</v>
      </c>
      <c r="B126" s="16" t="s">
        <v>1076</v>
      </c>
      <c r="C126" s="16" t="s">
        <v>1077</v>
      </c>
      <c r="D126" s="16" t="s">
        <v>1078</v>
      </c>
      <c r="E126" s="310">
        <v>36.0</v>
      </c>
      <c r="F126" s="307">
        <v>0.0</v>
      </c>
      <c r="G126" s="320">
        <v>16.0</v>
      </c>
      <c r="H126" s="323" t="str">
        <f t="shared" si="3"/>
        <v>#REF!</v>
      </c>
      <c r="I126" s="12" t="str">
        <f t="shared" si="2"/>
        <v>36 Complete Medical Records, 0 Patient Portal Logins</v>
      </c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</row>
    <row r="127" hidden="1">
      <c r="A127" s="6" t="s">
        <v>224</v>
      </c>
      <c r="B127" s="16" t="s">
        <v>1079</v>
      </c>
      <c r="C127" s="16" t="s">
        <v>1080</v>
      </c>
      <c r="D127" s="16" t="s">
        <v>1081</v>
      </c>
      <c r="E127" s="310">
        <v>36.0</v>
      </c>
      <c r="F127" s="307">
        <v>0.0</v>
      </c>
      <c r="G127" s="320">
        <v>16.0</v>
      </c>
      <c r="H127" s="323" t="str">
        <f t="shared" si="3"/>
        <v>#REF!</v>
      </c>
      <c r="I127" s="12" t="str">
        <f t="shared" si="2"/>
        <v>36 Complete Medical Records, 0 Patient Portal Logins</v>
      </c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</row>
    <row r="128" hidden="1">
      <c r="A128" s="6" t="s">
        <v>224</v>
      </c>
      <c r="B128" s="16" t="s">
        <v>1082</v>
      </c>
      <c r="C128" s="16" t="s">
        <v>1083</v>
      </c>
      <c r="D128" s="16" t="s">
        <v>1084</v>
      </c>
      <c r="E128" s="310">
        <v>36.0</v>
      </c>
      <c r="F128" s="307">
        <v>0.0</v>
      </c>
      <c r="G128" s="320">
        <v>16.0</v>
      </c>
      <c r="H128" s="323" t="str">
        <f t="shared" si="3"/>
        <v>#REF!</v>
      </c>
      <c r="I128" s="12" t="str">
        <f t="shared" si="2"/>
        <v>36 Complete Medical Records, 0 Patient Portal Logins</v>
      </c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</row>
    <row r="129" hidden="1">
      <c r="A129" s="6" t="s">
        <v>224</v>
      </c>
      <c r="B129" s="16" t="s">
        <v>1085</v>
      </c>
      <c r="C129" s="16" t="s">
        <v>1086</v>
      </c>
      <c r="D129" s="16" t="s">
        <v>1087</v>
      </c>
      <c r="E129" s="306">
        <v>27.0</v>
      </c>
      <c r="F129" s="311">
        <v>1.0</v>
      </c>
      <c r="G129" s="320">
        <v>16.0</v>
      </c>
      <c r="H129" s="323" t="str">
        <f t="shared" si="3"/>
        <v>#REF!</v>
      </c>
      <c r="I129" s="12" t="str">
        <f t="shared" si="2"/>
        <v>27 Complete Medical Records, 1 Patient Portal Logins</v>
      </c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</row>
    <row r="130" hidden="1">
      <c r="A130" s="6" t="s">
        <v>224</v>
      </c>
      <c r="B130" s="16" t="s">
        <v>1088</v>
      </c>
      <c r="C130" s="16" t="s">
        <v>1089</v>
      </c>
      <c r="D130" s="16" t="s">
        <v>1090</v>
      </c>
      <c r="E130" s="306">
        <v>9.0</v>
      </c>
      <c r="F130" s="314">
        <v>20.0</v>
      </c>
      <c r="G130" s="320">
        <v>29.0</v>
      </c>
      <c r="H130" s="323" t="str">
        <f t="shared" si="3"/>
        <v>#REF!</v>
      </c>
      <c r="I130" s="39" t="str">
        <f t="shared" si="2"/>
        <v>9 Complete Medical Records, 20 Patient Portal Logins</v>
      </c>
      <c r="J130" s="53"/>
      <c r="K130" s="53"/>
      <c r="L130" s="39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hidden="1">
      <c r="A131" s="6" t="s">
        <v>224</v>
      </c>
      <c r="B131" s="16" t="s">
        <v>1091</v>
      </c>
      <c r="C131" s="16" t="s">
        <v>1092</v>
      </c>
      <c r="D131" s="16" t="s">
        <v>1093</v>
      </c>
      <c r="E131" s="306">
        <v>27.0</v>
      </c>
      <c r="F131" s="314">
        <v>0.0</v>
      </c>
      <c r="G131" s="320">
        <v>16.0</v>
      </c>
      <c r="H131" s="323" t="str">
        <f t="shared" si="3"/>
        <v>#REF!</v>
      </c>
      <c r="I131" s="39" t="str">
        <f t="shared" si="2"/>
        <v>27 Complete Medical Records, 0 Patient Portal Logins</v>
      </c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</row>
    <row r="132" hidden="1">
      <c r="A132" s="6" t="s">
        <v>224</v>
      </c>
      <c r="B132" s="16" t="s">
        <v>1094</v>
      </c>
      <c r="C132" s="16" t="s">
        <v>1095</v>
      </c>
      <c r="D132" s="16" t="s">
        <v>1096</v>
      </c>
      <c r="E132" s="306">
        <v>27.0</v>
      </c>
      <c r="F132" s="314">
        <v>22.0</v>
      </c>
      <c r="G132" s="320">
        <v>16.0</v>
      </c>
      <c r="H132" s="323" t="str">
        <f t="shared" si="3"/>
        <v>#REF!</v>
      </c>
      <c r="I132" s="39" t="str">
        <f t="shared" si="2"/>
        <v>27 Complete Medical Records, 22 Patient Portal Logins</v>
      </c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</row>
    <row r="133" hidden="1">
      <c r="A133" s="6" t="s">
        <v>224</v>
      </c>
      <c r="B133" s="16" t="s">
        <v>1097</v>
      </c>
      <c r="C133" s="16" t="s">
        <v>1098</v>
      </c>
      <c r="D133" s="16" t="s">
        <v>1099</v>
      </c>
      <c r="E133" s="310">
        <v>36.0</v>
      </c>
      <c r="F133" s="307">
        <v>0.0</v>
      </c>
      <c r="G133" s="320">
        <v>16.0</v>
      </c>
      <c r="H133" s="323" t="str">
        <f t="shared" si="3"/>
        <v>#REF!</v>
      </c>
      <c r="I133" s="39" t="str">
        <f t="shared" si="2"/>
        <v>36 Complete Medical Records, 0 Patient Portal Logins</v>
      </c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</row>
    <row r="134" hidden="1">
      <c r="A134" s="6" t="s">
        <v>224</v>
      </c>
      <c r="B134" s="16" t="s">
        <v>255</v>
      </c>
      <c r="C134" s="16" t="s">
        <v>256</v>
      </c>
      <c r="D134" s="16" t="s">
        <v>257</v>
      </c>
      <c r="E134" s="324">
        <v>13.0</v>
      </c>
      <c r="F134" s="325">
        <v>0.0</v>
      </c>
      <c r="G134" s="326">
        <v>20.0</v>
      </c>
      <c r="H134" s="323" t="str">
        <f t="shared" si="3"/>
        <v>#REF!</v>
      </c>
      <c r="I134" s="39" t="str">
        <f t="shared" si="2"/>
        <v>13 Complete Medical Records, 0 Patient Portal Logins</v>
      </c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</row>
    <row r="135" hidden="1">
      <c r="A135" s="6" t="s">
        <v>224</v>
      </c>
      <c r="B135" s="16" t="s">
        <v>1100</v>
      </c>
      <c r="C135" s="16" t="s">
        <v>1101</v>
      </c>
      <c r="D135" s="16" t="s">
        <v>1102</v>
      </c>
      <c r="E135" s="324">
        <v>13.0</v>
      </c>
      <c r="F135" s="317">
        <v>18.0</v>
      </c>
      <c r="G135" s="326">
        <v>20.0</v>
      </c>
      <c r="H135" s="323" t="str">
        <f t="shared" si="3"/>
        <v>#REF!</v>
      </c>
      <c r="I135" s="39" t="str">
        <f t="shared" si="2"/>
        <v>13 Complete Medical Records, 18 Patient Portal Logins</v>
      </c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</row>
    <row r="136" hidden="1">
      <c r="A136" s="6" t="s">
        <v>224</v>
      </c>
      <c r="B136" s="16" t="s">
        <v>1103</v>
      </c>
      <c r="C136" s="16" t="s">
        <v>1104</v>
      </c>
      <c r="D136" s="16" t="s">
        <v>1105</v>
      </c>
      <c r="E136" s="310">
        <v>14.0</v>
      </c>
      <c r="F136" s="315">
        <v>0.0</v>
      </c>
      <c r="G136" s="320">
        <v>17.0</v>
      </c>
      <c r="H136" s="323" t="str">
        <f t="shared" si="3"/>
        <v>#REF!</v>
      </c>
      <c r="I136" s="39" t="str">
        <f t="shared" si="2"/>
        <v>14 Complete Medical Records, 0 Patient Portal Logins</v>
      </c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</row>
    <row r="137" hidden="1">
      <c r="A137" s="6" t="s">
        <v>224</v>
      </c>
      <c r="B137" s="16" t="s">
        <v>1106</v>
      </c>
      <c r="C137" s="16" t="s">
        <v>1107</v>
      </c>
      <c r="D137" s="16" t="s">
        <v>1108</v>
      </c>
      <c r="E137" s="306">
        <v>27.0</v>
      </c>
      <c r="F137" s="311">
        <v>10.0</v>
      </c>
      <c r="G137" s="320">
        <v>16.0</v>
      </c>
      <c r="H137" s="323" t="str">
        <f t="shared" si="3"/>
        <v>#REF!</v>
      </c>
      <c r="I137" s="12" t="str">
        <f t="shared" si="2"/>
        <v>27 Complete Medical Records, 10 Patient Portal Logins</v>
      </c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</row>
    <row r="138" hidden="1">
      <c r="A138" s="6" t="s">
        <v>224</v>
      </c>
      <c r="B138" s="16" t="s">
        <v>1109</v>
      </c>
      <c r="C138" s="16" t="s">
        <v>1110</v>
      </c>
      <c r="D138" s="16" t="s">
        <v>1111</v>
      </c>
      <c r="E138" s="324">
        <v>13.0</v>
      </c>
      <c r="F138" s="325">
        <v>0.0</v>
      </c>
      <c r="G138" s="326">
        <v>20.0</v>
      </c>
      <c r="H138" s="323" t="str">
        <f t="shared" si="3"/>
        <v>#REF!</v>
      </c>
      <c r="I138" s="12" t="str">
        <f t="shared" si="2"/>
        <v>13 Complete Medical Records, 0 Patient Portal Logins</v>
      </c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</row>
    <row r="139" hidden="1">
      <c r="A139" s="6" t="s">
        <v>224</v>
      </c>
      <c r="B139" s="16" t="s">
        <v>1112</v>
      </c>
      <c r="C139" s="16" t="s">
        <v>1113</v>
      </c>
      <c r="D139" s="16" t="s">
        <v>1114</v>
      </c>
      <c r="E139" s="310">
        <v>36.0</v>
      </c>
      <c r="F139" s="315">
        <v>3.0</v>
      </c>
      <c r="G139" s="320">
        <v>16.0</v>
      </c>
      <c r="H139" s="323" t="str">
        <f t="shared" si="3"/>
        <v>#REF!</v>
      </c>
      <c r="I139" s="12" t="str">
        <f t="shared" si="2"/>
        <v>36 Complete Medical Records, 3 Patient Portal Logins</v>
      </c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</row>
    <row r="140" hidden="1">
      <c r="A140" s="6" t="s">
        <v>224</v>
      </c>
      <c r="B140" s="16" t="s">
        <v>1115</v>
      </c>
      <c r="C140" s="16" t="s">
        <v>1116</v>
      </c>
      <c r="D140" s="16" t="s">
        <v>1117</v>
      </c>
      <c r="E140" s="310">
        <v>14.0</v>
      </c>
      <c r="F140" s="315">
        <v>21.0</v>
      </c>
      <c r="G140" s="320">
        <v>17.0</v>
      </c>
      <c r="H140" s="323" t="str">
        <f t="shared" si="3"/>
        <v>#REF!</v>
      </c>
      <c r="I140" s="12" t="str">
        <f t="shared" si="2"/>
        <v>14 Complete Medical Records, 21 Patient Portal Logins</v>
      </c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</row>
    <row r="141" hidden="1">
      <c r="A141" s="6" t="s">
        <v>224</v>
      </c>
      <c r="B141" s="16" t="s">
        <v>1118</v>
      </c>
      <c r="C141" s="16" t="s">
        <v>1119</v>
      </c>
      <c r="D141" s="16" t="s">
        <v>1120</v>
      </c>
      <c r="E141" s="306">
        <v>9.0</v>
      </c>
      <c r="F141" s="315">
        <v>50.0</v>
      </c>
      <c r="G141" s="320">
        <v>29.0</v>
      </c>
      <c r="H141" s="323" t="str">
        <f t="shared" si="3"/>
        <v>#REF!</v>
      </c>
      <c r="I141" s="12" t="str">
        <f t="shared" si="2"/>
        <v>9 Complete Medical Records, 50 Patient Portal Logins</v>
      </c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</row>
    <row r="142" hidden="1">
      <c r="A142" s="6" t="s">
        <v>224</v>
      </c>
      <c r="B142" s="16" t="s">
        <v>1121</v>
      </c>
      <c r="C142" s="16" t="s">
        <v>1122</v>
      </c>
      <c r="D142" s="16" t="s">
        <v>1123</v>
      </c>
      <c r="E142" s="310">
        <v>36.0</v>
      </c>
      <c r="F142" s="315">
        <v>45.0</v>
      </c>
      <c r="G142" s="320">
        <v>16.0</v>
      </c>
      <c r="H142" s="323" t="str">
        <f t="shared" si="3"/>
        <v>#REF!</v>
      </c>
      <c r="I142" s="12" t="str">
        <f t="shared" si="2"/>
        <v>36 Complete Medical Records, 45 Patient Portal Logins</v>
      </c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</row>
    <row r="143" hidden="1">
      <c r="A143" s="6" t="s">
        <v>224</v>
      </c>
      <c r="B143" s="16" t="s">
        <v>1124</v>
      </c>
      <c r="C143" s="16" t="s">
        <v>1125</v>
      </c>
      <c r="D143" s="16" t="s">
        <v>1126</v>
      </c>
      <c r="E143" s="306">
        <v>27.0</v>
      </c>
      <c r="F143" s="314">
        <v>0.0</v>
      </c>
      <c r="G143" s="320">
        <v>16.0</v>
      </c>
      <c r="H143" s="323" t="str">
        <f t="shared" si="3"/>
        <v>#REF!</v>
      </c>
      <c r="I143" s="12" t="str">
        <f t="shared" si="2"/>
        <v>27 Complete Medical Records, 0 Patient Portal Logins</v>
      </c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</row>
    <row r="144" hidden="1">
      <c r="A144" s="6" t="s">
        <v>224</v>
      </c>
      <c r="B144" s="16" t="s">
        <v>1127</v>
      </c>
      <c r="C144" s="16" t="s">
        <v>1128</v>
      </c>
      <c r="D144" s="16" t="s">
        <v>1129</v>
      </c>
      <c r="E144" s="310">
        <v>36.0</v>
      </c>
      <c r="F144" s="307">
        <v>0.0</v>
      </c>
      <c r="G144" s="320">
        <v>16.0</v>
      </c>
      <c r="H144" s="323" t="str">
        <f t="shared" si="3"/>
        <v>#REF!</v>
      </c>
      <c r="I144" s="12" t="str">
        <f t="shared" si="2"/>
        <v>36 Complete Medical Records, 0 Patient Portal Logins</v>
      </c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</row>
    <row r="145" hidden="1">
      <c r="A145" s="6" t="s">
        <v>224</v>
      </c>
      <c r="B145" s="16" t="s">
        <v>1130</v>
      </c>
      <c r="C145" s="16" t="s">
        <v>1131</v>
      </c>
      <c r="D145" s="16" t="s">
        <v>1132</v>
      </c>
      <c r="E145" s="310">
        <v>36.0</v>
      </c>
      <c r="F145" s="307">
        <v>0.0</v>
      </c>
      <c r="G145" s="320">
        <v>16.0</v>
      </c>
      <c r="H145" s="323" t="str">
        <f t="shared" si="3"/>
        <v>#REF!</v>
      </c>
      <c r="I145" s="12" t="str">
        <f t="shared" si="2"/>
        <v>36 Complete Medical Records, 0 Patient Portal Logins</v>
      </c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</row>
    <row r="146" hidden="1">
      <c r="A146" s="6" t="s">
        <v>224</v>
      </c>
      <c r="B146" s="16" t="s">
        <v>1133</v>
      </c>
      <c r="C146" s="16" t="s">
        <v>1134</v>
      </c>
      <c r="D146" s="16" t="s">
        <v>1135</v>
      </c>
      <c r="E146" s="306">
        <v>27.0</v>
      </c>
      <c r="F146" s="314">
        <v>0.0</v>
      </c>
      <c r="G146" s="320">
        <v>16.0</v>
      </c>
      <c r="H146" s="323" t="str">
        <f t="shared" si="3"/>
        <v>#REF!</v>
      </c>
      <c r="I146" s="12" t="str">
        <f t="shared" si="2"/>
        <v>27 Complete Medical Records, 0 Patient Portal Logins</v>
      </c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</row>
    <row r="147" hidden="1">
      <c r="A147" s="6" t="s">
        <v>224</v>
      </c>
      <c r="B147" s="16" t="s">
        <v>1136</v>
      </c>
      <c r="C147" s="16" t="s">
        <v>1137</v>
      </c>
      <c r="D147" s="16" t="s">
        <v>1138</v>
      </c>
      <c r="E147" s="324">
        <v>13.0</v>
      </c>
      <c r="F147" s="325">
        <v>0.0</v>
      </c>
      <c r="G147" s="326">
        <v>20.0</v>
      </c>
      <c r="H147" s="323" t="str">
        <f t="shared" si="3"/>
        <v>#REF!</v>
      </c>
      <c r="I147" s="12" t="str">
        <f t="shared" si="2"/>
        <v>13 Complete Medical Records, 0 Patient Portal Logins</v>
      </c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</row>
    <row r="148" hidden="1">
      <c r="A148" s="6" t="s">
        <v>224</v>
      </c>
      <c r="B148" s="16" t="s">
        <v>1139</v>
      </c>
      <c r="C148" s="16" t="s">
        <v>1140</v>
      </c>
      <c r="D148" s="16" t="s">
        <v>1141</v>
      </c>
      <c r="E148" s="327">
        <v>13.0</v>
      </c>
      <c r="F148" s="325">
        <v>17.0</v>
      </c>
      <c r="G148" s="326">
        <v>20.0</v>
      </c>
      <c r="H148" s="323" t="str">
        <f t="shared" si="3"/>
        <v>#REF!</v>
      </c>
      <c r="I148" s="12" t="str">
        <f t="shared" si="2"/>
        <v>13 Complete Medical Records, 17 Patient Portal Logins</v>
      </c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</row>
    <row r="149" hidden="1">
      <c r="A149" s="6" t="s">
        <v>224</v>
      </c>
      <c r="B149" s="16" t="s">
        <v>1142</v>
      </c>
      <c r="C149" s="16" t="s">
        <v>1143</v>
      </c>
      <c r="D149" s="16" t="s">
        <v>1144</v>
      </c>
      <c r="E149" s="306">
        <v>27.0</v>
      </c>
      <c r="F149" s="314">
        <v>8.0</v>
      </c>
      <c r="G149" s="320">
        <v>16.0</v>
      </c>
      <c r="H149" s="323" t="str">
        <f t="shared" si="3"/>
        <v>#REF!</v>
      </c>
      <c r="I149" s="12" t="str">
        <f t="shared" si="2"/>
        <v>27 Complete Medical Records, 8 Patient Portal Logins</v>
      </c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</row>
    <row r="150" hidden="1">
      <c r="A150" s="6" t="s">
        <v>224</v>
      </c>
      <c r="B150" s="16" t="s">
        <v>1145</v>
      </c>
      <c r="C150" s="16" t="s">
        <v>1146</v>
      </c>
      <c r="D150" s="16" t="s">
        <v>1147</v>
      </c>
      <c r="E150" s="324">
        <v>13.0</v>
      </c>
      <c r="F150" s="325">
        <v>0.0</v>
      </c>
      <c r="G150" s="326">
        <v>20.0</v>
      </c>
      <c r="H150" s="323" t="str">
        <f t="shared" si="3"/>
        <v>#REF!</v>
      </c>
      <c r="I150" s="12" t="str">
        <f t="shared" si="2"/>
        <v>13 Complete Medical Records, 0 Patient Portal Logins</v>
      </c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</row>
    <row r="151" hidden="1">
      <c r="A151" s="6" t="s">
        <v>224</v>
      </c>
      <c r="B151" s="16" t="s">
        <v>1148</v>
      </c>
      <c r="C151" s="16" t="s">
        <v>1149</v>
      </c>
      <c r="D151" s="16" t="s">
        <v>1150</v>
      </c>
      <c r="E151" s="310">
        <v>14.0</v>
      </c>
      <c r="F151" s="315">
        <v>13.0</v>
      </c>
      <c r="G151" s="320">
        <v>17.0</v>
      </c>
      <c r="H151" s="323" t="str">
        <f t="shared" si="3"/>
        <v>#REF!</v>
      </c>
      <c r="I151" s="12" t="str">
        <f t="shared" si="2"/>
        <v>14 Complete Medical Records, 13 Patient Portal Logins</v>
      </c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</row>
    <row r="152" hidden="1">
      <c r="A152" s="6" t="s">
        <v>224</v>
      </c>
      <c r="B152" s="16" t="s">
        <v>1151</v>
      </c>
      <c r="C152" s="16" t="s">
        <v>1152</v>
      </c>
      <c r="D152" s="16" t="s">
        <v>1153</v>
      </c>
      <c r="E152" s="310">
        <v>36.0</v>
      </c>
      <c r="F152" s="315">
        <v>14.0</v>
      </c>
      <c r="G152" s="320">
        <v>16.0</v>
      </c>
      <c r="H152" s="323" t="str">
        <f t="shared" si="3"/>
        <v>#REF!</v>
      </c>
      <c r="I152" s="12" t="str">
        <f t="shared" si="2"/>
        <v>36 Complete Medical Records, 14 Patient Portal Logins</v>
      </c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</row>
    <row r="153" hidden="1">
      <c r="A153" s="6" t="s">
        <v>224</v>
      </c>
      <c r="B153" s="16" t="s">
        <v>1154</v>
      </c>
      <c r="C153" s="16" t="s">
        <v>1155</v>
      </c>
      <c r="D153" s="16" t="s">
        <v>1156</v>
      </c>
      <c r="E153" s="327">
        <v>4.0</v>
      </c>
      <c r="F153" s="325">
        <v>30.0</v>
      </c>
      <c r="G153" s="326">
        <v>3.0</v>
      </c>
      <c r="H153" s="323" t="str">
        <f t="shared" si="3"/>
        <v>#REF!</v>
      </c>
      <c r="I153" s="12" t="str">
        <f t="shared" si="2"/>
        <v>4 Complete Medical Records, 30 Patient Portal Logins</v>
      </c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</row>
    <row r="154" hidden="1">
      <c r="A154" s="6" t="s">
        <v>224</v>
      </c>
      <c r="B154" s="21" t="s">
        <v>1158</v>
      </c>
      <c r="C154" s="21" t="s">
        <v>1159</v>
      </c>
      <c r="D154" s="21" t="s">
        <v>1160</v>
      </c>
      <c r="E154" s="324">
        <v>13.0</v>
      </c>
      <c r="F154" s="317">
        <v>2.0</v>
      </c>
      <c r="G154" s="326">
        <v>20.0</v>
      </c>
      <c r="H154" s="323" t="str">
        <f t="shared" si="3"/>
        <v>#REF!</v>
      </c>
      <c r="I154" s="12" t="str">
        <f t="shared" si="2"/>
        <v>13 Complete Medical Records, 2 Patient Portal Logins</v>
      </c>
      <c r="J154" s="53"/>
      <c r="K154" s="53"/>
      <c r="L154" s="53"/>
      <c r="M154" s="47"/>
      <c r="N154" s="53"/>
      <c r="O154" s="53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</row>
    <row r="155" hidden="1">
      <c r="A155" s="6" t="s">
        <v>224</v>
      </c>
      <c r="B155" s="21" t="s">
        <v>1161</v>
      </c>
      <c r="C155" s="21" t="s">
        <v>1162</v>
      </c>
      <c r="D155" s="21" t="s">
        <v>1163</v>
      </c>
      <c r="E155" s="306">
        <v>27.0</v>
      </c>
      <c r="F155" s="314">
        <v>0.0</v>
      </c>
      <c r="G155" s="320">
        <v>16.0</v>
      </c>
      <c r="H155" s="323" t="str">
        <f t="shared" si="3"/>
        <v>#REF!</v>
      </c>
      <c r="I155" s="12" t="str">
        <f t="shared" si="2"/>
        <v>27 Complete Medical Records, 0 Patient Portal Logins</v>
      </c>
      <c r="J155" s="53"/>
      <c r="K155" s="53"/>
      <c r="L155" s="53"/>
      <c r="M155" s="47"/>
      <c r="N155" s="53"/>
      <c r="O155" s="53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</row>
    <row r="156" hidden="1">
      <c r="A156" s="6" t="s">
        <v>225</v>
      </c>
      <c r="B156" s="16" t="s">
        <v>996</v>
      </c>
      <c r="C156" s="16" t="s">
        <v>997</v>
      </c>
      <c r="D156" s="16" t="s">
        <v>1025</v>
      </c>
      <c r="E156" s="306">
        <v>11.0</v>
      </c>
      <c r="F156" s="311">
        <v>0.0</v>
      </c>
      <c r="G156" s="320">
        <v>41.0</v>
      </c>
      <c r="H156" s="323" t="str">
        <f t="shared" si="3"/>
        <v>#REF!</v>
      </c>
      <c r="I156" s="12" t="str">
        <f t="shared" si="2"/>
        <v>11 Complete Medical Records, 0 Patient Portal Logins</v>
      </c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hidden="1">
      <c r="A157" s="6" t="s">
        <v>225</v>
      </c>
      <c r="B157" s="16" t="s">
        <v>20</v>
      </c>
      <c r="C157" s="16" t="s">
        <v>231</v>
      </c>
      <c r="D157" s="16" t="s">
        <v>22</v>
      </c>
      <c r="E157" s="306">
        <v>11.0</v>
      </c>
      <c r="F157" s="311">
        <v>3.0</v>
      </c>
      <c r="G157" s="320">
        <v>41.0</v>
      </c>
      <c r="H157" s="323" t="str">
        <f t="shared" si="3"/>
        <v>#REF!</v>
      </c>
      <c r="I157" s="12" t="str">
        <f t="shared" si="2"/>
        <v>11 Complete Medical Records, 3 Patient Portal Logins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hidden="1">
      <c r="A158" s="6" t="s">
        <v>225</v>
      </c>
      <c r="B158" s="16" t="s">
        <v>648</v>
      </c>
      <c r="C158" s="16" t="s">
        <v>649</v>
      </c>
      <c r="D158" s="16" t="s">
        <v>650</v>
      </c>
      <c r="E158" s="310">
        <v>18.0</v>
      </c>
      <c r="F158" s="314">
        <v>0.0</v>
      </c>
      <c r="G158" s="328">
        <v>22.0</v>
      </c>
      <c r="H158" s="323" t="str">
        <f t="shared" si="3"/>
        <v>#REF!</v>
      </c>
      <c r="I158" s="12" t="str">
        <f t="shared" si="2"/>
        <v>18 Complete Medical Records, 0 Patient Portal Logins</v>
      </c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hidden="1">
      <c r="A159" s="6" t="s">
        <v>225</v>
      </c>
      <c r="B159" s="16" t="s">
        <v>571</v>
      </c>
      <c r="C159" s="16" t="s">
        <v>572</v>
      </c>
      <c r="D159" s="16" t="s">
        <v>573</v>
      </c>
      <c r="E159" s="306">
        <v>18.0</v>
      </c>
      <c r="F159" s="311">
        <v>1.0</v>
      </c>
      <c r="G159" s="320">
        <v>23.0</v>
      </c>
      <c r="H159" s="323" t="str">
        <f t="shared" si="3"/>
        <v>#REF!</v>
      </c>
      <c r="I159" s="12" t="str">
        <f t="shared" si="2"/>
        <v>18 Complete Medical Records, 1 Patient Portal Logins</v>
      </c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hidden="1">
      <c r="A160" s="6" t="s">
        <v>225</v>
      </c>
      <c r="B160" s="16" t="s">
        <v>1005</v>
      </c>
      <c r="C160" s="16" t="s">
        <v>1006</v>
      </c>
      <c r="D160" s="16" t="s">
        <v>1021</v>
      </c>
      <c r="E160" s="306">
        <v>32.0</v>
      </c>
      <c r="F160" s="317">
        <v>0.0</v>
      </c>
      <c r="G160" s="328">
        <v>9.0</v>
      </c>
      <c r="H160" s="323" t="str">
        <f t="shared" si="3"/>
        <v>#REF!</v>
      </c>
      <c r="I160" s="12" t="str">
        <f t="shared" si="2"/>
        <v>32 Complete Medical Records, 0 Patient Portal Logins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hidden="1">
      <c r="A161" s="6" t="s">
        <v>225</v>
      </c>
      <c r="B161" s="16" t="s">
        <v>709</v>
      </c>
      <c r="C161" s="16" t="s">
        <v>710</v>
      </c>
      <c r="D161" s="16" t="s">
        <v>711</v>
      </c>
      <c r="E161" s="306">
        <v>11.0</v>
      </c>
      <c r="F161" s="311">
        <v>1.0</v>
      </c>
      <c r="G161" s="320">
        <v>41.0</v>
      </c>
      <c r="H161" s="323" t="str">
        <f t="shared" si="3"/>
        <v>#REF!</v>
      </c>
      <c r="I161" s="12" t="str">
        <f t="shared" si="2"/>
        <v>11 Complete Medical Records, 1 Patient Portal Logins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hidden="1">
      <c r="A162" s="6" t="s">
        <v>225</v>
      </c>
      <c r="B162" s="16" t="s">
        <v>1036</v>
      </c>
      <c r="C162" s="16" t="s">
        <v>1037</v>
      </c>
      <c r="D162" s="16" t="s">
        <v>1038</v>
      </c>
      <c r="E162" s="306">
        <v>11.0</v>
      </c>
      <c r="F162" s="311">
        <v>0.0</v>
      </c>
      <c r="G162" s="320">
        <v>41.0</v>
      </c>
      <c r="H162" s="323" t="str">
        <f t="shared" si="3"/>
        <v>#REF!</v>
      </c>
      <c r="I162" s="12" t="str">
        <f t="shared" si="2"/>
        <v>11 Complete Medical Records, 0 Patient Portal Logins</v>
      </c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hidden="1">
      <c r="A163" s="6" t="s">
        <v>225</v>
      </c>
      <c r="B163" s="16" t="s">
        <v>1039</v>
      </c>
      <c r="C163" s="16" t="s">
        <v>1040</v>
      </c>
      <c r="D163" s="16" t="s">
        <v>1041</v>
      </c>
      <c r="E163" s="306">
        <v>11.0</v>
      </c>
      <c r="F163" s="311">
        <v>0.0</v>
      </c>
      <c r="G163" s="320">
        <v>41.0</v>
      </c>
      <c r="H163" s="323" t="str">
        <f t="shared" si="3"/>
        <v>#REF!</v>
      </c>
      <c r="I163" s="12" t="str">
        <f t="shared" si="2"/>
        <v>11 Complete Medical Records, 0 Patient Portal Logins</v>
      </c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hidden="1">
      <c r="A164" s="6" t="s">
        <v>225</v>
      </c>
      <c r="B164" s="16" t="s">
        <v>1042</v>
      </c>
      <c r="C164" s="16" t="s">
        <v>1043</v>
      </c>
      <c r="D164" s="16" t="s">
        <v>1044</v>
      </c>
      <c r="E164" s="306">
        <v>32.0</v>
      </c>
      <c r="F164" s="317">
        <v>0.0</v>
      </c>
      <c r="G164" s="320">
        <v>17.0</v>
      </c>
      <c r="H164" s="323" t="str">
        <f t="shared" si="3"/>
        <v>#REF!</v>
      </c>
      <c r="I164" s="12" t="str">
        <f t="shared" si="2"/>
        <v>32 Complete Medical Records, 0 Patient Portal Logins</v>
      </c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idden="1">
      <c r="A165" s="6" t="s">
        <v>225</v>
      </c>
      <c r="B165" s="16" t="s">
        <v>1045</v>
      </c>
      <c r="C165" s="16" t="s">
        <v>1046</v>
      </c>
      <c r="D165" s="16" t="s">
        <v>1047</v>
      </c>
      <c r="E165" s="306">
        <v>11.0</v>
      </c>
      <c r="F165" s="311">
        <v>0.0</v>
      </c>
      <c r="G165" s="320">
        <v>41.0</v>
      </c>
      <c r="H165" s="323" t="str">
        <f t="shared" si="3"/>
        <v>#REF!</v>
      </c>
      <c r="I165" s="12" t="str">
        <f t="shared" si="2"/>
        <v>11 Complete Medical Records, 0 Patient Portal Logins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hidden="1">
      <c r="A166" s="6" t="s">
        <v>225</v>
      </c>
      <c r="B166" s="16" t="s">
        <v>742</v>
      </c>
      <c r="C166" s="16" t="s">
        <v>743</v>
      </c>
      <c r="D166" s="16" t="s">
        <v>979</v>
      </c>
      <c r="E166" s="310">
        <v>10.0</v>
      </c>
      <c r="F166" s="314">
        <v>0.0</v>
      </c>
      <c r="G166" s="328">
        <v>17.0</v>
      </c>
      <c r="H166" s="323" t="str">
        <f t="shared" si="3"/>
        <v>#REF!</v>
      </c>
      <c r="I166" s="12" t="str">
        <f t="shared" si="2"/>
        <v>10 Complete Medical Records, 0 Patient Portal Logins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hidden="1">
      <c r="A167" s="6" t="s">
        <v>225</v>
      </c>
      <c r="B167" s="16" t="s">
        <v>1049</v>
      </c>
      <c r="C167" s="16" t="s">
        <v>1050</v>
      </c>
      <c r="D167" s="16" t="s">
        <v>1051</v>
      </c>
      <c r="E167" s="306">
        <v>11.0</v>
      </c>
      <c r="F167" s="311">
        <v>0.0</v>
      </c>
      <c r="G167" s="320">
        <v>41.0</v>
      </c>
      <c r="H167" s="323" t="str">
        <f t="shared" si="3"/>
        <v>#REF!</v>
      </c>
      <c r="I167" s="12" t="str">
        <f t="shared" si="2"/>
        <v>11 Complete Medical Records, 0 Patient Portal Logins</v>
      </c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hidden="1">
      <c r="A168" s="6" t="s">
        <v>225</v>
      </c>
      <c r="B168" s="16" t="s">
        <v>767</v>
      </c>
      <c r="C168" s="16" t="s">
        <v>768</v>
      </c>
      <c r="D168" s="16" t="s">
        <v>769</v>
      </c>
      <c r="E168" s="306">
        <v>32.0</v>
      </c>
      <c r="F168" s="317">
        <v>0.0</v>
      </c>
      <c r="G168" s="320">
        <v>17.0</v>
      </c>
      <c r="H168" s="323" t="str">
        <f t="shared" si="3"/>
        <v>#REF!</v>
      </c>
      <c r="I168" s="12" t="str">
        <f t="shared" si="2"/>
        <v>32 Complete Medical Records, 0 Patient Portal Logins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hidden="1">
      <c r="A169" s="6" t="s">
        <v>225</v>
      </c>
      <c r="B169" s="16" t="s">
        <v>1052</v>
      </c>
      <c r="C169" s="16" t="s">
        <v>1053</v>
      </c>
      <c r="D169" s="16" t="s">
        <v>1054</v>
      </c>
      <c r="E169" s="306">
        <v>11.0</v>
      </c>
      <c r="F169" s="311">
        <v>0.0</v>
      </c>
      <c r="G169" s="320">
        <v>41.0</v>
      </c>
      <c r="H169" s="323" t="str">
        <f t="shared" si="3"/>
        <v>#REF!</v>
      </c>
      <c r="I169" s="12" t="str">
        <f t="shared" si="2"/>
        <v>11 Complete Medical Records, 0 Patient Portal Logins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hidden="1">
      <c r="A170" s="6" t="s">
        <v>225</v>
      </c>
      <c r="B170" s="16" t="s">
        <v>1055</v>
      </c>
      <c r="C170" s="16" t="s">
        <v>1056</v>
      </c>
      <c r="D170" s="16" t="s">
        <v>1057</v>
      </c>
      <c r="E170" s="306">
        <v>18.0</v>
      </c>
      <c r="F170" s="314">
        <v>2.0</v>
      </c>
      <c r="G170" s="320">
        <v>23.0</v>
      </c>
      <c r="H170" s="323" t="str">
        <f t="shared" si="3"/>
        <v>#REF!</v>
      </c>
      <c r="I170" s="12" t="str">
        <f t="shared" si="2"/>
        <v>18 Complete Medical Records, 2 Patient Portal Logins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idden="1">
      <c r="A171" s="6" t="s">
        <v>225</v>
      </c>
      <c r="B171" s="16" t="s">
        <v>1058</v>
      </c>
      <c r="C171" s="16" t="s">
        <v>1059</v>
      </c>
      <c r="D171" s="16" t="s">
        <v>1060</v>
      </c>
      <c r="E171" s="310">
        <v>10.0</v>
      </c>
      <c r="F171" s="314">
        <v>0.0</v>
      </c>
      <c r="G171" s="328">
        <v>17.0</v>
      </c>
      <c r="H171" s="323" t="str">
        <f t="shared" si="3"/>
        <v>#REF!</v>
      </c>
      <c r="I171" s="12" t="str">
        <f t="shared" si="2"/>
        <v>10 Complete Medical Records, 0 Patient Portal Logins</v>
      </c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hidden="1">
      <c r="A172" s="6" t="s">
        <v>225</v>
      </c>
      <c r="B172" s="16" t="s">
        <v>1061</v>
      </c>
      <c r="C172" s="16" t="s">
        <v>1062</v>
      </c>
      <c r="D172" s="16" t="s">
        <v>1063</v>
      </c>
      <c r="E172" s="310">
        <v>10.0</v>
      </c>
      <c r="F172" s="314">
        <v>0.0</v>
      </c>
      <c r="G172" s="328">
        <v>17.0</v>
      </c>
      <c r="H172" s="323" t="str">
        <f t="shared" si="3"/>
        <v>#REF!</v>
      </c>
      <c r="I172" s="12" t="str">
        <f t="shared" si="2"/>
        <v>10 Complete Medical Records, 0 Patient Portal Logins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hidden="1">
      <c r="A173" s="6" t="s">
        <v>225</v>
      </c>
      <c r="B173" s="16" t="s">
        <v>1064</v>
      </c>
      <c r="C173" s="16" t="s">
        <v>1065</v>
      </c>
      <c r="D173" s="16" t="s">
        <v>1066</v>
      </c>
      <c r="E173" s="310">
        <v>10.0</v>
      </c>
      <c r="F173" s="314">
        <v>0.0</v>
      </c>
      <c r="G173" s="328">
        <v>17.0</v>
      </c>
      <c r="H173" s="323" t="str">
        <f t="shared" si="3"/>
        <v>#REF!</v>
      </c>
      <c r="I173" s="12" t="str">
        <f t="shared" si="2"/>
        <v>10 Complete Medical Records, 0 Patient Portal Logins</v>
      </c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hidden="1">
      <c r="A174" s="6" t="s">
        <v>225</v>
      </c>
      <c r="B174" s="16" t="s">
        <v>1067</v>
      </c>
      <c r="C174" s="16" t="s">
        <v>1068</v>
      </c>
      <c r="D174" s="16" t="s">
        <v>1069</v>
      </c>
      <c r="E174" s="310">
        <v>10.0</v>
      </c>
      <c r="F174" s="314">
        <v>0.0</v>
      </c>
      <c r="G174" s="328">
        <v>17.0</v>
      </c>
      <c r="H174" s="323" t="str">
        <f t="shared" si="3"/>
        <v>#REF!</v>
      </c>
      <c r="I174" s="12" t="str">
        <f t="shared" si="2"/>
        <v>10 Complete Medical Records, 0 Patient Portal Logins</v>
      </c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hidden="1">
      <c r="A175" s="6" t="s">
        <v>225</v>
      </c>
      <c r="B175" s="16" t="s">
        <v>1070</v>
      </c>
      <c r="C175" s="16" t="s">
        <v>1071</v>
      </c>
      <c r="D175" s="16" t="s">
        <v>1072</v>
      </c>
      <c r="E175" s="310">
        <v>10.0</v>
      </c>
      <c r="F175" s="314">
        <v>0.0</v>
      </c>
      <c r="G175" s="328">
        <v>17.0</v>
      </c>
      <c r="H175" s="323" t="str">
        <f t="shared" si="3"/>
        <v>#REF!</v>
      </c>
      <c r="I175" s="12" t="str">
        <f t="shared" si="2"/>
        <v>10 Complete Medical Records, 0 Patient Portal Logins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hidden="1">
      <c r="A176" s="6" t="s">
        <v>225</v>
      </c>
      <c r="B176" s="16" t="s">
        <v>1073</v>
      </c>
      <c r="C176" s="16" t="s">
        <v>1074</v>
      </c>
      <c r="D176" s="16" t="s">
        <v>1075</v>
      </c>
      <c r="E176" s="310">
        <v>10.0</v>
      </c>
      <c r="F176" s="314">
        <v>0.0</v>
      </c>
      <c r="G176" s="328">
        <v>17.0</v>
      </c>
      <c r="H176" s="323" t="str">
        <f t="shared" si="3"/>
        <v>#REF!</v>
      </c>
      <c r="I176" s="12" t="str">
        <f t="shared" si="2"/>
        <v>10 Complete Medical Records, 0 Patient Portal Logins</v>
      </c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hidden="1">
      <c r="A177" s="6" t="s">
        <v>225</v>
      </c>
      <c r="B177" s="16" t="s">
        <v>1076</v>
      </c>
      <c r="C177" s="16" t="s">
        <v>1077</v>
      </c>
      <c r="D177" s="16" t="s">
        <v>1078</v>
      </c>
      <c r="E177" s="310">
        <v>18.0</v>
      </c>
      <c r="F177" s="314">
        <v>0.0</v>
      </c>
      <c r="G177" s="328">
        <v>22.0</v>
      </c>
      <c r="H177" s="323" t="str">
        <f t="shared" si="3"/>
        <v>#REF!</v>
      </c>
      <c r="I177" s="12" t="str">
        <f t="shared" si="2"/>
        <v>18 Complete Medical Records, 0 Patient Portal Logins</v>
      </c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hidden="1">
      <c r="A178" s="6" t="s">
        <v>225</v>
      </c>
      <c r="B178" s="16" t="s">
        <v>1079</v>
      </c>
      <c r="C178" s="16" t="s">
        <v>1080</v>
      </c>
      <c r="D178" s="16" t="s">
        <v>1081</v>
      </c>
      <c r="E178" s="310">
        <v>18.0</v>
      </c>
      <c r="F178" s="314">
        <v>0.0</v>
      </c>
      <c r="G178" s="328">
        <v>22.0</v>
      </c>
      <c r="H178" s="323" t="str">
        <f t="shared" si="3"/>
        <v>#REF!</v>
      </c>
      <c r="I178" s="12" t="str">
        <f t="shared" si="2"/>
        <v>18 Complete Medical Records, 0 Patient Portal Logins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hidden="1">
      <c r="A179" s="6" t="s">
        <v>225</v>
      </c>
      <c r="B179" s="16" t="s">
        <v>1082</v>
      </c>
      <c r="C179" s="16" t="s">
        <v>1083</v>
      </c>
      <c r="D179" s="16" t="s">
        <v>1084</v>
      </c>
      <c r="E179" s="310">
        <v>18.0</v>
      </c>
      <c r="F179" s="314">
        <v>0.0</v>
      </c>
      <c r="G179" s="328">
        <v>22.0</v>
      </c>
      <c r="H179" s="323" t="str">
        <f t="shared" si="3"/>
        <v>#REF!</v>
      </c>
      <c r="I179" s="12" t="str">
        <f t="shared" si="2"/>
        <v>18 Complete Medical Records, 0 Patient Portal Logins</v>
      </c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hidden="1">
      <c r="A180" s="6" t="s">
        <v>225</v>
      </c>
      <c r="B180" s="16" t="s">
        <v>1085</v>
      </c>
      <c r="C180" s="16" t="s">
        <v>1086</v>
      </c>
      <c r="D180" s="16" t="s">
        <v>1087</v>
      </c>
      <c r="E180" s="306">
        <v>18.0</v>
      </c>
      <c r="F180" s="314">
        <v>0.0</v>
      </c>
      <c r="G180" s="320">
        <v>23.0</v>
      </c>
      <c r="H180" s="323" t="str">
        <f t="shared" si="3"/>
        <v>#REF!</v>
      </c>
      <c r="I180" s="12" t="str">
        <f t="shared" si="2"/>
        <v>18 Complete Medical Records, 0 Patient Portal Logins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hidden="1">
      <c r="A181" s="6" t="s">
        <v>225</v>
      </c>
      <c r="B181" s="16" t="s">
        <v>1088</v>
      </c>
      <c r="C181" s="16" t="s">
        <v>1089</v>
      </c>
      <c r="D181" s="16" t="s">
        <v>1090</v>
      </c>
      <c r="E181" s="306">
        <v>11.0</v>
      </c>
      <c r="F181" s="314">
        <v>19.0</v>
      </c>
      <c r="G181" s="320">
        <v>41.0</v>
      </c>
      <c r="H181" s="323" t="str">
        <f t="shared" si="3"/>
        <v>#REF!</v>
      </c>
      <c r="I181" s="39" t="str">
        <f t="shared" si="2"/>
        <v>11 Complete Medical Records, 19 Patient Portal Logins</v>
      </c>
      <c r="J181" s="23"/>
      <c r="K181" s="23"/>
      <c r="L181" s="130">
        <v>3000.0</v>
      </c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idden="1">
      <c r="A182" s="6" t="s">
        <v>225</v>
      </c>
      <c r="B182" s="16" t="s">
        <v>1091</v>
      </c>
      <c r="C182" s="16" t="s">
        <v>1092</v>
      </c>
      <c r="D182" s="16" t="s">
        <v>1093</v>
      </c>
      <c r="E182" s="306">
        <v>18.0</v>
      </c>
      <c r="F182" s="314">
        <v>0.0</v>
      </c>
      <c r="G182" s="320">
        <v>23.0</v>
      </c>
      <c r="H182" s="323" t="str">
        <f t="shared" si="3"/>
        <v>#REF!</v>
      </c>
      <c r="I182" s="39" t="str">
        <f t="shared" si="2"/>
        <v>18 Complete Medical Records, 0 Patient Portal Logins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hidden="1">
      <c r="A183" s="6" t="s">
        <v>225</v>
      </c>
      <c r="B183" s="16" t="s">
        <v>1094</v>
      </c>
      <c r="C183" s="16" t="s">
        <v>1095</v>
      </c>
      <c r="D183" s="16" t="s">
        <v>1096</v>
      </c>
      <c r="E183" s="306">
        <v>18.0</v>
      </c>
      <c r="F183" s="314">
        <v>14.0</v>
      </c>
      <c r="G183" s="320">
        <v>23.0</v>
      </c>
      <c r="H183" s="323" t="str">
        <f t="shared" si="3"/>
        <v>#REF!</v>
      </c>
      <c r="I183" s="39" t="str">
        <f t="shared" si="2"/>
        <v>18 Complete Medical Records, 14 Patient Portal Logins</v>
      </c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hidden="1">
      <c r="A184" s="6" t="s">
        <v>225</v>
      </c>
      <c r="B184" s="16" t="s">
        <v>1097</v>
      </c>
      <c r="C184" s="16" t="s">
        <v>1098</v>
      </c>
      <c r="D184" s="16" t="s">
        <v>1099</v>
      </c>
      <c r="E184" s="310">
        <v>18.0</v>
      </c>
      <c r="F184" s="314">
        <v>0.0</v>
      </c>
      <c r="G184" s="328">
        <v>22.0</v>
      </c>
      <c r="H184" s="323" t="str">
        <f t="shared" si="3"/>
        <v>#REF!</v>
      </c>
      <c r="I184" s="39" t="str">
        <f t="shared" si="2"/>
        <v>18 Complete Medical Records, 0 Patient Portal Logins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hidden="1">
      <c r="A185" s="6" t="s">
        <v>225</v>
      </c>
      <c r="B185" s="16" t="s">
        <v>255</v>
      </c>
      <c r="C185" s="16" t="s">
        <v>256</v>
      </c>
      <c r="D185" s="16" t="s">
        <v>257</v>
      </c>
      <c r="E185" s="306">
        <v>32.0</v>
      </c>
      <c r="F185" s="317">
        <v>0.0</v>
      </c>
      <c r="G185" s="320">
        <v>17.0</v>
      </c>
      <c r="H185" s="323" t="str">
        <f t="shared" si="3"/>
        <v>#REF!</v>
      </c>
      <c r="I185" s="39" t="str">
        <f t="shared" si="2"/>
        <v>32 Complete Medical Records, 0 Patient Portal Logins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hidden="1">
      <c r="A186" s="6" t="s">
        <v>225</v>
      </c>
      <c r="B186" s="16" t="s">
        <v>1100</v>
      </c>
      <c r="C186" s="16" t="s">
        <v>1101</v>
      </c>
      <c r="D186" s="16" t="s">
        <v>1102</v>
      </c>
      <c r="E186" s="306">
        <v>32.0</v>
      </c>
      <c r="F186" s="329">
        <v>22.0</v>
      </c>
      <c r="G186" s="320">
        <v>17.0</v>
      </c>
      <c r="H186" s="323" t="str">
        <f t="shared" si="3"/>
        <v>#REF!</v>
      </c>
      <c r="I186" s="39" t="str">
        <f t="shared" si="2"/>
        <v>32 Complete Medical Records, 22 Patient Portal Logins</v>
      </c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hidden="1">
      <c r="A187" s="6" t="s">
        <v>225</v>
      </c>
      <c r="B187" s="16" t="s">
        <v>1103</v>
      </c>
      <c r="C187" s="16" t="s">
        <v>1104</v>
      </c>
      <c r="D187" s="16" t="s">
        <v>1105</v>
      </c>
      <c r="E187" s="310">
        <v>10.0</v>
      </c>
      <c r="F187" s="314">
        <v>0.0</v>
      </c>
      <c r="G187" s="328">
        <v>17.0</v>
      </c>
      <c r="H187" s="323" t="str">
        <f t="shared" si="3"/>
        <v>#REF!</v>
      </c>
      <c r="I187" s="39" t="str">
        <f t="shared" si="2"/>
        <v>10 Complete Medical Records, 0 Patient Portal Logins</v>
      </c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hidden="1">
      <c r="A188" s="6" t="s">
        <v>225</v>
      </c>
      <c r="B188" s="16" t="s">
        <v>1106</v>
      </c>
      <c r="C188" s="16" t="s">
        <v>1107</v>
      </c>
      <c r="D188" s="16" t="s">
        <v>1108</v>
      </c>
      <c r="E188" s="306">
        <v>18.0</v>
      </c>
      <c r="F188" s="314">
        <v>12.0</v>
      </c>
      <c r="G188" s="320">
        <v>23.0</v>
      </c>
      <c r="H188" s="323" t="str">
        <f t="shared" si="3"/>
        <v>#REF!</v>
      </c>
      <c r="I188" s="12" t="str">
        <f t="shared" si="2"/>
        <v>18 Complete Medical Records, 12 Patient Portal Logins</v>
      </c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hidden="1">
      <c r="A189" s="6" t="s">
        <v>225</v>
      </c>
      <c r="B189" s="16" t="s">
        <v>1109</v>
      </c>
      <c r="C189" s="16" t="s">
        <v>1110</v>
      </c>
      <c r="D189" s="16" t="s">
        <v>1111</v>
      </c>
      <c r="E189" s="306">
        <v>32.0</v>
      </c>
      <c r="F189" s="317">
        <v>0.0</v>
      </c>
      <c r="G189" s="320">
        <v>17.0</v>
      </c>
      <c r="H189" s="323" t="str">
        <f t="shared" si="3"/>
        <v>#REF!</v>
      </c>
      <c r="I189" s="12" t="str">
        <f t="shared" si="2"/>
        <v>32 Complete Medical Records, 0 Patient Portal Logins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hidden="1">
      <c r="A190" s="6" t="s">
        <v>225</v>
      </c>
      <c r="B190" s="16" t="s">
        <v>1112</v>
      </c>
      <c r="C190" s="16" t="s">
        <v>1113</v>
      </c>
      <c r="D190" s="16" t="s">
        <v>1114</v>
      </c>
      <c r="E190" s="310">
        <v>18.0</v>
      </c>
      <c r="F190" s="311">
        <v>3.0</v>
      </c>
      <c r="G190" s="328">
        <v>22.0</v>
      </c>
      <c r="H190" s="323" t="str">
        <f t="shared" si="3"/>
        <v>#REF!</v>
      </c>
      <c r="I190" s="12" t="str">
        <f t="shared" si="2"/>
        <v>18 Complete Medical Records, 3 Patient Portal Logins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hidden="1">
      <c r="A191" s="6" t="s">
        <v>225</v>
      </c>
      <c r="B191" s="16" t="s">
        <v>1115</v>
      </c>
      <c r="C191" s="16" t="s">
        <v>1116</v>
      </c>
      <c r="D191" s="16" t="s">
        <v>1117</v>
      </c>
      <c r="E191" s="310">
        <v>10.0</v>
      </c>
      <c r="F191" s="330">
        <v>36.0</v>
      </c>
      <c r="G191" s="328">
        <v>17.0</v>
      </c>
      <c r="H191" s="323" t="str">
        <f t="shared" si="3"/>
        <v>#REF!</v>
      </c>
      <c r="I191" s="12" t="str">
        <f t="shared" si="2"/>
        <v>10 Complete Medical Records, 36 Patient Portal Logins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hidden="1">
      <c r="A192" s="6" t="s">
        <v>225</v>
      </c>
      <c r="B192" s="16" t="s">
        <v>1118</v>
      </c>
      <c r="C192" s="16" t="s">
        <v>1119</v>
      </c>
      <c r="D192" s="16" t="s">
        <v>1120</v>
      </c>
      <c r="E192" s="306">
        <v>11.0</v>
      </c>
      <c r="F192" s="311">
        <v>37.0</v>
      </c>
      <c r="G192" s="320">
        <v>41.0</v>
      </c>
      <c r="H192" s="323" t="str">
        <f t="shared" si="3"/>
        <v>#REF!</v>
      </c>
      <c r="I192" s="12" t="str">
        <f t="shared" si="2"/>
        <v>11 Complete Medical Records, 37 Patient Portal Logins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hidden="1">
      <c r="A193" s="6" t="s">
        <v>225</v>
      </c>
      <c r="B193" s="16" t="s">
        <v>1121</v>
      </c>
      <c r="C193" s="16" t="s">
        <v>1122</v>
      </c>
      <c r="D193" s="16" t="s">
        <v>1123</v>
      </c>
      <c r="E193" s="310">
        <v>18.0</v>
      </c>
      <c r="F193" s="315">
        <v>46.0</v>
      </c>
      <c r="G193" s="320">
        <v>22.0</v>
      </c>
      <c r="H193" s="323" t="str">
        <f t="shared" si="3"/>
        <v>#REF!</v>
      </c>
      <c r="I193" s="12" t="str">
        <f t="shared" si="2"/>
        <v>18 Complete Medical Records, 46 Patient Portal Logins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hidden="1">
      <c r="A194" s="6" t="s">
        <v>225</v>
      </c>
      <c r="B194" s="16" t="s">
        <v>1124</v>
      </c>
      <c r="C194" s="16" t="s">
        <v>1125</v>
      </c>
      <c r="D194" s="16" t="s">
        <v>1126</v>
      </c>
      <c r="E194" s="306">
        <v>18.0</v>
      </c>
      <c r="F194" s="314">
        <v>0.0</v>
      </c>
      <c r="G194" s="320">
        <v>23.0</v>
      </c>
      <c r="H194" s="323" t="str">
        <f t="shared" si="3"/>
        <v>#REF!</v>
      </c>
      <c r="I194" s="12" t="str">
        <f t="shared" si="2"/>
        <v>18 Complete Medical Records, 0 Patient Portal Logins</v>
      </c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hidden="1">
      <c r="A195" s="6" t="s">
        <v>225</v>
      </c>
      <c r="B195" s="16" t="s">
        <v>1127</v>
      </c>
      <c r="C195" s="16" t="s">
        <v>1128</v>
      </c>
      <c r="D195" s="16" t="s">
        <v>1129</v>
      </c>
      <c r="E195" s="310">
        <v>18.0</v>
      </c>
      <c r="F195" s="314">
        <v>0.0</v>
      </c>
      <c r="G195" s="328">
        <v>22.0</v>
      </c>
      <c r="H195" s="323" t="str">
        <f t="shared" si="3"/>
        <v>#REF!</v>
      </c>
      <c r="I195" s="12" t="str">
        <f t="shared" si="2"/>
        <v>18 Complete Medical Records, 0 Patient Portal Logins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hidden="1">
      <c r="A196" s="6" t="s">
        <v>225</v>
      </c>
      <c r="B196" s="16" t="s">
        <v>1130</v>
      </c>
      <c r="C196" s="16" t="s">
        <v>1131</v>
      </c>
      <c r="D196" s="16" t="s">
        <v>1132</v>
      </c>
      <c r="E196" s="310">
        <v>18.0</v>
      </c>
      <c r="F196" s="314">
        <v>0.0</v>
      </c>
      <c r="G196" s="328">
        <v>22.0</v>
      </c>
      <c r="H196" s="323" t="str">
        <f t="shared" si="3"/>
        <v>#REF!</v>
      </c>
      <c r="I196" s="12" t="str">
        <f t="shared" si="2"/>
        <v>18 Complete Medical Records, 0 Patient Portal Logins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hidden="1">
      <c r="A197" s="6" t="s">
        <v>225</v>
      </c>
      <c r="B197" s="16" t="s">
        <v>1133</v>
      </c>
      <c r="C197" s="16" t="s">
        <v>1134</v>
      </c>
      <c r="D197" s="16" t="s">
        <v>1135</v>
      </c>
      <c r="E197" s="306">
        <v>18.0</v>
      </c>
      <c r="F197" s="314">
        <v>0.0</v>
      </c>
      <c r="G197" s="320">
        <v>23.0</v>
      </c>
      <c r="H197" s="323" t="str">
        <f t="shared" si="3"/>
        <v>#REF!</v>
      </c>
      <c r="I197" s="12" t="str">
        <f t="shared" si="2"/>
        <v>18 Complete Medical Records, 0 Patient Portal Logins</v>
      </c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hidden="1">
      <c r="A198" s="6" t="s">
        <v>225</v>
      </c>
      <c r="B198" s="16" t="s">
        <v>1136</v>
      </c>
      <c r="C198" s="16" t="s">
        <v>1137</v>
      </c>
      <c r="D198" s="16" t="s">
        <v>1138</v>
      </c>
      <c r="E198" s="306">
        <v>32.0</v>
      </c>
      <c r="F198" s="317">
        <v>0.0</v>
      </c>
      <c r="G198" s="320">
        <v>17.0</v>
      </c>
      <c r="H198" s="323" t="str">
        <f t="shared" si="3"/>
        <v>#REF!</v>
      </c>
      <c r="I198" s="12" t="str">
        <f t="shared" si="2"/>
        <v>32 Complete Medical Records, 0 Patient Portal Logins</v>
      </c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hidden="1">
      <c r="A199" s="6" t="s">
        <v>225</v>
      </c>
      <c r="B199" s="16" t="s">
        <v>1139</v>
      </c>
      <c r="C199" s="16" t="s">
        <v>1140</v>
      </c>
      <c r="D199" s="16" t="s">
        <v>1141</v>
      </c>
      <c r="E199" s="318">
        <v>32.0</v>
      </c>
      <c r="F199" s="315">
        <v>16.0</v>
      </c>
      <c r="G199" s="320">
        <v>17.0</v>
      </c>
      <c r="H199" s="323" t="str">
        <f t="shared" si="3"/>
        <v>#REF!</v>
      </c>
      <c r="I199" s="12" t="str">
        <f t="shared" si="2"/>
        <v>32 Complete Medical Records, 16 Patient Portal Logins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hidden="1">
      <c r="A200" s="6" t="s">
        <v>225</v>
      </c>
      <c r="B200" s="16" t="s">
        <v>1142</v>
      </c>
      <c r="C200" s="16" t="s">
        <v>1143</v>
      </c>
      <c r="D200" s="16" t="s">
        <v>1144</v>
      </c>
      <c r="E200" s="306">
        <v>18.0</v>
      </c>
      <c r="F200" s="314">
        <v>8.0</v>
      </c>
      <c r="G200" s="320">
        <v>23.0</v>
      </c>
      <c r="H200" s="323" t="str">
        <f t="shared" si="3"/>
        <v>#REF!</v>
      </c>
      <c r="I200" s="12" t="str">
        <f t="shared" si="2"/>
        <v>18 Complete Medical Records, 8 Patient Portal Logins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hidden="1">
      <c r="A201" s="6" t="s">
        <v>225</v>
      </c>
      <c r="B201" s="16" t="s">
        <v>1145</v>
      </c>
      <c r="C201" s="16" t="s">
        <v>1146</v>
      </c>
      <c r="D201" s="16" t="s">
        <v>1147</v>
      </c>
      <c r="E201" s="306">
        <v>32.0</v>
      </c>
      <c r="F201" s="317">
        <v>0.0</v>
      </c>
      <c r="G201" s="320">
        <v>17.0</v>
      </c>
      <c r="H201" s="323" t="str">
        <f t="shared" si="3"/>
        <v>#REF!</v>
      </c>
      <c r="I201" s="12" t="str">
        <f t="shared" si="2"/>
        <v>32 Complete Medical Records, 0 Patient Portal Logins</v>
      </c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hidden="1">
      <c r="A202" s="6" t="s">
        <v>225</v>
      </c>
      <c r="B202" s="16" t="s">
        <v>1148</v>
      </c>
      <c r="C202" s="16" t="s">
        <v>1149</v>
      </c>
      <c r="D202" s="16" t="s">
        <v>1150</v>
      </c>
      <c r="E202" s="310">
        <v>10.0</v>
      </c>
      <c r="F202" s="315">
        <v>18.0</v>
      </c>
      <c r="G202" s="328">
        <v>17.0</v>
      </c>
      <c r="H202" s="323" t="str">
        <f t="shared" si="3"/>
        <v>#REF!</v>
      </c>
      <c r="I202" s="12" t="str">
        <f t="shared" si="2"/>
        <v>10 Complete Medical Records, 18 Patient Portal Logins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hidden="1">
      <c r="A203" s="6" t="s">
        <v>225</v>
      </c>
      <c r="B203" s="16" t="s">
        <v>1151</v>
      </c>
      <c r="C203" s="16" t="s">
        <v>1152</v>
      </c>
      <c r="D203" s="16" t="s">
        <v>1153</v>
      </c>
      <c r="E203" s="310">
        <v>18.0</v>
      </c>
      <c r="F203" s="315">
        <v>16.0</v>
      </c>
      <c r="G203" s="320">
        <v>22.0</v>
      </c>
      <c r="H203" s="323" t="str">
        <f t="shared" si="3"/>
        <v>#REF!</v>
      </c>
      <c r="I203" s="12" t="str">
        <f t="shared" si="2"/>
        <v>18 Complete Medical Records, 16 Patient Portal Logins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hidden="1">
      <c r="A204" s="6" t="s">
        <v>225</v>
      </c>
      <c r="B204" s="16" t="s">
        <v>1154</v>
      </c>
      <c r="C204" s="16" t="s">
        <v>1155</v>
      </c>
      <c r="D204" s="16" t="s">
        <v>1156</v>
      </c>
      <c r="E204" s="318">
        <v>3.0</v>
      </c>
      <c r="F204" s="315">
        <v>10.0</v>
      </c>
      <c r="G204" s="320">
        <v>6.0</v>
      </c>
      <c r="H204" s="323" t="str">
        <f t="shared" si="3"/>
        <v>#REF!</v>
      </c>
      <c r="I204" s="12" t="str">
        <f t="shared" si="2"/>
        <v>3 Complete Medical Records, 10 Patient Portal Logins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hidden="1">
      <c r="A205" s="6" t="s">
        <v>225</v>
      </c>
      <c r="B205" s="21" t="s">
        <v>1158</v>
      </c>
      <c r="C205" s="21" t="s">
        <v>1159</v>
      </c>
      <c r="D205" s="21" t="s">
        <v>1160</v>
      </c>
      <c r="E205" s="306">
        <v>32.0</v>
      </c>
      <c r="F205" s="317">
        <v>9.0</v>
      </c>
      <c r="G205" s="320">
        <v>17.0</v>
      </c>
      <c r="H205" s="323" t="str">
        <f t="shared" si="3"/>
        <v>#REF!</v>
      </c>
      <c r="I205" s="12" t="str">
        <f t="shared" si="2"/>
        <v>32 Complete Medical Records, 9 Patient Portal Logins</v>
      </c>
      <c r="J205" s="23"/>
      <c r="K205" s="23"/>
      <c r="L205" s="23"/>
      <c r="M205" s="14"/>
      <c r="N205" s="23"/>
      <c r="O205" s="23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hidden="1">
      <c r="A206" s="6" t="s">
        <v>225</v>
      </c>
      <c r="B206" s="21" t="s">
        <v>1161</v>
      </c>
      <c r="C206" s="21" t="s">
        <v>1162</v>
      </c>
      <c r="D206" s="21" t="s">
        <v>1163</v>
      </c>
      <c r="E206" s="306">
        <v>18.0</v>
      </c>
      <c r="F206" s="314">
        <v>0.0</v>
      </c>
      <c r="G206" s="320">
        <v>23.0</v>
      </c>
      <c r="H206" s="323" t="str">
        <f t="shared" si="3"/>
        <v>#REF!</v>
      </c>
      <c r="I206" s="12" t="str">
        <f t="shared" si="2"/>
        <v>18 Complete Medical Records, 0 Patient Portal Logins</v>
      </c>
      <c r="J206" s="23"/>
      <c r="K206" s="23"/>
      <c r="L206" s="23"/>
      <c r="M206" s="14"/>
      <c r="N206" s="23"/>
      <c r="O206" s="23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hidden="1">
      <c r="A207" s="6" t="s">
        <v>226</v>
      </c>
      <c r="B207" s="16" t="s">
        <v>996</v>
      </c>
      <c r="C207" s="16" t="s">
        <v>997</v>
      </c>
      <c r="D207" s="16" t="s">
        <v>1025</v>
      </c>
      <c r="E207" s="306">
        <v>0.0</v>
      </c>
      <c r="F207" s="314">
        <v>1.0</v>
      </c>
      <c r="G207" s="320">
        <v>12.0</v>
      </c>
      <c r="H207" s="323" t="str">
        <f t="shared" si="3"/>
        <v>#REF!</v>
      </c>
      <c r="I207" s="12" t="str">
        <f t="shared" si="2"/>
        <v>0 Complete Medical Records, 1 Patient Portal Logins</v>
      </c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hidden="1">
      <c r="A208" s="6" t="s">
        <v>226</v>
      </c>
      <c r="B208" s="16" t="s">
        <v>20</v>
      </c>
      <c r="C208" s="16" t="s">
        <v>231</v>
      </c>
      <c r="D208" s="16" t="s">
        <v>22</v>
      </c>
      <c r="E208" s="306">
        <v>0.0</v>
      </c>
      <c r="F208" s="314">
        <v>1.0</v>
      </c>
      <c r="G208" s="320">
        <v>12.0</v>
      </c>
      <c r="H208" s="323" t="str">
        <f t="shared" si="3"/>
        <v>#REF!</v>
      </c>
      <c r="I208" s="12" t="str">
        <f t="shared" si="2"/>
        <v>0 Complete Medical Records, 1 Patient Portal Logins</v>
      </c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hidden="1">
      <c r="A209" s="6" t="s">
        <v>226</v>
      </c>
      <c r="B209" s="16" t="s">
        <v>648</v>
      </c>
      <c r="C209" s="16" t="s">
        <v>649</v>
      </c>
      <c r="D209" s="16" t="s">
        <v>650</v>
      </c>
      <c r="E209" s="310">
        <v>12.0</v>
      </c>
      <c r="F209" s="315">
        <v>0.0</v>
      </c>
      <c r="G209" s="320">
        <v>26.0</v>
      </c>
      <c r="H209" s="323" t="str">
        <f t="shared" si="3"/>
        <v>#REF!</v>
      </c>
      <c r="I209" s="12" t="str">
        <f t="shared" si="2"/>
        <v>12 Complete Medical Records, 0 Patient Portal Logins</v>
      </c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hidden="1">
      <c r="A210" s="6" t="s">
        <v>226</v>
      </c>
      <c r="B210" s="16" t="s">
        <v>571</v>
      </c>
      <c r="C210" s="16" t="s">
        <v>572</v>
      </c>
      <c r="D210" s="16" t="s">
        <v>573</v>
      </c>
      <c r="E210" s="306">
        <v>15.0</v>
      </c>
      <c r="F210" s="314">
        <v>2.0</v>
      </c>
      <c r="G210" s="320">
        <v>23.0</v>
      </c>
      <c r="H210" s="323" t="str">
        <f t="shared" si="3"/>
        <v>#REF!</v>
      </c>
      <c r="I210" s="12" t="str">
        <f t="shared" si="2"/>
        <v>15 Complete Medical Records, 2 Patient Portal Logins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hidden="1">
      <c r="A211" s="6" t="s">
        <v>226</v>
      </c>
      <c r="B211" s="16" t="s">
        <v>1005</v>
      </c>
      <c r="C211" s="16" t="s">
        <v>1006</v>
      </c>
      <c r="D211" s="16" t="s">
        <v>1021</v>
      </c>
      <c r="E211" s="312">
        <v>13.0</v>
      </c>
      <c r="F211" s="317">
        <v>0.0</v>
      </c>
      <c r="G211" s="320">
        <v>24.0</v>
      </c>
      <c r="H211" s="323" t="str">
        <f t="shared" si="3"/>
        <v>#REF!</v>
      </c>
      <c r="I211" s="12" t="str">
        <f t="shared" si="2"/>
        <v>13 Complete Medical Records, 0 Patient Portal Logins</v>
      </c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hidden="1">
      <c r="A212" s="6" t="s">
        <v>226</v>
      </c>
      <c r="B212" s="16" t="s">
        <v>709</v>
      </c>
      <c r="C212" s="16" t="s">
        <v>710</v>
      </c>
      <c r="D212" s="16" t="s">
        <v>711</v>
      </c>
      <c r="E212" s="306">
        <v>0.0</v>
      </c>
      <c r="F212" s="314">
        <v>1.0</v>
      </c>
      <c r="G212" s="320">
        <v>12.0</v>
      </c>
      <c r="H212" s="323" t="str">
        <f t="shared" si="3"/>
        <v>#REF!</v>
      </c>
      <c r="I212" s="12" t="str">
        <f t="shared" si="2"/>
        <v>0 Complete Medical Records, 1 Patient Portal Logins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hidden="1">
      <c r="A213" s="6" t="s">
        <v>226</v>
      </c>
      <c r="B213" s="16" t="s">
        <v>1036</v>
      </c>
      <c r="C213" s="16" t="s">
        <v>1037</v>
      </c>
      <c r="D213" s="16" t="s">
        <v>1038</v>
      </c>
      <c r="E213" s="306">
        <v>0.0</v>
      </c>
      <c r="F213" s="314">
        <v>0.0</v>
      </c>
      <c r="G213" s="320">
        <v>12.0</v>
      </c>
      <c r="H213" s="323" t="str">
        <f t="shared" si="3"/>
        <v>#REF!</v>
      </c>
      <c r="I213" s="12" t="str">
        <f t="shared" si="2"/>
        <v>0 Complete Medical Records, 0 Patient Portal Logins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hidden="1">
      <c r="A214" s="6" t="s">
        <v>226</v>
      </c>
      <c r="B214" s="16" t="s">
        <v>1039</v>
      </c>
      <c r="C214" s="16" t="s">
        <v>1040</v>
      </c>
      <c r="D214" s="16" t="s">
        <v>1041</v>
      </c>
      <c r="E214" s="306">
        <v>0.0</v>
      </c>
      <c r="F214" s="314">
        <v>0.0</v>
      </c>
      <c r="G214" s="320">
        <v>12.0</v>
      </c>
      <c r="H214" s="323" t="str">
        <f t="shared" si="3"/>
        <v>#REF!</v>
      </c>
      <c r="I214" s="12" t="str">
        <f t="shared" si="2"/>
        <v>0 Complete Medical Records, 0 Patient Portal Logins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hidden="1">
      <c r="A215" s="6" t="s">
        <v>226</v>
      </c>
      <c r="B215" s="16" t="s">
        <v>1042</v>
      </c>
      <c r="C215" s="16" t="s">
        <v>1043</v>
      </c>
      <c r="D215" s="16" t="s">
        <v>1044</v>
      </c>
      <c r="E215" s="312">
        <v>13.0</v>
      </c>
      <c r="F215" s="317">
        <v>0.0</v>
      </c>
      <c r="G215" s="320">
        <v>24.0</v>
      </c>
      <c r="H215" s="323" t="str">
        <f t="shared" si="3"/>
        <v>#REF!</v>
      </c>
      <c r="I215" s="12" t="str">
        <f t="shared" si="2"/>
        <v>13 Complete Medical Records, 0 Patient Portal Logins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hidden="1">
      <c r="A216" s="6" t="s">
        <v>226</v>
      </c>
      <c r="B216" s="16" t="s">
        <v>1045</v>
      </c>
      <c r="C216" s="16" t="s">
        <v>1046</v>
      </c>
      <c r="D216" s="16" t="s">
        <v>1047</v>
      </c>
      <c r="E216" s="306">
        <v>0.0</v>
      </c>
      <c r="F216" s="314">
        <v>0.0</v>
      </c>
      <c r="G216" s="320">
        <v>12.0</v>
      </c>
      <c r="H216" s="323" t="str">
        <f t="shared" si="3"/>
        <v>#REF!</v>
      </c>
      <c r="I216" s="12" t="str">
        <f t="shared" si="2"/>
        <v>0 Complete Medical Records, 0 Patient Portal Logins</v>
      </c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hidden="1">
      <c r="A217" s="6" t="s">
        <v>226</v>
      </c>
      <c r="B217" s="16" t="s">
        <v>742</v>
      </c>
      <c r="C217" s="16" t="s">
        <v>743</v>
      </c>
      <c r="D217" s="16" t="s">
        <v>979</v>
      </c>
      <c r="E217" s="310">
        <v>23.0</v>
      </c>
      <c r="F217" s="315">
        <v>0.0</v>
      </c>
      <c r="G217" s="320">
        <v>10.0</v>
      </c>
      <c r="H217" s="323" t="str">
        <f t="shared" si="3"/>
        <v>#REF!</v>
      </c>
      <c r="I217" s="12" t="str">
        <f t="shared" si="2"/>
        <v>23 Complete Medical Records, 0 Patient Portal Logins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hidden="1">
      <c r="A218" s="6" t="s">
        <v>226</v>
      </c>
      <c r="B218" s="16" t="s">
        <v>1049</v>
      </c>
      <c r="C218" s="16" t="s">
        <v>1050</v>
      </c>
      <c r="D218" s="16" t="s">
        <v>1051</v>
      </c>
      <c r="E218" s="306">
        <v>0.0</v>
      </c>
      <c r="F218" s="314">
        <v>0.0</v>
      </c>
      <c r="G218" s="320">
        <v>12.0</v>
      </c>
      <c r="H218" s="323" t="str">
        <f t="shared" si="3"/>
        <v>#REF!</v>
      </c>
      <c r="I218" s="12" t="str">
        <f t="shared" si="2"/>
        <v>0 Complete Medical Records, 0 Patient Portal Logins</v>
      </c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hidden="1">
      <c r="A219" s="6" t="s">
        <v>226</v>
      </c>
      <c r="B219" s="16" t="s">
        <v>767</v>
      </c>
      <c r="C219" s="16" t="s">
        <v>768</v>
      </c>
      <c r="D219" s="16" t="s">
        <v>769</v>
      </c>
      <c r="E219" s="312">
        <v>13.0</v>
      </c>
      <c r="F219" s="317">
        <v>0.0</v>
      </c>
      <c r="G219" s="320">
        <v>24.0</v>
      </c>
      <c r="H219" s="323" t="str">
        <f t="shared" si="3"/>
        <v>#REF!</v>
      </c>
      <c r="I219" s="12" t="str">
        <f t="shared" si="2"/>
        <v>13 Complete Medical Records, 0 Patient Portal Logins</v>
      </c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hidden="1">
      <c r="A220" s="6" t="s">
        <v>226</v>
      </c>
      <c r="B220" s="16" t="s">
        <v>1052</v>
      </c>
      <c r="C220" s="16" t="s">
        <v>1053</v>
      </c>
      <c r="D220" s="16" t="s">
        <v>1054</v>
      </c>
      <c r="E220" s="306">
        <v>0.0</v>
      </c>
      <c r="F220" s="314">
        <v>0.0</v>
      </c>
      <c r="G220" s="320">
        <v>12.0</v>
      </c>
      <c r="H220" s="323" t="str">
        <f t="shared" si="3"/>
        <v>#REF!</v>
      </c>
      <c r="I220" s="12" t="str">
        <f t="shared" si="2"/>
        <v>0 Complete Medical Records, 0 Patient Portal Logins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hidden="1">
      <c r="A221" s="6" t="s">
        <v>226</v>
      </c>
      <c r="B221" s="16" t="s">
        <v>1055</v>
      </c>
      <c r="C221" s="16" t="s">
        <v>1056</v>
      </c>
      <c r="D221" s="16" t="s">
        <v>1057</v>
      </c>
      <c r="E221" s="306">
        <v>15.0</v>
      </c>
      <c r="F221" s="314">
        <v>0.0</v>
      </c>
      <c r="G221" s="320">
        <v>23.0</v>
      </c>
      <c r="H221" s="323" t="str">
        <f t="shared" si="3"/>
        <v>#REF!</v>
      </c>
      <c r="I221" s="12" t="str">
        <f t="shared" si="2"/>
        <v>15 Complete Medical Records, 0 Patient Portal Logins</v>
      </c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hidden="1">
      <c r="A222" s="6" t="s">
        <v>226</v>
      </c>
      <c r="B222" s="16" t="s">
        <v>1058</v>
      </c>
      <c r="C222" s="16" t="s">
        <v>1059</v>
      </c>
      <c r="D222" s="16" t="s">
        <v>1060</v>
      </c>
      <c r="E222" s="310">
        <v>23.0</v>
      </c>
      <c r="F222" s="315">
        <v>0.0</v>
      </c>
      <c r="G222" s="320">
        <v>10.0</v>
      </c>
      <c r="H222" s="323" t="str">
        <f t="shared" si="3"/>
        <v>#REF!</v>
      </c>
      <c r="I222" s="12" t="str">
        <f t="shared" si="2"/>
        <v>23 Complete Medical Records, 0 Patient Portal Logins</v>
      </c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hidden="1">
      <c r="A223" s="6" t="s">
        <v>226</v>
      </c>
      <c r="B223" s="16" t="s">
        <v>1061</v>
      </c>
      <c r="C223" s="16" t="s">
        <v>1062</v>
      </c>
      <c r="D223" s="16" t="s">
        <v>1063</v>
      </c>
      <c r="E223" s="310">
        <v>23.0</v>
      </c>
      <c r="F223" s="315">
        <v>0.0</v>
      </c>
      <c r="G223" s="320">
        <v>10.0</v>
      </c>
      <c r="H223" s="323" t="str">
        <f t="shared" si="3"/>
        <v>#REF!</v>
      </c>
      <c r="I223" s="12" t="str">
        <f t="shared" si="2"/>
        <v>23 Complete Medical Records, 0 Patient Portal Logins</v>
      </c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hidden="1">
      <c r="A224" s="6" t="s">
        <v>226</v>
      </c>
      <c r="B224" s="16" t="s">
        <v>1064</v>
      </c>
      <c r="C224" s="16" t="s">
        <v>1065</v>
      </c>
      <c r="D224" s="16" t="s">
        <v>1066</v>
      </c>
      <c r="E224" s="310">
        <v>23.0</v>
      </c>
      <c r="F224" s="315">
        <v>0.0</v>
      </c>
      <c r="G224" s="320">
        <v>10.0</v>
      </c>
      <c r="H224" s="323" t="str">
        <f t="shared" si="3"/>
        <v>#REF!</v>
      </c>
      <c r="I224" s="12" t="str">
        <f t="shared" si="2"/>
        <v>23 Complete Medical Records, 0 Patient Portal Logins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hidden="1">
      <c r="A225" s="6" t="s">
        <v>226</v>
      </c>
      <c r="B225" s="16" t="s">
        <v>1067</v>
      </c>
      <c r="C225" s="16" t="s">
        <v>1068</v>
      </c>
      <c r="D225" s="16" t="s">
        <v>1069</v>
      </c>
      <c r="E225" s="310">
        <v>23.0</v>
      </c>
      <c r="F225" s="315">
        <v>0.0</v>
      </c>
      <c r="G225" s="320">
        <v>10.0</v>
      </c>
      <c r="H225" s="323" t="str">
        <f t="shared" si="3"/>
        <v>#REF!</v>
      </c>
      <c r="I225" s="12" t="str">
        <f t="shared" si="2"/>
        <v>23 Complete Medical Records, 0 Patient Portal Logins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hidden="1">
      <c r="A226" s="6" t="s">
        <v>226</v>
      </c>
      <c r="B226" s="16" t="s">
        <v>1070</v>
      </c>
      <c r="C226" s="16" t="s">
        <v>1071</v>
      </c>
      <c r="D226" s="16" t="s">
        <v>1072</v>
      </c>
      <c r="E226" s="310">
        <v>23.0</v>
      </c>
      <c r="F226" s="315">
        <v>0.0</v>
      </c>
      <c r="G226" s="320">
        <v>10.0</v>
      </c>
      <c r="H226" s="323" t="str">
        <f t="shared" si="3"/>
        <v>#REF!</v>
      </c>
      <c r="I226" s="12" t="str">
        <f t="shared" si="2"/>
        <v>23 Complete Medical Records, 0 Patient Portal Logins</v>
      </c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hidden="1">
      <c r="A227" s="6" t="s">
        <v>226</v>
      </c>
      <c r="B227" s="16" t="s">
        <v>1073</v>
      </c>
      <c r="C227" s="16" t="s">
        <v>1074</v>
      </c>
      <c r="D227" s="16" t="s">
        <v>1075</v>
      </c>
      <c r="E227" s="310">
        <v>23.0</v>
      </c>
      <c r="F227" s="315">
        <v>0.0</v>
      </c>
      <c r="G227" s="320">
        <v>10.0</v>
      </c>
      <c r="H227" s="323" t="str">
        <f t="shared" si="3"/>
        <v>#REF!</v>
      </c>
      <c r="I227" s="12" t="str">
        <f t="shared" si="2"/>
        <v>23 Complete Medical Records, 0 Patient Portal Logins</v>
      </c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hidden="1">
      <c r="A228" s="6" t="s">
        <v>226</v>
      </c>
      <c r="B228" s="16" t="s">
        <v>1076</v>
      </c>
      <c r="C228" s="16" t="s">
        <v>1077</v>
      </c>
      <c r="D228" s="16" t="s">
        <v>1078</v>
      </c>
      <c r="E228" s="310">
        <v>12.0</v>
      </c>
      <c r="F228" s="315">
        <v>0.0</v>
      </c>
      <c r="G228" s="320">
        <v>26.0</v>
      </c>
      <c r="H228" s="323" t="str">
        <f t="shared" si="3"/>
        <v>#REF!</v>
      </c>
      <c r="I228" s="12" t="str">
        <f t="shared" si="2"/>
        <v>12 Complete Medical Records, 0 Patient Portal Logins</v>
      </c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hidden="1">
      <c r="A229" s="6" t="s">
        <v>226</v>
      </c>
      <c r="B229" s="16" t="s">
        <v>1079</v>
      </c>
      <c r="C229" s="16" t="s">
        <v>1080</v>
      </c>
      <c r="D229" s="16" t="s">
        <v>1081</v>
      </c>
      <c r="E229" s="310">
        <v>12.0</v>
      </c>
      <c r="F229" s="315">
        <v>0.0</v>
      </c>
      <c r="G229" s="320">
        <v>26.0</v>
      </c>
      <c r="H229" s="323" t="str">
        <f t="shared" si="3"/>
        <v>#REF!</v>
      </c>
      <c r="I229" s="12" t="str">
        <f t="shared" si="2"/>
        <v>12 Complete Medical Records, 0 Patient Portal Logins</v>
      </c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hidden="1">
      <c r="A230" s="6" t="s">
        <v>226</v>
      </c>
      <c r="B230" s="16" t="s">
        <v>1082</v>
      </c>
      <c r="C230" s="16" t="s">
        <v>1083</v>
      </c>
      <c r="D230" s="16" t="s">
        <v>1084</v>
      </c>
      <c r="E230" s="310">
        <v>12.0</v>
      </c>
      <c r="F230" s="315">
        <v>0.0</v>
      </c>
      <c r="G230" s="320">
        <v>26.0</v>
      </c>
      <c r="H230" s="323" t="str">
        <f t="shared" si="3"/>
        <v>#REF!</v>
      </c>
      <c r="I230" s="12" t="str">
        <f t="shared" si="2"/>
        <v>12 Complete Medical Records, 0 Patient Portal Logins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hidden="1">
      <c r="A231" s="6" t="s">
        <v>226</v>
      </c>
      <c r="B231" s="16" t="s">
        <v>1085</v>
      </c>
      <c r="C231" s="16" t="s">
        <v>1086</v>
      </c>
      <c r="D231" s="16" t="s">
        <v>1087</v>
      </c>
      <c r="E231" s="306">
        <v>15.0</v>
      </c>
      <c r="F231" s="314">
        <v>0.0</v>
      </c>
      <c r="G231" s="320">
        <v>23.0</v>
      </c>
      <c r="H231" s="323" t="str">
        <f t="shared" si="3"/>
        <v>#REF!</v>
      </c>
      <c r="I231" s="12" t="str">
        <f t="shared" si="2"/>
        <v>15 Complete Medical Records, 0 Patient Portal Logins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hidden="1">
      <c r="A232" s="331" t="s">
        <v>226</v>
      </c>
      <c r="B232" s="261" t="s">
        <v>1088</v>
      </c>
      <c r="C232" s="261" t="s">
        <v>1089</v>
      </c>
      <c r="D232" s="261" t="s">
        <v>1090</v>
      </c>
      <c r="E232" s="306">
        <v>0.0</v>
      </c>
      <c r="F232" s="332">
        <v>15.0</v>
      </c>
      <c r="G232" s="333">
        <v>12.0</v>
      </c>
      <c r="H232" s="334" t="str">
        <f t="shared" si="3"/>
        <v>#REF!</v>
      </c>
      <c r="I232" s="334" t="str">
        <f t="shared" si="2"/>
        <v>0 Complete Medical Records, 15 Patient Portal Logins</v>
      </c>
      <c r="J232" s="335"/>
      <c r="K232" s="335"/>
      <c r="L232" s="336">
        <v>3000.0</v>
      </c>
      <c r="M232" s="335"/>
      <c r="N232" s="335"/>
      <c r="O232" s="335"/>
      <c r="P232" s="335"/>
      <c r="Q232" s="335"/>
      <c r="R232" s="335"/>
      <c r="S232" s="335"/>
      <c r="T232" s="335"/>
      <c r="U232" s="335"/>
      <c r="V232" s="335"/>
      <c r="W232" s="335"/>
      <c r="X232" s="335"/>
      <c r="Y232" s="335"/>
      <c r="Z232" s="335"/>
      <c r="AA232" s="335"/>
      <c r="AB232" s="335"/>
      <c r="AC232" s="335"/>
    </row>
    <row r="233" hidden="1">
      <c r="A233" s="6" t="s">
        <v>226</v>
      </c>
      <c r="B233" s="16" t="s">
        <v>1091</v>
      </c>
      <c r="C233" s="16" t="s">
        <v>1092</v>
      </c>
      <c r="D233" s="16" t="s">
        <v>1093</v>
      </c>
      <c r="E233" s="306">
        <v>15.0</v>
      </c>
      <c r="F233" s="314">
        <v>0.0</v>
      </c>
      <c r="G233" s="320">
        <v>23.0</v>
      </c>
      <c r="H233" s="323" t="str">
        <f t="shared" si="3"/>
        <v>#REF!</v>
      </c>
      <c r="I233" s="39" t="str">
        <f t="shared" si="2"/>
        <v>15 Complete Medical Records, 0 Patient Portal Logins</v>
      </c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hidden="1">
      <c r="A234" s="6" t="s">
        <v>226</v>
      </c>
      <c r="B234" s="16" t="s">
        <v>1094</v>
      </c>
      <c r="C234" s="16" t="s">
        <v>1095</v>
      </c>
      <c r="D234" s="16" t="s">
        <v>1096</v>
      </c>
      <c r="E234" s="306">
        <v>15.0</v>
      </c>
      <c r="F234" s="314">
        <v>23.0</v>
      </c>
      <c r="G234" s="320">
        <v>23.0</v>
      </c>
      <c r="H234" s="323" t="str">
        <f t="shared" si="3"/>
        <v>#REF!</v>
      </c>
      <c r="I234" s="12" t="str">
        <f t="shared" si="2"/>
        <v>15 Complete Medical Records, 23 Patient Portal Logins</v>
      </c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hidden="1">
      <c r="A235" s="6" t="s">
        <v>226</v>
      </c>
      <c r="B235" s="16" t="s">
        <v>1097</v>
      </c>
      <c r="C235" s="16" t="s">
        <v>1098</v>
      </c>
      <c r="D235" s="16" t="s">
        <v>1099</v>
      </c>
      <c r="E235" s="310">
        <v>12.0</v>
      </c>
      <c r="F235" s="315">
        <v>0.0</v>
      </c>
      <c r="G235" s="320">
        <v>26.0</v>
      </c>
      <c r="H235" s="323" t="str">
        <f t="shared" si="3"/>
        <v>#REF!</v>
      </c>
      <c r="I235" s="12" t="str">
        <f t="shared" si="2"/>
        <v>12 Complete Medical Records, 0 Patient Portal Logins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hidden="1">
      <c r="A236" s="6" t="s">
        <v>226</v>
      </c>
      <c r="B236" s="16" t="s">
        <v>255</v>
      </c>
      <c r="C236" s="16" t="s">
        <v>256</v>
      </c>
      <c r="D236" s="16" t="s">
        <v>257</v>
      </c>
      <c r="E236" s="312">
        <v>13.0</v>
      </c>
      <c r="F236" s="317">
        <v>0.0</v>
      </c>
      <c r="G236" s="320">
        <v>24.0</v>
      </c>
      <c r="H236" s="323" t="str">
        <f t="shared" si="3"/>
        <v>#REF!</v>
      </c>
      <c r="I236" s="323" t="str">
        <f t="shared" si="2"/>
        <v>13 Complete Medical Records, 0 Patient Portal Logins</v>
      </c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hidden="1">
      <c r="A237" s="6" t="s">
        <v>226</v>
      </c>
      <c r="B237" s="16" t="s">
        <v>1100</v>
      </c>
      <c r="C237" s="16" t="s">
        <v>1101</v>
      </c>
      <c r="D237" s="16" t="s">
        <v>1102</v>
      </c>
      <c r="E237" s="312">
        <v>13.0</v>
      </c>
      <c r="F237" s="317">
        <v>23.0</v>
      </c>
      <c r="G237" s="320">
        <v>24.0</v>
      </c>
      <c r="H237" s="323" t="str">
        <f t="shared" si="3"/>
        <v>#REF!</v>
      </c>
      <c r="I237" s="39" t="str">
        <f t="shared" si="2"/>
        <v>13 Complete Medical Records, 23 Patient Portal Logins</v>
      </c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hidden="1">
      <c r="A238" s="6" t="s">
        <v>226</v>
      </c>
      <c r="B238" s="16" t="s">
        <v>1103</v>
      </c>
      <c r="C238" s="16" t="s">
        <v>1104</v>
      </c>
      <c r="D238" s="16" t="s">
        <v>1105</v>
      </c>
      <c r="E238" s="310">
        <v>23.0</v>
      </c>
      <c r="F238" s="315">
        <v>0.0</v>
      </c>
      <c r="G238" s="320">
        <v>10.0</v>
      </c>
      <c r="H238" s="323" t="str">
        <f t="shared" si="3"/>
        <v>#REF!</v>
      </c>
      <c r="I238" s="12" t="str">
        <f t="shared" si="2"/>
        <v>23 Complete Medical Records, 0 Patient Portal Logins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hidden="1">
      <c r="A239" s="6" t="s">
        <v>226</v>
      </c>
      <c r="B239" s="16" t="s">
        <v>1106</v>
      </c>
      <c r="C239" s="16" t="s">
        <v>1107</v>
      </c>
      <c r="D239" s="16" t="s">
        <v>1108</v>
      </c>
      <c r="E239" s="306">
        <v>15.0</v>
      </c>
      <c r="F239" s="314">
        <v>6.0</v>
      </c>
      <c r="G239" s="320">
        <v>23.0</v>
      </c>
      <c r="H239" s="323" t="str">
        <f t="shared" si="3"/>
        <v>#REF!</v>
      </c>
      <c r="I239" s="12" t="str">
        <f t="shared" si="2"/>
        <v>15 Complete Medical Records, 6 Patient Portal Logins</v>
      </c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hidden="1">
      <c r="A240" s="6" t="s">
        <v>226</v>
      </c>
      <c r="B240" s="16" t="s">
        <v>1109</v>
      </c>
      <c r="C240" s="16" t="s">
        <v>1110</v>
      </c>
      <c r="D240" s="16" t="s">
        <v>1111</v>
      </c>
      <c r="E240" s="312">
        <v>13.0</v>
      </c>
      <c r="F240" s="317">
        <v>0.0</v>
      </c>
      <c r="G240" s="320">
        <v>24.0</v>
      </c>
      <c r="H240" s="323" t="str">
        <f t="shared" si="3"/>
        <v>#REF!</v>
      </c>
      <c r="I240" s="12" t="str">
        <f t="shared" si="2"/>
        <v>13 Complete Medical Records, 0 Patient Portal Logins</v>
      </c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hidden="1">
      <c r="A241" s="6" t="s">
        <v>226</v>
      </c>
      <c r="B241" s="16" t="s">
        <v>1112</v>
      </c>
      <c r="C241" s="16" t="s">
        <v>1113</v>
      </c>
      <c r="D241" s="16" t="s">
        <v>1114</v>
      </c>
      <c r="E241" s="310">
        <v>12.0</v>
      </c>
      <c r="F241" s="315">
        <v>6.0</v>
      </c>
      <c r="G241" s="320">
        <v>26.0</v>
      </c>
      <c r="H241" s="323" t="str">
        <f t="shared" si="3"/>
        <v>#REF!</v>
      </c>
      <c r="I241" s="12" t="str">
        <f t="shared" si="2"/>
        <v>12 Complete Medical Records, 6 Patient Portal Logins</v>
      </c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hidden="1">
      <c r="A242" s="6" t="s">
        <v>226</v>
      </c>
      <c r="B242" s="16" t="s">
        <v>1115</v>
      </c>
      <c r="C242" s="16" t="s">
        <v>1116</v>
      </c>
      <c r="D242" s="16" t="s">
        <v>1117</v>
      </c>
      <c r="E242" s="310">
        <v>23.0</v>
      </c>
      <c r="F242" s="315">
        <v>21.0</v>
      </c>
      <c r="G242" s="320">
        <v>10.0</v>
      </c>
      <c r="H242" s="323" t="str">
        <f t="shared" si="3"/>
        <v>#REF!</v>
      </c>
      <c r="I242" s="12" t="str">
        <f t="shared" si="2"/>
        <v>23 Complete Medical Records, 21 Patient Portal Logins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hidden="1">
      <c r="A243" s="6" t="s">
        <v>226</v>
      </c>
      <c r="B243" s="16" t="s">
        <v>1118</v>
      </c>
      <c r="C243" s="16" t="s">
        <v>1119</v>
      </c>
      <c r="D243" s="16" t="s">
        <v>1120</v>
      </c>
      <c r="E243" s="306">
        <v>11.0</v>
      </c>
      <c r="F243" s="315">
        <v>45.0</v>
      </c>
      <c r="G243" s="320">
        <v>12.0</v>
      </c>
      <c r="H243" s="323" t="str">
        <f t="shared" si="3"/>
        <v>#REF!</v>
      </c>
      <c r="I243" s="12" t="str">
        <f t="shared" si="2"/>
        <v>11 Complete Medical Records, 45 Patient Portal Logins</v>
      </c>
      <c r="J243" s="14"/>
      <c r="K243" s="14"/>
      <c r="L243" s="32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hidden="1">
      <c r="A244" s="6" t="s">
        <v>226</v>
      </c>
      <c r="B244" s="16" t="s">
        <v>1121</v>
      </c>
      <c r="C244" s="16" t="s">
        <v>1122</v>
      </c>
      <c r="D244" s="16" t="s">
        <v>1123</v>
      </c>
      <c r="E244" s="310">
        <v>12.0</v>
      </c>
      <c r="F244" s="315">
        <v>50.0</v>
      </c>
      <c r="G244" s="320">
        <v>26.0</v>
      </c>
      <c r="H244" s="323" t="str">
        <f t="shared" si="3"/>
        <v>#REF!</v>
      </c>
      <c r="I244" s="12" t="str">
        <f t="shared" si="2"/>
        <v>12 Complete Medical Records, 50 Patient Portal Logins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hidden="1">
      <c r="A245" s="6" t="s">
        <v>226</v>
      </c>
      <c r="B245" s="16" t="s">
        <v>1124</v>
      </c>
      <c r="C245" s="16" t="s">
        <v>1125</v>
      </c>
      <c r="D245" s="16" t="s">
        <v>1126</v>
      </c>
      <c r="E245" s="306">
        <v>15.0</v>
      </c>
      <c r="F245" s="314">
        <v>0.0</v>
      </c>
      <c r="G245" s="320">
        <v>23.0</v>
      </c>
      <c r="H245" s="323" t="str">
        <f t="shared" si="3"/>
        <v>#REF!</v>
      </c>
      <c r="I245" s="12" t="str">
        <f t="shared" si="2"/>
        <v>15 Complete Medical Records, 0 Patient Portal Logins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hidden="1">
      <c r="A246" s="6" t="s">
        <v>226</v>
      </c>
      <c r="B246" s="16" t="s">
        <v>1127</v>
      </c>
      <c r="C246" s="16" t="s">
        <v>1128</v>
      </c>
      <c r="D246" s="16" t="s">
        <v>1129</v>
      </c>
      <c r="E246" s="310">
        <v>12.0</v>
      </c>
      <c r="F246" s="315">
        <v>0.0</v>
      </c>
      <c r="G246" s="320">
        <v>26.0</v>
      </c>
      <c r="H246" s="323" t="str">
        <f t="shared" si="3"/>
        <v>#REF!</v>
      </c>
      <c r="I246" s="12" t="str">
        <f t="shared" si="2"/>
        <v>12 Complete Medical Records, 0 Patient Portal Logins</v>
      </c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hidden="1">
      <c r="A247" s="6" t="s">
        <v>226</v>
      </c>
      <c r="B247" s="16" t="s">
        <v>1130</v>
      </c>
      <c r="C247" s="16" t="s">
        <v>1131</v>
      </c>
      <c r="D247" s="16" t="s">
        <v>1132</v>
      </c>
      <c r="E247" s="310">
        <v>12.0</v>
      </c>
      <c r="F247" s="315">
        <v>0.0</v>
      </c>
      <c r="G247" s="320">
        <v>26.0</v>
      </c>
      <c r="H247" s="323" t="str">
        <f t="shared" si="3"/>
        <v>#REF!</v>
      </c>
      <c r="I247" s="12" t="str">
        <f t="shared" si="2"/>
        <v>12 Complete Medical Records, 0 Patient Portal Logins</v>
      </c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hidden="1">
      <c r="A248" s="6" t="s">
        <v>226</v>
      </c>
      <c r="B248" s="16" t="s">
        <v>1133</v>
      </c>
      <c r="C248" s="16" t="s">
        <v>1134</v>
      </c>
      <c r="D248" s="16" t="s">
        <v>1135</v>
      </c>
      <c r="E248" s="306">
        <v>15.0</v>
      </c>
      <c r="F248" s="314">
        <v>0.0</v>
      </c>
      <c r="G248" s="320">
        <v>23.0</v>
      </c>
      <c r="H248" s="323" t="str">
        <f t="shared" si="3"/>
        <v>#REF!</v>
      </c>
      <c r="I248" s="12" t="str">
        <f t="shared" si="2"/>
        <v>15 Complete Medical Records, 0 Patient Portal Logins</v>
      </c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hidden="1">
      <c r="A249" s="6" t="s">
        <v>226</v>
      </c>
      <c r="B249" s="16" t="s">
        <v>1164</v>
      </c>
      <c r="C249" s="16" t="s">
        <v>1165</v>
      </c>
      <c r="D249" s="16" t="s">
        <v>1166</v>
      </c>
      <c r="E249" s="36"/>
      <c r="F249" s="38"/>
      <c r="G249" s="60"/>
      <c r="H249" s="323" t="str">
        <f t="shared" si="3"/>
        <v>#REF!</v>
      </c>
      <c r="I249" s="12" t="str">
        <f t="shared" si="2"/>
        <v> Complete Medical Records,  Patient Portal Logins</v>
      </c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hidden="1">
      <c r="A250" s="6" t="s">
        <v>226</v>
      </c>
      <c r="B250" s="16" t="s">
        <v>1136</v>
      </c>
      <c r="C250" s="16" t="s">
        <v>1137</v>
      </c>
      <c r="D250" s="16" t="s">
        <v>1138</v>
      </c>
      <c r="E250" s="312">
        <v>13.0</v>
      </c>
      <c r="F250" s="317">
        <v>0.0</v>
      </c>
      <c r="G250" s="320">
        <v>24.0</v>
      </c>
      <c r="H250" s="323" t="str">
        <f t="shared" si="3"/>
        <v>#REF!</v>
      </c>
      <c r="I250" s="12" t="str">
        <f t="shared" si="2"/>
        <v>13 Complete Medical Records, 0 Patient Portal Logins</v>
      </c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hidden="1">
      <c r="A251" s="6" t="s">
        <v>226</v>
      </c>
      <c r="B251" s="16" t="s">
        <v>1139</v>
      </c>
      <c r="C251" s="16" t="s">
        <v>1140</v>
      </c>
      <c r="D251" s="16" t="s">
        <v>1141</v>
      </c>
      <c r="E251" s="318">
        <v>13.0</v>
      </c>
      <c r="F251" s="315">
        <v>20.0</v>
      </c>
      <c r="G251" s="320">
        <v>24.0</v>
      </c>
      <c r="H251" s="323" t="str">
        <f t="shared" si="3"/>
        <v>#REF!</v>
      </c>
      <c r="I251" s="12" t="str">
        <f t="shared" si="2"/>
        <v>13 Complete Medical Records, 20 Patient Portal Logins</v>
      </c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hidden="1">
      <c r="A252" s="6" t="s">
        <v>226</v>
      </c>
      <c r="B252" s="16" t="s">
        <v>1142</v>
      </c>
      <c r="C252" s="16" t="s">
        <v>1143</v>
      </c>
      <c r="D252" s="16" t="s">
        <v>1144</v>
      </c>
      <c r="E252" s="306">
        <v>15.0</v>
      </c>
      <c r="F252" s="314">
        <v>14.0</v>
      </c>
      <c r="G252" s="320">
        <v>23.0</v>
      </c>
      <c r="H252" s="323" t="str">
        <f t="shared" si="3"/>
        <v>#REF!</v>
      </c>
      <c r="I252" s="12" t="str">
        <f t="shared" si="2"/>
        <v>15 Complete Medical Records, 14 Patient Portal Logins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hidden="1">
      <c r="A253" s="6" t="s">
        <v>226</v>
      </c>
      <c r="B253" s="16" t="s">
        <v>1145</v>
      </c>
      <c r="C253" s="16" t="s">
        <v>1146</v>
      </c>
      <c r="D253" s="16" t="s">
        <v>1147</v>
      </c>
      <c r="E253" s="312">
        <v>13.0</v>
      </c>
      <c r="F253" s="317">
        <v>0.0</v>
      </c>
      <c r="G253" s="320">
        <v>24.0</v>
      </c>
      <c r="H253" s="323" t="str">
        <f t="shared" si="3"/>
        <v>#REF!</v>
      </c>
      <c r="I253" s="12" t="str">
        <f t="shared" si="2"/>
        <v>13 Complete Medical Records, 0 Patient Portal Logins</v>
      </c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hidden="1">
      <c r="A254" s="6" t="s">
        <v>226</v>
      </c>
      <c r="B254" s="16" t="s">
        <v>1148</v>
      </c>
      <c r="C254" s="16" t="s">
        <v>1149</v>
      </c>
      <c r="D254" s="16" t="s">
        <v>1150</v>
      </c>
      <c r="E254" s="310">
        <v>23.0</v>
      </c>
      <c r="F254" s="315">
        <v>35.0</v>
      </c>
      <c r="G254" s="320">
        <v>10.0</v>
      </c>
      <c r="H254" s="323" t="str">
        <f t="shared" si="3"/>
        <v>#REF!</v>
      </c>
      <c r="I254" s="12" t="str">
        <f t="shared" si="2"/>
        <v>23 Complete Medical Records, 35 Patient Portal Logins</v>
      </c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hidden="1">
      <c r="A255" s="6" t="s">
        <v>226</v>
      </c>
      <c r="B255" s="16" t="s">
        <v>1151</v>
      </c>
      <c r="C255" s="16" t="s">
        <v>1152</v>
      </c>
      <c r="D255" s="16" t="s">
        <v>1153</v>
      </c>
      <c r="E255" s="310">
        <v>12.0</v>
      </c>
      <c r="F255" s="315">
        <v>29.0</v>
      </c>
      <c r="G255" s="320">
        <v>26.0</v>
      </c>
      <c r="H255" s="323" t="str">
        <f t="shared" si="3"/>
        <v>#REF!</v>
      </c>
      <c r="I255" s="12" t="str">
        <f t="shared" si="2"/>
        <v>12 Complete Medical Records, 29 Patient Portal Logins</v>
      </c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hidden="1">
      <c r="A256" s="6" t="s">
        <v>226</v>
      </c>
      <c r="B256" s="16" t="s">
        <v>1154</v>
      </c>
      <c r="C256" s="16" t="s">
        <v>1155</v>
      </c>
      <c r="D256" s="16" t="s">
        <v>1156</v>
      </c>
      <c r="E256" s="318">
        <v>1.0</v>
      </c>
      <c r="F256" s="315">
        <v>6.0</v>
      </c>
      <c r="G256" s="320">
        <v>4.0</v>
      </c>
      <c r="H256" s="323" t="str">
        <f t="shared" si="3"/>
        <v>#REF!</v>
      </c>
      <c r="I256" s="12" t="str">
        <f t="shared" si="2"/>
        <v>1 Complete Medical Records, 6 Patient Portal Logins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hidden="1">
      <c r="A257" s="6" t="s">
        <v>226</v>
      </c>
      <c r="B257" s="21" t="s">
        <v>1158</v>
      </c>
      <c r="C257" s="21" t="s">
        <v>1159</v>
      </c>
      <c r="D257" s="21" t="s">
        <v>1160</v>
      </c>
      <c r="E257" s="312">
        <v>13.0</v>
      </c>
      <c r="F257" s="317">
        <v>8.0</v>
      </c>
      <c r="G257" s="320">
        <v>24.0</v>
      </c>
      <c r="H257" s="323" t="str">
        <f t="shared" si="3"/>
        <v>#REF!</v>
      </c>
      <c r="I257" s="12" t="str">
        <f t="shared" si="2"/>
        <v>13 Complete Medical Records, 8 Patient Portal Logins</v>
      </c>
      <c r="J257" s="23"/>
      <c r="K257" s="23"/>
      <c r="L257" s="23"/>
      <c r="M257" s="14"/>
      <c r="N257" s="23"/>
      <c r="O257" s="23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hidden="1">
      <c r="A258" s="6" t="s">
        <v>226</v>
      </c>
      <c r="B258" s="21" t="s">
        <v>1161</v>
      </c>
      <c r="C258" s="21" t="s">
        <v>1162</v>
      </c>
      <c r="D258" s="21" t="s">
        <v>1163</v>
      </c>
      <c r="E258" s="306">
        <v>15.0</v>
      </c>
      <c r="F258" s="314">
        <v>0.0</v>
      </c>
      <c r="G258" s="320">
        <v>23.0</v>
      </c>
      <c r="H258" s="323" t="str">
        <f t="shared" si="3"/>
        <v>#REF!</v>
      </c>
      <c r="I258" s="12" t="str">
        <f t="shared" si="2"/>
        <v>15 Complete Medical Records, 0 Patient Portal Logins</v>
      </c>
      <c r="J258" s="23"/>
      <c r="K258" s="23"/>
      <c r="L258" s="23"/>
      <c r="M258" s="14"/>
      <c r="N258" s="23"/>
      <c r="O258" s="23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hidden="1">
      <c r="A259" s="6" t="s">
        <v>237</v>
      </c>
      <c r="B259" s="16" t="s">
        <v>996</v>
      </c>
      <c r="C259" s="16" t="s">
        <v>997</v>
      </c>
      <c r="D259" s="16" t="s">
        <v>1025</v>
      </c>
      <c r="E259" s="306">
        <v>0.0</v>
      </c>
      <c r="F259" s="311">
        <v>1.0</v>
      </c>
      <c r="G259" s="320">
        <v>18.0</v>
      </c>
      <c r="H259" s="323" t="str">
        <f t="shared" si="3"/>
        <v>#REF!</v>
      </c>
      <c r="I259" s="12" t="str">
        <f t="shared" si="2"/>
        <v>0 Complete Medical Records, 1 Patient Portal Logins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hidden="1">
      <c r="A260" s="6" t="s">
        <v>237</v>
      </c>
      <c r="B260" s="16" t="s">
        <v>20</v>
      </c>
      <c r="C260" s="16" t="s">
        <v>231</v>
      </c>
      <c r="D260" s="16" t="s">
        <v>22</v>
      </c>
      <c r="E260" s="306">
        <v>0.0</v>
      </c>
      <c r="F260" s="311">
        <v>0.0</v>
      </c>
      <c r="G260" s="320">
        <v>18.0</v>
      </c>
      <c r="H260" s="323" t="str">
        <f t="shared" si="3"/>
        <v>#REF!</v>
      </c>
      <c r="I260" s="12" t="str">
        <f t="shared" si="2"/>
        <v>0 Complete Medical Records, 0 Patient Portal Logins</v>
      </c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hidden="1">
      <c r="A261" s="6" t="s">
        <v>237</v>
      </c>
      <c r="B261" s="16" t="s">
        <v>648</v>
      </c>
      <c r="C261" s="16" t="s">
        <v>649</v>
      </c>
      <c r="D261" s="16" t="s">
        <v>650</v>
      </c>
      <c r="E261" s="310">
        <v>15.0</v>
      </c>
      <c r="F261" s="315">
        <v>0.0</v>
      </c>
      <c r="G261" s="320">
        <v>19.0</v>
      </c>
      <c r="H261" s="323" t="str">
        <f t="shared" si="3"/>
        <v>#REF!</v>
      </c>
      <c r="I261" s="12" t="str">
        <f t="shared" si="2"/>
        <v>15 Complete Medical Records, 0 Patient Portal Logins</v>
      </c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hidden="1">
      <c r="A262" s="6" t="s">
        <v>237</v>
      </c>
      <c r="B262" s="16" t="s">
        <v>571</v>
      </c>
      <c r="C262" s="16" t="s">
        <v>572</v>
      </c>
      <c r="D262" s="16" t="s">
        <v>573</v>
      </c>
      <c r="E262" s="306">
        <v>11.0</v>
      </c>
      <c r="F262" s="314">
        <v>0.0</v>
      </c>
      <c r="G262" s="320">
        <v>16.0</v>
      </c>
      <c r="H262" s="323" t="str">
        <f t="shared" si="3"/>
        <v>#REF!</v>
      </c>
      <c r="I262" s="12" t="str">
        <f t="shared" si="2"/>
        <v>11 Complete Medical Records, 0 Patient Portal Logins</v>
      </c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hidden="1">
      <c r="A263" s="6" t="s">
        <v>237</v>
      </c>
      <c r="B263" s="16" t="s">
        <v>1005</v>
      </c>
      <c r="C263" s="16" t="s">
        <v>1006</v>
      </c>
      <c r="D263" s="16" t="s">
        <v>1021</v>
      </c>
      <c r="E263" s="312">
        <v>16.0</v>
      </c>
      <c r="F263" s="317">
        <v>0.0</v>
      </c>
      <c r="G263" s="320">
        <v>30.0</v>
      </c>
      <c r="H263" s="323" t="str">
        <f t="shared" si="3"/>
        <v>#REF!</v>
      </c>
      <c r="I263" s="12" t="str">
        <f t="shared" si="2"/>
        <v>16 Complete Medical Records, 0 Patient Portal Logins</v>
      </c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hidden="1">
      <c r="A264" s="6" t="s">
        <v>237</v>
      </c>
      <c r="B264" s="16" t="s">
        <v>709</v>
      </c>
      <c r="C264" s="16" t="s">
        <v>710</v>
      </c>
      <c r="D264" s="16" t="s">
        <v>711</v>
      </c>
      <c r="E264" s="306">
        <v>0.0</v>
      </c>
      <c r="F264" s="314">
        <v>2.0</v>
      </c>
      <c r="G264" s="320">
        <v>18.0</v>
      </c>
      <c r="H264" s="323" t="str">
        <f t="shared" si="3"/>
        <v>#REF!</v>
      </c>
      <c r="I264" s="12" t="str">
        <f t="shared" si="2"/>
        <v>0 Complete Medical Records, 2 Patient Portal Logins</v>
      </c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hidden="1">
      <c r="A265" s="6" t="s">
        <v>237</v>
      </c>
      <c r="B265" s="16" t="s">
        <v>1036</v>
      </c>
      <c r="C265" s="16" t="s">
        <v>1037</v>
      </c>
      <c r="D265" s="16" t="s">
        <v>1038</v>
      </c>
      <c r="E265" s="306">
        <v>0.0</v>
      </c>
      <c r="F265" s="314">
        <v>0.0</v>
      </c>
      <c r="G265" s="320">
        <v>18.0</v>
      </c>
      <c r="H265" s="323" t="str">
        <f t="shared" si="3"/>
        <v>#REF!</v>
      </c>
      <c r="I265" s="12" t="str">
        <f t="shared" si="2"/>
        <v>0 Complete Medical Records, 0 Patient Portal Logins</v>
      </c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hidden="1">
      <c r="A266" s="6" t="s">
        <v>237</v>
      </c>
      <c r="B266" s="16" t="s">
        <v>1039</v>
      </c>
      <c r="C266" s="16" t="s">
        <v>1040</v>
      </c>
      <c r="D266" s="16" t="s">
        <v>1041</v>
      </c>
      <c r="E266" s="306">
        <v>0.0</v>
      </c>
      <c r="F266" s="314">
        <v>0.0</v>
      </c>
      <c r="G266" s="320">
        <v>18.0</v>
      </c>
      <c r="H266" s="323" t="str">
        <f t="shared" si="3"/>
        <v>#REF!</v>
      </c>
      <c r="I266" s="12" t="str">
        <f t="shared" si="2"/>
        <v>0 Complete Medical Records, 0 Patient Portal Logins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hidden="1">
      <c r="A267" s="6" t="s">
        <v>237</v>
      </c>
      <c r="B267" s="16" t="s">
        <v>1042</v>
      </c>
      <c r="C267" s="16" t="s">
        <v>1043</v>
      </c>
      <c r="D267" s="16" t="s">
        <v>1044</v>
      </c>
      <c r="E267" s="312">
        <v>16.0</v>
      </c>
      <c r="F267" s="317">
        <v>0.0</v>
      </c>
      <c r="G267" s="320">
        <v>30.0</v>
      </c>
      <c r="H267" s="323" t="str">
        <f t="shared" si="3"/>
        <v>#REF!</v>
      </c>
      <c r="I267" s="12" t="str">
        <f t="shared" si="2"/>
        <v>16 Complete Medical Records, 0 Patient Portal Logins</v>
      </c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hidden="1">
      <c r="A268" s="6" t="s">
        <v>237</v>
      </c>
      <c r="B268" s="16" t="s">
        <v>1045</v>
      </c>
      <c r="C268" s="16" t="s">
        <v>1046</v>
      </c>
      <c r="D268" s="16" t="s">
        <v>1047</v>
      </c>
      <c r="E268" s="306">
        <v>0.0</v>
      </c>
      <c r="F268" s="314">
        <v>0.0</v>
      </c>
      <c r="G268" s="320">
        <v>18.0</v>
      </c>
      <c r="H268" s="323" t="str">
        <f t="shared" si="3"/>
        <v>#REF!</v>
      </c>
      <c r="I268" s="12" t="str">
        <f t="shared" si="2"/>
        <v>0 Complete Medical Records, 0 Patient Portal Logins</v>
      </c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hidden="1">
      <c r="A269" s="6" t="s">
        <v>237</v>
      </c>
      <c r="B269" s="16" t="s">
        <v>742</v>
      </c>
      <c r="C269" s="16" t="s">
        <v>743</v>
      </c>
      <c r="D269" s="16" t="s">
        <v>979</v>
      </c>
      <c r="E269" s="310">
        <v>9.0</v>
      </c>
      <c r="F269" s="315">
        <v>0.0</v>
      </c>
      <c r="G269" s="320">
        <v>16.0</v>
      </c>
      <c r="H269" s="323" t="str">
        <f t="shared" si="3"/>
        <v>#REF!</v>
      </c>
      <c r="I269" s="12" t="str">
        <f t="shared" si="2"/>
        <v>9 Complete Medical Records, 0 Patient Portal Logins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hidden="1">
      <c r="A270" s="6" t="s">
        <v>237</v>
      </c>
      <c r="B270" s="16" t="s">
        <v>1049</v>
      </c>
      <c r="C270" s="16" t="s">
        <v>1050</v>
      </c>
      <c r="D270" s="16" t="s">
        <v>1051</v>
      </c>
      <c r="E270" s="322">
        <v>0.0</v>
      </c>
      <c r="F270" s="314">
        <v>0.0</v>
      </c>
      <c r="G270" s="320">
        <v>18.0</v>
      </c>
      <c r="H270" s="323" t="str">
        <f t="shared" si="3"/>
        <v>#REF!</v>
      </c>
      <c r="I270" s="12" t="str">
        <f t="shared" si="2"/>
        <v>0 Complete Medical Records, 0 Patient Portal Logins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hidden="1">
      <c r="A271" s="6" t="s">
        <v>237</v>
      </c>
      <c r="B271" s="16" t="s">
        <v>767</v>
      </c>
      <c r="C271" s="16" t="s">
        <v>768</v>
      </c>
      <c r="D271" s="16" t="s">
        <v>769</v>
      </c>
      <c r="E271" s="312">
        <v>16.0</v>
      </c>
      <c r="F271" s="317">
        <v>0.0</v>
      </c>
      <c r="G271" s="320">
        <v>30.0</v>
      </c>
      <c r="H271" s="323" t="str">
        <f t="shared" si="3"/>
        <v>#REF!</v>
      </c>
      <c r="I271" s="12" t="str">
        <f t="shared" si="2"/>
        <v>16 Complete Medical Records, 0 Patient Portal Logins</v>
      </c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hidden="1">
      <c r="A272" s="6" t="s">
        <v>237</v>
      </c>
      <c r="B272" s="16" t="s">
        <v>1052</v>
      </c>
      <c r="C272" s="16" t="s">
        <v>1053</v>
      </c>
      <c r="D272" s="16" t="s">
        <v>1054</v>
      </c>
      <c r="E272" s="306">
        <v>0.0</v>
      </c>
      <c r="F272" s="314">
        <v>0.0</v>
      </c>
      <c r="G272" s="320">
        <v>18.0</v>
      </c>
      <c r="H272" s="323" t="str">
        <f t="shared" si="3"/>
        <v>#REF!</v>
      </c>
      <c r="I272" s="12" t="str">
        <f t="shared" si="2"/>
        <v>0 Complete Medical Records, 0 Patient Portal Logins</v>
      </c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hidden="1">
      <c r="A273" s="6" t="s">
        <v>237</v>
      </c>
      <c r="B273" s="16" t="s">
        <v>1055</v>
      </c>
      <c r="C273" s="16" t="s">
        <v>1056</v>
      </c>
      <c r="D273" s="16" t="s">
        <v>1057</v>
      </c>
      <c r="E273" s="306">
        <v>11.0</v>
      </c>
      <c r="F273" s="314">
        <v>0.0</v>
      </c>
      <c r="G273" s="320">
        <v>16.0</v>
      </c>
      <c r="H273" s="323" t="str">
        <f t="shared" si="3"/>
        <v>#REF!</v>
      </c>
      <c r="I273" s="12" t="str">
        <f t="shared" si="2"/>
        <v>11 Complete Medical Records, 0 Patient Portal Logins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hidden="1">
      <c r="A274" s="6" t="s">
        <v>237</v>
      </c>
      <c r="B274" s="16" t="s">
        <v>1058</v>
      </c>
      <c r="C274" s="16" t="s">
        <v>1059</v>
      </c>
      <c r="D274" s="16" t="s">
        <v>1060</v>
      </c>
      <c r="E274" s="310">
        <v>9.0</v>
      </c>
      <c r="F274" s="315">
        <v>0.0</v>
      </c>
      <c r="G274" s="320">
        <v>16.0</v>
      </c>
      <c r="H274" s="323" t="str">
        <f t="shared" si="3"/>
        <v>#REF!</v>
      </c>
      <c r="I274" s="12" t="str">
        <f t="shared" si="2"/>
        <v>9 Complete Medical Records, 0 Patient Portal Logins</v>
      </c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hidden="1">
      <c r="A275" s="6" t="s">
        <v>237</v>
      </c>
      <c r="B275" s="16" t="s">
        <v>1061</v>
      </c>
      <c r="C275" s="16" t="s">
        <v>1062</v>
      </c>
      <c r="D275" s="16" t="s">
        <v>1063</v>
      </c>
      <c r="E275" s="310">
        <v>9.0</v>
      </c>
      <c r="F275" s="315">
        <v>0.0</v>
      </c>
      <c r="G275" s="320">
        <v>16.0</v>
      </c>
      <c r="H275" s="323" t="str">
        <f t="shared" si="3"/>
        <v>#REF!</v>
      </c>
      <c r="I275" s="12" t="str">
        <f t="shared" si="2"/>
        <v>9 Complete Medical Records, 0 Patient Portal Logins</v>
      </c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hidden="1">
      <c r="A276" s="6" t="s">
        <v>237</v>
      </c>
      <c r="B276" s="16" t="s">
        <v>1064</v>
      </c>
      <c r="C276" s="16" t="s">
        <v>1065</v>
      </c>
      <c r="D276" s="16" t="s">
        <v>1066</v>
      </c>
      <c r="E276" s="310">
        <v>9.0</v>
      </c>
      <c r="F276" s="315">
        <v>0.0</v>
      </c>
      <c r="G276" s="320">
        <v>16.0</v>
      </c>
      <c r="H276" s="323" t="str">
        <f t="shared" si="3"/>
        <v>#REF!</v>
      </c>
      <c r="I276" s="12" t="str">
        <f t="shared" si="2"/>
        <v>9 Complete Medical Records, 0 Patient Portal Logins</v>
      </c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hidden="1">
      <c r="A277" s="6" t="s">
        <v>237</v>
      </c>
      <c r="B277" s="16" t="s">
        <v>1067</v>
      </c>
      <c r="C277" s="16" t="s">
        <v>1068</v>
      </c>
      <c r="D277" s="16" t="s">
        <v>1069</v>
      </c>
      <c r="E277" s="310">
        <v>9.0</v>
      </c>
      <c r="F277" s="315">
        <v>0.0</v>
      </c>
      <c r="G277" s="320">
        <v>16.0</v>
      </c>
      <c r="H277" s="323" t="str">
        <f t="shared" si="3"/>
        <v>#REF!</v>
      </c>
      <c r="I277" s="12" t="str">
        <f t="shared" si="2"/>
        <v>9 Complete Medical Records, 0 Patient Portal Logins</v>
      </c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hidden="1">
      <c r="A278" s="6" t="s">
        <v>237</v>
      </c>
      <c r="B278" s="16" t="s">
        <v>1070</v>
      </c>
      <c r="C278" s="16" t="s">
        <v>1071</v>
      </c>
      <c r="D278" s="16" t="s">
        <v>1072</v>
      </c>
      <c r="E278" s="310">
        <v>9.0</v>
      </c>
      <c r="F278" s="315">
        <v>0.0</v>
      </c>
      <c r="G278" s="320">
        <v>16.0</v>
      </c>
      <c r="H278" s="323" t="str">
        <f t="shared" si="3"/>
        <v>#REF!</v>
      </c>
      <c r="I278" s="12" t="str">
        <f t="shared" si="2"/>
        <v>9 Complete Medical Records, 0 Patient Portal Logins</v>
      </c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hidden="1">
      <c r="A279" s="6" t="s">
        <v>237</v>
      </c>
      <c r="B279" s="16" t="s">
        <v>1073</v>
      </c>
      <c r="C279" s="16" t="s">
        <v>1074</v>
      </c>
      <c r="D279" s="16" t="s">
        <v>1075</v>
      </c>
      <c r="E279" s="310">
        <v>9.0</v>
      </c>
      <c r="F279" s="315">
        <v>0.0</v>
      </c>
      <c r="G279" s="320">
        <v>16.0</v>
      </c>
      <c r="H279" s="323" t="str">
        <f t="shared" si="3"/>
        <v>#REF!</v>
      </c>
      <c r="I279" s="12" t="str">
        <f t="shared" si="2"/>
        <v>9 Complete Medical Records, 0 Patient Portal Logins</v>
      </c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hidden="1">
      <c r="A280" s="6" t="s">
        <v>237</v>
      </c>
      <c r="B280" s="16" t="s">
        <v>1076</v>
      </c>
      <c r="C280" s="16" t="s">
        <v>1077</v>
      </c>
      <c r="D280" s="16" t="s">
        <v>1078</v>
      </c>
      <c r="E280" s="310">
        <v>15.0</v>
      </c>
      <c r="F280" s="315">
        <v>0.0</v>
      </c>
      <c r="G280" s="320">
        <v>19.0</v>
      </c>
      <c r="H280" s="323" t="str">
        <f t="shared" si="3"/>
        <v>#REF!</v>
      </c>
      <c r="I280" s="12" t="str">
        <f t="shared" si="2"/>
        <v>15 Complete Medical Records, 0 Patient Portal Logins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hidden="1">
      <c r="A281" s="6" t="s">
        <v>237</v>
      </c>
      <c r="B281" s="16" t="s">
        <v>1079</v>
      </c>
      <c r="C281" s="16" t="s">
        <v>1080</v>
      </c>
      <c r="D281" s="16" t="s">
        <v>1081</v>
      </c>
      <c r="E281" s="310">
        <v>15.0</v>
      </c>
      <c r="F281" s="315">
        <v>0.0</v>
      </c>
      <c r="G281" s="320">
        <v>19.0</v>
      </c>
      <c r="H281" s="323" t="str">
        <f t="shared" si="3"/>
        <v>#REF!</v>
      </c>
      <c r="I281" s="12" t="str">
        <f t="shared" si="2"/>
        <v>15 Complete Medical Records, 0 Patient Portal Logins</v>
      </c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hidden="1">
      <c r="A282" s="6" t="s">
        <v>237</v>
      </c>
      <c r="B282" s="16" t="s">
        <v>1082</v>
      </c>
      <c r="C282" s="16" t="s">
        <v>1083</v>
      </c>
      <c r="D282" s="16" t="s">
        <v>1084</v>
      </c>
      <c r="E282" s="310">
        <v>15.0</v>
      </c>
      <c r="F282" s="315">
        <v>0.0</v>
      </c>
      <c r="G282" s="320">
        <v>19.0</v>
      </c>
      <c r="H282" s="323" t="str">
        <f t="shared" si="3"/>
        <v>#REF!</v>
      </c>
      <c r="I282" s="12" t="str">
        <f t="shared" si="2"/>
        <v>15 Complete Medical Records, 0 Patient Portal Logins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hidden="1">
      <c r="A283" s="6" t="s">
        <v>237</v>
      </c>
      <c r="B283" s="16" t="s">
        <v>1085</v>
      </c>
      <c r="C283" s="16" t="s">
        <v>1086</v>
      </c>
      <c r="D283" s="16" t="s">
        <v>1087</v>
      </c>
      <c r="E283" s="306">
        <v>11.0</v>
      </c>
      <c r="F283" s="311">
        <v>2.0</v>
      </c>
      <c r="G283" s="320">
        <v>16.0</v>
      </c>
      <c r="H283" s="323" t="str">
        <f t="shared" si="3"/>
        <v>#REF!</v>
      </c>
      <c r="I283" s="12" t="str">
        <f t="shared" si="2"/>
        <v>11 Complete Medical Records, 2 Patient Portal Logins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hidden="1">
      <c r="A284" s="56" t="s">
        <v>237</v>
      </c>
      <c r="B284" s="57" t="s">
        <v>1088</v>
      </c>
      <c r="C284" s="57" t="s">
        <v>1089</v>
      </c>
      <c r="D284" s="57" t="s">
        <v>1090</v>
      </c>
      <c r="E284" s="337">
        <v>2.0</v>
      </c>
      <c r="F284" s="338">
        <v>24.0</v>
      </c>
      <c r="G284" s="328">
        <v>18.0</v>
      </c>
      <c r="H284" s="55" t="str">
        <f t="shared" si="3"/>
        <v>#REF!</v>
      </c>
      <c r="I284" s="55" t="str">
        <f t="shared" si="2"/>
        <v>2 Complete Medical Records, 24 Patient Portal Logins</v>
      </c>
      <c r="J284" s="60"/>
      <c r="K284" s="60"/>
      <c r="L284" s="205">
        <v>10600.0</v>
      </c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</row>
    <row r="285" hidden="1">
      <c r="A285" s="6" t="s">
        <v>237</v>
      </c>
      <c r="B285" s="16" t="s">
        <v>1091</v>
      </c>
      <c r="C285" s="16" t="s">
        <v>1092</v>
      </c>
      <c r="D285" s="16" t="s">
        <v>1093</v>
      </c>
      <c r="E285" s="306">
        <v>11.0</v>
      </c>
      <c r="F285" s="314">
        <v>0.0</v>
      </c>
      <c r="G285" s="320">
        <v>16.0</v>
      </c>
      <c r="H285" s="323" t="str">
        <f t="shared" si="3"/>
        <v>#REF!</v>
      </c>
      <c r="I285" s="39" t="str">
        <f t="shared" si="2"/>
        <v>11 Complete Medical Records, 0 Patient Portal Logins</v>
      </c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hidden="1">
      <c r="A286" s="6" t="s">
        <v>237</v>
      </c>
      <c r="B286" s="16" t="s">
        <v>1094</v>
      </c>
      <c r="C286" s="16" t="s">
        <v>1095</v>
      </c>
      <c r="D286" s="16" t="s">
        <v>1096</v>
      </c>
      <c r="E286" s="306">
        <v>11.0</v>
      </c>
      <c r="F286" s="314">
        <v>18.0</v>
      </c>
      <c r="G286" s="320">
        <v>16.0</v>
      </c>
      <c r="H286" s="323" t="str">
        <f t="shared" si="3"/>
        <v>#REF!</v>
      </c>
      <c r="I286" s="12" t="str">
        <f t="shared" si="2"/>
        <v>11 Complete Medical Records, 18 Patient Portal Logins</v>
      </c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hidden="1">
      <c r="A287" s="6" t="s">
        <v>237</v>
      </c>
      <c r="B287" s="16" t="s">
        <v>1097</v>
      </c>
      <c r="C287" s="16" t="s">
        <v>1098</v>
      </c>
      <c r="D287" s="16" t="s">
        <v>1099</v>
      </c>
      <c r="E287" s="310">
        <v>15.0</v>
      </c>
      <c r="F287" s="315">
        <v>0.0</v>
      </c>
      <c r="G287" s="320">
        <v>19.0</v>
      </c>
      <c r="H287" s="323" t="str">
        <f t="shared" si="3"/>
        <v>#REF!</v>
      </c>
      <c r="I287" s="12" t="str">
        <f t="shared" si="2"/>
        <v>15 Complete Medical Records, 0 Patient Portal Logins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hidden="1">
      <c r="A288" s="6" t="s">
        <v>237</v>
      </c>
      <c r="B288" s="16" t="s">
        <v>255</v>
      </c>
      <c r="C288" s="16" t="s">
        <v>256</v>
      </c>
      <c r="D288" s="16" t="s">
        <v>257</v>
      </c>
      <c r="E288" s="312">
        <v>16.0</v>
      </c>
      <c r="F288" s="317">
        <v>0.0</v>
      </c>
      <c r="G288" s="320">
        <v>30.0</v>
      </c>
      <c r="H288" s="323" t="str">
        <f t="shared" si="3"/>
        <v>#REF!</v>
      </c>
      <c r="I288" s="12" t="str">
        <f t="shared" si="2"/>
        <v>16 Complete Medical Records, 0 Patient Portal Logins</v>
      </c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hidden="1">
      <c r="A289" s="6" t="s">
        <v>237</v>
      </c>
      <c r="B289" s="16" t="s">
        <v>1100</v>
      </c>
      <c r="C289" s="16" t="s">
        <v>1101</v>
      </c>
      <c r="D289" s="16" t="s">
        <v>1102</v>
      </c>
      <c r="E289" s="312">
        <v>16.0</v>
      </c>
      <c r="F289" s="317">
        <v>11.0</v>
      </c>
      <c r="G289" s="320">
        <v>30.0</v>
      </c>
      <c r="H289" s="323" t="str">
        <f t="shared" si="3"/>
        <v>#REF!</v>
      </c>
      <c r="I289" s="12" t="str">
        <f t="shared" si="2"/>
        <v>16 Complete Medical Records, 11 Patient Portal Logins</v>
      </c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hidden="1">
      <c r="A290" s="6" t="s">
        <v>237</v>
      </c>
      <c r="B290" s="16" t="s">
        <v>1103</v>
      </c>
      <c r="C290" s="16" t="s">
        <v>1104</v>
      </c>
      <c r="D290" s="16" t="s">
        <v>1105</v>
      </c>
      <c r="E290" s="310">
        <v>9.0</v>
      </c>
      <c r="F290" s="315">
        <v>0.0</v>
      </c>
      <c r="G290" s="320">
        <v>16.0</v>
      </c>
      <c r="H290" s="323" t="str">
        <f t="shared" si="3"/>
        <v>#REF!</v>
      </c>
      <c r="I290" s="12" t="str">
        <f t="shared" si="2"/>
        <v>9 Complete Medical Records, 0 Patient Portal Logins</v>
      </c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hidden="1">
      <c r="A291" s="6" t="s">
        <v>237</v>
      </c>
      <c r="B291" s="16" t="s">
        <v>1106</v>
      </c>
      <c r="C291" s="16" t="s">
        <v>1107</v>
      </c>
      <c r="D291" s="16" t="s">
        <v>1108</v>
      </c>
      <c r="E291" s="306">
        <v>11.0</v>
      </c>
      <c r="F291" s="311">
        <v>7.0</v>
      </c>
      <c r="G291" s="320">
        <v>16.0</v>
      </c>
      <c r="H291" s="323" t="str">
        <f t="shared" si="3"/>
        <v>#REF!</v>
      </c>
      <c r="I291" s="12" t="str">
        <f t="shared" si="2"/>
        <v>11 Complete Medical Records, 7 Patient Portal Logins</v>
      </c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hidden="1">
      <c r="A292" s="6" t="s">
        <v>237</v>
      </c>
      <c r="B292" s="16" t="s">
        <v>1109</v>
      </c>
      <c r="C292" s="16" t="s">
        <v>1110</v>
      </c>
      <c r="D292" s="16" t="s">
        <v>1111</v>
      </c>
      <c r="E292" s="312">
        <v>16.0</v>
      </c>
      <c r="F292" s="317">
        <v>0.0</v>
      </c>
      <c r="G292" s="320">
        <v>30.0</v>
      </c>
      <c r="H292" s="323" t="str">
        <f t="shared" si="3"/>
        <v>#REF!</v>
      </c>
      <c r="I292" s="12" t="str">
        <f t="shared" si="2"/>
        <v>16 Complete Medical Records, 0 Patient Portal Logins</v>
      </c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hidden="1">
      <c r="A293" s="6" t="s">
        <v>237</v>
      </c>
      <c r="B293" s="16" t="s">
        <v>1112</v>
      </c>
      <c r="C293" s="16" t="s">
        <v>1113</v>
      </c>
      <c r="D293" s="16" t="s">
        <v>1114</v>
      </c>
      <c r="E293" s="310">
        <v>15.0</v>
      </c>
      <c r="F293" s="315">
        <v>0.0</v>
      </c>
      <c r="G293" s="320">
        <v>19.0</v>
      </c>
      <c r="H293" s="323" t="str">
        <f t="shared" si="3"/>
        <v>#REF!</v>
      </c>
      <c r="I293" s="12" t="str">
        <f t="shared" si="2"/>
        <v>15 Complete Medical Records, 0 Patient Portal Logins</v>
      </c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hidden="1">
      <c r="A294" s="6" t="s">
        <v>237</v>
      </c>
      <c r="B294" s="16" t="s">
        <v>1115</v>
      </c>
      <c r="C294" s="16" t="s">
        <v>1116</v>
      </c>
      <c r="D294" s="16" t="s">
        <v>1117</v>
      </c>
      <c r="E294" s="310">
        <v>9.0</v>
      </c>
      <c r="F294" s="315">
        <v>37.0</v>
      </c>
      <c r="G294" s="320">
        <v>16.0</v>
      </c>
      <c r="H294" s="323" t="str">
        <f t="shared" si="3"/>
        <v>#REF!</v>
      </c>
      <c r="I294" s="12" t="str">
        <f t="shared" si="2"/>
        <v>9 Complete Medical Records, 37 Patient Portal Logins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hidden="1">
      <c r="A295" s="6" t="s">
        <v>237</v>
      </c>
      <c r="B295" s="16" t="s">
        <v>1118</v>
      </c>
      <c r="C295" s="16" t="s">
        <v>1119</v>
      </c>
      <c r="D295" s="16" t="s">
        <v>1120</v>
      </c>
      <c r="E295" s="306">
        <v>17.0</v>
      </c>
      <c r="F295" s="315">
        <v>57.0</v>
      </c>
      <c r="G295" s="320">
        <v>18.0</v>
      </c>
      <c r="H295" s="323" t="str">
        <f t="shared" si="3"/>
        <v>#REF!</v>
      </c>
      <c r="I295" s="12" t="str">
        <f t="shared" si="2"/>
        <v>17 Complete Medical Records, 57 Patient Portal Logins</v>
      </c>
      <c r="J295" s="14"/>
      <c r="K295" s="14"/>
      <c r="L295" s="32">
        <v>3500.0</v>
      </c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hidden="1">
      <c r="A296" s="6" t="s">
        <v>237</v>
      </c>
      <c r="B296" s="16" t="s">
        <v>1121</v>
      </c>
      <c r="C296" s="16" t="s">
        <v>1122</v>
      </c>
      <c r="D296" s="16" t="s">
        <v>1123</v>
      </c>
      <c r="E296" s="310">
        <v>15.0</v>
      </c>
      <c r="F296" s="315">
        <v>56.0</v>
      </c>
      <c r="G296" s="320">
        <v>19.0</v>
      </c>
      <c r="H296" s="323" t="str">
        <f t="shared" si="3"/>
        <v>#REF!</v>
      </c>
      <c r="I296" s="12" t="str">
        <f t="shared" si="2"/>
        <v>15 Complete Medical Records, 56 Patient Portal Logins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hidden="1">
      <c r="A297" s="6" t="s">
        <v>237</v>
      </c>
      <c r="B297" s="16" t="s">
        <v>1124</v>
      </c>
      <c r="C297" s="16" t="s">
        <v>1125</v>
      </c>
      <c r="D297" s="16" t="s">
        <v>1126</v>
      </c>
      <c r="E297" s="306">
        <v>11.0</v>
      </c>
      <c r="F297" s="314">
        <v>0.0</v>
      </c>
      <c r="G297" s="320">
        <v>16.0</v>
      </c>
      <c r="H297" s="323" t="str">
        <f t="shared" si="3"/>
        <v>#REF!</v>
      </c>
      <c r="I297" s="12" t="str">
        <f t="shared" si="2"/>
        <v>11 Complete Medical Records, 0 Patient Portal Logins</v>
      </c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hidden="1">
      <c r="A298" s="6" t="s">
        <v>237</v>
      </c>
      <c r="B298" s="16" t="s">
        <v>1127</v>
      </c>
      <c r="C298" s="16" t="s">
        <v>1128</v>
      </c>
      <c r="D298" s="16" t="s">
        <v>1129</v>
      </c>
      <c r="E298" s="310">
        <v>15.0</v>
      </c>
      <c r="F298" s="315">
        <v>0.0</v>
      </c>
      <c r="G298" s="320">
        <v>19.0</v>
      </c>
      <c r="H298" s="323" t="str">
        <f t="shared" si="3"/>
        <v>#REF!</v>
      </c>
      <c r="I298" s="12" t="str">
        <f t="shared" si="2"/>
        <v>15 Complete Medical Records, 0 Patient Portal Logins</v>
      </c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hidden="1">
      <c r="A299" s="6" t="s">
        <v>237</v>
      </c>
      <c r="B299" s="16" t="s">
        <v>1130</v>
      </c>
      <c r="C299" s="16" t="s">
        <v>1131</v>
      </c>
      <c r="D299" s="16" t="s">
        <v>1132</v>
      </c>
      <c r="E299" s="310">
        <v>15.0</v>
      </c>
      <c r="F299" s="315">
        <v>0.0</v>
      </c>
      <c r="G299" s="320">
        <v>19.0</v>
      </c>
      <c r="H299" s="323" t="str">
        <f t="shared" si="3"/>
        <v>#REF!</v>
      </c>
      <c r="I299" s="12" t="str">
        <f t="shared" si="2"/>
        <v>15 Complete Medical Records, 0 Patient Portal Logins</v>
      </c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hidden="1">
      <c r="A300" s="6" t="s">
        <v>237</v>
      </c>
      <c r="B300" s="16" t="s">
        <v>1133</v>
      </c>
      <c r="C300" s="16" t="s">
        <v>1134</v>
      </c>
      <c r="D300" s="16" t="s">
        <v>1135</v>
      </c>
      <c r="E300" s="306">
        <v>11.0</v>
      </c>
      <c r="F300" s="314">
        <v>0.0</v>
      </c>
      <c r="G300" s="320">
        <v>16.0</v>
      </c>
      <c r="H300" s="323" t="str">
        <f t="shared" si="3"/>
        <v>#REF!</v>
      </c>
      <c r="I300" s="12" t="str">
        <f t="shared" si="2"/>
        <v>11 Complete Medical Records, 0 Patient Portal Logins</v>
      </c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hidden="1">
      <c r="A301" s="6" t="s">
        <v>237</v>
      </c>
      <c r="B301" s="16" t="s">
        <v>1164</v>
      </c>
      <c r="C301" s="16" t="s">
        <v>1165</v>
      </c>
      <c r="D301" s="16" t="s">
        <v>1166</v>
      </c>
      <c r="E301" s="36"/>
      <c r="F301" s="38"/>
      <c r="G301" s="60"/>
      <c r="H301" s="323" t="str">
        <f t="shared" si="3"/>
        <v>#REF!</v>
      </c>
      <c r="I301" s="12" t="str">
        <f t="shared" si="2"/>
        <v> Complete Medical Records,  Patient Portal Logins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hidden="1">
      <c r="A302" s="6" t="s">
        <v>237</v>
      </c>
      <c r="B302" s="16" t="s">
        <v>1136</v>
      </c>
      <c r="C302" s="16" t="s">
        <v>1137</v>
      </c>
      <c r="D302" s="16" t="s">
        <v>1138</v>
      </c>
      <c r="E302" s="312">
        <v>16.0</v>
      </c>
      <c r="F302" s="317">
        <v>0.0</v>
      </c>
      <c r="G302" s="320">
        <v>30.0</v>
      </c>
      <c r="H302" s="323" t="str">
        <f t="shared" si="3"/>
        <v>#REF!</v>
      </c>
      <c r="I302" s="12" t="str">
        <f t="shared" si="2"/>
        <v>16 Complete Medical Records, 0 Patient Portal Logins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hidden="1">
      <c r="A303" s="6" t="s">
        <v>237</v>
      </c>
      <c r="B303" s="16" t="s">
        <v>1139</v>
      </c>
      <c r="C303" s="16" t="s">
        <v>1140</v>
      </c>
      <c r="D303" s="16" t="s">
        <v>1141</v>
      </c>
      <c r="E303" s="318">
        <v>16.0</v>
      </c>
      <c r="F303" s="315">
        <v>27.0</v>
      </c>
      <c r="G303" s="320">
        <v>30.0</v>
      </c>
      <c r="H303" s="323" t="str">
        <f t="shared" si="3"/>
        <v>#REF!</v>
      </c>
      <c r="I303" s="12" t="str">
        <f t="shared" si="2"/>
        <v>16 Complete Medical Records, 27 Patient Portal Logins</v>
      </c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hidden="1">
      <c r="A304" s="6" t="s">
        <v>237</v>
      </c>
      <c r="B304" s="16" t="s">
        <v>1142</v>
      </c>
      <c r="C304" s="16" t="s">
        <v>1143</v>
      </c>
      <c r="D304" s="16" t="s">
        <v>1144</v>
      </c>
      <c r="E304" s="306">
        <v>11.0</v>
      </c>
      <c r="F304" s="314">
        <v>19.0</v>
      </c>
      <c r="G304" s="320">
        <v>16.0</v>
      </c>
      <c r="H304" s="323" t="str">
        <f t="shared" si="3"/>
        <v>#REF!</v>
      </c>
      <c r="I304" s="12" t="str">
        <f t="shared" si="2"/>
        <v>11 Complete Medical Records, 19 Patient Portal Logins</v>
      </c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hidden="1">
      <c r="A305" s="6" t="s">
        <v>237</v>
      </c>
      <c r="B305" s="16" t="s">
        <v>1145</v>
      </c>
      <c r="C305" s="16" t="s">
        <v>1146</v>
      </c>
      <c r="D305" s="16" t="s">
        <v>1147</v>
      </c>
      <c r="E305" s="312">
        <v>16.0</v>
      </c>
      <c r="F305" s="317">
        <v>0.0</v>
      </c>
      <c r="G305" s="320">
        <v>30.0</v>
      </c>
      <c r="H305" s="323" t="str">
        <f t="shared" si="3"/>
        <v>#REF!</v>
      </c>
      <c r="I305" s="12" t="str">
        <f t="shared" si="2"/>
        <v>16 Complete Medical Records, 0 Patient Portal Logins</v>
      </c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hidden="1">
      <c r="A306" s="6" t="s">
        <v>237</v>
      </c>
      <c r="B306" s="16" t="s">
        <v>1148</v>
      </c>
      <c r="C306" s="16" t="s">
        <v>1149</v>
      </c>
      <c r="D306" s="16" t="s">
        <v>1150</v>
      </c>
      <c r="E306" s="310">
        <v>9.0</v>
      </c>
      <c r="F306" s="315">
        <v>48.0</v>
      </c>
      <c r="G306" s="320">
        <v>16.0</v>
      </c>
      <c r="H306" s="323" t="str">
        <f t="shared" si="3"/>
        <v>#REF!</v>
      </c>
      <c r="I306" s="12" t="str">
        <f t="shared" si="2"/>
        <v>9 Complete Medical Records, 48 Patient Portal Logins</v>
      </c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hidden="1">
      <c r="A307" s="6" t="s">
        <v>237</v>
      </c>
      <c r="B307" s="16" t="s">
        <v>1151</v>
      </c>
      <c r="C307" s="16" t="s">
        <v>1152</v>
      </c>
      <c r="D307" s="16" t="s">
        <v>1153</v>
      </c>
      <c r="E307" s="310">
        <v>15.0</v>
      </c>
      <c r="F307" s="315">
        <v>36.0</v>
      </c>
      <c r="G307" s="320">
        <v>19.0</v>
      </c>
      <c r="H307" s="323" t="str">
        <f t="shared" si="3"/>
        <v>#REF!</v>
      </c>
      <c r="I307" s="12" t="str">
        <f t="shared" si="2"/>
        <v>15 Complete Medical Records, 36 Patient Portal Logins</v>
      </c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hidden="1">
      <c r="A308" s="6" t="s">
        <v>237</v>
      </c>
      <c r="B308" s="16" t="s">
        <v>1154</v>
      </c>
      <c r="C308" s="16" t="s">
        <v>1155</v>
      </c>
      <c r="D308" s="16" t="s">
        <v>1156</v>
      </c>
      <c r="E308" s="318">
        <v>0.0</v>
      </c>
      <c r="F308" s="315">
        <v>20.0</v>
      </c>
      <c r="G308" s="320">
        <v>2.0</v>
      </c>
      <c r="H308" s="323" t="str">
        <f t="shared" si="3"/>
        <v>#REF!</v>
      </c>
      <c r="I308" s="12" t="str">
        <f t="shared" si="2"/>
        <v>0 Complete Medical Records, 20 Patient Portal Logins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hidden="1">
      <c r="A309" s="6" t="s">
        <v>237</v>
      </c>
      <c r="B309" s="21" t="s">
        <v>1158</v>
      </c>
      <c r="C309" s="21" t="s">
        <v>1159</v>
      </c>
      <c r="D309" s="21" t="s">
        <v>1160</v>
      </c>
      <c r="E309" s="312">
        <v>16.0</v>
      </c>
      <c r="F309" s="317">
        <v>6.0</v>
      </c>
      <c r="G309" s="320">
        <v>30.0</v>
      </c>
      <c r="H309" s="323" t="str">
        <f t="shared" si="3"/>
        <v>#REF!</v>
      </c>
      <c r="I309" s="12" t="str">
        <f t="shared" si="2"/>
        <v>16 Complete Medical Records, 6 Patient Portal Logins</v>
      </c>
      <c r="J309" s="23"/>
      <c r="K309" s="23"/>
      <c r="L309" s="23"/>
      <c r="M309" s="14"/>
      <c r="N309" s="23"/>
      <c r="O309" s="23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hidden="1">
      <c r="A310" s="6" t="s">
        <v>237</v>
      </c>
      <c r="B310" s="21" t="s">
        <v>1161</v>
      </c>
      <c r="C310" s="21" t="s">
        <v>1162</v>
      </c>
      <c r="D310" s="21" t="s">
        <v>1163</v>
      </c>
      <c r="E310" s="306">
        <v>11.0</v>
      </c>
      <c r="F310" s="314">
        <v>0.0</v>
      </c>
      <c r="G310" s="320">
        <v>16.0</v>
      </c>
      <c r="H310" s="323" t="str">
        <f t="shared" si="3"/>
        <v>#REF!</v>
      </c>
      <c r="I310" s="12" t="str">
        <f t="shared" si="2"/>
        <v>11 Complete Medical Records, 0 Patient Portal Logins</v>
      </c>
      <c r="J310" s="23"/>
      <c r="K310" s="23"/>
      <c r="L310" s="23"/>
      <c r="M310" s="14"/>
      <c r="N310" s="23"/>
      <c r="O310" s="23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hidden="1">
      <c r="A311" s="6" t="s">
        <v>238</v>
      </c>
      <c r="B311" s="7" t="s">
        <v>996</v>
      </c>
      <c r="C311" s="7" t="s">
        <v>997</v>
      </c>
      <c r="D311" s="7" t="s">
        <v>1025</v>
      </c>
      <c r="E311" s="273"/>
      <c r="F311" s="339"/>
      <c r="G311" s="320"/>
      <c r="H311" s="323" t="str">
        <f t="shared" si="3"/>
        <v>#REF!</v>
      </c>
      <c r="I311" s="12" t="str">
        <f t="shared" si="2"/>
        <v> Complete Medical Records,  Patient Portal Logins</v>
      </c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hidden="1">
      <c r="A312" s="6" t="s">
        <v>238</v>
      </c>
      <c r="B312" s="7" t="s">
        <v>20</v>
      </c>
      <c r="C312" s="7" t="s">
        <v>231</v>
      </c>
      <c r="D312" s="7" t="s">
        <v>22</v>
      </c>
      <c r="E312" s="273"/>
      <c r="F312" s="339"/>
      <c r="G312" s="320"/>
      <c r="H312" s="323" t="str">
        <f t="shared" si="3"/>
        <v>#REF!</v>
      </c>
      <c r="I312" s="12" t="str">
        <f t="shared" si="2"/>
        <v> Complete Medical Records,  Patient Portal Logins</v>
      </c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hidden="1">
      <c r="A313" s="6" t="s">
        <v>238</v>
      </c>
      <c r="B313" s="7" t="s">
        <v>648</v>
      </c>
      <c r="C313" s="7" t="s">
        <v>649</v>
      </c>
      <c r="D313" s="7" t="s">
        <v>650</v>
      </c>
      <c r="E313" s="273"/>
      <c r="F313" s="339"/>
      <c r="G313" s="320"/>
      <c r="H313" s="323" t="str">
        <f t="shared" si="3"/>
        <v>#REF!</v>
      </c>
      <c r="I313" s="12" t="str">
        <f t="shared" si="2"/>
        <v> Complete Medical Records,  Patient Portal Logins</v>
      </c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hidden="1">
      <c r="A314" s="6" t="s">
        <v>238</v>
      </c>
      <c r="B314" s="7" t="s">
        <v>571</v>
      </c>
      <c r="C314" s="7" t="s">
        <v>572</v>
      </c>
      <c r="D314" s="7" t="s">
        <v>573</v>
      </c>
      <c r="E314" s="273"/>
      <c r="F314" s="339"/>
      <c r="G314" s="320"/>
      <c r="H314" s="323" t="str">
        <f t="shared" si="3"/>
        <v>#REF!</v>
      </c>
      <c r="I314" s="12" t="str">
        <f t="shared" si="2"/>
        <v> Complete Medical Records,  Patient Portal Logins</v>
      </c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hidden="1">
      <c r="A315" s="6" t="s">
        <v>238</v>
      </c>
      <c r="B315" s="7" t="s">
        <v>1005</v>
      </c>
      <c r="C315" s="7" t="s">
        <v>1006</v>
      </c>
      <c r="D315" s="7" t="s">
        <v>1021</v>
      </c>
      <c r="E315" s="273"/>
      <c r="F315" s="339"/>
      <c r="G315" s="320"/>
      <c r="H315" s="323" t="str">
        <f t="shared" si="3"/>
        <v>#REF!</v>
      </c>
      <c r="I315" s="12" t="str">
        <f t="shared" si="2"/>
        <v> Complete Medical Records,  Patient Portal Logins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hidden="1">
      <c r="A316" s="6" t="s">
        <v>238</v>
      </c>
      <c r="B316" s="16" t="s">
        <v>709</v>
      </c>
      <c r="C316" s="16" t="s">
        <v>710</v>
      </c>
      <c r="D316" s="16" t="s">
        <v>711</v>
      </c>
      <c r="E316" s="306">
        <v>0.0</v>
      </c>
      <c r="F316" s="314">
        <v>0.0</v>
      </c>
      <c r="G316" s="320">
        <v>14.0</v>
      </c>
      <c r="H316" s="323" t="str">
        <f t="shared" si="3"/>
        <v>#REF!</v>
      </c>
      <c r="I316" s="12" t="str">
        <f t="shared" si="2"/>
        <v>0 Complete Medical Records, 0 Patient Portal Logins</v>
      </c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hidden="1">
      <c r="A317" s="6" t="s">
        <v>238</v>
      </c>
      <c r="B317" s="16" t="s">
        <v>1036</v>
      </c>
      <c r="C317" s="16" t="s">
        <v>1037</v>
      </c>
      <c r="D317" s="16" t="s">
        <v>1038</v>
      </c>
      <c r="E317" s="306">
        <v>0.0</v>
      </c>
      <c r="F317" s="314">
        <v>0.0</v>
      </c>
      <c r="G317" s="320">
        <v>14.0</v>
      </c>
      <c r="H317" s="323" t="str">
        <f t="shared" si="3"/>
        <v>#REF!</v>
      </c>
      <c r="I317" s="12" t="str">
        <f t="shared" si="2"/>
        <v>0 Complete Medical Records, 0 Patient Portal Logins</v>
      </c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hidden="1">
      <c r="A318" s="6" t="s">
        <v>238</v>
      </c>
      <c r="B318" s="16" t="s">
        <v>1039</v>
      </c>
      <c r="C318" s="16" t="s">
        <v>1040</v>
      </c>
      <c r="D318" s="16" t="s">
        <v>1041</v>
      </c>
      <c r="E318" s="306">
        <v>0.0</v>
      </c>
      <c r="F318" s="314">
        <v>0.0</v>
      </c>
      <c r="G318" s="320">
        <v>14.0</v>
      </c>
      <c r="H318" s="323" t="str">
        <f t="shared" si="3"/>
        <v>#REF!</v>
      </c>
      <c r="I318" s="12" t="str">
        <f t="shared" si="2"/>
        <v>0 Complete Medical Records, 0 Patient Portal Logins</v>
      </c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hidden="1">
      <c r="A319" s="6" t="s">
        <v>238</v>
      </c>
      <c r="B319" s="16" t="s">
        <v>1042</v>
      </c>
      <c r="C319" s="16" t="s">
        <v>1043</v>
      </c>
      <c r="D319" s="16" t="s">
        <v>1044</v>
      </c>
      <c r="E319" s="312">
        <v>14.0</v>
      </c>
      <c r="F319" s="340">
        <v>0.0</v>
      </c>
      <c r="G319" s="320">
        <v>17.0</v>
      </c>
      <c r="H319" s="323" t="str">
        <f t="shared" si="3"/>
        <v>#REF!</v>
      </c>
      <c r="I319" s="12" t="str">
        <f t="shared" si="2"/>
        <v>14 Complete Medical Records, 0 Patient Portal Logins</v>
      </c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hidden="1">
      <c r="A320" s="6" t="s">
        <v>238</v>
      </c>
      <c r="B320" s="16" t="s">
        <v>1045</v>
      </c>
      <c r="C320" s="16" t="s">
        <v>1046</v>
      </c>
      <c r="D320" s="16" t="s">
        <v>1047</v>
      </c>
      <c r="E320" s="306">
        <v>0.0</v>
      </c>
      <c r="F320" s="314">
        <v>0.0</v>
      </c>
      <c r="G320" s="320">
        <v>14.0</v>
      </c>
      <c r="H320" s="323" t="str">
        <f t="shared" si="3"/>
        <v>#REF!</v>
      </c>
      <c r="I320" s="12" t="str">
        <f t="shared" si="2"/>
        <v>0 Complete Medical Records, 0 Patient Portal Logins</v>
      </c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hidden="1">
      <c r="A321" s="6" t="s">
        <v>238</v>
      </c>
      <c r="B321" s="7" t="s">
        <v>742</v>
      </c>
      <c r="C321" s="7" t="s">
        <v>743</v>
      </c>
      <c r="D321" s="7" t="s">
        <v>979</v>
      </c>
      <c r="E321" s="273"/>
      <c r="F321" s="339"/>
      <c r="G321" s="320"/>
      <c r="H321" s="323" t="str">
        <f t="shared" si="3"/>
        <v>#REF!</v>
      </c>
      <c r="I321" s="12" t="str">
        <f t="shared" si="2"/>
        <v> Complete Medical Records,  Patient Portal Logins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hidden="1">
      <c r="A322" s="6" t="s">
        <v>238</v>
      </c>
      <c r="B322" s="16" t="s">
        <v>1049</v>
      </c>
      <c r="C322" s="16" t="s">
        <v>1050</v>
      </c>
      <c r="D322" s="16" t="s">
        <v>1051</v>
      </c>
      <c r="E322" s="306">
        <v>0.0</v>
      </c>
      <c r="F322" s="314">
        <v>0.0</v>
      </c>
      <c r="G322" s="320">
        <v>14.0</v>
      </c>
      <c r="H322" s="323" t="str">
        <f t="shared" si="3"/>
        <v>#REF!</v>
      </c>
      <c r="I322" s="12" t="str">
        <f t="shared" si="2"/>
        <v>0 Complete Medical Records, 0 Patient Portal Logins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hidden="1">
      <c r="A323" s="6" t="s">
        <v>238</v>
      </c>
      <c r="B323" s="16" t="s">
        <v>767</v>
      </c>
      <c r="C323" s="16" t="s">
        <v>768</v>
      </c>
      <c r="D323" s="16" t="s">
        <v>769</v>
      </c>
      <c r="E323" s="312">
        <v>14.0</v>
      </c>
      <c r="F323" s="340">
        <v>0.0</v>
      </c>
      <c r="G323" s="320">
        <v>17.0</v>
      </c>
      <c r="H323" s="323" t="str">
        <f t="shared" si="3"/>
        <v>#REF!</v>
      </c>
      <c r="I323" s="12" t="str">
        <f t="shared" si="2"/>
        <v>14 Complete Medical Records, 0 Patient Portal Logins</v>
      </c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hidden="1">
      <c r="A324" s="6" t="s">
        <v>238</v>
      </c>
      <c r="B324" s="16" t="s">
        <v>1052</v>
      </c>
      <c r="C324" s="16" t="s">
        <v>1053</v>
      </c>
      <c r="D324" s="16" t="s">
        <v>1054</v>
      </c>
      <c r="E324" s="306">
        <v>0.0</v>
      </c>
      <c r="F324" s="314">
        <v>0.0</v>
      </c>
      <c r="G324" s="320">
        <v>14.0</v>
      </c>
      <c r="H324" s="323" t="str">
        <f t="shared" si="3"/>
        <v>#REF!</v>
      </c>
      <c r="I324" s="12" t="str">
        <f t="shared" si="2"/>
        <v>0 Complete Medical Records, 0 Patient Portal Logins</v>
      </c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hidden="1">
      <c r="A325" s="6" t="s">
        <v>238</v>
      </c>
      <c r="B325" s="16" t="s">
        <v>1167</v>
      </c>
      <c r="C325" s="16" t="s">
        <v>1168</v>
      </c>
      <c r="D325" s="16" t="s">
        <v>1169</v>
      </c>
      <c r="E325" s="273"/>
      <c r="F325" s="339"/>
      <c r="G325" s="320"/>
      <c r="H325" s="323" t="str">
        <f t="shared" si="3"/>
        <v>#REF!</v>
      </c>
      <c r="I325" s="12" t="str">
        <f t="shared" si="2"/>
        <v> Complete Medical Records,  Patient Portal Logins</v>
      </c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hidden="1">
      <c r="A326" s="6" t="s">
        <v>238</v>
      </c>
      <c r="B326" s="16" t="s">
        <v>1055</v>
      </c>
      <c r="C326" s="16" t="s">
        <v>1056</v>
      </c>
      <c r="D326" s="16" t="s">
        <v>1057</v>
      </c>
      <c r="E326" s="306">
        <v>15.0</v>
      </c>
      <c r="F326" s="314">
        <v>2.0</v>
      </c>
      <c r="G326" s="320">
        <v>18.0</v>
      </c>
      <c r="H326" s="323" t="str">
        <f t="shared" si="3"/>
        <v>#REF!</v>
      </c>
      <c r="I326" s="12" t="str">
        <f t="shared" si="2"/>
        <v>15 Complete Medical Records, 2 Patient Portal Logins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hidden="1">
      <c r="A327" s="6" t="s">
        <v>238</v>
      </c>
      <c r="B327" s="16" t="s">
        <v>1058</v>
      </c>
      <c r="C327" s="16" t="s">
        <v>1059</v>
      </c>
      <c r="D327" s="16" t="s">
        <v>1060</v>
      </c>
      <c r="E327" s="312">
        <v>15.0</v>
      </c>
      <c r="F327" s="317">
        <v>0.0</v>
      </c>
      <c r="G327" s="320">
        <v>15.0</v>
      </c>
      <c r="H327" s="323" t="str">
        <f t="shared" si="3"/>
        <v>#REF!</v>
      </c>
      <c r="I327" s="12" t="str">
        <f t="shared" si="2"/>
        <v>15 Complete Medical Records, 0 Patient Portal Logins</v>
      </c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hidden="1">
      <c r="A328" s="6" t="s">
        <v>238</v>
      </c>
      <c r="B328" s="16" t="s">
        <v>1061</v>
      </c>
      <c r="C328" s="16" t="s">
        <v>1062</v>
      </c>
      <c r="D328" s="16" t="s">
        <v>1063</v>
      </c>
      <c r="E328" s="310">
        <v>14.0</v>
      </c>
      <c r="F328" s="315">
        <v>0.0</v>
      </c>
      <c r="G328" s="320">
        <v>15.0</v>
      </c>
      <c r="H328" s="323" t="str">
        <f t="shared" si="3"/>
        <v>#REF!</v>
      </c>
      <c r="I328" s="12" t="str">
        <f t="shared" si="2"/>
        <v>14 Complete Medical Records, 0 Patient Portal Logins</v>
      </c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hidden="1">
      <c r="A329" s="6" t="s">
        <v>238</v>
      </c>
      <c r="B329" s="16" t="s">
        <v>1064</v>
      </c>
      <c r="C329" s="16" t="s">
        <v>1065</v>
      </c>
      <c r="D329" s="16" t="s">
        <v>1066</v>
      </c>
      <c r="E329" s="310">
        <v>14.0</v>
      </c>
      <c r="F329" s="315">
        <v>0.0</v>
      </c>
      <c r="G329" s="320">
        <v>15.0</v>
      </c>
      <c r="H329" s="323" t="str">
        <f t="shared" si="3"/>
        <v>#REF!</v>
      </c>
      <c r="I329" s="12" t="str">
        <f t="shared" si="2"/>
        <v>14 Complete Medical Records, 0 Patient Portal Logins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hidden="1">
      <c r="A330" s="6" t="s">
        <v>238</v>
      </c>
      <c r="B330" s="16" t="s">
        <v>1067</v>
      </c>
      <c r="C330" s="16" t="s">
        <v>1068</v>
      </c>
      <c r="D330" s="16" t="s">
        <v>1069</v>
      </c>
      <c r="E330" s="310">
        <v>14.0</v>
      </c>
      <c r="F330" s="315">
        <v>0.0</v>
      </c>
      <c r="G330" s="320">
        <v>15.0</v>
      </c>
      <c r="H330" s="323" t="str">
        <f t="shared" si="3"/>
        <v>#REF!</v>
      </c>
      <c r="I330" s="12" t="str">
        <f t="shared" si="2"/>
        <v>14 Complete Medical Records, 0 Patient Portal Logins</v>
      </c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hidden="1">
      <c r="A331" s="6" t="s">
        <v>238</v>
      </c>
      <c r="B331" s="16" t="s">
        <v>1070</v>
      </c>
      <c r="C331" s="16" t="s">
        <v>1071</v>
      </c>
      <c r="D331" s="16" t="s">
        <v>1072</v>
      </c>
      <c r="E331" s="310">
        <v>14.0</v>
      </c>
      <c r="F331" s="315">
        <v>0.0</v>
      </c>
      <c r="G331" s="320">
        <v>15.0</v>
      </c>
      <c r="H331" s="323" t="str">
        <f t="shared" si="3"/>
        <v>#REF!</v>
      </c>
      <c r="I331" s="12" t="str">
        <f t="shared" si="2"/>
        <v>14 Complete Medical Records, 0 Patient Portal Logins</v>
      </c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hidden="1">
      <c r="A332" s="6" t="s">
        <v>238</v>
      </c>
      <c r="B332" s="16" t="s">
        <v>1073</v>
      </c>
      <c r="C332" s="16" t="s">
        <v>1074</v>
      </c>
      <c r="D332" s="16" t="s">
        <v>1075</v>
      </c>
      <c r="E332" s="310">
        <v>14.0</v>
      </c>
      <c r="F332" s="315">
        <v>0.0</v>
      </c>
      <c r="G332" s="320">
        <v>15.0</v>
      </c>
      <c r="H332" s="323" t="str">
        <f t="shared" si="3"/>
        <v>#REF!</v>
      </c>
      <c r="I332" s="12" t="str">
        <f t="shared" si="2"/>
        <v>14 Complete Medical Records, 0 Patient Portal Logins</v>
      </c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hidden="1">
      <c r="A333" s="6" t="s">
        <v>238</v>
      </c>
      <c r="B333" s="16" t="s">
        <v>1076</v>
      </c>
      <c r="C333" s="16" t="s">
        <v>1077</v>
      </c>
      <c r="D333" s="16" t="s">
        <v>1078</v>
      </c>
      <c r="E333" s="310">
        <v>16.0</v>
      </c>
      <c r="F333" s="315">
        <v>0.0</v>
      </c>
      <c r="G333" s="320">
        <v>12.0</v>
      </c>
      <c r="H333" s="323" t="str">
        <f t="shared" si="3"/>
        <v>#REF!</v>
      </c>
      <c r="I333" s="12" t="str">
        <f t="shared" si="2"/>
        <v>16 Complete Medical Records, 0 Patient Portal Logins</v>
      </c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hidden="1">
      <c r="A334" s="6" t="s">
        <v>238</v>
      </c>
      <c r="B334" s="16" t="s">
        <v>1079</v>
      </c>
      <c r="C334" s="16" t="s">
        <v>1080</v>
      </c>
      <c r="D334" s="16" t="s">
        <v>1081</v>
      </c>
      <c r="E334" s="310">
        <v>16.0</v>
      </c>
      <c r="F334" s="315">
        <v>0.0</v>
      </c>
      <c r="G334" s="320">
        <v>12.0</v>
      </c>
      <c r="H334" s="323" t="str">
        <f t="shared" si="3"/>
        <v>#REF!</v>
      </c>
      <c r="I334" s="12" t="str">
        <f t="shared" si="2"/>
        <v>16 Complete Medical Records, 0 Patient Portal Logins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hidden="1">
      <c r="A335" s="6" t="s">
        <v>238</v>
      </c>
      <c r="B335" s="16" t="s">
        <v>1082</v>
      </c>
      <c r="C335" s="16" t="s">
        <v>1083</v>
      </c>
      <c r="D335" s="16" t="s">
        <v>1084</v>
      </c>
      <c r="E335" s="310">
        <v>16.0</v>
      </c>
      <c r="F335" s="315">
        <v>0.0</v>
      </c>
      <c r="G335" s="320">
        <v>12.0</v>
      </c>
      <c r="H335" s="323" t="str">
        <f t="shared" si="3"/>
        <v>#REF!</v>
      </c>
      <c r="I335" s="12" t="str">
        <f t="shared" si="2"/>
        <v>16 Complete Medical Records, 0 Patient Portal Logins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hidden="1">
      <c r="A336" s="6" t="s">
        <v>238</v>
      </c>
      <c r="B336" s="16" t="s">
        <v>1085</v>
      </c>
      <c r="C336" s="16" t="s">
        <v>1086</v>
      </c>
      <c r="D336" s="16" t="s">
        <v>1087</v>
      </c>
      <c r="E336" s="306">
        <v>15.0</v>
      </c>
      <c r="F336" s="314">
        <v>0.0</v>
      </c>
      <c r="G336" s="320">
        <v>18.0</v>
      </c>
      <c r="H336" s="323" t="str">
        <f t="shared" si="3"/>
        <v>#REF!</v>
      </c>
      <c r="I336" s="12" t="str">
        <f t="shared" si="2"/>
        <v>15 Complete Medical Records, 0 Patient Portal Logins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hidden="1">
      <c r="A337" s="6" t="s">
        <v>238</v>
      </c>
      <c r="B337" s="16" t="s">
        <v>1088</v>
      </c>
      <c r="C337" s="16" t="s">
        <v>1089</v>
      </c>
      <c r="D337" s="16" t="s">
        <v>1090</v>
      </c>
      <c r="E337" s="310">
        <v>16.0</v>
      </c>
      <c r="F337" s="314">
        <v>9.0</v>
      </c>
      <c r="G337" s="328">
        <v>14.0</v>
      </c>
      <c r="H337" s="323" t="str">
        <f t="shared" si="3"/>
        <v>#REF!</v>
      </c>
      <c r="I337" s="12" t="str">
        <f t="shared" si="2"/>
        <v>16 Complete Medical Records, 9 Patient Portal Logins</v>
      </c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hidden="1">
      <c r="A338" s="6" t="s">
        <v>238</v>
      </c>
      <c r="B338" s="16" t="s">
        <v>1091</v>
      </c>
      <c r="C338" s="16" t="s">
        <v>1092</v>
      </c>
      <c r="D338" s="16" t="s">
        <v>1093</v>
      </c>
      <c r="E338" s="306">
        <v>16.0</v>
      </c>
      <c r="F338" s="314">
        <v>0.0</v>
      </c>
      <c r="G338" s="320">
        <v>18.0</v>
      </c>
      <c r="H338" s="323" t="str">
        <f t="shared" si="3"/>
        <v>#REF!</v>
      </c>
      <c r="I338" s="39" t="str">
        <f t="shared" si="2"/>
        <v>16 Complete Medical Records, 0 Patient Portal Logins</v>
      </c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hidden="1">
      <c r="A339" s="6" t="s">
        <v>238</v>
      </c>
      <c r="B339" s="16" t="s">
        <v>1094</v>
      </c>
      <c r="C339" s="16" t="s">
        <v>1095</v>
      </c>
      <c r="D339" s="16" t="s">
        <v>1096</v>
      </c>
      <c r="E339" s="306">
        <v>16.0</v>
      </c>
      <c r="F339" s="314">
        <v>10.0</v>
      </c>
      <c r="G339" s="320">
        <v>18.0</v>
      </c>
      <c r="H339" s="323" t="str">
        <f t="shared" si="3"/>
        <v>#REF!</v>
      </c>
      <c r="I339" s="12" t="str">
        <f t="shared" si="2"/>
        <v>16 Complete Medical Records, 10 Patient Portal Logins</v>
      </c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hidden="1">
      <c r="A340" s="6" t="s">
        <v>238</v>
      </c>
      <c r="B340" s="16" t="s">
        <v>1097</v>
      </c>
      <c r="C340" s="16" t="s">
        <v>1098</v>
      </c>
      <c r="D340" s="16" t="s">
        <v>1099</v>
      </c>
      <c r="E340" s="341">
        <v>15.0</v>
      </c>
      <c r="F340" s="315">
        <v>0.0</v>
      </c>
      <c r="G340" s="320">
        <v>12.0</v>
      </c>
      <c r="H340" s="323" t="str">
        <f t="shared" si="3"/>
        <v>#REF!</v>
      </c>
      <c r="I340" s="12" t="str">
        <f t="shared" si="2"/>
        <v>15 Complete Medical Records, 0 Patient Portal Logins</v>
      </c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hidden="1">
      <c r="A341" s="6" t="s">
        <v>238</v>
      </c>
      <c r="B341" s="16" t="s">
        <v>255</v>
      </c>
      <c r="C341" s="16" t="s">
        <v>256</v>
      </c>
      <c r="D341" s="16" t="s">
        <v>257</v>
      </c>
      <c r="E341" s="312">
        <v>14.0</v>
      </c>
      <c r="F341" s="317">
        <v>0.0</v>
      </c>
      <c r="G341" s="320">
        <v>17.0</v>
      </c>
      <c r="H341" s="323" t="str">
        <f t="shared" si="3"/>
        <v>#REF!</v>
      </c>
      <c r="I341" s="12" t="str">
        <f t="shared" si="2"/>
        <v>14 Complete Medical Records, 0 Patient Portal Logins</v>
      </c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hidden="1">
      <c r="A342" s="6" t="s">
        <v>238</v>
      </c>
      <c r="B342" s="16" t="s">
        <v>1100</v>
      </c>
      <c r="C342" s="16" t="s">
        <v>1101</v>
      </c>
      <c r="D342" s="16" t="s">
        <v>1102</v>
      </c>
      <c r="E342" s="312">
        <v>14.0</v>
      </c>
      <c r="F342" s="317">
        <v>20.0</v>
      </c>
      <c r="G342" s="320">
        <v>17.0</v>
      </c>
      <c r="H342" s="323" t="str">
        <f t="shared" si="3"/>
        <v>#REF!</v>
      </c>
      <c r="I342" s="12" t="str">
        <f t="shared" si="2"/>
        <v>14 Complete Medical Records, 20 Patient Portal Logins</v>
      </c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hidden="1">
      <c r="A343" s="6" t="s">
        <v>238</v>
      </c>
      <c r="B343" s="16" t="s">
        <v>1103</v>
      </c>
      <c r="C343" s="16" t="s">
        <v>1104</v>
      </c>
      <c r="D343" s="16" t="s">
        <v>1105</v>
      </c>
      <c r="E343" s="310">
        <v>14.0</v>
      </c>
      <c r="F343" s="315">
        <v>0.0</v>
      </c>
      <c r="G343" s="320">
        <v>15.0</v>
      </c>
      <c r="H343" s="323" t="str">
        <f t="shared" si="3"/>
        <v>#REF!</v>
      </c>
      <c r="I343" s="12" t="str">
        <f t="shared" si="2"/>
        <v>14 Complete Medical Records, 0 Patient Portal Logins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hidden="1">
      <c r="A344" s="6" t="s">
        <v>238</v>
      </c>
      <c r="B344" s="16" t="s">
        <v>1106</v>
      </c>
      <c r="C344" s="16" t="s">
        <v>1107</v>
      </c>
      <c r="D344" s="16" t="s">
        <v>1108</v>
      </c>
      <c r="E344" s="306">
        <v>16.0</v>
      </c>
      <c r="F344" s="311">
        <v>12.0</v>
      </c>
      <c r="G344" s="320">
        <v>18.0</v>
      </c>
      <c r="H344" s="323" t="str">
        <f t="shared" si="3"/>
        <v>#REF!</v>
      </c>
      <c r="I344" s="12" t="str">
        <f t="shared" si="2"/>
        <v>16 Complete Medical Records, 12 Patient Portal Logins</v>
      </c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hidden="1">
      <c r="A345" s="6" t="s">
        <v>238</v>
      </c>
      <c r="B345" s="16" t="s">
        <v>1109</v>
      </c>
      <c r="C345" s="16" t="s">
        <v>1110</v>
      </c>
      <c r="D345" s="16" t="s">
        <v>1111</v>
      </c>
      <c r="E345" s="312">
        <v>14.0</v>
      </c>
      <c r="F345" s="340">
        <v>0.0</v>
      </c>
      <c r="G345" s="320">
        <v>17.0</v>
      </c>
      <c r="H345" s="323" t="str">
        <f t="shared" si="3"/>
        <v>#REF!</v>
      </c>
      <c r="I345" s="12" t="str">
        <f t="shared" si="2"/>
        <v>14 Complete Medical Records, 0 Patient Portal Logins</v>
      </c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hidden="1">
      <c r="A346" s="6" t="s">
        <v>238</v>
      </c>
      <c r="B346" s="16" t="s">
        <v>1112</v>
      </c>
      <c r="C346" s="16" t="s">
        <v>1113</v>
      </c>
      <c r="D346" s="16" t="s">
        <v>1114</v>
      </c>
      <c r="E346" s="310">
        <v>16.0</v>
      </c>
      <c r="F346" s="315">
        <v>0.0</v>
      </c>
      <c r="G346" s="320">
        <v>12.0</v>
      </c>
      <c r="H346" s="323" t="str">
        <f t="shared" si="3"/>
        <v>#REF!</v>
      </c>
      <c r="I346" s="12" t="str">
        <f t="shared" si="2"/>
        <v>16 Complete Medical Records, 0 Patient Portal Logins</v>
      </c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hidden="1">
      <c r="A347" s="6" t="s">
        <v>238</v>
      </c>
      <c r="B347" s="16" t="s">
        <v>1115</v>
      </c>
      <c r="C347" s="16" t="s">
        <v>1116</v>
      </c>
      <c r="D347" s="16" t="s">
        <v>1117</v>
      </c>
      <c r="E347" s="310">
        <v>14.0</v>
      </c>
      <c r="F347" s="315">
        <v>35.0</v>
      </c>
      <c r="G347" s="320">
        <v>15.0</v>
      </c>
      <c r="H347" s="323" t="str">
        <f t="shared" si="3"/>
        <v>#REF!</v>
      </c>
      <c r="I347" s="12" t="str">
        <f t="shared" si="2"/>
        <v>14 Complete Medical Records, 35 Patient Portal Logins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hidden="1">
      <c r="A348" s="6" t="s">
        <v>238</v>
      </c>
      <c r="B348" s="16" t="s">
        <v>1118</v>
      </c>
      <c r="C348" s="16" t="s">
        <v>1119</v>
      </c>
      <c r="D348" s="16" t="s">
        <v>1120</v>
      </c>
      <c r="E348" s="306">
        <v>0.0</v>
      </c>
      <c r="F348" s="311">
        <v>19.0</v>
      </c>
      <c r="G348" s="320">
        <v>14.0</v>
      </c>
      <c r="H348" s="323" t="str">
        <f t="shared" si="3"/>
        <v>#REF!</v>
      </c>
      <c r="I348" s="12" t="str">
        <f t="shared" si="2"/>
        <v>0 Complete Medical Records, 19 Patient Portal Logins</v>
      </c>
      <c r="J348" s="14"/>
      <c r="K348" s="14"/>
      <c r="L348" s="14">
        <v>3500.0</v>
      </c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hidden="1">
      <c r="A349" s="6" t="s">
        <v>238</v>
      </c>
      <c r="B349" s="16" t="s">
        <v>1121</v>
      </c>
      <c r="C349" s="16" t="s">
        <v>1122</v>
      </c>
      <c r="D349" s="16" t="s">
        <v>1123</v>
      </c>
      <c r="E349" s="310">
        <v>16.0</v>
      </c>
      <c r="F349" s="315">
        <v>47.0</v>
      </c>
      <c r="G349" s="320">
        <v>12.0</v>
      </c>
      <c r="H349" s="323" t="str">
        <f t="shared" si="3"/>
        <v>#REF!</v>
      </c>
      <c r="I349" s="12" t="str">
        <f t="shared" si="2"/>
        <v>16 Complete Medical Records, 47 Patient Portal Logins</v>
      </c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hidden="1">
      <c r="A350" s="6" t="s">
        <v>238</v>
      </c>
      <c r="B350" s="16" t="s">
        <v>1124</v>
      </c>
      <c r="C350" s="16" t="s">
        <v>1125</v>
      </c>
      <c r="D350" s="16" t="s">
        <v>1126</v>
      </c>
      <c r="E350" s="306">
        <v>16.0</v>
      </c>
      <c r="F350" s="314">
        <v>0.0</v>
      </c>
      <c r="G350" s="320">
        <v>18.0</v>
      </c>
      <c r="H350" s="323" t="str">
        <f t="shared" si="3"/>
        <v>#REF!</v>
      </c>
      <c r="I350" s="12" t="str">
        <f t="shared" si="2"/>
        <v>16 Complete Medical Records, 0 Patient Portal Logins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hidden="1">
      <c r="A351" s="6" t="s">
        <v>238</v>
      </c>
      <c r="B351" s="16" t="s">
        <v>1127</v>
      </c>
      <c r="C351" s="16" t="s">
        <v>1128</v>
      </c>
      <c r="D351" s="16" t="s">
        <v>1129</v>
      </c>
      <c r="E351" s="310">
        <v>16.0</v>
      </c>
      <c r="F351" s="315">
        <v>0.0</v>
      </c>
      <c r="G351" s="320">
        <v>12.0</v>
      </c>
      <c r="H351" s="323" t="str">
        <f t="shared" si="3"/>
        <v>#REF!</v>
      </c>
      <c r="I351" s="12" t="str">
        <f t="shared" si="2"/>
        <v>16 Complete Medical Records, 0 Patient Portal Logins</v>
      </c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hidden="1">
      <c r="A352" s="6" t="s">
        <v>238</v>
      </c>
      <c r="B352" s="16" t="s">
        <v>1130</v>
      </c>
      <c r="C352" s="16" t="s">
        <v>1131</v>
      </c>
      <c r="D352" s="16" t="s">
        <v>1132</v>
      </c>
      <c r="E352" s="310">
        <v>16.0</v>
      </c>
      <c r="F352" s="315">
        <v>0.0</v>
      </c>
      <c r="G352" s="320">
        <v>12.0</v>
      </c>
      <c r="H352" s="323" t="str">
        <f t="shared" si="3"/>
        <v>#REF!</v>
      </c>
      <c r="I352" s="12" t="str">
        <f t="shared" si="2"/>
        <v>16 Complete Medical Records, 0 Patient Portal Logins</v>
      </c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hidden="1">
      <c r="A353" s="6" t="s">
        <v>238</v>
      </c>
      <c r="B353" s="16" t="s">
        <v>1133</v>
      </c>
      <c r="C353" s="16" t="s">
        <v>1134</v>
      </c>
      <c r="D353" s="16" t="s">
        <v>1135</v>
      </c>
      <c r="E353" s="306">
        <v>16.0</v>
      </c>
      <c r="F353" s="314">
        <v>0.0</v>
      </c>
      <c r="G353" s="320">
        <v>18.0</v>
      </c>
      <c r="H353" s="323" t="str">
        <f t="shared" si="3"/>
        <v>#REF!</v>
      </c>
      <c r="I353" s="12" t="str">
        <f t="shared" si="2"/>
        <v>16 Complete Medical Records, 0 Patient Portal Logins</v>
      </c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hidden="1">
      <c r="A354" s="6" t="s">
        <v>238</v>
      </c>
      <c r="B354" s="16" t="s">
        <v>1164</v>
      </c>
      <c r="C354" s="16" t="s">
        <v>1165</v>
      </c>
      <c r="D354" s="16" t="s">
        <v>1166</v>
      </c>
      <c r="E354" s="36"/>
      <c r="F354" s="38"/>
      <c r="G354" s="342"/>
      <c r="H354" s="323" t="str">
        <f t="shared" si="3"/>
        <v>#REF!</v>
      </c>
      <c r="I354" s="12" t="str">
        <f t="shared" si="2"/>
        <v> Complete Medical Records,  Patient Portal Logins</v>
      </c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hidden="1">
      <c r="A355" s="6" t="s">
        <v>238</v>
      </c>
      <c r="B355" s="16" t="s">
        <v>1136</v>
      </c>
      <c r="C355" s="16" t="s">
        <v>1137</v>
      </c>
      <c r="D355" s="16" t="s">
        <v>1138</v>
      </c>
      <c r="E355" s="312">
        <v>14.0</v>
      </c>
      <c r="F355" s="340">
        <v>0.0</v>
      </c>
      <c r="G355" s="320">
        <v>17.0</v>
      </c>
      <c r="H355" s="323" t="str">
        <f t="shared" si="3"/>
        <v>#REF!</v>
      </c>
      <c r="I355" s="12" t="str">
        <f t="shared" si="2"/>
        <v>14 Complete Medical Records, 0 Patient Portal Logins</v>
      </c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hidden="1">
      <c r="A356" s="6" t="s">
        <v>238</v>
      </c>
      <c r="B356" s="16" t="s">
        <v>1139</v>
      </c>
      <c r="C356" s="16" t="s">
        <v>1140</v>
      </c>
      <c r="D356" s="16" t="s">
        <v>1141</v>
      </c>
      <c r="E356" s="318">
        <v>14.0</v>
      </c>
      <c r="F356" s="315">
        <v>13.0</v>
      </c>
      <c r="G356" s="320">
        <v>17.0</v>
      </c>
      <c r="H356" s="323" t="str">
        <f t="shared" si="3"/>
        <v>#REF!</v>
      </c>
      <c r="I356" s="12" t="str">
        <f t="shared" si="2"/>
        <v>14 Complete Medical Records, 13 Patient Portal Logins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hidden="1">
      <c r="A357" s="6" t="s">
        <v>238</v>
      </c>
      <c r="B357" s="16" t="s">
        <v>1142</v>
      </c>
      <c r="C357" s="16" t="s">
        <v>1143</v>
      </c>
      <c r="D357" s="16" t="s">
        <v>1144</v>
      </c>
      <c r="E357" s="306">
        <v>16.0</v>
      </c>
      <c r="F357" s="314">
        <v>22.0</v>
      </c>
      <c r="G357" s="320">
        <v>18.0</v>
      </c>
      <c r="H357" s="323" t="str">
        <f t="shared" si="3"/>
        <v>#REF!</v>
      </c>
      <c r="I357" s="12" t="str">
        <f t="shared" si="2"/>
        <v>16 Complete Medical Records, 22 Patient Portal Logins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hidden="1">
      <c r="A358" s="6" t="s">
        <v>238</v>
      </c>
      <c r="B358" s="16" t="s">
        <v>1145</v>
      </c>
      <c r="C358" s="16" t="s">
        <v>1146</v>
      </c>
      <c r="D358" s="16" t="s">
        <v>1147</v>
      </c>
      <c r="E358" s="312">
        <v>14.0</v>
      </c>
      <c r="F358" s="340">
        <v>0.0</v>
      </c>
      <c r="G358" s="320">
        <v>17.0</v>
      </c>
      <c r="H358" s="323" t="str">
        <f t="shared" si="3"/>
        <v>#REF!</v>
      </c>
      <c r="I358" s="12" t="str">
        <f t="shared" si="2"/>
        <v>14 Complete Medical Records, 0 Patient Portal Logins</v>
      </c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hidden="1">
      <c r="A359" s="6" t="s">
        <v>238</v>
      </c>
      <c r="B359" s="16" t="s">
        <v>1148</v>
      </c>
      <c r="C359" s="16" t="s">
        <v>1149</v>
      </c>
      <c r="D359" s="16" t="s">
        <v>1150</v>
      </c>
      <c r="E359" s="310">
        <v>14.0</v>
      </c>
      <c r="F359" s="315">
        <v>22.0</v>
      </c>
      <c r="G359" s="320">
        <v>15.0</v>
      </c>
      <c r="H359" s="323" t="str">
        <f t="shared" si="3"/>
        <v>#REF!</v>
      </c>
      <c r="I359" s="12" t="str">
        <f t="shared" si="2"/>
        <v>14 Complete Medical Records, 22 Patient Portal Logins</v>
      </c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hidden="1">
      <c r="A360" s="6" t="s">
        <v>238</v>
      </c>
      <c r="B360" s="16" t="s">
        <v>1151</v>
      </c>
      <c r="C360" s="16" t="s">
        <v>1152</v>
      </c>
      <c r="D360" s="16" t="s">
        <v>1153</v>
      </c>
      <c r="E360" s="310">
        <v>16.0</v>
      </c>
      <c r="F360" s="315">
        <v>25.0</v>
      </c>
      <c r="G360" s="320">
        <v>12.0</v>
      </c>
      <c r="H360" s="323" t="str">
        <f t="shared" si="3"/>
        <v>#REF!</v>
      </c>
      <c r="I360" s="12" t="str">
        <f t="shared" si="2"/>
        <v>16 Complete Medical Records, 25 Patient Portal Logins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hidden="1">
      <c r="A361" s="6" t="s">
        <v>238</v>
      </c>
      <c r="B361" s="16" t="s">
        <v>1154</v>
      </c>
      <c r="C361" s="16" t="s">
        <v>1155</v>
      </c>
      <c r="D361" s="16" t="s">
        <v>1156</v>
      </c>
      <c r="E361" s="318">
        <v>2.0</v>
      </c>
      <c r="F361" s="315">
        <v>10.0</v>
      </c>
      <c r="G361" s="320">
        <v>10.0</v>
      </c>
      <c r="H361" s="323" t="str">
        <f t="shared" si="3"/>
        <v>#REF!</v>
      </c>
      <c r="I361" s="12" t="str">
        <f t="shared" si="2"/>
        <v>2 Complete Medical Records, 10 Patient Portal Logins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hidden="1">
      <c r="A362" s="6" t="s">
        <v>238</v>
      </c>
      <c r="B362" s="21" t="s">
        <v>1158</v>
      </c>
      <c r="C362" s="21" t="s">
        <v>1159</v>
      </c>
      <c r="D362" s="21" t="s">
        <v>1160</v>
      </c>
      <c r="E362" s="312">
        <v>14.0</v>
      </c>
      <c r="F362" s="317">
        <v>14.0</v>
      </c>
      <c r="G362" s="320">
        <v>17.0</v>
      </c>
      <c r="H362" s="323" t="str">
        <f t="shared" si="3"/>
        <v>#REF!</v>
      </c>
      <c r="I362" s="12" t="str">
        <f t="shared" si="2"/>
        <v>14 Complete Medical Records, 14 Patient Portal Logins</v>
      </c>
      <c r="J362" s="23"/>
      <c r="K362" s="23"/>
      <c r="L362" s="23"/>
      <c r="M362" s="14"/>
      <c r="N362" s="23"/>
      <c r="O362" s="23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hidden="1">
      <c r="A363" s="6" t="s">
        <v>238</v>
      </c>
      <c r="B363" s="21" t="s">
        <v>1161</v>
      </c>
      <c r="C363" s="21" t="s">
        <v>1162</v>
      </c>
      <c r="D363" s="21" t="s">
        <v>1163</v>
      </c>
      <c r="E363" s="306">
        <v>16.0</v>
      </c>
      <c r="F363" s="314">
        <v>0.0</v>
      </c>
      <c r="G363" s="320">
        <v>18.0</v>
      </c>
      <c r="H363" s="323" t="str">
        <f t="shared" si="3"/>
        <v>#REF!</v>
      </c>
      <c r="I363" s="12" t="str">
        <f t="shared" si="2"/>
        <v>16 Complete Medical Records, 0 Patient Portal Logins</v>
      </c>
      <c r="J363" s="23"/>
      <c r="K363" s="23"/>
      <c r="L363" s="23"/>
      <c r="M363" s="14"/>
      <c r="N363" s="23"/>
      <c r="O363" s="23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hidden="1">
      <c r="A364" s="6" t="s">
        <v>239</v>
      </c>
      <c r="B364" s="16" t="s">
        <v>709</v>
      </c>
      <c r="C364" s="16" t="s">
        <v>710</v>
      </c>
      <c r="D364" s="16" t="s">
        <v>711</v>
      </c>
      <c r="E364" s="306">
        <v>0.0</v>
      </c>
      <c r="F364" s="314">
        <v>0.0</v>
      </c>
      <c r="G364" s="320">
        <v>15.0</v>
      </c>
      <c r="H364" s="323" t="str">
        <f t="shared" si="3"/>
        <v>#REF!</v>
      </c>
      <c r="I364" s="12" t="str">
        <f t="shared" si="2"/>
        <v>0 Complete Medical Records, 0 Patient Portal Logins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hidden="1">
      <c r="A365" s="6" t="s">
        <v>239</v>
      </c>
      <c r="B365" s="16" t="s">
        <v>1036</v>
      </c>
      <c r="C365" s="16" t="s">
        <v>1037</v>
      </c>
      <c r="D365" s="16" t="s">
        <v>1038</v>
      </c>
      <c r="E365" s="306">
        <v>0.0</v>
      </c>
      <c r="F365" s="314">
        <v>0.0</v>
      </c>
      <c r="G365" s="320">
        <v>15.0</v>
      </c>
      <c r="H365" s="323" t="str">
        <f t="shared" si="3"/>
        <v>#REF!</v>
      </c>
      <c r="I365" s="12" t="str">
        <f t="shared" si="2"/>
        <v>0 Complete Medical Records, 0 Patient Portal Logins</v>
      </c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hidden="1">
      <c r="A366" s="6" t="s">
        <v>239</v>
      </c>
      <c r="B366" s="16" t="s">
        <v>1039</v>
      </c>
      <c r="C366" s="16" t="s">
        <v>1040</v>
      </c>
      <c r="D366" s="16" t="s">
        <v>1041</v>
      </c>
      <c r="E366" s="306">
        <v>0.0</v>
      </c>
      <c r="F366" s="314">
        <v>0.0</v>
      </c>
      <c r="G366" s="320">
        <v>15.0</v>
      </c>
      <c r="H366" s="323" t="str">
        <f t="shared" si="3"/>
        <v>#REF!</v>
      </c>
      <c r="I366" s="12" t="str">
        <f t="shared" si="2"/>
        <v>0 Complete Medical Records, 0 Patient Portal Logins</v>
      </c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hidden="1">
      <c r="A367" s="6" t="s">
        <v>239</v>
      </c>
      <c r="B367" s="16" t="s">
        <v>1042</v>
      </c>
      <c r="C367" s="16" t="s">
        <v>1043</v>
      </c>
      <c r="D367" s="16" t="s">
        <v>1044</v>
      </c>
      <c r="E367" s="306">
        <v>14.0</v>
      </c>
      <c r="F367" s="314">
        <v>0.0</v>
      </c>
      <c r="G367" s="320">
        <v>13.0</v>
      </c>
      <c r="H367" s="323" t="str">
        <f t="shared" si="3"/>
        <v>#REF!</v>
      </c>
      <c r="I367" s="12" t="str">
        <f t="shared" si="2"/>
        <v>14 Complete Medical Records, 0 Patient Portal Logins</v>
      </c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hidden="1">
      <c r="A368" s="6" t="s">
        <v>239</v>
      </c>
      <c r="B368" s="16" t="s">
        <v>1045</v>
      </c>
      <c r="C368" s="16" t="s">
        <v>1046</v>
      </c>
      <c r="D368" s="16" t="s">
        <v>1047</v>
      </c>
      <c r="E368" s="306">
        <v>0.0</v>
      </c>
      <c r="F368" s="314">
        <v>0.0</v>
      </c>
      <c r="G368" s="320">
        <v>15.0</v>
      </c>
      <c r="H368" s="323" t="str">
        <f t="shared" si="3"/>
        <v>#REF!</v>
      </c>
      <c r="I368" s="12" t="str">
        <f t="shared" si="2"/>
        <v>0 Complete Medical Records, 0 Patient Portal Logins</v>
      </c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hidden="1">
      <c r="A369" s="6" t="s">
        <v>239</v>
      </c>
      <c r="B369" s="16" t="s">
        <v>1049</v>
      </c>
      <c r="C369" s="16" t="s">
        <v>1050</v>
      </c>
      <c r="D369" s="16" t="s">
        <v>1051</v>
      </c>
      <c r="E369" s="306">
        <v>0.0</v>
      </c>
      <c r="F369" s="314">
        <v>0.0</v>
      </c>
      <c r="G369" s="320">
        <v>15.0</v>
      </c>
      <c r="H369" s="323" t="str">
        <f t="shared" si="3"/>
        <v>#REF!</v>
      </c>
      <c r="I369" s="12" t="str">
        <f t="shared" si="2"/>
        <v>0 Complete Medical Records, 0 Patient Portal Logins</v>
      </c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hidden="1">
      <c r="A370" s="6" t="s">
        <v>239</v>
      </c>
      <c r="B370" s="16" t="s">
        <v>767</v>
      </c>
      <c r="C370" s="16" t="s">
        <v>768</v>
      </c>
      <c r="D370" s="16" t="s">
        <v>769</v>
      </c>
      <c r="E370" s="341">
        <v>14.0</v>
      </c>
      <c r="F370" s="315">
        <v>0.0</v>
      </c>
      <c r="G370" s="320">
        <v>13.0</v>
      </c>
      <c r="H370" s="323" t="str">
        <f t="shared" si="3"/>
        <v>#REF!</v>
      </c>
      <c r="I370" s="12" t="str">
        <f t="shared" si="2"/>
        <v>14 Complete Medical Records, 0 Patient Portal Logins</v>
      </c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hidden="1">
      <c r="A371" s="6" t="s">
        <v>239</v>
      </c>
      <c r="B371" s="16" t="s">
        <v>1052</v>
      </c>
      <c r="C371" s="16" t="s">
        <v>1053</v>
      </c>
      <c r="D371" s="16" t="s">
        <v>1054</v>
      </c>
      <c r="E371" s="306">
        <v>0.0</v>
      </c>
      <c r="F371" s="314">
        <v>0.0</v>
      </c>
      <c r="G371" s="320">
        <v>15.0</v>
      </c>
      <c r="H371" s="323" t="str">
        <f t="shared" si="3"/>
        <v>#REF!</v>
      </c>
      <c r="I371" s="12" t="str">
        <f t="shared" si="2"/>
        <v>0 Complete Medical Records, 0 Patient Portal Logins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hidden="1">
      <c r="A372" s="6" t="s">
        <v>239</v>
      </c>
      <c r="B372" s="16" t="s">
        <v>1167</v>
      </c>
      <c r="C372" s="16" t="s">
        <v>1168</v>
      </c>
      <c r="D372" s="16" t="s">
        <v>1169</v>
      </c>
      <c r="E372" s="306">
        <v>0.0</v>
      </c>
      <c r="F372" s="314">
        <v>0.0</v>
      </c>
      <c r="G372" s="320">
        <v>15.0</v>
      </c>
      <c r="H372" s="323" t="str">
        <f t="shared" si="3"/>
        <v>#REF!</v>
      </c>
      <c r="I372" s="12" t="str">
        <f t="shared" si="2"/>
        <v>0 Complete Medical Records, 0 Patient Portal Logins</v>
      </c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hidden="1">
      <c r="A373" s="6" t="s">
        <v>239</v>
      </c>
      <c r="B373" s="16" t="s">
        <v>1055</v>
      </c>
      <c r="C373" s="16" t="s">
        <v>1056</v>
      </c>
      <c r="D373" s="16" t="s">
        <v>1057</v>
      </c>
      <c r="E373" s="310">
        <v>16.0</v>
      </c>
      <c r="F373" s="314">
        <v>0.0</v>
      </c>
      <c r="G373" s="320">
        <v>15.0</v>
      </c>
      <c r="H373" s="323" t="str">
        <f t="shared" si="3"/>
        <v>#REF!</v>
      </c>
      <c r="I373" s="12" t="str">
        <f t="shared" si="2"/>
        <v>16 Complete Medical Records, 0 Patient Portal Logins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hidden="1">
      <c r="A374" s="6" t="s">
        <v>239</v>
      </c>
      <c r="B374" s="16" t="s">
        <v>1058</v>
      </c>
      <c r="C374" s="16" t="s">
        <v>1059</v>
      </c>
      <c r="D374" s="16" t="s">
        <v>1060</v>
      </c>
      <c r="E374" s="310">
        <v>11.0</v>
      </c>
      <c r="F374" s="315">
        <v>0.0</v>
      </c>
      <c r="G374" s="320">
        <v>27.0</v>
      </c>
      <c r="H374" s="323" t="str">
        <f t="shared" si="3"/>
        <v>#REF!</v>
      </c>
      <c r="I374" s="12" t="str">
        <f t="shared" si="2"/>
        <v>11 Complete Medical Records, 0 Patient Portal Logins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hidden="1">
      <c r="A375" s="6" t="s">
        <v>239</v>
      </c>
      <c r="B375" s="16" t="s">
        <v>1061</v>
      </c>
      <c r="C375" s="16" t="s">
        <v>1062</v>
      </c>
      <c r="D375" s="16" t="s">
        <v>1063</v>
      </c>
      <c r="E375" s="310">
        <v>11.0</v>
      </c>
      <c r="F375" s="315">
        <v>0.0</v>
      </c>
      <c r="G375" s="320">
        <v>27.0</v>
      </c>
      <c r="H375" s="323" t="str">
        <f t="shared" si="3"/>
        <v>#REF!</v>
      </c>
      <c r="I375" s="12" t="str">
        <f t="shared" si="2"/>
        <v>11 Complete Medical Records, 0 Patient Portal Logins</v>
      </c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hidden="1">
      <c r="A376" s="6" t="s">
        <v>239</v>
      </c>
      <c r="B376" s="16" t="s">
        <v>1064</v>
      </c>
      <c r="C376" s="16" t="s">
        <v>1065</v>
      </c>
      <c r="D376" s="16" t="s">
        <v>1066</v>
      </c>
      <c r="E376" s="310">
        <v>11.0</v>
      </c>
      <c r="F376" s="315">
        <v>0.0</v>
      </c>
      <c r="G376" s="320">
        <v>27.0</v>
      </c>
      <c r="H376" s="323" t="str">
        <f t="shared" si="3"/>
        <v>#REF!</v>
      </c>
      <c r="I376" s="12" t="str">
        <f t="shared" si="2"/>
        <v>11 Complete Medical Records, 0 Patient Portal Logins</v>
      </c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hidden="1">
      <c r="A377" s="6" t="s">
        <v>239</v>
      </c>
      <c r="B377" s="16" t="s">
        <v>1067</v>
      </c>
      <c r="C377" s="16" t="s">
        <v>1068</v>
      </c>
      <c r="D377" s="16" t="s">
        <v>1069</v>
      </c>
      <c r="E377" s="310">
        <v>11.0</v>
      </c>
      <c r="F377" s="315">
        <v>0.0</v>
      </c>
      <c r="G377" s="320">
        <v>27.0</v>
      </c>
      <c r="H377" s="323" t="str">
        <f t="shared" si="3"/>
        <v>#REF!</v>
      </c>
      <c r="I377" s="12" t="str">
        <f t="shared" si="2"/>
        <v>11 Complete Medical Records, 0 Patient Portal Logins</v>
      </c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hidden="1">
      <c r="A378" s="6" t="s">
        <v>239</v>
      </c>
      <c r="B378" s="16" t="s">
        <v>1070</v>
      </c>
      <c r="C378" s="16" t="s">
        <v>1071</v>
      </c>
      <c r="D378" s="16" t="s">
        <v>1072</v>
      </c>
      <c r="E378" s="310">
        <v>11.0</v>
      </c>
      <c r="F378" s="315">
        <v>0.0</v>
      </c>
      <c r="G378" s="320">
        <v>27.0</v>
      </c>
      <c r="H378" s="323" t="str">
        <f t="shared" si="3"/>
        <v>#REF!</v>
      </c>
      <c r="I378" s="12" t="str">
        <f t="shared" si="2"/>
        <v>11 Complete Medical Records, 0 Patient Portal Logins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hidden="1">
      <c r="A379" s="6" t="s">
        <v>239</v>
      </c>
      <c r="B379" s="16" t="s">
        <v>1073</v>
      </c>
      <c r="C379" s="16" t="s">
        <v>1074</v>
      </c>
      <c r="D379" s="16" t="s">
        <v>1075</v>
      </c>
      <c r="E379" s="310">
        <v>11.0</v>
      </c>
      <c r="F379" s="315">
        <v>0.0</v>
      </c>
      <c r="G379" s="320">
        <v>27.0</v>
      </c>
      <c r="H379" s="323" t="str">
        <f t="shared" si="3"/>
        <v>#REF!</v>
      </c>
      <c r="I379" s="12" t="str">
        <f t="shared" si="2"/>
        <v>11 Complete Medical Records, 0 Patient Portal Logins</v>
      </c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hidden="1">
      <c r="A380" s="6" t="s">
        <v>239</v>
      </c>
      <c r="B380" s="16" t="s">
        <v>1076</v>
      </c>
      <c r="C380" s="16" t="s">
        <v>1077</v>
      </c>
      <c r="D380" s="16" t="s">
        <v>1078</v>
      </c>
      <c r="E380" s="310">
        <v>10.0</v>
      </c>
      <c r="F380" s="315">
        <v>0.0</v>
      </c>
      <c r="G380" s="320">
        <v>15.0</v>
      </c>
      <c r="H380" s="323" t="str">
        <f t="shared" si="3"/>
        <v>#REF!</v>
      </c>
      <c r="I380" s="12" t="str">
        <f t="shared" si="2"/>
        <v>10 Complete Medical Records, 0 Patient Portal Logins</v>
      </c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hidden="1">
      <c r="A381" s="6" t="s">
        <v>239</v>
      </c>
      <c r="B381" s="16" t="s">
        <v>1079</v>
      </c>
      <c r="C381" s="16" t="s">
        <v>1080</v>
      </c>
      <c r="D381" s="16" t="s">
        <v>1081</v>
      </c>
      <c r="E381" s="310">
        <v>10.0</v>
      </c>
      <c r="F381" s="315">
        <v>0.0</v>
      </c>
      <c r="G381" s="320">
        <v>15.0</v>
      </c>
      <c r="H381" s="323" t="str">
        <f t="shared" si="3"/>
        <v>#REF!</v>
      </c>
      <c r="I381" s="12" t="str">
        <f t="shared" si="2"/>
        <v>10 Complete Medical Records, 0 Patient Portal Logins</v>
      </c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hidden="1">
      <c r="A382" s="6" t="s">
        <v>239</v>
      </c>
      <c r="B382" s="16" t="s">
        <v>1082</v>
      </c>
      <c r="C382" s="16" t="s">
        <v>1083</v>
      </c>
      <c r="D382" s="16" t="s">
        <v>1084</v>
      </c>
      <c r="E382" s="310">
        <v>10.0</v>
      </c>
      <c r="F382" s="315">
        <v>0.0</v>
      </c>
      <c r="G382" s="320">
        <v>15.0</v>
      </c>
      <c r="H382" s="323" t="str">
        <f t="shared" si="3"/>
        <v>#REF!</v>
      </c>
      <c r="I382" s="12" t="str">
        <f t="shared" si="2"/>
        <v>10 Complete Medical Records, 0 Patient Portal Logins</v>
      </c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hidden="1">
      <c r="A383" s="6" t="s">
        <v>239</v>
      </c>
      <c r="B383" s="16" t="s">
        <v>1085</v>
      </c>
      <c r="C383" s="16" t="s">
        <v>1086</v>
      </c>
      <c r="D383" s="16" t="s">
        <v>1087</v>
      </c>
      <c r="E383" s="310">
        <v>16.0</v>
      </c>
      <c r="F383" s="314">
        <v>0.0</v>
      </c>
      <c r="G383" s="320">
        <v>15.0</v>
      </c>
      <c r="H383" s="323" t="str">
        <f t="shared" si="3"/>
        <v>#REF!</v>
      </c>
      <c r="I383" s="12" t="str">
        <f t="shared" si="2"/>
        <v>16 Complete Medical Records, 0 Patient Portal Logins</v>
      </c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hidden="1">
      <c r="A384" s="6" t="s">
        <v>239</v>
      </c>
      <c r="B384" s="16" t="s">
        <v>1088</v>
      </c>
      <c r="C384" s="16" t="s">
        <v>1089</v>
      </c>
      <c r="D384" s="16" t="s">
        <v>1090</v>
      </c>
      <c r="E384" s="306">
        <v>16.0</v>
      </c>
      <c r="F384" s="314">
        <v>2.0</v>
      </c>
      <c r="G384" s="320">
        <v>15.0</v>
      </c>
      <c r="H384" s="323" t="str">
        <f t="shared" si="3"/>
        <v>#REF!</v>
      </c>
      <c r="I384" s="12" t="str">
        <f t="shared" si="2"/>
        <v>16 Complete Medical Records, 2 Patient Portal Logins</v>
      </c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hidden="1">
      <c r="A385" s="6" t="s">
        <v>239</v>
      </c>
      <c r="B385" s="16" t="s">
        <v>1091</v>
      </c>
      <c r="C385" s="16" t="s">
        <v>1092</v>
      </c>
      <c r="D385" s="16" t="s">
        <v>1093</v>
      </c>
      <c r="E385" s="306">
        <v>16.0</v>
      </c>
      <c r="F385" s="314">
        <v>0.0</v>
      </c>
      <c r="G385" s="320">
        <v>15.0</v>
      </c>
      <c r="H385" s="323" t="str">
        <f t="shared" si="3"/>
        <v>#REF!</v>
      </c>
      <c r="I385" s="39" t="str">
        <f t="shared" si="2"/>
        <v>16 Complete Medical Records, 0 Patient Portal Logins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hidden="1">
      <c r="A386" s="6" t="s">
        <v>239</v>
      </c>
      <c r="B386" s="16" t="s">
        <v>1094</v>
      </c>
      <c r="C386" s="16" t="s">
        <v>1095</v>
      </c>
      <c r="D386" s="16" t="s">
        <v>1096</v>
      </c>
      <c r="E386" s="306">
        <v>16.0</v>
      </c>
      <c r="F386" s="314">
        <v>15.0</v>
      </c>
      <c r="G386" s="320">
        <v>15.0</v>
      </c>
      <c r="H386" s="323" t="str">
        <f t="shared" si="3"/>
        <v>#REF!</v>
      </c>
      <c r="I386" s="12" t="str">
        <f t="shared" si="2"/>
        <v>16 Complete Medical Records, 15 Patient Portal Logins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hidden="1">
      <c r="A387" s="6" t="s">
        <v>239</v>
      </c>
      <c r="B387" s="16" t="s">
        <v>1097</v>
      </c>
      <c r="C387" s="16" t="s">
        <v>1098</v>
      </c>
      <c r="D387" s="16" t="s">
        <v>1099</v>
      </c>
      <c r="E387" s="310">
        <v>10.0</v>
      </c>
      <c r="F387" s="315">
        <v>0.0</v>
      </c>
      <c r="G387" s="320">
        <v>15.0</v>
      </c>
      <c r="H387" s="323" t="str">
        <f t="shared" si="3"/>
        <v>#REF!</v>
      </c>
      <c r="I387" s="12" t="str">
        <f t="shared" si="2"/>
        <v>10 Complete Medical Records, 0 Patient Portal Logins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hidden="1">
      <c r="A388" s="6" t="s">
        <v>239</v>
      </c>
      <c r="B388" s="16" t="s">
        <v>255</v>
      </c>
      <c r="C388" s="16" t="s">
        <v>256</v>
      </c>
      <c r="D388" s="16" t="s">
        <v>257</v>
      </c>
      <c r="E388" s="312">
        <v>14.0</v>
      </c>
      <c r="F388" s="317">
        <v>0.0</v>
      </c>
      <c r="G388" s="320">
        <v>13.0</v>
      </c>
      <c r="H388" s="323" t="str">
        <f t="shared" si="3"/>
        <v>#REF!</v>
      </c>
      <c r="I388" s="12" t="str">
        <f t="shared" si="2"/>
        <v>14 Complete Medical Records, 0 Patient Portal Logins</v>
      </c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hidden="1">
      <c r="A389" s="6" t="s">
        <v>239</v>
      </c>
      <c r="B389" s="16" t="s">
        <v>1100</v>
      </c>
      <c r="C389" s="16" t="s">
        <v>1101</v>
      </c>
      <c r="D389" s="16" t="s">
        <v>1102</v>
      </c>
      <c r="E389" s="312">
        <v>14.0</v>
      </c>
      <c r="F389" s="317">
        <v>26.0</v>
      </c>
      <c r="G389" s="320">
        <v>13.0</v>
      </c>
      <c r="H389" s="323" t="str">
        <f t="shared" si="3"/>
        <v>#REF!</v>
      </c>
      <c r="I389" s="12" t="str">
        <f t="shared" si="2"/>
        <v>14 Complete Medical Records, 26 Patient Portal Logins</v>
      </c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hidden="1">
      <c r="A390" s="6" t="s">
        <v>239</v>
      </c>
      <c r="B390" s="16" t="s">
        <v>1103</v>
      </c>
      <c r="C390" s="16" t="s">
        <v>1104</v>
      </c>
      <c r="D390" s="16" t="s">
        <v>1105</v>
      </c>
      <c r="E390" s="310">
        <v>11.0</v>
      </c>
      <c r="F390" s="307">
        <v>1.0</v>
      </c>
      <c r="G390" s="320">
        <v>27.0</v>
      </c>
      <c r="H390" s="323" t="str">
        <f t="shared" si="3"/>
        <v>#REF!</v>
      </c>
      <c r="I390" s="12" t="str">
        <f t="shared" si="2"/>
        <v>11 Complete Medical Records, 1 Patient Portal Logins</v>
      </c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hidden="1">
      <c r="A391" s="6" t="s">
        <v>239</v>
      </c>
      <c r="B391" s="16" t="s">
        <v>1106</v>
      </c>
      <c r="C391" s="16" t="s">
        <v>1107</v>
      </c>
      <c r="D391" s="16" t="s">
        <v>1108</v>
      </c>
      <c r="E391" s="306">
        <v>16.0</v>
      </c>
      <c r="F391" s="314">
        <v>5.0</v>
      </c>
      <c r="G391" s="320">
        <v>15.0</v>
      </c>
      <c r="H391" s="323" t="str">
        <f t="shared" si="3"/>
        <v>#REF!</v>
      </c>
      <c r="I391" s="12" t="str">
        <f t="shared" si="2"/>
        <v>16 Complete Medical Records, 5 Patient Portal Logins</v>
      </c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hidden="1">
      <c r="A392" s="6" t="s">
        <v>239</v>
      </c>
      <c r="B392" s="16" t="s">
        <v>1109</v>
      </c>
      <c r="C392" s="16" t="s">
        <v>1110</v>
      </c>
      <c r="D392" s="16" t="s">
        <v>1111</v>
      </c>
      <c r="E392" s="310">
        <v>14.0</v>
      </c>
      <c r="F392" s="315">
        <v>0.0</v>
      </c>
      <c r="G392" s="320">
        <v>13.0</v>
      </c>
      <c r="H392" s="323" t="str">
        <f t="shared" si="3"/>
        <v>#REF!</v>
      </c>
      <c r="I392" s="12" t="str">
        <f t="shared" si="2"/>
        <v>14 Complete Medical Records, 0 Patient Portal Logins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hidden="1">
      <c r="A393" s="6" t="s">
        <v>239</v>
      </c>
      <c r="B393" s="16" t="s">
        <v>1112</v>
      </c>
      <c r="C393" s="16" t="s">
        <v>1113</v>
      </c>
      <c r="D393" s="16" t="s">
        <v>1114</v>
      </c>
      <c r="E393" s="310">
        <v>10.0</v>
      </c>
      <c r="F393" s="315">
        <v>0.0</v>
      </c>
      <c r="G393" s="320">
        <v>15.0</v>
      </c>
      <c r="H393" s="323" t="str">
        <f t="shared" si="3"/>
        <v>#REF!</v>
      </c>
      <c r="I393" s="12" t="str">
        <f t="shared" si="2"/>
        <v>10 Complete Medical Records, 0 Patient Portal Logins</v>
      </c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hidden="1">
      <c r="A394" s="6" t="s">
        <v>239</v>
      </c>
      <c r="B394" s="16" t="s">
        <v>1115</v>
      </c>
      <c r="C394" s="16" t="s">
        <v>1116</v>
      </c>
      <c r="D394" s="16" t="s">
        <v>1117</v>
      </c>
      <c r="E394" s="310">
        <v>11.0</v>
      </c>
      <c r="F394" s="315">
        <v>40.0</v>
      </c>
      <c r="G394" s="320">
        <v>27.0</v>
      </c>
      <c r="H394" s="323" t="str">
        <f t="shared" si="3"/>
        <v>#REF!</v>
      </c>
      <c r="I394" s="12" t="str">
        <f t="shared" si="2"/>
        <v>11 Complete Medical Records, 40 Patient Portal Logins</v>
      </c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hidden="1">
      <c r="A395" s="6" t="s">
        <v>239</v>
      </c>
      <c r="B395" s="16" t="s">
        <v>1118</v>
      </c>
      <c r="C395" s="16" t="s">
        <v>1119</v>
      </c>
      <c r="D395" s="16" t="s">
        <v>1120</v>
      </c>
      <c r="E395" s="318">
        <v>14.0</v>
      </c>
      <c r="F395" s="315">
        <v>20.0</v>
      </c>
      <c r="G395" s="320">
        <v>15.0</v>
      </c>
      <c r="H395" s="323" t="str">
        <f t="shared" si="3"/>
        <v>#REF!</v>
      </c>
      <c r="I395" s="12" t="str">
        <f t="shared" si="2"/>
        <v>14 Complete Medical Records, 20 Patient Portal Logins</v>
      </c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hidden="1">
      <c r="A396" s="6" t="s">
        <v>239</v>
      </c>
      <c r="B396" s="16" t="s">
        <v>1121</v>
      </c>
      <c r="C396" s="16" t="s">
        <v>1122</v>
      </c>
      <c r="D396" s="16" t="s">
        <v>1123</v>
      </c>
      <c r="E396" s="310">
        <v>10.0</v>
      </c>
      <c r="F396" s="315">
        <v>29.0</v>
      </c>
      <c r="G396" s="320">
        <v>15.0</v>
      </c>
      <c r="H396" s="323" t="str">
        <f t="shared" si="3"/>
        <v>#REF!</v>
      </c>
      <c r="I396" s="12" t="str">
        <f t="shared" si="2"/>
        <v>10 Complete Medical Records, 29 Patient Portal Logins</v>
      </c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hidden="1">
      <c r="A397" s="6" t="s">
        <v>239</v>
      </c>
      <c r="B397" s="16" t="s">
        <v>1124</v>
      </c>
      <c r="C397" s="16" t="s">
        <v>1125</v>
      </c>
      <c r="D397" s="16" t="s">
        <v>1126</v>
      </c>
      <c r="E397" s="306">
        <v>16.0</v>
      </c>
      <c r="F397" s="314">
        <v>0.0</v>
      </c>
      <c r="G397" s="320">
        <v>15.0</v>
      </c>
      <c r="H397" s="323" t="str">
        <f t="shared" si="3"/>
        <v>#REF!</v>
      </c>
      <c r="I397" s="12" t="str">
        <f t="shared" si="2"/>
        <v>16 Complete Medical Records, 0 Patient Portal Logins</v>
      </c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hidden="1">
      <c r="A398" s="6" t="s">
        <v>239</v>
      </c>
      <c r="B398" s="16" t="s">
        <v>1127</v>
      </c>
      <c r="C398" s="16" t="s">
        <v>1128</v>
      </c>
      <c r="D398" s="16" t="s">
        <v>1129</v>
      </c>
      <c r="E398" s="310">
        <v>10.0</v>
      </c>
      <c r="F398" s="315">
        <v>0.0</v>
      </c>
      <c r="G398" s="320">
        <v>15.0</v>
      </c>
      <c r="H398" s="323" t="str">
        <f t="shared" si="3"/>
        <v>#REF!</v>
      </c>
      <c r="I398" s="12" t="str">
        <f t="shared" si="2"/>
        <v>10 Complete Medical Records, 0 Patient Portal Logins</v>
      </c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hidden="1">
      <c r="A399" s="6" t="s">
        <v>239</v>
      </c>
      <c r="B399" s="16" t="s">
        <v>1130</v>
      </c>
      <c r="C399" s="16" t="s">
        <v>1131</v>
      </c>
      <c r="D399" s="16" t="s">
        <v>1132</v>
      </c>
      <c r="E399" s="310">
        <v>10.0</v>
      </c>
      <c r="F399" s="315">
        <v>0.0</v>
      </c>
      <c r="G399" s="320">
        <v>15.0</v>
      </c>
      <c r="H399" s="323" t="str">
        <f t="shared" si="3"/>
        <v>#REF!</v>
      </c>
      <c r="I399" s="12" t="str">
        <f t="shared" si="2"/>
        <v>10 Complete Medical Records, 0 Patient Portal Logins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hidden="1">
      <c r="A400" s="6" t="s">
        <v>239</v>
      </c>
      <c r="B400" s="16" t="s">
        <v>1133</v>
      </c>
      <c r="C400" s="16" t="s">
        <v>1134</v>
      </c>
      <c r="D400" s="16" t="s">
        <v>1135</v>
      </c>
      <c r="E400" s="306">
        <v>16.0</v>
      </c>
      <c r="F400" s="314">
        <v>0.0</v>
      </c>
      <c r="G400" s="320">
        <v>15.0</v>
      </c>
      <c r="H400" s="323" t="str">
        <f t="shared" si="3"/>
        <v>#REF!</v>
      </c>
      <c r="I400" s="12" t="str">
        <f t="shared" si="2"/>
        <v>16 Complete Medical Records, 0 Patient Portal Logins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hidden="1">
      <c r="A401" s="6" t="s">
        <v>239</v>
      </c>
      <c r="B401" s="16" t="s">
        <v>1164</v>
      </c>
      <c r="C401" s="16" t="s">
        <v>1165</v>
      </c>
      <c r="D401" s="16" t="s">
        <v>1166</v>
      </c>
      <c r="E401" s="36"/>
      <c r="F401" s="38"/>
      <c r="G401" s="342"/>
      <c r="H401" s="323" t="str">
        <f t="shared" si="3"/>
        <v>#REF!</v>
      </c>
      <c r="I401" s="12" t="str">
        <f t="shared" si="2"/>
        <v> Complete Medical Records,  Patient Portal Logins</v>
      </c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hidden="1">
      <c r="A402" s="6" t="s">
        <v>239</v>
      </c>
      <c r="B402" s="16" t="s">
        <v>1136</v>
      </c>
      <c r="C402" s="16" t="s">
        <v>1137</v>
      </c>
      <c r="D402" s="16" t="s">
        <v>1138</v>
      </c>
      <c r="E402" s="312">
        <v>14.0</v>
      </c>
      <c r="F402" s="317">
        <v>0.0</v>
      </c>
      <c r="G402" s="320">
        <v>13.0</v>
      </c>
      <c r="H402" s="323" t="str">
        <f t="shared" si="3"/>
        <v>#REF!</v>
      </c>
      <c r="I402" s="12" t="str">
        <f t="shared" si="2"/>
        <v>14 Complete Medical Records, 0 Patient Portal Logins</v>
      </c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hidden="1">
      <c r="A403" s="6" t="s">
        <v>239</v>
      </c>
      <c r="B403" s="16" t="s">
        <v>1139</v>
      </c>
      <c r="C403" s="16" t="s">
        <v>1140</v>
      </c>
      <c r="D403" s="16" t="s">
        <v>1141</v>
      </c>
      <c r="E403" s="318">
        <v>14.0</v>
      </c>
      <c r="F403" s="315">
        <v>13.0</v>
      </c>
      <c r="G403" s="320">
        <v>13.0</v>
      </c>
      <c r="H403" s="323" t="str">
        <f t="shared" si="3"/>
        <v>#REF!</v>
      </c>
      <c r="I403" s="12" t="str">
        <f t="shared" si="2"/>
        <v>14 Complete Medical Records, 13 Patient Portal Logins</v>
      </c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hidden="1">
      <c r="A404" s="6" t="s">
        <v>239</v>
      </c>
      <c r="B404" s="16" t="s">
        <v>1142</v>
      </c>
      <c r="C404" s="16" t="s">
        <v>1143</v>
      </c>
      <c r="D404" s="16" t="s">
        <v>1144</v>
      </c>
      <c r="E404" s="306">
        <v>16.0</v>
      </c>
      <c r="F404" s="314">
        <v>15.0</v>
      </c>
      <c r="G404" s="320">
        <v>15.0</v>
      </c>
      <c r="H404" s="323" t="str">
        <f t="shared" si="3"/>
        <v>#REF!</v>
      </c>
      <c r="I404" s="12" t="str">
        <f t="shared" si="2"/>
        <v>16 Complete Medical Records, 15 Patient Portal Logins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hidden="1">
      <c r="A405" s="6" t="s">
        <v>239</v>
      </c>
      <c r="B405" s="16" t="s">
        <v>1145</v>
      </c>
      <c r="C405" s="16" t="s">
        <v>1146</v>
      </c>
      <c r="D405" s="16" t="s">
        <v>1147</v>
      </c>
      <c r="E405" s="312">
        <v>14.0</v>
      </c>
      <c r="F405" s="317">
        <v>0.0</v>
      </c>
      <c r="G405" s="320">
        <v>13.0</v>
      </c>
      <c r="H405" s="323" t="str">
        <f t="shared" si="3"/>
        <v>#REF!</v>
      </c>
      <c r="I405" s="12" t="str">
        <f t="shared" si="2"/>
        <v>14 Complete Medical Records, 0 Patient Portal Logins</v>
      </c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hidden="1">
      <c r="A406" s="6" t="s">
        <v>239</v>
      </c>
      <c r="B406" s="16" t="s">
        <v>1148</v>
      </c>
      <c r="C406" s="16" t="s">
        <v>1149</v>
      </c>
      <c r="D406" s="16" t="s">
        <v>1150</v>
      </c>
      <c r="E406" s="310">
        <v>11.0</v>
      </c>
      <c r="F406" s="315">
        <v>8.0</v>
      </c>
      <c r="G406" s="320">
        <v>27.0</v>
      </c>
      <c r="H406" s="323" t="str">
        <f t="shared" si="3"/>
        <v>#REF!</v>
      </c>
      <c r="I406" s="12" t="str">
        <f t="shared" si="2"/>
        <v>11 Complete Medical Records, 8 Patient Portal Logins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hidden="1">
      <c r="A407" s="6" t="s">
        <v>239</v>
      </c>
      <c r="B407" s="16" t="s">
        <v>1151</v>
      </c>
      <c r="C407" s="16" t="s">
        <v>1152</v>
      </c>
      <c r="D407" s="16" t="s">
        <v>1153</v>
      </c>
      <c r="E407" s="310">
        <v>10.0</v>
      </c>
      <c r="F407" s="315">
        <v>10.0</v>
      </c>
      <c r="G407" s="320">
        <v>15.0</v>
      </c>
      <c r="H407" s="323" t="str">
        <f t="shared" si="3"/>
        <v>#REF!</v>
      </c>
      <c r="I407" s="12" t="str">
        <f t="shared" si="2"/>
        <v>10 Complete Medical Records, 10 Patient Portal Logins</v>
      </c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hidden="1">
      <c r="A408" s="6" t="s">
        <v>239</v>
      </c>
      <c r="B408" s="16" t="s">
        <v>1154</v>
      </c>
      <c r="C408" s="16" t="s">
        <v>1155</v>
      </c>
      <c r="D408" s="16" t="s">
        <v>1156</v>
      </c>
      <c r="E408" s="318">
        <v>2.0</v>
      </c>
      <c r="F408" s="315">
        <v>4.0</v>
      </c>
      <c r="G408" s="320">
        <v>5.0</v>
      </c>
      <c r="H408" s="323" t="str">
        <f t="shared" si="3"/>
        <v>#REF!</v>
      </c>
      <c r="I408" s="12" t="str">
        <f t="shared" si="2"/>
        <v>2 Complete Medical Records, 4 Patient Portal Logins</v>
      </c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hidden="1">
      <c r="A409" s="6" t="s">
        <v>239</v>
      </c>
      <c r="B409" s="61" t="s">
        <v>1158</v>
      </c>
      <c r="C409" s="21" t="s">
        <v>1159</v>
      </c>
      <c r="D409" s="21" t="s">
        <v>1160</v>
      </c>
      <c r="E409" s="312">
        <v>14.0</v>
      </c>
      <c r="F409" s="317">
        <v>1.0</v>
      </c>
      <c r="G409" s="320">
        <v>13.0</v>
      </c>
      <c r="H409" s="323" t="str">
        <f t="shared" si="3"/>
        <v>#REF!</v>
      </c>
      <c r="I409" s="12" t="str">
        <f t="shared" si="2"/>
        <v>14 Complete Medical Records, 1 Patient Portal Logins</v>
      </c>
      <c r="J409" s="23"/>
      <c r="K409" s="23"/>
      <c r="L409" s="23"/>
      <c r="M409" s="14"/>
      <c r="N409" s="23"/>
      <c r="O409" s="23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hidden="1">
      <c r="A410" s="6" t="s">
        <v>239</v>
      </c>
      <c r="B410" s="21" t="s">
        <v>1161</v>
      </c>
      <c r="C410" s="21" t="s">
        <v>1162</v>
      </c>
      <c r="D410" s="21" t="s">
        <v>1163</v>
      </c>
      <c r="E410" s="310">
        <v>16.0</v>
      </c>
      <c r="F410" s="314">
        <v>0.0</v>
      </c>
      <c r="G410" s="320">
        <v>15.0</v>
      </c>
      <c r="H410" s="323" t="str">
        <f t="shared" si="3"/>
        <v>#REF!</v>
      </c>
      <c r="I410" s="12" t="str">
        <f t="shared" si="2"/>
        <v>16 Complete Medical Records, 0 Patient Portal Logins</v>
      </c>
      <c r="J410" s="23"/>
      <c r="K410" s="23"/>
      <c r="L410" s="23"/>
      <c r="M410" s="14"/>
      <c r="N410" s="23"/>
      <c r="O410" s="23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hidden="1">
      <c r="A411" s="6" t="s">
        <v>240</v>
      </c>
      <c r="B411" s="16" t="s">
        <v>709</v>
      </c>
      <c r="C411" s="16" t="s">
        <v>710</v>
      </c>
      <c r="D411" s="16" t="s">
        <v>711</v>
      </c>
      <c r="E411" s="324">
        <v>0.0</v>
      </c>
      <c r="F411" s="343">
        <v>0.0</v>
      </c>
      <c r="G411" s="344">
        <v>15.0</v>
      </c>
      <c r="H411" s="55" t="str">
        <f t="shared" si="3"/>
        <v>#REF!</v>
      </c>
      <c r="I411" s="12" t="str">
        <f t="shared" si="2"/>
        <v>0 Complete Medical Records, 0 Patient Portal Logins</v>
      </c>
      <c r="J411" s="47"/>
      <c r="K411" s="47"/>
      <c r="L411" s="12"/>
      <c r="M411" s="12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idden="1">
      <c r="A412" s="6" t="s">
        <v>240</v>
      </c>
      <c r="B412" s="16" t="s">
        <v>1036</v>
      </c>
      <c r="C412" s="16" t="s">
        <v>1037</v>
      </c>
      <c r="D412" s="16" t="s">
        <v>1038</v>
      </c>
      <c r="E412" s="324">
        <v>0.0</v>
      </c>
      <c r="F412" s="343">
        <v>0.0</v>
      </c>
      <c r="G412" s="344">
        <v>15.0</v>
      </c>
      <c r="H412" s="55" t="str">
        <f t="shared" si="3"/>
        <v>#REF!</v>
      </c>
      <c r="I412" s="12" t="str">
        <f t="shared" si="2"/>
        <v>0 Complete Medical Records, 0 Patient Portal Logins</v>
      </c>
      <c r="J412" s="47"/>
      <c r="K412" s="47"/>
      <c r="L412" s="12"/>
      <c r="M412" s="12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idden="1">
      <c r="A413" s="6" t="s">
        <v>240</v>
      </c>
      <c r="B413" s="16" t="s">
        <v>1039</v>
      </c>
      <c r="C413" s="16" t="s">
        <v>1040</v>
      </c>
      <c r="D413" s="16" t="s">
        <v>1041</v>
      </c>
      <c r="E413" s="324">
        <v>0.0</v>
      </c>
      <c r="F413" s="343">
        <v>0.0</v>
      </c>
      <c r="G413" s="344">
        <v>15.0</v>
      </c>
      <c r="H413" s="55" t="str">
        <f t="shared" si="3"/>
        <v>#REF!</v>
      </c>
      <c r="I413" s="12" t="str">
        <f t="shared" si="2"/>
        <v>0 Complete Medical Records, 0 Patient Portal Logins</v>
      </c>
      <c r="J413" s="47"/>
      <c r="K413" s="47"/>
      <c r="L413" s="12"/>
      <c r="M413" s="12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idden="1">
      <c r="A414" s="6" t="s">
        <v>240</v>
      </c>
      <c r="B414" s="16" t="s">
        <v>1042</v>
      </c>
      <c r="C414" s="16" t="s">
        <v>1043</v>
      </c>
      <c r="D414" s="16" t="s">
        <v>1044</v>
      </c>
      <c r="E414" s="324">
        <v>14.0</v>
      </c>
      <c r="F414" s="325">
        <v>0.0</v>
      </c>
      <c r="G414" s="344">
        <v>39.0</v>
      </c>
      <c r="H414" s="55" t="str">
        <f t="shared" si="3"/>
        <v>#REF!</v>
      </c>
      <c r="I414" s="12" t="str">
        <f t="shared" si="2"/>
        <v>14 Complete Medical Records, 0 Patient Portal Logins</v>
      </c>
      <c r="J414" s="47"/>
      <c r="K414" s="47"/>
      <c r="L414" s="12"/>
      <c r="M414" s="12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idden="1">
      <c r="A415" s="6" t="s">
        <v>240</v>
      </c>
      <c r="B415" s="16" t="s">
        <v>1045</v>
      </c>
      <c r="C415" s="16" t="s">
        <v>1046</v>
      </c>
      <c r="D415" s="16" t="s">
        <v>1047</v>
      </c>
      <c r="E415" s="324">
        <v>0.0</v>
      </c>
      <c r="F415" s="343">
        <v>0.0</v>
      </c>
      <c r="G415" s="344">
        <v>15.0</v>
      </c>
      <c r="H415" s="55" t="str">
        <f t="shared" si="3"/>
        <v>#REF!</v>
      </c>
      <c r="I415" s="12" t="str">
        <f t="shared" si="2"/>
        <v>0 Complete Medical Records, 0 Patient Portal Logins</v>
      </c>
      <c r="J415" s="47"/>
      <c r="K415" s="47"/>
      <c r="L415" s="12"/>
      <c r="M415" s="12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idden="1">
      <c r="A416" s="6" t="s">
        <v>240</v>
      </c>
      <c r="B416" s="16" t="s">
        <v>1049</v>
      </c>
      <c r="C416" s="16" t="s">
        <v>1050</v>
      </c>
      <c r="D416" s="16" t="s">
        <v>1051</v>
      </c>
      <c r="E416" s="324">
        <v>0.0</v>
      </c>
      <c r="F416" s="343">
        <v>0.0</v>
      </c>
      <c r="G416" s="344">
        <v>15.0</v>
      </c>
      <c r="H416" s="55" t="str">
        <f t="shared" si="3"/>
        <v>#REF!</v>
      </c>
      <c r="I416" s="12" t="str">
        <f t="shared" si="2"/>
        <v>0 Complete Medical Records, 0 Patient Portal Logins</v>
      </c>
      <c r="J416" s="47"/>
      <c r="K416" s="47"/>
      <c r="L416" s="12"/>
      <c r="M416" s="12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idden="1">
      <c r="A417" s="6" t="s">
        <v>240</v>
      </c>
      <c r="B417" s="16" t="s">
        <v>767</v>
      </c>
      <c r="C417" s="16" t="s">
        <v>768</v>
      </c>
      <c r="D417" s="16" t="s">
        <v>769</v>
      </c>
      <c r="E417" s="324">
        <v>32.0</v>
      </c>
      <c r="F417" s="325">
        <v>0.0</v>
      </c>
      <c r="G417" s="344">
        <v>39.0</v>
      </c>
      <c r="H417" s="55" t="str">
        <f t="shared" si="3"/>
        <v>#REF!</v>
      </c>
      <c r="I417" s="12" t="str">
        <f t="shared" si="2"/>
        <v>32 Complete Medical Records, 0 Patient Portal Logins</v>
      </c>
      <c r="J417" s="47"/>
      <c r="K417" s="47"/>
      <c r="L417" s="12"/>
      <c r="M417" s="12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idden="1">
      <c r="A418" s="6" t="s">
        <v>240</v>
      </c>
      <c r="B418" s="16" t="s">
        <v>1052</v>
      </c>
      <c r="C418" s="16" t="s">
        <v>1053</v>
      </c>
      <c r="D418" s="16" t="s">
        <v>1054</v>
      </c>
      <c r="E418" s="324">
        <v>0.0</v>
      </c>
      <c r="F418" s="343">
        <v>0.0</v>
      </c>
      <c r="G418" s="344">
        <v>15.0</v>
      </c>
      <c r="H418" s="55" t="str">
        <f t="shared" si="3"/>
        <v>#REF!</v>
      </c>
      <c r="I418" s="12" t="str">
        <f t="shared" si="2"/>
        <v>0 Complete Medical Records, 0 Patient Portal Logins</v>
      </c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idden="1">
      <c r="A419" s="6" t="s">
        <v>240</v>
      </c>
      <c r="B419" s="16" t="s">
        <v>1167</v>
      </c>
      <c r="C419" s="16" t="s">
        <v>1168</v>
      </c>
      <c r="D419" s="16" t="s">
        <v>1169</v>
      </c>
      <c r="E419" s="324">
        <v>0.0</v>
      </c>
      <c r="F419" s="325">
        <v>8.0</v>
      </c>
      <c r="G419" s="344">
        <v>15.0</v>
      </c>
      <c r="H419" s="55" t="str">
        <f t="shared" si="3"/>
        <v>#REF!</v>
      </c>
      <c r="I419" s="12" t="str">
        <f t="shared" si="2"/>
        <v>0 Complete Medical Records, 8 Patient Portal Logins</v>
      </c>
      <c r="J419" s="47"/>
      <c r="K419" s="47"/>
      <c r="L419" s="12"/>
      <c r="M419" s="12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idden="1">
      <c r="A420" s="6" t="s">
        <v>240</v>
      </c>
      <c r="B420" s="16" t="s">
        <v>1055</v>
      </c>
      <c r="C420" s="16" t="s">
        <v>1056</v>
      </c>
      <c r="D420" s="16" t="s">
        <v>1057</v>
      </c>
      <c r="E420" s="324">
        <v>14.0</v>
      </c>
      <c r="F420" s="325">
        <v>0.0</v>
      </c>
      <c r="G420" s="344">
        <v>32.0</v>
      </c>
      <c r="H420" s="55" t="str">
        <f t="shared" si="3"/>
        <v>#REF!</v>
      </c>
      <c r="I420" s="12" t="str">
        <f t="shared" si="2"/>
        <v>14 Complete Medical Records, 0 Patient Portal Logins</v>
      </c>
      <c r="J420" s="47"/>
      <c r="K420" s="47"/>
      <c r="L420" s="12"/>
      <c r="M420" s="12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idden="1">
      <c r="A421" s="6" t="s">
        <v>240</v>
      </c>
      <c r="B421" s="16" t="s">
        <v>1058</v>
      </c>
      <c r="C421" s="16" t="s">
        <v>1059</v>
      </c>
      <c r="D421" s="16" t="s">
        <v>1060</v>
      </c>
      <c r="E421" s="324">
        <v>13.0</v>
      </c>
      <c r="F421" s="325">
        <v>0.0</v>
      </c>
      <c r="G421" s="344">
        <v>21.0</v>
      </c>
      <c r="H421" s="55" t="str">
        <f t="shared" si="3"/>
        <v>#REF!</v>
      </c>
      <c r="I421" s="12" t="str">
        <f t="shared" si="2"/>
        <v>13 Complete Medical Records, 0 Patient Portal Logins</v>
      </c>
      <c r="J421" s="47"/>
      <c r="K421" s="47"/>
      <c r="L421" s="12"/>
      <c r="M421" s="12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idden="1">
      <c r="A422" s="6" t="s">
        <v>240</v>
      </c>
      <c r="B422" s="16" t="s">
        <v>1061</v>
      </c>
      <c r="C422" s="16" t="s">
        <v>1062</v>
      </c>
      <c r="D422" s="16" t="s">
        <v>1063</v>
      </c>
      <c r="E422" s="324">
        <v>13.0</v>
      </c>
      <c r="F422" s="325">
        <v>0.0</v>
      </c>
      <c r="G422" s="345">
        <v>16.0</v>
      </c>
      <c r="H422" s="55" t="str">
        <f t="shared" si="3"/>
        <v>#REF!</v>
      </c>
      <c r="I422" s="12" t="str">
        <f t="shared" si="2"/>
        <v>13 Complete Medical Records, 0 Patient Portal Logins</v>
      </c>
      <c r="J422" s="47"/>
      <c r="K422" s="47"/>
      <c r="L422" s="12"/>
      <c r="M422" s="12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idden="1">
      <c r="A423" s="6" t="s">
        <v>240</v>
      </c>
      <c r="B423" s="16" t="s">
        <v>1064</v>
      </c>
      <c r="C423" s="16" t="s">
        <v>1065</v>
      </c>
      <c r="D423" s="16" t="s">
        <v>1066</v>
      </c>
      <c r="E423" s="324">
        <v>13.0</v>
      </c>
      <c r="F423" s="325">
        <v>0.0</v>
      </c>
      <c r="G423" s="344">
        <v>21.0</v>
      </c>
      <c r="H423" s="55" t="str">
        <f t="shared" si="3"/>
        <v>#REF!</v>
      </c>
      <c r="I423" s="12" t="str">
        <f t="shared" si="2"/>
        <v>13 Complete Medical Records, 0 Patient Portal Logins</v>
      </c>
      <c r="J423" s="47"/>
      <c r="K423" s="47"/>
      <c r="L423" s="12"/>
      <c r="M423" s="12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idden="1">
      <c r="A424" s="6" t="s">
        <v>240</v>
      </c>
      <c r="B424" s="16" t="s">
        <v>1067</v>
      </c>
      <c r="C424" s="16" t="s">
        <v>1068</v>
      </c>
      <c r="D424" s="16" t="s">
        <v>1069</v>
      </c>
      <c r="E424" s="324">
        <v>13.0</v>
      </c>
      <c r="F424" s="325">
        <v>0.0</v>
      </c>
      <c r="G424" s="344">
        <v>21.0</v>
      </c>
      <c r="H424" s="55" t="str">
        <f t="shared" si="3"/>
        <v>#REF!</v>
      </c>
      <c r="I424" s="12" t="str">
        <f t="shared" si="2"/>
        <v>13 Complete Medical Records, 0 Patient Portal Logins</v>
      </c>
      <c r="J424" s="47"/>
      <c r="K424" s="47"/>
      <c r="L424" s="12"/>
      <c r="M424" s="12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idden="1">
      <c r="A425" s="6" t="s">
        <v>240</v>
      </c>
      <c r="B425" s="16" t="s">
        <v>1070</v>
      </c>
      <c r="C425" s="16" t="s">
        <v>1071</v>
      </c>
      <c r="D425" s="16" t="s">
        <v>1072</v>
      </c>
      <c r="E425" s="324">
        <v>13.0</v>
      </c>
      <c r="F425" s="325">
        <v>0.0</v>
      </c>
      <c r="G425" s="344">
        <v>21.0</v>
      </c>
      <c r="H425" s="55" t="str">
        <f t="shared" si="3"/>
        <v>#REF!</v>
      </c>
      <c r="I425" s="12" t="str">
        <f t="shared" si="2"/>
        <v>13 Complete Medical Records, 0 Patient Portal Logins</v>
      </c>
      <c r="J425" s="47"/>
      <c r="K425" s="47"/>
      <c r="L425" s="12"/>
      <c r="M425" s="12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idden="1">
      <c r="A426" s="6" t="s">
        <v>240</v>
      </c>
      <c r="B426" s="16" t="s">
        <v>1073</v>
      </c>
      <c r="C426" s="16" t="s">
        <v>1074</v>
      </c>
      <c r="D426" s="16" t="s">
        <v>1075</v>
      </c>
      <c r="E426" s="324">
        <v>13.0</v>
      </c>
      <c r="F426" s="325">
        <v>1.0</v>
      </c>
      <c r="G426" s="344">
        <v>21.0</v>
      </c>
      <c r="H426" s="55" t="str">
        <f t="shared" si="3"/>
        <v>#REF!</v>
      </c>
      <c r="I426" s="12" t="str">
        <f t="shared" si="2"/>
        <v>13 Complete Medical Records, 1 Patient Portal Logins</v>
      </c>
      <c r="J426" s="47"/>
      <c r="K426" s="47"/>
      <c r="L426" s="12"/>
      <c r="M426" s="12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idden="1">
      <c r="A427" s="6" t="s">
        <v>240</v>
      </c>
      <c r="B427" s="16" t="s">
        <v>1076</v>
      </c>
      <c r="C427" s="16" t="s">
        <v>1077</v>
      </c>
      <c r="D427" s="16" t="s">
        <v>1078</v>
      </c>
      <c r="E427" s="324">
        <v>17.0</v>
      </c>
      <c r="F427" s="325">
        <v>0.0</v>
      </c>
      <c r="G427" s="344">
        <v>26.0</v>
      </c>
      <c r="H427" s="55" t="str">
        <f t="shared" si="3"/>
        <v>#REF!</v>
      </c>
      <c r="I427" s="12" t="str">
        <f t="shared" si="2"/>
        <v>17 Complete Medical Records, 0 Patient Portal Logins</v>
      </c>
      <c r="J427" s="47"/>
      <c r="K427" s="47"/>
      <c r="L427" s="12"/>
      <c r="M427" s="12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idden="1">
      <c r="A428" s="6" t="s">
        <v>240</v>
      </c>
      <c r="B428" s="16" t="s">
        <v>1079</v>
      </c>
      <c r="C428" s="16" t="s">
        <v>1080</v>
      </c>
      <c r="D428" s="16" t="s">
        <v>1081</v>
      </c>
      <c r="E428" s="324">
        <v>17.0</v>
      </c>
      <c r="F428" s="325">
        <v>0.0</v>
      </c>
      <c r="G428" s="344">
        <v>26.0</v>
      </c>
      <c r="H428" s="55" t="str">
        <f t="shared" si="3"/>
        <v>#REF!</v>
      </c>
      <c r="I428" s="12" t="str">
        <f t="shared" si="2"/>
        <v>17 Complete Medical Records, 0 Patient Portal Logins</v>
      </c>
      <c r="J428" s="47"/>
      <c r="K428" s="47"/>
      <c r="L428" s="12"/>
      <c r="M428" s="12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idden="1">
      <c r="A429" s="6" t="s">
        <v>240</v>
      </c>
      <c r="B429" s="16" t="s">
        <v>1082</v>
      </c>
      <c r="C429" s="16" t="s">
        <v>1083</v>
      </c>
      <c r="D429" s="16" t="s">
        <v>1084</v>
      </c>
      <c r="E429" s="324">
        <v>17.0</v>
      </c>
      <c r="F429" s="325">
        <v>0.0</v>
      </c>
      <c r="G429" s="344">
        <v>26.0</v>
      </c>
      <c r="H429" s="55" t="str">
        <f t="shared" si="3"/>
        <v>#REF!</v>
      </c>
      <c r="I429" s="12" t="str">
        <f t="shared" si="2"/>
        <v>17 Complete Medical Records, 0 Patient Portal Logins</v>
      </c>
      <c r="J429" s="47"/>
      <c r="K429" s="47"/>
      <c r="L429" s="12"/>
      <c r="M429" s="12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idden="1">
      <c r="A430" s="6" t="s">
        <v>240</v>
      </c>
      <c r="B430" s="16" t="s">
        <v>1085</v>
      </c>
      <c r="C430" s="16" t="s">
        <v>1086</v>
      </c>
      <c r="D430" s="16" t="s">
        <v>1087</v>
      </c>
      <c r="E430" s="324">
        <v>14.0</v>
      </c>
      <c r="F430" s="325">
        <v>0.0</v>
      </c>
      <c r="G430" s="344">
        <v>32.0</v>
      </c>
      <c r="H430" s="55" t="str">
        <f t="shared" si="3"/>
        <v>#REF!</v>
      </c>
      <c r="I430" s="12" t="str">
        <f t="shared" si="2"/>
        <v>14 Complete Medical Records, 0 Patient Portal Logins</v>
      </c>
      <c r="J430" s="47"/>
      <c r="K430" s="47"/>
      <c r="L430" s="12"/>
      <c r="M430" s="12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idden="1">
      <c r="A431" s="6" t="s">
        <v>240</v>
      </c>
      <c r="B431" s="16" t="s">
        <v>1088</v>
      </c>
      <c r="C431" s="16" t="s">
        <v>1089</v>
      </c>
      <c r="D431" s="16" t="s">
        <v>1090</v>
      </c>
      <c r="E431" s="324">
        <v>14.0</v>
      </c>
      <c r="F431" s="325">
        <v>0.0</v>
      </c>
      <c r="G431" s="344">
        <v>15.0</v>
      </c>
      <c r="H431" s="55" t="str">
        <f t="shared" si="3"/>
        <v>#REF!</v>
      </c>
      <c r="I431" s="12" t="str">
        <f t="shared" si="2"/>
        <v>14 Complete Medical Records, 0 Patient Portal Logins</v>
      </c>
      <c r="J431" s="47"/>
      <c r="K431" s="47"/>
      <c r="L431" s="12"/>
      <c r="M431" s="12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idden="1">
      <c r="A432" s="6" t="s">
        <v>240</v>
      </c>
      <c r="B432" s="16" t="s">
        <v>1091</v>
      </c>
      <c r="C432" s="16" t="s">
        <v>1092</v>
      </c>
      <c r="D432" s="16" t="s">
        <v>1093</v>
      </c>
      <c r="E432" s="324">
        <v>14.0</v>
      </c>
      <c r="F432" s="325">
        <v>0.0</v>
      </c>
      <c r="G432" s="344">
        <v>32.0</v>
      </c>
      <c r="H432" s="55" t="str">
        <f t="shared" si="3"/>
        <v>#REF!</v>
      </c>
      <c r="I432" s="39" t="str">
        <f t="shared" si="2"/>
        <v>14 Complete Medical Records, 0 Patient Portal Logins</v>
      </c>
      <c r="J432" s="47"/>
      <c r="K432" s="47"/>
      <c r="L432" s="12"/>
      <c r="M432" s="12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idden="1">
      <c r="A433" s="6" t="s">
        <v>240</v>
      </c>
      <c r="B433" s="16" t="s">
        <v>1094</v>
      </c>
      <c r="C433" s="16" t="s">
        <v>1095</v>
      </c>
      <c r="D433" s="16" t="s">
        <v>1096</v>
      </c>
      <c r="E433" s="324">
        <v>14.0</v>
      </c>
      <c r="F433" s="325">
        <v>12.0</v>
      </c>
      <c r="G433" s="344">
        <v>32.0</v>
      </c>
      <c r="H433" s="55" t="str">
        <f t="shared" si="3"/>
        <v>#REF!</v>
      </c>
      <c r="I433" s="12" t="str">
        <f t="shared" si="2"/>
        <v>14 Complete Medical Records, 12 Patient Portal Logins</v>
      </c>
      <c r="J433" s="47"/>
      <c r="K433" s="47"/>
      <c r="L433" s="12"/>
      <c r="M433" s="12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idden="1">
      <c r="A434" s="6" t="s">
        <v>240</v>
      </c>
      <c r="B434" s="16" t="s">
        <v>1097</v>
      </c>
      <c r="C434" s="16" t="s">
        <v>1098</v>
      </c>
      <c r="D434" s="16" t="s">
        <v>1099</v>
      </c>
      <c r="E434" s="324">
        <v>17.0</v>
      </c>
      <c r="F434" s="325">
        <v>2.0</v>
      </c>
      <c r="G434" s="344">
        <v>26.0</v>
      </c>
      <c r="H434" s="55" t="str">
        <f t="shared" si="3"/>
        <v>#REF!</v>
      </c>
      <c r="I434" s="12" t="str">
        <f t="shared" si="2"/>
        <v>17 Complete Medical Records, 2 Patient Portal Logins</v>
      </c>
      <c r="J434" s="47"/>
      <c r="K434" s="47"/>
      <c r="L434" s="12"/>
      <c r="M434" s="12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idden="1">
      <c r="A435" s="6" t="s">
        <v>240</v>
      </c>
      <c r="B435" s="16" t="s">
        <v>255</v>
      </c>
      <c r="C435" s="16" t="s">
        <v>256</v>
      </c>
      <c r="D435" s="16" t="s">
        <v>257</v>
      </c>
      <c r="E435" s="324">
        <v>17.0</v>
      </c>
      <c r="F435" s="325">
        <v>0.0</v>
      </c>
      <c r="G435" s="344">
        <v>26.0</v>
      </c>
      <c r="H435" s="55" t="str">
        <f t="shared" si="3"/>
        <v>#REF!</v>
      </c>
      <c r="I435" s="12" t="str">
        <f t="shared" si="2"/>
        <v>17 Complete Medical Records, 0 Patient Portal Logins</v>
      </c>
      <c r="J435" s="47"/>
      <c r="K435" s="47"/>
      <c r="L435" s="12"/>
      <c r="M435" s="12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idden="1">
      <c r="A436" s="6" t="s">
        <v>240</v>
      </c>
      <c r="B436" s="16" t="s">
        <v>1100</v>
      </c>
      <c r="C436" s="16" t="s">
        <v>1101</v>
      </c>
      <c r="D436" s="16" t="s">
        <v>1102</v>
      </c>
      <c r="E436" s="324">
        <v>14.0</v>
      </c>
      <c r="F436" s="325">
        <v>16.0</v>
      </c>
      <c r="G436" s="344">
        <v>39.0</v>
      </c>
      <c r="H436" s="55" t="str">
        <f t="shared" si="3"/>
        <v>#REF!</v>
      </c>
      <c r="I436" s="12" t="str">
        <f t="shared" si="2"/>
        <v>14 Complete Medical Records, 16 Patient Portal Logins</v>
      </c>
      <c r="J436" s="47"/>
      <c r="K436" s="47"/>
      <c r="L436" s="12"/>
      <c r="M436" s="12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idden="1">
      <c r="A437" s="6" t="s">
        <v>240</v>
      </c>
      <c r="B437" s="16" t="s">
        <v>1103</v>
      </c>
      <c r="C437" s="16" t="s">
        <v>1104</v>
      </c>
      <c r="D437" s="16" t="s">
        <v>1105</v>
      </c>
      <c r="E437" s="324">
        <v>13.0</v>
      </c>
      <c r="F437" s="325">
        <v>0.0</v>
      </c>
      <c r="G437" s="344">
        <v>21.0</v>
      </c>
      <c r="H437" s="55" t="str">
        <f t="shared" si="3"/>
        <v>#REF!</v>
      </c>
      <c r="I437" s="12" t="str">
        <f t="shared" si="2"/>
        <v>13 Complete Medical Records, 0 Patient Portal Logins</v>
      </c>
      <c r="J437" s="47"/>
      <c r="K437" s="47"/>
      <c r="L437" s="12"/>
      <c r="M437" s="12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idden="1">
      <c r="A438" s="6" t="s">
        <v>240</v>
      </c>
      <c r="B438" s="16" t="s">
        <v>1106</v>
      </c>
      <c r="C438" s="16" t="s">
        <v>1107</v>
      </c>
      <c r="D438" s="16" t="s">
        <v>1108</v>
      </c>
      <c r="E438" s="324">
        <v>14.0</v>
      </c>
      <c r="F438" s="325">
        <v>9.0</v>
      </c>
      <c r="G438" s="344">
        <v>32.0</v>
      </c>
      <c r="H438" s="55" t="str">
        <f t="shared" si="3"/>
        <v>#REF!</v>
      </c>
      <c r="I438" s="12" t="str">
        <f t="shared" si="2"/>
        <v>14 Complete Medical Records, 9 Patient Portal Logins</v>
      </c>
      <c r="J438" s="47"/>
      <c r="K438" s="47"/>
      <c r="L438" s="12"/>
      <c r="M438" s="12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idden="1">
      <c r="A439" s="6" t="s">
        <v>240</v>
      </c>
      <c r="B439" s="16" t="s">
        <v>1109</v>
      </c>
      <c r="C439" s="16" t="s">
        <v>1110</v>
      </c>
      <c r="D439" s="16" t="s">
        <v>1111</v>
      </c>
      <c r="E439" s="324">
        <v>14.0</v>
      </c>
      <c r="F439" s="325">
        <v>0.0</v>
      </c>
      <c r="G439" s="344">
        <v>39.0</v>
      </c>
      <c r="H439" s="55" t="str">
        <f t="shared" si="3"/>
        <v>#REF!</v>
      </c>
      <c r="I439" s="12" t="str">
        <f t="shared" si="2"/>
        <v>14 Complete Medical Records, 0 Patient Portal Logins</v>
      </c>
      <c r="J439" s="47"/>
      <c r="K439" s="47"/>
      <c r="L439" s="12"/>
      <c r="M439" s="12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idden="1">
      <c r="A440" s="6" t="s">
        <v>240</v>
      </c>
      <c r="B440" s="16" t="s">
        <v>1112</v>
      </c>
      <c r="C440" s="16" t="s">
        <v>1113</v>
      </c>
      <c r="D440" s="16" t="s">
        <v>1114</v>
      </c>
      <c r="E440" s="324">
        <v>17.0</v>
      </c>
      <c r="F440" s="325">
        <v>3.0</v>
      </c>
      <c r="G440" s="344">
        <v>26.0</v>
      </c>
      <c r="H440" s="55" t="str">
        <f t="shared" si="3"/>
        <v>#REF!</v>
      </c>
      <c r="I440" s="12" t="str">
        <f t="shared" si="2"/>
        <v>17 Complete Medical Records, 3 Patient Portal Logins</v>
      </c>
      <c r="J440" s="47"/>
      <c r="K440" s="47"/>
      <c r="L440" s="12"/>
      <c r="M440" s="12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idden="1">
      <c r="A441" s="6" t="s">
        <v>240</v>
      </c>
      <c r="B441" s="16" t="s">
        <v>1115</v>
      </c>
      <c r="C441" s="16" t="s">
        <v>1116</v>
      </c>
      <c r="D441" s="16" t="s">
        <v>1117</v>
      </c>
      <c r="E441" s="324">
        <v>13.0</v>
      </c>
      <c r="F441" s="325">
        <v>18.0</v>
      </c>
      <c r="G441" s="344">
        <v>21.0</v>
      </c>
      <c r="H441" s="55" t="str">
        <f t="shared" si="3"/>
        <v>#REF!</v>
      </c>
      <c r="I441" s="12" t="str">
        <f t="shared" si="2"/>
        <v>13 Complete Medical Records, 18 Patient Portal Logins</v>
      </c>
      <c r="J441" s="47"/>
      <c r="K441" s="47"/>
      <c r="L441" s="12"/>
      <c r="M441" s="12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idden="1">
      <c r="A442" s="6" t="s">
        <v>240</v>
      </c>
      <c r="B442" s="16" t="s">
        <v>1118</v>
      </c>
      <c r="C442" s="16" t="s">
        <v>1119</v>
      </c>
      <c r="D442" s="16" t="s">
        <v>1120</v>
      </c>
      <c r="E442" s="327">
        <v>14.0</v>
      </c>
      <c r="F442" s="325">
        <v>26.0</v>
      </c>
      <c r="G442" s="344">
        <v>15.0</v>
      </c>
      <c r="H442" s="55" t="str">
        <f t="shared" si="3"/>
        <v>#REF!</v>
      </c>
      <c r="I442" s="12" t="str">
        <f t="shared" si="2"/>
        <v>14 Complete Medical Records, 26 Patient Portal Logins</v>
      </c>
      <c r="J442" s="47"/>
      <c r="K442" s="47"/>
      <c r="L442" s="12"/>
      <c r="M442" s="12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idden="1">
      <c r="A443" s="6" t="s">
        <v>240</v>
      </c>
      <c r="B443" s="16" t="s">
        <v>1121</v>
      </c>
      <c r="C443" s="16" t="s">
        <v>1122</v>
      </c>
      <c r="D443" s="16" t="s">
        <v>1123</v>
      </c>
      <c r="E443" s="324">
        <v>17.0</v>
      </c>
      <c r="F443" s="325">
        <v>19.0</v>
      </c>
      <c r="G443" s="344">
        <v>26.0</v>
      </c>
      <c r="H443" s="55" t="str">
        <f t="shared" si="3"/>
        <v>#REF!</v>
      </c>
      <c r="I443" s="12" t="str">
        <f t="shared" si="2"/>
        <v>17 Complete Medical Records, 19 Patient Portal Logins</v>
      </c>
      <c r="J443" s="47"/>
      <c r="K443" s="47"/>
      <c r="L443" s="12"/>
      <c r="M443" s="12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idden="1">
      <c r="A444" s="6" t="s">
        <v>240</v>
      </c>
      <c r="B444" s="16" t="s">
        <v>1124</v>
      </c>
      <c r="C444" s="16" t="s">
        <v>1125</v>
      </c>
      <c r="D444" s="16" t="s">
        <v>1126</v>
      </c>
      <c r="E444" s="324">
        <v>14.0</v>
      </c>
      <c r="F444" s="325">
        <v>0.0</v>
      </c>
      <c r="G444" s="344">
        <v>32.0</v>
      </c>
      <c r="H444" s="55" t="str">
        <f t="shared" si="3"/>
        <v>#REF!</v>
      </c>
      <c r="I444" s="12" t="str">
        <f t="shared" si="2"/>
        <v>14 Complete Medical Records, 0 Patient Portal Logins</v>
      </c>
      <c r="J444" s="47"/>
      <c r="K444" s="47"/>
      <c r="L444" s="12"/>
      <c r="M444" s="12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idden="1">
      <c r="A445" s="6" t="s">
        <v>240</v>
      </c>
      <c r="B445" s="16" t="s">
        <v>1127</v>
      </c>
      <c r="C445" s="16" t="s">
        <v>1128</v>
      </c>
      <c r="D445" s="16" t="s">
        <v>1129</v>
      </c>
      <c r="E445" s="324">
        <v>17.0</v>
      </c>
      <c r="F445" s="325">
        <v>1.0</v>
      </c>
      <c r="G445" s="344">
        <v>26.0</v>
      </c>
      <c r="H445" s="55" t="str">
        <f t="shared" si="3"/>
        <v>#REF!</v>
      </c>
      <c r="I445" s="12" t="str">
        <f t="shared" si="2"/>
        <v>17 Complete Medical Records, 1 Patient Portal Logins</v>
      </c>
      <c r="J445" s="47"/>
      <c r="K445" s="47"/>
      <c r="L445" s="12"/>
      <c r="M445" s="12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idden="1">
      <c r="A446" s="6" t="s">
        <v>240</v>
      </c>
      <c r="B446" s="16" t="s">
        <v>1130</v>
      </c>
      <c r="C446" s="16" t="s">
        <v>1131</v>
      </c>
      <c r="D446" s="16" t="s">
        <v>1132</v>
      </c>
      <c r="E446" s="324">
        <v>17.0</v>
      </c>
      <c r="F446" s="325">
        <v>0.0</v>
      </c>
      <c r="G446" s="344">
        <v>26.0</v>
      </c>
      <c r="H446" s="55" t="str">
        <f t="shared" si="3"/>
        <v>#REF!</v>
      </c>
      <c r="I446" s="12" t="str">
        <f t="shared" si="2"/>
        <v>17 Complete Medical Records, 0 Patient Portal Logins</v>
      </c>
      <c r="J446" s="47"/>
      <c r="K446" s="47"/>
      <c r="L446" s="12"/>
      <c r="M446" s="12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idden="1">
      <c r="A447" s="6" t="s">
        <v>240</v>
      </c>
      <c r="B447" s="16" t="s">
        <v>1133</v>
      </c>
      <c r="C447" s="16" t="s">
        <v>1134</v>
      </c>
      <c r="D447" s="16" t="s">
        <v>1135</v>
      </c>
      <c r="E447" s="324">
        <v>14.0</v>
      </c>
      <c r="F447" s="325">
        <v>0.0</v>
      </c>
      <c r="G447" s="344">
        <v>32.0</v>
      </c>
      <c r="H447" s="55" t="str">
        <f t="shared" si="3"/>
        <v>#REF!</v>
      </c>
      <c r="I447" s="12" t="str">
        <f t="shared" si="2"/>
        <v>14 Complete Medical Records, 0 Patient Portal Logins</v>
      </c>
      <c r="J447" s="47"/>
      <c r="K447" s="47"/>
      <c r="L447" s="12"/>
      <c r="M447" s="12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idden="1">
      <c r="A448" s="6" t="s">
        <v>240</v>
      </c>
      <c r="B448" s="16" t="s">
        <v>1164</v>
      </c>
      <c r="C448" s="16" t="s">
        <v>1165</v>
      </c>
      <c r="D448" s="16" t="s">
        <v>1166</v>
      </c>
      <c r="E448" s="331"/>
      <c r="F448" s="346"/>
      <c r="G448" s="53"/>
      <c r="H448" s="55" t="str">
        <f t="shared" si="3"/>
        <v>#REF!</v>
      </c>
      <c r="I448" s="12" t="str">
        <f t="shared" si="2"/>
        <v> Complete Medical Records,  Patient Portal Logins</v>
      </c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idden="1">
      <c r="A449" s="6" t="s">
        <v>240</v>
      </c>
      <c r="B449" s="16" t="s">
        <v>1136</v>
      </c>
      <c r="C449" s="16" t="s">
        <v>1137</v>
      </c>
      <c r="D449" s="16" t="s">
        <v>1138</v>
      </c>
      <c r="E449" s="324">
        <v>14.0</v>
      </c>
      <c r="F449" s="325">
        <v>0.0</v>
      </c>
      <c r="G449" s="344">
        <v>39.0</v>
      </c>
      <c r="H449" s="55" t="str">
        <f t="shared" si="3"/>
        <v>#REF!</v>
      </c>
      <c r="I449" s="12" t="str">
        <f t="shared" si="2"/>
        <v>14 Complete Medical Records, 0 Patient Portal Logins</v>
      </c>
      <c r="J449" s="47"/>
      <c r="K449" s="47"/>
      <c r="L449" s="12"/>
      <c r="M449" s="12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idden="1">
      <c r="A450" s="6" t="s">
        <v>240</v>
      </c>
      <c r="B450" s="16" t="s">
        <v>1139</v>
      </c>
      <c r="C450" s="16" t="s">
        <v>1140</v>
      </c>
      <c r="D450" s="16" t="s">
        <v>1141</v>
      </c>
      <c r="E450" s="327">
        <v>14.0</v>
      </c>
      <c r="F450" s="325">
        <v>11.0</v>
      </c>
      <c r="G450" s="344">
        <v>39.0</v>
      </c>
      <c r="H450" s="55" t="str">
        <f t="shared" si="3"/>
        <v>#REF!</v>
      </c>
      <c r="I450" s="12" t="str">
        <f t="shared" si="2"/>
        <v>14 Complete Medical Records, 11 Patient Portal Logins</v>
      </c>
      <c r="J450" s="47"/>
      <c r="K450" s="47"/>
      <c r="L450" s="12"/>
      <c r="M450" s="12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idden="1">
      <c r="A451" s="6" t="s">
        <v>240</v>
      </c>
      <c r="B451" s="16" t="s">
        <v>1142</v>
      </c>
      <c r="C451" s="16" t="s">
        <v>1143</v>
      </c>
      <c r="D451" s="16" t="s">
        <v>1144</v>
      </c>
      <c r="E451" s="324">
        <v>14.0</v>
      </c>
      <c r="F451" s="325">
        <v>6.0</v>
      </c>
      <c r="G451" s="344">
        <v>32.0</v>
      </c>
      <c r="H451" s="55" t="str">
        <f t="shared" si="3"/>
        <v>#REF!</v>
      </c>
      <c r="I451" s="12" t="str">
        <f t="shared" si="2"/>
        <v>14 Complete Medical Records, 6 Patient Portal Logins</v>
      </c>
      <c r="J451" s="47"/>
      <c r="K451" s="47"/>
      <c r="L451" s="12"/>
      <c r="M451" s="12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idden="1">
      <c r="A452" s="6" t="s">
        <v>240</v>
      </c>
      <c r="B452" s="16" t="s">
        <v>1145</v>
      </c>
      <c r="C452" s="16" t="s">
        <v>1146</v>
      </c>
      <c r="D452" s="16" t="s">
        <v>1147</v>
      </c>
      <c r="E452" s="324">
        <v>14.0</v>
      </c>
      <c r="F452" s="325">
        <v>0.0</v>
      </c>
      <c r="G452" s="344">
        <v>39.0</v>
      </c>
      <c r="H452" s="55" t="str">
        <f t="shared" si="3"/>
        <v>#REF!</v>
      </c>
      <c r="I452" s="12" t="str">
        <f t="shared" si="2"/>
        <v>14 Complete Medical Records, 0 Patient Portal Logins</v>
      </c>
      <c r="J452" s="47"/>
      <c r="K452" s="47"/>
      <c r="L452" s="12"/>
      <c r="M452" s="12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idden="1">
      <c r="A453" s="6" t="s">
        <v>240</v>
      </c>
      <c r="B453" s="16" t="s">
        <v>1148</v>
      </c>
      <c r="C453" s="16" t="s">
        <v>1149</v>
      </c>
      <c r="D453" s="16" t="s">
        <v>1150</v>
      </c>
      <c r="E453" s="324">
        <v>13.0</v>
      </c>
      <c r="F453" s="325">
        <v>10.0</v>
      </c>
      <c r="G453" s="344">
        <v>21.0</v>
      </c>
      <c r="H453" s="55" t="str">
        <f t="shared" si="3"/>
        <v>#REF!</v>
      </c>
      <c r="I453" s="12" t="str">
        <f t="shared" si="2"/>
        <v>13 Complete Medical Records, 10 Patient Portal Logins</v>
      </c>
      <c r="J453" s="47"/>
      <c r="K453" s="47"/>
      <c r="L453" s="12"/>
      <c r="M453" s="12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idden="1">
      <c r="A454" s="6" t="s">
        <v>240</v>
      </c>
      <c r="B454" s="16" t="s">
        <v>1151</v>
      </c>
      <c r="C454" s="16" t="s">
        <v>1152</v>
      </c>
      <c r="D454" s="16" t="s">
        <v>1153</v>
      </c>
      <c r="E454" s="324">
        <v>17.0</v>
      </c>
      <c r="F454" s="325">
        <v>15.0</v>
      </c>
      <c r="G454" s="344">
        <v>26.0</v>
      </c>
      <c r="H454" s="55" t="str">
        <f t="shared" si="3"/>
        <v>#REF!</v>
      </c>
      <c r="I454" s="12" t="str">
        <f t="shared" si="2"/>
        <v>17 Complete Medical Records, 15 Patient Portal Logins</v>
      </c>
      <c r="J454" s="47"/>
      <c r="K454" s="47"/>
      <c r="L454" s="12"/>
      <c r="M454" s="12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idden="1">
      <c r="A455" s="6" t="s">
        <v>240</v>
      </c>
      <c r="B455" s="16" t="s">
        <v>1154</v>
      </c>
      <c r="C455" s="16" t="s">
        <v>1155</v>
      </c>
      <c r="D455" s="16" t="s">
        <v>1156</v>
      </c>
      <c r="E455" s="327">
        <v>3.0</v>
      </c>
      <c r="F455" s="325">
        <v>3.0</v>
      </c>
      <c r="G455" s="344">
        <v>0.0</v>
      </c>
      <c r="H455" s="55" t="str">
        <f t="shared" si="3"/>
        <v>#REF!</v>
      </c>
      <c r="I455" s="12" t="str">
        <f t="shared" si="2"/>
        <v>3 Complete Medical Records, 3 Patient Portal Logins</v>
      </c>
      <c r="J455" s="47"/>
      <c r="K455" s="47"/>
      <c r="L455" s="12"/>
      <c r="M455" s="12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idden="1">
      <c r="A456" s="6" t="s">
        <v>240</v>
      </c>
      <c r="B456" s="61" t="s">
        <v>1158</v>
      </c>
      <c r="C456" s="21" t="s">
        <v>1159</v>
      </c>
      <c r="D456" s="21" t="s">
        <v>1160</v>
      </c>
      <c r="E456" s="324">
        <v>14.0</v>
      </c>
      <c r="F456" s="325">
        <v>2.0</v>
      </c>
      <c r="G456" s="344">
        <v>39.0</v>
      </c>
      <c r="H456" s="55" t="str">
        <f t="shared" si="3"/>
        <v>#REF!</v>
      </c>
      <c r="I456" s="12" t="str">
        <f t="shared" si="2"/>
        <v>14 Complete Medical Records, 2 Patient Portal Logins</v>
      </c>
      <c r="J456" s="53"/>
      <c r="K456" s="53"/>
      <c r="L456" s="39"/>
      <c r="M456" s="12"/>
      <c r="N456" s="53"/>
      <c r="O456" s="53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idden="1">
      <c r="A457" s="6" t="s">
        <v>240</v>
      </c>
      <c r="B457" s="21" t="s">
        <v>1161</v>
      </c>
      <c r="C457" s="21" t="s">
        <v>1162</v>
      </c>
      <c r="D457" s="21" t="s">
        <v>1163</v>
      </c>
      <c r="E457" s="324">
        <v>14.0</v>
      </c>
      <c r="F457" s="325">
        <v>0.0</v>
      </c>
      <c r="G457" s="344">
        <v>32.0</v>
      </c>
      <c r="H457" s="55" t="str">
        <f t="shared" si="3"/>
        <v>#REF!</v>
      </c>
      <c r="I457" s="12" t="str">
        <f t="shared" si="2"/>
        <v>14 Complete Medical Records, 0 Patient Portal Logins</v>
      </c>
      <c r="J457" s="53"/>
      <c r="K457" s="53"/>
      <c r="L457" s="39"/>
      <c r="M457" s="12"/>
      <c r="N457" s="53"/>
      <c r="O457" s="53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idden="1">
      <c r="A458" s="54" t="s">
        <v>241</v>
      </c>
      <c r="B458" s="7" t="s">
        <v>709</v>
      </c>
      <c r="C458" s="7" t="s">
        <v>710</v>
      </c>
      <c r="D458" s="7" t="s">
        <v>711</v>
      </c>
      <c r="E458" s="310"/>
      <c r="F458" s="314"/>
      <c r="G458" s="347">
        <v>2.0</v>
      </c>
      <c r="H458" s="55" t="str">
        <f t="shared" si="3"/>
        <v>#REF!</v>
      </c>
      <c r="I458" s="12" t="str">
        <f t="shared" si="2"/>
        <v> Complete Medical Records,  Patient Portal Logins</v>
      </c>
      <c r="J458" s="14"/>
      <c r="K458" s="14"/>
      <c r="L458" s="14">
        <v>500.0</v>
      </c>
      <c r="M458" s="14">
        <v>500.0</v>
      </c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hidden="1">
      <c r="A459" s="54" t="s">
        <v>241</v>
      </c>
      <c r="B459" s="7" t="s">
        <v>1036</v>
      </c>
      <c r="C459" s="7" t="s">
        <v>1037</v>
      </c>
      <c r="D459" s="7" t="s">
        <v>1038</v>
      </c>
      <c r="E459" s="310"/>
      <c r="F459" s="314"/>
      <c r="G459" s="347">
        <v>2.0</v>
      </c>
      <c r="H459" s="55" t="str">
        <f t="shared" si="3"/>
        <v>#REF!</v>
      </c>
      <c r="I459" s="12" t="str">
        <f t="shared" si="2"/>
        <v> Complete Medical Records,  Patient Portal Logins</v>
      </c>
      <c r="J459" s="14"/>
      <c r="K459" s="14"/>
      <c r="L459" s="14">
        <v>500.0</v>
      </c>
      <c r="M459" s="14">
        <v>500.0</v>
      </c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hidden="1">
      <c r="A460" s="54" t="s">
        <v>241</v>
      </c>
      <c r="B460" s="7" t="s">
        <v>1039</v>
      </c>
      <c r="C460" s="7" t="s">
        <v>1040</v>
      </c>
      <c r="D460" s="7" t="s">
        <v>1041</v>
      </c>
      <c r="E460" s="310"/>
      <c r="F460" s="314"/>
      <c r="G460" s="347">
        <v>2.0</v>
      </c>
      <c r="H460" s="55" t="str">
        <f t="shared" si="3"/>
        <v>#REF!</v>
      </c>
      <c r="I460" s="12" t="str">
        <f t="shared" si="2"/>
        <v> Complete Medical Records,  Patient Portal Logins</v>
      </c>
      <c r="J460" s="14"/>
      <c r="K460" s="14"/>
      <c r="L460" s="14">
        <v>500.0</v>
      </c>
      <c r="M460" s="14">
        <v>500.0</v>
      </c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hidden="1">
      <c r="A461" s="54" t="s">
        <v>241</v>
      </c>
      <c r="B461" s="7" t="s">
        <v>1042</v>
      </c>
      <c r="C461" s="7" t="s">
        <v>1043</v>
      </c>
      <c r="D461" s="7" t="s">
        <v>1044</v>
      </c>
      <c r="E461" s="310"/>
      <c r="F461" s="314"/>
      <c r="G461" s="347">
        <v>2.0</v>
      </c>
      <c r="H461" s="55" t="str">
        <f t="shared" si="3"/>
        <v>#REF!</v>
      </c>
      <c r="I461" s="12" t="str">
        <f t="shared" si="2"/>
        <v> Complete Medical Records,  Patient Portal Logins</v>
      </c>
      <c r="J461" s="14"/>
      <c r="K461" s="14"/>
      <c r="L461" s="14">
        <v>500.0</v>
      </c>
      <c r="M461" s="14">
        <v>500.0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hidden="1">
      <c r="A462" s="54" t="s">
        <v>241</v>
      </c>
      <c r="B462" s="7" t="s">
        <v>1052</v>
      </c>
      <c r="C462" s="7" t="s">
        <v>1170</v>
      </c>
      <c r="D462" s="7" t="s">
        <v>1054</v>
      </c>
      <c r="E462" s="310"/>
      <c r="F462" s="314"/>
      <c r="G462" s="347">
        <v>2.0</v>
      </c>
      <c r="H462" s="55" t="str">
        <f t="shared" si="3"/>
        <v>#REF!</v>
      </c>
      <c r="I462" s="12" t="str">
        <f t="shared" si="2"/>
        <v> Complete Medical Records,  Patient Portal Logins</v>
      </c>
      <c r="J462" s="14"/>
      <c r="K462" s="14"/>
      <c r="L462" s="14">
        <v>500.0</v>
      </c>
      <c r="M462" s="14">
        <v>500.0</v>
      </c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hidden="1">
      <c r="A463" s="54" t="s">
        <v>241</v>
      </c>
      <c r="B463" s="7" t="s">
        <v>1045</v>
      </c>
      <c r="C463" s="7" t="s">
        <v>1046</v>
      </c>
      <c r="D463" s="7" t="s">
        <v>1047</v>
      </c>
      <c r="E463" s="310"/>
      <c r="F463" s="314"/>
      <c r="G463" s="347">
        <v>2.0</v>
      </c>
      <c r="H463" s="55" t="str">
        <f t="shared" si="3"/>
        <v>#REF!</v>
      </c>
      <c r="I463" s="12" t="str">
        <f t="shared" si="2"/>
        <v> Complete Medical Records,  Patient Portal Logins</v>
      </c>
      <c r="J463" s="14"/>
      <c r="K463" s="14"/>
      <c r="L463" s="14">
        <v>500.0</v>
      </c>
      <c r="M463" s="14">
        <v>500.0</v>
      </c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hidden="1">
      <c r="A464" s="54" t="s">
        <v>241</v>
      </c>
      <c r="B464" s="7" t="s">
        <v>1049</v>
      </c>
      <c r="C464" s="7" t="s">
        <v>1050</v>
      </c>
      <c r="D464" s="7" t="s">
        <v>1051</v>
      </c>
      <c r="E464" s="310"/>
      <c r="F464" s="314"/>
      <c r="G464" s="347">
        <v>2.0</v>
      </c>
      <c r="H464" s="55" t="str">
        <f t="shared" si="3"/>
        <v>#REF!</v>
      </c>
      <c r="I464" s="12" t="str">
        <f t="shared" si="2"/>
        <v> Complete Medical Records,  Patient Portal Logins</v>
      </c>
      <c r="J464" s="14"/>
      <c r="K464" s="14"/>
      <c r="L464" s="14">
        <v>500.0</v>
      </c>
      <c r="M464" s="14">
        <v>500.0</v>
      </c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hidden="1">
      <c r="A465" s="6" t="s">
        <v>241</v>
      </c>
      <c r="B465" s="7" t="s">
        <v>767</v>
      </c>
      <c r="C465" s="7" t="s">
        <v>768</v>
      </c>
      <c r="D465" s="7" t="s">
        <v>769</v>
      </c>
      <c r="E465" s="310">
        <v>3.0</v>
      </c>
      <c r="F465" s="314">
        <v>0.0</v>
      </c>
      <c r="G465" s="55"/>
      <c r="H465" s="55" t="str">
        <f t="shared" si="3"/>
        <v>#REF!</v>
      </c>
      <c r="I465" s="12" t="str">
        <f t="shared" si="2"/>
        <v>3 Complete Medical Records, 0 Patient Portal Logins</v>
      </c>
      <c r="J465" s="14"/>
      <c r="K465" s="14"/>
      <c r="L465" s="14">
        <v>900.0</v>
      </c>
      <c r="M465" s="14" t="str">
        <f>H465-L465</f>
        <v>#REF!</v>
      </c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hidden="1">
      <c r="A466" s="6" t="s">
        <v>241</v>
      </c>
      <c r="B466" s="16" t="s">
        <v>1036</v>
      </c>
      <c r="C466" s="16" t="s">
        <v>1171</v>
      </c>
      <c r="D466" s="16" t="s">
        <v>1038</v>
      </c>
      <c r="E466" s="261"/>
      <c r="F466" s="316"/>
      <c r="G466" s="39"/>
      <c r="H466" s="39" t="str">
        <f t="shared" ref="H466:H471" si="4">E466*300+#REF!*125+F466*250+#REF!*250</f>
        <v>#REF!</v>
      </c>
      <c r="I466" s="12" t="str">
        <f t="shared" si="2"/>
        <v> Complete Medical Records,  Patient Portal Logins</v>
      </c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hidden="1">
      <c r="A467" s="6" t="s">
        <v>241</v>
      </c>
      <c r="B467" s="16" t="s">
        <v>1039</v>
      </c>
      <c r="C467" s="16" t="s">
        <v>1172</v>
      </c>
      <c r="D467" s="16" t="s">
        <v>1041</v>
      </c>
      <c r="E467" s="261"/>
      <c r="F467" s="316"/>
      <c r="G467" s="39"/>
      <c r="H467" s="39" t="str">
        <f t="shared" si="4"/>
        <v>#REF!</v>
      </c>
      <c r="I467" s="12" t="str">
        <f t="shared" si="2"/>
        <v> Complete Medical Records,  Patient Portal Logins</v>
      </c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hidden="1">
      <c r="A468" s="6" t="s">
        <v>241</v>
      </c>
      <c r="B468" s="16" t="s">
        <v>1042</v>
      </c>
      <c r="C468" s="16" t="s">
        <v>1173</v>
      </c>
      <c r="D468" s="16" t="s">
        <v>1044</v>
      </c>
      <c r="E468" s="261"/>
      <c r="F468" s="316"/>
      <c r="G468" s="39"/>
      <c r="H468" s="39" t="str">
        <f t="shared" si="4"/>
        <v>#REF!</v>
      </c>
      <c r="I468" s="12" t="str">
        <f t="shared" si="2"/>
        <v> Complete Medical Records,  Patient Portal Logins</v>
      </c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hidden="1">
      <c r="A469" s="6" t="s">
        <v>241</v>
      </c>
      <c r="B469" s="16" t="s">
        <v>1052</v>
      </c>
      <c r="C469" s="16" t="s">
        <v>1053</v>
      </c>
      <c r="D469" s="16" t="s">
        <v>1054</v>
      </c>
      <c r="E469" s="306">
        <v>0.0</v>
      </c>
      <c r="F469" s="314">
        <v>0.0</v>
      </c>
      <c r="G469" s="39"/>
      <c r="H469" s="39" t="str">
        <f t="shared" si="4"/>
        <v>#REF!</v>
      </c>
      <c r="I469" s="12" t="str">
        <f t="shared" si="2"/>
        <v>0 Complete Medical Records, 0 Patient Portal Logins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hidden="1">
      <c r="A470" s="6" t="s">
        <v>241</v>
      </c>
      <c r="B470" s="16" t="s">
        <v>1045</v>
      </c>
      <c r="C470" s="16" t="s">
        <v>1174</v>
      </c>
      <c r="D470" s="16" t="s">
        <v>1047</v>
      </c>
      <c r="E470" s="306">
        <v>0.0</v>
      </c>
      <c r="F470" s="314">
        <v>0.0</v>
      </c>
      <c r="G470" s="39"/>
      <c r="H470" s="39" t="str">
        <f t="shared" si="4"/>
        <v>#REF!</v>
      </c>
      <c r="I470" s="12" t="str">
        <f t="shared" si="2"/>
        <v>0 Complete Medical Records, 0 Patient Portal Logins</v>
      </c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hidden="1">
      <c r="A471" s="6" t="s">
        <v>241</v>
      </c>
      <c r="B471" s="16" t="s">
        <v>1049</v>
      </c>
      <c r="C471" s="16" t="s">
        <v>1175</v>
      </c>
      <c r="D471" s="16" t="s">
        <v>1051</v>
      </c>
      <c r="E471" s="306">
        <v>0.0</v>
      </c>
      <c r="F471" s="314">
        <v>0.0</v>
      </c>
      <c r="G471" s="39"/>
      <c r="H471" s="39" t="str">
        <f t="shared" si="4"/>
        <v>#REF!</v>
      </c>
      <c r="I471" s="12" t="str">
        <f t="shared" si="2"/>
        <v>0 Complete Medical Records, 0 Patient Portal Logins</v>
      </c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hidden="1">
      <c r="A472" s="6" t="s">
        <v>241</v>
      </c>
      <c r="B472" s="16" t="s">
        <v>1167</v>
      </c>
      <c r="C472" s="16" t="s">
        <v>1168</v>
      </c>
      <c r="D472" s="16" t="s">
        <v>1169</v>
      </c>
      <c r="E472" s="306">
        <v>0.0</v>
      </c>
      <c r="F472" s="311">
        <v>7.0</v>
      </c>
      <c r="G472" s="347">
        <v>2.0</v>
      </c>
      <c r="H472" s="55" t="str">
        <f t="shared" ref="H472:H500" si="5">E472*300+#REF!*125+F472*250+#REF!*250+G472*250</f>
        <v>#REF!</v>
      </c>
      <c r="I472" s="12" t="str">
        <f t="shared" si="2"/>
        <v>0 Complete Medical Records, 7 Patient Portal Logins</v>
      </c>
      <c r="J472" s="14"/>
      <c r="K472" s="14"/>
      <c r="L472" s="14">
        <v>1750.0</v>
      </c>
      <c r="M472" s="14" t="str">
        <f t="shared" ref="M472:M500" si="6">H472-L472</f>
        <v>#REF!</v>
      </c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hidden="1">
      <c r="A473" s="6" t="s">
        <v>241</v>
      </c>
      <c r="B473" s="16" t="s">
        <v>1055</v>
      </c>
      <c r="C473" s="16" t="s">
        <v>1056</v>
      </c>
      <c r="D473" s="16" t="s">
        <v>1057</v>
      </c>
      <c r="E473" s="306">
        <v>3.0</v>
      </c>
      <c r="F473" s="314">
        <v>0.0</v>
      </c>
      <c r="G473" s="347">
        <v>2.0</v>
      </c>
      <c r="H473" s="55" t="str">
        <f t="shared" si="5"/>
        <v>#REF!</v>
      </c>
      <c r="I473" s="12" t="str">
        <f t="shared" si="2"/>
        <v>3 Complete Medical Records, 0 Patient Portal Logins</v>
      </c>
      <c r="J473" s="14"/>
      <c r="K473" s="14"/>
      <c r="L473" s="14">
        <v>900.0</v>
      </c>
      <c r="M473" s="14" t="str">
        <f t="shared" si="6"/>
        <v>#REF!</v>
      </c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hidden="1">
      <c r="A474" s="6" t="s">
        <v>241</v>
      </c>
      <c r="B474" s="16" t="s">
        <v>1058</v>
      </c>
      <c r="C474" s="16" t="s">
        <v>1059</v>
      </c>
      <c r="D474" s="16" t="s">
        <v>1060</v>
      </c>
      <c r="E474" s="312">
        <v>2.0</v>
      </c>
      <c r="F474" s="314">
        <v>0.0</v>
      </c>
      <c r="G474" s="39"/>
      <c r="H474" s="55" t="str">
        <f t="shared" si="5"/>
        <v>#REF!</v>
      </c>
      <c r="I474" s="12" t="str">
        <f t="shared" si="2"/>
        <v>2 Complete Medical Records, 0 Patient Portal Logins</v>
      </c>
      <c r="J474" s="14"/>
      <c r="K474" s="14"/>
      <c r="L474" s="14">
        <v>600.0</v>
      </c>
      <c r="M474" s="14" t="str">
        <f t="shared" si="6"/>
        <v>#REF!</v>
      </c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hidden="1">
      <c r="A475" s="6" t="s">
        <v>241</v>
      </c>
      <c r="B475" s="16" t="s">
        <v>1061</v>
      </c>
      <c r="C475" s="16" t="s">
        <v>1062</v>
      </c>
      <c r="D475" s="16" t="s">
        <v>1063</v>
      </c>
      <c r="E475" s="310">
        <v>12.0</v>
      </c>
      <c r="F475" s="314">
        <v>0.0</v>
      </c>
      <c r="G475" s="347">
        <v>2.0</v>
      </c>
      <c r="H475" s="55" t="str">
        <f t="shared" si="5"/>
        <v>#REF!</v>
      </c>
      <c r="I475" s="12" t="str">
        <f t="shared" si="2"/>
        <v>12 Complete Medical Records, 0 Patient Portal Logins</v>
      </c>
      <c r="J475" s="14"/>
      <c r="K475" s="14"/>
      <c r="L475" s="14">
        <v>3600.0</v>
      </c>
      <c r="M475" s="14" t="str">
        <f t="shared" si="6"/>
        <v>#REF!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hidden="1">
      <c r="A476" s="6" t="s">
        <v>241</v>
      </c>
      <c r="B476" s="16" t="s">
        <v>1064</v>
      </c>
      <c r="C476" s="16" t="s">
        <v>1065</v>
      </c>
      <c r="D476" s="16" t="s">
        <v>1066</v>
      </c>
      <c r="E476" s="310">
        <v>12.0</v>
      </c>
      <c r="F476" s="314">
        <v>0.0</v>
      </c>
      <c r="G476" s="347">
        <v>2.0</v>
      </c>
      <c r="H476" s="55" t="str">
        <f t="shared" si="5"/>
        <v>#REF!</v>
      </c>
      <c r="I476" s="12" t="str">
        <f t="shared" si="2"/>
        <v>12 Complete Medical Records, 0 Patient Portal Logins</v>
      </c>
      <c r="J476" s="14"/>
      <c r="K476" s="14"/>
      <c r="L476" s="14">
        <v>3600.0</v>
      </c>
      <c r="M476" s="14" t="str">
        <f t="shared" si="6"/>
        <v>#REF!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hidden="1">
      <c r="A477" s="6" t="s">
        <v>241</v>
      </c>
      <c r="B477" s="16" t="s">
        <v>1067</v>
      </c>
      <c r="C477" s="16" t="s">
        <v>1068</v>
      </c>
      <c r="D477" s="16" t="s">
        <v>1069</v>
      </c>
      <c r="E477" s="310">
        <v>12.0</v>
      </c>
      <c r="F477" s="314">
        <v>0.0</v>
      </c>
      <c r="G477" s="347">
        <v>2.0</v>
      </c>
      <c r="H477" s="55" t="str">
        <f t="shared" si="5"/>
        <v>#REF!</v>
      </c>
      <c r="I477" s="12" t="str">
        <f t="shared" si="2"/>
        <v>12 Complete Medical Records, 0 Patient Portal Logins</v>
      </c>
      <c r="J477" s="14"/>
      <c r="K477" s="14"/>
      <c r="L477" s="14">
        <v>3600.0</v>
      </c>
      <c r="M477" s="14" t="str">
        <f t="shared" si="6"/>
        <v>#REF!</v>
      </c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hidden="1">
      <c r="A478" s="6" t="s">
        <v>241</v>
      </c>
      <c r="B478" s="16" t="s">
        <v>1070</v>
      </c>
      <c r="C478" s="16" t="s">
        <v>1071</v>
      </c>
      <c r="D478" s="16" t="s">
        <v>1072</v>
      </c>
      <c r="E478" s="310">
        <v>12.0</v>
      </c>
      <c r="F478" s="314">
        <v>0.0</v>
      </c>
      <c r="G478" s="347">
        <v>2.0</v>
      </c>
      <c r="H478" s="55" t="str">
        <f t="shared" si="5"/>
        <v>#REF!</v>
      </c>
      <c r="I478" s="12" t="str">
        <f t="shared" si="2"/>
        <v>12 Complete Medical Records, 0 Patient Portal Logins</v>
      </c>
      <c r="J478" s="14"/>
      <c r="K478" s="14"/>
      <c r="L478" s="14">
        <v>3600.0</v>
      </c>
      <c r="M478" s="14" t="str">
        <f t="shared" si="6"/>
        <v>#REF!</v>
      </c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hidden="1">
      <c r="A479" s="6" t="s">
        <v>241</v>
      </c>
      <c r="B479" s="16" t="s">
        <v>1073</v>
      </c>
      <c r="C479" s="16" t="s">
        <v>1074</v>
      </c>
      <c r="D479" s="16" t="s">
        <v>1075</v>
      </c>
      <c r="E479" s="310">
        <v>12.0</v>
      </c>
      <c r="F479" s="314">
        <v>0.0</v>
      </c>
      <c r="G479" s="347">
        <v>2.0</v>
      </c>
      <c r="H479" s="55" t="str">
        <f t="shared" si="5"/>
        <v>#REF!</v>
      </c>
      <c r="I479" s="12" t="str">
        <f t="shared" si="2"/>
        <v>12 Complete Medical Records, 0 Patient Portal Logins</v>
      </c>
      <c r="J479" s="14"/>
      <c r="K479" s="14"/>
      <c r="L479" s="14">
        <v>3600.0</v>
      </c>
      <c r="M479" s="14" t="str">
        <f t="shared" si="6"/>
        <v>#REF!</v>
      </c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hidden="1">
      <c r="A480" s="6" t="s">
        <v>241</v>
      </c>
      <c r="B480" s="16" t="s">
        <v>1076</v>
      </c>
      <c r="C480" s="16" t="s">
        <v>1077</v>
      </c>
      <c r="D480" s="16" t="s">
        <v>1078</v>
      </c>
      <c r="E480" s="312">
        <v>7.0</v>
      </c>
      <c r="F480" s="317">
        <v>0.0</v>
      </c>
      <c r="G480" s="347">
        <v>3.0</v>
      </c>
      <c r="H480" s="55" t="str">
        <f t="shared" si="5"/>
        <v>#REF!</v>
      </c>
      <c r="I480" s="12" t="str">
        <f t="shared" si="2"/>
        <v>7 Complete Medical Records, 0 Patient Portal Logins</v>
      </c>
      <c r="J480" s="14"/>
      <c r="K480" s="14"/>
      <c r="L480" s="14">
        <v>2100.0</v>
      </c>
      <c r="M480" s="14" t="str">
        <f t="shared" si="6"/>
        <v>#REF!</v>
      </c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hidden="1">
      <c r="A481" s="6" t="s">
        <v>241</v>
      </c>
      <c r="B481" s="16" t="s">
        <v>1079</v>
      </c>
      <c r="C481" s="16" t="s">
        <v>1080</v>
      </c>
      <c r="D481" s="16" t="s">
        <v>1081</v>
      </c>
      <c r="E481" s="312">
        <v>7.0</v>
      </c>
      <c r="F481" s="317">
        <v>0.0</v>
      </c>
      <c r="G481" s="347">
        <v>3.0</v>
      </c>
      <c r="H481" s="55" t="str">
        <f t="shared" si="5"/>
        <v>#REF!</v>
      </c>
      <c r="I481" s="12" t="str">
        <f t="shared" si="2"/>
        <v>7 Complete Medical Records, 0 Patient Portal Logins</v>
      </c>
      <c r="J481" s="14"/>
      <c r="K481" s="14"/>
      <c r="L481" s="14">
        <v>2100.0</v>
      </c>
      <c r="M481" s="14" t="str">
        <f t="shared" si="6"/>
        <v>#REF!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hidden="1">
      <c r="A482" s="6" t="s">
        <v>241</v>
      </c>
      <c r="B482" s="16" t="s">
        <v>1082</v>
      </c>
      <c r="C482" s="16" t="s">
        <v>1083</v>
      </c>
      <c r="D482" s="16" t="s">
        <v>1084</v>
      </c>
      <c r="E482" s="312">
        <v>7.0</v>
      </c>
      <c r="F482" s="317">
        <v>0.0</v>
      </c>
      <c r="G482" s="347">
        <v>3.0</v>
      </c>
      <c r="H482" s="55" t="str">
        <f t="shared" si="5"/>
        <v>#REF!</v>
      </c>
      <c r="I482" s="12" t="str">
        <f t="shared" si="2"/>
        <v>7 Complete Medical Records, 0 Patient Portal Logins</v>
      </c>
      <c r="J482" s="14"/>
      <c r="K482" s="14"/>
      <c r="L482" s="14">
        <v>2100.0</v>
      </c>
      <c r="M482" s="14" t="str">
        <f t="shared" si="6"/>
        <v>#REF!</v>
      </c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hidden="1">
      <c r="A483" s="6" t="s">
        <v>241</v>
      </c>
      <c r="B483" s="16" t="s">
        <v>1085</v>
      </c>
      <c r="C483" s="16" t="s">
        <v>1086</v>
      </c>
      <c r="D483" s="16" t="s">
        <v>1087</v>
      </c>
      <c r="E483" s="306">
        <v>4.0</v>
      </c>
      <c r="F483" s="314">
        <v>0.0</v>
      </c>
      <c r="G483" s="39"/>
      <c r="H483" s="55" t="str">
        <f t="shared" si="5"/>
        <v>#REF!</v>
      </c>
      <c r="I483" s="12" t="str">
        <f t="shared" si="2"/>
        <v>4 Complete Medical Records, 0 Patient Portal Logins</v>
      </c>
      <c r="J483" s="14"/>
      <c r="K483" s="14"/>
      <c r="L483" s="14">
        <v>1200.0</v>
      </c>
      <c r="M483" s="14" t="str">
        <f t="shared" si="6"/>
        <v>#REF!</v>
      </c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hidden="1">
      <c r="A484" s="6" t="s">
        <v>241</v>
      </c>
      <c r="B484" s="16" t="s">
        <v>1088</v>
      </c>
      <c r="C484" s="16" t="s">
        <v>1089</v>
      </c>
      <c r="D484" s="16" t="s">
        <v>1090</v>
      </c>
      <c r="E484" s="306">
        <v>14.0</v>
      </c>
      <c r="F484" s="314">
        <v>0.0</v>
      </c>
      <c r="G484" s="347">
        <v>3.0</v>
      </c>
      <c r="H484" s="55" t="str">
        <f t="shared" si="5"/>
        <v>#REF!</v>
      </c>
      <c r="I484" s="12" t="str">
        <f t="shared" si="2"/>
        <v>14 Complete Medical Records, 0 Patient Portal Logins</v>
      </c>
      <c r="J484" s="14"/>
      <c r="K484" s="14"/>
      <c r="L484" s="14">
        <v>4200.0</v>
      </c>
      <c r="M484" s="14" t="str">
        <f t="shared" si="6"/>
        <v>#REF!</v>
      </c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hidden="1">
      <c r="A485" s="6" t="s">
        <v>241</v>
      </c>
      <c r="B485" s="16" t="s">
        <v>1091</v>
      </c>
      <c r="C485" s="16" t="s">
        <v>1092</v>
      </c>
      <c r="D485" s="16" t="s">
        <v>1093</v>
      </c>
      <c r="E485" s="306">
        <v>14.0</v>
      </c>
      <c r="F485" s="314">
        <v>0.0</v>
      </c>
      <c r="G485" s="347">
        <v>3.0</v>
      </c>
      <c r="H485" s="55" t="str">
        <f t="shared" si="5"/>
        <v>#REF!</v>
      </c>
      <c r="I485" s="39" t="str">
        <f t="shared" si="2"/>
        <v>14 Complete Medical Records, 0 Patient Portal Logins</v>
      </c>
      <c r="J485" s="14"/>
      <c r="K485" s="14"/>
      <c r="L485" s="14">
        <v>4200.0</v>
      </c>
      <c r="M485" s="14" t="str">
        <f t="shared" si="6"/>
        <v>#REF!</v>
      </c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hidden="1">
      <c r="A486" s="6" t="s">
        <v>241</v>
      </c>
      <c r="B486" s="16" t="s">
        <v>1094</v>
      </c>
      <c r="C486" s="16" t="s">
        <v>1095</v>
      </c>
      <c r="D486" s="16" t="s">
        <v>1096</v>
      </c>
      <c r="E486" s="306">
        <v>14.0</v>
      </c>
      <c r="F486" s="314">
        <v>20.0</v>
      </c>
      <c r="G486" s="348">
        <v>3.0</v>
      </c>
      <c r="H486" s="55" t="str">
        <f t="shared" si="5"/>
        <v>#REF!</v>
      </c>
      <c r="I486" s="12" t="str">
        <f t="shared" si="2"/>
        <v>14 Complete Medical Records, 20 Patient Portal Logins</v>
      </c>
      <c r="J486" s="14"/>
      <c r="K486" s="14"/>
      <c r="L486" s="14">
        <v>9200.0</v>
      </c>
      <c r="M486" s="14" t="str">
        <f t="shared" si="6"/>
        <v>#REF!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hidden="1">
      <c r="A487" s="6" t="s">
        <v>241</v>
      </c>
      <c r="B487" s="16" t="s">
        <v>1097</v>
      </c>
      <c r="C487" s="16" t="s">
        <v>1098</v>
      </c>
      <c r="D487" s="16" t="s">
        <v>1099</v>
      </c>
      <c r="E487" s="312">
        <v>2.0</v>
      </c>
      <c r="F487" s="317">
        <v>0.0</v>
      </c>
      <c r="G487" s="39"/>
      <c r="H487" s="55" t="str">
        <f t="shared" si="5"/>
        <v>#REF!</v>
      </c>
      <c r="I487" s="12" t="str">
        <f t="shared" si="2"/>
        <v>2 Complete Medical Records, 0 Patient Portal Logins</v>
      </c>
      <c r="J487" s="14"/>
      <c r="K487" s="14"/>
      <c r="L487" s="14">
        <v>600.0</v>
      </c>
      <c r="M487" s="14" t="str">
        <f t="shared" si="6"/>
        <v>#REF!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hidden="1">
      <c r="A488" s="6" t="s">
        <v>241</v>
      </c>
      <c r="B488" s="16" t="s">
        <v>255</v>
      </c>
      <c r="C488" s="16" t="s">
        <v>256</v>
      </c>
      <c r="D488" s="16" t="s">
        <v>257</v>
      </c>
      <c r="E488" s="312">
        <v>7.0</v>
      </c>
      <c r="F488" s="317">
        <v>0.0</v>
      </c>
      <c r="G488" s="347">
        <v>7.0</v>
      </c>
      <c r="H488" s="55" t="str">
        <f t="shared" si="5"/>
        <v>#REF!</v>
      </c>
      <c r="I488" s="12" t="str">
        <f t="shared" si="2"/>
        <v>7 Complete Medical Records, 0 Patient Portal Logins</v>
      </c>
      <c r="J488" s="14"/>
      <c r="K488" s="14"/>
      <c r="L488" s="14">
        <v>2100.0</v>
      </c>
      <c r="M488" s="14" t="str">
        <f t="shared" si="6"/>
        <v>#REF!</v>
      </c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hidden="1">
      <c r="A489" s="6" t="s">
        <v>241</v>
      </c>
      <c r="B489" s="16" t="s">
        <v>1100</v>
      </c>
      <c r="C489" s="16" t="s">
        <v>1101</v>
      </c>
      <c r="D489" s="16" t="s">
        <v>1102</v>
      </c>
      <c r="E489" s="312">
        <v>7.0</v>
      </c>
      <c r="F489" s="317">
        <v>8.0</v>
      </c>
      <c r="G489" s="347">
        <v>7.0</v>
      </c>
      <c r="H489" s="55" t="str">
        <f t="shared" si="5"/>
        <v>#REF!</v>
      </c>
      <c r="I489" s="12" t="str">
        <f t="shared" si="2"/>
        <v>7 Complete Medical Records, 8 Patient Portal Logins</v>
      </c>
      <c r="J489" s="14"/>
      <c r="K489" s="14"/>
      <c r="L489" s="14">
        <v>4100.0</v>
      </c>
      <c r="M489" s="14" t="str">
        <f t="shared" si="6"/>
        <v>#REF!</v>
      </c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hidden="1">
      <c r="A490" s="6" t="s">
        <v>241</v>
      </c>
      <c r="B490" s="16" t="s">
        <v>1103</v>
      </c>
      <c r="C490" s="16" t="s">
        <v>1104</v>
      </c>
      <c r="D490" s="16" t="s">
        <v>1105</v>
      </c>
      <c r="E490" s="310">
        <v>12.0</v>
      </c>
      <c r="F490" s="314">
        <v>0.0</v>
      </c>
      <c r="G490" s="347">
        <v>2.0</v>
      </c>
      <c r="H490" s="55" t="str">
        <f t="shared" si="5"/>
        <v>#REF!</v>
      </c>
      <c r="I490" s="12" t="str">
        <f t="shared" si="2"/>
        <v>12 Complete Medical Records, 0 Patient Portal Logins</v>
      </c>
      <c r="J490" s="14"/>
      <c r="K490" s="14"/>
      <c r="L490" s="14">
        <v>3600.0</v>
      </c>
      <c r="M490" s="14" t="str">
        <f t="shared" si="6"/>
        <v>#REF!</v>
      </c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hidden="1">
      <c r="A491" s="6" t="s">
        <v>241</v>
      </c>
      <c r="B491" s="16" t="s">
        <v>1106</v>
      </c>
      <c r="C491" s="16" t="s">
        <v>1107</v>
      </c>
      <c r="D491" s="16" t="s">
        <v>1108</v>
      </c>
      <c r="E491" s="306">
        <v>14.0</v>
      </c>
      <c r="F491" s="314">
        <v>8.0</v>
      </c>
      <c r="G491" s="347">
        <v>3.0</v>
      </c>
      <c r="H491" s="55" t="str">
        <f t="shared" si="5"/>
        <v>#REF!</v>
      </c>
      <c r="I491" s="12" t="str">
        <f t="shared" si="2"/>
        <v>14 Complete Medical Records, 8 Patient Portal Logins</v>
      </c>
      <c r="J491" s="14"/>
      <c r="K491" s="14"/>
      <c r="L491" s="14">
        <v>6200.0</v>
      </c>
      <c r="M491" s="14" t="str">
        <f t="shared" si="6"/>
        <v>#REF!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hidden="1">
      <c r="A492" s="6" t="s">
        <v>241</v>
      </c>
      <c r="B492" s="16" t="s">
        <v>1109</v>
      </c>
      <c r="C492" s="16" t="s">
        <v>1110</v>
      </c>
      <c r="D492" s="16" t="s">
        <v>1111</v>
      </c>
      <c r="E492" s="310">
        <v>7.0</v>
      </c>
      <c r="F492" s="315">
        <v>0.0</v>
      </c>
      <c r="G492" s="347">
        <v>7.0</v>
      </c>
      <c r="H492" s="55" t="str">
        <f t="shared" si="5"/>
        <v>#REF!</v>
      </c>
      <c r="I492" s="12" t="str">
        <f t="shared" si="2"/>
        <v>7 Complete Medical Records, 0 Patient Portal Logins</v>
      </c>
      <c r="J492" s="14"/>
      <c r="K492" s="14"/>
      <c r="L492" s="14">
        <v>2100.0</v>
      </c>
      <c r="M492" s="14" t="str">
        <f t="shared" si="6"/>
        <v>#REF!</v>
      </c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hidden="1">
      <c r="A493" s="6" t="s">
        <v>241</v>
      </c>
      <c r="B493" s="16" t="s">
        <v>1112</v>
      </c>
      <c r="C493" s="16" t="s">
        <v>1113</v>
      </c>
      <c r="D493" s="16" t="s">
        <v>1114</v>
      </c>
      <c r="E493" s="310">
        <v>7.0</v>
      </c>
      <c r="F493" s="311">
        <v>1.0</v>
      </c>
      <c r="G493" s="347">
        <v>3.0</v>
      </c>
      <c r="H493" s="55" t="str">
        <f t="shared" si="5"/>
        <v>#REF!</v>
      </c>
      <c r="I493" s="12" t="str">
        <f t="shared" si="2"/>
        <v>7 Complete Medical Records, 1 Patient Portal Logins</v>
      </c>
      <c r="J493" s="14"/>
      <c r="K493" s="14"/>
      <c r="L493" s="14">
        <v>2350.0</v>
      </c>
      <c r="M493" s="14" t="str">
        <f t="shared" si="6"/>
        <v>#REF!</v>
      </c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hidden="1">
      <c r="A494" s="6" t="s">
        <v>241</v>
      </c>
      <c r="B494" s="16" t="s">
        <v>1115</v>
      </c>
      <c r="C494" s="16" t="s">
        <v>1116</v>
      </c>
      <c r="D494" s="16" t="s">
        <v>1117</v>
      </c>
      <c r="E494" s="310">
        <v>12.0</v>
      </c>
      <c r="F494" s="319">
        <v>18.0</v>
      </c>
      <c r="G494" s="347">
        <v>2.0</v>
      </c>
      <c r="H494" s="55" t="str">
        <f t="shared" si="5"/>
        <v>#REF!</v>
      </c>
      <c r="I494" s="12" t="str">
        <f t="shared" si="2"/>
        <v>12 Complete Medical Records, 18 Patient Portal Logins</v>
      </c>
      <c r="J494" s="14"/>
      <c r="K494" s="14"/>
      <c r="L494" s="14">
        <v>8100.0</v>
      </c>
      <c r="M494" s="14" t="str">
        <f t="shared" si="6"/>
        <v>#REF!</v>
      </c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hidden="1">
      <c r="A495" s="6" t="s">
        <v>241</v>
      </c>
      <c r="B495" s="16" t="s">
        <v>1118</v>
      </c>
      <c r="C495" s="16" t="s">
        <v>1119</v>
      </c>
      <c r="D495" s="16" t="s">
        <v>1120</v>
      </c>
      <c r="E495" s="318">
        <v>7.0</v>
      </c>
      <c r="F495" s="315">
        <v>12.0</v>
      </c>
      <c r="G495" s="347">
        <v>7.0</v>
      </c>
      <c r="H495" s="55" t="str">
        <f t="shared" si="5"/>
        <v>#REF!</v>
      </c>
      <c r="I495" s="12" t="str">
        <f t="shared" si="2"/>
        <v>7 Complete Medical Records, 12 Patient Portal Logins</v>
      </c>
      <c r="J495" s="14"/>
      <c r="K495" s="14"/>
      <c r="L495" s="14">
        <v>5100.0</v>
      </c>
      <c r="M495" s="14" t="str">
        <f t="shared" si="6"/>
        <v>#REF!</v>
      </c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hidden="1">
      <c r="A496" s="6" t="s">
        <v>241</v>
      </c>
      <c r="B496" s="16" t="s">
        <v>1121</v>
      </c>
      <c r="C496" s="16" t="s">
        <v>1122</v>
      </c>
      <c r="D496" s="16" t="s">
        <v>1123</v>
      </c>
      <c r="E496" s="310">
        <v>7.0</v>
      </c>
      <c r="F496" s="314">
        <v>0.0</v>
      </c>
      <c r="G496" s="347">
        <v>3.0</v>
      </c>
      <c r="H496" s="55" t="str">
        <f t="shared" si="5"/>
        <v>#REF!</v>
      </c>
      <c r="I496" s="12" t="str">
        <f t="shared" si="2"/>
        <v>7 Complete Medical Records, 0 Patient Portal Logins</v>
      </c>
      <c r="J496" s="14"/>
      <c r="K496" s="14"/>
      <c r="L496" s="14">
        <v>2100.0</v>
      </c>
      <c r="M496" s="14" t="str">
        <f t="shared" si="6"/>
        <v>#REF!</v>
      </c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hidden="1">
      <c r="A497" s="6" t="s">
        <v>241</v>
      </c>
      <c r="B497" s="16" t="s">
        <v>1124</v>
      </c>
      <c r="C497" s="16" t="s">
        <v>1125</v>
      </c>
      <c r="D497" s="16" t="s">
        <v>1126</v>
      </c>
      <c r="E497" s="262">
        <v>14.0</v>
      </c>
      <c r="F497" s="314">
        <v>0.0</v>
      </c>
      <c r="G497" s="347">
        <v>3.0</v>
      </c>
      <c r="H497" s="55" t="str">
        <f t="shared" si="5"/>
        <v>#REF!</v>
      </c>
      <c r="I497" s="12" t="str">
        <f t="shared" si="2"/>
        <v>14 Complete Medical Records, 0 Patient Portal Logins</v>
      </c>
      <c r="J497" s="14"/>
      <c r="K497" s="14"/>
      <c r="L497" s="14">
        <v>4200.0</v>
      </c>
      <c r="M497" s="14" t="str">
        <f t="shared" si="6"/>
        <v>#REF!</v>
      </c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hidden="1">
      <c r="A498" s="6" t="s">
        <v>241</v>
      </c>
      <c r="B498" s="16" t="s">
        <v>1127</v>
      </c>
      <c r="C498" s="16" t="s">
        <v>1128</v>
      </c>
      <c r="D498" s="16" t="s">
        <v>1129</v>
      </c>
      <c r="E498" s="310">
        <v>7.0</v>
      </c>
      <c r="F498" s="314">
        <v>0.0</v>
      </c>
      <c r="G498" s="347">
        <v>3.0</v>
      </c>
      <c r="H498" s="55" t="str">
        <f t="shared" si="5"/>
        <v>#REF!</v>
      </c>
      <c r="I498" s="12" t="str">
        <f t="shared" si="2"/>
        <v>7 Complete Medical Records, 0 Patient Portal Logins</v>
      </c>
      <c r="J498" s="14"/>
      <c r="K498" s="14"/>
      <c r="L498" s="14">
        <v>2100.0</v>
      </c>
      <c r="M498" s="14" t="str">
        <f t="shared" si="6"/>
        <v>#REF!</v>
      </c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hidden="1">
      <c r="A499" s="6" t="s">
        <v>241</v>
      </c>
      <c r="B499" s="16" t="s">
        <v>1130</v>
      </c>
      <c r="C499" s="16" t="s">
        <v>1131</v>
      </c>
      <c r="D499" s="16" t="s">
        <v>1132</v>
      </c>
      <c r="E499" s="312">
        <v>7.0</v>
      </c>
      <c r="F499" s="317">
        <v>0.0</v>
      </c>
      <c r="G499" s="347">
        <v>3.0</v>
      </c>
      <c r="H499" s="55" t="str">
        <f t="shared" si="5"/>
        <v>#REF!</v>
      </c>
      <c r="I499" s="12" t="str">
        <f t="shared" si="2"/>
        <v>7 Complete Medical Records, 0 Patient Portal Logins</v>
      </c>
      <c r="J499" s="14"/>
      <c r="K499" s="14"/>
      <c r="L499" s="14">
        <v>2100.0</v>
      </c>
      <c r="M499" s="14" t="str">
        <f t="shared" si="6"/>
        <v>#REF!</v>
      </c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hidden="1">
      <c r="A500" s="6" t="s">
        <v>241</v>
      </c>
      <c r="B500" s="16" t="s">
        <v>1133</v>
      </c>
      <c r="C500" s="16" t="s">
        <v>1134</v>
      </c>
      <c r="D500" s="16" t="s">
        <v>1135</v>
      </c>
      <c r="E500" s="306">
        <v>14.0</v>
      </c>
      <c r="F500" s="314">
        <v>0.0</v>
      </c>
      <c r="G500" s="347">
        <v>3.0</v>
      </c>
      <c r="H500" s="55" t="str">
        <f t="shared" si="5"/>
        <v>#REF!</v>
      </c>
      <c r="I500" s="12" t="str">
        <f t="shared" si="2"/>
        <v>14 Complete Medical Records, 0 Patient Portal Logins</v>
      </c>
      <c r="J500" s="14"/>
      <c r="K500" s="14"/>
      <c r="L500" s="14">
        <v>4200.0</v>
      </c>
      <c r="M500" s="14" t="str">
        <f t="shared" si="6"/>
        <v>#REF!</v>
      </c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hidden="1">
      <c r="A501" s="6" t="s">
        <v>241</v>
      </c>
      <c r="B501" s="16" t="s">
        <v>1164</v>
      </c>
      <c r="C501" s="16" t="s">
        <v>1165</v>
      </c>
      <c r="D501" s="16" t="s">
        <v>1166</v>
      </c>
      <c r="E501" s="36"/>
      <c r="F501" s="38"/>
      <c r="G501" s="39"/>
      <c r="H501" s="39" t="str">
        <f>E501*300+#REF!*125+F501*250+#REF!*250</f>
        <v>#REF!</v>
      </c>
      <c r="I501" s="12" t="str">
        <f t="shared" si="2"/>
        <v> Complete Medical Records,  Patient Portal Logins</v>
      </c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hidden="1">
      <c r="A502" s="6" t="s">
        <v>241</v>
      </c>
      <c r="B502" s="16" t="s">
        <v>1136</v>
      </c>
      <c r="C502" s="16" t="s">
        <v>1137</v>
      </c>
      <c r="D502" s="16" t="s">
        <v>1138</v>
      </c>
      <c r="E502" s="312">
        <v>7.0</v>
      </c>
      <c r="F502" s="317">
        <v>0.0</v>
      </c>
      <c r="G502" s="347">
        <v>7.0</v>
      </c>
      <c r="H502" s="55" t="str">
        <f t="shared" ref="H502:H510" si="7">E502*300+#REF!*125+F502*250+#REF!*250+G502*250</f>
        <v>#REF!</v>
      </c>
      <c r="I502" s="12" t="str">
        <f t="shared" si="2"/>
        <v>7 Complete Medical Records, 0 Patient Portal Logins</v>
      </c>
      <c r="J502" s="14"/>
      <c r="K502" s="14"/>
      <c r="L502" s="14">
        <v>2100.0</v>
      </c>
      <c r="M502" s="14" t="str">
        <f t="shared" ref="M502:M510" si="8">H502-L502</f>
        <v>#REF!</v>
      </c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hidden="1">
      <c r="A503" s="6" t="s">
        <v>241</v>
      </c>
      <c r="B503" s="16" t="s">
        <v>1139</v>
      </c>
      <c r="C503" s="16" t="s">
        <v>1140</v>
      </c>
      <c r="D503" s="16" t="s">
        <v>1141</v>
      </c>
      <c r="E503" s="318">
        <v>7.0</v>
      </c>
      <c r="F503" s="315">
        <v>11.0</v>
      </c>
      <c r="G503" s="347">
        <v>7.0</v>
      </c>
      <c r="H503" s="55" t="str">
        <f t="shared" si="7"/>
        <v>#REF!</v>
      </c>
      <c r="I503" s="12" t="str">
        <f t="shared" si="2"/>
        <v>7 Complete Medical Records, 11 Patient Portal Logins</v>
      </c>
      <c r="J503" s="14"/>
      <c r="K503" s="14"/>
      <c r="L503" s="14">
        <v>4850.0</v>
      </c>
      <c r="M503" s="14" t="str">
        <f t="shared" si="8"/>
        <v>#REF!</v>
      </c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hidden="1">
      <c r="A504" s="6" t="s">
        <v>241</v>
      </c>
      <c r="B504" s="16" t="s">
        <v>1142</v>
      </c>
      <c r="C504" s="16" t="s">
        <v>1143</v>
      </c>
      <c r="D504" s="16" t="s">
        <v>1144</v>
      </c>
      <c r="E504" s="306">
        <v>14.0</v>
      </c>
      <c r="F504" s="314">
        <v>7.0</v>
      </c>
      <c r="G504" s="347">
        <v>3.0</v>
      </c>
      <c r="H504" s="55" t="str">
        <f t="shared" si="7"/>
        <v>#REF!</v>
      </c>
      <c r="I504" s="12" t="str">
        <f t="shared" si="2"/>
        <v>14 Complete Medical Records, 7 Patient Portal Logins</v>
      </c>
      <c r="J504" s="14"/>
      <c r="K504" s="14"/>
      <c r="L504" s="14">
        <v>5950.0</v>
      </c>
      <c r="M504" s="14" t="str">
        <f t="shared" si="8"/>
        <v>#REF!</v>
      </c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hidden="1">
      <c r="A505" s="6" t="s">
        <v>241</v>
      </c>
      <c r="B505" s="16" t="s">
        <v>1145</v>
      </c>
      <c r="C505" s="16" t="s">
        <v>1146</v>
      </c>
      <c r="D505" s="16" t="s">
        <v>1147</v>
      </c>
      <c r="E505" s="312">
        <v>7.0</v>
      </c>
      <c r="F505" s="317">
        <v>0.0</v>
      </c>
      <c r="G505" s="347">
        <v>7.0</v>
      </c>
      <c r="H505" s="55" t="str">
        <f t="shared" si="7"/>
        <v>#REF!</v>
      </c>
      <c r="I505" s="12" t="str">
        <f t="shared" si="2"/>
        <v>7 Complete Medical Records, 0 Patient Portal Logins</v>
      </c>
      <c r="J505" s="14"/>
      <c r="K505" s="14"/>
      <c r="L505" s="14">
        <v>2100.0</v>
      </c>
      <c r="M505" s="14" t="str">
        <f t="shared" si="8"/>
        <v>#REF!</v>
      </c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hidden="1">
      <c r="A506" s="6" t="s">
        <v>241</v>
      </c>
      <c r="B506" s="16" t="s">
        <v>1148</v>
      </c>
      <c r="C506" s="16" t="s">
        <v>1149</v>
      </c>
      <c r="D506" s="16" t="s">
        <v>1150</v>
      </c>
      <c r="E506" s="310">
        <v>12.0</v>
      </c>
      <c r="F506" s="307">
        <v>8.0</v>
      </c>
      <c r="G506" s="347">
        <v>2.0</v>
      </c>
      <c r="H506" s="55" t="str">
        <f t="shared" si="7"/>
        <v>#REF!</v>
      </c>
      <c r="I506" s="12" t="str">
        <f t="shared" si="2"/>
        <v>12 Complete Medical Records, 8 Patient Portal Logins</v>
      </c>
      <c r="J506" s="14"/>
      <c r="K506" s="14"/>
      <c r="L506" s="14">
        <v>5600.0</v>
      </c>
      <c r="M506" s="14" t="str">
        <f t="shared" si="8"/>
        <v>#REF!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hidden="1">
      <c r="A507" s="6" t="s">
        <v>241</v>
      </c>
      <c r="B507" s="16" t="s">
        <v>1151</v>
      </c>
      <c r="C507" s="16" t="s">
        <v>1152</v>
      </c>
      <c r="D507" s="16" t="s">
        <v>1153</v>
      </c>
      <c r="E507" s="310">
        <v>7.0</v>
      </c>
      <c r="F507" s="315">
        <v>39.0</v>
      </c>
      <c r="G507" s="347">
        <v>3.0</v>
      </c>
      <c r="H507" s="55" t="str">
        <f t="shared" si="7"/>
        <v>#REF!</v>
      </c>
      <c r="I507" s="12" t="str">
        <f t="shared" si="2"/>
        <v>7 Complete Medical Records, 39 Patient Portal Logins</v>
      </c>
      <c r="J507" s="14"/>
      <c r="K507" s="14"/>
      <c r="L507" s="14">
        <v>11850.0</v>
      </c>
      <c r="M507" s="14" t="str">
        <f t="shared" si="8"/>
        <v>#REF!</v>
      </c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hidden="1">
      <c r="A508" s="6" t="s">
        <v>241</v>
      </c>
      <c r="B508" s="16" t="s">
        <v>1154</v>
      </c>
      <c r="C508" s="16" t="s">
        <v>1155</v>
      </c>
      <c r="D508" s="16" t="s">
        <v>1156</v>
      </c>
      <c r="E508" s="318">
        <v>0.0</v>
      </c>
      <c r="F508" s="315">
        <v>2.0</v>
      </c>
      <c r="G508" s="39"/>
      <c r="H508" s="55" t="str">
        <f t="shared" si="7"/>
        <v>#REF!</v>
      </c>
      <c r="I508" s="12" t="str">
        <f t="shared" si="2"/>
        <v>0 Complete Medical Records, 2 Patient Portal Logins</v>
      </c>
      <c r="J508" s="14"/>
      <c r="K508" s="14"/>
      <c r="L508" s="14">
        <v>500.0</v>
      </c>
      <c r="M508" s="14" t="str">
        <f t="shared" si="8"/>
        <v>#REF!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hidden="1">
      <c r="A509" s="6" t="s">
        <v>241</v>
      </c>
      <c r="B509" s="61" t="s">
        <v>1158</v>
      </c>
      <c r="C509" s="21" t="s">
        <v>1159</v>
      </c>
      <c r="D509" s="21" t="s">
        <v>1160</v>
      </c>
      <c r="E509" s="312">
        <v>7.0</v>
      </c>
      <c r="F509" s="317">
        <v>0.0</v>
      </c>
      <c r="G509" s="347">
        <v>7.0</v>
      </c>
      <c r="H509" s="55" t="str">
        <f t="shared" si="7"/>
        <v>#REF!</v>
      </c>
      <c r="I509" s="12" t="str">
        <f t="shared" si="2"/>
        <v>7 Complete Medical Records, 0 Patient Portal Logins</v>
      </c>
      <c r="J509" s="23"/>
      <c r="K509" s="23"/>
      <c r="L509" s="23">
        <v>2100.0</v>
      </c>
      <c r="M509" s="14" t="str">
        <f t="shared" si="8"/>
        <v>#REF!</v>
      </c>
      <c r="N509" s="23"/>
      <c r="O509" s="23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hidden="1">
      <c r="A510" s="6" t="s">
        <v>241</v>
      </c>
      <c r="B510" s="21" t="s">
        <v>1161</v>
      </c>
      <c r="C510" s="21" t="s">
        <v>1162</v>
      </c>
      <c r="D510" s="21" t="s">
        <v>1163</v>
      </c>
      <c r="E510" s="310">
        <v>14.0</v>
      </c>
      <c r="F510" s="317">
        <v>0.0</v>
      </c>
      <c r="G510" s="347">
        <v>3.0</v>
      </c>
      <c r="H510" s="55" t="str">
        <f t="shared" si="7"/>
        <v>#REF!</v>
      </c>
      <c r="I510" s="12" t="str">
        <f t="shared" si="2"/>
        <v>14 Complete Medical Records, 0 Patient Portal Logins</v>
      </c>
      <c r="J510" s="23"/>
      <c r="K510" s="23"/>
      <c r="L510" s="23">
        <v>4200.0</v>
      </c>
      <c r="M510" s="14" t="str">
        <f t="shared" si="8"/>
        <v>#REF!</v>
      </c>
      <c r="N510" s="23"/>
      <c r="O510" s="23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hidden="1">
      <c r="A511" s="6" t="s">
        <v>242</v>
      </c>
      <c r="B511" s="16" t="s">
        <v>1036</v>
      </c>
      <c r="C511" s="16" t="s">
        <v>1171</v>
      </c>
      <c r="D511" s="16" t="s">
        <v>1038</v>
      </c>
      <c r="E511" s="349">
        <v>4.0</v>
      </c>
      <c r="F511" s="325">
        <v>0.0</v>
      </c>
      <c r="G511" s="39"/>
      <c r="H511" s="39" t="str">
        <f t="shared" ref="H511:H819" si="9">E511*300+#REF!*125+F511*250+#REF!*250</f>
        <v>#REF!</v>
      </c>
      <c r="I511" s="12" t="str">
        <f t="shared" si="2"/>
        <v>4 Complete Medical Records, 0 Patient Portal Logins</v>
      </c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idden="1">
      <c r="A512" s="6" t="s">
        <v>242</v>
      </c>
      <c r="B512" s="16" t="s">
        <v>1039</v>
      </c>
      <c r="C512" s="16" t="s">
        <v>1172</v>
      </c>
      <c r="D512" s="16" t="s">
        <v>1041</v>
      </c>
      <c r="E512" s="324">
        <v>0.0</v>
      </c>
      <c r="F512" s="325">
        <v>0.0</v>
      </c>
      <c r="G512" s="39"/>
      <c r="H512" s="39" t="str">
        <f t="shared" si="9"/>
        <v>#REF!</v>
      </c>
      <c r="I512" s="12" t="str">
        <f t="shared" si="2"/>
        <v>0 Complete Medical Records, 0 Patient Portal Logins</v>
      </c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idden="1">
      <c r="A513" s="6" t="s">
        <v>242</v>
      </c>
      <c r="B513" s="16" t="s">
        <v>1042</v>
      </c>
      <c r="C513" s="16" t="s">
        <v>1173</v>
      </c>
      <c r="D513" s="16" t="s">
        <v>1044</v>
      </c>
      <c r="E513" s="324">
        <v>6.0</v>
      </c>
      <c r="F513" s="325">
        <v>0.0</v>
      </c>
      <c r="G513" s="39"/>
      <c r="H513" s="39" t="str">
        <f t="shared" si="9"/>
        <v>#REF!</v>
      </c>
      <c r="I513" s="12" t="str">
        <f t="shared" si="2"/>
        <v>6 Complete Medical Records, 0 Patient Portal Logins</v>
      </c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idden="1">
      <c r="A514" s="6" t="s">
        <v>242</v>
      </c>
      <c r="B514" s="16" t="s">
        <v>1052</v>
      </c>
      <c r="C514" s="16" t="s">
        <v>1053</v>
      </c>
      <c r="D514" s="16" t="s">
        <v>1054</v>
      </c>
      <c r="E514" s="324">
        <v>0.0</v>
      </c>
      <c r="F514" s="325">
        <v>0.0</v>
      </c>
      <c r="G514" s="39"/>
      <c r="H514" s="39" t="str">
        <f t="shared" si="9"/>
        <v>#REF!</v>
      </c>
      <c r="I514" s="12" t="str">
        <f t="shared" si="2"/>
        <v>0 Complete Medical Records, 0 Patient Portal Logins</v>
      </c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idden="1">
      <c r="A515" s="6" t="s">
        <v>242</v>
      </c>
      <c r="B515" s="16" t="s">
        <v>1045</v>
      </c>
      <c r="C515" s="16" t="s">
        <v>1174</v>
      </c>
      <c r="D515" s="16" t="s">
        <v>1047</v>
      </c>
      <c r="E515" s="324">
        <v>0.0</v>
      </c>
      <c r="F515" s="325">
        <v>0.0</v>
      </c>
      <c r="G515" s="39"/>
      <c r="H515" s="39" t="str">
        <f t="shared" si="9"/>
        <v>#REF!</v>
      </c>
      <c r="I515" s="12" t="str">
        <f t="shared" si="2"/>
        <v>0 Complete Medical Records, 0 Patient Portal Logins</v>
      </c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idden="1">
      <c r="A516" s="6" t="s">
        <v>242</v>
      </c>
      <c r="B516" s="16" t="s">
        <v>1049</v>
      </c>
      <c r="C516" s="16" t="s">
        <v>1175</v>
      </c>
      <c r="D516" s="16" t="s">
        <v>1051</v>
      </c>
      <c r="E516" s="324">
        <v>0.0</v>
      </c>
      <c r="F516" s="325">
        <v>0.0</v>
      </c>
      <c r="G516" s="39"/>
      <c r="H516" s="39" t="str">
        <f t="shared" si="9"/>
        <v>#REF!</v>
      </c>
      <c r="I516" s="12" t="str">
        <f t="shared" si="2"/>
        <v>0 Complete Medical Records, 0 Patient Portal Logins</v>
      </c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idden="1">
      <c r="A517" s="6" t="s">
        <v>242</v>
      </c>
      <c r="B517" s="16" t="s">
        <v>1167</v>
      </c>
      <c r="C517" s="16" t="s">
        <v>1168</v>
      </c>
      <c r="D517" s="16" t="s">
        <v>1169</v>
      </c>
      <c r="E517" s="324">
        <v>0.0</v>
      </c>
      <c r="F517" s="325">
        <v>8.0</v>
      </c>
      <c r="G517" s="39"/>
      <c r="H517" s="39" t="str">
        <f t="shared" si="9"/>
        <v>#REF!</v>
      </c>
      <c r="I517" s="12" t="str">
        <f t="shared" si="2"/>
        <v>0 Complete Medical Records, 8 Patient Portal Logins</v>
      </c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idden="1">
      <c r="A518" s="6" t="s">
        <v>242</v>
      </c>
      <c r="B518" s="16" t="s">
        <v>1055</v>
      </c>
      <c r="C518" s="16" t="s">
        <v>1056</v>
      </c>
      <c r="D518" s="16" t="s">
        <v>1057</v>
      </c>
      <c r="E518" s="349">
        <v>7.0</v>
      </c>
      <c r="F518" s="325">
        <v>0.0</v>
      </c>
      <c r="G518" s="39"/>
      <c r="H518" s="39" t="str">
        <f t="shared" si="9"/>
        <v>#REF!</v>
      </c>
      <c r="I518" s="12" t="str">
        <f t="shared" si="2"/>
        <v>7 Complete Medical Records, 0 Patient Portal Logins</v>
      </c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idden="1">
      <c r="A519" s="6" t="s">
        <v>242</v>
      </c>
      <c r="B519" s="16" t="s">
        <v>1058</v>
      </c>
      <c r="C519" s="16" t="s">
        <v>1059</v>
      </c>
      <c r="D519" s="16" t="s">
        <v>1060</v>
      </c>
      <c r="E519" s="324">
        <v>4.0</v>
      </c>
      <c r="F519" s="325">
        <v>0.0</v>
      </c>
      <c r="G519" s="39"/>
      <c r="H519" s="39" t="str">
        <f t="shared" si="9"/>
        <v>#REF!</v>
      </c>
      <c r="I519" s="12" t="str">
        <f t="shared" si="2"/>
        <v>4 Complete Medical Records, 0 Patient Portal Logins</v>
      </c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idden="1">
      <c r="A520" s="6" t="s">
        <v>242</v>
      </c>
      <c r="B520" s="16" t="s">
        <v>1061</v>
      </c>
      <c r="C520" s="16" t="s">
        <v>1062</v>
      </c>
      <c r="D520" s="16" t="s">
        <v>1063</v>
      </c>
      <c r="E520" s="324">
        <v>16.0</v>
      </c>
      <c r="F520" s="325">
        <v>0.0</v>
      </c>
      <c r="G520" s="39"/>
      <c r="H520" s="39" t="str">
        <f t="shared" si="9"/>
        <v>#REF!</v>
      </c>
      <c r="I520" s="12" t="str">
        <f t="shared" si="2"/>
        <v>16 Complete Medical Records, 0 Patient Portal Logins</v>
      </c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idden="1">
      <c r="A521" s="6" t="s">
        <v>242</v>
      </c>
      <c r="B521" s="16" t="s">
        <v>1064</v>
      </c>
      <c r="C521" s="16" t="s">
        <v>1065</v>
      </c>
      <c r="D521" s="16" t="s">
        <v>1066</v>
      </c>
      <c r="E521" s="324">
        <v>16.0</v>
      </c>
      <c r="F521" s="325">
        <v>0.0</v>
      </c>
      <c r="G521" s="39"/>
      <c r="H521" s="39" t="str">
        <f t="shared" si="9"/>
        <v>#REF!</v>
      </c>
      <c r="I521" s="12" t="str">
        <f t="shared" si="2"/>
        <v>16 Complete Medical Records, 0 Patient Portal Logins</v>
      </c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idden="1">
      <c r="A522" s="6" t="s">
        <v>242</v>
      </c>
      <c r="B522" s="16" t="s">
        <v>1067</v>
      </c>
      <c r="C522" s="16" t="s">
        <v>1068</v>
      </c>
      <c r="D522" s="16" t="s">
        <v>1069</v>
      </c>
      <c r="E522" s="324">
        <v>16.0</v>
      </c>
      <c r="F522" s="325">
        <v>0.0</v>
      </c>
      <c r="G522" s="39"/>
      <c r="H522" s="39" t="str">
        <f t="shared" si="9"/>
        <v>#REF!</v>
      </c>
      <c r="I522" s="12" t="str">
        <f t="shared" si="2"/>
        <v>16 Complete Medical Records, 0 Patient Portal Logins</v>
      </c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idden="1">
      <c r="A523" s="6" t="s">
        <v>242</v>
      </c>
      <c r="B523" s="16" t="s">
        <v>1070</v>
      </c>
      <c r="C523" s="16" t="s">
        <v>1071</v>
      </c>
      <c r="D523" s="16" t="s">
        <v>1072</v>
      </c>
      <c r="E523" s="324">
        <v>16.0</v>
      </c>
      <c r="F523" s="325">
        <v>0.0</v>
      </c>
      <c r="G523" s="39"/>
      <c r="H523" s="39" t="str">
        <f t="shared" si="9"/>
        <v>#REF!</v>
      </c>
      <c r="I523" s="12" t="str">
        <f t="shared" si="2"/>
        <v>16 Complete Medical Records, 0 Patient Portal Logins</v>
      </c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idden="1">
      <c r="A524" s="6" t="s">
        <v>242</v>
      </c>
      <c r="B524" s="16" t="s">
        <v>1073</v>
      </c>
      <c r="C524" s="16" t="s">
        <v>1074</v>
      </c>
      <c r="D524" s="16" t="s">
        <v>1075</v>
      </c>
      <c r="E524" s="324">
        <v>16.0</v>
      </c>
      <c r="F524" s="325">
        <v>0.0</v>
      </c>
      <c r="G524" s="39"/>
      <c r="H524" s="39" t="str">
        <f t="shared" si="9"/>
        <v>#REF!</v>
      </c>
      <c r="I524" s="12" t="str">
        <f t="shared" si="2"/>
        <v>16 Complete Medical Records, 0 Patient Portal Logins</v>
      </c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idden="1">
      <c r="A525" s="6" t="s">
        <v>242</v>
      </c>
      <c r="B525" s="16" t="s">
        <v>1076</v>
      </c>
      <c r="C525" s="16" t="s">
        <v>1077</v>
      </c>
      <c r="D525" s="16" t="s">
        <v>1078</v>
      </c>
      <c r="E525" s="324">
        <v>14.0</v>
      </c>
      <c r="F525" s="325">
        <v>0.0</v>
      </c>
      <c r="G525" s="39"/>
      <c r="H525" s="39" t="str">
        <f t="shared" si="9"/>
        <v>#REF!</v>
      </c>
      <c r="I525" s="12" t="str">
        <f t="shared" si="2"/>
        <v>14 Complete Medical Records, 0 Patient Portal Logins</v>
      </c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idden="1">
      <c r="A526" s="6" t="s">
        <v>242</v>
      </c>
      <c r="B526" s="16" t="s">
        <v>1079</v>
      </c>
      <c r="C526" s="16" t="s">
        <v>1080</v>
      </c>
      <c r="D526" s="16" t="s">
        <v>1081</v>
      </c>
      <c r="E526" s="324">
        <v>14.0</v>
      </c>
      <c r="F526" s="325">
        <v>0.0</v>
      </c>
      <c r="G526" s="39"/>
      <c r="H526" s="39" t="str">
        <f t="shared" si="9"/>
        <v>#REF!</v>
      </c>
      <c r="I526" s="12" t="str">
        <f t="shared" si="2"/>
        <v>14 Complete Medical Records, 0 Patient Portal Logins</v>
      </c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idden="1">
      <c r="A527" s="6" t="s">
        <v>242</v>
      </c>
      <c r="B527" s="16" t="s">
        <v>1082</v>
      </c>
      <c r="C527" s="16" t="s">
        <v>1083</v>
      </c>
      <c r="D527" s="16" t="s">
        <v>1084</v>
      </c>
      <c r="E527" s="324">
        <v>14.0</v>
      </c>
      <c r="F527" s="325">
        <v>0.0</v>
      </c>
      <c r="G527" s="39"/>
      <c r="H527" s="39" t="str">
        <f t="shared" si="9"/>
        <v>#REF!</v>
      </c>
      <c r="I527" s="12" t="str">
        <f t="shared" si="2"/>
        <v>14 Complete Medical Records, 0 Patient Portal Logins</v>
      </c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idden="1">
      <c r="A528" s="6" t="s">
        <v>242</v>
      </c>
      <c r="B528" s="16" t="s">
        <v>1085</v>
      </c>
      <c r="C528" s="16" t="s">
        <v>1086</v>
      </c>
      <c r="D528" s="16" t="s">
        <v>1087</v>
      </c>
      <c r="E528" s="324">
        <v>4.0</v>
      </c>
      <c r="F528" s="325">
        <v>0.0</v>
      </c>
      <c r="G528" s="39"/>
      <c r="H528" s="39" t="str">
        <f t="shared" si="9"/>
        <v>#REF!</v>
      </c>
      <c r="I528" s="12" t="str">
        <f t="shared" si="2"/>
        <v>4 Complete Medical Records, 0 Patient Portal Logins</v>
      </c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idden="1">
      <c r="A529" s="6" t="s">
        <v>242</v>
      </c>
      <c r="B529" s="16" t="s">
        <v>1088</v>
      </c>
      <c r="C529" s="16" t="s">
        <v>1089</v>
      </c>
      <c r="D529" s="16" t="s">
        <v>1090</v>
      </c>
      <c r="E529" s="324">
        <v>13.0</v>
      </c>
      <c r="F529" s="325">
        <v>1.0</v>
      </c>
      <c r="G529" s="39"/>
      <c r="H529" s="39" t="str">
        <f t="shared" si="9"/>
        <v>#REF!</v>
      </c>
      <c r="I529" s="12" t="str">
        <f t="shared" si="2"/>
        <v>13 Complete Medical Records, 1 Patient Portal Logins</v>
      </c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idden="1">
      <c r="A530" s="6" t="s">
        <v>242</v>
      </c>
      <c r="B530" s="16" t="s">
        <v>1091</v>
      </c>
      <c r="C530" s="16" t="s">
        <v>1092</v>
      </c>
      <c r="D530" s="16" t="s">
        <v>1093</v>
      </c>
      <c r="E530" s="324">
        <v>13.0</v>
      </c>
      <c r="F530" s="325">
        <v>0.0</v>
      </c>
      <c r="G530" s="39"/>
      <c r="H530" s="39" t="str">
        <f t="shared" si="9"/>
        <v>#REF!</v>
      </c>
      <c r="I530" s="39" t="str">
        <f t="shared" si="2"/>
        <v>13 Complete Medical Records, 0 Patient Portal Logins</v>
      </c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idden="1">
      <c r="A531" s="6" t="s">
        <v>242</v>
      </c>
      <c r="B531" s="16" t="s">
        <v>1094</v>
      </c>
      <c r="C531" s="16" t="s">
        <v>1095</v>
      </c>
      <c r="D531" s="16" t="s">
        <v>1096</v>
      </c>
      <c r="E531" s="324">
        <v>13.0</v>
      </c>
      <c r="F531" s="325">
        <v>3.0</v>
      </c>
      <c r="G531" s="39"/>
      <c r="H531" s="39" t="str">
        <f t="shared" si="9"/>
        <v>#REF!</v>
      </c>
      <c r="I531" s="12" t="str">
        <f t="shared" si="2"/>
        <v>13 Complete Medical Records, 3 Patient Portal Logins</v>
      </c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idden="1">
      <c r="A532" s="6" t="s">
        <v>242</v>
      </c>
      <c r="B532" s="16" t="s">
        <v>1097</v>
      </c>
      <c r="C532" s="16" t="s">
        <v>1098</v>
      </c>
      <c r="D532" s="16" t="s">
        <v>1099</v>
      </c>
      <c r="E532" s="324">
        <v>6.0</v>
      </c>
      <c r="F532" s="325">
        <v>0.0</v>
      </c>
      <c r="G532" s="39"/>
      <c r="H532" s="39" t="str">
        <f t="shared" si="9"/>
        <v>#REF!</v>
      </c>
      <c r="I532" s="12" t="str">
        <f t="shared" si="2"/>
        <v>6 Complete Medical Records, 0 Patient Portal Logins</v>
      </c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idden="1">
      <c r="A533" s="6" t="s">
        <v>242</v>
      </c>
      <c r="B533" s="16" t="s">
        <v>255</v>
      </c>
      <c r="C533" s="16" t="s">
        <v>256</v>
      </c>
      <c r="D533" s="16" t="s">
        <v>257</v>
      </c>
      <c r="E533" s="324">
        <v>17.0</v>
      </c>
      <c r="F533" s="325">
        <v>0.0</v>
      </c>
      <c r="G533" s="39"/>
      <c r="H533" s="39" t="str">
        <f t="shared" si="9"/>
        <v>#REF!</v>
      </c>
      <c r="I533" s="12" t="str">
        <f t="shared" si="2"/>
        <v>17 Complete Medical Records, 0 Patient Portal Logins</v>
      </c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idden="1">
      <c r="A534" s="6" t="s">
        <v>242</v>
      </c>
      <c r="B534" s="16" t="s">
        <v>1100</v>
      </c>
      <c r="C534" s="16" t="s">
        <v>1101</v>
      </c>
      <c r="D534" s="16" t="s">
        <v>1102</v>
      </c>
      <c r="E534" s="324">
        <v>17.0</v>
      </c>
      <c r="F534" s="325">
        <v>8.0</v>
      </c>
      <c r="G534" s="39"/>
      <c r="H534" s="39" t="str">
        <f t="shared" si="9"/>
        <v>#REF!</v>
      </c>
      <c r="I534" s="12" t="str">
        <f t="shared" si="2"/>
        <v>17 Complete Medical Records, 8 Patient Portal Logins</v>
      </c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idden="1">
      <c r="A535" s="6" t="s">
        <v>242</v>
      </c>
      <c r="B535" s="16" t="s">
        <v>1103</v>
      </c>
      <c r="C535" s="16" t="s">
        <v>1104</v>
      </c>
      <c r="D535" s="16" t="s">
        <v>1105</v>
      </c>
      <c r="E535" s="324">
        <v>16.0</v>
      </c>
      <c r="F535" s="325">
        <v>0.0</v>
      </c>
      <c r="G535" s="39"/>
      <c r="H535" s="39" t="str">
        <f t="shared" si="9"/>
        <v>#REF!</v>
      </c>
      <c r="I535" s="12" t="str">
        <f t="shared" si="2"/>
        <v>16 Complete Medical Records, 0 Patient Portal Logins</v>
      </c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idden="1">
      <c r="A536" s="6" t="s">
        <v>242</v>
      </c>
      <c r="B536" s="16" t="s">
        <v>1106</v>
      </c>
      <c r="C536" s="16" t="s">
        <v>1107</v>
      </c>
      <c r="D536" s="16" t="s">
        <v>1108</v>
      </c>
      <c r="E536" s="324">
        <v>13.0</v>
      </c>
      <c r="F536" s="325">
        <v>4.0</v>
      </c>
      <c r="G536" s="39"/>
      <c r="H536" s="39" t="str">
        <f t="shared" si="9"/>
        <v>#REF!</v>
      </c>
      <c r="I536" s="12" t="str">
        <f t="shared" si="2"/>
        <v>13 Complete Medical Records, 4 Patient Portal Logins</v>
      </c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idden="1">
      <c r="A537" s="6" t="s">
        <v>242</v>
      </c>
      <c r="B537" s="16" t="s">
        <v>1109</v>
      </c>
      <c r="C537" s="16" t="s">
        <v>1110</v>
      </c>
      <c r="D537" s="16" t="s">
        <v>1111</v>
      </c>
      <c r="E537" s="324">
        <v>17.0</v>
      </c>
      <c r="F537" s="325">
        <v>0.0</v>
      </c>
      <c r="G537" s="39"/>
      <c r="H537" s="39" t="str">
        <f t="shared" si="9"/>
        <v>#REF!</v>
      </c>
      <c r="I537" s="12" t="str">
        <f t="shared" si="2"/>
        <v>17 Complete Medical Records, 0 Patient Portal Logins</v>
      </c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idden="1">
      <c r="A538" s="6" t="s">
        <v>242</v>
      </c>
      <c r="B538" s="16" t="s">
        <v>1112</v>
      </c>
      <c r="C538" s="16" t="s">
        <v>1113</v>
      </c>
      <c r="D538" s="16" t="s">
        <v>1114</v>
      </c>
      <c r="E538" s="324">
        <v>14.0</v>
      </c>
      <c r="F538" s="325">
        <v>0.0</v>
      </c>
      <c r="G538" s="39"/>
      <c r="H538" s="39" t="str">
        <f t="shared" si="9"/>
        <v>#REF!</v>
      </c>
      <c r="I538" s="12" t="str">
        <f t="shared" si="2"/>
        <v>14 Complete Medical Records, 0 Patient Portal Logins</v>
      </c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idden="1">
      <c r="A539" s="6" t="s">
        <v>242</v>
      </c>
      <c r="B539" s="16" t="s">
        <v>1115</v>
      </c>
      <c r="C539" s="16" t="s">
        <v>1116</v>
      </c>
      <c r="D539" s="16" t="s">
        <v>1117</v>
      </c>
      <c r="E539" s="324">
        <v>16.0</v>
      </c>
      <c r="F539" s="325">
        <v>9.0</v>
      </c>
      <c r="G539" s="39"/>
      <c r="H539" s="39" t="str">
        <f t="shared" si="9"/>
        <v>#REF!</v>
      </c>
      <c r="I539" s="12" t="str">
        <f t="shared" si="2"/>
        <v>16 Complete Medical Records, 9 Patient Portal Logins</v>
      </c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idden="1">
      <c r="A540" s="6" t="s">
        <v>242</v>
      </c>
      <c r="B540" s="16" t="s">
        <v>1118</v>
      </c>
      <c r="C540" s="16" t="s">
        <v>1119</v>
      </c>
      <c r="D540" s="16" t="s">
        <v>1120</v>
      </c>
      <c r="E540" s="327">
        <v>17.0</v>
      </c>
      <c r="F540" s="325">
        <v>6.0</v>
      </c>
      <c r="G540" s="39"/>
      <c r="H540" s="39" t="str">
        <f t="shared" si="9"/>
        <v>#REF!</v>
      </c>
      <c r="I540" s="12" t="str">
        <f t="shared" si="2"/>
        <v>17 Complete Medical Records, 6 Patient Portal Logins</v>
      </c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idden="1">
      <c r="A541" s="6" t="s">
        <v>242</v>
      </c>
      <c r="B541" s="16" t="s">
        <v>1121</v>
      </c>
      <c r="C541" s="16" t="s">
        <v>1122</v>
      </c>
      <c r="D541" s="16" t="s">
        <v>1123</v>
      </c>
      <c r="E541" s="324">
        <v>14.0</v>
      </c>
      <c r="F541" s="325">
        <v>7.0</v>
      </c>
      <c r="G541" s="39"/>
      <c r="H541" s="39" t="str">
        <f t="shared" si="9"/>
        <v>#REF!</v>
      </c>
      <c r="I541" s="12" t="str">
        <f t="shared" si="2"/>
        <v>14 Complete Medical Records, 7 Patient Portal Logins</v>
      </c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idden="1">
      <c r="A542" s="6" t="s">
        <v>242</v>
      </c>
      <c r="B542" s="16" t="s">
        <v>1124</v>
      </c>
      <c r="C542" s="16" t="s">
        <v>1125</v>
      </c>
      <c r="D542" s="16" t="s">
        <v>1126</v>
      </c>
      <c r="E542" s="324">
        <v>13.0</v>
      </c>
      <c r="F542" s="325">
        <v>0.0</v>
      </c>
      <c r="G542" s="39"/>
      <c r="H542" s="39" t="str">
        <f t="shared" si="9"/>
        <v>#REF!</v>
      </c>
      <c r="I542" s="12" t="str">
        <f t="shared" si="2"/>
        <v>13 Complete Medical Records, 0 Patient Portal Logins</v>
      </c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idden="1">
      <c r="A543" s="6" t="s">
        <v>242</v>
      </c>
      <c r="B543" s="16" t="s">
        <v>1127</v>
      </c>
      <c r="C543" s="16" t="s">
        <v>1128</v>
      </c>
      <c r="D543" s="16" t="s">
        <v>1129</v>
      </c>
      <c r="E543" s="324">
        <v>14.0</v>
      </c>
      <c r="F543" s="325">
        <v>0.0</v>
      </c>
      <c r="G543" s="39"/>
      <c r="H543" s="39" t="str">
        <f t="shared" si="9"/>
        <v>#REF!</v>
      </c>
      <c r="I543" s="12" t="str">
        <f t="shared" si="2"/>
        <v>14 Complete Medical Records, 0 Patient Portal Logins</v>
      </c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idden="1">
      <c r="A544" s="6" t="s">
        <v>242</v>
      </c>
      <c r="B544" s="16" t="s">
        <v>1130</v>
      </c>
      <c r="C544" s="16" t="s">
        <v>1131</v>
      </c>
      <c r="D544" s="16" t="s">
        <v>1132</v>
      </c>
      <c r="E544" s="324">
        <v>14.0</v>
      </c>
      <c r="F544" s="325">
        <v>0.0</v>
      </c>
      <c r="G544" s="39"/>
      <c r="H544" s="39" t="str">
        <f t="shared" si="9"/>
        <v>#REF!</v>
      </c>
      <c r="I544" s="12" t="str">
        <f t="shared" si="2"/>
        <v>14 Complete Medical Records, 0 Patient Portal Logins</v>
      </c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idden="1">
      <c r="A545" s="6" t="s">
        <v>242</v>
      </c>
      <c r="B545" s="16" t="s">
        <v>1133</v>
      </c>
      <c r="C545" s="16" t="s">
        <v>1134</v>
      </c>
      <c r="D545" s="16" t="s">
        <v>1135</v>
      </c>
      <c r="E545" s="324">
        <v>13.0</v>
      </c>
      <c r="F545" s="325">
        <v>0.0</v>
      </c>
      <c r="G545" s="39"/>
      <c r="H545" s="39" t="str">
        <f t="shared" si="9"/>
        <v>#REF!</v>
      </c>
      <c r="I545" s="12" t="str">
        <f t="shared" si="2"/>
        <v>13 Complete Medical Records, 0 Patient Portal Logins</v>
      </c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idden="1">
      <c r="A546" s="6" t="s">
        <v>242</v>
      </c>
      <c r="B546" s="16" t="s">
        <v>1164</v>
      </c>
      <c r="C546" s="16" t="s">
        <v>1165</v>
      </c>
      <c r="D546" s="16" t="s">
        <v>1166</v>
      </c>
      <c r="E546" s="331"/>
      <c r="F546" s="346"/>
      <c r="G546" s="39"/>
      <c r="H546" s="39" t="str">
        <f t="shared" si="9"/>
        <v>#REF!</v>
      </c>
      <c r="I546" s="12" t="str">
        <f t="shared" si="2"/>
        <v> Complete Medical Records,  Patient Portal Logins</v>
      </c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idden="1">
      <c r="A547" s="6" t="s">
        <v>242</v>
      </c>
      <c r="B547" s="16" t="s">
        <v>1136</v>
      </c>
      <c r="C547" s="16" t="s">
        <v>1137</v>
      </c>
      <c r="D547" s="16" t="s">
        <v>1138</v>
      </c>
      <c r="E547" s="324">
        <v>17.0</v>
      </c>
      <c r="F547" s="325">
        <v>0.0</v>
      </c>
      <c r="G547" s="39"/>
      <c r="H547" s="39" t="str">
        <f t="shared" si="9"/>
        <v>#REF!</v>
      </c>
      <c r="I547" s="12" t="str">
        <f t="shared" si="2"/>
        <v>17 Complete Medical Records, 0 Patient Portal Logins</v>
      </c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idden="1">
      <c r="A548" s="6" t="s">
        <v>242</v>
      </c>
      <c r="B548" s="16" t="s">
        <v>1139</v>
      </c>
      <c r="C548" s="16" t="s">
        <v>1140</v>
      </c>
      <c r="D548" s="16" t="s">
        <v>1141</v>
      </c>
      <c r="E548" s="327">
        <v>17.0</v>
      </c>
      <c r="F548" s="325">
        <v>9.0</v>
      </c>
      <c r="G548" s="39"/>
      <c r="H548" s="39" t="str">
        <f t="shared" si="9"/>
        <v>#REF!</v>
      </c>
      <c r="I548" s="12" t="str">
        <f t="shared" si="2"/>
        <v>17 Complete Medical Records, 9 Patient Portal Logins</v>
      </c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idden="1">
      <c r="A549" s="6" t="s">
        <v>242</v>
      </c>
      <c r="B549" s="16" t="s">
        <v>1142</v>
      </c>
      <c r="C549" s="16" t="s">
        <v>1143</v>
      </c>
      <c r="D549" s="16" t="s">
        <v>1144</v>
      </c>
      <c r="E549" s="324">
        <v>13.0</v>
      </c>
      <c r="F549" s="325">
        <v>12.0</v>
      </c>
      <c r="G549" s="39"/>
      <c r="H549" s="39" t="str">
        <f t="shared" si="9"/>
        <v>#REF!</v>
      </c>
      <c r="I549" s="12" t="str">
        <f t="shared" si="2"/>
        <v>13 Complete Medical Records, 12 Patient Portal Logins</v>
      </c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idden="1">
      <c r="A550" s="6" t="s">
        <v>242</v>
      </c>
      <c r="B550" s="16" t="s">
        <v>1145</v>
      </c>
      <c r="C550" s="16" t="s">
        <v>1146</v>
      </c>
      <c r="D550" s="16" t="s">
        <v>1147</v>
      </c>
      <c r="E550" s="324">
        <v>17.0</v>
      </c>
      <c r="F550" s="325">
        <v>0.0</v>
      </c>
      <c r="G550" s="39"/>
      <c r="H550" s="39" t="str">
        <f t="shared" si="9"/>
        <v>#REF!</v>
      </c>
      <c r="I550" s="12" t="str">
        <f t="shared" si="2"/>
        <v>17 Complete Medical Records, 0 Patient Portal Logins</v>
      </c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idden="1">
      <c r="A551" s="6" t="s">
        <v>242</v>
      </c>
      <c r="B551" s="16" t="s">
        <v>1148</v>
      </c>
      <c r="C551" s="16" t="s">
        <v>1149</v>
      </c>
      <c r="D551" s="16" t="s">
        <v>1150</v>
      </c>
      <c r="E551" s="324">
        <v>16.0</v>
      </c>
      <c r="F551" s="325">
        <v>8.0</v>
      </c>
      <c r="G551" s="39"/>
      <c r="H551" s="39" t="str">
        <f t="shared" si="9"/>
        <v>#REF!</v>
      </c>
      <c r="I551" s="12" t="str">
        <f t="shared" si="2"/>
        <v>16 Complete Medical Records, 8 Patient Portal Logins</v>
      </c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idden="1">
      <c r="A552" s="6" t="s">
        <v>242</v>
      </c>
      <c r="B552" s="16" t="s">
        <v>1151</v>
      </c>
      <c r="C552" s="16" t="s">
        <v>1152</v>
      </c>
      <c r="D552" s="16" t="s">
        <v>1153</v>
      </c>
      <c r="E552" s="324">
        <v>14.0</v>
      </c>
      <c r="F552" s="325">
        <v>27.0</v>
      </c>
      <c r="G552" s="39"/>
      <c r="H552" s="39" t="str">
        <f t="shared" si="9"/>
        <v>#REF!</v>
      </c>
      <c r="I552" s="12" t="str">
        <f t="shared" si="2"/>
        <v>14 Complete Medical Records, 27 Patient Portal Logins</v>
      </c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idden="1">
      <c r="A553" s="6" t="s">
        <v>242</v>
      </c>
      <c r="B553" s="16" t="s">
        <v>1154</v>
      </c>
      <c r="C553" s="16" t="s">
        <v>1155</v>
      </c>
      <c r="D553" s="16" t="s">
        <v>1156</v>
      </c>
      <c r="E553" s="327">
        <v>2.0</v>
      </c>
      <c r="F553" s="325">
        <v>0.0</v>
      </c>
      <c r="G553" s="39"/>
      <c r="H553" s="39" t="str">
        <f t="shared" si="9"/>
        <v>#REF!</v>
      </c>
      <c r="I553" s="12" t="str">
        <f t="shared" si="2"/>
        <v>2 Complete Medical Records, 0 Patient Portal Logins</v>
      </c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idden="1">
      <c r="A554" s="6" t="s">
        <v>242</v>
      </c>
      <c r="B554" s="61" t="s">
        <v>1158</v>
      </c>
      <c r="C554" s="21" t="s">
        <v>1159</v>
      </c>
      <c r="D554" s="21" t="s">
        <v>1160</v>
      </c>
      <c r="E554" s="324">
        <v>17.0</v>
      </c>
      <c r="F554" s="325">
        <v>0.0</v>
      </c>
      <c r="G554" s="39"/>
      <c r="H554" s="39" t="str">
        <f t="shared" si="9"/>
        <v>#REF!</v>
      </c>
      <c r="I554" s="12" t="str">
        <f t="shared" si="2"/>
        <v>17 Complete Medical Records, 0 Patient Portal Logins</v>
      </c>
      <c r="J554" s="53"/>
      <c r="K554" s="53"/>
      <c r="L554" s="53"/>
      <c r="M554" s="47"/>
      <c r="N554" s="53"/>
      <c r="O554" s="53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idden="1">
      <c r="A555" s="6" t="s">
        <v>242</v>
      </c>
      <c r="B555" s="21" t="s">
        <v>1161</v>
      </c>
      <c r="C555" s="21" t="s">
        <v>1162</v>
      </c>
      <c r="D555" s="21" t="s">
        <v>1163</v>
      </c>
      <c r="E555" s="324">
        <v>13.0</v>
      </c>
      <c r="F555" s="325">
        <v>0.0</v>
      </c>
      <c r="G555" s="39"/>
      <c r="H555" s="39" t="str">
        <f t="shared" si="9"/>
        <v>#REF!</v>
      </c>
      <c r="I555" s="12" t="str">
        <f t="shared" si="2"/>
        <v>13 Complete Medical Records, 0 Patient Portal Logins</v>
      </c>
      <c r="J555" s="53"/>
      <c r="K555" s="53"/>
      <c r="L555" s="53"/>
      <c r="M555" s="47"/>
      <c r="N555" s="53"/>
      <c r="O555" s="53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idden="1">
      <c r="A556" s="6" t="s">
        <v>13</v>
      </c>
      <c r="B556" s="7" t="s">
        <v>1036</v>
      </c>
      <c r="C556" s="7" t="s">
        <v>1171</v>
      </c>
      <c r="D556" s="7" t="s">
        <v>1038</v>
      </c>
      <c r="E556" s="262">
        <v>0.0</v>
      </c>
      <c r="F556" s="319">
        <v>0.0</v>
      </c>
      <c r="G556" s="39"/>
      <c r="H556" s="39" t="str">
        <f t="shared" si="9"/>
        <v>#REF!</v>
      </c>
      <c r="I556" s="12" t="str">
        <f t="shared" si="2"/>
        <v>0 Complete Medical Records, 0 Patient Portal Logins</v>
      </c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idden="1">
      <c r="A557" s="6" t="s">
        <v>13</v>
      </c>
      <c r="B557" s="7" t="s">
        <v>1039</v>
      </c>
      <c r="C557" s="7" t="s">
        <v>1172</v>
      </c>
      <c r="D557" s="7" t="s">
        <v>1041</v>
      </c>
      <c r="E557" s="262">
        <v>0.0</v>
      </c>
      <c r="F557" s="319">
        <v>0.0</v>
      </c>
      <c r="G557" s="39"/>
      <c r="H557" s="39" t="str">
        <f t="shared" si="9"/>
        <v>#REF!</v>
      </c>
      <c r="I557" s="12" t="str">
        <f t="shared" si="2"/>
        <v>0 Complete Medical Records, 0 Patient Portal Logins</v>
      </c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idden="1">
      <c r="A558" s="6" t="s">
        <v>13</v>
      </c>
      <c r="B558" s="7" t="s">
        <v>1042</v>
      </c>
      <c r="C558" s="7" t="s">
        <v>1173</v>
      </c>
      <c r="D558" s="7" t="s">
        <v>1044</v>
      </c>
      <c r="E558" s="306">
        <v>5.0</v>
      </c>
      <c r="F558" s="319">
        <v>0.0</v>
      </c>
      <c r="G558" s="39"/>
      <c r="H558" s="39" t="str">
        <f t="shared" si="9"/>
        <v>#REF!</v>
      </c>
      <c r="I558" s="12" t="str">
        <f t="shared" si="2"/>
        <v>5 Complete Medical Records, 0 Patient Portal Logins</v>
      </c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idden="1">
      <c r="A559" s="6" t="s">
        <v>13</v>
      </c>
      <c r="B559" s="7" t="s">
        <v>1052</v>
      </c>
      <c r="C559" s="7" t="s">
        <v>1053</v>
      </c>
      <c r="D559" s="7" t="s">
        <v>1054</v>
      </c>
      <c r="E559" s="262">
        <v>0.0</v>
      </c>
      <c r="F559" s="319">
        <v>0.0</v>
      </c>
      <c r="G559" s="39"/>
      <c r="H559" s="39" t="str">
        <f t="shared" si="9"/>
        <v>#REF!</v>
      </c>
      <c r="I559" s="12" t="str">
        <f t="shared" si="2"/>
        <v>0 Complete Medical Records, 0 Patient Portal Logins</v>
      </c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idden="1">
      <c r="A560" s="6" t="s">
        <v>13</v>
      </c>
      <c r="B560" s="7" t="s">
        <v>1045</v>
      </c>
      <c r="C560" s="7" t="s">
        <v>1174</v>
      </c>
      <c r="D560" s="7" t="s">
        <v>1047</v>
      </c>
      <c r="E560" s="262">
        <v>0.0</v>
      </c>
      <c r="F560" s="319">
        <v>0.0</v>
      </c>
      <c r="G560" s="39"/>
      <c r="H560" s="39" t="str">
        <f t="shared" si="9"/>
        <v>#REF!</v>
      </c>
      <c r="I560" s="12" t="str">
        <f t="shared" si="2"/>
        <v>0 Complete Medical Records, 0 Patient Portal Logins</v>
      </c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idden="1">
      <c r="A561" s="6" t="s">
        <v>13</v>
      </c>
      <c r="B561" s="7" t="s">
        <v>1049</v>
      </c>
      <c r="C561" s="7" t="s">
        <v>1175</v>
      </c>
      <c r="D561" s="7" t="s">
        <v>1051</v>
      </c>
      <c r="E561" s="262">
        <v>0.0</v>
      </c>
      <c r="F561" s="319">
        <v>0.0</v>
      </c>
      <c r="G561" s="39"/>
      <c r="H561" s="39" t="str">
        <f t="shared" si="9"/>
        <v>#REF!</v>
      </c>
      <c r="I561" s="12" t="str">
        <f t="shared" si="2"/>
        <v>0 Complete Medical Records, 0 Patient Portal Logins</v>
      </c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idden="1">
      <c r="A562" s="6" t="s">
        <v>13</v>
      </c>
      <c r="B562" s="7" t="s">
        <v>1167</v>
      </c>
      <c r="C562" s="7" t="s">
        <v>1168</v>
      </c>
      <c r="D562" s="7" t="s">
        <v>1169</v>
      </c>
      <c r="E562" s="262">
        <v>0.0</v>
      </c>
      <c r="F562" s="314">
        <v>9.0</v>
      </c>
      <c r="G562" s="39"/>
      <c r="H562" s="39" t="str">
        <f t="shared" si="9"/>
        <v>#REF!</v>
      </c>
      <c r="I562" s="12" t="str">
        <f t="shared" si="2"/>
        <v>0 Complete Medical Records, 9 Patient Portal Logins</v>
      </c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idden="1">
      <c r="A563" s="6" t="s">
        <v>13</v>
      </c>
      <c r="B563" s="16" t="s">
        <v>1055</v>
      </c>
      <c r="C563" s="16" t="s">
        <v>1056</v>
      </c>
      <c r="D563" s="16" t="s">
        <v>1057</v>
      </c>
      <c r="E563" s="306">
        <v>2.0</v>
      </c>
      <c r="F563" s="319">
        <v>0.0</v>
      </c>
      <c r="G563" s="39"/>
      <c r="H563" s="39" t="str">
        <f t="shared" si="9"/>
        <v>#REF!</v>
      </c>
      <c r="I563" s="12" t="str">
        <f t="shared" si="2"/>
        <v>2 Complete Medical Records, 0 Patient Portal Logins</v>
      </c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idden="1">
      <c r="A564" s="6" t="s">
        <v>13</v>
      </c>
      <c r="B564" s="16" t="s">
        <v>1058</v>
      </c>
      <c r="C564" s="16" t="s">
        <v>1059</v>
      </c>
      <c r="D564" s="16" t="s">
        <v>1060</v>
      </c>
      <c r="E564" s="324">
        <v>10.0</v>
      </c>
      <c r="F564" s="325">
        <v>0.0</v>
      </c>
      <c r="G564" s="39"/>
      <c r="H564" s="39" t="str">
        <f t="shared" si="9"/>
        <v>#REF!</v>
      </c>
      <c r="I564" s="12" t="str">
        <f t="shared" si="2"/>
        <v>10 Complete Medical Records, 0 Patient Portal Logins</v>
      </c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idden="1">
      <c r="A565" s="6" t="s">
        <v>13</v>
      </c>
      <c r="B565" s="16" t="s">
        <v>1061</v>
      </c>
      <c r="C565" s="16" t="s">
        <v>1062</v>
      </c>
      <c r="D565" s="16" t="s">
        <v>1063</v>
      </c>
      <c r="E565" s="310">
        <v>11.0</v>
      </c>
      <c r="F565" s="315">
        <v>0.0</v>
      </c>
      <c r="G565" s="39"/>
      <c r="H565" s="39" t="str">
        <f t="shared" si="9"/>
        <v>#REF!</v>
      </c>
      <c r="I565" s="12" t="str">
        <f t="shared" si="2"/>
        <v>11 Complete Medical Records, 0 Patient Portal Logins</v>
      </c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idden="1">
      <c r="A566" s="6" t="s">
        <v>13</v>
      </c>
      <c r="B566" s="16" t="s">
        <v>1064</v>
      </c>
      <c r="C566" s="16" t="s">
        <v>1065</v>
      </c>
      <c r="D566" s="16" t="s">
        <v>1066</v>
      </c>
      <c r="E566" s="310">
        <v>11.0</v>
      </c>
      <c r="F566" s="315">
        <v>0.0</v>
      </c>
      <c r="G566" s="39"/>
      <c r="H566" s="39" t="str">
        <f t="shared" si="9"/>
        <v>#REF!</v>
      </c>
      <c r="I566" s="12" t="str">
        <f t="shared" si="2"/>
        <v>11 Complete Medical Records, 0 Patient Portal Logins</v>
      </c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idden="1">
      <c r="A567" s="6" t="s">
        <v>13</v>
      </c>
      <c r="B567" s="16" t="s">
        <v>1067</v>
      </c>
      <c r="C567" s="16" t="s">
        <v>1068</v>
      </c>
      <c r="D567" s="16" t="s">
        <v>1069</v>
      </c>
      <c r="E567" s="310">
        <v>11.0</v>
      </c>
      <c r="F567" s="315">
        <v>0.0</v>
      </c>
      <c r="G567" s="39"/>
      <c r="H567" s="39" t="str">
        <f t="shared" si="9"/>
        <v>#REF!</v>
      </c>
      <c r="I567" s="12" t="str">
        <f t="shared" si="2"/>
        <v>11 Complete Medical Records, 0 Patient Portal Logins</v>
      </c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idden="1">
      <c r="A568" s="6" t="s">
        <v>13</v>
      </c>
      <c r="B568" s="16" t="s">
        <v>1070</v>
      </c>
      <c r="C568" s="16" t="s">
        <v>1071</v>
      </c>
      <c r="D568" s="16" t="s">
        <v>1072</v>
      </c>
      <c r="E568" s="310">
        <v>11.0</v>
      </c>
      <c r="F568" s="315">
        <v>0.0</v>
      </c>
      <c r="G568" s="39"/>
      <c r="H568" s="39" t="str">
        <f t="shared" si="9"/>
        <v>#REF!</v>
      </c>
      <c r="I568" s="12" t="str">
        <f t="shared" si="2"/>
        <v>11 Complete Medical Records, 0 Patient Portal Logins</v>
      </c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idden="1">
      <c r="A569" s="6" t="s">
        <v>13</v>
      </c>
      <c r="B569" s="16" t="s">
        <v>1073</v>
      </c>
      <c r="C569" s="16" t="s">
        <v>1074</v>
      </c>
      <c r="D569" s="16" t="s">
        <v>1075</v>
      </c>
      <c r="E569" s="310">
        <v>11.0</v>
      </c>
      <c r="F569" s="315">
        <v>2.0</v>
      </c>
      <c r="G569" s="39"/>
      <c r="H569" s="39" t="str">
        <f t="shared" si="9"/>
        <v>#REF!</v>
      </c>
      <c r="I569" s="12" t="str">
        <f t="shared" si="2"/>
        <v>11 Complete Medical Records, 2 Patient Portal Logins</v>
      </c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idden="1">
      <c r="A570" s="6" t="s">
        <v>13</v>
      </c>
      <c r="B570" s="16" t="s">
        <v>1076</v>
      </c>
      <c r="C570" s="16" t="s">
        <v>1077</v>
      </c>
      <c r="D570" s="16" t="s">
        <v>1078</v>
      </c>
      <c r="E570" s="310">
        <v>14.0</v>
      </c>
      <c r="F570" s="319">
        <v>0.0</v>
      </c>
      <c r="G570" s="39"/>
      <c r="H570" s="39" t="str">
        <f t="shared" si="9"/>
        <v>#REF!</v>
      </c>
      <c r="I570" s="12" t="str">
        <f t="shared" si="2"/>
        <v>14 Complete Medical Records, 0 Patient Portal Logins</v>
      </c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idden="1">
      <c r="A571" s="6" t="s">
        <v>13</v>
      </c>
      <c r="B571" s="16" t="s">
        <v>1079</v>
      </c>
      <c r="C571" s="16" t="s">
        <v>1080</v>
      </c>
      <c r="D571" s="16" t="s">
        <v>1081</v>
      </c>
      <c r="E571" s="310">
        <v>14.0</v>
      </c>
      <c r="F571" s="319">
        <v>0.0</v>
      </c>
      <c r="G571" s="39"/>
      <c r="H571" s="39" t="str">
        <f t="shared" si="9"/>
        <v>#REF!</v>
      </c>
      <c r="I571" s="12" t="str">
        <f t="shared" si="2"/>
        <v>14 Complete Medical Records, 0 Patient Portal Logins</v>
      </c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idden="1">
      <c r="A572" s="6" t="s">
        <v>13</v>
      </c>
      <c r="B572" s="16" t="s">
        <v>1082</v>
      </c>
      <c r="C572" s="16" t="s">
        <v>1083</v>
      </c>
      <c r="D572" s="16" t="s">
        <v>1084</v>
      </c>
      <c r="E572" s="310">
        <v>14.0</v>
      </c>
      <c r="F572" s="319">
        <v>0.0</v>
      </c>
      <c r="G572" s="39"/>
      <c r="H572" s="39" t="str">
        <f t="shared" si="9"/>
        <v>#REF!</v>
      </c>
      <c r="I572" s="12" t="str">
        <f t="shared" si="2"/>
        <v>14 Complete Medical Records, 0 Patient Portal Logins</v>
      </c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idden="1">
      <c r="A573" s="6" t="s">
        <v>13</v>
      </c>
      <c r="B573" s="16" t="s">
        <v>1085</v>
      </c>
      <c r="C573" s="16" t="s">
        <v>1086</v>
      </c>
      <c r="D573" s="16" t="s">
        <v>1087</v>
      </c>
      <c r="E573" s="324">
        <v>3.0</v>
      </c>
      <c r="F573" s="325">
        <v>0.0</v>
      </c>
      <c r="G573" s="39"/>
      <c r="H573" s="39" t="str">
        <f t="shared" si="9"/>
        <v>#REF!</v>
      </c>
      <c r="I573" s="12" t="str">
        <f t="shared" si="2"/>
        <v>3 Complete Medical Records, 0 Patient Portal Logins</v>
      </c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idden="1">
      <c r="A574" s="6" t="s">
        <v>13</v>
      </c>
      <c r="B574" s="16" t="s">
        <v>1088</v>
      </c>
      <c r="C574" s="16" t="s">
        <v>1089</v>
      </c>
      <c r="D574" s="16" t="s">
        <v>1090</v>
      </c>
      <c r="E574" s="350">
        <v>14.0</v>
      </c>
      <c r="F574" s="314">
        <v>1.0</v>
      </c>
      <c r="G574" s="39"/>
      <c r="H574" s="39" t="str">
        <f t="shared" si="9"/>
        <v>#REF!</v>
      </c>
      <c r="I574" s="12" t="str">
        <f t="shared" si="2"/>
        <v>14 Complete Medical Records, 1 Patient Portal Logins</v>
      </c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idden="1">
      <c r="A575" s="6" t="s">
        <v>13</v>
      </c>
      <c r="B575" s="16" t="s">
        <v>1091</v>
      </c>
      <c r="C575" s="16" t="s">
        <v>1092</v>
      </c>
      <c r="D575" s="16" t="s">
        <v>1093</v>
      </c>
      <c r="E575" s="350">
        <v>14.0</v>
      </c>
      <c r="F575" s="319">
        <v>0.0</v>
      </c>
      <c r="G575" s="39"/>
      <c r="H575" s="39" t="str">
        <f t="shared" si="9"/>
        <v>#REF!</v>
      </c>
      <c r="I575" s="39" t="str">
        <f t="shared" si="2"/>
        <v>14 Complete Medical Records, 0 Patient Portal Logins</v>
      </c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idden="1">
      <c r="A576" s="6" t="s">
        <v>13</v>
      </c>
      <c r="B576" s="16" t="s">
        <v>1094</v>
      </c>
      <c r="C576" s="16" t="s">
        <v>1095</v>
      </c>
      <c r="D576" s="16" t="s">
        <v>1096</v>
      </c>
      <c r="E576" s="306">
        <v>14.0</v>
      </c>
      <c r="F576" s="314">
        <v>5.0</v>
      </c>
      <c r="G576" s="39"/>
      <c r="H576" s="39" t="str">
        <f t="shared" si="9"/>
        <v>#REF!</v>
      </c>
      <c r="I576" s="12" t="str">
        <f t="shared" si="2"/>
        <v>14 Complete Medical Records, 5 Patient Portal Logins</v>
      </c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idden="1">
      <c r="A577" s="6" t="s">
        <v>13</v>
      </c>
      <c r="B577" s="16" t="s">
        <v>1097</v>
      </c>
      <c r="C577" s="16" t="s">
        <v>1098</v>
      </c>
      <c r="D577" s="16" t="s">
        <v>1099</v>
      </c>
      <c r="E577" s="324">
        <v>10.0</v>
      </c>
      <c r="F577" s="325">
        <v>0.0</v>
      </c>
      <c r="G577" s="39"/>
      <c r="H577" s="39" t="str">
        <f t="shared" si="9"/>
        <v>#REF!</v>
      </c>
      <c r="I577" s="12" t="str">
        <f t="shared" si="2"/>
        <v>10 Complete Medical Records, 0 Patient Portal Logins</v>
      </c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idden="1">
      <c r="A578" s="6" t="s">
        <v>13</v>
      </c>
      <c r="B578" s="16" t="s">
        <v>255</v>
      </c>
      <c r="C578" s="16" t="s">
        <v>256</v>
      </c>
      <c r="D578" s="16" t="s">
        <v>257</v>
      </c>
      <c r="E578" s="324">
        <v>17.0</v>
      </c>
      <c r="F578" s="325">
        <v>0.0</v>
      </c>
      <c r="G578" s="39"/>
      <c r="H578" s="39" t="str">
        <f t="shared" si="9"/>
        <v>#REF!</v>
      </c>
      <c r="I578" s="12" t="str">
        <f t="shared" si="2"/>
        <v>17 Complete Medical Records, 0 Patient Portal Logins</v>
      </c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idden="1">
      <c r="A579" s="6" t="s">
        <v>13</v>
      </c>
      <c r="B579" s="16" t="s">
        <v>1100</v>
      </c>
      <c r="C579" s="16" t="s">
        <v>1101</v>
      </c>
      <c r="D579" s="16" t="s">
        <v>1102</v>
      </c>
      <c r="E579" s="312">
        <v>17.0</v>
      </c>
      <c r="F579" s="317">
        <v>11.0</v>
      </c>
      <c r="G579" s="39"/>
      <c r="H579" s="39" t="str">
        <f t="shared" si="9"/>
        <v>#REF!</v>
      </c>
      <c r="I579" s="12" t="str">
        <f t="shared" si="2"/>
        <v>17 Complete Medical Records, 11 Patient Portal Logins</v>
      </c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idden="1">
      <c r="A580" s="6" t="s">
        <v>13</v>
      </c>
      <c r="B580" s="16" t="s">
        <v>1103</v>
      </c>
      <c r="C580" s="16" t="s">
        <v>1104</v>
      </c>
      <c r="D580" s="16" t="s">
        <v>1105</v>
      </c>
      <c r="E580" s="310">
        <v>11.0</v>
      </c>
      <c r="F580" s="315">
        <v>1.0</v>
      </c>
      <c r="G580" s="39"/>
      <c r="H580" s="39" t="str">
        <f t="shared" si="9"/>
        <v>#REF!</v>
      </c>
      <c r="I580" s="12" t="str">
        <f t="shared" si="2"/>
        <v>11 Complete Medical Records, 1 Patient Portal Logins</v>
      </c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idden="1">
      <c r="A581" s="6" t="s">
        <v>13</v>
      </c>
      <c r="B581" s="16" t="s">
        <v>1106</v>
      </c>
      <c r="C581" s="16" t="s">
        <v>1107</v>
      </c>
      <c r="D581" s="16" t="s">
        <v>1108</v>
      </c>
      <c r="E581" s="350">
        <v>14.0</v>
      </c>
      <c r="F581" s="314">
        <v>3.0</v>
      </c>
      <c r="G581" s="39"/>
      <c r="H581" s="39" t="str">
        <f t="shared" si="9"/>
        <v>#REF!</v>
      </c>
      <c r="I581" s="12" t="str">
        <f t="shared" si="2"/>
        <v>14 Complete Medical Records, 3 Patient Portal Logins</v>
      </c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idden="1">
      <c r="A582" s="6" t="s">
        <v>13</v>
      </c>
      <c r="B582" s="16" t="s">
        <v>1109</v>
      </c>
      <c r="C582" s="16" t="s">
        <v>1110</v>
      </c>
      <c r="D582" s="16" t="s">
        <v>1111</v>
      </c>
      <c r="E582" s="310">
        <v>17.0</v>
      </c>
      <c r="F582" s="325">
        <v>0.0</v>
      </c>
      <c r="G582" s="39"/>
      <c r="H582" s="39" t="str">
        <f t="shared" si="9"/>
        <v>#REF!</v>
      </c>
      <c r="I582" s="12" t="str">
        <f t="shared" si="2"/>
        <v>17 Complete Medical Records, 0 Patient Portal Logins</v>
      </c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idden="1">
      <c r="A583" s="6" t="s">
        <v>13</v>
      </c>
      <c r="B583" s="16" t="s">
        <v>1112</v>
      </c>
      <c r="C583" s="16" t="s">
        <v>1113</v>
      </c>
      <c r="D583" s="16" t="s">
        <v>1114</v>
      </c>
      <c r="E583" s="310">
        <v>14.0</v>
      </c>
      <c r="F583" s="319">
        <v>0.0</v>
      </c>
      <c r="G583" s="39"/>
      <c r="H583" s="39" t="str">
        <f t="shared" si="9"/>
        <v>#REF!</v>
      </c>
      <c r="I583" s="12" t="str">
        <f t="shared" si="2"/>
        <v>14 Complete Medical Records, 0 Patient Portal Logins</v>
      </c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idden="1">
      <c r="A584" s="6" t="s">
        <v>13</v>
      </c>
      <c r="B584" s="16" t="s">
        <v>1115</v>
      </c>
      <c r="C584" s="16" t="s">
        <v>1116</v>
      </c>
      <c r="D584" s="16" t="s">
        <v>1117</v>
      </c>
      <c r="E584" s="310">
        <v>11.0</v>
      </c>
      <c r="F584" s="315">
        <v>25.0</v>
      </c>
      <c r="G584" s="39"/>
      <c r="H584" s="39" t="str">
        <f t="shared" si="9"/>
        <v>#REF!</v>
      </c>
      <c r="I584" s="12" t="str">
        <f t="shared" si="2"/>
        <v>11 Complete Medical Records, 25 Patient Portal Logins</v>
      </c>
      <c r="J584" s="47"/>
      <c r="K584" s="47"/>
      <c r="L584" s="12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idden="1">
      <c r="A585" s="6" t="s">
        <v>13</v>
      </c>
      <c r="B585" s="16" t="s">
        <v>1118</v>
      </c>
      <c r="C585" s="16" t="s">
        <v>1119</v>
      </c>
      <c r="D585" s="16" t="s">
        <v>1120</v>
      </c>
      <c r="E585" s="327">
        <v>17.0</v>
      </c>
      <c r="F585" s="325">
        <v>21.0</v>
      </c>
      <c r="G585" s="39"/>
      <c r="H585" s="39" t="str">
        <f t="shared" si="9"/>
        <v>#REF!</v>
      </c>
      <c r="I585" s="12" t="str">
        <f t="shared" si="2"/>
        <v>17 Complete Medical Records, 21 Patient Portal Logins</v>
      </c>
      <c r="J585" s="47"/>
      <c r="K585" s="47"/>
      <c r="L585" s="12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idden="1">
      <c r="A586" s="6" t="s">
        <v>13</v>
      </c>
      <c r="B586" s="16" t="s">
        <v>1121</v>
      </c>
      <c r="C586" s="16" t="s">
        <v>1122</v>
      </c>
      <c r="D586" s="16" t="s">
        <v>1123</v>
      </c>
      <c r="E586" s="310">
        <v>14.0</v>
      </c>
      <c r="F586" s="315">
        <v>17.0</v>
      </c>
      <c r="G586" s="39"/>
      <c r="H586" s="39" t="str">
        <f t="shared" si="9"/>
        <v>#REF!</v>
      </c>
      <c r="I586" s="12" t="str">
        <f t="shared" si="2"/>
        <v>14 Complete Medical Records, 17 Patient Portal Logins</v>
      </c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idden="1">
      <c r="A587" s="6" t="s">
        <v>13</v>
      </c>
      <c r="B587" s="16" t="s">
        <v>1124</v>
      </c>
      <c r="C587" s="16" t="s">
        <v>1125</v>
      </c>
      <c r="D587" s="16" t="s">
        <v>1126</v>
      </c>
      <c r="E587" s="350">
        <v>14.0</v>
      </c>
      <c r="F587" s="319">
        <v>0.0</v>
      </c>
      <c r="G587" s="39"/>
      <c r="H587" s="39" t="str">
        <f t="shared" si="9"/>
        <v>#REF!</v>
      </c>
      <c r="I587" s="12" t="str">
        <f t="shared" si="2"/>
        <v>14 Complete Medical Records, 0 Patient Portal Logins</v>
      </c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idden="1">
      <c r="A588" s="6" t="s">
        <v>13</v>
      </c>
      <c r="B588" s="16" t="s">
        <v>1127</v>
      </c>
      <c r="C588" s="16" t="s">
        <v>1128</v>
      </c>
      <c r="D588" s="16" t="s">
        <v>1129</v>
      </c>
      <c r="E588" s="310">
        <v>14.0</v>
      </c>
      <c r="F588" s="319">
        <v>0.0</v>
      </c>
      <c r="G588" s="39"/>
      <c r="H588" s="39" t="str">
        <f t="shared" si="9"/>
        <v>#REF!</v>
      </c>
      <c r="I588" s="12" t="str">
        <f t="shared" si="2"/>
        <v>14 Complete Medical Records, 0 Patient Portal Logins</v>
      </c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idden="1">
      <c r="A589" s="6" t="s">
        <v>13</v>
      </c>
      <c r="B589" s="16" t="s">
        <v>1130</v>
      </c>
      <c r="C589" s="16" t="s">
        <v>1131</v>
      </c>
      <c r="D589" s="16" t="s">
        <v>1132</v>
      </c>
      <c r="E589" s="310">
        <v>14.0</v>
      </c>
      <c r="F589" s="319">
        <v>0.0</v>
      </c>
      <c r="G589" s="39"/>
      <c r="H589" s="39" t="str">
        <f t="shared" si="9"/>
        <v>#REF!</v>
      </c>
      <c r="I589" s="12" t="str">
        <f t="shared" si="2"/>
        <v>14 Complete Medical Records, 0 Patient Portal Logins</v>
      </c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idden="1">
      <c r="A590" s="6" t="s">
        <v>13</v>
      </c>
      <c r="B590" s="16" t="s">
        <v>1133</v>
      </c>
      <c r="C590" s="16" t="s">
        <v>1134</v>
      </c>
      <c r="D590" s="16" t="s">
        <v>1135</v>
      </c>
      <c r="E590" s="350">
        <v>14.0</v>
      </c>
      <c r="F590" s="319">
        <v>0.0</v>
      </c>
      <c r="G590" s="39"/>
      <c r="H590" s="39" t="str">
        <f t="shared" si="9"/>
        <v>#REF!</v>
      </c>
      <c r="I590" s="12" t="str">
        <f t="shared" si="2"/>
        <v>14 Complete Medical Records, 0 Patient Portal Logins</v>
      </c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idden="1">
      <c r="A591" s="6" t="s">
        <v>13</v>
      </c>
      <c r="B591" s="16" t="s">
        <v>1164</v>
      </c>
      <c r="C591" s="16" t="s">
        <v>1165</v>
      </c>
      <c r="D591" s="16" t="s">
        <v>1166</v>
      </c>
      <c r="E591" s="331"/>
      <c r="F591" s="346"/>
      <c r="G591" s="39"/>
      <c r="H591" s="39" t="str">
        <f t="shared" si="9"/>
        <v>#REF!</v>
      </c>
      <c r="I591" s="12" t="str">
        <f t="shared" si="2"/>
        <v> Complete Medical Records,  Patient Portal Logins</v>
      </c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idden="1">
      <c r="A592" s="6" t="s">
        <v>13</v>
      </c>
      <c r="B592" s="16" t="s">
        <v>1136</v>
      </c>
      <c r="C592" s="16" t="s">
        <v>1137</v>
      </c>
      <c r="D592" s="16" t="s">
        <v>1138</v>
      </c>
      <c r="E592" s="312">
        <v>17.0</v>
      </c>
      <c r="F592" s="325">
        <v>0.0</v>
      </c>
      <c r="G592" s="39"/>
      <c r="H592" s="39" t="str">
        <f t="shared" si="9"/>
        <v>#REF!</v>
      </c>
      <c r="I592" s="12" t="str">
        <f t="shared" si="2"/>
        <v>17 Complete Medical Records, 0 Patient Portal Logins</v>
      </c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idden="1">
      <c r="A593" s="6" t="s">
        <v>13</v>
      </c>
      <c r="B593" s="16" t="s">
        <v>1139</v>
      </c>
      <c r="C593" s="16" t="s">
        <v>1140</v>
      </c>
      <c r="D593" s="16" t="s">
        <v>1141</v>
      </c>
      <c r="E593" s="327">
        <v>17.0</v>
      </c>
      <c r="F593" s="325">
        <v>19.0</v>
      </c>
      <c r="G593" s="39"/>
      <c r="H593" s="39" t="str">
        <f t="shared" si="9"/>
        <v>#REF!</v>
      </c>
      <c r="I593" s="12" t="str">
        <f t="shared" si="2"/>
        <v>17 Complete Medical Records, 19 Patient Portal Logins</v>
      </c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idden="1">
      <c r="A594" s="6" t="s">
        <v>13</v>
      </c>
      <c r="B594" s="16" t="s">
        <v>1142</v>
      </c>
      <c r="C594" s="16" t="s">
        <v>1143</v>
      </c>
      <c r="D594" s="16" t="s">
        <v>1144</v>
      </c>
      <c r="E594" s="306">
        <v>14.0</v>
      </c>
      <c r="F594" s="314">
        <v>5.0</v>
      </c>
      <c r="G594" s="39"/>
      <c r="H594" s="39" t="str">
        <f t="shared" si="9"/>
        <v>#REF!</v>
      </c>
      <c r="I594" s="12" t="str">
        <f t="shared" si="2"/>
        <v>14 Complete Medical Records, 5 Patient Portal Logins</v>
      </c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idden="1">
      <c r="A595" s="6" t="s">
        <v>13</v>
      </c>
      <c r="B595" s="16" t="s">
        <v>1145</v>
      </c>
      <c r="C595" s="16" t="s">
        <v>1146</v>
      </c>
      <c r="D595" s="16" t="s">
        <v>1147</v>
      </c>
      <c r="E595" s="312">
        <v>17.0</v>
      </c>
      <c r="F595" s="325">
        <v>0.0</v>
      </c>
      <c r="G595" s="39"/>
      <c r="H595" s="39" t="str">
        <f t="shared" si="9"/>
        <v>#REF!</v>
      </c>
      <c r="I595" s="12" t="str">
        <f t="shared" si="2"/>
        <v>17 Complete Medical Records, 0 Patient Portal Logins</v>
      </c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idden="1">
      <c r="A596" s="6" t="s">
        <v>13</v>
      </c>
      <c r="B596" s="16" t="s">
        <v>1148</v>
      </c>
      <c r="C596" s="16" t="s">
        <v>1149</v>
      </c>
      <c r="D596" s="16" t="s">
        <v>1150</v>
      </c>
      <c r="E596" s="310">
        <v>11.0</v>
      </c>
      <c r="F596" s="315">
        <v>18.0</v>
      </c>
      <c r="G596" s="39"/>
      <c r="H596" s="39" t="str">
        <f t="shared" si="9"/>
        <v>#REF!</v>
      </c>
      <c r="I596" s="12" t="str">
        <f t="shared" si="2"/>
        <v>11 Complete Medical Records, 18 Patient Portal Logins</v>
      </c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idden="1">
      <c r="A597" s="6" t="s">
        <v>13</v>
      </c>
      <c r="B597" s="16" t="s">
        <v>1151</v>
      </c>
      <c r="C597" s="16" t="s">
        <v>1152</v>
      </c>
      <c r="D597" s="16" t="s">
        <v>1153</v>
      </c>
      <c r="E597" s="310">
        <v>14.0</v>
      </c>
      <c r="F597" s="315">
        <v>24.0</v>
      </c>
      <c r="G597" s="39"/>
      <c r="H597" s="39" t="str">
        <f t="shared" si="9"/>
        <v>#REF!</v>
      </c>
      <c r="I597" s="12" t="str">
        <f t="shared" si="2"/>
        <v>14 Complete Medical Records, 24 Patient Portal Logins</v>
      </c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idden="1">
      <c r="A598" s="6" t="s">
        <v>13</v>
      </c>
      <c r="B598" s="16" t="s">
        <v>1154</v>
      </c>
      <c r="C598" s="16" t="s">
        <v>1155</v>
      </c>
      <c r="D598" s="16" t="s">
        <v>1156</v>
      </c>
      <c r="E598" s="327">
        <v>1.0</v>
      </c>
      <c r="F598" s="325">
        <v>4.0</v>
      </c>
      <c r="G598" s="39"/>
      <c r="H598" s="39" t="str">
        <f t="shared" si="9"/>
        <v>#REF!</v>
      </c>
      <c r="I598" s="12" t="str">
        <f t="shared" si="2"/>
        <v>1 Complete Medical Records, 4 Patient Portal Logins</v>
      </c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idden="1">
      <c r="A599" s="6" t="s">
        <v>13</v>
      </c>
      <c r="B599" s="61" t="s">
        <v>1158</v>
      </c>
      <c r="C599" s="21" t="s">
        <v>1159</v>
      </c>
      <c r="D599" s="21" t="s">
        <v>1160</v>
      </c>
      <c r="E599" s="324">
        <v>17.0</v>
      </c>
      <c r="F599" s="325">
        <v>0.0</v>
      </c>
      <c r="G599" s="39"/>
      <c r="H599" s="39" t="str">
        <f t="shared" si="9"/>
        <v>#REF!</v>
      </c>
      <c r="I599" s="12" t="str">
        <f t="shared" si="2"/>
        <v>17 Complete Medical Records, 0 Patient Portal Logins</v>
      </c>
      <c r="J599" s="53"/>
      <c r="K599" s="53"/>
      <c r="L599" s="53"/>
      <c r="M599" s="47"/>
      <c r="N599" s="53"/>
      <c r="O599" s="53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idden="1">
      <c r="A600" s="6" t="s">
        <v>13</v>
      </c>
      <c r="B600" s="21" t="s">
        <v>1161</v>
      </c>
      <c r="C600" s="21" t="s">
        <v>1162</v>
      </c>
      <c r="D600" s="21" t="s">
        <v>1163</v>
      </c>
      <c r="E600" s="350">
        <v>14.0</v>
      </c>
      <c r="F600" s="319">
        <v>0.0</v>
      </c>
      <c r="G600" s="39"/>
      <c r="H600" s="39" t="str">
        <f t="shared" si="9"/>
        <v>#REF!</v>
      </c>
      <c r="I600" s="12" t="str">
        <f t="shared" si="2"/>
        <v>14 Complete Medical Records, 0 Patient Portal Logins</v>
      </c>
      <c r="J600" s="53"/>
      <c r="K600" s="53"/>
      <c r="L600" s="53"/>
      <c r="M600" s="47"/>
      <c r="N600" s="53"/>
      <c r="O600" s="53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idden="1">
      <c r="A601" s="54" t="s">
        <v>203</v>
      </c>
      <c r="B601" s="7" t="s">
        <v>1055</v>
      </c>
      <c r="C601" s="7" t="s">
        <v>1056</v>
      </c>
      <c r="D601" s="7" t="s">
        <v>1057</v>
      </c>
      <c r="E601" s="349">
        <v>0.0</v>
      </c>
      <c r="F601" s="325">
        <v>1.0</v>
      </c>
      <c r="G601" s="39"/>
      <c r="H601" s="39" t="str">
        <f t="shared" si="9"/>
        <v>#REF!</v>
      </c>
      <c r="I601" s="12" t="str">
        <f t="shared" si="2"/>
        <v>0 Complete Medical Records, 1 Patient Portal Logins</v>
      </c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idden="1">
      <c r="A602" s="6" t="s">
        <v>203</v>
      </c>
      <c r="B602" s="16" t="s">
        <v>1058</v>
      </c>
      <c r="C602" s="16" t="s">
        <v>1059</v>
      </c>
      <c r="D602" s="16" t="s">
        <v>1060</v>
      </c>
      <c r="E602" s="324">
        <v>4.0</v>
      </c>
      <c r="F602" s="319">
        <v>0.0</v>
      </c>
      <c r="G602" s="39"/>
      <c r="H602" s="39" t="str">
        <f t="shared" si="9"/>
        <v>#REF!</v>
      </c>
      <c r="I602" s="12" t="str">
        <f t="shared" si="2"/>
        <v>4 Complete Medical Records, 0 Patient Portal Logins</v>
      </c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idden="1">
      <c r="A603" s="6" t="s">
        <v>203</v>
      </c>
      <c r="B603" s="16" t="s">
        <v>1061</v>
      </c>
      <c r="C603" s="16" t="s">
        <v>1062</v>
      </c>
      <c r="D603" s="16" t="s">
        <v>1063</v>
      </c>
      <c r="E603" s="324">
        <v>8.0</v>
      </c>
      <c r="F603" s="319">
        <v>0.0</v>
      </c>
      <c r="G603" s="39"/>
      <c r="H603" s="39" t="str">
        <f t="shared" si="9"/>
        <v>#REF!</v>
      </c>
      <c r="I603" s="12" t="str">
        <f t="shared" si="2"/>
        <v>8 Complete Medical Records, 0 Patient Portal Logins</v>
      </c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idden="1">
      <c r="A604" s="6" t="s">
        <v>203</v>
      </c>
      <c r="B604" s="16" t="s">
        <v>1064</v>
      </c>
      <c r="C604" s="16" t="s">
        <v>1065</v>
      </c>
      <c r="D604" s="16" t="s">
        <v>1066</v>
      </c>
      <c r="E604" s="324">
        <v>8.0</v>
      </c>
      <c r="F604" s="319">
        <v>0.0</v>
      </c>
      <c r="G604" s="39"/>
      <c r="H604" s="39" t="str">
        <f t="shared" si="9"/>
        <v>#REF!</v>
      </c>
      <c r="I604" s="12" t="str">
        <f t="shared" si="2"/>
        <v>8 Complete Medical Records, 0 Patient Portal Logins</v>
      </c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idden="1">
      <c r="A605" s="6" t="s">
        <v>203</v>
      </c>
      <c r="B605" s="16" t="s">
        <v>1067</v>
      </c>
      <c r="C605" s="16" t="s">
        <v>1068</v>
      </c>
      <c r="D605" s="16" t="s">
        <v>1069</v>
      </c>
      <c r="E605" s="324">
        <v>8.0</v>
      </c>
      <c r="F605" s="319">
        <v>0.0</v>
      </c>
      <c r="G605" s="39"/>
      <c r="H605" s="39" t="str">
        <f t="shared" si="9"/>
        <v>#REF!</v>
      </c>
      <c r="I605" s="12" t="str">
        <f t="shared" si="2"/>
        <v>8 Complete Medical Records, 0 Patient Portal Logins</v>
      </c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idden="1">
      <c r="A606" s="6" t="s">
        <v>203</v>
      </c>
      <c r="B606" s="16" t="s">
        <v>1070</v>
      </c>
      <c r="C606" s="16" t="s">
        <v>1071</v>
      </c>
      <c r="D606" s="16" t="s">
        <v>1072</v>
      </c>
      <c r="E606" s="324">
        <v>8.0</v>
      </c>
      <c r="F606" s="319">
        <v>0.0</v>
      </c>
      <c r="G606" s="39"/>
      <c r="H606" s="39" t="str">
        <f t="shared" si="9"/>
        <v>#REF!</v>
      </c>
      <c r="I606" s="12" t="str">
        <f t="shared" si="2"/>
        <v>8 Complete Medical Records, 0 Patient Portal Logins</v>
      </c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idden="1">
      <c r="A607" s="6" t="s">
        <v>203</v>
      </c>
      <c r="B607" s="16" t="s">
        <v>1073</v>
      </c>
      <c r="C607" s="16" t="s">
        <v>1074</v>
      </c>
      <c r="D607" s="16" t="s">
        <v>1075</v>
      </c>
      <c r="E607" s="324">
        <v>8.0</v>
      </c>
      <c r="F607" s="319">
        <v>0.0</v>
      </c>
      <c r="G607" s="39"/>
      <c r="H607" s="39" t="str">
        <f t="shared" si="9"/>
        <v>#REF!</v>
      </c>
      <c r="I607" s="12" t="str">
        <f t="shared" si="2"/>
        <v>8 Complete Medical Records, 0 Patient Portal Logins</v>
      </c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idden="1">
      <c r="A608" s="6" t="s">
        <v>203</v>
      </c>
      <c r="B608" s="16" t="s">
        <v>1076</v>
      </c>
      <c r="C608" s="16" t="s">
        <v>1077</v>
      </c>
      <c r="D608" s="16" t="s">
        <v>1078</v>
      </c>
      <c r="E608" s="324">
        <v>4.0</v>
      </c>
      <c r="F608" s="319">
        <v>0.0</v>
      </c>
      <c r="G608" s="39"/>
      <c r="H608" s="39" t="str">
        <f t="shared" si="9"/>
        <v>#REF!</v>
      </c>
      <c r="I608" s="12" t="str">
        <f t="shared" si="2"/>
        <v>4 Complete Medical Records, 0 Patient Portal Logins</v>
      </c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idden="1">
      <c r="A609" s="6" t="s">
        <v>203</v>
      </c>
      <c r="B609" s="16" t="s">
        <v>1079</v>
      </c>
      <c r="C609" s="16" t="s">
        <v>1080</v>
      </c>
      <c r="D609" s="16" t="s">
        <v>1081</v>
      </c>
      <c r="E609" s="324">
        <v>4.0</v>
      </c>
      <c r="F609" s="319">
        <v>0.0</v>
      </c>
      <c r="G609" s="39"/>
      <c r="H609" s="39" t="str">
        <f t="shared" si="9"/>
        <v>#REF!</v>
      </c>
      <c r="I609" s="12" t="str">
        <f t="shared" si="2"/>
        <v>4 Complete Medical Records, 0 Patient Portal Logins</v>
      </c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idden="1">
      <c r="A610" s="6" t="s">
        <v>203</v>
      </c>
      <c r="B610" s="16" t="s">
        <v>1082</v>
      </c>
      <c r="C610" s="16" t="s">
        <v>1083</v>
      </c>
      <c r="D610" s="16" t="s">
        <v>1084</v>
      </c>
      <c r="E610" s="324">
        <v>4.0</v>
      </c>
      <c r="F610" s="319">
        <v>0.0</v>
      </c>
      <c r="G610" s="39"/>
      <c r="H610" s="39" t="str">
        <f t="shared" si="9"/>
        <v>#REF!</v>
      </c>
      <c r="I610" s="12" t="str">
        <f t="shared" si="2"/>
        <v>4 Complete Medical Records, 0 Patient Portal Logins</v>
      </c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idden="1">
      <c r="A611" s="6" t="s">
        <v>203</v>
      </c>
      <c r="B611" s="16" t="s">
        <v>1085</v>
      </c>
      <c r="C611" s="16" t="s">
        <v>1086</v>
      </c>
      <c r="D611" s="16" t="s">
        <v>1087</v>
      </c>
      <c r="E611" s="262">
        <v>0.0</v>
      </c>
      <c r="F611" s="319">
        <v>0.0</v>
      </c>
      <c r="G611" s="39"/>
      <c r="H611" s="39" t="str">
        <f t="shared" si="9"/>
        <v>#REF!</v>
      </c>
      <c r="I611" s="12" t="str">
        <f t="shared" si="2"/>
        <v>0 Complete Medical Records, 0 Patient Portal Logins</v>
      </c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idden="1">
      <c r="A612" s="6" t="s">
        <v>203</v>
      </c>
      <c r="B612" s="16" t="s">
        <v>1088</v>
      </c>
      <c r="C612" s="16" t="s">
        <v>1089</v>
      </c>
      <c r="D612" s="16" t="s">
        <v>1090</v>
      </c>
      <c r="E612" s="327">
        <v>3.0</v>
      </c>
      <c r="F612" s="319">
        <v>0.0</v>
      </c>
      <c r="G612" s="39"/>
      <c r="H612" s="39" t="str">
        <f t="shared" si="9"/>
        <v>#REF!</v>
      </c>
      <c r="I612" s="12" t="str">
        <f t="shared" si="2"/>
        <v>3 Complete Medical Records, 0 Patient Portal Logins</v>
      </c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idden="1">
      <c r="A613" s="6" t="s">
        <v>203</v>
      </c>
      <c r="B613" s="16" t="s">
        <v>1091</v>
      </c>
      <c r="C613" s="16" t="s">
        <v>1092</v>
      </c>
      <c r="D613" s="16" t="s">
        <v>1093</v>
      </c>
      <c r="E613" s="327">
        <v>3.0</v>
      </c>
      <c r="F613" s="319">
        <v>0.0</v>
      </c>
      <c r="G613" s="39"/>
      <c r="H613" s="39" t="str">
        <f t="shared" si="9"/>
        <v>#REF!</v>
      </c>
      <c r="I613" s="39" t="str">
        <f t="shared" si="2"/>
        <v>3 Complete Medical Records, 0 Patient Portal Logins</v>
      </c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idden="1">
      <c r="A614" s="6" t="s">
        <v>203</v>
      </c>
      <c r="B614" s="16" t="s">
        <v>1094</v>
      </c>
      <c r="C614" s="16" t="s">
        <v>1095</v>
      </c>
      <c r="D614" s="16" t="s">
        <v>1096</v>
      </c>
      <c r="E614" s="324">
        <v>3.0</v>
      </c>
      <c r="F614" s="325">
        <v>4.0</v>
      </c>
      <c r="G614" s="39"/>
      <c r="H614" s="39" t="str">
        <f t="shared" si="9"/>
        <v>#REF!</v>
      </c>
      <c r="I614" s="12" t="str">
        <f t="shared" si="2"/>
        <v>3 Complete Medical Records, 4 Patient Portal Logins</v>
      </c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idden="1">
      <c r="A615" s="6" t="s">
        <v>203</v>
      </c>
      <c r="B615" s="16" t="s">
        <v>1097</v>
      </c>
      <c r="C615" s="16" t="s">
        <v>1098</v>
      </c>
      <c r="D615" s="16" t="s">
        <v>1099</v>
      </c>
      <c r="E615" s="262">
        <v>0.0</v>
      </c>
      <c r="F615" s="319">
        <v>0.0</v>
      </c>
      <c r="G615" s="39"/>
      <c r="H615" s="39" t="str">
        <f t="shared" si="9"/>
        <v>#REF!</v>
      </c>
      <c r="I615" s="12" t="str">
        <f t="shared" si="2"/>
        <v>0 Complete Medical Records, 0 Patient Portal Logins</v>
      </c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idden="1">
      <c r="A616" s="6" t="s">
        <v>203</v>
      </c>
      <c r="B616" s="16" t="s">
        <v>255</v>
      </c>
      <c r="C616" s="16" t="s">
        <v>256</v>
      </c>
      <c r="D616" s="16" t="s">
        <v>257</v>
      </c>
      <c r="E616" s="327">
        <v>3.0</v>
      </c>
      <c r="F616" s="319">
        <v>0.0</v>
      </c>
      <c r="G616" s="39"/>
      <c r="H616" s="39" t="str">
        <f t="shared" si="9"/>
        <v>#REF!</v>
      </c>
      <c r="I616" s="12" t="str">
        <f t="shared" si="2"/>
        <v>3 Complete Medical Records, 0 Patient Portal Logins</v>
      </c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idden="1">
      <c r="A617" s="6" t="s">
        <v>203</v>
      </c>
      <c r="B617" s="16" t="s">
        <v>1100</v>
      </c>
      <c r="C617" s="16" t="s">
        <v>1101</v>
      </c>
      <c r="D617" s="16" t="s">
        <v>1102</v>
      </c>
      <c r="E617" s="327">
        <v>3.0</v>
      </c>
      <c r="F617" s="319">
        <v>1.0</v>
      </c>
      <c r="G617" s="39"/>
      <c r="H617" s="39" t="str">
        <f t="shared" si="9"/>
        <v>#REF!</v>
      </c>
      <c r="I617" s="12" t="str">
        <f t="shared" si="2"/>
        <v>3 Complete Medical Records, 1 Patient Portal Logins</v>
      </c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idden="1">
      <c r="A618" s="6" t="s">
        <v>203</v>
      </c>
      <c r="B618" s="16" t="s">
        <v>1103</v>
      </c>
      <c r="C618" s="16" t="s">
        <v>1104</v>
      </c>
      <c r="D618" s="16" t="s">
        <v>1105</v>
      </c>
      <c r="E618" s="324">
        <v>8.0</v>
      </c>
      <c r="F618" s="319">
        <v>0.0</v>
      </c>
      <c r="G618" s="39"/>
      <c r="H618" s="39" t="str">
        <f t="shared" si="9"/>
        <v>#REF!</v>
      </c>
      <c r="I618" s="12" t="str">
        <f t="shared" si="2"/>
        <v>8 Complete Medical Records, 0 Patient Portal Logins</v>
      </c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idden="1">
      <c r="A619" s="6" t="s">
        <v>203</v>
      </c>
      <c r="B619" s="16" t="s">
        <v>1106</v>
      </c>
      <c r="C619" s="16" t="s">
        <v>1107</v>
      </c>
      <c r="D619" s="16" t="s">
        <v>1108</v>
      </c>
      <c r="E619" s="324">
        <v>3.0</v>
      </c>
      <c r="F619" s="325">
        <v>1.0</v>
      </c>
      <c r="G619" s="39"/>
      <c r="H619" s="39" t="str">
        <f t="shared" si="9"/>
        <v>#REF!</v>
      </c>
      <c r="I619" s="12" t="str">
        <f t="shared" si="2"/>
        <v>3 Complete Medical Records, 1 Patient Portal Logins</v>
      </c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idden="1">
      <c r="A620" s="6" t="s">
        <v>203</v>
      </c>
      <c r="B620" s="16" t="s">
        <v>1109</v>
      </c>
      <c r="C620" s="16" t="s">
        <v>1110</v>
      </c>
      <c r="D620" s="16" t="s">
        <v>1111</v>
      </c>
      <c r="E620" s="327">
        <v>3.0</v>
      </c>
      <c r="F620" s="319">
        <v>0.0</v>
      </c>
      <c r="G620" s="39"/>
      <c r="H620" s="39" t="str">
        <f t="shared" si="9"/>
        <v>#REF!</v>
      </c>
      <c r="I620" s="12" t="str">
        <f t="shared" si="2"/>
        <v>3 Complete Medical Records, 0 Patient Portal Logins</v>
      </c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idden="1">
      <c r="A621" s="6" t="s">
        <v>203</v>
      </c>
      <c r="B621" s="16" t="s">
        <v>1112</v>
      </c>
      <c r="C621" s="16" t="s">
        <v>1113</v>
      </c>
      <c r="D621" s="16" t="s">
        <v>1114</v>
      </c>
      <c r="E621" s="324">
        <v>4.0</v>
      </c>
      <c r="F621" s="319">
        <v>0.0</v>
      </c>
      <c r="G621" s="39"/>
      <c r="H621" s="39" t="str">
        <f t="shared" si="9"/>
        <v>#REF!</v>
      </c>
      <c r="I621" s="12" t="str">
        <f t="shared" si="2"/>
        <v>4 Complete Medical Records, 0 Patient Portal Logins</v>
      </c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idden="1">
      <c r="A622" s="6" t="s">
        <v>203</v>
      </c>
      <c r="B622" s="16" t="s">
        <v>1115</v>
      </c>
      <c r="C622" s="16" t="s">
        <v>1116</v>
      </c>
      <c r="D622" s="16" t="s">
        <v>1117</v>
      </c>
      <c r="E622" s="324">
        <v>8.0</v>
      </c>
      <c r="F622" s="319">
        <v>20.0</v>
      </c>
      <c r="G622" s="39"/>
      <c r="H622" s="39" t="str">
        <f t="shared" si="9"/>
        <v>#REF!</v>
      </c>
      <c r="I622" s="12" t="str">
        <f t="shared" si="2"/>
        <v>8 Complete Medical Records, 20 Patient Portal Logins</v>
      </c>
      <c r="J622" s="47"/>
      <c r="K622" s="47"/>
      <c r="L622" s="90">
        <v>2400.0</v>
      </c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idden="1">
      <c r="A623" s="6" t="s">
        <v>203</v>
      </c>
      <c r="B623" s="16" t="s">
        <v>1118</v>
      </c>
      <c r="C623" s="16" t="s">
        <v>1119</v>
      </c>
      <c r="D623" s="16" t="s">
        <v>1120</v>
      </c>
      <c r="E623" s="327">
        <v>3.0</v>
      </c>
      <c r="F623" s="319">
        <v>19.0</v>
      </c>
      <c r="G623" s="39"/>
      <c r="H623" s="39" t="str">
        <f t="shared" si="9"/>
        <v>#REF!</v>
      </c>
      <c r="I623" s="12" t="str">
        <f t="shared" si="2"/>
        <v>3 Complete Medical Records, 19 Patient Portal Logins</v>
      </c>
      <c r="J623" s="47"/>
      <c r="K623" s="47"/>
      <c r="L623" s="47">
        <v>900.0</v>
      </c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idden="1">
      <c r="A624" s="6" t="s">
        <v>203</v>
      </c>
      <c r="B624" s="16" t="s">
        <v>1121</v>
      </c>
      <c r="C624" s="16" t="s">
        <v>1122</v>
      </c>
      <c r="D624" s="16" t="s">
        <v>1123</v>
      </c>
      <c r="E624" s="324">
        <v>4.0</v>
      </c>
      <c r="F624" s="319">
        <v>4.0</v>
      </c>
      <c r="G624" s="39"/>
      <c r="H624" s="39" t="str">
        <f t="shared" si="9"/>
        <v>#REF!</v>
      </c>
      <c r="I624" s="12" t="str">
        <f t="shared" si="2"/>
        <v>4 Complete Medical Records, 4 Patient Portal Logins</v>
      </c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idden="1">
      <c r="A625" s="6" t="s">
        <v>203</v>
      </c>
      <c r="B625" s="16" t="s">
        <v>1124</v>
      </c>
      <c r="C625" s="16" t="s">
        <v>1125</v>
      </c>
      <c r="D625" s="16" t="s">
        <v>1126</v>
      </c>
      <c r="E625" s="327">
        <v>3.0</v>
      </c>
      <c r="F625" s="319">
        <v>0.0</v>
      </c>
      <c r="G625" s="39"/>
      <c r="H625" s="39" t="str">
        <f t="shared" si="9"/>
        <v>#REF!</v>
      </c>
      <c r="I625" s="12" t="str">
        <f t="shared" si="2"/>
        <v>3 Complete Medical Records, 0 Patient Portal Logins</v>
      </c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idden="1">
      <c r="A626" s="6" t="s">
        <v>203</v>
      </c>
      <c r="B626" s="16" t="s">
        <v>1127</v>
      </c>
      <c r="C626" s="16" t="s">
        <v>1128</v>
      </c>
      <c r="D626" s="16" t="s">
        <v>1129</v>
      </c>
      <c r="E626" s="324">
        <v>4.0</v>
      </c>
      <c r="F626" s="319">
        <v>0.0</v>
      </c>
      <c r="G626" s="39"/>
      <c r="H626" s="39" t="str">
        <f t="shared" si="9"/>
        <v>#REF!</v>
      </c>
      <c r="I626" s="12" t="str">
        <f t="shared" si="2"/>
        <v>4 Complete Medical Records, 0 Patient Portal Logins</v>
      </c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idden="1">
      <c r="A627" s="6" t="s">
        <v>203</v>
      </c>
      <c r="B627" s="16" t="s">
        <v>1130</v>
      </c>
      <c r="C627" s="16" t="s">
        <v>1131</v>
      </c>
      <c r="D627" s="16" t="s">
        <v>1132</v>
      </c>
      <c r="E627" s="324">
        <v>4.0</v>
      </c>
      <c r="F627" s="319">
        <v>0.0</v>
      </c>
      <c r="G627" s="39"/>
      <c r="H627" s="39" t="str">
        <f t="shared" si="9"/>
        <v>#REF!</v>
      </c>
      <c r="I627" s="12" t="str">
        <f t="shared" si="2"/>
        <v>4 Complete Medical Records, 0 Patient Portal Logins</v>
      </c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idden="1">
      <c r="A628" s="6" t="s">
        <v>203</v>
      </c>
      <c r="B628" s="16" t="s">
        <v>1133</v>
      </c>
      <c r="C628" s="16" t="s">
        <v>1134</v>
      </c>
      <c r="D628" s="16" t="s">
        <v>1135</v>
      </c>
      <c r="E628" s="327">
        <v>3.0</v>
      </c>
      <c r="F628" s="319">
        <v>0.0</v>
      </c>
      <c r="G628" s="39"/>
      <c r="H628" s="39" t="str">
        <f t="shared" si="9"/>
        <v>#REF!</v>
      </c>
      <c r="I628" s="12" t="str">
        <f t="shared" si="2"/>
        <v>3 Complete Medical Records, 0 Patient Portal Logins</v>
      </c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idden="1">
      <c r="A629" s="6" t="s">
        <v>203</v>
      </c>
      <c r="B629" s="16" t="s">
        <v>1164</v>
      </c>
      <c r="C629" s="16" t="s">
        <v>1165</v>
      </c>
      <c r="D629" s="16" t="s">
        <v>1166</v>
      </c>
      <c r="E629" s="331"/>
      <c r="F629" s="346"/>
      <c r="G629" s="39"/>
      <c r="H629" s="39" t="str">
        <f t="shared" si="9"/>
        <v>#REF!</v>
      </c>
      <c r="I629" s="12" t="str">
        <f t="shared" si="2"/>
        <v> Complete Medical Records,  Patient Portal Logins</v>
      </c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idden="1">
      <c r="A630" s="6" t="s">
        <v>203</v>
      </c>
      <c r="B630" s="16" t="s">
        <v>1136</v>
      </c>
      <c r="C630" s="16" t="s">
        <v>1137</v>
      </c>
      <c r="D630" s="16" t="s">
        <v>1138</v>
      </c>
      <c r="E630" s="327">
        <v>3.0</v>
      </c>
      <c r="F630" s="319">
        <v>0.0</v>
      </c>
      <c r="G630" s="39"/>
      <c r="H630" s="39" t="str">
        <f t="shared" si="9"/>
        <v>#REF!</v>
      </c>
      <c r="I630" s="12" t="str">
        <f t="shared" si="2"/>
        <v>3 Complete Medical Records, 0 Patient Portal Logins</v>
      </c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idden="1">
      <c r="A631" s="6" t="s">
        <v>203</v>
      </c>
      <c r="B631" s="16" t="s">
        <v>1139</v>
      </c>
      <c r="C631" s="16" t="s">
        <v>1140</v>
      </c>
      <c r="D631" s="16" t="s">
        <v>1141</v>
      </c>
      <c r="E631" s="327">
        <v>3.0</v>
      </c>
      <c r="F631" s="319">
        <v>0.0</v>
      </c>
      <c r="G631" s="39"/>
      <c r="H631" s="39" t="str">
        <f t="shared" si="9"/>
        <v>#REF!</v>
      </c>
      <c r="I631" s="12" t="str">
        <f t="shared" si="2"/>
        <v>3 Complete Medical Records, 0 Patient Portal Logins</v>
      </c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idden="1">
      <c r="A632" s="6" t="s">
        <v>203</v>
      </c>
      <c r="B632" s="16" t="s">
        <v>1142</v>
      </c>
      <c r="C632" s="16" t="s">
        <v>1143</v>
      </c>
      <c r="D632" s="16" t="s">
        <v>1144</v>
      </c>
      <c r="E632" s="262">
        <v>3.0</v>
      </c>
      <c r="F632" s="325">
        <v>9.0</v>
      </c>
      <c r="G632" s="39"/>
      <c r="H632" s="39" t="str">
        <f t="shared" si="9"/>
        <v>#REF!</v>
      </c>
      <c r="I632" s="12" t="str">
        <f t="shared" si="2"/>
        <v>3 Complete Medical Records, 9 Patient Portal Logins</v>
      </c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idden="1">
      <c r="A633" s="6" t="s">
        <v>203</v>
      </c>
      <c r="B633" s="16" t="s">
        <v>1145</v>
      </c>
      <c r="C633" s="16" t="s">
        <v>1146</v>
      </c>
      <c r="D633" s="16" t="s">
        <v>1147</v>
      </c>
      <c r="E633" s="327">
        <v>3.0</v>
      </c>
      <c r="F633" s="319">
        <v>0.0</v>
      </c>
      <c r="G633" s="39"/>
      <c r="H633" s="39" t="str">
        <f t="shared" si="9"/>
        <v>#REF!</v>
      </c>
      <c r="I633" s="12" t="str">
        <f t="shared" si="2"/>
        <v>3 Complete Medical Records, 0 Patient Portal Logins</v>
      </c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idden="1">
      <c r="A634" s="6" t="s">
        <v>203</v>
      </c>
      <c r="B634" s="16" t="s">
        <v>1148</v>
      </c>
      <c r="C634" s="16" t="s">
        <v>1149</v>
      </c>
      <c r="D634" s="16" t="s">
        <v>1150</v>
      </c>
      <c r="E634" s="324">
        <v>8.0</v>
      </c>
      <c r="F634" s="319">
        <v>0.0</v>
      </c>
      <c r="G634" s="39"/>
      <c r="H634" s="39" t="str">
        <f t="shared" si="9"/>
        <v>#REF!</v>
      </c>
      <c r="I634" s="12" t="str">
        <f t="shared" si="2"/>
        <v>8 Complete Medical Records, 0 Patient Portal Logins</v>
      </c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idden="1">
      <c r="A635" s="6" t="s">
        <v>203</v>
      </c>
      <c r="B635" s="16" t="s">
        <v>1151</v>
      </c>
      <c r="C635" s="16" t="s">
        <v>1152</v>
      </c>
      <c r="D635" s="16" t="s">
        <v>1153</v>
      </c>
      <c r="E635" s="324">
        <v>4.0</v>
      </c>
      <c r="F635" s="319">
        <v>0.0</v>
      </c>
      <c r="G635" s="39"/>
      <c r="H635" s="39" t="str">
        <f t="shared" si="9"/>
        <v>#REF!</v>
      </c>
      <c r="I635" s="12" t="str">
        <f t="shared" si="2"/>
        <v>4 Complete Medical Records, 0 Patient Portal Logins</v>
      </c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idden="1">
      <c r="A636" s="6" t="s">
        <v>203</v>
      </c>
      <c r="B636" s="16" t="s">
        <v>1154</v>
      </c>
      <c r="C636" s="16" t="s">
        <v>1155</v>
      </c>
      <c r="D636" s="16" t="s">
        <v>1156</v>
      </c>
      <c r="E636" s="327">
        <v>1.0</v>
      </c>
      <c r="F636" s="325">
        <v>7.0</v>
      </c>
      <c r="G636" s="39"/>
      <c r="H636" s="39" t="str">
        <f t="shared" si="9"/>
        <v>#REF!</v>
      </c>
      <c r="I636" s="12" t="str">
        <f t="shared" si="2"/>
        <v>1 Complete Medical Records, 7 Patient Portal Logins</v>
      </c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idden="1">
      <c r="A637" s="6" t="s">
        <v>203</v>
      </c>
      <c r="B637" s="61" t="s">
        <v>1158</v>
      </c>
      <c r="C637" s="21" t="s">
        <v>1159</v>
      </c>
      <c r="D637" s="21" t="s">
        <v>1160</v>
      </c>
      <c r="E637" s="327">
        <v>3.0</v>
      </c>
      <c r="F637" s="319">
        <v>0.0</v>
      </c>
      <c r="G637" s="39"/>
      <c r="H637" s="39" t="str">
        <f t="shared" si="9"/>
        <v>#REF!</v>
      </c>
      <c r="I637" s="12" t="str">
        <f t="shared" si="2"/>
        <v>3 Complete Medical Records, 0 Patient Portal Logins</v>
      </c>
      <c r="J637" s="53"/>
      <c r="K637" s="53"/>
      <c r="L637" s="53"/>
      <c r="M637" s="47"/>
      <c r="N637" s="53"/>
      <c r="O637" s="53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idden="1">
      <c r="A638" s="6" t="s">
        <v>203</v>
      </c>
      <c r="B638" s="21" t="s">
        <v>1161</v>
      </c>
      <c r="C638" s="21" t="s">
        <v>1162</v>
      </c>
      <c r="D638" s="21" t="s">
        <v>1163</v>
      </c>
      <c r="E638" s="351">
        <v>3.0</v>
      </c>
      <c r="F638" s="316">
        <v>0.0</v>
      </c>
      <c r="G638" s="39"/>
      <c r="H638" s="39" t="str">
        <f t="shared" si="9"/>
        <v>#REF!</v>
      </c>
      <c r="I638" s="12" t="str">
        <f t="shared" si="2"/>
        <v>3 Complete Medical Records, 0 Patient Portal Logins</v>
      </c>
      <c r="J638" s="53"/>
      <c r="K638" s="53"/>
      <c r="L638" s="53"/>
      <c r="M638" s="47"/>
      <c r="N638" s="53"/>
      <c r="O638" s="53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idden="1">
      <c r="A639" s="6" t="s">
        <v>204</v>
      </c>
      <c r="B639" s="16" t="s">
        <v>1058</v>
      </c>
      <c r="C639" s="16" t="s">
        <v>1059</v>
      </c>
      <c r="D639" s="16" t="s">
        <v>1060</v>
      </c>
      <c r="E639" s="312">
        <v>3.0</v>
      </c>
      <c r="F639" s="325">
        <v>0.0</v>
      </c>
      <c r="G639" s="39"/>
      <c r="H639" s="39" t="str">
        <f t="shared" si="9"/>
        <v>#REF!</v>
      </c>
      <c r="I639" s="12" t="str">
        <f t="shared" si="2"/>
        <v>3 Complete Medical Records, 0 Patient Portal Logins</v>
      </c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idden="1">
      <c r="A640" s="6" t="s">
        <v>204</v>
      </c>
      <c r="B640" s="16" t="s">
        <v>1061</v>
      </c>
      <c r="C640" s="16" t="s">
        <v>1062</v>
      </c>
      <c r="D640" s="16" t="s">
        <v>1063</v>
      </c>
      <c r="E640" s="324">
        <v>5.0</v>
      </c>
      <c r="F640" s="325">
        <v>0.0</v>
      </c>
      <c r="G640" s="39"/>
      <c r="H640" s="39" t="str">
        <f t="shared" si="9"/>
        <v>#REF!</v>
      </c>
      <c r="I640" s="12" t="str">
        <f t="shared" si="2"/>
        <v>5 Complete Medical Records, 0 Patient Portal Logins</v>
      </c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idden="1">
      <c r="A641" s="6" t="s">
        <v>204</v>
      </c>
      <c r="B641" s="16" t="s">
        <v>1064</v>
      </c>
      <c r="C641" s="16" t="s">
        <v>1065</v>
      </c>
      <c r="D641" s="16" t="s">
        <v>1066</v>
      </c>
      <c r="E641" s="324">
        <v>5.0</v>
      </c>
      <c r="F641" s="325">
        <v>0.0</v>
      </c>
      <c r="G641" s="39"/>
      <c r="H641" s="39" t="str">
        <f t="shared" si="9"/>
        <v>#REF!</v>
      </c>
      <c r="I641" s="12" t="str">
        <f t="shared" si="2"/>
        <v>5 Complete Medical Records, 0 Patient Portal Logins</v>
      </c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idden="1">
      <c r="A642" s="6" t="s">
        <v>204</v>
      </c>
      <c r="B642" s="16" t="s">
        <v>1067</v>
      </c>
      <c r="C642" s="16" t="s">
        <v>1068</v>
      </c>
      <c r="D642" s="16" t="s">
        <v>1069</v>
      </c>
      <c r="E642" s="324">
        <v>5.0</v>
      </c>
      <c r="F642" s="325">
        <v>0.0</v>
      </c>
      <c r="G642" s="39"/>
      <c r="H642" s="39" t="str">
        <f t="shared" si="9"/>
        <v>#REF!</v>
      </c>
      <c r="I642" s="12" t="str">
        <f t="shared" si="2"/>
        <v>5 Complete Medical Records, 0 Patient Portal Logins</v>
      </c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idden="1">
      <c r="A643" s="6" t="s">
        <v>204</v>
      </c>
      <c r="B643" s="16" t="s">
        <v>1070</v>
      </c>
      <c r="C643" s="16" t="s">
        <v>1071</v>
      </c>
      <c r="D643" s="16" t="s">
        <v>1072</v>
      </c>
      <c r="E643" s="324">
        <v>5.0</v>
      </c>
      <c r="F643" s="325">
        <v>0.0</v>
      </c>
      <c r="G643" s="39"/>
      <c r="H643" s="39" t="str">
        <f t="shared" si="9"/>
        <v>#REF!</v>
      </c>
      <c r="I643" s="12" t="str">
        <f t="shared" si="2"/>
        <v>5 Complete Medical Records, 0 Patient Portal Logins</v>
      </c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idden="1">
      <c r="A644" s="6" t="s">
        <v>204</v>
      </c>
      <c r="B644" s="16" t="s">
        <v>1073</v>
      </c>
      <c r="C644" s="16" t="s">
        <v>1074</v>
      </c>
      <c r="D644" s="16" t="s">
        <v>1075</v>
      </c>
      <c r="E644" s="324">
        <v>5.0</v>
      </c>
      <c r="F644" s="325">
        <v>0.0</v>
      </c>
      <c r="G644" s="39"/>
      <c r="H644" s="39" t="str">
        <f t="shared" si="9"/>
        <v>#REF!</v>
      </c>
      <c r="I644" s="12" t="str">
        <f t="shared" si="2"/>
        <v>5 Complete Medical Records, 0 Patient Portal Logins</v>
      </c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idden="1">
      <c r="A645" s="6" t="s">
        <v>204</v>
      </c>
      <c r="B645" s="16" t="s">
        <v>1076</v>
      </c>
      <c r="C645" s="16" t="s">
        <v>1077</v>
      </c>
      <c r="D645" s="16" t="s">
        <v>1078</v>
      </c>
      <c r="E645" s="324">
        <v>4.0</v>
      </c>
      <c r="F645" s="325">
        <v>0.0</v>
      </c>
      <c r="G645" s="39"/>
      <c r="H645" s="39" t="str">
        <f t="shared" si="9"/>
        <v>#REF!</v>
      </c>
      <c r="I645" s="12" t="str">
        <f t="shared" si="2"/>
        <v>4 Complete Medical Records, 0 Patient Portal Logins</v>
      </c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idden="1">
      <c r="A646" s="6" t="s">
        <v>204</v>
      </c>
      <c r="B646" s="16" t="s">
        <v>1079</v>
      </c>
      <c r="C646" s="16" t="s">
        <v>1080</v>
      </c>
      <c r="D646" s="16" t="s">
        <v>1081</v>
      </c>
      <c r="E646" s="324">
        <v>4.0</v>
      </c>
      <c r="F646" s="325">
        <v>0.0</v>
      </c>
      <c r="G646" s="39"/>
      <c r="H646" s="39" t="str">
        <f t="shared" si="9"/>
        <v>#REF!</v>
      </c>
      <c r="I646" s="12" t="str">
        <f t="shared" si="2"/>
        <v>4 Complete Medical Records, 0 Patient Portal Logins</v>
      </c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idden="1">
      <c r="A647" s="6" t="s">
        <v>204</v>
      </c>
      <c r="B647" s="16" t="s">
        <v>1082</v>
      </c>
      <c r="C647" s="16" t="s">
        <v>1083</v>
      </c>
      <c r="D647" s="16" t="s">
        <v>1084</v>
      </c>
      <c r="E647" s="324">
        <v>4.0</v>
      </c>
      <c r="F647" s="325">
        <v>0.0</v>
      </c>
      <c r="G647" s="39"/>
      <c r="H647" s="39" t="str">
        <f t="shared" si="9"/>
        <v>#REF!</v>
      </c>
      <c r="I647" s="12" t="str">
        <f t="shared" si="2"/>
        <v>4 Complete Medical Records, 0 Patient Portal Logins</v>
      </c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idden="1">
      <c r="A648" s="6" t="s">
        <v>204</v>
      </c>
      <c r="B648" s="16" t="s">
        <v>1085</v>
      </c>
      <c r="C648" s="16" t="s">
        <v>1086</v>
      </c>
      <c r="D648" s="16" t="s">
        <v>1087</v>
      </c>
      <c r="E648" s="324">
        <v>4.0</v>
      </c>
      <c r="F648" s="325">
        <v>0.0</v>
      </c>
      <c r="G648" s="39"/>
      <c r="H648" s="39" t="str">
        <f t="shared" si="9"/>
        <v>#REF!</v>
      </c>
      <c r="I648" s="12" t="str">
        <f t="shared" si="2"/>
        <v>4 Complete Medical Records, 0 Patient Portal Logins</v>
      </c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idden="1">
      <c r="A649" s="6" t="s">
        <v>204</v>
      </c>
      <c r="B649" s="16" t="s">
        <v>1088</v>
      </c>
      <c r="C649" s="16" t="s">
        <v>1089</v>
      </c>
      <c r="D649" s="16" t="s">
        <v>1090</v>
      </c>
      <c r="E649" s="324">
        <v>3.0</v>
      </c>
      <c r="F649" s="325">
        <v>0.0</v>
      </c>
      <c r="G649" s="39"/>
      <c r="H649" s="39" t="str">
        <f t="shared" si="9"/>
        <v>#REF!</v>
      </c>
      <c r="I649" s="12" t="str">
        <f t="shared" si="2"/>
        <v>3 Complete Medical Records, 0 Patient Portal Logins</v>
      </c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idden="1">
      <c r="A650" s="6" t="s">
        <v>204</v>
      </c>
      <c r="B650" s="16" t="s">
        <v>1091</v>
      </c>
      <c r="C650" s="16" t="s">
        <v>1092</v>
      </c>
      <c r="D650" s="16" t="s">
        <v>1093</v>
      </c>
      <c r="E650" s="324">
        <v>3.0</v>
      </c>
      <c r="F650" s="325">
        <v>0.0</v>
      </c>
      <c r="G650" s="39"/>
      <c r="H650" s="39" t="str">
        <f t="shared" si="9"/>
        <v>#REF!</v>
      </c>
      <c r="I650" s="39" t="str">
        <f t="shared" si="2"/>
        <v>3 Complete Medical Records, 0 Patient Portal Logins</v>
      </c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idden="1">
      <c r="A651" s="6" t="s">
        <v>204</v>
      </c>
      <c r="B651" s="16" t="s">
        <v>1094</v>
      </c>
      <c r="C651" s="16" t="s">
        <v>1095</v>
      </c>
      <c r="D651" s="16" t="s">
        <v>1096</v>
      </c>
      <c r="E651" s="324">
        <v>3.0</v>
      </c>
      <c r="F651" s="325">
        <v>4.0</v>
      </c>
      <c r="G651" s="39"/>
      <c r="H651" s="39" t="str">
        <f t="shared" si="9"/>
        <v>#REF!</v>
      </c>
      <c r="I651" s="12" t="str">
        <f t="shared" si="2"/>
        <v>3 Complete Medical Records, 4 Patient Portal Logins</v>
      </c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idden="1">
      <c r="A652" s="6" t="s">
        <v>204</v>
      </c>
      <c r="B652" s="16" t="s">
        <v>1097</v>
      </c>
      <c r="C652" s="16" t="s">
        <v>1098</v>
      </c>
      <c r="D652" s="16" t="s">
        <v>1099</v>
      </c>
      <c r="E652" s="324">
        <v>4.0</v>
      </c>
      <c r="F652" s="325">
        <v>0.0</v>
      </c>
      <c r="G652" s="39"/>
      <c r="H652" s="39" t="str">
        <f t="shared" si="9"/>
        <v>#REF!</v>
      </c>
      <c r="I652" s="12" t="str">
        <f t="shared" si="2"/>
        <v>4 Complete Medical Records, 0 Patient Portal Logins</v>
      </c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idden="1">
      <c r="A653" s="6" t="s">
        <v>204</v>
      </c>
      <c r="B653" s="16" t="s">
        <v>255</v>
      </c>
      <c r="C653" s="16" t="s">
        <v>256</v>
      </c>
      <c r="D653" s="16" t="s">
        <v>257</v>
      </c>
      <c r="E653" s="324">
        <v>4.0</v>
      </c>
      <c r="F653" s="325">
        <v>0.0</v>
      </c>
      <c r="G653" s="39"/>
      <c r="H653" s="39" t="str">
        <f t="shared" si="9"/>
        <v>#REF!</v>
      </c>
      <c r="I653" s="12" t="str">
        <f t="shared" si="2"/>
        <v>4 Complete Medical Records, 0 Patient Portal Logins</v>
      </c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idden="1">
      <c r="A654" s="6" t="s">
        <v>204</v>
      </c>
      <c r="B654" s="16" t="s">
        <v>1100</v>
      </c>
      <c r="C654" s="16" t="s">
        <v>1101</v>
      </c>
      <c r="D654" s="16" t="s">
        <v>1102</v>
      </c>
      <c r="E654" s="324">
        <v>4.0</v>
      </c>
      <c r="F654" s="325">
        <v>0.0</v>
      </c>
      <c r="G654" s="39"/>
      <c r="H654" s="39" t="str">
        <f t="shared" si="9"/>
        <v>#REF!</v>
      </c>
      <c r="I654" s="12" t="str">
        <f t="shared" si="2"/>
        <v>4 Complete Medical Records, 0 Patient Portal Logins</v>
      </c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idden="1">
      <c r="A655" s="6" t="s">
        <v>204</v>
      </c>
      <c r="B655" s="16" t="s">
        <v>1103</v>
      </c>
      <c r="C655" s="16" t="s">
        <v>1104</v>
      </c>
      <c r="D655" s="16" t="s">
        <v>1105</v>
      </c>
      <c r="E655" s="324">
        <v>5.0</v>
      </c>
      <c r="F655" s="325">
        <v>0.0</v>
      </c>
      <c r="G655" s="39"/>
      <c r="H655" s="39" t="str">
        <f t="shared" si="9"/>
        <v>#REF!</v>
      </c>
      <c r="I655" s="12" t="str">
        <f t="shared" si="2"/>
        <v>5 Complete Medical Records, 0 Patient Portal Logins</v>
      </c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idden="1">
      <c r="A656" s="6" t="s">
        <v>204</v>
      </c>
      <c r="B656" s="16" t="s">
        <v>1106</v>
      </c>
      <c r="C656" s="16" t="s">
        <v>1107</v>
      </c>
      <c r="D656" s="16" t="s">
        <v>1108</v>
      </c>
      <c r="E656" s="324">
        <v>3.0</v>
      </c>
      <c r="F656" s="325">
        <v>1.0</v>
      </c>
      <c r="G656" s="39"/>
      <c r="H656" s="39" t="str">
        <f t="shared" si="9"/>
        <v>#REF!</v>
      </c>
      <c r="I656" s="12" t="str">
        <f t="shared" si="2"/>
        <v>3 Complete Medical Records, 1 Patient Portal Logins</v>
      </c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idden="1">
      <c r="A657" s="6" t="s">
        <v>204</v>
      </c>
      <c r="B657" s="16" t="s">
        <v>1109</v>
      </c>
      <c r="C657" s="16" t="s">
        <v>1110</v>
      </c>
      <c r="D657" s="16" t="s">
        <v>1111</v>
      </c>
      <c r="E657" s="324">
        <v>4.0</v>
      </c>
      <c r="F657" s="325">
        <v>0.0</v>
      </c>
      <c r="G657" s="39"/>
      <c r="H657" s="39" t="str">
        <f t="shared" si="9"/>
        <v>#REF!</v>
      </c>
      <c r="I657" s="12" t="str">
        <f t="shared" si="2"/>
        <v>4 Complete Medical Records, 0 Patient Portal Logins</v>
      </c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idden="1">
      <c r="A658" s="6" t="s">
        <v>204</v>
      </c>
      <c r="B658" s="16" t="s">
        <v>1112</v>
      </c>
      <c r="C658" s="16" t="s">
        <v>1113</v>
      </c>
      <c r="D658" s="16" t="s">
        <v>1114</v>
      </c>
      <c r="E658" s="324">
        <v>4.0</v>
      </c>
      <c r="F658" s="325">
        <v>0.0</v>
      </c>
      <c r="G658" s="39"/>
      <c r="H658" s="39" t="str">
        <f t="shared" si="9"/>
        <v>#REF!</v>
      </c>
      <c r="I658" s="12" t="str">
        <f t="shared" si="2"/>
        <v>4 Complete Medical Records, 0 Patient Portal Logins</v>
      </c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idden="1">
      <c r="A659" s="6" t="s">
        <v>204</v>
      </c>
      <c r="B659" s="16" t="s">
        <v>1115</v>
      </c>
      <c r="C659" s="16" t="s">
        <v>1116</v>
      </c>
      <c r="D659" s="16" t="s">
        <v>1117</v>
      </c>
      <c r="E659" s="324">
        <v>5.0</v>
      </c>
      <c r="F659" s="325">
        <v>10.0</v>
      </c>
      <c r="G659" s="39"/>
      <c r="H659" s="39" t="str">
        <f t="shared" si="9"/>
        <v>#REF!</v>
      </c>
      <c r="I659" s="12" t="str">
        <f t="shared" si="2"/>
        <v>5 Complete Medical Records, 10 Patient Portal Logins</v>
      </c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idden="1">
      <c r="A660" s="6" t="s">
        <v>204</v>
      </c>
      <c r="B660" s="16" t="s">
        <v>1118</v>
      </c>
      <c r="C660" s="16" t="s">
        <v>1119</v>
      </c>
      <c r="D660" s="16" t="s">
        <v>1120</v>
      </c>
      <c r="E660" s="327">
        <v>4.0</v>
      </c>
      <c r="F660" s="325">
        <v>11.0</v>
      </c>
      <c r="G660" s="39"/>
      <c r="H660" s="39" t="str">
        <f t="shared" si="9"/>
        <v>#REF!</v>
      </c>
      <c r="I660" s="12" t="str">
        <f t="shared" si="2"/>
        <v>4 Complete Medical Records, 11 Patient Portal Logins</v>
      </c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idden="1">
      <c r="A661" s="6" t="s">
        <v>204</v>
      </c>
      <c r="B661" s="16" t="s">
        <v>1121</v>
      </c>
      <c r="C661" s="16" t="s">
        <v>1122</v>
      </c>
      <c r="D661" s="16" t="s">
        <v>1123</v>
      </c>
      <c r="E661" s="310">
        <v>4.0</v>
      </c>
      <c r="F661" s="315">
        <v>9.0</v>
      </c>
      <c r="G661" s="39"/>
      <c r="H661" s="39" t="str">
        <f t="shared" si="9"/>
        <v>#REF!</v>
      </c>
      <c r="I661" s="12" t="str">
        <f t="shared" si="2"/>
        <v>4 Complete Medical Records, 9 Patient Portal Logins</v>
      </c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idden="1">
      <c r="A662" s="6" t="s">
        <v>204</v>
      </c>
      <c r="B662" s="16" t="s">
        <v>1124</v>
      </c>
      <c r="C662" s="16" t="s">
        <v>1125</v>
      </c>
      <c r="D662" s="16" t="s">
        <v>1126</v>
      </c>
      <c r="E662" s="324">
        <v>3.0</v>
      </c>
      <c r="F662" s="325">
        <v>0.0</v>
      </c>
      <c r="G662" s="39"/>
      <c r="H662" s="39" t="str">
        <f t="shared" si="9"/>
        <v>#REF!</v>
      </c>
      <c r="I662" s="12" t="str">
        <f t="shared" si="2"/>
        <v>3 Complete Medical Records, 0 Patient Portal Logins</v>
      </c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idden="1">
      <c r="A663" s="6" t="s">
        <v>204</v>
      </c>
      <c r="B663" s="16" t="s">
        <v>1127</v>
      </c>
      <c r="C663" s="16" t="s">
        <v>1128</v>
      </c>
      <c r="D663" s="16" t="s">
        <v>1129</v>
      </c>
      <c r="E663" s="324">
        <v>4.0</v>
      </c>
      <c r="F663" s="325">
        <v>0.0</v>
      </c>
      <c r="G663" s="39"/>
      <c r="H663" s="39" t="str">
        <f t="shared" si="9"/>
        <v>#REF!</v>
      </c>
      <c r="I663" s="12" t="str">
        <f t="shared" si="2"/>
        <v>4 Complete Medical Records, 0 Patient Portal Logins</v>
      </c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idden="1">
      <c r="A664" s="6" t="s">
        <v>204</v>
      </c>
      <c r="B664" s="16" t="s">
        <v>1130</v>
      </c>
      <c r="C664" s="16" t="s">
        <v>1131</v>
      </c>
      <c r="D664" s="16" t="s">
        <v>1132</v>
      </c>
      <c r="E664" s="324">
        <v>4.0</v>
      </c>
      <c r="F664" s="325">
        <v>0.0</v>
      </c>
      <c r="G664" s="39"/>
      <c r="H664" s="39" t="str">
        <f t="shared" si="9"/>
        <v>#REF!</v>
      </c>
      <c r="I664" s="12" t="str">
        <f t="shared" si="2"/>
        <v>4 Complete Medical Records, 0 Patient Portal Logins</v>
      </c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idden="1">
      <c r="A665" s="6" t="s">
        <v>204</v>
      </c>
      <c r="B665" s="16" t="s">
        <v>1133</v>
      </c>
      <c r="C665" s="16" t="s">
        <v>1134</v>
      </c>
      <c r="D665" s="16" t="s">
        <v>1135</v>
      </c>
      <c r="E665" s="324">
        <v>3.0</v>
      </c>
      <c r="F665" s="325">
        <v>0.0</v>
      </c>
      <c r="G665" s="39"/>
      <c r="H665" s="39" t="str">
        <f t="shared" si="9"/>
        <v>#REF!</v>
      </c>
      <c r="I665" s="12" t="str">
        <f t="shared" si="2"/>
        <v>3 Complete Medical Records, 0 Patient Portal Logins</v>
      </c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idden="1">
      <c r="A666" s="6" t="s">
        <v>204</v>
      </c>
      <c r="B666" s="16" t="s">
        <v>1164</v>
      </c>
      <c r="C666" s="16" t="s">
        <v>1165</v>
      </c>
      <c r="D666" s="16" t="s">
        <v>1166</v>
      </c>
      <c r="E666" s="331"/>
      <c r="F666" s="346"/>
      <c r="G666" s="39"/>
      <c r="H666" s="39" t="str">
        <f t="shared" si="9"/>
        <v>#REF!</v>
      </c>
      <c r="I666" s="12" t="str">
        <f t="shared" si="2"/>
        <v> Complete Medical Records,  Patient Portal Logins</v>
      </c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idden="1">
      <c r="A667" s="6" t="s">
        <v>204</v>
      </c>
      <c r="B667" s="16" t="s">
        <v>1136</v>
      </c>
      <c r="C667" s="16" t="s">
        <v>1137</v>
      </c>
      <c r="D667" s="16" t="s">
        <v>1138</v>
      </c>
      <c r="E667" s="324">
        <v>4.0</v>
      </c>
      <c r="F667" s="325">
        <v>0.0</v>
      </c>
      <c r="G667" s="39"/>
      <c r="H667" s="39" t="str">
        <f t="shared" si="9"/>
        <v>#REF!</v>
      </c>
      <c r="I667" s="12" t="str">
        <f t="shared" si="2"/>
        <v>4 Complete Medical Records, 0 Patient Portal Logins</v>
      </c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idden="1">
      <c r="A668" s="6" t="s">
        <v>204</v>
      </c>
      <c r="B668" s="16" t="s">
        <v>1139</v>
      </c>
      <c r="C668" s="16" t="s">
        <v>1140</v>
      </c>
      <c r="D668" s="16" t="s">
        <v>1141</v>
      </c>
      <c r="E668" s="327">
        <v>4.0</v>
      </c>
      <c r="F668" s="325">
        <v>8.0</v>
      </c>
      <c r="G668" s="39"/>
      <c r="H668" s="39" t="str">
        <f t="shared" si="9"/>
        <v>#REF!</v>
      </c>
      <c r="I668" s="12" t="str">
        <f t="shared" si="2"/>
        <v>4 Complete Medical Records, 8 Patient Portal Logins</v>
      </c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idden="1">
      <c r="A669" s="6" t="s">
        <v>204</v>
      </c>
      <c r="B669" s="16" t="s">
        <v>1142</v>
      </c>
      <c r="C669" s="16" t="s">
        <v>1143</v>
      </c>
      <c r="D669" s="16" t="s">
        <v>1144</v>
      </c>
      <c r="E669" s="324">
        <v>3.0</v>
      </c>
      <c r="F669" s="325">
        <v>7.0</v>
      </c>
      <c r="G669" s="39"/>
      <c r="H669" s="39" t="str">
        <f t="shared" si="9"/>
        <v>#REF!</v>
      </c>
      <c r="I669" s="12" t="str">
        <f t="shared" si="2"/>
        <v>3 Complete Medical Records, 7 Patient Portal Logins</v>
      </c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idden="1">
      <c r="A670" s="6" t="s">
        <v>204</v>
      </c>
      <c r="B670" s="16" t="s">
        <v>1145</v>
      </c>
      <c r="C670" s="16" t="s">
        <v>1146</v>
      </c>
      <c r="D670" s="16" t="s">
        <v>1147</v>
      </c>
      <c r="E670" s="327">
        <v>4.0</v>
      </c>
      <c r="F670" s="325">
        <v>8.0</v>
      </c>
      <c r="G670" s="39"/>
      <c r="H670" s="39" t="str">
        <f t="shared" si="9"/>
        <v>#REF!</v>
      </c>
      <c r="I670" s="12" t="str">
        <f t="shared" si="2"/>
        <v>4 Complete Medical Records, 8 Patient Portal Logins</v>
      </c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idden="1">
      <c r="A671" s="6" t="s">
        <v>204</v>
      </c>
      <c r="B671" s="16" t="s">
        <v>1148</v>
      </c>
      <c r="C671" s="16" t="s">
        <v>1149</v>
      </c>
      <c r="D671" s="16" t="s">
        <v>1150</v>
      </c>
      <c r="E671" s="324">
        <v>5.0</v>
      </c>
      <c r="F671" s="325">
        <v>5.0</v>
      </c>
      <c r="G671" s="39"/>
      <c r="H671" s="39" t="str">
        <f t="shared" si="9"/>
        <v>#REF!</v>
      </c>
      <c r="I671" s="12" t="str">
        <f t="shared" si="2"/>
        <v>5 Complete Medical Records, 5 Patient Portal Logins</v>
      </c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idden="1">
      <c r="A672" s="6" t="s">
        <v>204</v>
      </c>
      <c r="B672" s="16" t="s">
        <v>1151</v>
      </c>
      <c r="C672" s="16" t="s">
        <v>1152</v>
      </c>
      <c r="D672" s="16" t="s">
        <v>1153</v>
      </c>
      <c r="E672" s="324">
        <v>4.0</v>
      </c>
      <c r="F672" s="325">
        <v>0.0</v>
      </c>
      <c r="G672" s="39"/>
      <c r="H672" s="39" t="str">
        <f t="shared" si="9"/>
        <v>#REF!</v>
      </c>
      <c r="I672" s="12" t="str">
        <f t="shared" si="2"/>
        <v>4 Complete Medical Records, 0 Patient Portal Logins</v>
      </c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idden="1">
      <c r="A673" s="6" t="s">
        <v>204</v>
      </c>
      <c r="B673" s="16" t="s">
        <v>1154</v>
      </c>
      <c r="C673" s="16" t="s">
        <v>1155</v>
      </c>
      <c r="D673" s="16" t="s">
        <v>1156</v>
      </c>
      <c r="E673" s="350">
        <v>0.0</v>
      </c>
      <c r="F673" s="325">
        <v>2.0</v>
      </c>
      <c r="G673" s="39"/>
      <c r="H673" s="39" t="str">
        <f t="shared" si="9"/>
        <v>#REF!</v>
      </c>
      <c r="I673" s="12" t="str">
        <f t="shared" si="2"/>
        <v>0 Complete Medical Records, 2 Patient Portal Logins</v>
      </c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idden="1">
      <c r="A674" s="6" t="s">
        <v>204</v>
      </c>
      <c r="B674" s="61" t="s">
        <v>1158</v>
      </c>
      <c r="C674" s="21" t="s">
        <v>1159</v>
      </c>
      <c r="D674" s="21" t="s">
        <v>1160</v>
      </c>
      <c r="E674" s="324">
        <v>4.0</v>
      </c>
      <c r="F674" s="325">
        <v>1.0</v>
      </c>
      <c r="G674" s="39"/>
      <c r="H674" s="39" t="str">
        <f t="shared" si="9"/>
        <v>#REF!</v>
      </c>
      <c r="I674" s="12" t="str">
        <f t="shared" si="2"/>
        <v>4 Complete Medical Records, 1 Patient Portal Logins</v>
      </c>
      <c r="J674" s="53"/>
      <c r="K674" s="53"/>
      <c r="L674" s="53"/>
      <c r="M674" s="47"/>
      <c r="N674" s="53"/>
      <c r="O674" s="53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idden="1">
      <c r="A675" s="6" t="s">
        <v>204</v>
      </c>
      <c r="B675" s="21" t="s">
        <v>1161</v>
      </c>
      <c r="C675" s="21" t="s">
        <v>1162</v>
      </c>
      <c r="D675" s="21" t="s">
        <v>1163</v>
      </c>
      <c r="E675" s="324">
        <v>3.0</v>
      </c>
      <c r="F675" s="325">
        <v>0.0</v>
      </c>
      <c r="G675" s="39"/>
      <c r="H675" s="39" t="str">
        <f t="shared" si="9"/>
        <v>#REF!</v>
      </c>
      <c r="I675" s="12" t="str">
        <f t="shared" si="2"/>
        <v>3 Complete Medical Records, 0 Patient Portal Logins</v>
      </c>
      <c r="J675" s="53"/>
      <c r="K675" s="53"/>
      <c r="L675" s="53"/>
      <c r="M675" s="47"/>
      <c r="N675" s="53"/>
      <c r="O675" s="53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idden="1">
      <c r="A676" s="6" t="s">
        <v>1176</v>
      </c>
      <c r="B676" s="16" t="s">
        <v>1058</v>
      </c>
      <c r="C676" s="16" t="s">
        <v>1059</v>
      </c>
      <c r="D676" s="16" t="s">
        <v>1060</v>
      </c>
      <c r="E676" s="352">
        <v>4.0</v>
      </c>
      <c r="F676" s="330">
        <v>0.0</v>
      </c>
      <c r="G676" s="39"/>
      <c r="H676" s="39" t="str">
        <f t="shared" si="9"/>
        <v>#REF!</v>
      </c>
      <c r="I676" s="12" t="str">
        <f t="shared" si="2"/>
        <v>4 Complete Medical Records, 0 Patient Portal Logins</v>
      </c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hidden="1">
      <c r="A677" s="6" t="s">
        <v>1176</v>
      </c>
      <c r="B677" s="16" t="s">
        <v>1061</v>
      </c>
      <c r="C677" s="16" t="s">
        <v>1062</v>
      </c>
      <c r="D677" s="16" t="s">
        <v>1063</v>
      </c>
      <c r="E677" s="310">
        <v>17.0</v>
      </c>
      <c r="F677" s="330">
        <v>0.0</v>
      </c>
      <c r="G677" s="39"/>
      <c r="H677" s="39" t="str">
        <f t="shared" si="9"/>
        <v>#REF!</v>
      </c>
      <c r="I677" s="12" t="str">
        <f t="shared" si="2"/>
        <v>17 Complete Medical Records, 0 Patient Portal Logins</v>
      </c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hidden="1">
      <c r="A678" s="6" t="s">
        <v>1176</v>
      </c>
      <c r="B678" s="16" t="s">
        <v>1064</v>
      </c>
      <c r="C678" s="16" t="s">
        <v>1065</v>
      </c>
      <c r="D678" s="16" t="s">
        <v>1066</v>
      </c>
      <c r="E678" s="310">
        <v>17.0</v>
      </c>
      <c r="F678" s="330">
        <v>0.0</v>
      </c>
      <c r="G678" s="39"/>
      <c r="H678" s="39" t="str">
        <f t="shared" si="9"/>
        <v>#REF!</v>
      </c>
      <c r="I678" s="12" t="str">
        <f t="shared" si="2"/>
        <v>17 Complete Medical Records, 0 Patient Portal Logins</v>
      </c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hidden="1">
      <c r="A679" s="6" t="s">
        <v>1176</v>
      </c>
      <c r="B679" s="16" t="s">
        <v>1067</v>
      </c>
      <c r="C679" s="16" t="s">
        <v>1068</v>
      </c>
      <c r="D679" s="16" t="s">
        <v>1069</v>
      </c>
      <c r="E679" s="310">
        <v>17.0</v>
      </c>
      <c r="F679" s="315">
        <v>0.0</v>
      </c>
      <c r="G679" s="39"/>
      <c r="H679" s="39" t="str">
        <f t="shared" si="9"/>
        <v>#REF!</v>
      </c>
      <c r="I679" s="12" t="str">
        <f t="shared" si="2"/>
        <v>17 Complete Medical Records, 0 Patient Portal Logins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hidden="1">
      <c r="A680" s="6" t="s">
        <v>1176</v>
      </c>
      <c r="B680" s="16" t="s">
        <v>1070</v>
      </c>
      <c r="C680" s="16" t="s">
        <v>1071</v>
      </c>
      <c r="D680" s="16" t="s">
        <v>1072</v>
      </c>
      <c r="E680" s="310">
        <v>17.0</v>
      </c>
      <c r="F680" s="315">
        <v>0.0</v>
      </c>
      <c r="G680" s="39"/>
      <c r="H680" s="39" t="str">
        <f t="shared" si="9"/>
        <v>#REF!</v>
      </c>
      <c r="I680" s="12" t="str">
        <f t="shared" si="2"/>
        <v>17 Complete Medical Records, 0 Patient Portal Logins</v>
      </c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hidden="1">
      <c r="A681" s="6" t="s">
        <v>1176</v>
      </c>
      <c r="B681" s="16" t="s">
        <v>1073</v>
      </c>
      <c r="C681" s="16" t="s">
        <v>1074</v>
      </c>
      <c r="D681" s="16" t="s">
        <v>1075</v>
      </c>
      <c r="E681" s="310">
        <v>17.0</v>
      </c>
      <c r="F681" s="315">
        <v>0.0</v>
      </c>
      <c r="G681" s="39"/>
      <c r="H681" s="39" t="str">
        <f t="shared" si="9"/>
        <v>#REF!</v>
      </c>
      <c r="I681" s="12" t="str">
        <f t="shared" si="2"/>
        <v>17 Complete Medical Records, 0 Patient Portal Logins</v>
      </c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hidden="1">
      <c r="A682" s="6" t="s">
        <v>1176</v>
      </c>
      <c r="B682" s="16" t="s">
        <v>1076</v>
      </c>
      <c r="C682" s="16" t="s">
        <v>1077</v>
      </c>
      <c r="D682" s="16" t="s">
        <v>1078</v>
      </c>
      <c r="E682" s="322">
        <v>19.0</v>
      </c>
      <c r="F682" s="330">
        <v>0.0</v>
      </c>
      <c r="G682" s="39"/>
      <c r="H682" s="39" t="str">
        <f t="shared" si="9"/>
        <v>#REF!</v>
      </c>
      <c r="I682" s="12" t="str">
        <f t="shared" si="2"/>
        <v>19 Complete Medical Records, 0 Patient Portal Logins</v>
      </c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hidden="1">
      <c r="A683" s="6" t="s">
        <v>1176</v>
      </c>
      <c r="B683" s="16" t="s">
        <v>1079</v>
      </c>
      <c r="C683" s="16" t="s">
        <v>1080</v>
      </c>
      <c r="D683" s="16" t="s">
        <v>1081</v>
      </c>
      <c r="E683" s="310">
        <v>19.0</v>
      </c>
      <c r="F683" s="330">
        <v>0.0</v>
      </c>
      <c r="G683" s="39"/>
      <c r="H683" s="39" t="str">
        <f t="shared" si="9"/>
        <v>#REF!</v>
      </c>
      <c r="I683" s="12" t="str">
        <f t="shared" si="2"/>
        <v>19 Complete Medical Records, 0 Patient Portal Logins</v>
      </c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hidden="1">
      <c r="A684" s="6" t="s">
        <v>1176</v>
      </c>
      <c r="B684" s="16" t="s">
        <v>1082</v>
      </c>
      <c r="C684" s="16" t="s">
        <v>1083</v>
      </c>
      <c r="D684" s="16" t="s">
        <v>1084</v>
      </c>
      <c r="E684" s="310">
        <v>19.0</v>
      </c>
      <c r="F684" s="330">
        <v>0.0</v>
      </c>
      <c r="G684" s="39"/>
      <c r="H684" s="39" t="str">
        <f t="shared" si="9"/>
        <v>#REF!</v>
      </c>
      <c r="I684" s="12" t="str">
        <f t="shared" si="2"/>
        <v>19 Complete Medical Records, 0 Patient Portal Logins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hidden="1">
      <c r="A685" s="6" t="s">
        <v>1176</v>
      </c>
      <c r="B685" s="16" t="s">
        <v>1085</v>
      </c>
      <c r="C685" s="16" t="s">
        <v>1086</v>
      </c>
      <c r="D685" s="16" t="s">
        <v>1087</v>
      </c>
      <c r="E685" s="306">
        <v>1.0</v>
      </c>
      <c r="F685" s="229">
        <v>0.0</v>
      </c>
      <c r="G685" s="39"/>
      <c r="H685" s="39" t="str">
        <f t="shared" si="9"/>
        <v>#REF!</v>
      </c>
      <c r="I685" s="12" t="str">
        <f t="shared" si="2"/>
        <v>1 Complete Medical Records, 0 Patient Portal Logins</v>
      </c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hidden="1">
      <c r="A686" s="6" t="s">
        <v>1176</v>
      </c>
      <c r="B686" s="16" t="s">
        <v>1088</v>
      </c>
      <c r="C686" s="16" t="s">
        <v>1089</v>
      </c>
      <c r="D686" s="16" t="s">
        <v>1090</v>
      </c>
      <c r="E686" s="306">
        <v>21.0</v>
      </c>
      <c r="F686" s="314">
        <v>2.0</v>
      </c>
      <c r="G686" s="39"/>
      <c r="H686" s="39" t="str">
        <f t="shared" si="9"/>
        <v>#REF!</v>
      </c>
      <c r="I686" s="12" t="str">
        <f t="shared" si="2"/>
        <v>21 Complete Medical Records, 2 Patient Portal Logins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hidden="1">
      <c r="A687" s="6" t="s">
        <v>1176</v>
      </c>
      <c r="B687" s="16" t="s">
        <v>1091</v>
      </c>
      <c r="C687" s="16" t="s">
        <v>1092</v>
      </c>
      <c r="D687" s="16" t="s">
        <v>1093</v>
      </c>
      <c r="E687" s="306">
        <v>21.0</v>
      </c>
      <c r="F687" s="314">
        <v>0.0</v>
      </c>
      <c r="G687" s="39"/>
      <c r="H687" s="39" t="str">
        <f t="shared" si="9"/>
        <v>#REF!</v>
      </c>
      <c r="I687" s="39" t="str">
        <f t="shared" si="2"/>
        <v>21 Complete Medical Records, 0 Patient Portal Logins</v>
      </c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hidden="1">
      <c r="A688" s="6" t="s">
        <v>1176</v>
      </c>
      <c r="B688" s="16" t="s">
        <v>1094</v>
      </c>
      <c r="C688" s="16" t="s">
        <v>1095</v>
      </c>
      <c r="D688" s="16" t="s">
        <v>1096</v>
      </c>
      <c r="E688" s="306">
        <v>21.0</v>
      </c>
      <c r="F688" s="314">
        <v>1.0</v>
      </c>
      <c r="G688" s="39"/>
      <c r="H688" s="39" t="str">
        <f t="shared" si="9"/>
        <v>#REF!</v>
      </c>
      <c r="I688" s="12" t="str">
        <f t="shared" si="2"/>
        <v>21 Complete Medical Records, 1 Patient Portal Logins</v>
      </c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hidden="1">
      <c r="A689" s="6" t="s">
        <v>1176</v>
      </c>
      <c r="B689" s="16" t="s">
        <v>1097</v>
      </c>
      <c r="C689" s="16" t="s">
        <v>1098</v>
      </c>
      <c r="D689" s="16" t="s">
        <v>1099</v>
      </c>
      <c r="E689" s="352">
        <v>0.0</v>
      </c>
      <c r="F689" s="317">
        <v>2.0</v>
      </c>
      <c r="G689" s="39"/>
      <c r="H689" s="39" t="str">
        <f t="shared" si="9"/>
        <v>#REF!</v>
      </c>
      <c r="I689" s="12" t="str">
        <f t="shared" si="2"/>
        <v>0 Complete Medical Records, 2 Patient Portal Logins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hidden="1">
      <c r="A690" s="6" t="s">
        <v>1176</v>
      </c>
      <c r="B690" s="16" t="s">
        <v>255</v>
      </c>
      <c r="C690" s="16" t="s">
        <v>256</v>
      </c>
      <c r="D690" s="16" t="s">
        <v>257</v>
      </c>
      <c r="E690" s="353">
        <v>19.0</v>
      </c>
      <c r="F690" s="317">
        <v>0.0</v>
      </c>
      <c r="G690" s="39"/>
      <c r="H690" s="39" t="str">
        <f t="shared" si="9"/>
        <v>#REF!</v>
      </c>
      <c r="I690" s="12" t="str">
        <f t="shared" si="2"/>
        <v>19 Complete Medical Records, 0 Patient Portal Logins</v>
      </c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hidden="1">
      <c r="A691" s="6" t="s">
        <v>1176</v>
      </c>
      <c r="B691" s="16" t="s">
        <v>1100</v>
      </c>
      <c r="C691" s="16" t="s">
        <v>1101</v>
      </c>
      <c r="D691" s="16" t="s">
        <v>1102</v>
      </c>
      <c r="E691" s="312">
        <v>19.0</v>
      </c>
      <c r="F691" s="340">
        <v>1.0</v>
      </c>
      <c r="G691" s="39"/>
      <c r="H691" s="39" t="str">
        <f t="shared" si="9"/>
        <v>#REF!</v>
      </c>
      <c r="I691" s="12" t="str">
        <f t="shared" si="2"/>
        <v>19 Complete Medical Records, 1 Patient Portal Logins</v>
      </c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hidden="1">
      <c r="A692" s="6" t="s">
        <v>1176</v>
      </c>
      <c r="B692" s="16" t="s">
        <v>1103</v>
      </c>
      <c r="C692" s="16" t="s">
        <v>1104</v>
      </c>
      <c r="D692" s="16" t="s">
        <v>1105</v>
      </c>
      <c r="E692" s="310">
        <v>17.0</v>
      </c>
      <c r="F692" s="330">
        <v>0.0</v>
      </c>
      <c r="G692" s="39"/>
      <c r="H692" s="39" t="str">
        <f t="shared" si="9"/>
        <v>#REF!</v>
      </c>
      <c r="I692" s="12" t="str">
        <f t="shared" si="2"/>
        <v>17 Complete Medical Records, 0 Patient Portal Logins</v>
      </c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hidden="1">
      <c r="A693" s="6" t="s">
        <v>1176</v>
      </c>
      <c r="B693" s="16" t="s">
        <v>1106</v>
      </c>
      <c r="C693" s="16" t="s">
        <v>1107</v>
      </c>
      <c r="D693" s="16" t="s">
        <v>1108</v>
      </c>
      <c r="E693" s="306">
        <v>21.0</v>
      </c>
      <c r="F693" s="314">
        <v>2.0</v>
      </c>
      <c r="G693" s="39"/>
      <c r="H693" s="39" t="str">
        <f t="shared" si="9"/>
        <v>#REF!</v>
      </c>
      <c r="I693" s="12" t="str">
        <f t="shared" si="2"/>
        <v>21 Complete Medical Records, 2 Patient Portal Logins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hidden="1">
      <c r="A694" s="6" t="s">
        <v>1176</v>
      </c>
      <c r="B694" s="16" t="s">
        <v>1109</v>
      </c>
      <c r="C694" s="16" t="s">
        <v>1110</v>
      </c>
      <c r="D694" s="16" t="s">
        <v>1111</v>
      </c>
      <c r="E694" s="310">
        <v>19.0</v>
      </c>
      <c r="F694" s="330">
        <v>0.0</v>
      </c>
      <c r="G694" s="39"/>
      <c r="H694" s="39" t="str">
        <f t="shared" si="9"/>
        <v>#REF!</v>
      </c>
      <c r="I694" s="12" t="str">
        <f t="shared" si="2"/>
        <v>19 Complete Medical Records, 0 Patient Portal Logins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hidden="1">
      <c r="A695" s="6" t="s">
        <v>1176</v>
      </c>
      <c r="B695" s="16" t="s">
        <v>1112</v>
      </c>
      <c r="C695" s="16" t="s">
        <v>1113</v>
      </c>
      <c r="D695" s="16" t="s">
        <v>1114</v>
      </c>
      <c r="E695" s="310">
        <v>19.0</v>
      </c>
      <c r="F695" s="330">
        <v>0.0</v>
      </c>
      <c r="G695" s="39"/>
      <c r="H695" s="39" t="str">
        <f t="shared" si="9"/>
        <v>#REF!</v>
      </c>
      <c r="I695" s="12" t="str">
        <f t="shared" si="2"/>
        <v>19 Complete Medical Records, 0 Patient Portal Logins</v>
      </c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hidden="1">
      <c r="A696" s="6" t="s">
        <v>1176</v>
      </c>
      <c r="B696" s="16" t="s">
        <v>1115</v>
      </c>
      <c r="C696" s="16" t="s">
        <v>1116</v>
      </c>
      <c r="D696" s="16" t="s">
        <v>1117</v>
      </c>
      <c r="E696" s="310">
        <v>17.0</v>
      </c>
      <c r="F696" s="315">
        <v>17.0</v>
      </c>
      <c r="G696" s="39"/>
      <c r="H696" s="39" t="str">
        <f t="shared" si="9"/>
        <v>#REF!</v>
      </c>
      <c r="I696" s="12" t="str">
        <f t="shared" si="2"/>
        <v>17 Complete Medical Records, 17 Patient Portal Logins</v>
      </c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hidden="1">
      <c r="A697" s="6" t="s">
        <v>1176</v>
      </c>
      <c r="B697" s="16" t="s">
        <v>1118</v>
      </c>
      <c r="C697" s="16" t="s">
        <v>1119</v>
      </c>
      <c r="D697" s="16" t="s">
        <v>1120</v>
      </c>
      <c r="E697" s="354">
        <v>19.0</v>
      </c>
      <c r="F697" s="315">
        <v>15.0</v>
      </c>
      <c r="G697" s="39"/>
      <c r="H697" s="39" t="str">
        <f t="shared" si="9"/>
        <v>#REF!</v>
      </c>
      <c r="I697" s="12" t="str">
        <f t="shared" si="2"/>
        <v>19 Complete Medical Records, 15 Patient Portal Logins</v>
      </c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hidden="1">
      <c r="A698" s="6" t="s">
        <v>1176</v>
      </c>
      <c r="B698" s="16" t="s">
        <v>1121</v>
      </c>
      <c r="C698" s="16" t="s">
        <v>1122</v>
      </c>
      <c r="D698" s="16" t="s">
        <v>1123</v>
      </c>
      <c r="E698" s="310">
        <v>19.0</v>
      </c>
      <c r="F698" s="315">
        <v>19.0</v>
      </c>
      <c r="G698" s="39"/>
      <c r="H698" s="39" t="str">
        <f t="shared" si="9"/>
        <v>#REF!</v>
      </c>
      <c r="I698" s="12" t="str">
        <f t="shared" si="2"/>
        <v>19 Complete Medical Records, 19 Patient Portal Logins</v>
      </c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hidden="1">
      <c r="A699" s="6" t="s">
        <v>1176</v>
      </c>
      <c r="B699" s="16" t="s">
        <v>1124</v>
      </c>
      <c r="C699" s="16" t="s">
        <v>1125</v>
      </c>
      <c r="D699" s="16" t="s">
        <v>1126</v>
      </c>
      <c r="E699" s="306">
        <v>21.0</v>
      </c>
      <c r="F699" s="314">
        <v>0.0</v>
      </c>
      <c r="G699" s="39"/>
      <c r="H699" s="39" t="str">
        <f t="shared" si="9"/>
        <v>#REF!</v>
      </c>
      <c r="I699" s="12" t="str">
        <f t="shared" si="2"/>
        <v>21 Complete Medical Records, 0 Patient Portal Logins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hidden="1">
      <c r="A700" s="6" t="s">
        <v>1176</v>
      </c>
      <c r="B700" s="16" t="s">
        <v>1127</v>
      </c>
      <c r="C700" s="16" t="s">
        <v>1128</v>
      </c>
      <c r="D700" s="16" t="s">
        <v>1129</v>
      </c>
      <c r="E700" s="310">
        <v>19.0</v>
      </c>
      <c r="F700" s="315">
        <v>0.0</v>
      </c>
      <c r="G700" s="39"/>
      <c r="H700" s="39" t="str">
        <f t="shared" si="9"/>
        <v>#REF!</v>
      </c>
      <c r="I700" s="12" t="str">
        <f t="shared" si="2"/>
        <v>19 Complete Medical Records, 0 Patient Portal Logins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hidden="1">
      <c r="A701" s="6" t="s">
        <v>1176</v>
      </c>
      <c r="B701" s="16" t="s">
        <v>1130</v>
      </c>
      <c r="C701" s="16" t="s">
        <v>1131</v>
      </c>
      <c r="D701" s="16" t="s">
        <v>1132</v>
      </c>
      <c r="E701" s="322">
        <v>19.0</v>
      </c>
      <c r="F701" s="330">
        <v>0.0</v>
      </c>
      <c r="G701" s="39"/>
      <c r="H701" s="39" t="str">
        <f t="shared" si="9"/>
        <v>#REF!</v>
      </c>
      <c r="I701" s="12" t="str">
        <f t="shared" si="2"/>
        <v>19 Complete Medical Records, 0 Patient Portal Logins</v>
      </c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hidden="1">
      <c r="A702" s="6" t="s">
        <v>1176</v>
      </c>
      <c r="B702" s="16" t="s">
        <v>1133</v>
      </c>
      <c r="C702" s="16" t="s">
        <v>1134</v>
      </c>
      <c r="D702" s="16" t="s">
        <v>1135</v>
      </c>
      <c r="E702" s="306">
        <v>21.0</v>
      </c>
      <c r="F702" s="314">
        <v>0.0</v>
      </c>
      <c r="G702" s="39"/>
      <c r="H702" s="39" t="str">
        <f t="shared" si="9"/>
        <v>#REF!</v>
      </c>
      <c r="I702" s="12" t="str">
        <f t="shared" si="2"/>
        <v>21 Complete Medical Records, 0 Patient Portal Logins</v>
      </c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hidden="1">
      <c r="A703" s="6" t="s">
        <v>1176</v>
      </c>
      <c r="B703" s="16" t="s">
        <v>1164</v>
      </c>
      <c r="C703" s="16" t="s">
        <v>1165</v>
      </c>
      <c r="D703" s="16" t="s">
        <v>1166</v>
      </c>
      <c r="E703" s="36"/>
      <c r="F703" s="38"/>
      <c r="G703" s="39"/>
      <c r="H703" s="39" t="str">
        <f t="shared" si="9"/>
        <v>#REF!</v>
      </c>
      <c r="I703" s="12" t="str">
        <f t="shared" si="2"/>
        <v> Complete Medical Records,  Patient Portal Logins</v>
      </c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hidden="1">
      <c r="A704" s="6" t="s">
        <v>1176</v>
      </c>
      <c r="B704" s="16" t="s">
        <v>1136</v>
      </c>
      <c r="C704" s="16" t="s">
        <v>1137</v>
      </c>
      <c r="D704" s="16" t="s">
        <v>1138</v>
      </c>
      <c r="E704" s="312">
        <v>19.0</v>
      </c>
      <c r="F704" s="317">
        <v>0.0</v>
      </c>
      <c r="G704" s="39"/>
      <c r="H704" s="39" t="str">
        <f t="shared" si="9"/>
        <v>#REF!</v>
      </c>
      <c r="I704" s="12" t="str">
        <f t="shared" si="2"/>
        <v>19 Complete Medical Records, 0 Patient Portal Logins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hidden="1">
      <c r="A705" s="6" t="s">
        <v>1176</v>
      </c>
      <c r="B705" s="16" t="s">
        <v>1139</v>
      </c>
      <c r="C705" s="16" t="s">
        <v>1140</v>
      </c>
      <c r="D705" s="16" t="s">
        <v>1141</v>
      </c>
      <c r="E705" s="318">
        <v>19.0</v>
      </c>
      <c r="F705" s="315">
        <v>7.0</v>
      </c>
      <c r="G705" s="39"/>
      <c r="H705" s="39" t="str">
        <f t="shared" si="9"/>
        <v>#REF!</v>
      </c>
      <c r="I705" s="12" t="str">
        <f t="shared" si="2"/>
        <v>19 Complete Medical Records, 7 Patient Portal Logins</v>
      </c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hidden="1">
      <c r="A706" s="6" t="s">
        <v>1176</v>
      </c>
      <c r="B706" s="16" t="s">
        <v>1142</v>
      </c>
      <c r="C706" s="16" t="s">
        <v>1143</v>
      </c>
      <c r="D706" s="16" t="s">
        <v>1144</v>
      </c>
      <c r="E706" s="306">
        <v>21.0</v>
      </c>
      <c r="F706" s="314">
        <v>25.0</v>
      </c>
      <c r="G706" s="39"/>
      <c r="H706" s="39" t="str">
        <f t="shared" si="9"/>
        <v>#REF!</v>
      </c>
      <c r="I706" s="12" t="str">
        <f t="shared" si="2"/>
        <v>21 Complete Medical Records, 25 Patient Portal Logins</v>
      </c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hidden="1">
      <c r="A707" s="6" t="s">
        <v>1176</v>
      </c>
      <c r="B707" s="16" t="s">
        <v>1145</v>
      </c>
      <c r="C707" s="16" t="s">
        <v>1146</v>
      </c>
      <c r="D707" s="16" t="s">
        <v>1147</v>
      </c>
      <c r="E707" s="312">
        <v>19.0</v>
      </c>
      <c r="F707" s="340">
        <v>0.0</v>
      </c>
      <c r="G707" s="39"/>
      <c r="H707" s="39" t="str">
        <f t="shared" si="9"/>
        <v>#REF!</v>
      </c>
      <c r="I707" s="12" t="str">
        <f t="shared" si="2"/>
        <v>19 Complete Medical Records, 0 Patient Portal Logins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hidden="1">
      <c r="A708" s="6" t="s">
        <v>1176</v>
      </c>
      <c r="B708" s="16" t="s">
        <v>1148</v>
      </c>
      <c r="C708" s="16" t="s">
        <v>1149</v>
      </c>
      <c r="D708" s="16" t="s">
        <v>1150</v>
      </c>
      <c r="E708" s="310">
        <v>18.0</v>
      </c>
      <c r="F708" s="315">
        <v>14.0</v>
      </c>
      <c r="G708" s="39"/>
      <c r="H708" s="39" t="str">
        <f t="shared" si="9"/>
        <v>#REF!</v>
      </c>
      <c r="I708" s="12" t="str">
        <f t="shared" si="2"/>
        <v>18 Complete Medical Records, 14 Patient Portal Logins</v>
      </c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hidden="1">
      <c r="A709" s="6" t="s">
        <v>1176</v>
      </c>
      <c r="B709" s="16" t="s">
        <v>1151</v>
      </c>
      <c r="C709" s="16" t="s">
        <v>1152</v>
      </c>
      <c r="D709" s="16" t="s">
        <v>1153</v>
      </c>
      <c r="E709" s="310">
        <v>19.0</v>
      </c>
      <c r="F709" s="330">
        <v>8.0</v>
      </c>
      <c r="G709" s="39"/>
      <c r="H709" s="39" t="str">
        <f t="shared" si="9"/>
        <v>#REF!</v>
      </c>
      <c r="I709" s="12" t="str">
        <f t="shared" si="2"/>
        <v>19 Complete Medical Records, 8 Patient Portal Logins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hidden="1">
      <c r="A710" s="6" t="s">
        <v>1176</v>
      </c>
      <c r="B710" s="16" t="s">
        <v>1154</v>
      </c>
      <c r="C710" s="16" t="s">
        <v>1155</v>
      </c>
      <c r="D710" s="16" t="s">
        <v>1156</v>
      </c>
      <c r="E710" s="354">
        <v>5.0</v>
      </c>
      <c r="F710" s="315">
        <v>2.0</v>
      </c>
      <c r="G710" s="39"/>
      <c r="H710" s="39" t="str">
        <f t="shared" si="9"/>
        <v>#REF!</v>
      </c>
      <c r="I710" s="12" t="str">
        <f t="shared" si="2"/>
        <v>5 Complete Medical Records, 2 Patient Portal Logins</v>
      </c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hidden="1">
      <c r="A711" s="6" t="s">
        <v>1176</v>
      </c>
      <c r="B711" s="61" t="s">
        <v>1158</v>
      </c>
      <c r="C711" s="21" t="s">
        <v>1159</v>
      </c>
      <c r="D711" s="21" t="s">
        <v>1160</v>
      </c>
      <c r="E711" s="312">
        <v>19.0</v>
      </c>
      <c r="F711" s="317">
        <v>1.0</v>
      </c>
      <c r="G711" s="39"/>
      <c r="H711" s="39" t="str">
        <f t="shared" si="9"/>
        <v>#REF!</v>
      </c>
      <c r="I711" s="12" t="str">
        <f t="shared" si="2"/>
        <v>19 Complete Medical Records, 1 Patient Portal Logins</v>
      </c>
      <c r="J711" s="23"/>
      <c r="K711" s="23"/>
      <c r="L711" s="23"/>
      <c r="M711" s="14"/>
      <c r="N711" s="23"/>
      <c r="O711" s="23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hidden="1">
      <c r="A712" s="6" t="s">
        <v>1176</v>
      </c>
      <c r="B712" s="21" t="s">
        <v>1161</v>
      </c>
      <c r="C712" s="21" t="s">
        <v>1162</v>
      </c>
      <c r="D712" s="21" t="s">
        <v>1163</v>
      </c>
      <c r="E712" s="310">
        <v>21.0</v>
      </c>
      <c r="F712" s="315">
        <v>0.0</v>
      </c>
      <c r="G712" s="39"/>
      <c r="H712" s="39" t="str">
        <f t="shared" si="9"/>
        <v>#REF!</v>
      </c>
      <c r="I712" s="12" t="str">
        <f t="shared" si="2"/>
        <v>21 Complete Medical Records, 0 Patient Portal Logins</v>
      </c>
      <c r="J712" s="23"/>
      <c r="K712" s="23"/>
      <c r="L712" s="23"/>
      <c r="M712" s="14"/>
      <c r="N712" s="23"/>
      <c r="O712" s="23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hidden="1">
      <c r="A713" s="54" t="s">
        <v>243</v>
      </c>
      <c r="B713" s="355" t="s">
        <v>1058</v>
      </c>
      <c r="C713" s="7" t="s">
        <v>1059</v>
      </c>
      <c r="D713" s="7" t="s">
        <v>1060</v>
      </c>
      <c r="E713" s="312">
        <v>1.0</v>
      </c>
      <c r="F713" s="307">
        <v>0.0</v>
      </c>
      <c r="G713" s="39"/>
      <c r="H713" s="39" t="str">
        <f t="shared" si="9"/>
        <v>#REF!</v>
      </c>
      <c r="I713" s="12" t="str">
        <f t="shared" si="2"/>
        <v>1 Complete Medical Records, 0 Patient Portal Logins</v>
      </c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hidden="1">
      <c r="A714" s="6" t="s">
        <v>243</v>
      </c>
      <c r="B714" s="356" t="s">
        <v>1061</v>
      </c>
      <c r="C714" s="16" t="s">
        <v>1062</v>
      </c>
      <c r="D714" s="16" t="s">
        <v>1063</v>
      </c>
      <c r="E714" s="310">
        <v>5.0</v>
      </c>
      <c r="F714" s="315">
        <v>0.0</v>
      </c>
      <c r="G714" s="39"/>
      <c r="H714" s="39" t="str">
        <f t="shared" si="9"/>
        <v>#REF!</v>
      </c>
      <c r="I714" s="12" t="str">
        <f t="shared" si="2"/>
        <v>5 Complete Medical Records, 0 Patient Portal Logins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hidden="1">
      <c r="A715" s="6" t="s">
        <v>243</v>
      </c>
      <c r="B715" s="16" t="s">
        <v>1064</v>
      </c>
      <c r="C715" s="16" t="s">
        <v>1065</v>
      </c>
      <c r="D715" s="16" t="s">
        <v>1066</v>
      </c>
      <c r="E715" s="310">
        <v>5.0</v>
      </c>
      <c r="F715" s="315">
        <v>0.0</v>
      </c>
      <c r="G715" s="39"/>
      <c r="H715" s="39" t="str">
        <f t="shared" si="9"/>
        <v>#REF!</v>
      </c>
      <c r="I715" s="12" t="str">
        <f t="shared" si="2"/>
        <v>5 Complete Medical Records, 0 Patient Portal Logins</v>
      </c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hidden="1">
      <c r="A716" s="6" t="s">
        <v>243</v>
      </c>
      <c r="B716" s="16" t="s">
        <v>1067</v>
      </c>
      <c r="C716" s="16" t="s">
        <v>1068</v>
      </c>
      <c r="D716" s="16" t="s">
        <v>1069</v>
      </c>
      <c r="E716" s="310">
        <v>5.0</v>
      </c>
      <c r="F716" s="315">
        <v>0.0</v>
      </c>
      <c r="G716" s="39"/>
      <c r="H716" s="39" t="str">
        <f t="shared" si="9"/>
        <v>#REF!</v>
      </c>
      <c r="I716" s="12" t="str">
        <f t="shared" si="2"/>
        <v>5 Complete Medical Records, 0 Patient Portal Logins</v>
      </c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hidden="1">
      <c r="A717" s="6" t="s">
        <v>243</v>
      </c>
      <c r="B717" s="16" t="s">
        <v>1070</v>
      </c>
      <c r="C717" s="16" t="s">
        <v>1071</v>
      </c>
      <c r="D717" s="16" t="s">
        <v>1072</v>
      </c>
      <c r="E717" s="310">
        <v>5.0</v>
      </c>
      <c r="F717" s="315">
        <v>0.0</v>
      </c>
      <c r="G717" s="39"/>
      <c r="H717" s="39" t="str">
        <f t="shared" si="9"/>
        <v>#REF!</v>
      </c>
      <c r="I717" s="12" t="str">
        <f t="shared" si="2"/>
        <v>5 Complete Medical Records, 0 Patient Portal Logins</v>
      </c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hidden="1">
      <c r="A718" s="6" t="s">
        <v>243</v>
      </c>
      <c r="B718" s="16" t="s">
        <v>1073</v>
      </c>
      <c r="C718" s="16" t="s">
        <v>1074</v>
      </c>
      <c r="D718" s="16" t="s">
        <v>1075</v>
      </c>
      <c r="E718" s="310">
        <v>5.0</v>
      </c>
      <c r="F718" s="315">
        <v>0.0</v>
      </c>
      <c r="G718" s="39"/>
      <c r="H718" s="39" t="str">
        <f t="shared" si="9"/>
        <v>#REF!</v>
      </c>
      <c r="I718" s="12" t="str">
        <f t="shared" si="2"/>
        <v>5 Complete Medical Records, 0 Patient Portal Logins</v>
      </c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hidden="1">
      <c r="A719" s="6" t="s">
        <v>243</v>
      </c>
      <c r="B719" s="16" t="s">
        <v>1076</v>
      </c>
      <c r="C719" s="16" t="s">
        <v>1077</v>
      </c>
      <c r="D719" s="16" t="s">
        <v>1078</v>
      </c>
      <c r="E719" s="310">
        <v>9.0</v>
      </c>
      <c r="F719" s="315">
        <v>0.0</v>
      </c>
      <c r="G719" s="39"/>
      <c r="H719" s="39" t="str">
        <f t="shared" si="9"/>
        <v>#REF!</v>
      </c>
      <c r="I719" s="12" t="str">
        <f t="shared" si="2"/>
        <v>9 Complete Medical Records, 0 Patient Portal Logins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hidden="1">
      <c r="A720" s="6" t="s">
        <v>243</v>
      </c>
      <c r="B720" s="16" t="s">
        <v>1079</v>
      </c>
      <c r="C720" s="16" t="s">
        <v>1080</v>
      </c>
      <c r="D720" s="16" t="s">
        <v>1081</v>
      </c>
      <c r="E720" s="310">
        <v>9.0</v>
      </c>
      <c r="F720" s="315">
        <v>0.0</v>
      </c>
      <c r="G720" s="39"/>
      <c r="H720" s="39" t="str">
        <f t="shared" si="9"/>
        <v>#REF!</v>
      </c>
      <c r="I720" s="12" t="str">
        <f t="shared" si="2"/>
        <v>9 Complete Medical Records, 0 Patient Portal Logins</v>
      </c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hidden="1">
      <c r="A721" s="6" t="s">
        <v>243</v>
      </c>
      <c r="B721" s="16" t="s">
        <v>1082</v>
      </c>
      <c r="C721" s="16" t="s">
        <v>1083</v>
      </c>
      <c r="D721" s="16" t="s">
        <v>1084</v>
      </c>
      <c r="E721" s="310">
        <v>9.0</v>
      </c>
      <c r="F721" s="315">
        <v>0.0</v>
      </c>
      <c r="G721" s="39"/>
      <c r="H721" s="39" t="str">
        <f t="shared" si="9"/>
        <v>#REF!</v>
      </c>
      <c r="I721" s="12" t="str">
        <f t="shared" si="2"/>
        <v>9 Complete Medical Records, 0 Patient Portal Logins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hidden="1">
      <c r="A722" s="6" t="s">
        <v>243</v>
      </c>
      <c r="B722" s="16" t="s">
        <v>1085</v>
      </c>
      <c r="C722" s="16" t="s">
        <v>1086</v>
      </c>
      <c r="D722" s="16" t="s">
        <v>1087</v>
      </c>
      <c r="E722" s="223">
        <v>0.0</v>
      </c>
      <c r="F722" s="229">
        <v>0.0</v>
      </c>
      <c r="G722" s="39"/>
      <c r="H722" s="39" t="str">
        <f t="shared" si="9"/>
        <v>#REF!</v>
      </c>
      <c r="I722" s="12" t="str">
        <f t="shared" si="2"/>
        <v>0 Complete Medical Records, 0 Patient Portal Logins</v>
      </c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hidden="1">
      <c r="A723" s="6" t="s">
        <v>243</v>
      </c>
      <c r="B723" s="16" t="s">
        <v>1088</v>
      </c>
      <c r="C723" s="16" t="s">
        <v>1089</v>
      </c>
      <c r="D723" s="16" t="s">
        <v>1090</v>
      </c>
      <c r="E723" s="306">
        <v>15.0</v>
      </c>
      <c r="F723" s="314">
        <v>1.0</v>
      </c>
      <c r="G723" s="39"/>
      <c r="H723" s="39" t="str">
        <f t="shared" si="9"/>
        <v>#REF!</v>
      </c>
      <c r="I723" s="12" t="str">
        <f t="shared" si="2"/>
        <v>15 Complete Medical Records, 1 Patient Portal Logins</v>
      </c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hidden="1">
      <c r="A724" s="6" t="s">
        <v>243</v>
      </c>
      <c r="B724" s="7" t="s">
        <v>1091</v>
      </c>
      <c r="C724" s="16" t="s">
        <v>1092</v>
      </c>
      <c r="D724" s="16" t="s">
        <v>1093</v>
      </c>
      <c r="E724" s="306">
        <v>15.0</v>
      </c>
      <c r="F724" s="314">
        <v>0.0</v>
      </c>
      <c r="G724" s="39"/>
      <c r="H724" s="39" t="str">
        <f t="shared" si="9"/>
        <v>#REF!</v>
      </c>
      <c r="I724" s="55" t="str">
        <f t="shared" si="2"/>
        <v>15 Complete Medical Records, 0 Patient Portal Logins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hidden="1">
      <c r="A725" s="6" t="s">
        <v>243</v>
      </c>
      <c r="B725" s="16" t="s">
        <v>1094</v>
      </c>
      <c r="C725" s="16" t="s">
        <v>1095</v>
      </c>
      <c r="D725" s="16" t="s">
        <v>1096</v>
      </c>
      <c r="E725" s="306">
        <v>15.0</v>
      </c>
      <c r="F725" s="314">
        <v>0.0</v>
      </c>
      <c r="G725" s="39"/>
      <c r="H725" s="39" t="str">
        <f t="shared" si="9"/>
        <v>#REF!</v>
      </c>
      <c r="I725" s="12" t="str">
        <f t="shared" si="2"/>
        <v>15 Complete Medical Records, 0 Patient Portal Logins</v>
      </c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hidden="1">
      <c r="A726" s="6" t="s">
        <v>243</v>
      </c>
      <c r="B726" s="16" t="s">
        <v>1097</v>
      </c>
      <c r="C726" s="16" t="s">
        <v>1098</v>
      </c>
      <c r="D726" s="16" t="s">
        <v>1099</v>
      </c>
      <c r="E726" s="312">
        <v>0.0</v>
      </c>
      <c r="F726" s="317">
        <v>3.0</v>
      </c>
      <c r="G726" s="39"/>
      <c r="H726" s="39" t="str">
        <f t="shared" si="9"/>
        <v>#REF!</v>
      </c>
      <c r="I726" s="12" t="str">
        <f t="shared" si="2"/>
        <v>0 Complete Medical Records, 3 Patient Portal Logins</v>
      </c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hidden="1">
      <c r="A727" s="6" t="s">
        <v>243</v>
      </c>
      <c r="B727" s="16" t="s">
        <v>255</v>
      </c>
      <c r="C727" s="16" t="s">
        <v>256</v>
      </c>
      <c r="D727" s="16" t="s">
        <v>257</v>
      </c>
      <c r="E727" s="312">
        <v>10.0</v>
      </c>
      <c r="F727" s="317">
        <v>0.0</v>
      </c>
      <c r="G727" s="39"/>
      <c r="H727" s="39" t="str">
        <f t="shared" si="9"/>
        <v>#REF!</v>
      </c>
      <c r="I727" s="12" t="str">
        <f t="shared" si="2"/>
        <v>10 Complete Medical Records, 0 Patient Portal Logins</v>
      </c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hidden="1">
      <c r="A728" s="6" t="s">
        <v>243</v>
      </c>
      <c r="B728" s="16" t="s">
        <v>1100</v>
      </c>
      <c r="C728" s="16" t="s">
        <v>1101</v>
      </c>
      <c r="D728" s="16" t="s">
        <v>1102</v>
      </c>
      <c r="E728" s="312">
        <v>10.0</v>
      </c>
      <c r="F728" s="317">
        <v>0.0</v>
      </c>
      <c r="G728" s="39"/>
      <c r="H728" s="39" t="str">
        <f t="shared" si="9"/>
        <v>#REF!</v>
      </c>
      <c r="I728" s="12" t="str">
        <f t="shared" si="2"/>
        <v>10 Complete Medical Records, 0 Patient Portal Logins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hidden="1">
      <c r="A729" s="6" t="s">
        <v>243</v>
      </c>
      <c r="B729" s="16" t="s">
        <v>1103</v>
      </c>
      <c r="C729" s="16" t="s">
        <v>1104</v>
      </c>
      <c r="D729" s="16" t="s">
        <v>1105</v>
      </c>
      <c r="E729" s="310">
        <v>5.0</v>
      </c>
      <c r="F729" s="315">
        <v>1.0</v>
      </c>
      <c r="G729" s="39"/>
      <c r="H729" s="39" t="str">
        <f t="shared" si="9"/>
        <v>#REF!</v>
      </c>
      <c r="I729" s="12" t="str">
        <f t="shared" si="2"/>
        <v>5 Complete Medical Records, 1 Patient Portal Logins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hidden="1">
      <c r="A730" s="6" t="s">
        <v>243</v>
      </c>
      <c r="B730" s="16" t="s">
        <v>1106</v>
      </c>
      <c r="C730" s="16" t="s">
        <v>1107</v>
      </c>
      <c r="D730" s="16" t="s">
        <v>1108</v>
      </c>
      <c r="E730" s="306">
        <v>15.0</v>
      </c>
      <c r="F730" s="314">
        <v>6.0</v>
      </c>
      <c r="G730" s="39"/>
      <c r="H730" s="39" t="str">
        <f t="shared" si="9"/>
        <v>#REF!</v>
      </c>
      <c r="I730" s="12" t="str">
        <f t="shared" si="2"/>
        <v>15 Complete Medical Records, 6 Patient Portal Logins</v>
      </c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hidden="1">
      <c r="A731" s="6" t="s">
        <v>243</v>
      </c>
      <c r="B731" s="16" t="s">
        <v>1109</v>
      </c>
      <c r="C731" s="16" t="s">
        <v>1110</v>
      </c>
      <c r="D731" s="16" t="s">
        <v>1111</v>
      </c>
      <c r="E731" s="310">
        <v>10.0</v>
      </c>
      <c r="F731" s="315">
        <v>0.0</v>
      </c>
      <c r="G731" s="39"/>
      <c r="H731" s="39" t="str">
        <f t="shared" si="9"/>
        <v>#REF!</v>
      </c>
      <c r="I731" s="12" t="str">
        <f t="shared" si="2"/>
        <v>10 Complete Medical Records, 0 Patient Portal Logins</v>
      </c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hidden="1">
      <c r="A732" s="6" t="s">
        <v>243</v>
      </c>
      <c r="B732" s="16" t="s">
        <v>1112</v>
      </c>
      <c r="C732" s="16" t="s">
        <v>1113</v>
      </c>
      <c r="D732" s="16" t="s">
        <v>1114</v>
      </c>
      <c r="E732" s="310">
        <v>9.0</v>
      </c>
      <c r="F732" s="315">
        <v>0.0</v>
      </c>
      <c r="G732" s="39"/>
      <c r="H732" s="39" t="str">
        <f t="shared" si="9"/>
        <v>#REF!</v>
      </c>
      <c r="I732" s="12" t="str">
        <f t="shared" si="2"/>
        <v>9 Complete Medical Records, 0 Patient Portal Logins</v>
      </c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hidden="1">
      <c r="A733" s="6" t="s">
        <v>243</v>
      </c>
      <c r="B733" s="16" t="s">
        <v>1115</v>
      </c>
      <c r="C733" s="16" t="s">
        <v>1116</v>
      </c>
      <c r="D733" s="16" t="s">
        <v>1117</v>
      </c>
      <c r="E733" s="310">
        <v>5.0</v>
      </c>
      <c r="F733" s="315">
        <v>14.0</v>
      </c>
      <c r="G733" s="39"/>
      <c r="H733" s="39" t="str">
        <f t="shared" si="9"/>
        <v>#REF!</v>
      </c>
      <c r="I733" s="12" t="str">
        <f t="shared" si="2"/>
        <v>5 Complete Medical Records, 14 Patient Portal Logins</v>
      </c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hidden="1">
      <c r="A734" s="6" t="s">
        <v>243</v>
      </c>
      <c r="B734" s="16" t="s">
        <v>1118</v>
      </c>
      <c r="C734" s="16" t="s">
        <v>1119</v>
      </c>
      <c r="D734" s="16" t="s">
        <v>1120</v>
      </c>
      <c r="E734" s="318">
        <v>10.0</v>
      </c>
      <c r="F734" s="315">
        <v>32.0</v>
      </c>
      <c r="G734" s="39"/>
      <c r="H734" s="39" t="str">
        <f t="shared" si="9"/>
        <v>#REF!</v>
      </c>
      <c r="I734" s="12" t="str">
        <f t="shared" si="2"/>
        <v>10 Complete Medical Records, 32 Patient Portal Logins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hidden="1">
      <c r="A735" s="6" t="s">
        <v>243</v>
      </c>
      <c r="B735" s="16" t="s">
        <v>1121</v>
      </c>
      <c r="C735" s="16" t="s">
        <v>1122</v>
      </c>
      <c r="D735" s="16" t="s">
        <v>1123</v>
      </c>
      <c r="E735" s="310">
        <v>9.0</v>
      </c>
      <c r="F735" s="315">
        <v>27.0</v>
      </c>
      <c r="G735" s="39"/>
      <c r="H735" s="39" t="str">
        <f t="shared" si="9"/>
        <v>#REF!</v>
      </c>
      <c r="I735" s="12" t="str">
        <f t="shared" si="2"/>
        <v>9 Complete Medical Records, 27 Patient Portal Logins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hidden="1">
      <c r="A736" s="6" t="s">
        <v>243</v>
      </c>
      <c r="B736" s="16" t="s">
        <v>1124</v>
      </c>
      <c r="C736" s="16" t="s">
        <v>1125</v>
      </c>
      <c r="D736" s="16" t="s">
        <v>1126</v>
      </c>
      <c r="E736" s="306">
        <v>15.0</v>
      </c>
      <c r="F736" s="314">
        <v>0.0</v>
      </c>
      <c r="G736" s="39"/>
      <c r="H736" s="39" t="str">
        <f t="shared" si="9"/>
        <v>#REF!</v>
      </c>
      <c r="I736" s="12" t="str">
        <f t="shared" si="2"/>
        <v>15 Complete Medical Records, 0 Patient Portal Logins</v>
      </c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hidden="1">
      <c r="A737" s="6" t="s">
        <v>243</v>
      </c>
      <c r="B737" s="16" t="s">
        <v>1127</v>
      </c>
      <c r="C737" s="16" t="s">
        <v>1128</v>
      </c>
      <c r="D737" s="16" t="s">
        <v>1129</v>
      </c>
      <c r="E737" s="310">
        <v>9.0</v>
      </c>
      <c r="F737" s="315">
        <v>0.0</v>
      </c>
      <c r="G737" s="39"/>
      <c r="H737" s="39" t="str">
        <f t="shared" si="9"/>
        <v>#REF!</v>
      </c>
      <c r="I737" s="12" t="str">
        <f t="shared" si="2"/>
        <v>9 Complete Medical Records, 0 Patient Portal Logins</v>
      </c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hidden="1">
      <c r="A738" s="6" t="s">
        <v>243</v>
      </c>
      <c r="B738" s="16" t="s">
        <v>1130</v>
      </c>
      <c r="C738" s="16" t="s">
        <v>1131</v>
      </c>
      <c r="D738" s="16" t="s">
        <v>1132</v>
      </c>
      <c r="E738" s="310">
        <v>9.0</v>
      </c>
      <c r="F738" s="315">
        <v>0.0</v>
      </c>
      <c r="G738" s="39"/>
      <c r="H738" s="39" t="str">
        <f t="shared" si="9"/>
        <v>#REF!</v>
      </c>
      <c r="I738" s="12" t="str">
        <f t="shared" si="2"/>
        <v>9 Complete Medical Records, 0 Patient Portal Logins</v>
      </c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hidden="1">
      <c r="A739" s="6" t="s">
        <v>243</v>
      </c>
      <c r="B739" s="16" t="s">
        <v>1133</v>
      </c>
      <c r="C739" s="16" t="s">
        <v>1134</v>
      </c>
      <c r="D739" s="16" t="s">
        <v>1135</v>
      </c>
      <c r="E739" s="306">
        <v>15.0</v>
      </c>
      <c r="F739" s="314">
        <v>0.0</v>
      </c>
      <c r="G739" s="39"/>
      <c r="H739" s="39" t="str">
        <f t="shared" si="9"/>
        <v>#REF!</v>
      </c>
      <c r="I739" s="12" t="str">
        <f t="shared" si="2"/>
        <v>15 Complete Medical Records, 0 Patient Portal Logins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hidden="1">
      <c r="A740" s="6" t="s">
        <v>243</v>
      </c>
      <c r="B740" s="16" t="s">
        <v>1177</v>
      </c>
      <c r="C740" s="16" t="s">
        <v>1178</v>
      </c>
      <c r="D740" s="16" t="s">
        <v>1179</v>
      </c>
      <c r="E740" s="221"/>
      <c r="F740" s="227"/>
      <c r="G740" s="39"/>
      <c r="H740" s="39" t="str">
        <f t="shared" si="9"/>
        <v>#REF!</v>
      </c>
      <c r="I740" s="12" t="str">
        <f t="shared" si="2"/>
        <v> Complete Medical Records,  Patient Portal Logins</v>
      </c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hidden="1">
      <c r="A741" s="6" t="s">
        <v>243</v>
      </c>
      <c r="B741" s="16" t="s">
        <v>1164</v>
      </c>
      <c r="C741" s="16" t="s">
        <v>1165</v>
      </c>
      <c r="D741" s="16" t="s">
        <v>1166</v>
      </c>
      <c r="E741" s="221"/>
      <c r="F741" s="227"/>
      <c r="G741" s="39"/>
      <c r="H741" s="39" t="str">
        <f t="shared" si="9"/>
        <v>#REF!</v>
      </c>
      <c r="I741" s="12" t="str">
        <f t="shared" si="2"/>
        <v> Complete Medical Records,  Patient Portal Logins</v>
      </c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hidden="1">
      <c r="A742" s="6" t="s">
        <v>243</v>
      </c>
      <c r="B742" s="16" t="s">
        <v>1136</v>
      </c>
      <c r="C742" s="16" t="s">
        <v>1137</v>
      </c>
      <c r="D742" s="16" t="s">
        <v>1138</v>
      </c>
      <c r="E742" s="312">
        <v>10.0</v>
      </c>
      <c r="F742" s="317">
        <v>0.0</v>
      </c>
      <c r="G742" s="39"/>
      <c r="H742" s="39" t="str">
        <f t="shared" si="9"/>
        <v>#REF!</v>
      </c>
      <c r="I742" s="12" t="str">
        <f t="shared" si="2"/>
        <v>10 Complete Medical Records, 0 Patient Portal Logins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hidden="1">
      <c r="A743" s="6" t="s">
        <v>243</v>
      </c>
      <c r="B743" s="16" t="s">
        <v>1139</v>
      </c>
      <c r="C743" s="16" t="s">
        <v>1140</v>
      </c>
      <c r="D743" s="16" t="s">
        <v>1141</v>
      </c>
      <c r="E743" s="318">
        <v>10.0</v>
      </c>
      <c r="F743" s="315">
        <v>8.0</v>
      </c>
      <c r="G743" s="39"/>
      <c r="H743" s="39" t="str">
        <f t="shared" si="9"/>
        <v>#REF!</v>
      </c>
      <c r="I743" s="12" t="str">
        <f t="shared" si="2"/>
        <v>10 Complete Medical Records, 8 Patient Portal Logins</v>
      </c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hidden="1">
      <c r="A744" s="6" t="s">
        <v>243</v>
      </c>
      <c r="B744" s="16" t="s">
        <v>1142</v>
      </c>
      <c r="C744" s="16" t="s">
        <v>1143</v>
      </c>
      <c r="D744" s="16" t="s">
        <v>1144</v>
      </c>
      <c r="E744" s="306">
        <v>15.0</v>
      </c>
      <c r="F744" s="314">
        <v>26.0</v>
      </c>
      <c r="G744" s="39"/>
      <c r="H744" s="39" t="str">
        <f t="shared" si="9"/>
        <v>#REF!</v>
      </c>
      <c r="I744" s="12" t="str">
        <f t="shared" si="2"/>
        <v>15 Complete Medical Records, 26 Patient Portal Logins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hidden="1">
      <c r="A745" s="6" t="s">
        <v>243</v>
      </c>
      <c r="B745" s="16" t="s">
        <v>1145</v>
      </c>
      <c r="C745" s="16" t="s">
        <v>1146</v>
      </c>
      <c r="D745" s="16" t="s">
        <v>1147</v>
      </c>
      <c r="E745" s="312">
        <v>10.0</v>
      </c>
      <c r="F745" s="317">
        <v>0.0</v>
      </c>
      <c r="G745" s="39"/>
      <c r="H745" s="39" t="str">
        <f t="shared" si="9"/>
        <v>#REF!</v>
      </c>
      <c r="I745" s="12" t="str">
        <f t="shared" si="2"/>
        <v>10 Complete Medical Records, 0 Patient Portal Logins</v>
      </c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hidden="1">
      <c r="A746" s="6" t="s">
        <v>243</v>
      </c>
      <c r="B746" s="16" t="s">
        <v>1148</v>
      </c>
      <c r="C746" s="16" t="s">
        <v>1149</v>
      </c>
      <c r="D746" s="16" t="s">
        <v>1150</v>
      </c>
      <c r="E746" s="310">
        <v>5.0</v>
      </c>
      <c r="F746" s="315">
        <v>13.0</v>
      </c>
      <c r="G746" s="39"/>
      <c r="H746" s="39" t="str">
        <f t="shared" si="9"/>
        <v>#REF!</v>
      </c>
      <c r="I746" s="12" t="str">
        <f t="shared" si="2"/>
        <v>5 Complete Medical Records, 13 Patient Portal Logins</v>
      </c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hidden="1">
      <c r="A747" s="6" t="s">
        <v>243</v>
      </c>
      <c r="B747" s="16" t="s">
        <v>1151</v>
      </c>
      <c r="C747" s="16" t="s">
        <v>1152</v>
      </c>
      <c r="D747" s="16" t="s">
        <v>1153</v>
      </c>
      <c r="E747" s="310">
        <v>9.0</v>
      </c>
      <c r="F747" s="315">
        <v>12.0</v>
      </c>
      <c r="G747" s="39"/>
      <c r="H747" s="39" t="str">
        <f t="shared" si="9"/>
        <v>#REF!</v>
      </c>
      <c r="I747" s="12" t="str">
        <f t="shared" si="2"/>
        <v>9 Complete Medical Records, 12 Patient Portal Logins</v>
      </c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hidden="1">
      <c r="A748" s="6" t="s">
        <v>243</v>
      </c>
      <c r="B748" s="16" t="s">
        <v>1154</v>
      </c>
      <c r="C748" s="16" t="s">
        <v>1155</v>
      </c>
      <c r="D748" s="16" t="s">
        <v>1156</v>
      </c>
      <c r="E748" s="318">
        <v>3.0</v>
      </c>
      <c r="F748" s="315">
        <v>3.0</v>
      </c>
      <c r="G748" s="39"/>
      <c r="H748" s="39" t="str">
        <f t="shared" si="9"/>
        <v>#REF!</v>
      </c>
      <c r="I748" s="12" t="str">
        <f t="shared" si="2"/>
        <v>3 Complete Medical Records, 3 Patient Portal Logins</v>
      </c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hidden="1">
      <c r="A749" s="6" t="s">
        <v>243</v>
      </c>
      <c r="B749" s="61" t="s">
        <v>1158</v>
      </c>
      <c r="C749" s="21" t="s">
        <v>1159</v>
      </c>
      <c r="D749" s="21" t="s">
        <v>1160</v>
      </c>
      <c r="E749" s="312">
        <v>10.0</v>
      </c>
      <c r="F749" s="317">
        <v>1.0</v>
      </c>
      <c r="G749" s="39"/>
      <c r="H749" s="39" t="str">
        <f t="shared" si="9"/>
        <v>#REF!</v>
      </c>
      <c r="I749" s="12" t="str">
        <f t="shared" si="2"/>
        <v>10 Complete Medical Records, 1 Patient Portal Logins</v>
      </c>
      <c r="J749" s="23"/>
      <c r="K749" s="23"/>
      <c r="L749" s="23"/>
      <c r="M749" s="14"/>
      <c r="N749" s="23"/>
      <c r="O749" s="23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hidden="1">
      <c r="A750" s="6" t="s">
        <v>243</v>
      </c>
      <c r="B750" s="21" t="s">
        <v>1161</v>
      </c>
      <c r="C750" s="21" t="s">
        <v>1162</v>
      </c>
      <c r="D750" s="21" t="s">
        <v>1163</v>
      </c>
      <c r="E750" s="310">
        <v>15.0</v>
      </c>
      <c r="F750" s="315">
        <v>0.0</v>
      </c>
      <c r="G750" s="39"/>
      <c r="H750" s="39" t="str">
        <f t="shared" si="9"/>
        <v>#REF!</v>
      </c>
      <c r="I750" s="12" t="str">
        <f t="shared" si="2"/>
        <v>15 Complete Medical Records, 0 Patient Portal Logins</v>
      </c>
      <c r="J750" s="23"/>
      <c r="K750" s="23"/>
      <c r="L750" s="23"/>
      <c r="M750" s="14"/>
      <c r="N750" s="23"/>
      <c r="O750" s="23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hidden="1">
      <c r="A751" s="54" t="s">
        <v>244</v>
      </c>
      <c r="B751" s="357" t="s">
        <v>1061</v>
      </c>
      <c r="C751" s="7" t="s">
        <v>1062</v>
      </c>
      <c r="D751" s="7" t="s">
        <v>1063</v>
      </c>
      <c r="E751" s="310">
        <v>4.0</v>
      </c>
      <c r="F751" s="315">
        <v>0.0</v>
      </c>
      <c r="G751" s="39"/>
      <c r="H751" s="39" t="str">
        <f t="shared" si="9"/>
        <v>#REF!</v>
      </c>
      <c r="I751" s="12" t="str">
        <f t="shared" si="2"/>
        <v>4 Complete Medical Records, 0 Patient Portal Logins</v>
      </c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hidden="1">
      <c r="A752" s="54" t="s">
        <v>244</v>
      </c>
      <c r="B752" s="7" t="s">
        <v>1064</v>
      </c>
      <c r="C752" s="7" t="s">
        <v>1065</v>
      </c>
      <c r="D752" s="7" t="s">
        <v>1066</v>
      </c>
      <c r="E752" s="310">
        <v>4.0</v>
      </c>
      <c r="F752" s="315">
        <v>0.0</v>
      </c>
      <c r="G752" s="39"/>
      <c r="H752" s="39" t="str">
        <f t="shared" si="9"/>
        <v>#REF!</v>
      </c>
      <c r="I752" s="12" t="str">
        <f t="shared" si="2"/>
        <v>4 Complete Medical Records, 0 Patient Portal Logins</v>
      </c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hidden="1">
      <c r="A753" s="54" t="s">
        <v>244</v>
      </c>
      <c r="B753" s="7" t="s">
        <v>1067</v>
      </c>
      <c r="C753" s="7" t="s">
        <v>1068</v>
      </c>
      <c r="D753" s="7" t="s">
        <v>1069</v>
      </c>
      <c r="E753" s="310">
        <v>4.0</v>
      </c>
      <c r="F753" s="315">
        <v>0.0</v>
      </c>
      <c r="G753" s="39"/>
      <c r="H753" s="39" t="str">
        <f t="shared" si="9"/>
        <v>#REF!</v>
      </c>
      <c r="I753" s="12" t="str">
        <f t="shared" si="2"/>
        <v>4 Complete Medical Records, 0 Patient Portal Logins</v>
      </c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hidden="1">
      <c r="A754" s="54" t="s">
        <v>244</v>
      </c>
      <c r="B754" s="7" t="s">
        <v>1070</v>
      </c>
      <c r="C754" s="7" t="s">
        <v>1071</v>
      </c>
      <c r="D754" s="7" t="s">
        <v>1072</v>
      </c>
      <c r="E754" s="310">
        <v>4.0</v>
      </c>
      <c r="F754" s="315">
        <v>0.0</v>
      </c>
      <c r="G754" s="39"/>
      <c r="H754" s="39" t="str">
        <f t="shared" si="9"/>
        <v>#REF!</v>
      </c>
      <c r="I754" s="12" t="str">
        <f t="shared" si="2"/>
        <v>4 Complete Medical Records, 0 Patient Portal Logins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hidden="1">
      <c r="A755" s="54" t="s">
        <v>244</v>
      </c>
      <c r="B755" s="7" t="s">
        <v>1073</v>
      </c>
      <c r="C755" s="7" t="s">
        <v>1074</v>
      </c>
      <c r="D755" s="7" t="s">
        <v>1075</v>
      </c>
      <c r="E755" s="310">
        <v>4.0</v>
      </c>
      <c r="F755" s="315">
        <v>1.0</v>
      </c>
      <c r="G755" s="39"/>
      <c r="H755" s="39" t="str">
        <f t="shared" si="9"/>
        <v>#REF!</v>
      </c>
      <c r="I755" s="12" t="str">
        <f t="shared" si="2"/>
        <v>4 Complete Medical Records, 1 Patient Portal Logins</v>
      </c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hidden="1">
      <c r="A756" s="6" t="s">
        <v>244</v>
      </c>
      <c r="B756" s="16" t="s">
        <v>1076</v>
      </c>
      <c r="C756" s="16" t="s">
        <v>1077</v>
      </c>
      <c r="D756" s="16" t="s">
        <v>1078</v>
      </c>
      <c r="E756" s="310">
        <v>8.0</v>
      </c>
      <c r="F756" s="315">
        <v>0.0</v>
      </c>
      <c r="G756" s="39"/>
      <c r="H756" s="39" t="str">
        <f t="shared" si="9"/>
        <v>#REF!</v>
      </c>
      <c r="I756" s="12" t="str">
        <f t="shared" si="2"/>
        <v>8 Complete Medical Records, 0 Patient Portal Logins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hidden="1">
      <c r="A757" s="6" t="s">
        <v>244</v>
      </c>
      <c r="B757" s="16" t="s">
        <v>1079</v>
      </c>
      <c r="C757" s="16" t="s">
        <v>1080</v>
      </c>
      <c r="D757" s="16" t="s">
        <v>1081</v>
      </c>
      <c r="E757" s="310">
        <v>8.0</v>
      </c>
      <c r="F757" s="315">
        <v>0.0</v>
      </c>
      <c r="G757" s="39"/>
      <c r="H757" s="39" t="str">
        <f t="shared" si="9"/>
        <v>#REF!</v>
      </c>
      <c r="I757" s="12" t="str">
        <f t="shared" si="2"/>
        <v>8 Complete Medical Records, 0 Patient Portal Logins</v>
      </c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hidden="1">
      <c r="A758" s="6" t="s">
        <v>244</v>
      </c>
      <c r="B758" s="16" t="s">
        <v>1082</v>
      </c>
      <c r="C758" s="16" t="s">
        <v>1083</v>
      </c>
      <c r="D758" s="16" t="s">
        <v>1084</v>
      </c>
      <c r="E758" s="310">
        <v>8.0</v>
      </c>
      <c r="F758" s="315">
        <v>0.0</v>
      </c>
      <c r="G758" s="39"/>
      <c r="H758" s="39" t="str">
        <f t="shared" si="9"/>
        <v>#REF!</v>
      </c>
      <c r="I758" s="12" t="str">
        <f t="shared" si="2"/>
        <v>8 Complete Medical Records, 0 Patient Portal Logins</v>
      </c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hidden="1">
      <c r="A759" s="6" t="s">
        <v>244</v>
      </c>
      <c r="B759" s="16" t="s">
        <v>1085</v>
      </c>
      <c r="C759" s="16" t="s">
        <v>1086</v>
      </c>
      <c r="D759" s="16" t="s">
        <v>1087</v>
      </c>
      <c r="E759" s="273"/>
      <c r="F759" s="339"/>
      <c r="G759" s="39"/>
      <c r="H759" s="39" t="str">
        <f t="shared" si="9"/>
        <v>#REF!</v>
      </c>
      <c r="I759" s="12" t="str">
        <f t="shared" si="2"/>
        <v> Complete Medical Records,  Patient Portal Logins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hidden="1">
      <c r="A760" s="6" t="s">
        <v>244</v>
      </c>
      <c r="B760" s="16" t="s">
        <v>1088</v>
      </c>
      <c r="C760" s="16" t="s">
        <v>1089</v>
      </c>
      <c r="D760" s="16" t="s">
        <v>1090</v>
      </c>
      <c r="E760" s="306">
        <v>9.0</v>
      </c>
      <c r="F760" s="314">
        <v>1.0</v>
      </c>
      <c r="G760" s="39"/>
      <c r="H760" s="39" t="str">
        <f t="shared" si="9"/>
        <v>#REF!</v>
      </c>
      <c r="I760" s="12" t="str">
        <f t="shared" si="2"/>
        <v>9 Complete Medical Records, 1 Patient Portal Logins</v>
      </c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hidden="1">
      <c r="A761" s="6" t="s">
        <v>244</v>
      </c>
      <c r="B761" s="7" t="s">
        <v>1091</v>
      </c>
      <c r="C761" s="16" t="s">
        <v>1092</v>
      </c>
      <c r="D761" s="16" t="s">
        <v>1093</v>
      </c>
      <c r="E761" s="306">
        <v>9.0</v>
      </c>
      <c r="F761" s="314">
        <v>0.0</v>
      </c>
      <c r="G761" s="55"/>
      <c r="H761" s="55" t="str">
        <f t="shared" si="9"/>
        <v>#REF!</v>
      </c>
      <c r="I761" s="12" t="str">
        <f t="shared" si="2"/>
        <v>9 Complete Medical Records, 0 Patient Portal Logins</v>
      </c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hidden="1">
      <c r="A762" s="6" t="s">
        <v>244</v>
      </c>
      <c r="B762" s="16" t="s">
        <v>1094</v>
      </c>
      <c r="C762" s="16" t="s">
        <v>1095</v>
      </c>
      <c r="D762" s="16" t="s">
        <v>1096</v>
      </c>
      <c r="E762" s="306">
        <v>9.0</v>
      </c>
      <c r="F762" s="314">
        <v>0.0</v>
      </c>
      <c r="G762" s="39"/>
      <c r="H762" s="39" t="str">
        <f t="shared" si="9"/>
        <v>#REF!</v>
      </c>
      <c r="I762" s="12" t="str">
        <f t="shared" si="2"/>
        <v>9 Complete Medical Records, 0 Patient Portal Logins</v>
      </c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hidden="1">
      <c r="A763" s="6" t="s">
        <v>244</v>
      </c>
      <c r="B763" s="16" t="s">
        <v>1097</v>
      </c>
      <c r="C763" s="16" t="s">
        <v>1098</v>
      </c>
      <c r="D763" s="16" t="s">
        <v>1099</v>
      </c>
      <c r="E763" s="358"/>
      <c r="F763" s="359"/>
      <c r="G763" s="39"/>
      <c r="H763" s="39" t="str">
        <f t="shared" si="9"/>
        <v>#REF!</v>
      </c>
      <c r="I763" s="12" t="str">
        <f t="shared" si="2"/>
        <v> Complete Medical Records,  Patient Portal Logins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hidden="1">
      <c r="A764" s="6" t="s">
        <v>244</v>
      </c>
      <c r="B764" s="16" t="s">
        <v>255</v>
      </c>
      <c r="C764" s="16" t="s">
        <v>256</v>
      </c>
      <c r="D764" s="16" t="s">
        <v>257</v>
      </c>
      <c r="E764" s="312">
        <v>6.0</v>
      </c>
      <c r="F764" s="340">
        <v>0.0</v>
      </c>
      <c r="G764" s="39"/>
      <c r="H764" s="39" t="str">
        <f t="shared" si="9"/>
        <v>#REF!</v>
      </c>
      <c r="I764" s="12" t="str">
        <f t="shared" si="2"/>
        <v>6 Complete Medical Records, 0 Patient Portal Logins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hidden="1">
      <c r="A765" s="6" t="s">
        <v>244</v>
      </c>
      <c r="B765" s="16" t="s">
        <v>1100</v>
      </c>
      <c r="C765" s="16" t="s">
        <v>1101</v>
      </c>
      <c r="D765" s="16" t="s">
        <v>1102</v>
      </c>
      <c r="E765" s="312">
        <v>6.0</v>
      </c>
      <c r="F765" s="317">
        <v>1.0</v>
      </c>
      <c r="G765" s="39"/>
      <c r="H765" s="39" t="str">
        <f t="shared" si="9"/>
        <v>#REF!</v>
      </c>
      <c r="I765" s="12" t="str">
        <f t="shared" si="2"/>
        <v>6 Complete Medical Records, 1 Patient Portal Logins</v>
      </c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hidden="1">
      <c r="A766" s="6" t="s">
        <v>244</v>
      </c>
      <c r="B766" s="16" t="s">
        <v>1103</v>
      </c>
      <c r="C766" s="16" t="s">
        <v>1104</v>
      </c>
      <c r="D766" s="16" t="s">
        <v>1105</v>
      </c>
      <c r="E766" s="310">
        <v>4.0</v>
      </c>
      <c r="F766" s="315">
        <v>0.0</v>
      </c>
      <c r="G766" s="39"/>
      <c r="H766" s="39" t="str">
        <f t="shared" si="9"/>
        <v>#REF!</v>
      </c>
      <c r="I766" s="12" t="str">
        <f t="shared" si="2"/>
        <v>4 Complete Medical Records, 0 Patient Portal Logins</v>
      </c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hidden="1">
      <c r="A767" s="6" t="s">
        <v>244</v>
      </c>
      <c r="B767" s="16" t="s">
        <v>1106</v>
      </c>
      <c r="C767" s="16" t="s">
        <v>1107</v>
      </c>
      <c r="D767" s="16" t="s">
        <v>1108</v>
      </c>
      <c r="E767" s="306">
        <v>9.0</v>
      </c>
      <c r="F767" s="314">
        <v>1.0</v>
      </c>
      <c r="G767" s="39"/>
      <c r="H767" s="39" t="str">
        <f t="shared" si="9"/>
        <v>#REF!</v>
      </c>
      <c r="I767" s="12" t="str">
        <f t="shared" si="2"/>
        <v>9 Complete Medical Records, 1 Patient Portal Logins</v>
      </c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hidden="1">
      <c r="A768" s="6" t="s">
        <v>244</v>
      </c>
      <c r="B768" s="16" t="s">
        <v>1109</v>
      </c>
      <c r="C768" s="16" t="s">
        <v>1110</v>
      </c>
      <c r="D768" s="16" t="s">
        <v>1111</v>
      </c>
      <c r="E768" s="310">
        <v>0.0</v>
      </c>
      <c r="F768" s="315">
        <v>0.0</v>
      </c>
      <c r="G768" s="39"/>
      <c r="H768" s="39" t="str">
        <f t="shared" si="9"/>
        <v>#REF!</v>
      </c>
      <c r="I768" s="12" t="str">
        <f t="shared" si="2"/>
        <v>0 Complete Medical Records, 0 Patient Portal Logins</v>
      </c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hidden="1">
      <c r="A769" s="6" t="s">
        <v>244</v>
      </c>
      <c r="B769" s="16" t="s">
        <v>1112</v>
      </c>
      <c r="C769" s="16" t="s">
        <v>1113</v>
      </c>
      <c r="D769" s="16" t="s">
        <v>1114</v>
      </c>
      <c r="E769" s="310">
        <v>8.0</v>
      </c>
      <c r="F769" s="315">
        <v>0.0</v>
      </c>
      <c r="G769" s="39"/>
      <c r="H769" s="39" t="str">
        <f t="shared" si="9"/>
        <v>#REF!</v>
      </c>
      <c r="I769" s="12" t="str">
        <f t="shared" si="2"/>
        <v>8 Complete Medical Records, 0 Patient Portal Logins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hidden="1">
      <c r="A770" s="6" t="s">
        <v>244</v>
      </c>
      <c r="B770" s="16" t="s">
        <v>1115</v>
      </c>
      <c r="C770" s="16" t="s">
        <v>1116</v>
      </c>
      <c r="D770" s="16" t="s">
        <v>1117</v>
      </c>
      <c r="E770" s="310">
        <v>4.0</v>
      </c>
      <c r="F770" s="315">
        <v>8.0</v>
      </c>
      <c r="G770" s="39"/>
      <c r="H770" s="39" t="str">
        <f t="shared" si="9"/>
        <v>#REF!</v>
      </c>
      <c r="I770" s="12" t="str">
        <f t="shared" si="2"/>
        <v>4 Complete Medical Records, 8 Patient Portal Logins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hidden="1">
      <c r="A771" s="6" t="s">
        <v>244</v>
      </c>
      <c r="B771" s="16" t="s">
        <v>1118</v>
      </c>
      <c r="C771" s="16" t="s">
        <v>1119</v>
      </c>
      <c r="D771" s="16" t="s">
        <v>1120</v>
      </c>
      <c r="E771" s="318">
        <v>6.0</v>
      </c>
      <c r="F771" s="315">
        <v>27.0</v>
      </c>
      <c r="G771" s="39"/>
      <c r="H771" s="39" t="str">
        <f t="shared" si="9"/>
        <v>#REF!</v>
      </c>
      <c r="I771" s="12" t="str">
        <f t="shared" si="2"/>
        <v>6 Complete Medical Records, 27 Patient Portal Logins</v>
      </c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hidden="1">
      <c r="A772" s="6" t="s">
        <v>244</v>
      </c>
      <c r="B772" s="16" t="s">
        <v>1121</v>
      </c>
      <c r="C772" s="16" t="s">
        <v>1122</v>
      </c>
      <c r="D772" s="16" t="s">
        <v>1123</v>
      </c>
      <c r="E772" s="310">
        <v>8.0</v>
      </c>
      <c r="F772" s="315">
        <v>31.0</v>
      </c>
      <c r="G772" s="39"/>
      <c r="H772" s="39" t="str">
        <f t="shared" si="9"/>
        <v>#REF!</v>
      </c>
      <c r="I772" s="12" t="str">
        <f t="shared" si="2"/>
        <v>8 Complete Medical Records, 31 Patient Portal Logins</v>
      </c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hidden="1">
      <c r="A773" s="6" t="s">
        <v>244</v>
      </c>
      <c r="B773" s="16" t="s">
        <v>1124</v>
      </c>
      <c r="C773" s="16" t="s">
        <v>1125</v>
      </c>
      <c r="D773" s="16" t="s">
        <v>1126</v>
      </c>
      <c r="E773" s="306">
        <v>9.0</v>
      </c>
      <c r="F773" s="314">
        <v>0.0</v>
      </c>
      <c r="G773" s="39"/>
      <c r="H773" s="39" t="str">
        <f t="shared" si="9"/>
        <v>#REF!</v>
      </c>
      <c r="I773" s="12" t="str">
        <f t="shared" si="2"/>
        <v>9 Complete Medical Records, 0 Patient Portal Logins</v>
      </c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hidden="1">
      <c r="A774" s="6" t="s">
        <v>244</v>
      </c>
      <c r="B774" s="16" t="s">
        <v>1127</v>
      </c>
      <c r="C774" s="16" t="s">
        <v>1128</v>
      </c>
      <c r="D774" s="16" t="s">
        <v>1129</v>
      </c>
      <c r="E774" s="310">
        <v>8.0</v>
      </c>
      <c r="F774" s="315">
        <v>0.0</v>
      </c>
      <c r="G774" s="39"/>
      <c r="H774" s="39" t="str">
        <f t="shared" si="9"/>
        <v>#REF!</v>
      </c>
      <c r="I774" s="12" t="str">
        <f t="shared" si="2"/>
        <v>8 Complete Medical Records, 0 Patient Portal Logins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hidden="1">
      <c r="A775" s="6" t="s">
        <v>244</v>
      </c>
      <c r="B775" s="16" t="s">
        <v>1130</v>
      </c>
      <c r="C775" s="16" t="s">
        <v>1131</v>
      </c>
      <c r="D775" s="16" t="s">
        <v>1132</v>
      </c>
      <c r="E775" s="310">
        <v>8.0</v>
      </c>
      <c r="F775" s="315">
        <v>0.0</v>
      </c>
      <c r="G775" s="39"/>
      <c r="H775" s="39" t="str">
        <f t="shared" si="9"/>
        <v>#REF!</v>
      </c>
      <c r="I775" s="12" t="str">
        <f t="shared" si="2"/>
        <v>8 Complete Medical Records, 0 Patient Portal Logins</v>
      </c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hidden="1">
      <c r="A776" s="6" t="s">
        <v>244</v>
      </c>
      <c r="B776" s="16" t="s">
        <v>1133</v>
      </c>
      <c r="C776" s="16" t="s">
        <v>1134</v>
      </c>
      <c r="D776" s="16" t="s">
        <v>1135</v>
      </c>
      <c r="E776" s="306">
        <v>9.0</v>
      </c>
      <c r="F776" s="314">
        <v>0.0</v>
      </c>
      <c r="G776" s="39"/>
      <c r="H776" s="39" t="str">
        <f t="shared" si="9"/>
        <v>#REF!</v>
      </c>
      <c r="I776" s="12" t="str">
        <f t="shared" si="2"/>
        <v>9 Complete Medical Records, 0 Patient Portal Logins</v>
      </c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hidden="1">
      <c r="A777" s="6" t="s">
        <v>244</v>
      </c>
      <c r="B777" s="16" t="s">
        <v>1177</v>
      </c>
      <c r="C777" s="16" t="s">
        <v>1178</v>
      </c>
      <c r="D777" s="16" t="s">
        <v>1179</v>
      </c>
      <c r="E777" s="36"/>
      <c r="F777" s="38"/>
      <c r="G777" s="39"/>
      <c r="H777" s="39" t="str">
        <f t="shared" si="9"/>
        <v>#REF!</v>
      </c>
      <c r="I777" s="12" t="str">
        <f t="shared" si="2"/>
        <v> Complete Medical Records,  Patient Portal Logins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hidden="1">
      <c r="A778" s="6" t="s">
        <v>244</v>
      </c>
      <c r="B778" s="16" t="s">
        <v>1164</v>
      </c>
      <c r="C778" s="16" t="s">
        <v>1165</v>
      </c>
      <c r="D778" s="16" t="s">
        <v>1166</v>
      </c>
      <c r="E778" s="36"/>
      <c r="F778" s="38"/>
      <c r="G778" s="39"/>
      <c r="H778" s="39" t="str">
        <f t="shared" si="9"/>
        <v>#REF!</v>
      </c>
      <c r="I778" s="12" t="str">
        <f t="shared" si="2"/>
        <v> Complete Medical Records,  Patient Portal Logins</v>
      </c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hidden="1">
      <c r="A779" s="6" t="s">
        <v>244</v>
      </c>
      <c r="B779" s="16" t="s">
        <v>1136</v>
      </c>
      <c r="C779" s="16" t="s">
        <v>1137</v>
      </c>
      <c r="D779" s="16" t="s">
        <v>1138</v>
      </c>
      <c r="E779" s="312">
        <v>6.0</v>
      </c>
      <c r="F779" s="317">
        <v>0.0</v>
      </c>
      <c r="G779" s="39"/>
      <c r="H779" s="39" t="str">
        <f t="shared" si="9"/>
        <v>#REF!</v>
      </c>
      <c r="I779" s="12" t="str">
        <f t="shared" si="2"/>
        <v>6 Complete Medical Records, 0 Patient Portal Logins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hidden="1">
      <c r="A780" s="6" t="s">
        <v>244</v>
      </c>
      <c r="B780" s="16" t="s">
        <v>1139</v>
      </c>
      <c r="C780" s="16" t="s">
        <v>1140</v>
      </c>
      <c r="D780" s="16" t="s">
        <v>1141</v>
      </c>
      <c r="E780" s="318">
        <v>6.0</v>
      </c>
      <c r="F780" s="315">
        <v>12.0</v>
      </c>
      <c r="G780" s="39"/>
      <c r="H780" s="39" t="str">
        <f t="shared" si="9"/>
        <v>#REF!</v>
      </c>
      <c r="I780" s="12" t="str">
        <f t="shared" si="2"/>
        <v>6 Complete Medical Records, 12 Patient Portal Logins</v>
      </c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hidden="1">
      <c r="A781" s="6" t="s">
        <v>244</v>
      </c>
      <c r="B781" s="16" t="s">
        <v>1142</v>
      </c>
      <c r="C781" s="16" t="s">
        <v>1143</v>
      </c>
      <c r="D781" s="16" t="s">
        <v>1144</v>
      </c>
      <c r="E781" s="306">
        <v>9.0</v>
      </c>
      <c r="F781" s="314">
        <v>16.0</v>
      </c>
      <c r="G781" s="39"/>
      <c r="H781" s="39" t="str">
        <f t="shared" si="9"/>
        <v>#REF!</v>
      </c>
      <c r="I781" s="12" t="str">
        <f t="shared" si="2"/>
        <v>9 Complete Medical Records, 16 Patient Portal Logins</v>
      </c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hidden="1">
      <c r="A782" s="6" t="s">
        <v>244</v>
      </c>
      <c r="B782" s="16" t="s">
        <v>1145</v>
      </c>
      <c r="C782" s="16" t="s">
        <v>1146</v>
      </c>
      <c r="D782" s="16" t="s">
        <v>1147</v>
      </c>
      <c r="E782" s="312">
        <v>6.0</v>
      </c>
      <c r="F782" s="317">
        <v>0.0</v>
      </c>
      <c r="G782" s="39"/>
      <c r="H782" s="39" t="str">
        <f t="shared" si="9"/>
        <v>#REF!</v>
      </c>
      <c r="I782" s="12" t="str">
        <f t="shared" si="2"/>
        <v>6 Complete Medical Records, 0 Patient Portal Logins</v>
      </c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hidden="1">
      <c r="A783" s="6" t="s">
        <v>244</v>
      </c>
      <c r="B783" s="16" t="s">
        <v>1148</v>
      </c>
      <c r="C783" s="16" t="s">
        <v>1149</v>
      </c>
      <c r="D783" s="16" t="s">
        <v>1150</v>
      </c>
      <c r="E783" s="310">
        <v>4.0</v>
      </c>
      <c r="F783" s="315">
        <v>13.0</v>
      </c>
      <c r="G783" s="39"/>
      <c r="H783" s="39" t="str">
        <f t="shared" si="9"/>
        <v>#REF!</v>
      </c>
      <c r="I783" s="12" t="str">
        <f t="shared" si="2"/>
        <v>4 Complete Medical Records, 13 Patient Portal Logins</v>
      </c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hidden="1">
      <c r="A784" s="6" t="s">
        <v>244</v>
      </c>
      <c r="B784" s="16" t="s">
        <v>1151</v>
      </c>
      <c r="C784" s="16" t="s">
        <v>1152</v>
      </c>
      <c r="D784" s="16" t="s">
        <v>1153</v>
      </c>
      <c r="E784" s="310">
        <v>8.0</v>
      </c>
      <c r="F784" s="315">
        <v>31.0</v>
      </c>
      <c r="G784" s="39"/>
      <c r="H784" s="39" t="str">
        <f t="shared" si="9"/>
        <v>#REF!</v>
      </c>
      <c r="I784" s="12" t="str">
        <f t="shared" si="2"/>
        <v>8 Complete Medical Records, 31 Patient Portal Logins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hidden="1">
      <c r="A785" s="6" t="s">
        <v>244</v>
      </c>
      <c r="B785" s="16" t="s">
        <v>1154</v>
      </c>
      <c r="C785" s="16" t="s">
        <v>1155</v>
      </c>
      <c r="D785" s="16" t="s">
        <v>1156</v>
      </c>
      <c r="E785" s="318">
        <v>1.0</v>
      </c>
      <c r="F785" s="315">
        <v>6.0</v>
      </c>
      <c r="G785" s="39"/>
      <c r="H785" s="39" t="str">
        <f t="shared" si="9"/>
        <v>#REF!</v>
      </c>
      <c r="I785" s="12" t="str">
        <f t="shared" si="2"/>
        <v>1 Complete Medical Records, 6 Patient Portal Logins</v>
      </c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hidden="1">
      <c r="A786" s="6" t="s">
        <v>244</v>
      </c>
      <c r="B786" s="61" t="s">
        <v>1158</v>
      </c>
      <c r="C786" s="21" t="s">
        <v>1159</v>
      </c>
      <c r="D786" s="21" t="s">
        <v>1160</v>
      </c>
      <c r="E786" s="312">
        <v>6.0</v>
      </c>
      <c r="F786" s="317">
        <v>2.0</v>
      </c>
      <c r="G786" s="39"/>
      <c r="H786" s="39" t="str">
        <f t="shared" si="9"/>
        <v>#REF!</v>
      </c>
      <c r="I786" s="12" t="str">
        <f t="shared" si="2"/>
        <v>6 Complete Medical Records, 2 Patient Portal Logins</v>
      </c>
      <c r="J786" s="23"/>
      <c r="K786" s="23"/>
      <c r="L786" s="23"/>
      <c r="M786" s="14"/>
      <c r="N786" s="23"/>
      <c r="O786" s="23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hidden="1">
      <c r="A787" s="6" t="s">
        <v>244</v>
      </c>
      <c r="B787" s="21" t="s">
        <v>1161</v>
      </c>
      <c r="C787" s="21" t="s">
        <v>1162</v>
      </c>
      <c r="D787" s="21" t="s">
        <v>1163</v>
      </c>
      <c r="E787" s="223">
        <v>0.0</v>
      </c>
      <c r="F787" s="229">
        <v>0.0</v>
      </c>
      <c r="G787" s="39"/>
      <c r="H787" s="39" t="str">
        <f t="shared" si="9"/>
        <v>#REF!</v>
      </c>
      <c r="I787" s="12" t="str">
        <f t="shared" si="2"/>
        <v>0 Complete Medical Records, 0 Patient Portal Logins</v>
      </c>
      <c r="J787" s="23"/>
      <c r="K787" s="23"/>
      <c r="L787" s="23"/>
      <c r="M787" s="14"/>
      <c r="N787" s="23"/>
      <c r="O787" s="23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hidden="1">
      <c r="A788" s="54" t="s">
        <v>248</v>
      </c>
      <c r="B788" s="7" t="s">
        <v>1076</v>
      </c>
      <c r="C788" s="7" t="s">
        <v>1077</v>
      </c>
      <c r="D788" s="7" t="s">
        <v>1078</v>
      </c>
      <c r="E788" s="310">
        <v>2.0</v>
      </c>
      <c r="F788" s="314">
        <v>0.0</v>
      </c>
      <c r="G788" s="39"/>
      <c r="H788" s="39" t="str">
        <f t="shared" si="9"/>
        <v>#REF!</v>
      </c>
      <c r="I788" s="12" t="str">
        <f t="shared" si="2"/>
        <v>2 Complete Medical Records, 0 Patient Portal Logins</v>
      </c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hidden="1">
      <c r="A789" s="54" t="s">
        <v>248</v>
      </c>
      <c r="B789" s="7" t="s">
        <v>1079</v>
      </c>
      <c r="C789" s="7" t="s">
        <v>1080</v>
      </c>
      <c r="D789" s="7" t="s">
        <v>1081</v>
      </c>
      <c r="E789" s="310">
        <v>2.0</v>
      </c>
      <c r="F789" s="314">
        <v>0.0</v>
      </c>
      <c r="G789" s="39"/>
      <c r="H789" s="39" t="str">
        <f t="shared" si="9"/>
        <v>#REF!</v>
      </c>
      <c r="I789" s="12" t="str">
        <f t="shared" si="2"/>
        <v>2 Complete Medical Records, 0 Patient Portal Logins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hidden="1">
      <c r="A790" s="54" t="s">
        <v>248</v>
      </c>
      <c r="B790" s="7" t="s">
        <v>1082</v>
      </c>
      <c r="C790" s="7" t="s">
        <v>1083</v>
      </c>
      <c r="D790" s="7" t="s">
        <v>1084</v>
      </c>
      <c r="E790" s="310">
        <v>2.0</v>
      </c>
      <c r="F790" s="314">
        <v>0.0</v>
      </c>
      <c r="G790" s="39"/>
      <c r="H790" s="39" t="str">
        <f t="shared" si="9"/>
        <v>#REF!</v>
      </c>
      <c r="I790" s="12" t="str">
        <f t="shared" si="2"/>
        <v>2 Complete Medical Records, 0 Patient Portal Logins</v>
      </c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hidden="1">
      <c r="A791" s="54" t="s">
        <v>248</v>
      </c>
      <c r="B791" s="7" t="s">
        <v>1085</v>
      </c>
      <c r="C791" s="7" t="s">
        <v>1086</v>
      </c>
      <c r="D791" s="7" t="s">
        <v>1087</v>
      </c>
      <c r="E791" s="310">
        <v>2.0</v>
      </c>
      <c r="F791" s="314">
        <v>0.0</v>
      </c>
      <c r="G791" s="39"/>
      <c r="H791" s="39" t="str">
        <f t="shared" si="9"/>
        <v>#REF!</v>
      </c>
      <c r="I791" s="12" t="str">
        <f t="shared" si="2"/>
        <v>2 Complete Medical Records, 0 Patient Portal Logins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hidden="1">
      <c r="A792" s="54" t="s">
        <v>248</v>
      </c>
      <c r="B792" s="7" t="s">
        <v>1088</v>
      </c>
      <c r="C792" s="7" t="s">
        <v>1089</v>
      </c>
      <c r="D792" s="7" t="s">
        <v>1090</v>
      </c>
      <c r="E792" s="306">
        <v>4.0</v>
      </c>
      <c r="F792" s="314">
        <v>0.0</v>
      </c>
      <c r="G792" s="39"/>
      <c r="H792" s="39" t="str">
        <f t="shared" si="9"/>
        <v>#REF!</v>
      </c>
      <c r="I792" s="12" t="str">
        <f t="shared" si="2"/>
        <v>4 Complete Medical Records, 0 Patient Portal Logins</v>
      </c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hidden="1">
      <c r="A793" s="54" t="s">
        <v>248</v>
      </c>
      <c r="B793" s="7" t="s">
        <v>1091</v>
      </c>
      <c r="C793" s="7" t="s">
        <v>1092</v>
      </c>
      <c r="D793" s="7" t="s">
        <v>1093</v>
      </c>
      <c r="E793" s="306">
        <v>4.0</v>
      </c>
      <c r="F793" s="314">
        <v>0.0</v>
      </c>
      <c r="G793" s="55"/>
      <c r="H793" s="55" t="str">
        <f t="shared" si="9"/>
        <v>#REF!</v>
      </c>
      <c r="I793" s="12" t="str">
        <f t="shared" si="2"/>
        <v>4 Complete Medical Records, 0 Patient Portal Logins</v>
      </c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hidden="1">
      <c r="A794" s="54" t="s">
        <v>248</v>
      </c>
      <c r="B794" s="7" t="s">
        <v>1094</v>
      </c>
      <c r="C794" s="7" t="s">
        <v>1095</v>
      </c>
      <c r="D794" s="7" t="s">
        <v>1096</v>
      </c>
      <c r="E794" s="306">
        <v>4.0</v>
      </c>
      <c r="F794" s="314">
        <v>0.0</v>
      </c>
      <c r="G794" s="39"/>
      <c r="H794" s="39" t="str">
        <f t="shared" si="9"/>
        <v>#REF!</v>
      </c>
      <c r="I794" s="12" t="str">
        <f t="shared" si="2"/>
        <v>4 Complete Medical Records, 0 Patient Portal Logins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hidden="1">
      <c r="A795" s="6" t="s">
        <v>248</v>
      </c>
      <c r="B795" s="7" t="s">
        <v>1097</v>
      </c>
      <c r="C795" s="7" t="s">
        <v>1098</v>
      </c>
      <c r="D795" s="7" t="s">
        <v>1099</v>
      </c>
      <c r="E795" s="312">
        <v>1.0</v>
      </c>
      <c r="F795" s="317">
        <v>0.0</v>
      </c>
      <c r="G795" s="39"/>
      <c r="H795" s="39" t="str">
        <f t="shared" si="9"/>
        <v>#REF!</v>
      </c>
      <c r="I795" s="12" t="str">
        <f t="shared" si="2"/>
        <v>1 Complete Medical Records, 0 Patient Portal Logins</v>
      </c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hidden="1">
      <c r="A796" s="6" t="s">
        <v>248</v>
      </c>
      <c r="B796" s="7" t="s">
        <v>255</v>
      </c>
      <c r="C796" s="7" t="s">
        <v>256</v>
      </c>
      <c r="D796" s="7" t="s">
        <v>257</v>
      </c>
      <c r="E796" s="312">
        <v>1.0</v>
      </c>
      <c r="F796" s="317">
        <v>0.0</v>
      </c>
      <c r="G796" s="39"/>
      <c r="H796" s="39" t="str">
        <f t="shared" si="9"/>
        <v>#REF!</v>
      </c>
      <c r="I796" s="12" t="str">
        <f t="shared" si="2"/>
        <v>1 Complete Medical Records, 0 Patient Portal Logins</v>
      </c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hidden="1">
      <c r="A797" s="6" t="s">
        <v>248</v>
      </c>
      <c r="B797" s="16" t="s">
        <v>1100</v>
      </c>
      <c r="C797" s="16" t="s">
        <v>1101</v>
      </c>
      <c r="D797" s="16" t="s">
        <v>1102</v>
      </c>
      <c r="E797" s="312">
        <v>1.0</v>
      </c>
      <c r="F797" s="317">
        <v>0.0</v>
      </c>
      <c r="G797" s="39"/>
      <c r="H797" s="39" t="str">
        <f t="shared" si="9"/>
        <v>#REF!</v>
      </c>
      <c r="I797" s="12" t="str">
        <f t="shared" si="2"/>
        <v>1 Complete Medical Records, 0 Patient Portal Logins</v>
      </c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hidden="1">
      <c r="A798" s="6" t="s">
        <v>248</v>
      </c>
      <c r="B798" s="16" t="s">
        <v>1103</v>
      </c>
      <c r="C798" s="16" t="s">
        <v>1104</v>
      </c>
      <c r="D798" s="16" t="s">
        <v>1105</v>
      </c>
      <c r="E798" s="312"/>
      <c r="F798" s="317"/>
      <c r="G798" s="39"/>
      <c r="H798" s="39" t="str">
        <f t="shared" si="9"/>
        <v>#REF!</v>
      </c>
      <c r="I798" s="12" t="str">
        <f t="shared" si="2"/>
        <v> Complete Medical Records,  Patient Portal Logins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hidden="1">
      <c r="A799" s="6" t="s">
        <v>248</v>
      </c>
      <c r="B799" s="16" t="s">
        <v>1106</v>
      </c>
      <c r="C799" s="16" t="s">
        <v>1107</v>
      </c>
      <c r="D799" s="16" t="s">
        <v>1108</v>
      </c>
      <c r="E799" s="312">
        <v>4.0</v>
      </c>
      <c r="F799" s="317">
        <v>1.0</v>
      </c>
      <c r="G799" s="39"/>
      <c r="H799" s="39" t="str">
        <f t="shared" si="9"/>
        <v>#REF!</v>
      </c>
      <c r="I799" s="12" t="str">
        <f t="shared" si="2"/>
        <v>4 Complete Medical Records, 1 Patient Portal Logins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hidden="1">
      <c r="A800" s="6" t="s">
        <v>248</v>
      </c>
      <c r="B800" s="16" t="s">
        <v>1109</v>
      </c>
      <c r="C800" s="16" t="s">
        <v>1110</v>
      </c>
      <c r="D800" s="16" t="s">
        <v>1111</v>
      </c>
      <c r="E800" s="312">
        <v>2.0</v>
      </c>
      <c r="F800" s="317">
        <v>0.0</v>
      </c>
      <c r="G800" s="39"/>
      <c r="H800" s="39" t="str">
        <f t="shared" si="9"/>
        <v>#REF!</v>
      </c>
      <c r="I800" s="12" t="str">
        <f t="shared" si="2"/>
        <v>2 Complete Medical Records, 0 Patient Portal Logins</v>
      </c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hidden="1">
      <c r="A801" s="6" t="s">
        <v>248</v>
      </c>
      <c r="B801" s="16" t="s">
        <v>1112</v>
      </c>
      <c r="C801" s="16" t="s">
        <v>1113</v>
      </c>
      <c r="D801" s="16" t="s">
        <v>1114</v>
      </c>
      <c r="E801" s="312">
        <v>2.0</v>
      </c>
      <c r="F801" s="317">
        <v>0.0</v>
      </c>
      <c r="G801" s="39"/>
      <c r="H801" s="39" t="str">
        <f t="shared" si="9"/>
        <v>#REF!</v>
      </c>
      <c r="I801" s="12" t="str">
        <f t="shared" si="2"/>
        <v>2 Complete Medical Records, 0 Patient Portal Logins</v>
      </c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hidden="1">
      <c r="A802" s="6" t="s">
        <v>248</v>
      </c>
      <c r="B802" s="16" t="s">
        <v>1115</v>
      </c>
      <c r="C802" s="16" t="s">
        <v>1116</v>
      </c>
      <c r="D802" s="16" t="s">
        <v>1117</v>
      </c>
      <c r="E802" s="312"/>
      <c r="F802" s="315">
        <v>4.0</v>
      </c>
      <c r="G802" s="39"/>
      <c r="H802" s="39" t="str">
        <f t="shared" si="9"/>
        <v>#REF!</v>
      </c>
      <c r="I802" s="12" t="str">
        <f t="shared" si="2"/>
        <v> Complete Medical Records, 4 Patient Portal Logins</v>
      </c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hidden="1">
      <c r="A803" s="6" t="s">
        <v>248</v>
      </c>
      <c r="B803" s="16" t="s">
        <v>1118</v>
      </c>
      <c r="C803" s="16" t="s">
        <v>1119</v>
      </c>
      <c r="D803" s="16" t="s">
        <v>1120</v>
      </c>
      <c r="E803" s="312">
        <v>1.0</v>
      </c>
      <c r="F803" s="317">
        <v>28.0</v>
      </c>
      <c r="G803" s="39"/>
      <c r="H803" s="39" t="str">
        <f t="shared" si="9"/>
        <v>#REF!</v>
      </c>
      <c r="I803" s="12" t="str">
        <f t="shared" si="2"/>
        <v>1 Complete Medical Records, 28 Patient Portal Logins</v>
      </c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hidden="1">
      <c r="A804" s="6" t="s">
        <v>248</v>
      </c>
      <c r="B804" s="16" t="s">
        <v>1121</v>
      </c>
      <c r="C804" s="16" t="s">
        <v>1122</v>
      </c>
      <c r="D804" s="16" t="s">
        <v>1123</v>
      </c>
      <c r="E804" s="312">
        <v>2.0</v>
      </c>
      <c r="F804" s="317">
        <v>22.0</v>
      </c>
      <c r="G804" s="39"/>
      <c r="H804" s="39" t="str">
        <f t="shared" si="9"/>
        <v>#REF!</v>
      </c>
      <c r="I804" s="12" t="str">
        <f t="shared" si="2"/>
        <v>2 Complete Medical Records, 22 Patient Portal Logins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hidden="1">
      <c r="A805" s="6" t="s">
        <v>248</v>
      </c>
      <c r="B805" s="16" t="s">
        <v>1124</v>
      </c>
      <c r="C805" s="16" t="s">
        <v>1125</v>
      </c>
      <c r="D805" s="16" t="s">
        <v>1126</v>
      </c>
      <c r="E805" s="312">
        <v>4.0</v>
      </c>
      <c r="F805" s="317">
        <v>0.0</v>
      </c>
      <c r="G805" s="39"/>
      <c r="H805" s="39" t="str">
        <f t="shared" si="9"/>
        <v>#REF!</v>
      </c>
      <c r="I805" s="12" t="str">
        <f t="shared" si="2"/>
        <v>4 Complete Medical Records, 0 Patient Portal Logins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hidden="1">
      <c r="A806" s="6" t="s">
        <v>248</v>
      </c>
      <c r="B806" s="16" t="s">
        <v>1127</v>
      </c>
      <c r="C806" s="16" t="s">
        <v>1128</v>
      </c>
      <c r="D806" s="16" t="s">
        <v>1129</v>
      </c>
      <c r="E806" s="312">
        <v>2.0</v>
      </c>
      <c r="F806" s="317">
        <v>0.0</v>
      </c>
      <c r="G806" s="39"/>
      <c r="H806" s="39" t="str">
        <f t="shared" si="9"/>
        <v>#REF!</v>
      </c>
      <c r="I806" s="12" t="str">
        <f t="shared" si="2"/>
        <v>2 Complete Medical Records, 0 Patient Portal Logins</v>
      </c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hidden="1">
      <c r="A807" s="6" t="s">
        <v>248</v>
      </c>
      <c r="B807" s="16" t="s">
        <v>1130</v>
      </c>
      <c r="C807" s="16" t="s">
        <v>1131</v>
      </c>
      <c r="D807" s="16" t="s">
        <v>1132</v>
      </c>
      <c r="E807" s="312">
        <v>2.0</v>
      </c>
      <c r="F807" s="317">
        <v>0.0</v>
      </c>
      <c r="G807" s="39"/>
      <c r="H807" s="39" t="str">
        <f t="shared" si="9"/>
        <v>#REF!</v>
      </c>
      <c r="I807" s="12" t="str">
        <f t="shared" si="2"/>
        <v>2 Complete Medical Records, 0 Patient Portal Logins</v>
      </c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hidden="1">
      <c r="A808" s="6" t="s">
        <v>248</v>
      </c>
      <c r="B808" s="16" t="s">
        <v>1133</v>
      </c>
      <c r="C808" s="16" t="s">
        <v>1134</v>
      </c>
      <c r="D808" s="16" t="s">
        <v>1135</v>
      </c>
      <c r="E808" s="312">
        <v>4.0</v>
      </c>
      <c r="F808" s="317">
        <v>0.0</v>
      </c>
      <c r="G808" s="39"/>
      <c r="H808" s="39" t="str">
        <f t="shared" si="9"/>
        <v>#REF!</v>
      </c>
      <c r="I808" s="12" t="str">
        <f t="shared" si="2"/>
        <v>4 Complete Medical Records, 0 Patient Portal Logins</v>
      </c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hidden="1">
      <c r="A809" s="6" t="s">
        <v>248</v>
      </c>
      <c r="B809" s="16" t="s">
        <v>1177</v>
      </c>
      <c r="C809" s="16" t="s">
        <v>1178</v>
      </c>
      <c r="D809" s="16" t="s">
        <v>1179</v>
      </c>
      <c r="E809" s="312"/>
      <c r="F809" s="317"/>
      <c r="G809" s="39"/>
      <c r="H809" s="39" t="str">
        <f t="shared" si="9"/>
        <v>#REF!</v>
      </c>
      <c r="I809" s="12" t="str">
        <f t="shared" si="2"/>
        <v> Complete Medical Records,  Patient Portal Logins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hidden="1">
      <c r="A810" s="6" t="s">
        <v>248</v>
      </c>
      <c r="B810" s="16" t="s">
        <v>1164</v>
      </c>
      <c r="C810" s="16" t="s">
        <v>1165</v>
      </c>
      <c r="D810" s="16" t="s">
        <v>1166</v>
      </c>
      <c r="E810" s="312"/>
      <c r="F810" s="317"/>
      <c r="G810" s="39"/>
      <c r="H810" s="39" t="str">
        <f t="shared" si="9"/>
        <v>#REF!</v>
      </c>
      <c r="I810" s="12" t="str">
        <f t="shared" si="2"/>
        <v> Complete Medical Records,  Patient Portal Logins</v>
      </c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hidden="1">
      <c r="A811" s="6" t="s">
        <v>248</v>
      </c>
      <c r="B811" s="16" t="s">
        <v>1136</v>
      </c>
      <c r="C811" s="16" t="s">
        <v>1137</v>
      </c>
      <c r="D811" s="16" t="s">
        <v>1138</v>
      </c>
      <c r="E811" s="312">
        <v>1.0</v>
      </c>
      <c r="F811" s="317">
        <v>0.0</v>
      </c>
      <c r="G811" s="39"/>
      <c r="H811" s="39" t="str">
        <f t="shared" si="9"/>
        <v>#REF!</v>
      </c>
      <c r="I811" s="12" t="str">
        <f t="shared" si="2"/>
        <v>1 Complete Medical Records, 0 Patient Portal Logins</v>
      </c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hidden="1">
      <c r="A812" s="6" t="s">
        <v>248</v>
      </c>
      <c r="B812" s="16" t="s">
        <v>1139</v>
      </c>
      <c r="C812" s="16" t="s">
        <v>1140</v>
      </c>
      <c r="D812" s="16" t="s">
        <v>1141</v>
      </c>
      <c r="E812" s="312">
        <v>1.0</v>
      </c>
      <c r="F812" s="317">
        <v>15.0</v>
      </c>
      <c r="G812" s="39"/>
      <c r="H812" s="39" t="str">
        <f t="shared" si="9"/>
        <v>#REF!</v>
      </c>
      <c r="I812" s="12" t="str">
        <f t="shared" si="2"/>
        <v>1 Complete Medical Records, 15 Patient Portal Logins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hidden="1">
      <c r="A813" s="6" t="s">
        <v>248</v>
      </c>
      <c r="B813" s="16" t="s">
        <v>1142</v>
      </c>
      <c r="C813" s="16" t="s">
        <v>1143</v>
      </c>
      <c r="D813" s="16" t="s">
        <v>1144</v>
      </c>
      <c r="E813" s="312">
        <v>4.0</v>
      </c>
      <c r="F813" s="317">
        <v>14.0</v>
      </c>
      <c r="G813" s="39"/>
      <c r="H813" s="39" t="str">
        <f t="shared" si="9"/>
        <v>#REF!</v>
      </c>
      <c r="I813" s="12" t="str">
        <f t="shared" si="2"/>
        <v>4 Complete Medical Records, 14 Patient Portal Logins</v>
      </c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hidden="1">
      <c r="A814" s="6" t="s">
        <v>248</v>
      </c>
      <c r="B814" s="16" t="s">
        <v>1145</v>
      </c>
      <c r="C814" s="16" t="s">
        <v>1146</v>
      </c>
      <c r="D814" s="16" t="s">
        <v>1147</v>
      </c>
      <c r="E814" s="312">
        <v>1.0</v>
      </c>
      <c r="F814" s="317">
        <v>0.0</v>
      </c>
      <c r="G814" s="39"/>
      <c r="H814" s="39" t="str">
        <f t="shared" si="9"/>
        <v>#REF!</v>
      </c>
      <c r="I814" s="12" t="str">
        <f t="shared" si="2"/>
        <v>1 Complete Medical Records, 0 Patient Portal Logins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hidden="1">
      <c r="A815" s="6" t="s">
        <v>248</v>
      </c>
      <c r="B815" s="16" t="s">
        <v>1148</v>
      </c>
      <c r="C815" s="16" t="s">
        <v>1149</v>
      </c>
      <c r="D815" s="16" t="s">
        <v>1150</v>
      </c>
      <c r="E815" s="312">
        <v>0.0</v>
      </c>
      <c r="F815" s="317">
        <v>13.0</v>
      </c>
      <c r="G815" s="39"/>
      <c r="H815" s="39" t="str">
        <f t="shared" si="9"/>
        <v>#REF!</v>
      </c>
      <c r="I815" s="12" t="str">
        <f t="shared" si="2"/>
        <v>0 Complete Medical Records, 13 Patient Portal Logins</v>
      </c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hidden="1">
      <c r="A816" s="6" t="s">
        <v>248</v>
      </c>
      <c r="B816" s="16" t="s">
        <v>1151</v>
      </c>
      <c r="C816" s="16" t="s">
        <v>1152</v>
      </c>
      <c r="D816" s="16" t="s">
        <v>1153</v>
      </c>
      <c r="E816" s="312">
        <v>2.0</v>
      </c>
      <c r="F816" s="317">
        <v>22.0</v>
      </c>
      <c r="G816" s="39"/>
      <c r="H816" s="39" t="str">
        <f t="shared" si="9"/>
        <v>#REF!</v>
      </c>
      <c r="I816" s="12" t="str">
        <f t="shared" si="2"/>
        <v>2 Complete Medical Records, 22 Patient Portal Logins</v>
      </c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hidden="1">
      <c r="A817" s="6" t="s">
        <v>248</v>
      </c>
      <c r="B817" s="16" t="s">
        <v>1154</v>
      </c>
      <c r="C817" s="16" t="s">
        <v>1155</v>
      </c>
      <c r="D817" s="16" t="s">
        <v>1156</v>
      </c>
      <c r="E817" s="312"/>
      <c r="F817" s="317"/>
      <c r="G817" s="39"/>
      <c r="H817" s="39" t="str">
        <f t="shared" si="9"/>
        <v>#REF!</v>
      </c>
      <c r="I817" s="12" t="str">
        <f t="shared" si="2"/>
        <v> Complete Medical Records,  Patient Portal Logins</v>
      </c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hidden="1">
      <c r="A818" s="6" t="s">
        <v>248</v>
      </c>
      <c r="B818" s="61" t="s">
        <v>1158</v>
      </c>
      <c r="C818" s="21" t="s">
        <v>1159</v>
      </c>
      <c r="D818" s="21" t="s">
        <v>1160</v>
      </c>
      <c r="E818" s="312">
        <v>1.0</v>
      </c>
      <c r="F818" s="317">
        <v>5.0</v>
      </c>
      <c r="G818" s="39"/>
      <c r="H818" s="39" t="str">
        <f t="shared" si="9"/>
        <v>#REF!</v>
      </c>
      <c r="I818" s="12" t="str">
        <f t="shared" si="2"/>
        <v>1 Complete Medical Records, 5 Patient Portal Logins</v>
      </c>
      <c r="J818" s="23"/>
      <c r="K818" s="23"/>
      <c r="L818" s="23"/>
      <c r="M818" s="14"/>
      <c r="N818" s="23"/>
      <c r="O818" s="23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hidden="1">
      <c r="A819" s="6" t="s">
        <v>248</v>
      </c>
      <c r="B819" s="21" t="s">
        <v>1161</v>
      </c>
      <c r="C819" s="21" t="s">
        <v>1162</v>
      </c>
      <c r="D819" s="21" t="s">
        <v>1163</v>
      </c>
      <c r="E819" s="312"/>
      <c r="F819" s="317"/>
      <c r="G819" s="39"/>
      <c r="H819" s="39" t="str">
        <f t="shared" si="9"/>
        <v>#REF!</v>
      </c>
      <c r="I819" s="12" t="str">
        <f t="shared" si="2"/>
        <v> Complete Medical Records,  Patient Portal Logins</v>
      </c>
      <c r="J819" s="23"/>
      <c r="K819" s="23"/>
      <c r="L819" s="23"/>
      <c r="M819" s="14"/>
      <c r="N819" s="23"/>
      <c r="O819" s="23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hidden="1">
      <c r="A820" s="6" t="s">
        <v>249</v>
      </c>
      <c r="B820" s="16" t="s">
        <v>1100</v>
      </c>
      <c r="C820" s="16" t="s">
        <v>1101</v>
      </c>
      <c r="D820" s="16" t="s">
        <v>1102</v>
      </c>
      <c r="E820" s="76"/>
      <c r="F820" s="360"/>
      <c r="G820" s="39"/>
      <c r="H820" s="39" t="str">
        <f>E820*300+#REF!*125+F820*250</f>
        <v>#REF!</v>
      </c>
      <c r="I820" s="12" t="str">
        <f t="shared" si="2"/>
        <v> Complete Medical Records,  Patient Portal Logins</v>
      </c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hidden="1">
      <c r="A821" s="6" t="s">
        <v>249</v>
      </c>
      <c r="B821" s="16" t="s">
        <v>1103</v>
      </c>
      <c r="C821" s="16" t="s">
        <v>1104</v>
      </c>
      <c r="D821" s="16" t="s">
        <v>1105</v>
      </c>
      <c r="E821" s="76"/>
      <c r="F821" s="315">
        <v>1.0</v>
      </c>
      <c r="G821" s="39"/>
      <c r="H821" s="39" t="str">
        <f t="shared" ref="H821:H822" si="10">E821*300+#REF!*125+F821*250+#REF!*250</f>
        <v>#REF!</v>
      </c>
      <c r="I821" s="12" t="str">
        <f t="shared" si="2"/>
        <v> Complete Medical Records, 1 Patient Portal Logins</v>
      </c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hidden="1">
      <c r="A822" s="6" t="s">
        <v>249</v>
      </c>
      <c r="B822" s="16" t="s">
        <v>1106</v>
      </c>
      <c r="C822" s="16" t="s">
        <v>1107</v>
      </c>
      <c r="D822" s="16" t="s">
        <v>1108</v>
      </c>
      <c r="E822" s="76"/>
      <c r="F822" s="315">
        <v>6.0</v>
      </c>
      <c r="G822" s="39"/>
      <c r="H822" s="39" t="str">
        <f t="shared" si="10"/>
        <v>#REF!</v>
      </c>
      <c r="I822" s="12" t="str">
        <f t="shared" si="2"/>
        <v> Complete Medical Records, 6 Patient Portal Logins</v>
      </c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hidden="1">
      <c r="A823" s="6" t="s">
        <v>249</v>
      </c>
      <c r="B823" s="16" t="s">
        <v>1109</v>
      </c>
      <c r="C823" s="16" t="s">
        <v>1110</v>
      </c>
      <c r="D823" s="16" t="s">
        <v>1111</v>
      </c>
      <c r="E823" s="76"/>
      <c r="F823" s="78"/>
      <c r="G823" s="39"/>
      <c r="H823" s="39" t="str">
        <f>E823*300+#REF!*125+F823*250</f>
        <v>#REF!</v>
      </c>
      <c r="I823" s="12" t="str">
        <f t="shared" si="2"/>
        <v> Complete Medical Records,  Patient Portal Logins</v>
      </c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hidden="1">
      <c r="A824" s="6" t="s">
        <v>249</v>
      </c>
      <c r="B824" s="16" t="s">
        <v>1112</v>
      </c>
      <c r="C824" s="16" t="s">
        <v>1113</v>
      </c>
      <c r="D824" s="16" t="s">
        <v>1114</v>
      </c>
      <c r="E824" s="76"/>
      <c r="F824" s="315">
        <v>1.0</v>
      </c>
      <c r="G824" s="39"/>
      <c r="H824" s="39" t="str">
        <f t="shared" ref="H824:H827" si="11">E824*300+#REF!*125+F824*250+#REF!*250</f>
        <v>#REF!</v>
      </c>
      <c r="I824" s="12" t="str">
        <f t="shared" si="2"/>
        <v> Complete Medical Records, 1 Patient Portal Logins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hidden="1">
      <c r="A825" s="6" t="s">
        <v>249</v>
      </c>
      <c r="B825" s="16" t="s">
        <v>1115</v>
      </c>
      <c r="C825" s="16" t="s">
        <v>1116</v>
      </c>
      <c r="D825" s="16" t="s">
        <v>1117</v>
      </c>
      <c r="E825" s="76"/>
      <c r="F825" s="315">
        <v>9.0</v>
      </c>
      <c r="G825" s="39"/>
      <c r="H825" s="39" t="str">
        <f t="shared" si="11"/>
        <v>#REF!</v>
      </c>
      <c r="I825" s="12" t="str">
        <f t="shared" si="2"/>
        <v> Complete Medical Records, 9 Patient Portal Logins</v>
      </c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hidden="1">
      <c r="A826" s="6" t="s">
        <v>249</v>
      </c>
      <c r="B826" s="16" t="s">
        <v>1118</v>
      </c>
      <c r="C826" s="16" t="s">
        <v>1119</v>
      </c>
      <c r="D826" s="16" t="s">
        <v>1120</v>
      </c>
      <c r="E826" s="76"/>
      <c r="F826" s="315">
        <v>40.0</v>
      </c>
      <c r="G826" s="39"/>
      <c r="H826" s="39" t="str">
        <f t="shared" si="11"/>
        <v>#REF!</v>
      </c>
      <c r="I826" s="12" t="str">
        <f t="shared" si="2"/>
        <v> Complete Medical Records, 40 Patient Portal Logins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hidden="1">
      <c r="A827" s="6" t="s">
        <v>249</v>
      </c>
      <c r="B827" s="16" t="s">
        <v>1121</v>
      </c>
      <c r="C827" s="16" t="s">
        <v>1122</v>
      </c>
      <c r="D827" s="16" t="s">
        <v>1123</v>
      </c>
      <c r="E827" s="76"/>
      <c r="F827" s="315">
        <v>24.0</v>
      </c>
      <c r="G827" s="39"/>
      <c r="H827" s="39" t="str">
        <f t="shared" si="11"/>
        <v>#REF!</v>
      </c>
      <c r="I827" s="12" t="str">
        <f t="shared" si="2"/>
        <v> Complete Medical Records, 24 Patient Portal Logins</v>
      </c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hidden="1">
      <c r="A828" s="6" t="s">
        <v>249</v>
      </c>
      <c r="B828" s="16" t="s">
        <v>1124</v>
      </c>
      <c r="C828" s="16" t="s">
        <v>1125</v>
      </c>
      <c r="D828" s="16" t="s">
        <v>1126</v>
      </c>
      <c r="E828" s="76"/>
      <c r="F828" s="78"/>
      <c r="G828" s="39"/>
      <c r="H828" s="39" t="str">
        <f t="shared" ref="H828:H834" si="12">E828*300+#REF!*125+F828*250</f>
        <v>#REF!</v>
      </c>
      <c r="I828" s="12" t="str">
        <f t="shared" si="2"/>
        <v> Complete Medical Records,  Patient Portal Logins</v>
      </c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hidden="1">
      <c r="A829" s="6" t="s">
        <v>249</v>
      </c>
      <c r="B829" s="16" t="s">
        <v>1127</v>
      </c>
      <c r="C829" s="16" t="s">
        <v>1128</v>
      </c>
      <c r="D829" s="16" t="s">
        <v>1129</v>
      </c>
      <c r="E829" s="76"/>
      <c r="F829" s="78"/>
      <c r="G829" s="39"/>
      <c r="H829" s="39" t="str">
        <f t="shared" si="12"/>
        <v>#REF!</v>
      </c>
      <c r="I829" s="12" t="str">
        <f t="shared" si="2"/>
        <v> Complete Medical Records,  Patient Portal Logins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hidden="1">
      <c r="A830" s="6" t="s">
        <v>249</v>
      </c>
      <c r="B830" s="16" t="s">
        <v>1130</v>
      </c>
      <c r="C830" s="16" t="s">
        <v>1131</v>
      </c>
      <c r="D830" s="16" t="s">
        <v>1132</v>
      </c>
      <c r="E830" s="76"/>
      <c r="F830" s="78"/>
      <c r="G830" s="39"/>
      <c r="H830" s="39" t="str">
        <f t="shared" si="12"/>
        <v>#REF!</v>
      </c>
      <c r="I830" s="12" t="str">
        <f t="shared" si="2"/>
        <v> Complete Medical Records,  Patient Portal Logins</v>
      </c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hidden="1">
      <c r="A831" s="6" t="s">
        <v>249</v>
      </c>
      <c r="B831" s="16" t="s">
        <v>1133</v>
      </c>
      <c r="C831" s="16" t="s">
        <v>1134</v>
      </c>
      <c r="D831" s="16" t="s">
        <v>1135</v>
      </c>
      <c r="E831" s="76"/>
      <c r="F831" s="78"/>
      <c r="G831" s="39"/>
      <c r="H831" s="39" t="str">
        <f t="shared" si="12"/>
        <v>#REF!</v>
      </c>
      <c r="I831" s="12" t="str">
        <f t="shared" si="2"/>
        <v> Complete Medical Records,  Patient Portal Logins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hidden="1">
      <c r="A832" s="6" t="s">
        <v>249</v>
      </c>
      <c r="B832" s="16" t="s">
        <v>1177</v>
      </c>
      <c r="C832" s="16" t="s">
        <v>1178</v>
      </c>
      <c r="D832" s="16" t="s">
        <v>1179</v>
      </c>
      <c r="E832" s="76"/>
      <c r="F832" s="78"/>
      <c r="G832" s="39"/>
      <c r="H832" s="39" t="str">
        <f t="shared" si="12"/>
        <v>#REF!</v>
      </c>
      <c r="I832" s="12" t="str">
        <f t="shared" si="2"/>
        <v> Complete Medical Records,  Patient Portal Logins</v>
      </c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hidden="1">
      <c r="A833" s="6" t="s">
        <v>249</v>
      </c>
      <c r="B833" s="16" t="s">
        <v>1164</v>
      </c>
      <c r="C833" s="16" t="s">
        <v>1165</v>
      </c>
      <c r="D833" s="16" t="s">
        <v>1166</v>
      </c>
      <c r="E833" s="76"/>
      <c r="F833" s="78"/>
      <c r="G833" s="39"/>
      <c r="H833" s="39" t="str">
        <f t="shared" si="12"/>
        <v>#REF!</v>
      </c>
      <c r="I833" s="12" t="str">
        <f t="shared" si="2"/>
        <v> Complete Medical Records,  Patient Portal Logins</v>
      </c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hidden="1">
      <c r="A834" s="6" t="s">
        <v>249</v>
      </c>
      <c r="B834" s="16" t="s">
        <v>1136</v>
      </c>
      <c r="C834" s="16" t="s">
        <v>1137</v>
      </c>
      <c r="D834" s="16" t="s">
        <v>1138</v>
      </c>
      <c r="E834" s="76"/>
      <c r="F834" s="78"/>
      <c r="G834" s="39"/>
      <c r="H834" s="39" t="str">
        <f t="shared" si="12"/>
        <v>#REF!</v>
      </c>
      <c r="I834" s="12" t="str">
        <f t="shared" si="2"/>
        <v> Complete Medical Records,  Patient Portal Logins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hidden="1">
      <c r="A835" s="6" t="s">
        <v>249</v>
      </c>
      <c r="B835" s="16" t="s">
        <v>1139</v>
      </c>
      <c r="C835" s="16" t="s">
        <v>1140</v>
      </c>
      <c r="D835" s="16" t="s">
        <v>1141</v>
      </c>
      <c r="E835" s="76"/>
      <c r="F835" s="315">
        <v>15.0</v>
      </c>
      <c r="G835" s="39"/>
      <c r="H835" s="39" t="str">
        <f t="shared" ref="H835:H836" si="13">E835*300+#REF!*125+F835*250+#REF!*250</f>
        <v>#REF!</v>
      </c>
      <c r="I835" s="12" t="str">
        <f t="shared" si="2"/>
        <v> Complete Medical Records, 15 Patient Portal Logins</v>
      </c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hidden="1">
      <c r="A836" s="6" t="s">
        <v>249</v>
      </c>
      <c r="B836" s="16" t="s">
        <v>1142</v>
      </c>
      <c r="C836" s="16" t="s">
        <v>1143</v>
      </c>
      <c r="D836" s="16" t="s">
        <v>1144</v>
      </c>
      <c r="E836" s="76"/>
      <c r="F836" s="315">
        <v>24.0</v>
      </c>
      <c r="G836" s="39"/>
      <c r="H836" s="39" t="str">
        <f t="shared" si="13"/>
        <v>#REF!</v>
      </c>
      <c r="I836" s="12" t="str">
        <f t="shared" si="2"/>
        <v> Complete Medical Records, 24 Patient Portal Logins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hidden="1">
      <c r="A837" s="6" t="s">
        <v>249</v>
      </c>
      <c r="B837" s="16" t="s">
        <v>1145</v>
      </c>
      <c r="C837" s="16" t="s">
        <v>1146</v>
      </c>
      <c r="D837" s="16" t="s">
        <v>1147</v>
      </c>
      <c r="E837" s="76"/>
      <c r="F837" s="78"/>
      <c r="G837" s="39"/>
      <c r="H837" s="39" t="str">
        <f>E837*300+#REF!*125+F837*250</f>
        <v>#REF!</v>
      </c>
      <c r="I837" s="12" t="str">
        <f t="shared" si="2"/>
        <v> Complete Medical Records,  Patient Portal Logins</v>
      </c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hidden="1">
      <c r="A838" s="6" t="s">
        <v>249</v>
      </c>
      <c r="B838" s="16" t="s">
        <v>1148</v>
      </c>
      <c r="C838" s="16" t="s">
        <v>1149</v>
      </c>
      <c r="D838" s="16" t="s">
        <v>1150</v>
      </c>
      <c r="E838" s="76"/>
      <c r="F838" s="315">
        <v>13.0</v>
      </c>
      <c r="G838" s="39"/>
      <c r="H838" s="39" t="str">
        <f t="shared" ref="H838:H839" si="14">E838*300+#REF!*125+F838*250+#REF!*250</f>
        <v>#REF!</v>
      </c>
      <c r="I838" s="12" t="str">
        <f t="shared" si="2"/>
        <v> Complete Medical Records, 13 Patient Portal Logins</v>
      </c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hidden="1">
      <c r="A839" s="6" t="s">
        <v>249</v>
      </c>
      <c r="B839" s="16" t="s">
        <v>1151</v>
      </c>
      <c r="C839" s="16" t="s">
        <v>1152</v>
      </c>
      <c r="D839" s="16" t="s">
        <v>1153</v>
      </c>
      <c r="E839" s="76"/>
      <c r="F839" s="315">
        <v>27.0</v>
      </c>
      <c r="G839" s="39"/>
      <c r="H839" s="39" t="str">
        <f t="shared" si="14"/>
        <v>#REF!</v>
      </c>
      <c r="I839" s="12" t="str">
        <f t="shared" si="2"/>
        <v> Complete Medical Records, 27 Patient Portal Logins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hidden="1">
      <c r="A840" s="6" t="s">
        <v>249</v>
      </c>
      <c r="B840" s="16" t="s">
        <v>1154</v>
      </c>
      <c r="C840" s="16" t="s">
        <v>1155</v>
      </c>
      <c r="D840" s="16" t="s">
        <v>1156</v>
      </c>
      <c r="E840" s="76"/>
      <c r="F840" s="78"/>
      <c r="G840" s="39"/>
      <c r="H840" s="39" t="str">
        <f>E840*300+#REF!*125+F840*250</f>
        <v>#REF!</v>
      </c>
      <c r="I840" s="12" t="str">
        <f t="shared" si="2"/>
        <v> Complete Medical Records,  Patient Portal Logins</v>
      </c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hidden="1">
      <c r="A841" s="6" t="s">
        <v>249</v>
      </c>
      <c r="B841" s="61" t="s">
        <v>1158</v>
      </c>
      <c r="C841" s="21" t="s">
        <v>1159</v>
      </c>
      <c r="D841" s="21" t="s">
        <v>1160</v>
      </c>
      <c r="E841" s="76"/>
      <c r="F841" s="315">
        <v>8.0</v>
      </c>
      <c r="G841" s="39"/>
      <c r="H841" s="39" t="str">
        <f>E841*300+#REF!*125+F841*250+#REF!*250</f>
        <v>#REF!</v>
      </c>
      <c r="I841" s="12" t="str">
        <f t="shared" si="2"/>
        <v> Complete Medical Records, 8 Patient Portal Logins</v>
      </c>
      <c r="J841" s="23"/>
      <c r="K841" s="23"/>
      <c r="L841" s="23"/>
      <c r="M841" s="14"/>
      <c r="N841" s="23"/>
      <c r="O841" s="23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hidden="1">
      <c r="A842" s="6" t="s">
        <v>249</v>
      </c>
      <c r="B842" s="21" t="s">
        <v>1161</v>
      </c>
      <c r="C842" s="21" t="s">
        <v>1162</v>
      </c>
      <c r="D842" s="21" t="s">
        <v>1163</v>
      </c>
      <c r="E842" s="76"/>
      <c r="F842" s="78"/>
      <c r="G842" s="39"/>
      <c r="H842" s="39" t="str">
        <f t="shared" ref="H842:H1071" si="15">E842*300+#REF!*125+F842*250</f>
        <v>#REF!</v>
      </c>
      <c r="I842" s="12" t="str">
        <f t="shared" si="2"/>
        <v> Complete Medical Records,  Patient Portal Logins</v>
      </c>
      <c r="J842" s="23"/>
      <c r="K842" s="23"/>
      <c r="L842" s="23"/>
      <c r="M842" s="14"/>
      <c r="N842" s="23"/>
      <c r="O842" s="23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hidden="1">
      <c r="A843" s="6" t="s">
        <v>250</v>
      </c>
      <c r="B843" s="16" t="s">
        <v>1100</v>
      </c>
      <c r="C843" s="16" t="s">
        <v>1101</v>
      </c>
      <c r="D843" s="16" t="s">
        <v>1102</v>
      </c>
      <c r="E843" s="76"/>
      <c r="F843" s="315">
        <v>2.0</v>
      </c>
      <c r="G843" s="39"/>
      <c r="H843" s="39" t="str">
        <f t="shared" si="15"/>
        <v>#REF!</v>
      </c>
      <c r="I843" s="12" t="str">
        <f t="shared" si="2"/>
        <v> Complete Medical Records, 2 Patient Portal Logins</v>
      </c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hidden="1">
      <c r="A844" s="6" t="s">
        <v>250</v>
      </c>
      <c r="B844" s="16" t="s">
        <v>1103</v>
      </c>
      <c r="C844" s="16" t="s">
        <v>1104</v>
      </c>
      <c r="D844" s="16" t="s">
        <v>1105</v>
      </c>
      <c r="E844" s="76"/>
      <c r="F844" s="315">
        <v>1.0</v>
      </c>
      <c r="G844" s="39"/>
      <c r="H844" s="39" t="str">
        <f t="shared" si="15"/>
        <v>#REF!</v>
      </c>
      <c r="I844" s="12" t="str">
        <f t="shared" si="2"/>
        <v> Complete Medical Records, 1 Patient Portal Logins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hidden="1">
      <c r="A845" s="6" t="s">
        <v>250</v>
      </c>
      <c r="B845" s="16" t="s">
        <v>1106</v>
      </c>
      <c r="C845" s="16" t="s">
        <v>1107</v>
      </c>
      <c r="D845" s="16" t="s">
        <v>1108</v>
      </c>
      <c r="E845" s="93"/>
      <c r="F845" s="315">
        <v>5.0</v>
      </c>
      <c r="G845" s="39"/>
      <c r="H845" s="39" t="str">
        <f t="shared" si="15"/>
        <v>#REF!</v>
      </c>
      <c r="I845" s="12" t="str">
        <f t="shared" si="2"/>
        <v> Complete Medical Records, 5 Patient Portal Logins</v>
      </c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hidden="1">
      <c r="A846" s="6" t="s">
        <v>250</v>
      </c>
      <c r="B846" s="16" t="s">
        <v>1109</v>
      </c>
      <c r="C846" s="16" t="s">
        <v>1110</v>
      </c>
      <c r="D846" s="16" t="s">
        <v>1111</v>
      </c>
      <c r="E846" s="76"/>
      <c r="F846" s="76"/>
      <c r="G846" s="39"/>
      <c r="H846" s="39" t="str">
        <f t="shared" si="15"/>
        <v>#REF!</v>
      </c>
      <c r="I846" s="12" t="str">
        <f t="shared" si="2"/>
        <v> Complete Medical Records,  Patient Portal Logins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hidden="1">
      <c r="A847" s="6" t="s">
        <v>250</v>
      </c>
      <c r="B847" s="16" t="s">
        <v>1112</v>
      </c>
      <c r="C847" s="16" t="s">
        <v>1113</v>
      </c>
      <c r="D847" s="16" t="s">
        <v>1114</v>
      </c>
      <c r="E847" s="93"/>
      <c r="F847" s="93"/>
      <c r="G847" s="39"/>
      <c r="H847" s="39" t="str">
        <f t="shared" si="15"/>
        <v>#REF!</v>
      </c>
      <c r="I847" s="12" t="str">
        <f t="shared" si="2"/>
        <v> Complete Medical Records,  Patient Portal Logins</v>
      </c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hidden="1">
      <c r="A848" s="6" t="s">
        <v>250</v>
      </c>
      <c r="B848" s="16" t="s">
        <v>1115</v>
      </c>
      <c r="C848" s="16" t="s">
        <v>1116</v>
      </c>
      <c r="D848" s="16" t="s">
        <v>1117</v>
      </c>
      <c r="E848" s="93"/>
      <c r="F848" s="315">
        <v>21.0</v>
      </c>
      <c r="G848" s="39"/>
      <c r="H848" s="39" t="str">
        <f t="shared" si="15"/>
        <v>#REF!</v>
      </c>
      <c r="I848" s="12" t="str">
        <f t="shared" si="2"/>
        <v> Complete Medical Records, 21 Patient Portal Logins</v>
      </c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hidden="1">
      <c r="A849" s="6" t="s">
        <v>250</v>
      </c>
      <c r="B849" s="16" t="s">
        <v>1118</v>
      </c>
      <c r="C849" s="16" t="s">
        <v>1119</v>
      </c>
      <c r="D849" s="16" t="s">
        <v>1120</v>
      </c>
      <c r="E849" s="93"/>
      <c r="F849" s="315">
        <v>51.0</v>
      </c>
      <c r="G849" s="39"/>
      <c r="H849" s="39" t="str">
        <f t="shared" si="15"/>
        <v>#REF!</v>
      </c>
      <c r="I849" s="12" t="str">
        <f t="shared" si="2"/>
        <v> Complete Medical Records, 51 Patient Portal Logins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hidden="1">
      <c r="A850" s="6" t="s">
        <v>250</v>
      </c>
      <c r="B850" s="16" t="s">
        <v>1121</v>
      </c>
      <c r="C850" s="16" t="s">
        <v>1122</v>
      </c>
      <c r="D850" s="16" t="s">
        <v>1123</v>
      </c>
      <c r="E850" s="93"/>
      <c r="F850" s="315">
        <v>29.0</v>
      </c>
      <c r="G850" s="39"/>
      <c r="H850" s="39" t="str">
        <f t="shared" si="15"/>
        <v>#REF!</v>
      </c>
      <c r="I850" s="12" t="str">
        <f t="shared" si="2"/>
        <v> Complete Medical Records, 29 Patient Portal Logins</v>
      </c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hidden="1">
      <c r="A851" s="6" t="s">
        <v>250</v>
      </c>
      <c r="B851" s="16" t="s">
        <v>1124</v>
      </c>
      <c r="C851" s="16" t="s">
        <v>1125</v>
      </c>
      <c r="D851" s="16" t="s">
        <v>1126</v>
      </c>
      <c r="E851" s="93"/>
      <c r="F851" s="93"/>
      <c r="G851" s="39"/>
      <c r="H851" s="39" t="str">
        <f t="shared" si="15"/>
        <v>#REF!</v>
      </c>
      <c r="I851" s="12" t="str">
        <f t="shared" si="2"/>
        <v> Complete Medical Records,  Patient Portal Logins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hidden="1">
      <c r="A852" s="6" t="s">
        <v>250</v>
      </c>
      <c r="B852" s="16" t="s">
        <v>1127</v>
      </c>
      <c r="C852" s="16" t="s">
        <v>1128</v>
      </c>
      <c r="D852" s="16" t="s">
        <v>1129</v>
      </c>
      <c r="E852" s="93"/>
      <c r="F852" s="93"/>
      <c r="G852" s="39"/>
      <c r="H852" s="39" t="str">
        <f t="shared" si="15"/>
        <v>#REF!</v>
      </c>
      <c r="I852" s="12" t="str">
        <f t="shared" si="2"/>
        <v> Complete Medical Records,  Patient Portal Logins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hidden="1">
      <c r="A853" s="6" t="s">
        <v>250</v>
      </c>
      <c r="B853" s="16" t="s">
        <v>1130</v>
      </c>
      <c r="C853" s="16" t="s">
        <v>1131</v>
      </c>
      <c r="D853" s="16" t="s">
        <v>1132</v>
      </c>
      <c r="E853" s="76"/>
      <c r="F853" s="76"/>
      <c r="G853" s="39"/>
      <c r="H853" s="39" t="str">
        <f t="shared" si="15"/>
        <v>#REF!</v>
      </c>
      <c r="I853" s="12" t="str">
        <f t="shared" si="2"/>
        <v> Complete Medical Records,  Patient Portal Logins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hidden="1">
      <c r="A854" s="6" t="s">
        <v>250</v>
      </c>
      <c r="B854" s="16" t="s">
        <v>1133</v>
      </c>
      <c r="C854" s="16" t="s">
        <v>1134</v>
      </c>
      <c r="D854" s="16" t="s">
        <v>1135</v>
      </c>
      <c r="E854" s="93"/>
      <c r="F854" s="93"/>
      <c r="G854" s="39"/>
      <c r="H854" s="39" t="str">
        <f t="shared" si="15"/>
        <v>#REF!</v>
      </c>
      <c r="I854" s="12" t="str">
        <f t="shared" si="2"/>
        <v> Complete Medical Records,  Patient Portal Logins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hidden="1">
      <c r="A855" s="6" t="s">
        <v>250</v>
      </c>
      <c r="B855" s="16" t="s">
        <v>1177</v>
      </c>
      <c r="C855" s="16" t="s">
        <v>1178</v>
      </c>
      <c r="D855" s="16" t="s">
        <v>1179</v>
      </c>
      <c r="E855" s="93"/>
      <c r="F855" s="93"/>
      <c r="G855" s="39"/>
      <c r="H855" s="39" t="str">
        <f t="shared" si="15"/>
        <v>#REF!</v>
      </c>
      <c r="I855" s="12" t="str">
        <f t="shared" si="2"/>
        <v> Complete Medical Records,  Patient Portal Logins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hidden="1">
      <c r="A856" s="6" t="s">
        <v>250</v>
      </c>
      <c r="B856" s="16" t="s">
        <v>1164</v>
      </c>
      <c r="C856" s="16" t="s">
        <v>1165</v>
      </c>
      <c r="D856" s="16" t="s">
        <v>1166</v>
      </c>
      <c r="E856" s="76"/>
      <c r="F856" s="76"/>
      <c r="G856" s="39"/>
      <c r="H856" s="39" t="str">
        <f t="shared" si="15"/>
        <v>#REF!</v>
      </c>
      <c r="I856" s="12" t="str">
        <f t="shared" si="2"/>
        <v> Complete Medical Records,  Patient Portal Logins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hidden="1">
      <c r="A857" s="6" t="s">
        <v>250</v>
      </c>
      <c r="B857" s="16" t="s">
        <v>1136</v>
      </c>
      <c r="C857" s="16" t="s">
        <v>1137</v>
      </c>
      <c r="D857" s="16" t="s">
        <v>1138</v>
      </c>
      <c r="E857" s="93"/>
      <c r="F857" s="93"/>
      <c r="G857" s="39"/>
      <c r="H857" s="39" t="str">
        <f t="shared" si="15"/>
        <v>#REF!</v>
      </c>
      <c r="I857" s="12" t="str">
        <f t="shared" si="2"/>
        <v> Complete Medical Records,  Patient Portal Logins</v>
      </c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hidden="1">
      <c r="A858" s="6" t="s">
        <v>250</v>
      </c>
      <c r="B858" s="16" t="s">
        <v>1139</v>
      </c>
      <c r="C858" s="16" t="s">
        <v>1140</v>
      </c>
      <c r="D858" s="16" t="s">
        <v>1141</v>
      </c>
      <c r="E858" s="93"/>
      <c r="F858" s="315">
        <v>16.0</v>
      </c>
      <c r="G858" s="39"/>
      <c r="H858" s="39" t="str">
        <f t="shared" si="15"/>
        <v>#REF!</v>
      </c>
      <c r="I858" s="12" t="str">
        <f t="shared" si="2"/>
        <v> Complete Medical Records, 16 Patient Portal Logins</v>
      </c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hidden="1">
      <c r="A859" s="6" t="s">
        <v>250</v>
      </c>
      <c r="B859" s="16" t="s">
        <v>1142</v>
      </c>
      <c r="C859" s="16" t="s">
        <v>1143</v>
      </c>
      <c r="D859" s="16" t="s">
        <v>1144</v>
      </c>
      <c r="E859" s="93"/>
      <c r="F859" s="315">
        <v>27.0</v>
      </c>
      <c r="G859" s="39"/>
      <c r="H859" s="39" t="str">
        <f t="shared" si="15"/>
        <v>#REF!</v>
      </c>
      <c r="I859" s="12" t="str">
        <f t="shared" si="2"/>
        <v> Complete Medical Records, 27 Patient Portal Logins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hidden="1">
      <c r="A860" s="6" t="s">
        <v>250</v>
      </c>
      <c r="B860" s="16" t="s">
        <v>1145</v>
      </c>
      <c r="C860" s="16" t="s">
        <v>1146</v>
      </c>
      <c r="D860" s="16" t="s">
        <v>1147</v>
      </c>
      <c r="E860" s="93"/>
      <c r="F860" s="93"/>
      <c r="G860" s="39"/>
      <c r="H860" s="39" t="str">
        <f t="shared" si="15"/>
        <v>#REF!</v>
      </c>
      <c r="I860" s="12" t="str">
        <f t="shared" si="2"/>
        <v> Complete Medical Records,  Patient Portal Logins</v>
      </c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hidden="1">
      <c r="A861" s="6" t="s">
        <v>250</v>
      </c>
      <c r="B861" s="16" t="s">
        <v>1148</v>
      </c>
      <c r="C861" s="16" t="s">
        <v>1149</v>
      </c>
      <c r="D861" s="16" t="s">
        <v>1150</v>
      </c>
      <c r="E861" s="93"/>
      <c r="F861" s="315">
        <v>8.0</v>
      </c>
      <c r="G861" s="39"/>
      <c r="H861" s="39" t="str">
        <f t="shared" si="15"/>
        <v>#REF!</v>
      </c>
      <c r="I861" s="12" t="str">
        <f t="shared" si="2"/>
        <v> Complete Medical Records, 8 Patient Portal Logins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hidden="1">
      <c r="A862" s="6" t="s">
        <v>250</v>
      </c>
      <c r="B862" s="16" t="s">
        <v>1151</v>
      </c>
      <c r="C862" s="16" t="s">
        <v>1152</v>
      </c>
      <c r="D862" s="16" t="s">
        <v>1153</v>
      </c>
      <c r="E862" s="93"/>
      <c r="F862" s="315">
        <v>40.0</v>
      </c>
      <c r="G862" s="39"/>
      <c r="H862" s="39" t="str">
        <f t="shared" si="15"/>
        <v>#REF!</v>
      </c>
      <c r="I862" s="12" t="str">
        <f t="shared" si="2"/>
        <v> Complete Medical Records, 40 Patient Portal Logins</v>
      </c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hidden="1">
      <c r="A863" s="6" t="s">
        <v>250</v>
      </c>
      <c r="B863" s="16" t="s">
        <v>1154</v>
      </c>
      <c r="C863" s="16" t="s">
        <v>1155</v>
      </c>
      <c r="D863" s="16" t="s">
        <v>1156</v>
      </c>
      <c r="E863" s="93"/>
      <c r="F863" s="93"/>
      <c r="G863" s="39"/>
      <c r="H863" s="39" t="str">
        <f t="shared" si="15"/>
        <v>#REF!</v>
      </c>
      <c r="I863" s="12" t="str">
        <f t="shared" si="2"/>
        <v> Complete Medical Records,  Patient Portal Logins</v>
      </c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hidden="1">
      <c r="A864" s="6" t="s">
        <v>250</v>
      </c>
      <c r="B864" s="61" t="s">
        <v>1158</v>
      </c>
      <c r="C864" s="21" t="s">
        <v>1159</v>
      </c>
      <c r="D864" s="21" t="s">
        <v>1160</v>
      </c>
      <c r="E864" s="93"/>
      <c r="F864" s="315">
        <v>10.0</v>
      </c>
      <c r="G864" s="39"/>
      <c r="H864" s="39" t="str">
        <f t="shared" si="15"/>
        <v>#REF!</v>
      </c>
      <c r="I864" s="12" t="str">
        <f t="shared" si="2"/>
        <v> Complete Medical Records, 10 Patient Portal Logins</v>
      </c>
      <c r="J864" s="23"/>
      <c r="K864" s="23"/>
      <c r="L864" s="23"/>
      <c r="M864" s="14"/>
      <c r="N864" s="23"/>
      <c r="O864" s="23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hidden="1">
      <c r="A865" s="6" t="s">
        <v>250</v>
      </c>
      <c r="B865" s="21" t="s">
        <v>1161</v>
      </c>
      <c r="C865" s="21" t="s">
        <v>1162</v>
      </c>
      <c r="D865" s="21" t="s">
        <v>1163</v>
      </c>
      <c r="E865" s="93"/>
      <c r="F865" s="93"/>
      <c r="G865" s="39"/>
      <c r="H865" s="39" t="str">
        <f t="shared" si="15"/>
        <v>#REF!</v>
      </c>
      <c r="I865" s="12" t="str">
        <f t="shared" si="2"/>
        <v> Complete Medical Records,  Patient Portal Logins</v>
      </c>
      <c r="J865" s="23"/>
      <c r="K865" s="23"/>
      <c r="L865" s="23"/>
      <c r="M865" s="14"/>
      <c r="N865" s="23"/>
      <c r="O865" s="23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hidden="1">
      <c r="A866" s="6" t="s">
        <v>254</v>
      </c>
      <c r="B866" s="16" t="s">
        <v>1100</v>
      </c>
      <c r="C866" s="16" t="s">
        <v>1101</v>
      </c>
      <c r="D866" s="16" t="s">
        <v>1102</v>
      </c>
      <c r="E866" s="361"/>
      <c r="F866" s="339"/>
      <c r="G866" s="39"/>
      <c r="H866" s="39" t="str">
        <f t="shared" si="15"/>
        <v>#REF!</v>
      </c>
      <c r="I866" s="12" t="str">
        <f t="shared" si="2"/>
        <v> Complete Medical Records,  Patient Portal Logins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hidden="1">
      <c r="A867" s="6" t="s">
        <v>254</v>
      </c>
      <c r="B867" s="16" t="s">
        <v>1103</v>
      </c>
      <c r="C867" s="16" t="s">
        <v>1104</v>
      </c>
      <c r="D867" s="16" t="s">
        <v>1105</v>
      </c>
      <c r="E867" s="361"/>
      <c r="F867" s="339"/>
      <c r="G867" s="39"/>
      <c r="H867" s="39" t="str">
        <f t="shared" si="15"/>
        <v>#REF!</v>
      </c>
      <c r="I867" s="12" t="str">
        <f t="shared" si="2"/>
        <v> Complete Medical Records,  Patient Portal Logins</v>
      </c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hidden="1">
      <c r="A868" s="6" t="s">
        <v>254</v>
      </c>
      <c r="B868" s="16" t="s">
        <v>1106</v>
      </c>
      <c r="C868" s="16" t="s">
        <v>1107</v>
      </c>
      <c r="D868" s="16" t="s">
        <v>1108</v>
      </c>
      <c r="E868" s="354">
        <v>0.0</v>
      </c>
      <c r="F868" s="307">
        <v>2.0</v>
      </c>
      <c r="G868" s="39"/>
      <c r="H868" s="39" t="str">
        <f t="shared" si="15"/>
        <v>#REF!</v>
      </c>
      <c r="I868" s="12" t="str">
        <f t="shared" si="2"/>
        <v>0 Complete Medical Records, 2 Patient Portal Logins</v>
      </c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hidden="1">
      <c r="A869" s="6" t="s">
        <v>254</v>
      </c>
      <c r="B869" s="16" t="s">
        <v>1109</v>
      </c>
      <c r="C869" s="16" t="s">
        <v>1110</v>
      </c>
      <c r="D869" s="16" t="s">
        <v>1111</v>
      </c>
      <c r="E869" s="361"/>
      <c r="F869" s="339"/>
      <c r="G869" s="39"/>
      <c r="H869" s="39" t="str">
        <f t="shared" si="15"/>
        <v>#REF!</v>
      </c>
      <c r="I869" s="12" t="str">
        <f t="shared" si="2"/>
        <v> Complete Medical Records,  Patient Portal Logins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hidden="1">
      <c r="A870" s="6" t="s">
        <v>254</v>
      </c>
      <c r="B870" s="16" t="s">
        <v>1112</v>
      </c>
      <c r="C870" s="16" t="s">
        <v>1113</v>
      </c>
      <c r="D870" s="16" t="s">
        <v>1114</v>
      </c>
      <c r="E870" s="354">
        <v>0.0</v>
      </c>
      <c r="F870" s="307">
        <v>1.0</v>
      </c>
      <c r="G870" s="39"/>
      <c r="H870" s="39" t="str">
        <f t="shared" si="15"/>
        <v>#REF!</v>
      </c>
      <c r="I870" s="12" t="str">
        <f t="shared" si="2"/>
        <v>0 Complete Medical Records, 1 Patient Portal Logins</v>
      </c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hidden="1">
      <c r="A871" s="6" t="s">
        <v>254</v>
      </c>
      <c r="B871" s="16" t="s">
        <v>1115</v>
      </c>
      <c r="C871" s="16" t="s">
        <v>1116</v>
      </c>
      <c r="D871" s="16" t="s">
        <v>1117</v>
      </c>
      <c r="E871" s="354">
        <v>0.0</v>
      </c>
      <c r="F871" s="307">
        <v>3.0</v>
      </c>
      <c r="G871" s="39"/>
      <c r="H871" s="39" t="str">
        <f t="shared" si="15"/>
        <v>#REF!</v>
      </c>
      <c r="I871" s="12" t="str">
        <f t="shared" si="2"/>
        <v>0 Complete Medical Records, 3 Patient Portal Logins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hidden="1">
      <c r="A872" s="6" t="s">
        <v>254</v>
      </c>
      <c r="B872" s="16" t="s">
        <v>1118</v>
      </c>
      <c r="C872" s="16" t="s">
        <v>1119</v>
      </c>
      <c r="D872" s="16" t="s">
        <v>1120</v>
      </c>
      <c r="E872" s="354">
        <v>0.0</v>
      </c>
      <c r="F872" s="307">
        <v>26.0</v>
      </c>
      <c r="G872" s="39"/>
      <c r="H872" s="39" t="str">
        <f t="shared" si="15"/>
        <v>#REF!</v>
      </c>
      <c r="I872" s="12" t="str">
        <f t="shared" si="2"/>
        <v>0 Complete Medical Records, 26 Patient Portal Logins</v>
      </c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hidden="1">
      <c r="A873" s="6" t="s">
        <v>254</v>
      </c>
      <c r="B873" s="16" t="s">
        <v>1121</v>
      </c>
      <c r="C873" s="16" t="s">
        <v>1122</v>
      </c>
      <c r="D873" s="16" t="s">
        <v>1123</v>
      </c>
      <c r="E873" s="354">
        <v>0.0</v>
      </c>
      <c r="F873" s="307">
        <v>1.0</v>
      </c>
      <c r="G873" s="39"/>
      <c r="H873" s="39" t="str">
        <f t="shared" si="15"/>
        <v>#REF!</v>
      </c>
      <c r="I873" s="12" t="str">
        <f t="shared" si="2"/>
        <v>0 Complete Medical Records, 1 Patient Portal Logins</v>
      </c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hidden="1">
      <c r="A874" s="6" t="s">
        <v>254</v>
      </c>
      <c r="B874" s="16" t="s">
        <v>1124</v>
      </c>
      <c r="C874" s="16" t="s">
        <v>1125</v>
      </c>
      <c r="D874" s="16" t="s">
        <v>1126</v>
      </c>
      <c r="E874" s="354">
        <v>0.0</v>
      </c>
      <c r="F874" s="307">
        <v>0.0</v>
      </c>
      <c r="G874" s="39"/>
      <c r="H874" s="39" t="str">
        <f t="shared" si="15"/>
        <v>#REF!</v>
      </c>
      <c r="I874" s="12" t="str">
        <f t="shared" si="2"/>
        <v>0 Complete Medical Records, 0 Patient Portal Logins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hidden="1">
      <c r="A875" s="6" t="s">
        <v>254</v>
      </c>
      <c r="B875" s="16" t="s">
        <v>1127</v>
      </c>
      <c r="C875" s="16" t="s">
        <v>1128</v>
      </c>
      <c r="D875" s="16" t="s">
        <v>1129</v>
      </c>
      <c r="E875" s="354">
        <v>0.0</v>
      </c>
      <c r="F875" s="307">
        <v>0.0</v>
      </c>
      <c r="G875" s="39"/>
      <c r="H875" s="39" t="str">
        <f t="shared" si="15"/>
        <v>#REF!</v>
      </c>
      <c r="I875" s="12" t="str">
        <f t="shared" si="2"/>
        <v>0 Complete Medical Records, 0 Patient Portal Logins</v>
      </c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hidden="1">
      <c r="A876" s="6" t="s">
        <v>254</v>
      </c>
      <c r="B876" s="16" t="s">
        <v>1130</v>
      </c>
      <c r="C876" s="16" t="s">
        <v>1131</v>
      </c>
      <c r="D876" s="16" t="s">
        <v>1132</v>
      </c>
      <c r="E876" s="36"/>
      <c r="F876" s="38"/>
      <c r="G876" s="39"/>
      <c r="H876" s="39" t="str">
        <f t="shared" si="15"/>
        <v>#REF!</v>
      </c>
      <c r="I876" s="12" t="str">
        <f t="shared" si="2"/>
        <v> Complete Medical Records,  Patient Portal Logins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hidden="1">
      <c r="A877" s="6" t="s">
        <v>254</v>
      </c>
      <c r="B877" s="16" t="s">
        <v>1133</v>
      </c>
      <c r="C877" s="16" t="s">
        <v>1134</v>
      </c>
      <c r="D877" s="16" t="s">
        <v>1135</v>
      </c>
      <c r="E877" s="354">
        <v>0.0</v>
      </c>
      <c r="F877" s="307">
        <v>0.0</v>
      </c>
      <c r="G877" s="39"/>
      <c r="H877" s="39" t="str">
        <f t="shared" si="15"/>
        <v>#REF!</v>
      </c>
      <c r="I877" s="12" t="str">
        <f t="shared" si="2"/>
        <v>0 Complete Medical Records, 0 Patient Portal Logins</v>
      </c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hidden="1">
      <c r="A878" s="6" t="s">
        <v>254</v>
      </c>
      <c r="B878" s="16" t="s">
        <v>1177</v>
      </c>
      <c r="C878" s="16" t="s">
        <v>1178</v>
      </c>
      <c r="D878" s="16" t="s">
        <v>1179</v>
      </c>
      <c r="E878" s="354">
        <v>0.0</v>
      </c>
      <c r="F878" s="307">
        <v>0.0</v>
      </c>
      <c r="G878" s="39"/>
      <c r="H878" s="39" t="str">
        <f t="shared" si="15"/>
        <v>#REF!</v>
      </c>
      <c r="I878" s="12" t="str">
        <f t="shared" si="2"/>
        <v>0 Complete Medical Records, 0 Patient Portal Logins</v>
      </c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hidden="1">
      <c r="A879" s="6" t="s">
        <v>254</v>
      </c>
      <c r="B879" s="16" t="s">
        <v>1164</v>
      </c>
      <c r="C879" s="16" t="s">
        <v>1165</v>
      </c>
      <c r="D879" s="16" t="s">
        <v>1166</v>
      </c>
      <c r="E879" s="36"/>
      <c r="F879" s="38"/>
      <c r="G879" s="39"/>
      <c r="H879" s="39" t="str">
        <f t="shared" si="15"/>
        <v>#REF!</v>
      </c>
      <c r="I879" s="12" t="str">
        <f t="shared" si="2"/>
        <v> Complete Medical Records,  Patient Portal Logins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hidden="1">
      <c r="A880" s="6" t="s">
        <v>254</v>
      </c>
      <c r="B880" s="16" t="s">
        <v>1136</v>
      </c>
      <c r="C880" s="16" t="s">
        <v>1137</v>
      </c>
      <c r="D880" s="16" t="s">
        <v>1138</v>
      </c>
      <c r="E880" s="354">
        <v>0.0</v>
      </c>
      <c r="F880" s="307">
        <v>0.0</v>
      </c>
      <c r="G880" s="39"/>
      <c r="H880" s="39" t="str">
        <f t="shared" si="15"/>
        <v>#REF!</v>
      </c>
      <c r="I880" s="12" t="str">
        <f t="shared" si="2"/>
        <v>0 Complete Medical Records, 0 Patient Portal Logins</v>
      </c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hidden="1">
      <c r="A881" s="6" t="s">
        <v>254</v>
      </c>
      <c r="B881" s="16" t="s">
        <v>1139</v>
      </c>
      <c r="C881" s="16" t="s">
        <v>1140</v>
      </c>
      <c r="D881" s="16" t="s">
        <v>1141</v>
      </c>
      <c r="E881" s="354">
        <v>0.0</v>
      </c>
      <c r="F881" s="307">
        <v>2.0</v>
      </c>
      <c r="G881" s="39"/>
      <c r="H881" s="39" t="str">
        <f t="shared" si="15"/>
        <v>#REF!</v>
      </c>
      <c r="I881" s="12" t="str">
        <f t="shared" si="2"/>
        <v>0 Complete Medical Records, 2 Patient Portal Logins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hidden="1">
      <c r="A882" s="6" t="s">
        <v>254</v>
      </c>
      <c r="B882" s="16" t="s">
        <v>1142</v>
      </c>
      <c r="C882" s="16" t="s">
        <v>1143</v>
      </c>
      <c r="D882" s="16" t="s">
        <v>1144</v>
      </c>
      <c r="E882" s="354">
        <v>0.0</v>
      </c>
      <c r="F882" s="307">
        <v>0.0</v>
      </c>
      <c r="G882" s="39"/>
      <c r="H882" s="39" t="str">
        <f t="shared" si="15"/>
        <v>#REF!</v>
      </c>
      <c r="I882" s="12" t="str">
        <f t="shared" si="2"/>
        <v>0 Complete Medical Records, 0 Patient Portal Logins</v>
      </c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hidden="1">
      <c r="A883" s="6" t="s">
        <v>254</v>
      </c>
      <c r="B883" s="16" t="s">
        <v>1145</v>
      </c>
      <c r="C883" s="16" t="s">
        <v>1146</v>
      </c>
      <c r="D883" s="16" t="s">
        <v>1147</v>
      </c>
      <c r="E883" s="354">
        <v>0.0</v>
      </c>
      <c r="F883" s="307">
        <v>0.0</v>
      </c>
      <c r="G883" s="39"/>
      <c r="H883" s="39" t="str">
        <f t="shared" si="15"/>
        <v>#REF!</v>
      </c>
      <c r="I883" s="12" t="str">
        <f t="shared" si="2"/>
        <v>0 Complete Medical Records, 0 Patient Portal Logins</v>
      </c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hidden="1">
      <c r="A884" s="6" t="s">
        <v>254</v>
      </c>
      <c r="B884" s="16" t="s">
        <v>1148</v>
      </c>
      <c r="C884" s="16" t="s">
        <v>1149</v>
      </c>
      <c r="D884" s="16" t="s">
        <v>1150</v>
      </c>
      <c r="E884" s="354">
        <v>0.0</v>
      </c>
      <c r="F884" s="307">
        <v>1.0</v>
      </c>
      <c r="G884" s="39"/>
      <c r="H884" s="39" t="str">
        <f t="shared" si="15"/>
        <v>#REF!</v>
      </c>
      <c r="I884" s="12" t="str">
        <f t="shared" si="2"/>
        <v>0 Complete Medical Records, 1 Patient Portal Logins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hidden="1">
      <c r="A885" s="6" t="s">
        <v>254</v>
      </c>
      <c r="B885" s="16" t="s">
        <v>1151</v>
      </c>
      <c r="C885" s="16" t="s">
        <v>1152</v>
      </c>
      <c r="D885" s="16" t="s">
        <v>1153</v>
      </c>
      <c r="E885" s="354">
        <v>0.0</v>
      </c>
      <c r="F885" s="307">
        <v>2.0</v>
      </c>
      <c r="G885" s="39"/>
      <c r="H885" s="39" t="str">
        <f t="shared" si="15"/>
        <v>#REF!</v>
      </c>
      <c r="I885" s="12" t="str">
        <f t="shared" si="2"/>
        <v>0 Complete Medical Records, 2 Patient Portal Logins</v>
      </c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hidden="1">
      <c r="A886" s="6" t="s">
        <v>254</v>
      </c>
      <c r="B886" s="16" t="s">
        <v>1154</v>
      </c>
      <c r="C886" s="16" t="s">
        <v>1155</v>
      </c>
      <c r="D886" s="16" t="s">
        <v>1156</v>
      </c>
      <c r="E886" s="354">
        <v>0.0</v>
      </c>
      <c r="F886" s="307">
        <v>0.0</v>
      </c>
      <c r="G886" s="39"/>
      <c r="H886" s="39" t="str">
        <f t="shared" si="15"/>
        <v>#REF!</v>
      </c>
      <c r="I886" s="12" t="str">
        <f t="shared" si="2"/>
        <v>0 Complete Medical Records, 0 Patient Portal Logins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hidden="1">
      <c r="A887" s="6" t="s">
        <v>254</v>
      </c>
      <c r="B887" s="61" t="s">
        <v>1158</v>
      </c>
      <c r="C887" s="21" t="s">
        <v>1159</v>
      </c>
      <c r="D887" s="21" t="s">
        <v>1160</v>
      </c>
      <c r="E887" s="354">
        <v>0.0</v>
      </c>
      <c r="F887" s="307">
        <v>1.0</v>
      </c>
      <c r="G887" s="39"/>
      <c r="H887" s="39" t="str">
        <f t="shared" si="15"/>
        <v>#REF!</v>
      </c>
      <c r="I887" s="12" t="str">
        <f t="shared" si="2"/>
        <v>0 Complete Medical Records, 1 Patient Portal Logins</v>
      </c>
      <c r="J887" s="23"/>
      <c r="K887" s="23"/>
      <c r="L887" s="23"/>
      <c r="M887" s="14"/>
      <c r="N887" s="23"/>
      <c r="O887" s="23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hidden="1">
      <c r="A888" s="6" t="s">
        <v>254</v>
      </c>
      <c r="B888" s="21" t="s">
        <v>1161</v>
      </c>
      <c r="C888" s="21" t="s">
        <v>1162</v>
      </c>
      <c r="D888" s="21" t="s">
        <v>1163</v>
      </c>
      <c r="E888" s="354">
        <v>0.0</v>
      </c>
      <c r="F888" s="307">
        <v>0.0</v>
      </c>
      <c r="G888" s="39"/>
      <c r="H888" s="39" t="str">
        <f t="shared" si="15"/>
        <v>#REF!</v>
      </c>
      <c r="I888" s="12" t="str">
        <f t="shared" si="2"/>
        <v>0 Complete Medical Records, 0 Patient Portal Logins</v>
      </c>
      <c r="J888" s="23"/>
      <c r="K888" s="23"/>
      <c r="L888" s="23"/>
      <c r="M888" s="14"/>
      <c r="N888" s="23"/>
      <c r="O888" s="23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hidden="1">
      <c r="A889" s="6" t="s">
        <v>261</v>
      </c>
      <c r="B889" s="7" t="s">
        <v>1100</v>
      </c>
      <c r="C889" s="7" t="s">
        <v>1101</v>
      </c>
      <c r="D889" s="7" t="s">
        <v>1102</v>
      </c>
      <c r="E889" s="362">
        <v>0.0</v>
      </c>
      <c r="F889" s="307">
        <v>1.0</v>
      </c>
      <c r="G889" s="39"/>
      <c r="H889" s="39" t="str">
        <f t="shared" si="15"/>
        <v>#REF!</v>
      </c>
      <c r="I889" s="12" t="str">
        <f t="shared" si="2"/>
        <v>0 Complete Medical Records, 1 Patient Portal Logins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hidden="1">
      <c r="A890" s="6" t="s">
        <v>261</v>
      </c>
      <c r="B890" s="7" t="s">
        <v>1103</v>
      </c>
      <c r="C890" s="7" t="s">
        <v>1104</v>
      </c>
      <c r="D890" s="7" t="s">
        <v>1105</v>
      </c>
      <c r="E890" s="362">
        <v>0.0</v>
      </c>
      <c r="F890" s="307">
        <v>1.0</v>
      </c>
      <c r="G890" s="39"/>
      <c r="H890" s="39" t="str">
        <f t="shared" si="15"/>
        <v>#REF!</v>
      </c>
      <c r="I890" s="12" t="str">
        <f t="shared" si="2"/>
        <v>0 Complete Medical Records, 1 Patient Portal Logins</v>
      </c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hidden="1">
      <c r="A891" s="6" t="s">
        <v>261</v>
      </c>
      <c r="B891" s="16" t="s">
        <v>1106</v>
      </c>
      <c r="C891" s="16" t="s">
        <v>1107</v>
      </c>
      <c r="D891" s="16" t="s">
        <v>1108</v>
      </c>
      <c r="E891" s="362">
        <v>0.0</v>
      </c>
      <c r="F891" s="307">
        <v>6.0</v>
      </c>
      <c r="G891" s="39"/>
      <c r="H891" s="39" t="str">
        <f t="shared" si="15"/>
        <v>#REF!</v>
      </c>
      <c r="I891" s="12" t="str">
        <f t="shared" si="2"/>
        <v>0 Complete Medical Records, 6 Patient Portal Logins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hidden="1">
      <c r="A892" s="6" t="s">
        <v>261</v>
      </c>
      <c r="B892" s="16" t="s">
        <v>1109</v>
      </c>
      <c r="C892" s="16" t="s">
        <v>1110</v>
      </c>
      <c r="D892" s="16" t="s">
        <v>1111</v>
      </c>
      <c r="E892" s="362">
        <v>0.0</v>
      </c>
      <c r="F892" s="307">
        <v>1.0</v>
      </c>
      <c r="G892" s="39"/>
      <c r="H892" s="39" t="str">
        <f t="shared" si="15"/>
        <v>#REF!</v>
      </c>
      <c r="I892" s="12" t="str">
        <f t="shared" si="2"/>
        <v>0 Complete Medical Records, 1 Patient Portal Logins</v>
      </c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hidden="1">
      <c r="A893" s="6" t="s">
        <v>261</v>
      </c>
      <c r="B893" s="16" t="s">
        <v>1112</v>
      </c>
      <c r="C893" s="16" t="s">
        <v>1113</v>
      </c>
      <c r="D893" s="16" t="s">
        <v>1114</v>
      </c>
      <c r="E893" s="363">
        <v>3.0</v>
      </c>
      <c r="F893" s="307">
        <v>2.0</v>
      </c>
      <c r="G893" s="39"/>
      <c r="H893" s="39" t="str">
        <f t="shared" si="15"/>
        <v>#REF!</v>
      </c>
      <c r="I893" s="12" t="str">
        <f t="shared" si="2"/>
        <v>3 Complete Medical Records, 2 Patient Portal Logins</v>
      </c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hidden="1">
      <c r="A894" s="6" t="s">
        <v>261</v>
      </c>
      <c r="B894" s="16" t="s">
        <v>1115</v>
      </c>
      <c r="C894" s="16" t="s">
        <v>1116</v>
      </c>
      <c r="D894" s="16" t="s">
        <v>1117</v>
      </c>
      <c r="E894" s="362">
        <v>0.0</v>
      </c>
      <c r="F894" s="307">
        <v>7.0</v>
      </c>
      <c r="G894" s="39"/>
      <c r="H894" s="39" t="str">
        <f t="shared" si="15"/>
        <v>#REF!</v>
      </c>
      <c r="I894" s="12" t="str">
        <f t="shared" si="2"/>
        <v>0 Complete Medical Records, 7 Patient Portal Logins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hidden="1">
      <c r="A895" s="6" t="s">
        <v>261</v>
      </c>
      <c r="B895" s="16" t="s">
        <v>1118</v>
      </c>
      <c r="C895" s="16" t="s">
        <v>1119</v>
      </c>
      <c r="D895" s="16" t="s">
        <v>1120</v>
      </c>
      <c r="E895" s="363">
        <v>6.0</v>
      </c>
      <c r="F895" s="364">
        <v>47.0</v>
      </c>
      <c r="G895" s="39"/>
      <c r="H895" s="39" t="str">
        <f t="shared" si="15"/>
        <v>#REF!</v>
      </c>
      <c r="I895" s="12" t="str">
        <f t="shared" si="2"/>
        <v>6 Complete Medical Records, 47 Patient Portal Logins</v>
      </c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hidden="1">
      <c r="A896" s="6" t="s">
        <v>261</v>
      </c>
      <c r="B896" s="16" t="s">
        <v>1121</v>
      </c>
      <c r="C896" s="16" t="s">
        <v>1122</v>
      </c>
      <c r="D896" s="16" t="s">
        <v>1123</v>
      </c>
      <c r="E896" s="363">
        <v>6.0</v>
      </c>
      <c r="F896" s="307">
        <v>10.0</v>
      </c>
      <c r="G896" s="39"/>
      <c r="H896" s="39" t="str">
        <f t="shared" si="15"/>
        <v>#REF!</v>
      </c>
      <c r="I896" s="12" t="str">
        <f t="shared" si="2"/>
        <v>6 Complete Medical Records, 10 Patient Portal Logins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hidden="1">
      <c r="A897" s="6" t="s">
        <v>261</v>
      </c>
      <c r="B897" s="16" t="s">
        <v>1124</v>
      </c>
      <c r="C897" s="16" t="s">
        <v>1125</v>
      </c>
      <c r="D897" s="16" t="s">
        <v>1126</v>
      </c>
      <c r="E897" s="362">
        <v>5.0</v>
      </c>
      <c r="F897" s="307">
        <v>0.0</v>
      </c>
      <c r="G897" s="39"/>
      <c r="H897" s="39" t="str">
        <f t="shared" si="15"/>
        <v>#REF!</v>
      </c>
      <c r="I897" s="12" t="str">
        <f t="shared" si="2"/>
        <v>5 Complete Medical Records, 0 Patient Portal Logins</v>
      </c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hidden="1">
      <c r="A898" s="6" t="s">
        <v>261</v>
      </c>
      <c r="B898" s="16" t="s">
        <v>1127</v>
      </c>
      <c r="C898" s="16" t="s">
        <v>1128</v>
      </c>
      <c r="D898" s="16" t="s">
        <v>1129</v>
      </c>
      <c r="E898" s="363">
        <v>8.0</v>
      </c>
      <c r="F898" s="307">
        <v>0.0</v>
      </c>
      <c r="G898" s="39"/>
      <c r="H898" s="39" t="str">
        <f t="shared" si="15"/>
        <v>#REF!</v>
      </c>
      <c r="I898" s="12" t="str">
        <f t="shared" si="2"/>
        <v>8 Complete Medical Records, 0 Patient Portal Logins</v>
      </c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hidden="1">
      <c r="A899" s="6" t="s">
        <v>261</v>
      </c>
      <c r="B899" s="16" t="s">
        <v>1130</v>
      </c>
      <c r="C899" s="16" t="s">
        <v>1131</v>
      </c>
      <c r="D899" s="16" t="s">
        <v>1132</v>
      </c>
      <c r="E899" s="318"/>
      <c r="F899" s="315"/>
      <c r="G899" s="39"/>
      <c r="H899" s="39" t="str">
        <f t="shared" si="15"/>
        <v>#REF!</v>
      </c>
      <c r="I899" s="12" t="str">
        <f t="shared" si="2"/>
        <v> Complete Medical Records,  Patient Portal Logins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hidden="1">
      <c r="A900" s="6" t="s">
        <v>261</v>
      </c>
      <c r="B900" s="16" t="s">
        <v>1133</v>
      </c>
      <c r="C900" s="16" t="s">
        <v>1134</v>
      </c>
      <c r="D900" s="16" t="s">
        <v>1135</v>
      </c>
      <c r="E900" s="363">
        <v>1.0</v>
      </c>
      <c r="F900" s="307">
        <v>0.0</v>
      </c>
      <c r="G900" s="39"/>
      <c r="H900" s="39" t="str">
        <f t="shared" si="15"/>
        <v>#REF!</v>
      </c>
      <c r="I900" s="12" t="str">
        <f t="shared" si="2"/>
        <v>1 Complete Medical Records, 0 Patient Portal Logins</v>
      </c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hidden="1">
      <c r="A901" s="6" t="s">
        <v>261</v>
      </c>
      <c r="B901" s="16" t="s">
        <v>1177</v>
      </c>
      <c r="C901" s="16" t="s">
        <v>1178</v>
      </c>
      <c r="D901" s="16" t="s">
        <v>1179</v>
      </c>
      <c r="E901" s="362">
        <v>0.0</v>
      </c>
      <c r="F901" s="307">
        <v>0.0</v>
      </c>
      <c r="G901" s="39"/>
      <c r="H901" s="39" t="str">
        <f t="shared" si="15"/>
        <v>#REF!</v>
      </c>
      <c r="I901" s="12" t="str">
        <f t="shared" si="2"/>
        <v>0 Complete Medical Records, 0 Patient Portal Logins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hidden="1">
      <c r="A902" s="6" t="s">
        <v>261</v>
      </c>
      <c r="B902" s="16" t="s">
        <v>1164</v>
      </c>
      <c r="C902" s="16" t="s">
        <v>1165</v>
      </c>
      <c r="D902" s="16" t="s">
        <v>1166</v>
      </c>
      <c r="E902" s="318"/>
      <c r="F902" s="315"/>
      <c r="G902" s="39"/>
      <c r="H902" s="39" t="str">
        <f t="shared" si="15"/>
        <v>#REF!</v>
      </c>
      <c r="I902" s="12" t="str">
        <f t="shared" si="2"/>
        <v> Complete Medical Records,  Patient Portal Logins</v>
      </c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hidden="1">
      <c r="A903" s="6" t="s">
        <v>261</v>
      </c>
      <c r="B903" s="16" t="s">
        <v>1136</v>
      </c>
      <c r="C903" s="16" t="s">
        <v>1137</v>
      </c>
      <c r="D903" s="16" t="s">
        <v>1138</v>
      </c>
      <c r="E903" s="362">
        <v>0.0</v>
      </c>
      <c r="F903" s="307">
        <v>0.0</v>
      </c>
      <c r="G903" s="39"/>
      <c r="H903" s="39" t="str">
        <f t="shared" si="15"/>
        <v>#REF!</v>
      </c>
      <c r="I903" s="12" t="str">
        <f t="shared" si="2"/>
        <v>0 Complete Medical Records, 0 Patient Portal Logins</v>
      </c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hidden="1">
      <c r="A904" s="6" t="s">
        <v>261</v>
      </c>
      <c r="B904" s="16" t="s">
        <v>1139</v>
      </c>
      <c r="C904" s="16" t="s">
        <v>1140</v>
      </c>
      <c r="D904" s="16" t="s">
        <v>1141</v>
      </c>
      <c r="E904" s="363">
        <v>1.0</v>
      </c>
      <c r="F904" s="307">
        <v>0.0</v>
      </c>
      <c r="G904" s="39"/>
      <c r="H904" s="39" t="str">
        <f t="shared" si="15"/>
        <v>#REF!</v>
      </c>
      <c r="I904" s="12" t="str">
        <f t="shared" si="2"/>
        <v>1 Complete Medical Records, 0 Patient Portal Logins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hidden="1">
      <c r="A905" s="6" t="s">
        <v>261</v>
      </c>
      <c r="B905" s="16" t="s">
        <v>1142</v>
      </c>
      <c r="C905" s="16" t="s">
        <v>1143</v>
      </c>
      <c r="D905" s="16" t="s">
        <v>1144</v>
      </c>
      <c r="E905" s="363">
        <v>1.0</v>
      </c>
      <c r="F905" s="364">
        <v>12.0</v>
      </c>
      <c r="G905" s="39"/>
      <c r="H905" s="39" t="str">
        <f t="shared" si="15"/>
        <v>#REF!</v>
      </c>
      <c r="I905" s="12" t="str">
        <f t="shared" si="2"/>
        <v>1 Complete Medical Records, 12 Patient Portal Logins</v>
      </c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hidden="1">
      <c r="A906" s="6" t="s">
        <v>261</v>
      </c>
      <c r="B906" s="16" t="s">
        <v>1145</v>
      </c>
      <c r="C906" s="16" t="s">
        <v>1146</v>
      </c>
      <c r="D906" s="16" t="s">
        <v>1147</v>
      </c>
      <c r="E906" s="362">
        <v>0.0</v>
      </c>
      <c r="F906" s="307">
        <v>0.0</v>
      </c>
      <c r="G906" s="39"/>
      <c r="H906" s="39" t="str">
        <f t="shared" si="15"/>
        <v>#REF!</v>
      </c>
      <c r="I906" s="12" t="str">
        <f t="shared" si="2"/>
        <v>0 Complete Medical Records, 0 Patient Portal Logins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hidden="1">
      <c r="A907" s="6" t="s">
        <v>261</v>
      </c>
      <c r="B907" s="16" t="s">
        <v>1148</v>
      </c>
      <c r="C907" s="16" t="s">
        <v>1149</v>
      </c>
      <c r="D907" s="16" t="s">
        <v>1150</v>
      </c>
      <c r="E907" s="362">
        <v>0.0</v>
      </c>
      <c r="F907" s="307">
        <v>4.0</v>
      </c>
      <c r="G907" s="39"/>
      <c r="H907" s="39" t="str">
        <f t="shared" si="15"/>
        <v>#REF!</v>
      </c>
      <c r="I907" s="12" t="str">
        <f t="shared" si="2"/>
        <v>0 Complete Medical Records, 4 Patient Portal Logins</v>
      </c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hidden="1">
      <c r="A908" s="6" t="s">
        <v>261</v>
      </c>
      <c r="B908" s="16" t="s">
        <v>1151</v>
      </c>
      <c r="C908" s="16" t="s">
        <v>1152</v>
      </c>
      <c r="D908" s="16" t="s">
        <v>1153</v>
      </c>
      <c r="E908" s="363">
        <v>1.0</v>
      </c>
      <c r="F908" s="364">
        <v>3.0</v>
      </c>
      <c r="G908" s="39"/>
      <c r="H908" s="39" t="str">
        <f t="shared" si="15"/>
        <v>#REF!</v>
      </c>
      <c r="I908" s="12" t="str">
        <f t="shared" si="2"/>
        <v>1 Complete Medical Records, 3 Patient Portal Logins</v>
      </c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hidden="1">
      <c r="A909" s="6" t="s">
        <v>261</v>
      </c>
      <c r="B909" s="16" t="s">
        <v>1154</v>
      </c>
      <c r="C909" s="16" t="s">
        <v>1155</v>
      </c>
      <c r="D909" s="16" t="s">
        <v>1156</v>
      </c>
      <c r="E909" s="362">
        <v>0.0</v>
      </c>
      <c r="F909" s="364">
        <v>1.0</v>
      </c>
      <c r="G909" s="39"/>
      <c r="H909" s="39" t="str">
        <f t="shared" si="15"/>
        <v>#REF!</v>
      </c>
      <c r="I909" s="12" t="str">
        <f t="shared" si="2"/>
        <v>0 Complete Medical Records, 1 Patient Portal Logins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hidden="1">
      <c r="A910" s="6" t="s">
        <v>261</v>
      </c>
      <c r="B910" s="61" t="s">
        <v>1158</v>
      </c>
      <c r="C910" s="21" t="s">
        <v>1159</v>
      </c>
      <c r="D910" s="21" t="s">
        <v>1160</v>
      </c>
      <c r="E910" s="362">
        <v>0.0</v>
      </c>
      <c r="F910" s="307">
        <v>10.0</v>
      </c>
      <c r="G910" s="39"/>
      <c r="H910" s="39" t="str">
        <f t="shared" si="15"/>
        <v>#REF!</v>
      </c>
      <c r="I910" s="12" t="str">
        <f t="shared" si="2"/>
        <v>0 Complete Medical Records, 10 Patient Portal Logins</v>
      </c>
      <c r="J910" s="23"/>
      <c r="K910" s="23"/>
      <c r="L910" s="23"/>
      <c r="M910" s="14"/>
      <c r="N910" s="23"/>
      <c r="O910" s="23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hidden="1">
      <c r="A911" s="6" t="s">
        <v>261</v>
      </c>
      <c r="B911" s="21" t="s">
        <v>1161</v>
      </c>
      <c r="C911" s="21" t="s">
        <v>1162</v>
      </c>
      <c r="D911" s="21" t="s">
        <v>1163</v>
      </c>
      <c r="E911" s="362">
        <v>0.0</v>
      </c>
      <c r="F911" s="307">
        <v>0.0</v>
      </c>
      <c r="G911" s="39"/>
      <c r="H911" s="39" t="str">
        <f t="shared" si="15"/>
        <v>#REF!</v>
      </c>
      <c r="I911" s="12" t="str">
        <f t="shared" si="2"/>
        <v>0 Complete Medical Records, 0 Patient Portal Logins</v>
      </c>
      <c r="J911" s="23"/>
      <c r="K911" s="23"/>
      <c r="L911" s="23"/>
      <c r="M911" s="14"/>
      <c r="N911" s="23"/>
      <c r="O911" s="23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hidden="1">
      <c r="A912" s="6" t="s">
        <v>265</v>
      </c>
      <c r="B912" s="16" t="s">
        <v>1106</v>
      </c>
      <c r="C912" s="16" t="s">
        <v>1107</v>
      </c>
      <c r="D912" s="16" t="s">
        <v>1108</v>
      </c>
      <c r="E912" s="363">
        <v>0.0</v>
      </c>
      <c r="F912" s="364">
        <v>6.0</v>
      </c>
      <c r="G912" s="39"/>
      <c r="H912" s="39" t="str">
        <f t="shared" si="15"/>
        <v>#REF!</v>
      </c>
      <c r="I912" s="12" t="str">
        <f t="shared" si="2"/>
        <v>0 Complete Medical Records, 6 Patient Portal Logins</v>
      </c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hidden="1">
      <c r="A913" s="6" t="s">
        <v>265</v>
      </c>
      <c r="B913" s="16" t="s">
        <v>1109</v>
      </c>
      <c r="C913" s="16" t="s">
        <v>1110</v>
      </c>
      <c r="D913" s="16" t="s">
        <v>1111</v>
      </c>
      <c r="E913" s="365"/>
      <c r="F913" s="365"/>
      <c r="G913" s="39"/>
      <c r="H913" s="39" t="str">
        <f t="shared" si="15"/>
        <v>#REF!</v>
      </c>
      <c r="I913" s="12" t="str">
        <f t="shared" si="2"/>
        <v> Complete Medical Records,  Patient Portal Logins</v>
      </c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hidden="1">
      <c r="A914" s="6" t="s">
        <v>265</v>
      </c>
      <c r="B914" s="16" t="s">
        <v>1112</v>
      </c>
      <c r="C914" s="16" t="s">
        <v>1113</v>
      </c>
      <c r="D914" s="16" t="s">
        <v>1114</v>
      </c>
      <c r="E914" s="363">
        <v>2.0</v>
      </c>
      <c r="F914" s="364">
        <v>3.0</v>
      </c>
      <c r="G914" s="39"/>
      <c r="H914" s="39" t="str">
        <f t="shared" si="15"/>
        <v>#REF!</v>
      </c>
      <c r="I914" s="12" t="str">
        <f t="shared" si="2"/>
        <v>2 Complete Medical Records, 3 Patient Portal Logins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hidden="1">
      <c r="A915" s="6" t="s">
        <v>265</v>
      </c>
      <c r="B915" s="16" t="s">
        <v>1115</v>
      </c>
      <c r="C915" s="16" t="s">
        <v>1116</v>
      </c>
      <c r="D915" s="16" t="s">
        <v>1117</v>
      </c>
      <c r="E915" s="363">
        <v>0.0</v>
      </c>
      <c r="F915" s="366">
        <v>21.0</v>
      </c>
      <c r="G915" s="39"/>
      <c r="H915" s="39" t="str">
        <f t="shared" si="15"/>
        <v>#REF!</v>
      </c>
      <c r="I915" s="12" t="str">
        <f t="shared" si="2"/>
        <v>0 Complete Medical Records, 21 Patient Portal Logins</v>
      </c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hidden="1">
      <c r="A916" s="6" t="s">
        <v>265</v>
      </c>
      <c r="B916" s="16" t="s">
        <v>1118</v>
      </c>
      <c r="C916" s="16" t="s">
        <v>1119</v>
      </c>
      <c r="D916" s="16" t="s">
        <v>1120</v>
      </c>
      <c r="E916" s="363">
        <v>3.0</v>
      </c>
      <c r="F916" s="364">
        <v>12.0</v>
      </c>
      <c r="G916" s="39"/>
      <c r="H916" s="39" t="str">
        <f t="shared" si="15"/>
        <v>#REF!</v>
      </c>
      <c r="I916" s="12" t="str">
        <f t="shared" si="2"/>
        <v>3 Complete Medical Records, 12 Patient Portal Logins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hidden="1">
      <c r="A917" s="6" t="s">
        <v>265</v>
      </c>
      <c r="B917" s="16" t="s">
        <v>1121</v>
      </c>
      <c r="C917" s="16" t="s">
        <v>1122</v>
      </c>
      <c r="D917" s="16" t="s">
        <v>1123</v>
      </c>
      <c r="E917" s="363">
        <v>1.0</v>
      </c>
      <c r="F917" s="364">
        <v>12.0</v>
      </c>
      <c r="G917" s="39"/>
      <c r="H917" s="39" t="str">
        <f t="shared" si="15"/>
        <v>#REF!</v>
      </c>
      <c r="I917" s="12" t="str">
        <f t="shared" si="2"/>
        <v>1 Complete Medical Records, 12 Patient Portal Logins</v>
      </c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hidden="1">
      <c r="A918" s="6" t="s">
        <v>265</v>
      </c>
      <c r="B918" s="16" t="s">
        <v>1124</v>
      </c>
      <c r="C918" s="16" t="s">
        <v>1125</v>
      </c>
      <c r="D918" s="16" t="s">
        <v>1126</v>
      </c>
      <c r="E918" s="363">
        <v>2.0</v>
      </c>
      <c r="F918" s="364">
        <v>1.0</v>
      </c>
      <c r="G918" s="39"/>
      <c r="H918" s="39" t="str">
        <f t="shared" si="15"/>
        <v>#REF!</v>
      </c>
      <c r="I918" s="12" t="str">
        <f t="shared" si="2"/>
        <v>2 Complete Medical Records, 1 Patient Portal Logins</v>
      </c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hidden="1">
      <c r="A919" s="6" t="s">
        <v>265</v>
      </c>
      <c r="B919" s="16" t="s">
        <v>1127</v>
      </c>
      <c r="C919" s="16" t="s">
        <v>1128</v>
      </c>
      <c r="D919" s="16" t="s">
        <v>1129</v>
      </c>
      <c r="E919" s="363">
        <v>5.0</v>
      </c>
      <c r="F919" s="364">
        <v>0.0</v>
      </c>
      <c r="G919" s="39"/>
      <c r="H919" s="39" t="str">
        <f t="shared" si="15"/>
        <v>#REF!</v>
      </c>
      <c r="I919" s="12" t="str">
        <f t="shared" si="2"/>
        <v>5 Complete Medical Records, 0 Patient Portal Logins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hidden="1">
      <c r="A920" s="6" t="s">
        <v>265</v>
      </c>
      <c r="B920" s="16" t="s">
        <v>1130</v>
      </c>
      <c r="C920" s="16" t="s">
        <v>1131</v>
      </c>
      <c r="D920" s="16" t="s">
        <v>1132</v>
      </c>
      <c r="E920" s="363">
        <v>1.0</v>
      </c>
      <c r="F920" s="364">
        <v>0.0</v>
      </c>
      <c r="G920" s="39"/>
      <c r="H920" s="39" t="str">
        <f t="shared" si="15"/>
        <v>#REF!</v>
      </c>
      <c r="I920" s="12" t="str">
        <f t="shared" si="2"/>
        <v>1 Complete Medical Records, 0 Patient Portal Logins</v>
      </c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hidden="1">
      <c r="A921" s="6" t="s">
        <v>265</v>
      </c>
      <c r="B921" s="16" t="s">
        <v>1133</v>
      </c>
      <c r="C921" s="16" t="s">
        <v>1134</v>
      </c>
      <c r="D921" s="16" t="s">
        <v>1135</v>
      </c>
      <c r="E921" s="363">
        <v>1.0</v>
      </c>
      <c r="F921" s="364">
        <v>0.0</v>
      </c>
      <c r="G921" s="39"/>
      <c r="H921" s="39" t="str">
        <f t="shared" si="15"/>
        <v>#REF!</v>
      </c>
      <c r="I921" s="12" t="str">
        <f t="shared" si="2"/>
        <v>1 Complete Medical Records, 0 Patient Portal Logins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hidden="1">
      <c r="A922" s="6" t="s">
        <v>265</v>
      </c>
      <c r="B922" s="16" t="s">
        <v>1177</v>
      </c>
      <c r="C922" s="16" t="s">
        <v>1178</v>
      </c>
      <c r="D922" s="16" t="s">
        <v>1179</v>
      </c>
      <c r="E922" s="363">
        <v>3.0</v>
      </c>
      <c r="F922" s="364">
        <v>0.0</v>
      </c>
      <c r="G922" s="39"/>
      <c r="H922" s="39" t="str">
        <f t="shared" si="15"/>
        <v>#REF!</v>
      </c>
      <c r="I922" s="12" t="str">
        <f t="shared" si="2"/>
        <v>3 Complete Medical Records, 0 Patient Portal Logins</v>
      </c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hidden="1">
      <c r="A923" s="6" t="s">
        <v>265</v>
      </c>
      <c r="B923" s="16" t="s">
        <v>1164</v>
      </c>
      <c r="C923" s="16" t="s">
        <v>1165</v>
      </c>
      <c r="D923" s="16" t="s">
        <v>1166</v>
      </c>
      <c r="E923" s="365"/>
      <c r="F923" s="365"/>
      <c r="G923" s="39"/>
      <c r="H923" s="39" t="str">
        <f t="shared" si="15"/>
        <v>#REF!</v>
      </c>
      <c r="I923" s="12" t="str">
        <f t="shared" si="2"/>
        <v> Complete Medical Records,  Patient Portal Logins</v>
      </c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hidden="1">
      <c r="A924" s="6" t="s">
        <v>265</v>
      </c>
      <c r="B924" s="16" t="s">
        <v>1136</v>
      </c>
      <c r="C924" s="16" t="s">
        <v>1137</v>
      </c>
      <c r="D924" s="16" t="s">
        <v>1138</v>
      </c>
      <c r="E924" s="363">
        <v>2.0</v>
      </c>
      <c r="F924" s="364">
        <v>0.0</v>
      </c>
      <c r="G924" s="39"/>
      <c r="H924" s="39" t="str">
        <f t="shared" si="15"/>
        <v>#REF!</v>
      </c>
      <c r="I924" s="12" t="str">
        <f t="shared" si="2"/>
        <v>2 Complete Medical Records, 0 Patient Portal Logins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hidden="1">
      <c r="A925" s="6" t="s">
        <v>265</v>
      </c>
      <c r="B925" s="16" t="s">
        <v>1139</v>
      </c>
      <c r="C925" s="16" t="s">
        <v>1140</v>
      </c>
      <c r="D925" s="16" t="s">
        <v>1141</v>
      </c>
      <c r="E925" s="363">
        <v>1.0</v>
      </c>
      <c r="F925" s="364">
        <v>0.0</v>
      </c>
      <c r="G925" s="39"/>
      <c r="H925" s="39" t="str">
        <f t="shared" si="15"/>
        <v>#REF!</v>
      </c>
      <c r="I925" s="12" t="str">
        <f t="shared" si="2"/>
        <v>1 Complete Medical Records, 0 Patient Portal Logins</v>
      </c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hidden="1">
      <c r="A926" s="6" t="s">
        <v>265</v>
      </c>
      <c r="B926" s="16" t="s">
        <v>1142</v>
      </c>
      <c r="C926" s="16" t="s">
        <v>1143</v>
      </c>
      <c r="D926" s="16" t="s">
        <v>1144</v>
      </c>
      <c r="E926" s="363">
        <v>0.0</v>
      </c>
      <c r="F926" s="364">
        <v>25.0</v>
      </c>
      <c r="G926" s="39"/>
      <c r="H926" s="39" t="str">
        <f t="shared" si="15"/>
        <v>#REF!</v>
      </c>
      <c r="I926" s="12" t="str">
        <f t="shared" si="2"/>
        <v>0 Complete Medical Records, 25 Patient Portal Logins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hidden="1">
      <c r="A927" s="6" t="s">
        <v>265</v>
      </c>
      <c r="B927" s="16" t="s">
        <v>1145</v>
      </c>
      <c r="C927" s="16" t="s">
        <v>1146</v>
      </c>
      <c r="D927" s="16" t="s">
        <v>1147</v>
      </c>
      <c r="E927" s="363">
        <v>1.0</v>
      </c>
      <c r="F927" s="364">
        <v>1.0</v>
      </c>
      <c r="G927" s="39"/>
      <c r="H927" s="39" t="str">
        <f t="shared" si="15"/>
        <v>#REF!</v>
      </c>
      <c r="I927" s="12" t="str">
        <f t="shared" si="2"/>
        <v>1 Complete Medical Records, 1 Patient Portal Logins</v>
      </c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hidden="1">
      <c r="A928" s="6" t="s">
        <v>265</v>
      </c>
      <c r="B928" s="16" t="s">
        <v>1148</v>
      </c>
      <c r="C928" s="16" t="s">
        <v>1149</v>
      </c>
      <c r="D928" s="16" t="s">
        <v>1150</v>
      </c>
      <c r="E928" s="363">
        <v>1.0</v>
      </c>
      <c r="F928" s="364">
        <v>0.0</v>
      </c>
      <c r="G928" s="39"/>
      <c r="H928" s="39" t="str">
        <f t="shared" si="15"/>
        <v>#REF!</v>
      </c>
      <c r="I928" s="12" t="str">
        <f t="shared" si="2"/>
        <v>1 Complete Medical Records, 0 Patient Portal Logins</v>
      </c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hidden="1">
      <c r="A929" s="6" t="s">
        <v>265</v>
      </c>
      <c r="B929" s="16" t="s">
        <v>1151</v>
      </c>
      <c r="C929" s="16" t="s">
        <v>1152</v>
      </c>
      <c r="D929" s="16" t="s">
        <v>1153</v>
      </c>
      <c r="E929" s="363">
        <v>0.0</v>
      </c>
      <c r="F929" s="364">
        <v>1.0</v>
      </c>
      <c r="G929" s="39"/>
      <c r="H929" s="39" t="str">
        <f t="shared" si="15"/>
        <v>#REF!</v>
      </c>
      <c r="I929" s="12" t="str">
        <f t="shared" si="2"/>
        <v>0 Complete Medical Records, 1 Patient Portal Logins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hidden="1">
      <c r="A930" s="6" t="s">
        <v>265</v>
      </c>
      <c r="B930" s="16" t="s">
        <v>1154</v>
      </c>
      <c r="C930" s="16" t="s">
        <v>1155</v>
      </c>
      <c r="D930" s="16" t="s">
        <v>1156</v>
      </c>
      <c r="E930" s="363">
        <v>1.0</v>
      </c>
      <c r="F930" s="364">
        <v>0.0</v>
      </c>
      <c r="G930" s="39"/>
      <c r="H930" s="39" t="str">
        <f t="shared" si="15"/>
        <v>#REF!</v>
      </c>
      <c r="I930" s="12" t="str">
        <f t="shared" si="2"/>
        <v>1 Complete Medical Records, 0 Patient Portal Logins</v>
      </c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hidden="1">
      <c r="A931" s="6" t="s">
        <v>265</v>
      </c>
      <c r="B931" s="61" t="s">
        <v>1158</v>
      </c>
      <c r="C931" s="21" t="s">
        <v>1159</v>
      </c>
      <c r="D931" s="21" t="s">
        <v>1160</v>
      </c>
      <c r="E931" s="363">
        <v>2.0</v>
      </c>
      <c r="F931" s="364">
        <v>8.0</v>
      </c>
      <c r="G931" s="39"/>
      <c r="H931" s="39" t="str">
        <f t="shared" si="15"/>
        <v>#REF!</v>
      </c>
      <c r="I931" s="12" t="str">
        <f t="shared" si="2"/>
        <v>2 Complete Medical Records, 8 Patient Portal Logins</v>
      </c>
      <c r="J931" s="23"/>
      <c r="K931" s="23"/>
      <c r="L931" s="23"/>
      <c r="M931" s="14"/>
      <c r="N931" s="23"/>
      <c r="O931" s="23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hidden="1">
      <c r="A932" s="6" t="s">
        <v>265</v>
      </c>
      <c r="B932" s="21" t="s">
        <v>1161</v>
      </c>
      <c r="C932" s="21" t="s">
        <v>1162</v>
      </c>
      <c r="D932" s="21" t="s">
        <v>1163</v>
      </c>
      <c r="E932" s="363">
        <v>3.0</v>
      </c>
      <c r="F932" s="364">
        <v>0.0</v>
      </c>
      <c r="G932" s="39"/>
      <c r="H932" s="39" t="str">
        <f t="shared" si="15"/>
        <v>#REF!</v>
      </c>
      <c r="I932" s="12" t="str">
        <f t="shared" si="2"/>
        <v>3 Complete Medical Records, 0 Patient Portal Logins</v>
      </c>
      <c r="J932" s="23"/>
      <c r="K932" s="23"/>
      <c r="L932" s="23"/>
      <c r="M932" s="14"/>
      <c r="N932" s="23"/>
      <c r="O932" s="23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hidden="1">
      <c r="A933" s="6" t="s">
        <v>266</v>
      </c>
      <c r="B933" s="7" t="s">
        <v>1106</v>
      </c>
      <c r="C933" s="7" t="s">
        <v>1107</v>
      </c>
      <c r="D933" s="7" t="s">
        <v>1108</v>
      </c>
      <c r="E933" s="363">
        <v>0.0</v>
      </c>
      <c r="F933" s="364">
        <v>1.0</v>
      </c>
      <c r="G933" s="39"/>
      <c r="H933" s="39" t="str">
        <f t="shared" si="15"/>
        <v>#REF!</v>
      </c>
      <c r="I933" s="12" t="str">
        <f t="shared" si="2"/>
        <v>0 Complete Medical Records, 1 Patient Portal Logins</v>
      </c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hidden="1">
      <c r="A934" s="6" t="s">
        <v>266</v>
      </c>
      <c r="B934" s="7" t="s">
        <v>1109</v>
      </c>
      <c r="C934" s="7" t="s">
        <v>1110</v>
      </c>
      <c r="D934" s="7" t="s">
        <v>1111</v>
      </c>
      <c r="E934" s="363">
        <v>0.0</v>
      </c>
      <c r="F934" s="364">
        <v>3.0</v>
      </c>
      <c r="G934" s="39"/>
      <c r="H934" s="39" t="str">
        <f t="shared" si="15"/>
        <v>#REF!</v>
      </c>
      <c r="I934" s="12" t="str">
        <f t="shared" si="2"/>
        <v>0 Complete Medical Records, 3 Patient Portal Logins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hidden="1">
      <c r="A935" s="6" t="s">
        <v>266</v>
      </c>
      <c r="B935" s="7" t="s">
        <v>1112</v>
      </c>
      <c r="C935" s="7" t="s">
        <v>1113</v>
      </c>
      <c r="D935" s="7" t="s">
        <v>1114</v>
      </c>
      <c r="E935" s="363">
        <v>0.0</v>
      </c>
      <c r="F935" s="364">
        <v>1.0</v>
      </c>
      <c r="G935" s="39"/>
      <c r="H935" s="39" t="str">
        <f t="shared" si="15"/>
        <v>#REF!</v>
      </c>
      <c r="I935" s="12" t="str">
        <f t="shared" si="2"/>
        <v>0 Complete Medical Records, 1 Patient Portal Logins</v>
      </c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hidden="1">
      <c r="A936" s="6" t="s">
        <v>266</v>
      </c>
      <c r="B936" s="16" t="s">
        <v>1115</v>
      </c>
      <c r="C936" s="16" t="s">
        <v>1116</v>
      </c>
      <c r="D936" s="16" t="s">
        <v>1117</v>
      </c>
      <c r="E936" s="363">
        <v>0.0</v>
      </c>
      <c r="F936" s="364">
        <v>19.0</v>
      </c>
      <c r="G936" s="39"/>
      <c r="H936" s="39" t="str">
        <f t="shared" si="15"/>
        <v>#REF!</v>
      </c>
      <c r="I936" s="12" t="str">
        <f t="shared" si="2"/>
        <v>0 Complete Medical Records, 19 Patient Portal Logins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hidden="1">
      <c r="A937" s="6" t="s">
        <v>266</v>
      </c>
      <c r="B937" s="16" t="s">
        <v>1118</v>
      </c>
      <c r="C937" s="16" t="s">
        <v>1119</v>
      </c>
      <c r="D937" s="16" t="s">
        <v>1120</v>
      </c>
      <c r="E937" s="363">
        <v>0.0</v>
      </c>
      <c r="F937" s="364">
        <v>5.0</v>
      </c>
      <c r="G937" s="39"/>
      <c r="H937" s="39" t="str">
        <f t="shared" si="15"/>
        <v>#REF!</v>
      </c>
      <c r="I937" s="12" t="str">
        <f t="shared" si="2"/>
        <v>0 Complete Medical Records, 5 Patient Portal Logins</v>
      </c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hidden="1">
      <c r="A938" s="6" t="s">
        <v>266</v>
      </c>
      <c r="B938" s="16" t="s">
        <v>1121</v>
      </c>
      <c r="C938" s="16" t="s">
        <v>1122</v>
      </c>
      <c r="D938" s="16" t="s">
        <v>1123</v>
      </c>
      <c r="E938" s="363">
        <v>0.0</v>
      </c>
      <c r="F938" s="364">
        <v>10.0</v>
      </c>
      <c r="G938" s="39"/>
      <c r="H938" s="39" t="str">
        <f t="shared" si="15"/>
        <v>#REF!</v>
      </c>
      <c r="I938" s="12" t="str">
        <f t="shared" si="2"/>
        <v>0 Complete Medical Records, 10 Patient Portal Logins</v>
      </c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hidden="1">
      <c r="A939" s="6" t="s">
        <v>266</v>
      </c>
      <c r="B939" s="16" t="s">
        <v>1124</v>
      </c>
      <c r="C939" s="16" t="s">
        <v>1125</v>
      </c>
      <c r="D939" s="16" t="s">
        <v>1126</v>
      </c>
      <c r="E939" s="363">
        <v>1.0</v>
      </c>
      <c r="F939" s="364">
        <v>0.0</v>
      </c>
      <c r="G939" s="39"/>
      <c r="H939" s="39" t="str">
        <f t="shared" si="15"/>
        <v>#REF!</v>
      </c>
      <c r="I939" s="12" t="str">
        <f t="shared" si="2"/>
        <v>1 Complete Medical Records, 0 Patient Portal Logins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hidden="1">
      <c r="A940" s="6" t="s">
        <v>266</v>
      </c>
      <c r="B940" s="16" t="s">
        <v>1127</v>
      </c>
      <c r="C940" s="16" t="s">
        <v>1128</v>
      </c>
      <c r="D940" s="16" t="s">
        <v>1129</v>
      </c>
      <c r="E940" s="363">
        <v>0.0</v>
      </c>
      <c r="F940" s="364">
        <v>0.0</v>
      </c>
      <c r="G940" s="39"/>
      <c r="H940" s="39" t="str">
        <f t="shared" si="15"/>
        <v>#REF!</v>
      </c>
      <c r="I940" s="12" t="str">
        <f t="shared" si="2"/>
        <v>0 Complete Medical Records, 0 Patient Portal Logins</v>
      </c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hidden="1">
      <c r="A941" s="6" t="s">
        <v>266</v>
      </c>
      <c r="B941" s="16" t="s">
        <v>1130</v>
      </c>
      <c r="C941" s="16" t="s">
        <v>1131</v>
      </c>
      <c r="D941" s="16" t="s">
        <v>1132</v>
      </c>
      <c r="E941" s="363">
        <v>0.0</v>
      </c>
      <c r="F941" s="364">
        <v>1.0</v>
      </c>
      <c r="G941" s="39"/>
      <c r="H941" s="39" t="str">
        <f t="shared" si="15"/>
        <v>#REF!</v>
      </c>
      <c r="I941" s="12" t="str">
        <f t="shared" si="2"/>
        <v>0 Complete Medical Records, 1 Patient Portal Logins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hidden="1">
      <c r="A942" s="6" t="s">
        <v>266</v>
      </c>
      <c r="B942" s="16" t="s">
        <v>1133</v>
      </c>
      <c r="C942" s="16" t="s">
        <v>1134</v>
      </c>
      <c r="D942" s="16" t="s">
        <v>1135</v>
      </c>
      <c r="E942" s="363">
        <v>1.0</v>
      </c>
      <c r="F942" s="364">
        <v>0.0</v>
      </c>
      <c r="G942" s="39"/>
      <c r="H942" s="39" t="str">
        <f t="shared" si="15"/>
        <v>#REF!</v>
      </c>
      <c r="I942" s="12" t="str">
        <f t="shared" si="2"/>
        <v>1 Complete Medical Records, 0 Patient Portal Logins</v>
      </c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hidden="1">
      <c r="A943" s="6" t="s">
        <v>266</v>
      </c>
      <c r="B943" s="16" t="s">
        <v>1177</v>
      </c>
      <c r="C943" s="16" t="s">
        <v>1178</v>
      </c>
      <c r="D943" s="16" t="s">
        <v>1179</v>
      </c>
      <c r="E943" s="363">
        <v>6.0</v>
      </c>
      <c r="F943" s="364">
        <v>0.0</v>
      </c>
      <c r="G943" s="39"/>
      <c r="H943" s="39" t="str">
        <f t="shared" si="15"/>
        <v>#REF!</v>
      </c>
      <c r="I943" s="12" t="str">
        <f t="shared" si="2"/>
        <v>6 Complete Medical Records, 0 Patient Portal Logins</v>
      </c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hidden="1">
      <c r="A944" s="6" t="s">
        <v>266</v>
      </c>
      <c r="B944" s="16" t="s">
        <v>1164</v>
      </c>
      <c r="C944" s="16" t="s">
        <v>1165</v>
      </c>
      <c r="D944" s="16" t="s">
        <v>1166</v>
      </c>
      <c r="E944" s="363">
        <v>0.0</v>
      </c>
      <c r="F944" s="364">
        <v>1.0</v>
      </c>
      <c r="G944" s="39"/>
      <c r="H944" s="39" t="str">
        <f t="shared" si="15"/>
        <v>#REF!</v>
      </c>
      <c r="I944" s="12" t="str">
        <f t="shared" si="2"/>
        <v>0 Complete Medical Records, 1 Patient Portal Logins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hidden="1">
      <c r="A945" s="6" t="s">
        <v>266</v>
      </c>
      <c r="B945" s="16" t="s">
        <v>1136</v>
      </c>
      <c r="C945" s="16" t="s">
        <v>1137</v>
      </c>
      <c r="D945" s="16" t="s">
        <v>1138</v>
      </c>
      <c r="E945" s="363">
        <v>2.0</v>
      </c>
      <c r="F945" s="364">
        <v>1.0</v>
      </c>
      <c r="G945" s="39"/>
      <c r="H945" s="39" t="str">
        <f t="shared" si="15"/>
        <v>#REF!</v>
      </c>
      <c r="I945" s="12" t="str">
        <f t="shared" si="2"/>
        <v>2 Complete Medical Records, 1 Patient Portal Logins</v>
      </c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hidden="1">
      <c r="A946" s="6" t="s">
        <v>266</v>
      </c>
      <c r="B946" s="16" t="s">
        <v>1139</v>
      </c>
      <c r="C946" s="16" t="s">
        <v>1140</v>
      </c>
      <c r="D946" s="16" t="s">
        <v>1141</v>
      </c>
      <c r="E946" s="363">
        <v>1.0</v>
      </c>
      <c r="F946" s="364">
        <v>2.0</v>
      </c>
      <c r="G946" s="39"/>
      <c r="H946" s="39" t="str">
        <f t="shared" si="15"/>
        <v>#REF!</v>
      </c>
      <c r="I946" s="12" t="str">
        <f t="shared" si="2"/>
        <v>1 Complete Medical Records, 2 Patient Portal Logins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hidden="1">
      <c r="A947" s="6" t="s">
        <v>266</v>
      </c>
      <c r="B947" s="16" t="s">
        <v>1142</v>
      </c>
      <c r="C947" s="16" t="s">
        <v>1143</v>
      </c>
      <c r="D947" s="16" t="s">
        <v>1144</v>
      </c>
      <c r="E947" s="363">
        <v>3.0</v>
      </c>
      <c r="F947" s="364">
        <v>37.0</v>
      </c>
      <c r="G947" s="39"/>
      <c r="H947" s="39" t="str">
        <f t="shared" si="15"/>
        <v>#REF!</v>
      </c>
      <c r="I947" s="12" t="str">
        <f t="shared" si="2"/>
        <v>3 Complete Medical Records, 37 Patient Portal Logins</v>
      </c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hidden="1">
      <c r="A948" s="6" t="s">
        <v>266</v>
      </c>
      <c r="B948" s="16" t="s">
        <v>1145</v>
      </c>
      <c r="C948" s="16" t="s">
        <v>1146</v>
      </c>
      <c r="D948" s="16" t="s">
        <v>1147</v>
      </c>
      <c r="E948" s="363">
        <v>1.0</v>
      </c>
      <c r="F948" s="364">
        <v>0.0</v>
      </c>
      <c r="G948" s="39"/>
      <c r="H948" s="39" t="str">
        <f t="shared" si="15"/>
        <v>#REF!</v>
      </c>
      <c r="I948" s="12" t="str">
        <f t="shared" si="2"/>
        <v>1 Complete Medical Records, 0 Patient Portal Logins</v>
      </c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hidden="1">
      <c r="A949" s="6" t="s">
        <v>266</v>
      </c>
      <c r="B949" s="16" t="s">
        <v>1148</v>
      </c>
      <c r="C949" s="16" t="s">
        <v>1149</v>
      </c>
      <c r="D949" s="16" t="s">
        <v>1150</v>
      </c>
      <c r="E949" s="363">
        <v>2.0</v>
      </c>
      <c r="F949" s="364">
        <v>3.0</v>
      </c>
      <c r="G949" s="39"/>
      <c r="H949" s="39" t="str">
        <f t="shared" si="15"/>
        <v>#REF!</v>
      </c>
      <c r="I949" s="12" t="str">
        <f t="shared" si="2"/>
        <v>2 Complete Medical Records, 3 Patient Portal Logins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hidden="1">
      <c r="A950" s="6" t="s">
        <v>266</v>
      </c>
      <c r="B950" s="16" t="s">
        <v>1151</v>
      </c>
      <c r="C950" s="16" t="s">
        <v>1152</v>
      </c>
      <c r="D950" s="16" t="s">
        <v>1153</v>
      </c>
      <c r="E950" s="363">
        <v>5.0</v>
      </c>
      <c r="F950" s="364">
        <v>0.0</v>
      </c>
      <c r="G950" s="39"/>
      <c r="H950" s="39" t="str">
        <f t="shared" si="15"/>
        <v>#REF!</v>
      </c>
      <c r="I950" s="12" t="str">
        <f t="shared" si="2"/>
        <v>5 Complete Medical Records, 0 Patient Portal Logins</v>
      </c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hidden="1">
      <c r="A951" s="6" t="s">
        <v>266</v>
      </c>
      <c r="B951" s="16" t="s">
        <v>1154</v>
      </c>
      <c r="C951" s="16" t="s">
        <v>1155</v>
      </c>
      <c r="D951" s="16" t="s">
        <v>1156</v>
      </c>
      <c r="E951" s="363">
        <v>5.0</v>
      </c>
      <c r="F951" s="364">
        <v>0.0</v>
      </c>
      <c r="G951" s="39"/>
      <c r="H951" s="39" t="str">
        <f t="shared" si="15"/>
        <v>#REF!</v>
      </c>
      <c r="I951" s="12" t="str">
        <f t="shared" si="2"/>
        <v>5 Complete Medical Records, 0 Patient Portal Logins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hidden="1">
      <c r="A952" s="6" t="s">
        <v>266</v>
      </c>
      <c r="B952" s="61" t="s">
        <v>1158</v>
      </c>
      <c r="C952" s="21" t="s">
        <v>1159</v>
      </c>
      <c r="D952" s="21" t="s">
        <v>1160</v>
      </c>
      <c r="E952" s="363">
        <v>1.0</v>
      </c>
      <c r="F952" s="364">
        <v>3.0</v>
      </c>
      <c r="G952" s="39"/>
      <c r="H952" s="39" t="str">
        <f t="shared" si="15"/>
        <v>#REF!</v>
      </c>
      <c r="I952" s="12" t="str">
        <f t="shared" si="2"/>
        <v>1 Complete Medical Records, 3 Patient Portal Logins</v>
      </c>
      <c r="J952" s="23"/>
      <c r="K952" s="23"/>
      <c r="L952" s="23"/>
      <c r="M952" s="14"/>
      <c r="N952" s="23"/>
      <c r="O952" s="23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hidden="1">
      <c r="A953" s="6" t="s">
        <v>266</v>
      </c>
      <c r="B953" s="21" t="s">
        <v>1161</v>
      </c>
      <c r="C953" s="21" t="s">
        <v>1162</v>
      </c>
      <c r="D953" s="21" t="s">
        <v>1163</v>
      </c>
      <c r="E953" s="363">
        <v>2.0</v>
      </c>
      <c r="F953" s="364">
        <v>0.0</v>
      </c>
      <c r="G953" s="39"/>
      <c r="H953" s="39" t="str">
        <f t="shared" si="15"/>
        <v>#REF!</v>
      </c>
      <c r="I953" s="12" t="str">
        <f t="shared" si="2"/>
        <v>2 Complete Medical Records, 0 Patient Portal Logins</v>
      </c>
      <c r="J953" s="23"/>
      <c r="K953" s="23"/>
      <c r="L953" s="23"/>
      <c r="M953" s="14"/>
      <c r="N953" s="23"/>
      <c r="O953" s="23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hidden="1">
      <c r="A954" s="6" t="s">
        <v>270</v>
      </c>
      <c r="B954" s="7" t="s">
        <v>1115</v>
      </c>
      <c r="C954" s="7" t="s">
        <v>1116</v>
      </c>
      <c r="D954" s="7" t="s">
        <v>1117</v>
      </c>
      <c r="E954" s="363">
        <v>0.0</v>
      </c>
      <c r="F954" s="364">
        <v>7.0</v>
      </c>
      <c r="G954" s="39"/>
      <c r="H954" s="39" t="str">
        <f t="shared" si="15"/>
        <v>#REF!</v>
      </c>
      <c r="I954" s="12" t="str">
        <f t="shared" si="2"/>
        <v>0 Complete Medical Records, 7 Patient Portal Logins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hidden="1">
      <c r="A955" s="6" t="s">
        <v>270</v>
      </c>
      <c r="B955" s="16" t="s">
        <v>1091</v>
      </c>
      <c r="C955" s="16" t="s">
        <v>1092</v>
      </c>
      <c r="D955" s="16" t="s">
        <v>1093</v>
      </c>
      <c r="E955" s="363">
        <v>0.0</v>
      </c>
      <c r="F955" s="364">
        <v>0.0</v>
      </c>
      <c r="G955" s="39"/>
      <c r="H955" s="39" t="str">
        <f t="shared" si="15"/>
        <v>#REF!</v>
      </c>
      <c r="I955" s="12" t="str">
        <f t="shared" si="2"/>
        <v>0 Complete Medical Records, 0 Patient Portal Logins</v>
      </c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hidden="1">
      <c r="A956" s="6" t="s">
        <v>270</v>
      </c>
      <c r="B956" s="16" t="s">
        <v>1118</v>
      </c>
      <c r="C956" s="16" t="s">
        <v>1119</v>
      </c>
      <c r="D956" s="16" t="s">
        <v>1120</v>
      </c>
      <c r="E956" s="363">
        <v>0.0</v>
      </c>
      <c r="F956" s="364">
        <v>20.0</v>
      </c>
      <c r="G956" s="39"/>
      <c r="H956" s="39" t="str">
        <f t="shared" si="15"/>
        <v>#REF!</v>
      </c>
      <c r="I956" s="12" t="str">
        <f t="shared" si="2"/>
        <v>0 Complete Medical Records, 20 Patient Portal Logins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hidden="1">
      <c r="A957" s="6" t="s">
        <v>270</v>
      </c>
      <c r="B957" s="16" t="s">
        <v>1112</v>
      </c>
      <c r="C957" s="16" t="s">
        <v>1113</v>
      </c>
      <c r="D957" s="16" t="s">
        <v>1114</v>
      </c>
      <c r="E957" s="363">
        <v>0.0</v>
      </c>
      <c r="F957" s="364">
        <v>0.0</v>
      </c>
      <c r="G957" s="39"/>
      <c r="H957" s="39" t="str">
        <f t="shared" si="15"/>
        <v>#REF!</v>
      </c>
      <c r="I957" s="12" t="str">
        <f t="shared" si="2"/>
        <v>0 Complete Medical Records, 0 Patient Portal Logins</v>
      </c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hidden="1">
      <c r="A958" s="6" t="s">
        <v>270</v>
      </c>
      <c r="B958" s="16" t="s">
        <v>1121</v>
      </c>
      <c r="C958" s="16" t="s">
        <v>1122</v>
      </c>
      <c r="D958" s="16" t="s">
        <v>1123</v>
      </c>
      <c r="E958" s="363">
        <v>0.0</v>
      </c>
      <c r="F958" s="364">
        <v>12.0</v>
      </c>
      <c r="G958" s="39"/>
      <c r="H958" s="39" t="str">
        <f t="shared" si="15"/>
        <v>#REF!</v>
      </c>
      <c r="I958" s="12" t="str">
        <f t="shared" si="2"/>
        <v>0 Complete Medical Records, 12 Patient Portal Logins</v>
      </c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hidden="1">
      <c r="A959" s="6" t="s">
        <v>270</v>
      </c>
      <c r="B959" s="16" t="s">
        <v>1124</v>
      </c>
      <c r="C959" s="16" t="s">
        <v>1125</v>
      </c>
      <c r="D959" s="16" t="s">
        <v>1126</v>
      </c>
      <c r="E959" s="363">
        <v>0.0</v>
      </c>
      <c r="F959" s="364">
        <v>1.0</v>
      </c>
      <c r="G959" s="39"/>
      <c r="H959" s="39" t="str">
        <f t="shared" si="15"/>
        <v>#REF!</v>
      </c>
      <c r="I959" s="12" t="str">
        <f t="shared" si="2"/>
        <v>0 Complete Medical Records, 1 Patient Portal Logins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hidden="1">
      <c r="A960" s="6" t="s">
        <v>270</v>
      </c>
      <c r="B960" s="16" t="s">
        <v>1127</v>
      </c>
      <c r="C960" s="16" t="s">
        <v>1128</v>
      </c>
      <c r="D960" s="16" t="s">
        <v>1129</v>
      </c>
      <c r="E960" s="363">
        <v>0.0</v>
      </c>
      <c r="F960" s="364">
        <v>1.0</v>
      </c>
      <c r="G960" s="39"/>
      <c r="H960" s="39" t="str">
        <f t="shared" si="15"/>
        <v>#REF!</v>
      </c>
      <c r="I960" s="12" t="str">
        <f t="shared" si="2"/>
        <v>0 Complete Medical Records, 1 Patient Portal Logins</v>
      </c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hidden="1">
      <c r="A961" s="6" t="s">
        <v>270</v>
      </c>
      <c r="B961" s="16" t="s">
        <v>1130</v>
      </c>
      <c r="C961" s="16" t="s">
        <v>1131</v>
      </c>
      <c r="D961" s="16" t="s">
        <v>1132</v>
      </c>
      <c r="E961" s="363">
        <v>1.0</v>
      </c>
      <c r="F961" s="364">
        <v>2.0</v>
      </c>
      <c r="G961" s="39"/>
      <c r="H961" s="39" t="str">
        <f t="shared" si="15"/>
        <v>#REF!</v>
      </c>
      <c r="I961" s="12" t="str">
        <f t="shared" si="2"/>
        <v>1 Complete Medical Records, 2 Patient Portal Logins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hidden="1">
      <c r="A962" s="6" t="s">
        <v>270</v>
      </c>
      <c r="B962" s="16" t="s">
        <v>1133</v>
      </c>
      <c r="C962" s="16" t="s">
        <v>1134</v>
      </c>
      <c r="D962" s="16" t="s">
        <v>1135</v>
      </c>
      <c r="E962" s="363">
        <v>2.0</v>
      </c>
      <c r="F962" s="364">
        <v>0.0</v>
      </c>
      <c r="G962" s="39"/>
      <c r="H962" s="39" t="str">
        <f t="shared" si="15"/>
        <v>#REF!</v>
      </c>
      <c r="I962" s="12" t="str">
        <f t="shared" si="2"/>
        <v>2 Complete Medical Records, 0 Patient Portal Logins</v>
      </c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hidden="1">
      <c r="A963" s="6" t="s">
        <v>270</v>
      </c>
      <c r="B963" s="16" t="s">
        <v>1177</v>
      </c>
      <c r="C963" s="16" t="s">
        <v>1178</v>
      </c>
      <c r="D963" s="16" t="s">
        <v>1179</v>
      </c>
      <c r="E963" s="363">
        <v>4.0</v>
      </c>
      <c r="F963" s="364">
        <v>1.0</v>
      </c>
      <c r="G963" s="39"/>
      <c r="H963" s="39" t="str">
        <f t="shared" si="15"/>
        <v>#REF!</v>
      </c>
      <c r="I963" s="12" t="str">
        <f t="shared" si="2"/>
        <v>4 Complete Medical Records, 1 Patient Portal Logins</v>
      </c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hidden="1">
      <c r="A964" s="6" t="s">
        <v>270</v>
      </c>
      <c r="B964" s="16" t="s">
        <v>1164</v>
      </c>
      <c r="C964" s="16" t="s">
        <v>1165</v>
      </c>
      <c r="D964" s="16" t="s">
        <v>1166</v>
      </c>
      <c r="E964" s="363">
        <v>0.0</v>
      </c>
      <c r="F964" s="364">
        <v>1.0</v>
      </c>
      <c r="G964" s="39"/>
      <c r="H964" s="39" t="str">
        <f t="shared" si="15"/>
        <v>#REF!</v>
      </c>
      <c r="I964" s="12" t="str">
        <f t="shared" si="2"/>
        <v>0 Complete Medical Records, 1 Patient Portal Logins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hidden="1">
      <c r="A965" s="6" t="s">
        <v>270</v>
      </c>
      <c r="B965" s="16" t="s">
        <v>1136</v>
      </c>
      <c r="C965" s="16" t="s">
        <v>1137</v>
      </c>
      <c r="D965" s="16" t="s">
        <v>1138</v>
      </c>
      <c r="E965" s="363">
        <v>3.0</v>
      </c>
      <c r="F965" s="364">
        <v>1.0</v>
      </c>
      <c r="G965" s="39"/>
      <c r="H965" s="39" t="str">
        <f t="shared" si="15"/>
        <v>#REF!</v>
      </c>
      <c r="I965" s="12" t="str">
        <f t="shared" si="2"/>
        <v>3 Complete Medical Records, 1 Patient Portal Logins</v>
      </c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hidden="1">
      <c r="A966" s="6" t="s">
        <v>270</v>
      </c>
      <c r="B966" s="16" t="s">
        <v>1139</v>
      </c>
      <c r="C966" s="16" t="s">
        <v>1140</v>
      </c>
      <c r="D966" s="16" t="s">
        <v>1141</v>
      </c>
      <c r="E966" s="363">
        <v>2.0</v>
      </c>
      <c r="F966" s="364">
        <v>0.0</v>
      </c>
      <c r="G966" s="39"/>
      <c r="H966" s="39" t="str">
        <f t="shared" si="15"/>
        <v>#REF!</v>
      </c>
      <c r="I966" s="12" t="str">
        <f t="shared" si="2"/>
        <v>2 Complete Medical Records, 0 Patient Portal Logins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hidden="1">
      <c r="A967" s="6" t="s">
        <v>270</v>
      </c>
      <c r="B967" s="16" t="s">
        <v>1142</v>
      </c>
      <c r="C967" s="16" t="s">
        <v>1143</v>
      </c>
      <c r="D967" s="16" t="s">
        <v>1144</v>
      </c>
      <c r="E967" s="363">
        <v>3.0</v>
      </c>
      <c r="F967" s="364">
        <v>22.0</v>
      </c>
      <c r="G967" s="39"/>
      <c r="H967" s="39" t="str">
        <f t="shared" si="15"/>
        <v>#REF!</v>
      </c>
      <c r="I967" s="12" t="str">
        <f t="shared" si="2"/>
        <v>3 Complete Medical Records, 22 Patient Portal Logins</v>
      </c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hidden="1">
      <c r="A968" s="6" t="s">
        <v>270</v>
      </c>
      <c r="B968" s="16" t="s">
        <v>1145</v>
      </c>
      <c r="C968" s="16" t="s">
        <v>1146</v>
      </c>
      <c r="D968" s="16" t="s">
        <v>1147</v>
      </c>
      <c r="E968" s="363">
        <v>1.0</v>
      </c>
      <c r="F968" s="364">
        <v>0.0</v>
      </c>
      <c r="G968" s="39"/>
      <c r="H968" s="39" t="str">
        <f t="shared" si="15"/>
        <v>#REF!</v>
      </c>
      <c r="I968" s="12" t="str">
        <f t="shared" si="2"/>
        <v>1 Complete Medical Records, 0 Patient Portal Logins</v>
      </c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hidden="1">
      <c r="A969" s="6" t="s">
        <v>270</v>
      </c>
      <c r="B969" s="16" t="s">
        <v>1148</v>
      </c>
      <c r="C969" s="16" t="s">
        <v>1149</v>
      </c>
      <c r="D969" s="16" t="s">
        <v>1150</v>
      </c>
      <c r="E969" s="363">
        <v>2.0</v>
      </c>
      <c r="F969" s="364">
        <v>3.0</v>
      </c>
      <c r="G969" s="39"/>
      <c r="H969" s="39" t="str">
        <f t="shared" si="15"/>
        <v>#REF!</v>
      </c>
      <c r="I969" s="12" t="str">
        <f t="shared" si="2"/>
        <v>2 Complete Medical Records, 3 Patient Portal Logins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hidden="1">
      <c r="A970" s="6" t="s">
        <v>270</v>
      </c>
      <c r="B970" s="16" t="s">
        <v>1151</v>
      </c>
      <c r="C970" s="16" t="s">
        <v>1152</v>
      </c>
      <c r="D970" s="16" t="s">
        <v>1153</v>
      </c>
      <c r="E970" s="363">
        <v>3.0</v>
      </c>
      <c r="F970" s="364">
        <v>1.0</v>
      </c>
      <c r="G970" s="39"/>
      <c r="H970" s="39" t="str">
        <f t="shared" si="15"/>
        <v>#REF!</v>
      </c>
      <c r="I970" s="12" t="str">
        <f t="shared" si="2"/>
        <v>3 Complete Medical Records, 1 Patient Portal Logins</v>
      </c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hidden="1">
      <c r="A971" s="6" t="s">
        <v>270</v>
      </c>
      <c r="B971" s="16" t="s">
        <v>1154</v>
      </c>
      <c r="C971" s="16" t="s">
        <v>1155</v>
      </c>
      <c r="D971" s="16" t="s">
        <v>1156</v>
      </c>
      <c r="E971" s="363">
        <v>3.0</v>
      </c>
      <c r="F971" s="364">
        <v>1.0</v>
      </c>
      <c r="G971" s="39"/>
      <c r="H971" s="39" t="str">
        <f t="shared" si="15"/>
        <v>#REF!</v>
      </c>
      <c r="I971" s="12" t="str">
        <f t="shared" si="2"/>
        <v>3 Complete Medical Records, 1 Patient Portal Logins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hidden="1">
      <c r="A972" s="6" t="s">
        <v>270</v>
      </c>
      <c r="B972" s="61" t="s">
        <v>1158</v>
      </c>
      <c r="C972" s="21" t="s">
        <v>1159</v>
      </c>
      <c r="D972" s="21" t="s">
        <v>1160</v>
      </c>
      <c r="E972" s="363">
        <v>2.0</v>
      </c>
      <c r="F972" s="364">
        <v>0.0</v>
      </c>
      <c r="G972" s="39"/>
      <c r="H972" s="39" t="str">
        <f t="shared" si="15"/>
        <v>#REF!</v>
      </c>
      <c r="I972" s="12" t="str">
        <f t="shared" si="2"/>
        <v>2 Complete Medical Records, 0 Patient Portal Logins</v>
      </c>
      <c r="J972" s="23"/>
      <c r="K972" s="23"/>
      <c r="L972" s="23"/>
      <c r="M972" s="14"/>
      <c r="N972" s="23"/>
      <c r="O972" s="23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hidden="1">
      <c r="A973" s="6" t="s">
        <v>270</v>
      </c>
      <c r="B973" s="21" t="s">
        <v>1161</v>
      </c>
      <c r="C973" s="21" t="s">
        <v>1162</v>
      </c>
      <c r="D973" s="21" t="s">
        <v>1163</v>
      </c>
      <c r="E973" s="363">
        <v>5.0</v>
      </c>
      <c r="F973" s="364">
        <v>0.0</v>
      </c>
      <c r="G973" s="39"/>
      <c r="H973" s="39" t="str">
        <f t="shared" si="15"/>
        <v>#REF!</v>
      </c>
      <c r="I973" s="12" t="str">
        <f t="shared" si="2"/>
        <v>5 Complete Medical Records, 0 Patient Portal Logins</v>
      </c>
      <c r="J973" s="23"/>
      <c r="K973" s="23"/>
      <c r="L973" s="23"/>
      <c r="M973" s="14"/>
      <c r="N973" s="23"/>
      <c r="O973" s="23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hidden="1">
      <c r="A974" s="6" t="s">
        <v>298</v>
      </c>
      <c r="B974" s="16" t="s">
        <v>1091</v>
      </c>
      <c r="C974" s="16" t="s">
        <v>1092</v>
      </c>
      <c r="D974" s="16" t="s">
        <v>1093</v>
      </c>
      <c r="E974" s="367">
        <v>0.0</v>
      </c>
      <c r="F974" s="315">
        <v>11.0</v>
      </c>
      <c r="G974" s="39"/>
      <c r="H974" s="39" t="str">
        <f t="shared" si="15"/>
        <v>#REF!</v>
      </c>
      <c r="I974" s="12" t="str">
        <f t="shared" si="2"/>
        <v>0 Complete Medical Records, 11 Patient Portal Logins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hidden="1">
      <c r="A975" s="6" t="s">
        <v>298</v>
      </c>
      <c r="B975" s="16" t="s">
        <v>1118</v>
      </c>
      <c r="C975" s="16" t="s">
        <v>1119</v>
      </c>
      <c r="D975" s="16" t="s">
        <v>1120</v>
      </c>
      <c r="E975" s="367">
        <v>0.0</v>
      </c>
      <c r="F975" s="76"/>
      <c r="G975" s="39"/>
      <c r="H975" s="39" t="str">
        <f t="shared" si="15"/>
        <v>#REF!</v>
      </c>
      <c r="I975" s="12" t="str">
        <f t="shared" si="2"/>
        <v>0 Complete Medical Records,  Patient Portal Logins</v>
      </c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hidden="1">
      <c r="A976" s="6" t="s">
        <v>298</v>
      </c>
      <c r="B976" s="16" t="s">
        <v>1112</v>
      </c>
      <c r="C976" s="16" t="s">
        <v>1113</v>
      </c>
      <c r="D976" s="16" t="s">
        <v>1114</v>
      </c>
      <c r="E976" s="367">
        <v>0.0</v>
      </c>
      <c r="F976" s="76"/>
      <c r="G976" s="39"/>
      <c r="H976" s="39" t="str">
        <f t="shared" si="15"/>
        <v>#REF!</v>
      </c>
      <c r="I976" s="12" t="str">
        <f t="shared" si="2"/>
        <v>0 Complete Medical Records,  Patient Portal Logins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hidden="1">
      <c r="A977" s="6" t="s">
        <v>298</v>
      </c>
      <c r="B977" s="16" t="s">
        <v>1121</v>
      </c>
      <c r="C977" s="16" t="s">
        <v>1122</v>
      </c>
      <c r="D977" s="16" t="s">
        <v>1123</v>
      </c>
      <c r="E977" s="367">
        <v>0.0</v>
      </c>
      <c r="F977" s="315">
        <v>2.0</v>
      </c>
      <c r="G977" s="39"/>
      <c r="H977" s="39" t="str">
        <f t="shared" si="15"/>
        <v>#REF!</v>
      </c>
      <c r="I977" s="12" t="str">
        <f t="shared" si="2"/>
        <v>0 Complete Medical Records, 2 Patient Portal Logins</v>
      </c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hidden="1">
      <c r="A978" s="6" t="s">
        <v>298</v>
      </c>
      <c r="B978" s="16" t="s">
        <v>1124</v>
      </c>
      <c r="C978" s="16" t="s">
        <v>1125</v>
      </c>
      <c r="D978" s="16" t="s">
        <v>1126</v>
      </c>
      <c r="E978" s="367">
        <v>0.0</v>
      </c>
      <c r="F978" s="315">
        <v>1.0</v>
      </c>
      <c r="G978" s="39"/>
      <c r="H978" s="39" t="str">
        <f t="shared" si="15"/>
        <v>#REF!</v>
      </c>
      <c r="I978" s="12" t="str">
        <f t="shared" si="2"/>
        <v>0 Complete Medical Records, 1 Patient Portal Logins</v>
      </c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hidden="1">
      <c r="A979" s="6" t="s">
        <v>298</v>
      </c>
      <c r="B979" s="16" t="s">
        <v>1127</v>
      </c>
      <c r="C979" s="16" t="s">
        <v>1128</v>
      </c>
      <c r="D979" s="16" t="s">
        <v>1129</v>
      </c>
      <c r="E979" s="367">
        <v>0.0</v>
      </c>
      <c r="F979" s="76"/>
      <c r="G979" s="39"/>
      <c r="H979" s="39" t="str">
        <f t="shared" si="15"/>
        <v>#REF!</v>
      </c>
      <c r="I979" s="12" t="str">
        <f t="shared" si="2"/>
        <v>0 Complete Medical Records,  Patient Portal Logins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hidden="1">
      <c r="A980" s="6" t="s">
        <v>298</v>
      </c>
      <c r="B980" s="16" t="s">
        <v>1130</v>
      </c>
      <c r="C980" s="16" t="s">
        <v>1131</v>
      </c>
      <c r="D980" s="16" t="s">
        <v>1132</v>
      </c>
      <c r="E980" s="318">
        <v>4.0</v>
      </c>
      <c r="F980" s="76"/>
      <c r="G980" s="39"/>
      <c r="H980" s="39" t="str">
        <f t="shared" si="15"/>
        <v>#REF!</v>
      </c>
      <c r="I980" s="12" t="str">
        <f t="shared" si="2"/>
        <v>4 Complete Medical Records,  Patient Portal Logins</v>
      </c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hidden="1">
      <c r="A981" s="6" t="s">
        <v>298</v>
      </c>
      <c r="B981" s="16" t="s">
        <v>1133</v>
      </c>
      <c r="C981" s="16" t="s">
        <v>1134</v>
      </c>
      <c r="D981" s="16" t="s">
        <v>1135</v>
      </c>
      <c r="E981" s="318">
        <v>3.0</v>
      </c>
      <c r="F981" s="315">
        <v>4.0</v>
      </c>
      <c r="G981" s="39"/>
      <c r="H981" s="39" t="str">
        <f t="shared" si="15"/>
        <v>#REF!</v>
      </c>
      <c r="I981" s="12" t="str">
        <f t="shared" si="2"/>
        <v>3 Complete Medical Records, 4 Patient Portal Logins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hidden="1">
      <c r="A982" s="6" t="s">
        <v>298</v>
      </c>
      <c r="B982" s="16" t="s">
        <v>1177</v>
      </c>
      <c r="C982" s="16" t="s">
        <v>1178</v>
      </c>
      <c r="D982" s="16" t="s">
        <v>1179</v>
      </c>
      <c r="E982" s="318">
        <v>7.0</v>
      </c>
      <c r="F982" s="315">
        <v>3.0</v>
      </c>
      <c r="G982" s="39"/>
      <c r="H982" s="39" t="str">
        <f t="shared" si="15"/>
        <v>#REF!</v>
      </c>
      <c r="I982" s="12" t="str">
        <f t="shared" si="2"/>
        <v>7 Complete Medical Records, 3 Patient Portal Logins</v>
      </c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hidden="1">
      <c r="A983" s="6" t="s">
        <v>298</v>
      </c>
      <c r="B983" s="16" t="s">
        <v>1164</v>
      </c>
      <c r="C983" s="16" t="s">
        <v>1165</v>
      </c>
      <c r="D983" s="16" t="s">
        <v>1166</v>
      </c>
      <c r="E983" s="76"/>
      <c r="F983" s="76"/>
      <c r="G983" s="39"/>
      <c r="H983" s="39" t="str">
        <f t="shared" si="15"/>
        <v>#REF!</v>
      </c>
      <c r="I983" s="12" t="str">
        <f t="shared" si="2"/>
        <v> Complete Medical Records,  Patient Portal Logins</v>
      </c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hidden="1">
      <c r="A984" s="6" t="s">
        <v>298</v>
      </c>
      <c r="B984" s="16" t="s">
        <v>1136</v>
      </c>
      <c r="C984" s="16" t="s">
        <v>1137</v>
      </c>
      <c r="D984" s="16" t="s">
        <v>1138</v>
      </c>
      <c r="E984" s="367">
        <v>0.0</v>
      </c>
      <c r="F984" s="315">
        <v>4.0</v>
      </c>
      <c r="G984" s="39"/>
      <c r="H984" s="39" t="str">
        <f t="shared" si="15"/>
        <v>#REF!</v>
      </c>
      <c r="I984" s="12" t="str">
        <f t="shared" si="2"/>
        <v>0 Complete Medical Records, 4 Patient Portal Logins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hidden="1">
      <c r="A985" s="6" t="s">
        <v>298</v>
      </c>
      <c r="B985" s="16" t="s">
        <v>1139</v>
      </c>
      <c r="C985" s="16" t="s">
        <v>1140</v>
      </c>
      <c r="D985" s="16" t="s">
        <v>1141</v>
      </c>
      <c r="E985" s="318">
        <v>1.0</v>
      </c>
      <c r="F985" s="315">
        <v>1.0</v>
      </c>
      <c r="G985" s="39"/>
      <c r="H985" s="39" t="str">
        <f t="shared" si="15"/>
        <v>#REF!</v>
      </c>
      <c r="I985" s="12" t="str">
        <f t="shared" si="2"/>
        <v>1 Complete Medical Records, 1 Patient Portal Logins</v>
      </c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hidden="1">
      <c r="A986" s="6" t="s">
        <v>298</v>
      </c>
      <c r="B986" s="16" t="s">
        <v>1142</v>
      </c>
      <c r="C986" s="16" t="s">
        <v>1143</v>
      </c>
      <c r="D986" s="16" t="s">
        <v>1144</v>
      </c>
      <c r="E986" s="318">
        <v>4.0</v>
      </c>
      <c r="F986" s="315">
        <v>5.0</v>
      </c>
      <c r="G986" s="39"/>
      <c r="H986" s="39" t="str">
        <f t="shared" si="15"/>
        <v>#REF!</v>
      </c>
      <c r="I986" s="12" t="str">
        <f t="shared" si="2"/>
        <v>4 Complete Medical Records, 5 Patient Portal Logins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hidden="1">
      <c r="A987" s="6" t="s">
        <v>298</v>
      </c>
      <c r="B987" s="16" t="s">
        <v>1145</v>
      </c>
      <c r="C987" s="16" t="s">
        <v>1146</v>
      </c>
      <c r="D987" s="16" t="s">
        <v>1147</v>
      </c>
      <c r="E987" s="318">
        <v>1.0</v>
      </c>
      <c r="F987" s="76"/>
      <c r="G987" s="39"/>
      <c r="H987" s="39" t="str">
        <f t="shared" si="15"/>
        <v>#REF!</v>
      </c>
      <c r="I987" s="12" t="str">
        <f t="shared" si="2"/>
        <v>1 Complete Medical Records,  Patient Portal Logins</v>
      </c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hidden="1">
      <c r="A988" s="6" t="s">
        <v>298</v>
      </c>
      <c r="B988" s="16" t="s">
        <v>1148</v>
      </c>
      <c r="C988" s="16" t="s">
        <v>1149</v>
      </c>
      <c r="D988" s="16" t="s">
        <v>1150</v>
      </c>
      <c r="E988" s="367">
        <v>0.0</v>
      </c>
      <c r="F988" s="315">
        <v>2.0</v>
      </c>
      <c r="G988" s="39"/>
      <c r="H988" s="39" t="str">
        <f t="shared" si="15"/>
        <v>#REF!</v>
      </c>
      <c r="I988" s="12" t="str">
        <f t="shared" si="2"/>
        <v>0 Complete Medical Records, 2 Patient Portal Logins</v>
      </c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hidden="1">
      <c r="A989" s="6" t="s">
        <v>298</v>
      </c>
      <c r="B989" s="16" t="s">
        <v>1151</v>
      </c>
      <c r="C989" s="16" t="s">
        <v>1152</v>
      </c>
      <c r="D989" s="16" t="s">
        <v>1153</v>
      </c>
      <c r="E989" s="318">
        <v>4.0</v>
      </c>
      <c r="F989" s="76"/>
      <c r="G989" s="39"/>
      <c r="H989" s="39" t="str">
        <f t="shared" si="15"/>
        <v>#REF!</v>
      </c>
      <c r="I989" s="12" t="str">
        <f t="shared" si="2"/>
        <v>4 Complete Medical Records,  Patient Portal Logins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hidden="1">
      <c r="A990" s="6" t="s">
        <v>298</v>
      </c>
      <c r="B990" s="16" t="s">
        <v>1154</v>
      </c>
      <c r="C990" s="16" t="s">
        <v>1155</v>
      </c>
      <c r="D990" s="16" t="s">
        <v>1156</v>
      </c>
      <c r="E990" s="367">
        <v>0.0</v>
      </c>
      <c r="F990" s="315">
        <v>8.0</v>
      </c>
      <c r="G990" s="39"/>
      <c r="H990" s="39" t="str">
        <f t="shared" si="15"/>
        <v>#REF!</v>
      </c>
      <c r="I990" s="12" t="str">
        <f t="shared" si="2"/>
        <v>0 Complete Medical Records, 8 Patient Portal Logins</v>
      </c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 hidden="1">
      <c r="A991" s="6" t="s">
        <v>298</v>
      </c>
      <c r="B991" s="61" t="s">
        <v>1158</v>
      </c>
      <c r="C991" s="21" t="s">
        <v>1159</v>
      </c>
      <c r="D991" s="21" t="s">
        <v>1160</v>
      </c>
      <c r="E991" s="318">
        <v>1.0</v>
      </c>
      <c r="F991" s="315">
        <v>7.0</v>
      </c>
      <c r="G991" s="39"/>
      <c r="H991" s="39" t="str">
        <f t="shared" si="15"/>
        <v>#REF!</v>
      </c>
      <c r="I991" s="12" t="str">
        <f t="shared" si="2"/>
        <v>1 Complete Medical Records, 7 Patient Portal Logins</v>
      </c>
      <c r="J991" s="23"/>
      <c r="K991" s="23"/>
      <c r="L991" s="23"/>
      <c r="M991" s="14"/>
      <c r="N991" s="23"/>
      <c r="O991" s="23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 hidden="1">
      <c r="A992" s="6" t="s">
        <v>298</v>
      </c>
      <c r="B992" s="21" t="s">
        <v>1161</v>
      </c>
      <c r="C992" s="21" t="s">
        <v>1162</v>
      </c>
      <c r="D992" s="21" t="s">
        <v>1163</v>
      </c>
      <c r="E992" s="367">
        <v>0.0</v>
      </c>
      <c r="F992" s="76"/>
      <c r="G992" s="39"/>
      <c r="H992" s="39" t="str">
        <f t="shared" si="15"/>
        <v>#REF!</v>
      </c>
      <c r="I992" s="12" t="str">
        <f t="shared" si="2"/>
        <v>0 Complete Medical Records,  Patient Portal Logins</v>
      </c>
      <c r="J992" s="23"/>
      <c r="K992" s="23"/>
      <c r="L992" s="23"/>
      <c r="M992" s="14"/>
      <c r="N992" s="23"/>
      <c r="O992" s="23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 hidden="1">
      <c r="A993" s="6" t="s">
        <v>297</v>
      </c>
      <c r="B993" s="16" t="s">
        <v>1091</v>
      </c>
      <c r="C993" s="16" t="s">
        <v>1092</v>
      </c>
      <c r="D993" s="16" t="s">
        <v>1093</v>
      </c>
      <c r="E993" s="363">
        <v>0.0</v>
      </c>
      <c r="F993" s="364">
        <v>0.0</v>
      </c>
      <c r="G993" s="39"/>
      <c r="H993" s="39" t="str">
        <f t="shared" si="15"/>
        <v>#REF!</v>
      </c>
      <c r="I993" s="12" t="str">
        <f t="shared" si="2"/>
        <v>0 Complete Medical Records, 0 Patient Portal Logins</v>
      </c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 hidden="1">
      <c r="A994" s="6" t="s">
        <v>297</v>
      </c>
      <c r="B994" s="16" t="s">
        <v>1118</v>
      </c>
      <c r="C994" s="16" t="s">
        <v>1119</v>
      </c>
      <c r="D994" s="16" t="s">
        <v>1120</v>
      </c>
      <c r="E994" s="363">
        <v>0.0</v>
      </c>
      <c r="F994" s="364">
        <v>16.0</v>
      </c>
      <c r="G994" s="39"/>
      <c r="H994" s="39" t="str">
        <f t="shared" si="15"/>
        <v>#REF!</v>
      </c>
      <c r="I994" s="12" t="str">
        <f t="shared" si="2"/>
        <v>0 Complete Medical Records, 16 Patient Portal Logins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 hidden="1">
      <c r="A995" s="6" t="s">
        <v>297</v>
      </c>
      <c r="B995" s="16" t="s">
        <v>1112</v>
      </c>
      <c r="C995" s="16" t="s">
        <v>1113</v>
      </c>
      <c r="D995" s="16" t="s">
        <v>1114</v>
      </c>
      <c r="E995" s="363">
        <v>0.0</v>
      </c>
      <c r="F995" s="364">
        <v>0.0</v>
      </c>
      <c r="G995" s="39"/>
      <c r="H995" s="39" t="str">
        <f t="shared" si="15"/>
        <v>#REF!</v>
      </c>
      <c r="I995" s="12" t="str">
        <f t="shared" si="2"/>
        <v>0 Complete Medical Records, 0 Patient Portal Logins</v>
      </c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 hidden="1">
      <c r="A996" s="6" t="s">
        <v>297</v>
      </c>
      <c r="B996" s="16" t="s">
        <v>1121</v>
      </c>
      <c r="C996" s="16" t="s">
        <v>1122</v>
      </c>
      <c r="D996" s="16" t="s">
        <v>1123</v>
      </c>
      <c r="E996" s="363">
        <v>0.0</v>
      </c>
      <c r="F996" s="364">
        <v>5.0</v>
      </c>
      <c r="G996" s="39"/>
      <c r="H996" s="39" t="str">
        <f t="shared" si="15"/>
        <v>#REF!</v>
      </c>
      <c r="I996" s="12" t="str">
        <f t="shared" si="2"/>
        <v>0 Complete Medical Records, 5 Patient Portal Logins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 hidden="1">
      <c r="A997" s="6" t="s">
        <v>297</v>
      </c>
      <c r="B997" s="16" t="s">
        <v>1124</v>
      </c>
      <c r="C997" s="16" t="s">
        <v>1125</v>
      </c>
      <c r="D997" s="16" t="s">
        <v>1126</v>
      </c>
      <c r="E997" s="363">
        <v>0.0</v>
      </c>
      <c r="F997" s="364">
        <v>0.0</v>
      </c>
      <c r="G997" s="39"/>
      <c r="H997" s="39" t="str">
        <f t="shared" si="15"/>
        <v>#REF!</v>
      </c>
      <c r="I997" s="12" t="str">
        <f t="shared" si="2"/>
        <v>0 Complete Medical Records, 0 Patient Portal Logins</v>
      </c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 hidden="1">
      <c r="A998" s="6" t="s">
        <v>297</v>
      </c>
      <c r="B998" s="16" t="s">
        <v>1127</v>
      </c>
      <c r="C998" s="16" t="s">
        <v>1128</v>
      </c>
      <c r="D998" s="16" t="s">
        <v>1129</v>
      </c>
      <c r="E998" s="363">
        <v>0.0</v>
      </c>
      <c r="F998" s="364">
        <v>1.0</v>
      </c>
      <c r="G998" s="39"/>
      <c r="H998" s="39" t="str">
        <f t="shared" si="15"/>
        <v>#REF!</v>
      </c>
      <c r="I998" s="12" t="str">
        <f t="shared" si="2"/>
        <v>0 Complete Medical Records, 1 Patient Portal Logins</v>
      </c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 hidden="1">
      <c r="A999" s="6" t="s">
        <v>297</v>
      </c>
      <c r="B999" s="16" t="s">
        <v>1130</v>
      </c>
      <c r="C999" s="16" t="s">
        <v>1131</v>
      </c>
      <c r="D999" s="16" t="s">
        <v>1132</v>
      </c>
      <c r="E999" s="363">
        <v>4.0</v>
      </c>
      <c r="F999" s="364">
        <v>1.0</v>
      </c>
      <c r="G999" s="39"/>
      <c r="H999" s="39" t="str">
        <f t="shared" si="15"/>
        <v>#REF!</v>
      </c>
      <c r="I999" s="12" t="str">
        <f t="shared" si="2"/>
        <v>4 Complete Medical Records, 1 Patient Portal Logins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 hidden="1">
      <c r="A1000" s="6" t="s">
        <v>297</v>
      </c>
      <c r="B1000" s="16" t="s">
        <v>1133</v>
      </c>
      <c r="C1000" s="16" t="s">
        <v>1134</v>
      </c>
      <c r="D1000" s="16" t="s">
        <v>1135</v>
      </c>
      <c r="E1000" s="363">
        <v>1.0</v>
      </c>
      <c r="F1000" s="364">
        <v>1.0</v>
      </c>
      <c r="G1000" s="39"/>
      <c r="H1000" s="39" t="str">
        <f t="shared" si="15"/>
        <v>#REF!</v>
      </c>
      <c r="I1000" s="12" t="str">
        <f t="shared" si="2"/>
        <v>1 Complete Medical Records, 1 Patient Portal Logins</v>
      </c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 hidden="1">
      <c r="A1001" s="6" t="s">
        <v>297</v>
      </c>
      <c r="B1001" s="16" t="s">
        <v>1177</v>
      </c>
      <c r="C1001" s="16" t="s">
        <v>1178</v>
      </c>
      <c r="D1001" s="16" t="s">
        <v>1179</v>
      </c>
      <c r="E1001" s="363">
        <v>7.0</v>
      </c>
      <c r="F1001" s="364">
        <v>0.0</v>
      </c>
      <c r="G1001" s="39"/>
      <c r="H1001" s="39" t="str">
        <f t="shared" si="15"/>
        <v>#REF!</v>
      </c>
      <c r="I1001" s="12" t="str">
        <f t="shared" si="2"/>
        <v>7 Complete Medical Records, 0 Patient Portal Logins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  <row r="1002" hidden="1">
      <c r="A1002" s="6" t="s">
        <v>297</v>
      </c>
      <c r="B1002" s="16" t="s">
        <v>1164</v>
      </c>
      <c r="C1002" s="16" t="s">
        <v>1165</v>
      </c>
      <c r="D1002" s="16" t="s">
        <v>1166</v>
      </c>
      <c r="E1002" s="363">
        <v>1.0</v>
      </c>
      <c r="F1002" s="364">
        <v>0.0</v>
      </c>
      <c r="G1002" s="39"/>
      <c r="H1002" s="39" t="str">
        <f t="shared" si="15"/>
        <v>#REF!</v>
      </c>
      <c r="I1002" s="12" t="str">
        <f t="shared" si="2"/>
        <v>1 Complete Medical Records, 0 Patient Portal Logins</v>
      </c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 hidden="1">
      <c r="A1003" s="6" t="s">
        <v>297</v>
      </c>
      <c r="B1003" s="16" t="s">
        <v>1136</v>
      </c>
      <c r="C1003" s="16" t="s">
        <v>1137</v>
      </c>
      <c r="D1003" s="16" t="s">
        <v>1138</v>
      </c>
      <c r="E1003" s="363">
        <v>3.0</v>
      </c>
      <c r="F1003" s="364">
        <v>2.0</v>
      </c>
      <c r="G1003" s="39"/>
      <c r="H1003" s="39" t="str">
        <f t="shared" si="15"/>
        <v>#REF!</v>
      </c>
      <c r="I1003" s="12" t="str">
        <f t="shared" si="2"/>
        <v>3 Complete Medical Records, 2 Patient Portal Logins</v>
      </c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</row>
    <row r="1004" hidden="1">
      <c r="A1004" s="6" t="s">
        <v>297</v>
      </c>
      <c r="B1004" s="16" t="s">
        <v>1139</v>
      </c>
      <c r="C1004" s="16" t="s">
        <v>1140</v>
      </c>
      <c r="D1004" s="16" t="s">
        <v>1141</v>
      </c>
      <c r="E1004" s="363">
        <v>6.0</v>
      </c>
      <c r="F1004" s="364">
        <v>1.0</v>
      </c>
      <c r="G1004" s="39"/>
      <c r="H1004" s="39" t="str">
        <f t="shared" si="15"/>
        <v>#REF!</v>
      </c>
      <c r="I1004" s="12" t="str">
        <f t="shared" si="2"/>
        <v>6 Complete Medical Records, 1 Patient Portal Logins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</row>
    <row r="1005" hidden="1">
      <c r="A1005" s="6" t="s">
        <v>297</v>
      </c>
      <c r="B1005" s="16" t="s">
        <v>1142</v>
      </c>
      <c r="C1005" s="16" t="s">
        <v>1143</v>
      </c>
      <c r="D1005" s="16" t="s">
        <v>1144</v>
      </c>
      <c r="E1005" s="363">
        <v>3.0</v>
      </c>
      <c r="F1005" s="364">
        <v>8.0</v>
      </c>
      <c r="G1005" s="39"/>
      <c r="H1005" s="39" t="str">
        <f t="shared" si="15"/>
        <v>#REF!</v>
      </c>
      <c r="I1005" s="12" t="str">
        <f t="shared" si="2"/>
        <v>3 Complete Medical Records, 8 Patient Portal Logins</v>
      </c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</row>
    <row r="1006" hidden="1">
      <c r="A1006" s="6" t="s">
        <v>297</v>
      </c>
      <c r="B1006" s="16" t="s">
        <v>1145</v>
      </c>
      <c r="C1006" s="16" t="s">
        <v>1146</v>
      </c>
      <c r="D1006" s="16" t="s">
        <v>1147</v>
      </c>
      <c r="E1006" s="363">
        <v>3.0</v>
      </c>
      <c r="F1006" s="364">
        <v>0.0</v>
      </c>
      <c r="G1006" s="39"/>
      <c r="H1006" s="39" t="str">
        <f t="shared" si="15"/>
        <v>#REF!</v>
      </c>
      <c r="I1006" s="12" t="str">
        <f t="shared" si="2"/>
        <v>3 Complete Medical Records, 0 Patient Portal Logins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</row>
    <row r="1007" hidden="1">
      <c r="A1007" s="6" t="s">
        <v>297</v>
      </c>
      <c r="B1007" s="16" t="s">
        <v>1148</v>
      </c>
      <c r="C1007" s="16" t="s">
        <v>1149</v>
      </c>
      <c r="D1007" s="16" t="s">
        <v>1150</v>
      </c>
      <c r="E1007" s="363">
        <v>1.0</v>
      </c>
      <c r="F1007" s="364">
        <v>2.0</v>
      </c>
      <c r="G1007" s="39"/>
      <c r="H1007" s="39" t="str">
        <f t="shared" si="15"/>
        <v>#REF!</v>
      </c>
      <c r="I1007" s="12" t="str">
        <f t="shared" si="2"/>
        <v>1 Complete Medical Records, 2 Patient Portal Logins</v>
      </c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</row>
    <row r="1008" hidden="1">
      <c r="A1008" s="6" t="s">
        <v>297</v>
      </c>
      <c r="B1008" s="16" t="s">
        <v>1151</v>
      </c>
      <c r="C1008" s="16" t="s">
        <v>1152</v>
      </c>
      <c r="D1008" s="16" t="s">
        <v>1153</v>
      </c>
      <c r="E1008" s="363">
        <v>1.0</v>
      </c>
      <c r="F1008" s="364">
        <v>0.0</v>
      </c>
      <c r="G1008" s="39"/>
      <c r="H1008" s="39" t="str">
        <f t="shared" si="15"/>
        <v>#REF!</v>
      </c>
      <c r="I1008" s="12" t="str">
        <f t="shared" si="2"/>
        <v>1 Complete Medical Records, 0 Patient Portal Logins</v>
      </c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</row>
    <row r="1009" hidden="1">
      <c r="A1009" s="6" t="s">
        <v>297</v>
      </c>
      <c r="B1009" s="16" t="s">
        <v>1154</v>
      </c>
      <c r="C1009" s="16" t="s">
        <v>1155</v>
      </c>
      <c r="D1009" s="16" t="s">
        <v>1156</v>
      </c>
      <c r="E1009" s="363">
        <v>4.0</v>
      </c>
      <c r="F1009" s="364">
        <v>4.0</v>
      </c>
      <c r="G1009" s="39"/>
      <c r="H1009" s="39" t="str">
        <f t="shared" si="15"/>
        <v>#REF!</v>
      </c>
      <c r="I1009" s="12" t="str">
        <f t="shared" si="2"/>
        <v>4 Complete Medical Records, 4 Patient Portal Logins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</row>
    <row r="1010" hidden="1">
      <c r="A1010" s="6" t="s">
        <v>297</v>
      </c>
      <c r="B1010" s="61" t="s">
        <v>1158</v>
      </c>
      <c r="C1010" s="21" t="s">
        <v>1159</v>
      </c>
      <c r="D1010" s="21" t="s">
        <v>1160</v>
      </c>
      <c r="E1010" s="363">
        <v>3.0</v>
      </c>
      <c r="F1010" s="364">
        <v>2.0</v>
      </c>
      <c r="G1010" s="39"/>
      <c r="H1010" s="39" t="str">
        <f t="shared" si="15"/>
        <v>#REF!</v>
      </c>
      <c r="I1010" s="12" t="str">
        <f t="shared" si="2"/>
        <v>3 Complete Medical Records, 2 Patient Portal Logins</v>
      </c>
      <c r="J1010" s="23"/>
      <c r="K1010" s="23"/>
      <c r="L1010" s="23"/>
      <c r="M1010" s="14"/>
      <c r="N1010" s="23"/>
      <c r="O1010" s="23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</row>
    <row r="1011" hidden="1">
      <c r="A1011" s="6" t="s">
        <v>297</v>
      </c>
      <c r="B1011" s="21" t="s">
        <v>1161</v>
      </c>
      <c r="C1011" s="21" t="s">
        <v>1162</v>
      </c>
      <c r="D1011" s="21" t="s">
        <v>1163</v>
      </c>
      <c r="E1011" s="363">
        <v>1.0</v>
      </c>
      <c r="F1011" s="364">
        <v>1.0</v>
      </c>
      <c r="G1011" s="39"/>
      <c r="H1011" s="39" t="str">
        <f t="shared" si="15"/>
        <v>#REF!</v>
      </c>
      <c r="I1011" s="12" t="str">
        <f t="shared" si="2"/>
        <v>1 Complete Medical Records, 1 Patient Portal Logins</v>
      </c>
      <c r="J1011" s="23"/>
      <c r="K1011" s="23"/>
      <c r="L1011" s="23"/>
      <c r="M1011" s="14"/>
      <c r="N1011" s="23"/>
      <c r="O1011" s="23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</row>
    <row r="1012" hidden="1">
      <c r="A1012" s="6" t="s">
        <v>298</v>
      </c>
      <c r="B1012" s="16" t="s">
        <v>1091</v>
      </c>
      <c r="C1012" s="16" t="s">
        <v>1092</v>
      </c>
      <c r="D1012" s="16" t="s">
        <v>1093</v>
      </c>
      <c r="E1012" s="49">
        <v>0.0</v>
      </c>
      <c r="F1012" s="364">
        <v>11.0</v>
      </c>
      <c r="G1012" s="39"/>
      <c r="H1012" s="39" t="str">
        <f t="shared" si="15"/>
        <v>#REF!</v>
      </c>
      <c r="I1012" s="12" t="str">
        <f t="shared" si="2"/>
        <v>0 Complete Medical Records, 11 Patient Portal Logins</v>
      </c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</row>
    <row r="1013" hidden="1">
      <c r="A1013" s="6" t="s">
        <v>298</v>
      </c>
      <c r="B1013" s="16" t="s">
        <v>1118</v>
      </c>
      <c r="C1013" s="16" t="s">
        <v>1119</v>
      </c>
      <c r="D1013" s="16" t="s">
        <v>1120</v>
      </c>
      <c r="E1013" s="49">
        <v>0.0</v>
      </c>
      <c r="F1013" s="365"/>
      <c r="G1013" s="39"/>
      <c r="H1013" s="39" t="str">
        <f t="shared" si="15"/>
        <v>#REF!</v>
      </c>
      <c r="I1013" s="12" t="str">
        <f t="shared" si="2"/>
        <v>0 Complete Medical Records,  Patient Portal Logins</v>
      </c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</row>
    <row r="1014" hidden="1">
      <c r="A1014" s="6" t="s">
        <v>298</v>
      </c>
      <c r="B1014" s="16" t="s">
        <v>1112</v>
      </c>
      <c r="C1014" s="16" t="s">
        <v>1113</v>
      </c>
      <c r="D1014" s="16" t="s">
        <v>1114</v>
      </c>
      <c r="E1014" s="49">
        <v>0.0</v>
      </c>
      <c r="F1014" s="76"/>
      <c r="G1014" s="39"/>
      <c r="H1014" s="39" t="str">
        <f t="shared" si="15"/>
        <v>#REF!</v>
      </c>
      <c r="I1014" s="12" t="str">
        <f t="shared" si="2"/>
        <v>0 Complete Medical Records,  Patient Portal Logins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</row>
    <row r="1015" hidden="1">
      <c r="A1015" s="6" t="s">
        <v>298</v>
      </c>
      <c r="B1015" s="16" t="s">
        <v>1121</v>
      </c>
      <c r="C1015" s="16" t="s">
        <v>1122</v>
      </c>
      <c r="D1015" s="16" t="s">
        <v>1123</v>
      </c>
      <c r="E1015" s="49">
        <v>0.0</v>
      </c>
      <c r="F1015" s="364">
        <v>2.0</v>
      </c>
      <c r="G1015" s="39"/>
      <c r="H1015" s="39" t="str">
        <f t="shared" si="15"/>
        <v>#REF!</v>
      </c>
      <c r="I1015" s="12" t="str">
        <f t="shared" si="2"/>
        <v>0 Complete Medical Records, 2 Patient Portal Logins</v>
      </c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</row>
    <row r="1016" hidden="1">
      <c r="A1016" s="6" t="s">
        <v>298</v>
      </c>
      <c r="B1016" s="16" t="s">
        <v>1124</v>
      </c>
      <c r="C1016" s="16" t="s">
        <v>1125</v>
      </c>
      <c r="D1016" s="16" t="s">
        <v>1126</v>
      </c>
      <c r="E1016" s="49">
        <v>0.0</v>
      </c>
      <c r="F1016" s="364">
        <v>1.0</v>
      </c>
      <c r="G1016" s="39"/>
      <c r="H1016" s="39" t="str">
        <f t="shared" si="15"/>
        <v>#REF!</v>
      </c>
      <c r="I1016" s="12" t="str">
        <f t="shared" si="2"/>
        <v>0 Complete Medical Records, 1 Patient Portal Logins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</row>
    <row r="1017" hidden="1">
      <c r="A1017" s="6" t="s">
        <v>298</v>
      </c>
      <c r="B1017" s="16" t="s">
        <v>1127</v>
      </c>
      <c r="C1017" s="16" t="s">
        <v>1128</v>
      </c>
      <c r="D1017" s="16" t="s">
        <v>1129</v>
      </c>
      <c r="E1017" s="49">
        <v>0.0</v>
      </c>
      <c r="F1017" s="365"/>
      <c r="G1017" s="39"/>
      <c r="H1017" s="39" t="str">
        <f t="shared" si="15"/>
        <v>#REF!</v>
      </c>
      <c r="I1017" s="12" t="str">
        <f t="shared" si="2"/>
        <v>0 Complete Medical Records,  Patient Portal Logins</v>
      </c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</row>
    <row r="1018" hidden="1">
      <c r="A1018" s="6" t="s">
        <v>298</v>
      </c>
      <c r="B1018" s="16" t="s">
        <v>1130</v>
      </c>
      <c r="C1018" s="16" t="s">
        <v>1131</v>
      </c>
      <c r="D1018" s="16" t="s">
        <v>1132</v>
      </c>
      <c r="E1018" s="363">
        <v>4.0</v>
      </c>
      <c r="F1018" s="76"/>
      <c r="G1018" s="39"/>
      <c r="H1018" s="39" t="str">
        <f t="shared" si="15"/>
        <v>#REF!</v>
      </c>
      <c r="I1018" s="12" t="str">
        <f t="shared" si="2"/>
        <v>4 Complete Medical Records,  Patient Portal Logins</v>
      </c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</row>
    <row r="1019" hidden="1">
      <c r="A1019" s="6" t="s">
        <v>298</v>
      </c>
      <c r="B1019" s="16" t="s">
        <v>1133</v>
      </c>
      <c r="C1019" s="16" t="s">
        <v>1134</v>
      </c>
      <c r="D1019" s="16" t="s">
        <v>1135</v>
      </c>
      <c r="E1019" s="363">
        <v>3.0</v>
      </c>
      <c r="F1019" s="364">
        <v>4.0</v>
      </c>
      <c r="G1019" s="39"/>
      <c r="H1019" s="39" t="str">
        <f t="shared" si="15"/>
        <v>#REF!</v>
      </c>
      <c r="I1019" s="12" t="str">
        <f t="shared" si="2"/>
        <v>3 Complete Medical Records, 4 Patient Portal Logins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</row>
    <row r="1020" hidden="1">
      <c r="A1020" s="6" t="s">
        <v>298</v>
      </c>
      <c r="B1020" s="16" t="s">
        <v>1177</v>
      </c>
      <c r="C1020" s="16" t="s">
        <v>1178</v>
      </c>
      <c r="D1020" s="16" t="s">
        <v>1179</v>
      </c>
      <c r="E1020" s="363">
        <v>7.0</v>
      </c>
      <c r="F1020" s="364">
        <v>3.0</v>
      </c>
      <c r="G1020" s="39"/>
      <c r="H1020" s="39" t="str">
        <f t="shared" si="15"/>
        <v>#REF!</v>
      </c>
      <c r="I1020" s="12" t="str">
        <f t="shared" si="2"/>
        <v>7 Complete Medical Records, 3 Patient Portal Logins</v>
      </c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</row>
    <row r="1021" hidden="1">
      <c r="A1021" s="6" t="s">
        <v>298</v>
      </c>
      <c r="B1021" s="16" t="s">
        <v>1164</v>
      </c>
      <c r="C1021" s="16" t="s">
        <v>1165</v>
      </c>
      <c r="D1021" s="16" t="s">
        <v>1166</v>
      </c>
      <c r="E1021" s="76"/>
      <c r="F1021" s="365"/>
      <c r="G1021" s="39"/>
      <c r="H1021" s="39" t="str">
        <f t="shared" si="15"/>
        <v>#REF!</v>
      </c>
      <c r="I1021" s="12" t="str">
        <f t="shared" si="2"/>
        <v> Complete Medical Records,  Patient Portal Logins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</row>
    <row r="1022" hidden="1">
      <c r="A1022" s="6" t="s">
        <v>298</v>
      </c>
      <c r="B1022" s="16" t="s">
        <v>1136</v>
      </c>
      <c r="C1022" s="16" t="s">
        <v>1137</v>
      </c>
      <c r="D1022" s="16" t="s">
        <v>1138</v>
      </c>
      <c r="E1022" s="49">
        <v>0.0</v>
      </c>
      <c r="F1022" s="364">
        <v>4.0</v>
      </c>
      <c r="G1022" s="39"/>
      <c r="H1022" s="39" t="str">
        <f t="shared" si="15"/>
        <v>#REF!</v>
      </c>
      <c r="I1022" s="12" t="str">
        <f t="shared" si="2"/>
        <v>0 Complete Medical Records, 4 Patient Portal Logins</v>
      </c>
      <c r="J1022" s="14"/>
      <c r="K1022" s="14"/>
      <c r="L1022" s="32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</row>
    <row r="1023" hidden="1">
      <c r="A1023" s="6" t="s">
        <v>298</v>
      </c>
      <c r="B1023" s="16" t="s">
        <v>1139</v>
      </c>
      <c r="C1023" s="16" t="s">
        <v>1140</v>
      </c>
      <c r="D1023" s="16" t="s">
        <v>1141</v>
      </c>
      <c r="E1023" s="363">
        <v>1.0</v>
      </c>
      <c r="F1023" s="364">
        <v>1.0</v>
      </c>
      <c r="G1023" s="39"/>
      <c r="H1023" s="39" t="str">
        <f t="shared" si="15"/>
        <v>#REF!</v>
      </c>
      <c r="I1023" s="12" t="str">
        <f t="shared" si="2"/>
        <v>1 Complete Medical Records, 1 Patient Portal Logins</v>
      </c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</row>
    <row r="1024" hidden="1">
      <c r="A1024" s="6" t="s">
        <v>298</v>
      </c>
      <c r="B1024" s="16" t="s">
        <v>1142</v>
      </c>
      <c r="C1024" s="16" t="s">
        <v>1143</v>
      </c>
      <c r="D1024" s="16" t="s">
        <v>1144</v>
      </c>
      <c r="E1024" s="363">
        <v>4.0</v>
      </c>
      <c r="F1024" s="364">
        <v>5.0</v>
      </c>
      <c r="G1024" s="39"/>
      <c r="H1024" s="39" t="str">
        <f t="shared" si="15"/>
        <v>#REF!</v>
      </c>
      <c r="I1024" s="12" t="str">
        <f t="shared" si="2"/>
        <v>4 Complete Medical Records, 5 Patient Portal Logins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</row>
    <row r="1025" hidden="1">
      <c r="A1025" s="6" t="s">
        <v>298</v>
      </c>
      <c r="B1025" s="16" t="s">
        <v>1145</v>
      </c>
      <c r="C1025" s="16" t="s">
        <v>1146</v>
      </c>
      <c r="D1025" s="16" t="s">
        <v>1147</v>
      </c>
      <c r="E1025" s="363">
        <v>1.0</v>
      </c>
      <c r="F1025" s="365"/>
      <c r="G1025" s="39"/>
      <c r="H1025" s="39" t="str">
        <f t="shared" si="15"/>
        <v>#REF!</v>
      </c>
      <c r="I1025" s="12" t="str">
        <f t="shared" si="2"/>
        <v>1 Complete Medical Records,  Patient Portal Logins</v>
      </c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</row>
    <row r="1026" hidden="1">
      <c r="A1026" s="6" t="s">
        <v>298</v>
      </c>
      <c r="B1026" s="16" t="s">
        <v>1148</v>
      </c>
      <c r="C1026" s="16" t="s">
        <v>1149</v>
      </c>
      <c r="D1026" s="16" t="s">
        <v>1150</v>
      </c>
      <c r="E1026" s="49">
        <v>0.0</v>
      </c>
      <c r="F1026" s="364">
        <v>2.0</v>
      </c>
      <c r="G1026" s="39"/>
      <c r="H1026" s="39" t="str">
        <f t="shared" si="15"/>
        <v>#REF!</v>
      </c>
      <c r="I1026" s="12" t="str">
        <f t="shared" si="2"/>
        <v>0 Complete Medical Records, 2 Patient Portal Logins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</row>
    <row r="1027" hidden="1">
      <c r="A1027" s="6" t="s">
        <v>298</v>
      </c>
      <c r="B1027" s="16" t="s">
        <v>1151</v>
      </c>
      <c r="C1027" s="16" t="s">
        <v>1152</v>
      </c>
      <c r="D1027" s="16" t="s">
        <v>1153</v>
      </c>
      <c r="E1027" s="363">
        <v>4.0</v>
      </c>
      <c r="F1027" s="365"/>
      <c r="G1027" s="39"/>
      <c r="H1027" s="39" t="str">
        <f t="shared" si="15"/>
        <v>#REF!</v>
      </c>
      <c r="I1027" s="12" t="str">
        <f t="shared" si="2"/>
        <v>4 Complete Medical Records,  Patient Portal Logins</v>
      </c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</row>
    <row r="1028" hidden="1">
      <c r="A1028" s="6" t="s">
        <v>298</v>
      </c>
      <c r="B1028" s="16" t="s">
        <v>1154</v>
      </c>
      <c r="C1028" s="16" t="s">
        <v>1155</v>
      </c>
      <c r="D1028" s="16" t="s">
        <v>1156</v>
      </c>
      <c r="E1028" s="49">
        <v>0.0</v>
      </c>
      <c r="F1028" s="364">
        <v>8.0</v>
      </c>
      <c r="G1028" s="39"/>
      <c r="H1028" s="39" t="str">
        <f t="shared" si="15"/>
        <v>#REF!</v>
      </c>
      <c r="I1028" s="12" t="str">
        <f t="shared" si="2"/>
        <v>0 Complete Medical Records, 8 Patient Portal Logins</v>
      </c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</row>
    <row r="1029" hidden="1">
      <c r="A1029" s="6" t="s">
        <v>298</v>
      </c>
      <c r="B1029" s="61" t="s">
        <v>1158</v>
      </c>
      <c r="C1029" s="21" t="s">
        <v>1159</v>
      </c>
      <c r="D1029" s="21" t="s">
        <v>1160</v>
      </c>
      <c r="E1029" s="363">
        <v>1.0</v>
      </c>
      <c r="F1029" s="364">
        <v>7.0</v>
      </c>
      <c r="G1029" s="39"/>
      <c r="H1029" s="39" t="str">
        <f t="shared" si="15"/>
        <v>#REF!</v>
      </c>
      <c r="I1029" s="12" t="str">
        <f t="shared" si="2"/>
        <v>1 Complete Medical Records, 7 Patient Portal Logins</v>
      </c>
      <c r="J1029" s="23"/>
      <c r="K1029" s="23"/>
      <c r="L1029" s="23"/>
      <c r="M1029" s="14"/>
      <c r="N1029" s="23"/>
      <c r="O1029" s="23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 hidden="1">
      <c r="A1030" s="6" t="s">
        <v>298</v>
      </c>
      <c r="B1030" s="21" t="s">
        <v>1161</v>
      </c>
      <c r="C1030" s="21" t="s">
        <v>1162</v>
      </c>
      <c r="D1030" s="21" t="s">
        <v>1163</v>
      </c>
      <c r="E1030" s="49">
        <v>0.0</v>
      </c>
      <c r="F1030" s="365"/>
      <c r="G1030" s="39"/>
      <c r="H1030" s="39" t="str">
        <f t="shared" si="15"/>
        <v>#REF!</v>
      </c>
      <c r="I1030" s="12" t="str">
        <f t="shared" si="2"/>
        <v>0 Complete Medical Records,  Patient Portal Logins</v>
      </c>
      <c r="J1030" s="23"/>
      <c r="K1030" s="23"/>
      <c r="L1030" s="23"/>
      <c r="M1030" s="14"/>
      <c r="N1030" s="23"/>
      <c r="O1030" s="23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</row>
    <row r="1031" hidden="1">
      <c r="A1031" s="6" t="s">
        <v>299</v>
      </c>
      <c r="B1031" s="16" t="s">
        <v>1091</v>
      </c>
      <c r="C1031" s="16" t="s">
        <v>1092</v>
      </c>
      <c r="D1031" s="16" t="s">
        <v>1093</v>
      </c>
      <c r="E1031" s="76"/>
      <c r="F1031" s="368"/>
      <c r="G1031" s="39"/>
      <c r="H1031" s="39" t="str">
        <f t="shared" si="15"/>
        <v>#REF!</v>
      </c>
      <c r="I1031" s="12" t="str">
        <f t="shared" si="2"/>
        <v> Complete Medical Records,  Patient Portal Logins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</row>
    <row r="1032" hidden="1">
      <c r="A1032" s="6" t="s">
        <v>299</v>
      </c>
      <c r="B1032" s="16" t="s">
        <v>1118</v>
      </c>
      <c r="C1032" s="16" t="s">
        <v>1119</v>
      </c>
      <c r="D1032" s="16" t="s">
        <v>1120</v>
      </c>
      <c r="E1032" s="363">
        <v>0.0</v>
      </c>
      <c r="F1032" s="364">
        <v>3.0</v>
      </c>
      <c r="G1032" s="39"/>
      <c r="H1032" s="39" t="str">
        <f t="shared" si="15"/>
        <v>#REF!</v>
      </c>
      <c r="I1032" s="12" t="str">
        <f t="shared" si="2"/>
        <v>0 Complete Medical Records, 3 Patient Portal Logins</v>
      </c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 hidden="1">
      <c r="A1033" s="6" t="s">
        <v>299</v>
      </c>
      <c r="B1033" s="16" t="s">
        <v>1112</v>
      </c>
      <c r="C1033" s="16" t="s">
        <v>1113</v>
      </c>
      <c r="D1033" s="16" t="s">
        <v>1114</v>
      </c>
      <c r="E1033" s="92"/>
      <c r="F1033" s="93"/>
      <c r="G1033" s="39"/>
      <c r="H1033" s="39" t="str">
        <f t="shared" si="15"/>
        <v>#REF!</v>
      </c>
      <c r="I1033" s="12" t="str">
        <f t="shared" si="2"/>
        <v> Complete Medical Records,  Patient Portal Logins</v>
      </c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 hidden="1">
      <c r="A1034" s="6" t="s">
        <v>299</v>
      </c>
      <c r="B1034" s="16" t="s">
        <v>1121</v>
      </c>
      <c r="C1034" s="16" t="s">
        <v>1122</v>
      </c>
      <c r="D1034" s="16" t="s">
        <v>1123</v>
      </c>
      <c r="E1034" s="363">
        <v>0.0</v>
      </c>
      <c r="F1034" s="364">
        <v>3.0</v>
      </c>
      <c r="G1034" s="39"/>
      <c r="H1034" s="39" t="str">
        <f t="shared" si="15"/>
        <v>#REF!</v>
      </c>
      <c r="I1034" s="12" t="str">
        <f t="shared" si="2"/>
        <v>0 Complete Medical Records, 3 Patient Portal Logins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</row>
    <row r="1035" hidden="1">
      <c r="A1035" s="6" t="s">
        <v>299</v>
      </c>
      <c r="B1035" s="16" t="s">
        <v>1124</v>
      </c>
      <c r="C1035" s="16" t="s">
        <v>1125</v>
      </c>
      <c r="D1035" s="16" t="s">
        <v>1126</v>
      </c>
      <c r="E1035" s="363">
        <v>0.0</v>
      </c>
      <c r="F1035" s="364">
        <v>3.0</v>
      </c>
      <c r="G1035" s="39"/>
      <c r="H1035" s="39" t="str">
        <f t="shared" si="15"/>
        <v>#REF!</v>
      </c>
      <c r="I1035" s="12" t="str">
        <f t="shared" si="2"/>
        <v>0 Complete Medical Records, 3 Patient Portal Logins</v>
      </c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</row>
    <row r="1036" hidden="1">
      <c r="A1036" s="6" t="s">
        <v>299</v>
      </c>
      <c r="B1036" s="16" t="s">
        <v>1127</v>
      </c>
      <c r="C1036" s="16" t="s">
        <v>1128</v>
      </c>
      <c r="D1036" s="16" t="s">
        <v>1129</v>
      </c>
      <c r="E1036" s="363">
        <v>0.0</v>
      </c>
      <c r="F1036" s="364">
        <v>4.0</v>
      </c>
      <c r="G1036" s="39"/>
      <c r="H1036" s="39" t="str">
        <f t="shared" si="15"/>
        <v>#REF!</v>
      </c>
      <c r="I1036" s="12" t="str">
        <f t="shared" si="2"/>
        <v>0 Complete Medical Records, 4 Patient Portal Logins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</row>
    <row r="1037" hidden="1">
      <c r="A1037" s="6" t="s">
        <v>299</v>
      </c>
      <c r="B1037" s="16" t="s">
        <v>1130</v>
      </c>
      <c r="C1037" s="16" t="s">
        <v>1131</v>
      </c>
      <c r="D1037" s="16" t="s">
        <v>1132</v>
      </c>
      <c r="E1037" s="92"/>
      <c r="F1037" s="92"/>
      <c r="G1037" s="39"/>
      <c r="H1037" s="39" t="str">
        <f t="shared" si="15"/>
        <v>#REF!</v>
      </c>
      <c r="I1037" s="12" t="str">
        <f t="shared" si="2"/>
        <v> Complete Medical Records,  Patient Portal Logins</v>
      </c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</row>
    <row r="1038" hidden="1">
      <c r="A1038" s="6" t="s">
        <v>299</v>
      </c>
      <c r="B1038" s="16" t="s">
        <v>1133</v>
      </c>
      <c r="C1038" s="16" t="s">
        <v>1134</v>
      </c>
      <c r="D1038" s="16" t="s">
        <v>1135</v>
      </c>
      <c r="E1038" s="363">
        <v>1.0</v>
      </c>
      <c r="F1038" s="364">
        <v>2.0</v>
      </c>
      <c r="G1038" s="39"/>
      <c r="H1038" s="39" t="str">
        <f t="shared" si="15"/>
        <v>#REF!</v>
      </c>
      <c r="I1038" s="12" t="str">
        <f t="shared" si="2"/>
        <v>1 Complete Medical Records, 2 Patient Portal Logins</v>
      </c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</row>
    <row r="1039" hidden="1">
      <c r="A1039" s="6" t="s">
        <v>299</v>
      </c>
      <c r="B1039" s="16" t="s">
        <v>1177</v>
      </c>
      <c r="C1039" s="16" t="s">
        <v>1178</v>
      </c>
      <c r="D1039" s="16" t="s">
        <v>1179</v>
      </c>
      <c r="E1039" s="363">
        <v>2.0</v>
      </c>
      <c r="F1039" s="364">
        <v>2.0</v>
      </c>
      <c r="G1039" s="39"/>
      <c r="H1039" s="39" t="str">
        <f t="shared" si="15"/>
        <v>#REF!</v>
      </c>
      <c r="I1039" s="12" t="str">
        <f t="shared" si="2"/>
        <v>2 Complete Medical Records, 2 Patient Portal Logins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</row>
    <row r="1040" hidden="1">
      <c r="A1040" s="6" t="s">
        <v>299</v>
      </c>
      <c r="B1040" s="16" t="s">
        <v>1164</v>
      </c>
      <c r="C1040" s="16" t="s">
        <v>1165</v>
      </c>
      <c r="D1040" s="16" t="s">
        <v>1166</v>
      </c>
      <c r="E1040" s="92"/>
      <c r="F1040" s="364">
        <v>1.0</v>
      </c>
      <c r="G1040" s="39"/>
      <c r="H1040" s="39" t="str">
        <f t="shared" si="15"/>
        <v>#REF!</v>
      </c>
      <c r="I1040" s="12" t="str">
        <f t="shared" si="2"/>
        <v> Complete Medical Records, 1 Patient Portal Logins</v>
      </c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</row>
    <row r="1041" hidden="1">
      <c r="A1041" s="6" t="s">
        <v>299</v>
      </c>
      <c r="B1041" s="16" t="s">
        <v>1136</v>
      </c>
      <c r="C1041" s="16" t="s">
        <v>1137</v>
      </c>
      <c r="D1041" s="16" t="s">
        <v>1138</v>
      </c>
      <c r="E1041" s="363">
        <v>0.0</v>
      </c>
      <c r="F1041" s="364">
        <v>1.0</v>
      </c>
      <c r="G1041" s="39"/>
      <c r="H1041" s="39" t="str">
        <f t="shared" si="15"/>
        <v>#REF!</v>
      </c>
      <c r="I1041" s="12" t="str">
        <f t="shared" si="2"/>
        <v>0 Complete Medical Records, 1 Patient Portal Logins</v>
      </c>
      <c r="J1041" s="14"/>
      <c r="K1041" s="14"/>
      <c r="L1041" s="34">
        <v>625.0</v>
      </c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</row>
    <row r="1042" hidden="1">
      <c r="A1042" s="6" t="s">
        <v>299</v>
      </c>
      <c r="B1042" s="16" t="s">
        <v>1139</v>
      </c>
      <c r="C1042" s="16" t="s">
        <v>1140</v>
      </c>
      <c r="D1042" s="16" t="s">
        <v>1141</v>
      </c>
      <c r="E1042" s="363">
        <v>6.0</v>
      </c>
      <c r="F1042" s="364">
        <v>2.0</v>
      </c>
      <c r="G1042" s="39"/>
      <c r="H1042" s="39" t="str">
        <f t="shared" si="15"/>
        <v>#REF!</v>
      </c>
      <c r="I1042" s="12" t="str">
        <f t="shared" si="2"/>
        <v>6 Complete Medical Records, 2 Patient Portal Logins</v>
      </c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</row>
    <row r="1043" hidden="1">
      <c r="A1043" s="6" t="s">
        <v>299</v>
      </c>
      <c r="B1043" s="16" t="s">
        <v>1142</v>
      </c>
      <c r="C1043" s="16" t="s">
        <v>1143</v>
      </c>
      <c r="D1043" s="16" t="s">
        <v>1144</v>
      </c>
      <c r="E1043" s="363">
        <v>5.0</v>
      </c>
      <c r="F1043" s="364">
        <v>2.0</v>
      </c>
      <c r="G1043" s="39"/>
      <c r="H1043" s="39" t="str">
        <f t="shared" si="15"/>
        <v>#REF!</v>
      </c>
      <c r="I1043" s="12" t="str">
        <f t="shared" si="2"/>
        <v>5 Complete Medical Records, 2 Patient Portal Logins</v>
      </c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</row>
    <row r="1044" hidden="1">
      <c r="A1044" s="6" t="s">
        <v>299</v>
      </c>
      <c r="B1044" s="16" t="s">
        <v>1145</v>
      </c>
      <c r="C1044" s="16" t="s">
        <v>1146</v>
      </c>
      <c r="D1044" s="16" t="s">
        <v>1147</v>
      </c>
      <c r="E1044" s="363">
        <v>3.0</v>
      </c>
      <c r="F1044" s="364">
        <v>1.0</v>
      </c>
      <c r="G1044" s="39"/>
      <c r="H1044" s="39" t="str">
        <f t="shared" si="15"/>
        <v>#REF!</v>
      </c>
      <c r="I1044" s="12" t="str">
        <f t="shared" si="2"/>
        <v>3 Complete Medical Records, 1 Patient Portal Logins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</row>
    <row r="1045" hidden="1">
      <c r="A1045" s="6" t="s">
        <v>299</v>
      </c>
      <c r="B1045" s="16" t="s">
        <v>1148</v>
      </c>
      <c r="C1045" s="16" t="s">
        <v>1149</v>
      </c>
      <c r="D1045" s="16" t="s">
        <v>1150</v>
      </c>
      <c r="E1045" s="363">
        <v>0.0</v>
      </c>
      <c r="F1045" s="364">
        <v>0.0</v>
      </c>
      <c r="G1045" s="39"/>
      <c r="H1045" s="39" t="str">
        <f t="shared" si="15"/>
        <v>#REF!</v>
      </c>
      <c r="I1045" s="12" t="str">
        <f t="shared" si="2"/>
        <v>0 Complete Medical Records, 0 Patient Portal Logins</v>
      </c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</row>
    <row r="1046" hidden="1">
      <c r="A1046" s="6" t="s">
        <v>299</v>
      </c>
      <c r="B1046" s="16" t="s">
        <v>1151</v>
      </c>
      <c r="C1046" s="16" t="s">
        <v>1152</v>
      </c>
      <c r="D1046" s="16" t="s">
        <v>1153</v>
      </c>
      <c r="E1046" s="363">
        <v>6.0</v>
      </c>
      <c r="F1046" s="364">
        <v>3.0</v>
      </c>
      <c r="G1046" s="39"/>
      <c r="H1046" s="39" t="str">
        <f t="shared" si="15"/>
        <v>#REF!</v>
      </c>
      <c r="I1046" s="12" t="str">
        <f t="shared" si="2"/>
        <v>6 Complete Medical Records, 3 Patient Portal Logins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</row>
    <row r="1047" hidden="1">
      <c r="A1047" s="6" t="s">
        <v>299</v>
      </c>
      <c r="B1047" s="16" t="s">
        <v>1154</v>
      </c>
      <c r="C1047" s="16" t="s">
        <v>1155</v>
      </c>
      <c r="D1047" s="16" t="s">
        <v>1156</v>
      </c>
      <c r="E1047" s="363">
        <v>5.0</v>
      </c>
      <c r="F1047" s="364">
        <v>9.0</v>
      </c>
      <c r="G1047" s="39"/>
      <c r="H1047" s="39" t="str">
        <f t="shared" si="15"/>
        <v>#REF!</v>
      </c>
      <c r="I1047" s="12" t="str">
        <f t="shared" si="2"/>
        <v>5 Complete Medical Records, 9 Patient Portal Logins</v>
      </c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</row>
    <row r="1048" hidden="1">
      <c r="A1048" s="6" t="s">
        <v>299</v>
      </c>
      <c r="B1048" s="61" t="s">
        <v>1158</v>
      </c>
      <c r="C1048" s="21" t="s">
        <v>1159</v>
      </c>
      <c r="D1048" s="21" t="s">
        <v>1160</v>
      </c>
      <c r="E1048" s="363">
        <v>3.0</v>
      </c>
      <c r="F1048" s="364">
        <v>6.0</v>
      </c>
      <c r="G1048" s="39"/>
      <c r="H1048" s="39" t="str">
        <f t="shared" si="15"/>
        <v>#REF!</v>
      </c>
      <c r="I1048" s="12" t="str">
        <f t="shared" si="2"/>
        <v>3 Complete Medical Records, 6 Patient Portal Logins</v>
      </c>
      <c r="J1048" s="23"/>
      <c r="K1048" s="23"/>
      <c r="L1048" s="23"/>
      <c r="M1048" s="14"/>
      <c r="N1048" s="23"/>
      <c r="O1048" s="23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</row>
    <row r="1049" hidden="1">
      <c r="A1049" s="6" t="s">
        <v>299</v>
      </c>
      <c r="B1049" s="21" t="s">
        <v>1180</v>
      </c>
      <c r="C1049" s="21" t="s">
        <v>1181</v>
      </c>
      <c r="D1049" s="21" t="s">
        <v>1182</v>
      </c>
      <c r="E1049" s="365"/>
      <c r="F1049" s="93"/>
      <c r="G1049" s="39"/>
      <c r="H1049" s="39" t="str">
        <f t="shared" si="15"/>
        <v>#REF!</v>
      </c>
      <c r="I1049" s="12" t="str">
        <f t="shared" si="2"/>
        <v> Complete Medical Records,  Patient Portal Logins</v>
      </c>
      <c r="J1049" s="23"/>
      <c r="K1049" s="23"/>
      <c r="L1049" s="23"/>
      <c r="M1049" s="14"/>
      <c r="N1049" s="23"/>
      <c r="O1049" s="23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</row>
    <row r="1050" hidden="1">
      <c r="A1050" s="6" t="s">
        <v>299</v>
      </c>
      <c r="B1050" s="21" t="s">
        <v>1161</v>
      </c>
      <c r="C1050" s="21" t="s">
        <v>1162</v>
      </c>
      <c r="D1050" s="21" t="s">
        <v>1163</v>
      </c>
      <c r="E1050" s="363">
        <v>2.0</v>
      </c>
      <c r="F1050" s="364">
        <v>4.0</v>
      </c>
      <c r="G1050" s="39"/>
      <c r="H1050" s="39" t="str">
        <f t="shared" si="15"/>
        <v>#REF!</v>
      </c>
      <c r="I1050" s="12" t="str">
        <f t="shared" si="2"/>
        <v>2 Complete Medical Records, 4 Patient Portal Logins</v>
      </c>
      <c r="J1050" s="23"/>
      <c r="K1050" s="23"/>
      <c r="L1050" s="23"/>
      <c r="M1050" s="14"/>
      <c r="N1050" s="23"/>
      <c r="O1050" s="23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</row>
    <row r="1051" hidden="1">
      <c r="A1051" s="6" t="s">
        <v>300</v>
      </c>
      <c r="B1051" s="7" t="s">
        <v>1091</v>
      </c>
      <c r="C1051" s="7" t="s">
        <v>1092</v>
      </c>
      <c r="D1051" s="7" t="s">
        <v>1093</v>
      </c>
      <c r="E1051" s="306"/>
      <c r="F1051" s="364"/>
      <c r="G1051" s="39"/>
      <c r="H1051" s="39" t="str">
        <f t="shared" si="15"/>
        <v>#REF!</v>
      </c>
      <c r="I1051" s="12" t="str">
        <f t="shared" si="2"/>
        <v> Complete Medical Records,  Patient Portal Logins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</row>
    <row r="1052" hidden="1">
      <c r="A1052" s="6" t="s">
        <v>300</v>
      </c>
      <c r="B1052" s="16" t="s">
        <v>1118</v>
      </c>
      <c r="C1052" s="16" t="s">
        <v>1119</v>
      </c>
      <c r="D1052" s="16" t="s">
        <v>1120</v>
      </c>
      <c r="E1052" s="306">
        <v>0.0</v>
      </c>
      <c r="F1052" s="364">
        <v>4.0</v>
      </c>
      <c r="G1052" s="39"/>
      <c r="H1052" s="39" t="str">
        <f t="shared" si="15"/>
        <v>#REF!</v>
      </c>
      <c r="I1052" s="12" t="str">
        <f t="shared" si="2"/>
        <v>0 Complete Medical Records, 4 Patient Portal Logins</v>
      </c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</row>
    <row r="1053" hidden="1">
      <c r="A1053" s="6" t="s">
        <v>300</v>
      </c>
      <c r="B1053" s="16" t="s">
        <v>1112</v>
      </c>
      <c r="C1053" s="16" t="s">
        <v>1113</v>
      </c>
      <c r="D1053" s="16" t="s">
        <v>1114</v>
      </c>
      <c r="E1053" s="306">
        <v>0.0</v>
      </c>
      <c r="F1053" s="314">
        <v>0.0</v>
      </c>
      <c r="G1053" s="39"/>
      <c r="H1053" s="39" t="str">
        <f t="shared" si="15"/>
        <v>#REF!</v>
      </c>
      <c r="I1053" s="12" t="str">
        <f t="shared" si="2"/>
        <v>0 Complete Medical Records, 0 Patient Portal Logins</v>
      </c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</row>
    <row r="1054" hidden="1">
      <c r="A1054" s="6" t="s">
        <v>300</v>
      </c>
      <c r="B1054" s="16" t="s">
        <v>1121</v>
      </c>
      <c r="C1054" s="16" t="s">
        <v>1122</v>
      </c>
      <c r="D1054" s="16" t="s">
        <v>1123</v>
      </c>
      <c r="E1054" s="306">
        <v>0.0</v>
      </c>
      <c r="F1054" s="364">
        <v>3.0</v>
      </c>
      <c r="G1054" s="39"/>
      <c r="H1054" s="39" t="str">
        <f t="shared" si="15"/>
        <v>#REF!</v>
      </c>
      <c r="I1054" s="12" t="str">
        <f t="shared" si="2"/>
        <v>0 Complete Medical Records, 3 Patient Portal Logins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</row>
    <row r="1055" hidden="1">
      <c r="A1055" s="6" t="s">
        <v>300</v>
      </c>
      <c r="B1055" s="16" t="s">
        <v>1124</v>
      </c>
      <c r="C1055" s="16" t="s">
        <v>1125</v>
      </c>
      <c r="D1055" s="16" t="s">
        <v>1126</v>
      </c>
      <c r="E1055" s="306">
        <v>0.0</v>
      </c>
      <c r="F1055" s="314">
        <v>0.0</v>
      </c>
      <c r="G1055" s="39"/>
      <c r="H1055" s="39" t="str">
        <f t="shared" si="15"/>
        <v>#REF!</v>
      </c>
      <c r="I1055" s="12" t="str">
        <f t="shared" si="2"/>
        <v>0 Complete Medical Records, 0 Patient Portal Logins</v>
      </c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</row>
    <row r="1056" hidden="1">
      <c r="A1056" s="6" t="s">
        <v>300</v>
      </c>
      <c r="B1056" s="16" t="s">
        <v>1127</v>
      </c>
      <c r="C1056" s="16" t="s">
        <v>1128</v>
      </c>
      <c r="D1056" s="16" t="s">
        <v>1129</v>
      </c>
      <c r="E1056" s="306">
        <v>0.0</v>
      </c>
      <c r="F1056" s="364">
        <v>3.0</v>
      </c>
      <c r="G1056" s="39"/>
      <c r="H1056" s="39" t="str">
        <f t="shared" si="15"/>
        <v>#REF!</v>
      </c>
      <c r="I1056" s="12" t="str">
        <f t="shared" si="2"/>
        <v>0 Complete Medical Records, 3 Patient Portal Logins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</row>
    <row r="1057" hidden="1">
      <c r="A1057" s="6" t="s">
        <v>300</v>
      </c>
      <c r="B1057" s="16" t="s">
        <v>1130</v>
      </c>
      <c r="C1057" s="16" t="s">
        <v>1131</v>
      </c>
      <c r="D1057" s="16" t="s">
        <v>1132</v>
      </c>
      <c r="E1057" s="306">
        <v>0.0</v>
      </c>
      <c r="F1057" s="369">
        <v>2.0</v>
      </c>
      <c r="G1057" s="39"/>
      <c r="H1057" s="39" t="str">
        <f t="shared" si="15"/>
        <v>#REF!</v>
      </c>
      <c r="I1057" s="12" t="str">
        <f t="shared" si="2"/>
        <v>0 Complete Medical Records, 2 Patient Portal Logins</v>
      </c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</row>
    <row r="1058" hidden="1">
      <c r="A1058" s="6" t="s">
        <v>300</v>
      </c>
      <c r="B1058" s="16" t="s">
        <v>1133</v>
      </c>
      <c r="C1058" s="16" t="s">
        <v>1134</v>
      </c>
      <c r="D1058" s="16" t="s">
        <v>1135</v>
      </c>
      <c r="E1058" s="306">
        <v>0.0</v>
      </c>
      <c r="F1058" s="314">
        <v>1.0</v>
      </c>
      <c r="G1058" s="39"/>
      <c r="H1058" s="39" t="str">
        <f t="shared" si="15"/>
        <v>#REF!</v>
      </c>
      <c r="I1058" s="12" t="str">
        <f t="shared" si="2"/>
        <v>0 Complete Medical Records, 1 Patient Portal Logins</v>
      </c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</row>
    <row r="1059" hidden="1">
      <c r="A1059" s="6" t="s">
        <v>300</v>
      </c>
      <c r="B1059" s="16" t="s">
        <v>1177</v>
      </c>
      <c r="C1059" s="16" t="s">
        <v>1178</v>
      </c>
      <c r="D1059" s="16" t="s">
        <v>1179</v>
      </c>
      <c r="E1059" s="306">
        <v>0.0</v>
      </c>
      <c r="F1059" s="369">
        <v>2.0</v>
      </c>
      <c r="G1059" s="39"/>
      <c r="H1059" s="39" t="str">
        <f t="shared" si="15"/>
        <v>#REF!</v>
      </c>
      <c r="I1059" s="12" t="str">
        <f t="shared" si="2"/>
        <v>0 Complete Medical Records, 2 Patient Portal Logins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</row>
    <row r="1060" hidden="1">
      <c r="A1060" s="6" t="s">
        <v>300</v>
      </c>
      <c r="B1060" s="16" t="s">
        <v>1164</v>
      </c>
      <c r="C1060" s="16" t="s">
        <v>1165</v>
      </c>
      <c r="D1060" s="16" t="s">
        <v>1166</v>
      </c>
      <c r="E1060" s="306">
        <v>0.0</v>
      </c>
      <c r="F1060" s="314">
        <v>1.0</v>
      </c>
      <c r="G1060" s="39"/>
      <c r="H1060" s="39" t="str">
        <f t="shared" si="15"/>
        <v>#REF!</v>
      </c>
      <c r="I1060" s="12" t="str">
        <f t="shared" si="2"/>
        <v>0 Complete Medical Records, 1 Patient Portal Logins</v>
      </c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</row>
    <row r="1061" hidden="1">
      <c r="A1061" s="6" t="s">
        <v>300</v>
      </c>
      <c r="B1061" s="16" t="s">
        <v>1136</v>
      </c>
      <c r="C1061" s="16" t="s">
        <v>1137</v>
      </c>
      <c r="D1061" s="16" t="s">
        <v>1138</v>
      </c>
      <c r="E1061" s="306">
        <v>0.0</v>
      </c>
      <c r="F1061" s="314">
        <v>0.0</v>
      </c>
      <c r="G1061" s="55"/>
      <c r="H1061" s="55" t="str">
        <f t="shared" si="15"/>
        <v>#REF!</v>
      </c>
      <c r="I1061" s="12" t="str">
        <f t="shared" si="2"/>
        <v>0 Complete Medical Records, 0 Patient Portal Logins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</row>
    <row r="1062" hidden="1">
      <c r="A1062" s="6" t="s">
        <v>300</v>
      </c>
      <c r="B1062" s="16" t="s">
        <v>1139</v>
      </c>
      <c r="C1062" s="16" t="s">
        <v>1140</v>
      </c>
      <c r="D1062" s="16" t="s">
        <v>1141</v>
      </c>
      <c r="E1062" s="306">
        <v>4.0</v>
      </c>
      <c r="F1062" s="314">
        <v>7.0</v>
      </c>
      <c r="G1062" s="39"/>
      <c r="H1062" s="39" t="str">
        <f t="shared" si="15"/>
        <v>#REF!</v>
      </c>
      <c r="I1062" s="12" t="str">
        <f t="shared" si="2"/>
        <v>4 Complete Medical Records, 7 Patient Portal Logins</v>
      </c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</row>
    <row r="1063" hidden="1">
      <c r="A1063" s="6" t="s">
        <v>300</v>
      </c>
      <c r="B1063" s="16" t="s">
        <v>1142</v>
      </c>
      <c r="C1063" s="16" t="s">
        <v>1143</v>
      </c>
      <c r="D1063" s="16" t="s">
        <v>1144</v>
      </c>
      <c r="E1063" s="306">
        <v>2.0</v>
      </c>
      <c r="F1063" s="314">
        <v>9.0</v>
      </c>
      <c r="G1063" s="39"/>
      <c r="H1063" s="39" t="str">
        <f t="shared" si="15"/>
        <v>#REF!</v>
      </c>
      <c r="I1063" s="12" t="str">
        <f t="shared" si="2"/>
        <v>2 Complete Medical Records, 9 Patient Portal Logins</v>
      </c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</row>
    <row r="1064" hidden="1">
      <c r="A1064" s="6" t="s">
        <v>300</v>
      </c>
      <c r="B1064" s="16" t="s">
        <v>1145</v>
      </c>
      <c r="C1064" s="16" t="s">
        <v>1146</v>
      </c>
      <c r="D1064" s="16" t="s">
        <v>1147</v>
      </c>
      <c r="E1064" s="306">
        <v>3.0</v>
      </c>
      <c r="F1064" s="314">
        <v>3.0</v>
      </c>
      <c r="G1064" s="39"/>
      <c r="H1064" s="39" t="str">
        <f t="shared" si="15"/>
        <v>#REF!</v>
      </c>
      <c r="I1064" s="12" t="str">
        <f t="shared" si="2"/>
        <v>3 Complete Medical Records, 3 Patient Portal Logins</v>
      </c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</row>
    <row r="1065" hidden="1">
      <c r="A1065" s="6" t="s">
        <v>300</v>
      </c>
      <c r="B1065" s="16" t="s">
        <v>1148</v>
      </c>
      <c r="C1065" s="16" t="s">
        <v>1149</v>
      </c>
      <c r="D1065" s="16" t="s">
        <v>1150</v>
      </c>
      <c r="E1065" s="306">
        <v>3.0</v>
      </c>
      <c r="F1065" s="314">
        <v>4.0</v>
      </c>
      <c r="G1065" s="39"/>
      <c r="H1065" s="39" t="str">
        <f t="shared" si="15"/>
        <v>#REF!</v>
      </c>
      <c r="I1065" s="12" t="str">
        <f t="shared" si="2"/>
        <v>3 Complete Medical Records, 4 Patient Portal Logins</v>
      </c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</row>
    <row r="1066" hidden="1">
      <c r="A1066" s="6" t="s">
        <v>300</v>
      </c>
      <c r="B1066" s="16" t="s">
        <v>1151</v>
      </c>
      <c r="C1066" s="16" t="s">
        <v>1152</v>
      </c>
      <c r="D1066" s="16" t="s">
        <v>1153</v>
      </c>
      <c r="E1066" s="306">
        <v>3.0</v>
      </c>
      <c r="F1066" s="314">
        <v>7.0</v>
      </c>
      <c r="G1066" s="39"/>
      <c r="H1066" s="39" t="str">
        <f t="shared" si="15"/>
        <v>#REF!</v>
      </c>
      <c r="I1066" s="12" t="str">
        <f t="shared" si="2"/>
        <v>3 Complete Medical Records, 7 Patient Portal Logins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</row>
    <row r="1067" hidden="1">
      <c r="A1067" s="6" t="s">
        <v>300</v>
      </c>
      <c r="B1067" s="16" t="s">
        <v>1154</v>
      </c>
      <c r="C1067" s="16" t="s">
        <v>1155</v>
      </c>
      <c r="D1067" s="16" t="s">
        <v>1156</v>
      </c>
      <c r="E1067" s="306">
        <v>6.0</v>
      </c>
      <c r="F1067" s="314">
        <v>10.0</v>
      </c>
      <c r="G1067" s="39"/>
      <c r="H1067" s="39" t="str">
        <f t="shared" si="15"/>
        <v>#REF!</v>
      </c>
      <c r="I1067" s="12" t="str">
        <f t="shared" si="2"/>
        <v>6 Complete Medical Records, 10 Patient Portal Logins</v>
      </c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</row>
    <row r="1068" hidden="1">
      <c r="A1068" s="6" t="s">
        <v>300</v>
      </c>
      <c r="B1068" s="61" t="s">
        <v>1158</v>
      </c>
      <c r="C1068" s="21" t="s">
        <v>1159</v>
      </c>
      <c r="D1068" s="21" t="s">
        <v>1160</v>
      </c>
      <c r="E1068" s="363">
        <v>3.0</v>
      </c>
      <c r="F1068" s="369">
        <v>5.0</v>
      </c>
      <c r="G1068" s="39"/>
      <c r="H1068" s="39" t="str">
        <f t="shared" si="15"/>
        <v>#REF!</v>
      </c>
      <c r="I1068" s="12" t="str">
        <f t="shared" si="2"/>
        <v>3 Complete Medical Records, 5 Patient Portal Logins</v>
      </c>
      <c r="J1068" s="23"/>
      <c r="K1068" s="23"/>
      <c r="L1068" s="23"/>
      <c r="M1068" s="14"/>
      <c r="N1068" s="23"/>
      <c r="O1068" s="23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</row>
    <row r="1069" hidden="1">
      <c r="A1069" s="6" t="s">
        <v>300</v>
      </c>
      <c r="B1069" s="21" t="s">
        <v>1180</v>
      </c>
      <c r="C1069" s="21" t="s">
        <v>1181</v>
      </c>
      <c r="D1069" s="21" t="s">
        <v>1182</v>
      </c>
      <c r="E1069" s="363">
        <v>1.0</v>
      </c>
      <c r="F1069" s="314">
        <v>0.0</v>
      </c>
      <c r="G1069" s="39"/>
      <c r="H1069" s="39" t="str">
        <f t="shared" si="15"/>
        <v>#REF!</v>
      </c>
      <c r="I1069" s="12" t="str">
        <f t="shared" si="2"/>
        <v>1 Complete Medical Records, 0 Patient Portal Logins</v>
      </c>
      <c r="J1069" s="23"/>
      <c r="K1069" s="23"/>
      <c r="L1069" s="23"/>
      <c r="M1069" s="14"/>
      <c r="N1069" s="23"/>
      <c r="O1069" s="23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</row>
    <row r="1070" hidden="1">
      <c r="A1070" s="6" t="s">
        <v>300</v>
      </c>
      <c r="B1070" s="21" t="s">
        <v>1161</v>
      </c>
      <c r="C1070" s="21" t="s">
        <v>1162</v>
      </c>
      <c r="D1070" s="21" t="s">
        <v>1163</v>
      </c>
      <c r="E1070" s="370">
        <v>3.0</v>
      </c>
      <c r="F1070" s="314">
        <v>1.0</v>
      </c>
      <c r="G1070" s="39"/>
      <c r="H1070" s="39" t="str">
        <f t="shared" si="15"/>
        <v>#REF!</v>
      </c>
      <c r="I1070" s="12" t="str">
        <f t="shared" si="2"/>
        <v>3 Complete Medical Records, 1 Patient Portal Logins</v>
      </c>
      <c r="J1070" s="23"/>
      <c r="K1070" s="23"/>
      <c r="L1070" s="23"/>
      <c r="M1070" s="14"/>
      <c r="N1070" s="23"/>
      <c r="O1070" s="23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</row>
    <row r="1071" hidden="1">
      <c r="A1071" s="54" t="s">
        <v>301</v>
      </c>
      <c r="B1071" s="16" t="s">
        <v>1118</v>
      </c>
      <c r="C1071" s="16" t="s">
        <v>1119</v>
      </c>
      <c r="D1071" s="16" t="s">
        <v>1120</v>
      </c>
      <c r="E1071" s="363">
        <v>0.0</v>
      </c>
      <c r="F1071" s="366">
        <v>14.0</v>
      </c>
      <c r="G1071" s="55"/>
      <c r="H1071" s="55" t="str">
        <f t="shared" si="15"/>
        <v>#REF!</v>
      </c>
      <c r="I1071" s="12" t="str">
        <f t="shared" si="2"/>
        <v>0 Complete Medical Records, 14 Patient Portal Logins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</row>
    <row r="1072" hidden="1">
      <c r="A1072" s="54" t="s">
        <v>301</v>
      </c>
      <c r="B1072" s="16" t="s">
        <v>1112</v>
      </c>
      <c r="C1072" s="16" t="s">
        <v>1113</v>
      </c>
      <c r="D1072" s="16" t="s">
        <v>1114</v>
      </c>
      <c r="E1072" s="363">
        <v>0.0</v>
      </c>
      <c r="F1072" s="366">
        <v>0.0</v>
      </c>
      <c r="G1072" s="12"/>
      <c r="H1072" s="12">
        <f t="shared" ref="H1072:H1089" si="16">E1072*250 + F1072*250</f>
        <v>0</v>
      </c>
      <c r="I1072" s="12" t="str">
        <f t="shared" si="2"/>
        <v>0 Complete Medical Records, 0 Patient Portal Logins</v>
      </c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</row>
    <row r="1073" hidden="1">
      <c r="A1073" s="54" t="s">
        <v>301</v>
      </c>
      <c r="B1073" s="16" t="s">
        <v>1121</v>
      </c>
      <c r="C1073" s="16" t="s">
        <v>1122</v>
      </c>
      <c r="D1073" s="16" t="s">
        <v>1123</v>
      </c>
      <c r="E1073" s="363">
        <v>0.0</v>
      </c>
      <c r="F1073" s="366">
        <v>15.0</v>
      </c>
      <c r="G1073" s="12"/>
      <c r="H1073" s="12">
        <f t="shared" si="16"/>
        <v>3750</v>
      </c>
      <c r="I1073" s="12" t="str">
        <f t="shared" si="2"/>
        <v>0 Complete Medical Records, 15 Patient Portal Logins</v>
      </c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</row>
    <row r="1074" hidden="1">
      <c r="A1074" s="54" t="s">
        <v>301</v>
      </c>
      <c r="B1074" s="16" t="s">
        <v>1124</v>
      </c>
      <c r="C1074" s="16" t="s">
        <v>1125</v>
      </c>
      <c r="D1074" s="16" t="s">
        <v>1126</v>
      </c>
      <c r="E1074" s="363">
        <v>0.0</v>
      </c>
      <c r="F1074" s="366">
        <v>5.0</v>
      </c>
      <c r="G1074" s="12"/>
      <c r="H1074" s="12">
        <f t="shared" si="16"/>
        <v>1250</v>
      </c>
      <c r="I1074" s="12" t="str">
        <f t="shared" si="2"/>
        <v>0 Complete Medical Records, 5 Patient Portal Logins</v>
      </c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</row>
    <row r="1075" hidden="1">
      <c r="A1075" s="54" t="s">
        <v>301</v>
      </c>
      <c r="B1075" s="16" t="s">
        <v>1127</v>
      </c>
      <c r="C1075" s="16" t="s">
        <v>1128</v>
      </c>
      <c r="D1075" s="16" t="s">
        <v>1129</v>
      </c>
      <c r="E1075" s="363">
        <v>0.0</v>
      </c>
      <c r="F1075" s="366">
        <v>4.0</v>
      </c>
      <c r="G1075" s="12"/>
      <c r="H1075" s="12">
        <f t="shared" si="16"/>
        <v>1000</v>
      </c>
      <c r="I1075" s="12" t="str">
        <f t="shared" si="2"/>
        <v>0 Complete Medical Records, 4 Patient Portal Logins</v>
      </c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</row>
    <row r="1076" hidden="1">
      <c r="A1076" s="54" t="s">
        <v>301</v>
      </c>
      <c r="B1076" s="16" t="s">
        <v>1130</v>
      </c>
      <c r="C1076" s="16" t="s">
        <v>1131</v>
      </c>
      <c r="D1076" s="16" t="s">
        <v>1132</v>
      </c>
      <c r="E1076" s="363">
        <v>0.0</v>
      </c>
      <c r="F1076" s="371">
        <v>3.0</v>
      </c>
      <c r="G1076" s="12"/>
      <c r="H1076" s="12">
        <f t="shared" si="16"/>
        <v>750</v>
      </c>
      <c r="I1076" s="12" t="str">
        <f t="shared" si="2"/>
        <v>0 Complete Medical Records, 3 Patient Portal Logins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</row>
    <row r="1077" hidden="1">
      <c r="A1077" s="54" t="s">
        <v>301</v>
      </c>
      <c r="B1077" s="16" t="s">
        <v>1133</v>
      </c>
      <c r="C1077" s="16" t="s">
        <v>1134</v>
      </c>
      <c r="D1077" s="16" t="s">
        <v>1135</v>
      </c>
      <c r="E1077" s="363">
        <v>0.0</v>
      </c>
      <c r="F1077" s="369">
        <v>3.0</v>
      </c>
      <c r="G1077" s="12"/>
      <c r="H1077" s="12">
        <f t="shared" si="16"/>
        <v>750</v>
      </c>
      <c r="I1077" s="12" t="str">
        <f t="shared" si="2"/>
        <v>0 Complete Medical Records, 3 Patient Portal Logins</v>
      </c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</row>
    <row r="1078" hidden="1">
      <c r="A1078" s="54" t="s">
        <v>301</v>
      </c>
      <c r="B1078" s="16" t="s">
        <v>1177</v>
      </c>
      <c r="C1078" s="16" t="s">
        <v>1178</v>
      </c>
      <c r="D1078" s="16" t="s">
        <v>1179</v>
      </c>
      <c r="E1078" s="363">
        <v>0.0</v>
      </c>
      <c r="F1078" s="369">
        <v>4.0</v>
      </c>
      <c r="G1078" s="12"/>
      <c r="H1078" s="12">
        <f t="shared" si="16"/>
        <v>1000</v>
      </c>
      <c r="I1078" s="12" t="str">
        <f t="shared" si="2"/>
        <v>0 Complete Medical Records, 4 Patient Portal Logins</v>
      </c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</row>
    <row r="1079" hidden="1">
      <c r="A1079" s="54" t="s">
        <v>301</v>
      </c>
      <c r="B1079" s="16" t="s">
        <v>1164</v>
      </c>
      <c r="C1079" s="16" t="s">
        <v>1165</v>
      </c>
      <c r="D1079" s="16" t="s">
        <v>1166</v>
      </c>
      <c r="E1079" s="83"/>
      <c r="F1079" s="13"/>
      <c r="G1079" s="12"/>
      <c r="H1079" s="12">
        <f t="shared" si="16"/>
        <v>0</v>
      </c>
      <c r="I1079" s="12" t="str">
        <f t="shared" si="2"/>
        <v> Complete Medical Records,  Patient Portal Logins</v>
      </c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</row>
    <row r="1080" hidden="1">
      <c r="A1080" s="54" t="s">
        <v>301</v>
      </c>
      <c r="B1080" s="16" t="s">
        <v>1136</v>
      </c>
      <c r="C1080" s="16" t="s">
        <v>1137</v>
      </c>
      <c r="D1080" s="16" t="s">
        <v>1138</v>
      </c>
      <c r="E1080" s="306">
        <v>1.0</v>
      </c>
      <c r="F1080" s="311">
        <v>7.0</v>
      </c>
      <c r="G1080" s="12"/>
      <c r="H1080" s="12">
        <f t="shared" si="16"/>
        <v>2000</v>
      </c>
      <c r="I1080" s="12" t="str">
        <f t="shared" si="2"/>
        <v>1 Complete Medical Records, 7 Patient Portal Logins</v>
      </c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</row>
    <row r="1081" hidden="1">
      <c r="A1081" s="54" t="s">
        <v>301</v>
      </c>
      <c r="B1081" s="16" t="s">
        <v>1139</v>
      </c>
      <c r="C1081" s="16" t="s">
        <v>1140</v>
      </c>
      <c r="D1081" s="16" t="s">
        <v>1141</v>
      </c>
      <c r="E1081" s="306">
        <v>2.0</v>
      </c>
      <c r="F1081" s="314">
        <v>6.0</v>
      </c>
      <c r="G1081" s="12"/>
      <c r="H1081" s="12">
        <f t="shared" si="16"/>
        <v>2000</v>
      </c>
      <c r="I1081" s="12" t="str">
        <f t="shared" si="2"/>
        <v>2 Complete Medical Records, 6 Patient Portal Logins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</row>
    <row r="1082" hidden="1">
      <c r="A1082" s="54" t="s">
        <v>301</v>
      </c>
      <c r="B1082" s="16" t="s">
        <v>1142</v>
      </c>
      <c r="C1082" s="16" t="s">
        <v>1143</v>
      </c>
      <c r="D1082" s="16" t="s">
        <v>1144</v>
      </c>
      <c r="E1082" s="306">
        <v>2.0</v>
      </c>
      <c r="F1082" s="311">
        <v>10.0</v>
      </c>
      <c r="G1082" s="12"/>
      <c r="H1082" s="12">
        <f t="shared" si="16"/>
        <v>3000</v>
      </c>
      <c r="I1082" s="12" t="str">
        <f t="shared" si="2"/>
        <v>2 Complete Medical Records, 10 Patient Portal Logins</v>
      </c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</row>
    <row r="1083" hidden="1">
      <c r="A1083" s="54" t="s">
        <v>301</v>
      </c>
      <c r="B1083" s="16" t="s">
        <v>1145</v>
      </c>
      <c r="C1083" s="16" t="s">
        <v>1146</v>
      </c>
      <c r="D1083" s="16" t="s">
        <v>1147</v>
      </c>
      <c r="E1083" s="306">
        <v>2.0</v>
      </c>
      <c r="F1083" s="314">
        <v>2.0</v>
      </c>
      <c r="G1083" s="12"/>
      <c r="H1083" s="12">
        <f t="shared" si="16"/>
        <v>1000</v>
      </c>
      <c r="I1083" s="12" t="str">
        <f t="shared" si="2"/>
        <v>2 Complete Medical Records, 2 Patient Portal Logins</v>
      </c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</row>
    <row r="1084" hidden="1">
      <c r="A1084" s="54" t="s">
        <v>301</v>
      </c>
      <c r="B1084" s="16" t="s">
        <v>1148</v>
      </c>
      <c r="C1084" s="16" t="s">
        <v>1149</v>
      </c>
      <c r="D1084" s="16" t="s">
        <v>1150</v>
      </c>
      <c r="E1084" s="306">
        <v>2.0</v>
      </c>
      <c r="F1084" s="311">
        <v>3.0</v>
      </c>
      <c r="G1084" s="12"/>
      <c r="H1084" s="12">
        <f t="shared" si="16"/>
        <v>1250</v>
      </c>
      <c r="I1084" s="12" t="str">
        <f t="shared" si="2"/>
        <v>2 Complete Medical Records, 3 Patient Portal Logins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</row>
    <row r="1085" hidden="1">
      <c r="A1085" s="54" t="s">
        <v>301</v>
      </c>
      <c r="B1085" s="16" t="s">
        <v>1151</v>
      </c>
      <c r="C1085" s="16" t="s">
        <v>1152</v>
      </c>
      <c r="D1085" s="16" t="s">
        <v>1153</v>
      </c>
      <c r="E1085" s="306">
        <v>3.0</v>
      </c>
      <c r="F1085" s="311">
        <v>10.0</v>
      </c>
      <c r="G1085" s="12"/>
      <c r="H1085" s="12">
        <f t="shared" si="16"/>
        <v>3250</v>
      </c>
      <c r="I1085" s="12" t="str">
        <f t="shared" si="2"/>
        <v>3 Complete Medical Records, 10 Patient Portal Logins</v>
      </c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</row>
    <row r="1086" hidden="1">
      <c r="A1086" s="54" t="s">
        <v>301</v>
      </c>
      <c r="B1086" s="16" t="s">
        <v>1154</v>
      </c>
      <c r="C1086" s="16" t="s">
        <v>1155</v>
      </c>
      <c r="D1086" s="16" t="s">
        <v>1156</v>
      </c>
      <c r="E1086" s="306">
        <v>3.0</v>
      </c>
      <c r="F1086" s="311">
        <v>16.0</v>
      </c>
      <c r="G1086" s="12"/>
      <c r="H1086" s="12">
        <f t="shared" si="16"/>
        <v>4750</v>
      </c>
      <c r="I1086" s="12" t="str">
        <f t="shared" si="2"/>
        <v>3 Complete Medical Records, 16 Patient Portal Logins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</row>
    <row r="1087" hidden="1">
      <c r="A1087" s="54" t="s">
        <v>301</v>
      </c>
      <c r="B1087" s="61" t="s">
        <v>1158</v>
      </c>
      <c r="C1087" s="21" t="s">
        <v>1159</v>
      </c>
      <c r="D1087" s="21" t="s">
        <v>1160</v>
      </c>
      <c r="E1087" s="363">
        <v>3.0</v>
      </c>
      <c r="F1087" s="371">
        <v>9.0</v>
      </c>
      <c r="G1087" s="12"/>
      <c r="H1087" s="12">
        <f t="shared" si="16"/>
        <v>3000</v>
      </c>
      <c r="I1087" s="12" t="str">
        <f t="shared" si="2"/>
        <v>3 Complete Medical Records, 9 Patient Portal Logins</v>
      </c>
      <c r="J1087" s="23"/>
      <c r="K1087" s="23"/>
      <c r="L1087" s="23"/>
      <c r="M1087" s="14"/>
      <c r="N1087" s="23"/>
      <c r="O1087" s="23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</row>
    <row r="1088" hidden="1">
      <c r="A1088" s="54" t="s">
        <v>301</v>
      </c>
      <c r="B1088" s="21" t="s">
        <v>1180</v>
      </c>
      <c r="C1088" s="21" t="s">
        <v>1181</v>
      </c>
      <c r="D1088" s="21" t="s">
        <v>1182</v>
      </c>
      <c r="E1088" s="363">
        <v>1.0</v>
      </c>
      <c r="F1088" s="371">
        <v>13.0</v>
      </c>
      <c r="G1088" s="12"/>
      <c r="H1088" s="12">
        <f t="shared" si="16"/>
        <v>3500</v>
      </c>
      <c r="I1088" s="12" t="str">
        <f t="shared" si="2"/>
        <v>1 Complete Medical Records, 13 Patient Portal Logins</v>
      </c>
      <c r="J1088" s="23"/>
      <c r="K1088" s="23"/>
      <c r="L1088" s="23"/>
      <c r="M1088" s="14"/>
      <c r="N1088" s="23"/>
      <c r="O1088" s="23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</row>
    <row r="1089" hidden="1">
      <c r="A1089" s="54" t="s">
        <v>301</v>
      </c>
      <c r="B1089" s="21" t="s">
        <v>1161</v>
      </c>
      <c r="C1089" s="21" t="s">
        <v>1162</v>
      </c>
      <c r="D1089" s="21" t="s">
        <v>1163</v>
      </c>
      <c r="E1089" s="370">
        <v>0.0</v>
      </c>
      <c r="F1089" s="314">
        <v>1.0</v>
      </c>
      <c r="G1089" s="12"/>
      <c r="H1089" s="12">
        <f t="shared" si="16"/>
        <v>250</v>
      </c>
      <c r="I1089" s="12" t="str">
        <f t="shared" si="2"/>
        <v>0 Complete Medical Records, 1 Patient Portal Logins</v>
      </c>
      <c r="J1089" s="23"/>
      <c r="K1089" s="23"/>
      <c r="L1089" s="23"/>
      <c r="M1089" s="14"/>
      <c r="N1089" s="23"/>
      <c r="O1089" s="23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</row>
    <row r="1090" hidden="1">
      <c r="A1090" s="54" t="s">
        <v>302</v>
      </c>
      <c r="B1090" s="16" t="s">
        <v>1118</v>
      </c>
      <c r="C1090" s="16" t="s">
        <v>1119</v>
      </c>
      <c r="D1090" s="16" t="s">
        <v>1120</v>
      </c>
      <c r="E1090" s="34">
        <v>0.0</v>
      </c>
      <c r="F1090" s="81">
        <v>2.0</v>
      </c>
      <c r="G1090" s="12"/>
      <c r="H1090" s="12" t="str">
        <f>E1090*300+#REF!*125+F1090*250</f>
        <v>#REF!</v>
      </c>
      <c r="I1090" s="12" t="str">
        <f t="shared" si="2"/>
        <v>0 Complete Medical Records, 2 Patient Portal Logins</v>
      </c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</row>
    <row r="1091" hidden="1">
      <c r="A1091" s="54" t="s">
        <v>302</v>
      </c>
      <c r="B1091" s="16" t="s">
        <v>1112</v>
      </c>
      <c r="C1091" s="16" t="s">
        <v>1113</v>
      </c>
      <c r="D1091" s="16" t="s">
        <v>1114</v>
      </c>
      <c r="E1091" s="34">
        <v>0.0</v>
      </c>
      <c r="F1091" s="81">
        <v>2.0</v>
      </c>
      <c r="G1091" s="12"/>
      <c r="H1091" s="12">
        <f t="shared" ref="H1091:H1108" si="17">E1091*250 + F1091*250</f>
        <v>500</v>
      </c>
      <c r="I1091" s="12" t="str">
        <f t="shared" si="2"/>
        <v>0 Complete Medical Records, 2 Patient Portal Logins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</row>
    <row r="1092" hidden="1">
      <c r="A1092" s="54" t="s">
        <v>302</v>
      </c>
      <c r="B1092" s="16" t="s">
        <v>1121</v>
      </c>
      <c r="C1092" s="16" t="s">
        <v>1122</v>
      </c>
      <c r="D1092" s="16" t="s">
        <v>1123</v>
      </c>
      <c r="E1092" s="34">
        <v>0.0</v>
      </c>
      <c r="F1092" s="81">
        <v>5.0</v>
      </c>
      <c r="G1092" s="12"/>
      <c r="H1092" s="12">
        <f t="shared" si="17"/>
        <v>1250</v>
      </c>
      <c r="I1092" s="12" t="str">
        <f t="shared" si="2"/>
        <v>0 Complete Medical Records, 5 Patient Portal Logins</v>
      </c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</row>
    <row r="1093" hidden="1">
      <c r="A1093" s="54" t="s">
        <v>302</v>
      </c>
      <c r="B1093" s="16" t="s">
        <v>1124</v>
      </c>
      <c r="C1093" s="16" t="s">
        <v>1125</v>
      </c>
      <c r="D1093" s="16" t="s">
        <v>1126</v>
      </c>
      <c r="E1093" s="34">
        <v>0.0</v>
      </c>
      <c r="F1093" s="81">
        <v>4.0</v>
      </c>
      <c r="G1093" s="12"/>
      <c r="H1093" s="12">
        <f t="shared" si="17"/>
        <v>1000</v>
      </c>
      <c r="I1093" s="12" t="str">
        <f t="shared" si="2"/>
        <v>0 Complete Medical Records, 4 Patient Portal Logins</v>
      </c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</row>
    <row r="1094" hidden="1">
      <c r="A1094" s="54" t="s">
        <v>302</v>
      </c>
      <c r="B1094" s="16" t="s">
        <v>1127</v>
      </c>
      <c r="C1094" s="16" t="s">
        <v>1128</v>
      </c>
      <c r="D1094" s="16" t="s">
        <v>1129</v>
      </c>
      <c r="E1094" s="34">
        <v>0.0</v>
      </c>
      <c r="F1094" s="34">
        <v>3.0</v>
      </c>
      <c r="G1094" s="12"/>
      <c r="H1094" s="12">
        <f t="shared" si="17"/>
        <v>750</v>
      </c>
      <c r="I1094" s="12" t="str">
        <f t="shared" si="2"/>
        <v>0 Complete Medical Records, 3 Patient Portal Logins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</row>
    <row r="1095" hidden="1">
      <c r="A1095" s="54" t="s">
        <v>302</v>
      </c>
      <c r="B1095" s="16" t="s">
        <v>1130</v>
      </c>
      <c r="C1095" s="16" t="s">
        <v>1131</v>
      </c>
      <c r="D1095" s="16" t="s">
        <v>1132</v>
      </c>
      <c r="E1095" s="34">
        <v>0.0</v>
      </c>
      <c r="F1095" s="81">
        <v>5.0</v>
      </c>
      <c r="G1095" s="12"/>
      <c r="H1095" s="12">
        <f t="shared" si="17"/>
        <v>1250</v>
      </c>
      <c r="I1095" s="12" t="str">
        <f t="shared" si="2"/>
        <v>0 Complete Medical Records, 5 Patient Portal Logins</v>
      </c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</row>
    <row r="1096" hidden="1">
      <c r="A1096" s="54" t="s">
        <v>302</v>
      </c>
      <c r="B1096" s="16" t="s">
        <v>1133</v>
      </c>
      <c r="C1096" s="16" t="s">
        <v>1134</v>
      </c>
      <c r="D1096" s="16" t="s">
        <v>1135</v>
      </c>
      <c r="E1096" s="34">
        <v>0.0</v>
      </c>
      <c r="F1096" s="81">
        <v>1.0</v>
      </c>
      <c r="G1096" s="12"/>
      <c r="H1096" s="12">
        <f t="shared" si="17"/>
        <v>250</v>
      </c>
      <c r="I1096" s="12" t="str">
        <f t="shared" si="2"/>
        <v>0 Complete Medical Records, 1 Patient Portal Logins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</row>
    <row r="1097" hidden="1">
      <c r="A1097" s="54" t="s">
        <v>302</v>
      </c>
      <c r="B1097" s="16" t="s">
        <v>1177</v>
      </c>
      <c r="C1097" s="16" t="s">
        <v>1178</v>
      </c>
      <c r="D1097" s="16" t="s">
        <v>1179</v>
      </c>
      <c r="E1097" s="34">
        <v>0.0</v>
      </c>
      <c r="F1097" s="81">
        <v>6.0</v>
      </c>
      <c r="G1097" s="12"/>
      <c r="H1097" s="12">
        <f t="shared" si="17"/>
        <v>1500</v>
      </c>
      <c r="I1097" s="12" t="str">
        <f t="shared" si="2"/>
        <v>0 Complete Medical Records, 6 Patient Portal Logins</v>
      </c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</row>
    <row r="1098" hidden="1">
      <c r="A1098" s="54" t="s">
        <v>302</v>
      </c>
      <c r="B1098" s="16" t="s">
        <v>1164</v>
      </c>
      <c r="C1098" s="16" t="s">
        <v>1165</v>
      </c>
      <c r="D1098" s="16" t="s">
        <v>1166</v>
      </c>
      <c r="E1098" s="34">
        <v>0.0</v>
      </c>
      <c r="F1098" s="81">
        <v>1.0</v>
      </c>
      <c r="G1098" s="12"/>
      <c r="H1098" s="12">
        <f t="shared" si="17"/>
        <v>250</v>
      </c>
      <c r="I1098" s="12" t="str">
        <f t="shared" si="2"/>
        <v>0 Complete Medical Records, 1 Patient Portal Logins</v>
      </c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</row>
    <row r="1099" hidden="1">
      <c r="A1099" s="54" t="s">
        <v>302</v>
      </c>
      <c r="B1099" s="16" t="s">
        <v>1136</v>
      </c>
      <c r="C1099" s="16" t="s">
        <v>1137</v>
      </c>
      <c r="D1099" s="16" t="s">
        <v>1138</v>
      </c>
      <c r="E1099" s="81">
        <v>2.0</v>
      </c>
      <c r="F1099" s="81">
        <v>12.0</v>
      </c>
      <c r="G1099" s="12"/>
      <c r="H1099" s="12">
        <f t="shared" si="17"/>
        <v>3500</v>
      </c>
      <c r="I1099" s="12" t="str">
        <f t="shared" si="2"/>
        <v>2 Complete Medical Records, 12 Patient Portal Logins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</row>
    <row r="1100" hidden="1">
      <c r="A1100" s="54" t="s">
        <v>302</v>
      </c>
      <c r="B1100" s="16" t="s">
        <v>1139</v>
      </c>
      <c r="C1100" s="16" t="s">
        <v>1140</v>
      </c>
      <c r="D1100" s="16" t="s">
        <v>1141</v>
      </c>
      <c r="E1100" s="81">
        <v>2.0</v>
      </c>
      <c r="F1100" s="81">
        <v>10.0</v>
      </c>
      <c r="G1100" s="12"/>
      <c r="H1100" s="12">
        <f t="shared" si="17"/>
        <v>3000</v>
      </c>
      <c r="I1100" s="12" t="str">
        <f t="shared" si="2"/>
        <v>2 Complete Medical Records, 10 Patient Portal Logins</v>
      </c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</row>
    <row r="1101" hidden="1">
      <c r="A1101" s="54" t="s">
        <v>302</v>
      </c>
      <c r="B1101" s="16" t="s">
        <v>1142</v>
      </c>
      <c r="C1101" s="16" t="s">
        <v>1143</v>
      </c>
      <c r="D1101" s="16" t="s">
        <v>1144</v>
      </c>
      <c r="E1101" s="81">
        <v>1.0</v>
      </c>
      <c r="F1101" s="81">
        <v>12.0</v>
      </c>
      <c r="G1101" s="12"/>
      <c r="H1101" s="12">
        <f t="shared" si="17"/>
        <v>3250</v>
      </c>
      <c r="I1101" s="12" t="str">
        <f t="shared" si="2"/>
        <v>1 Complete Medical Records, 12 Patient Portal Logins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</row>
    <row r="1102" hidden="1">
      <c r="A1102" s="54" t="s">
        <v>302</v>
      </c>
      <c r="B1102" s="16" t="s">
        <v>1145</v>
      </c>
      <c r="C1102" s="16" t="s">
        <v>1146</v>
      </c>
      <c r="D1102" s="16" t="s">
        <v>1147</v>
      </c>
      <c r="E1102" s="81">
        <v>2.0</v>
      </c>
      <c r="F1102" s="81">
        <v>7.0</v>
      </c>
      <c r="G1102" s="12"/>
      <c r="H1102" s="12">
        <f t="shared" si="17"/>
        <v>2250</v>
      </c>
      <c r="I1102" s="12" t="str">
        <f t="shared" si="2"/>
        <v>2 Complete Medical Records, 7 Patient Portal Logins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</row>
    <row r="1103" hidden="1">
      <c r="A1103" s="54" t="s">
        <v>302</v>
      </c>
      <c r="B1103" s="16" t="s">
        <v>1148</v>
      </c>
      <c r="C1103" s="16" t="s">
        <v>1149</v>
      </c>
      <c r="D1103" s="16" t="s">
        <v>1150</v>
      </c>
      <c r="E1103" s="81">
        <v>0.0</v>
      </c>
      <c r="F1103" s="81">
        <v>10.0</v>
      </c>
      <c r="G1103" s="12"/>
      <c r="H1103" s="12">
        <f t="shared" si="17"/>
        <v>2500</v>
      </c>
      <c r="I1103" s="12" t="str">
        <f t="shared" si="2"/>
        <v>0 Complete Medical Records, 10 Patient Portal Logins</v>
      </c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</row>
    <row r="1104" hidden="1">
      <c r="A1104" s="54" t="s">
        <v>302</v>
      </c>
      <c r="B1104" s="16" t="s">
        <v>1151</v>
      </c>
      <c r="C1104" s="16" t="s">
        <v>1152</v>
      </c>
      <c r="D1104" s="16" t="s">
        <v>1153</v>
      </c>
      <c r="E1104" s="81">
        <v>5.0</v>
      </c>
      <c r="F1104" s="81">
        <v>20.0</v>
      </c>
      <c r="G1104" s="12"/>
      <c r="H1104" s="12">
        <f t="shared" si="17"/>
        <v>6250</v>
      </c>
      <c r="I1104" s="12" t="str">
        <f t="shared" si="2"/>
        <v>5 Complete Medical Records, 20 Patient Portal Logins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</row>
    <row r="1105" hidden="1">
      <c r="A1105" s="54" t="s">
        <v>302</v>
      </c>
      <c r="B1105" s="16" t="s">
        <v>1154</v>
      </c>
      <c r="C1105" s="16" t="s">
        <v>1155</v>
      </c>
      <c r="D1105" s="16" t="s">
        <v>1156</v>
      </c>
      <c r="E1105" s="81">
        <v>5.0</v>
      </c>
      <c r="F1105" s="81">
        <v>20.0</v>
      </c>
      <c r="G1105" s="12"/>
      <c r="H1105" s="12">
        <f t="shared" si="17"/>
        <v>6250</v>
      </c>
      <c r="I1105" s="12" t="str">
        <f t="shared" si="2"/>
        <v>5 Complete Medical Records, 20 Patient Portal Logins</v>
      </c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</row>
    <row r="1106" hidden="1">
      <c r="A1106" s="54" t="s">
        <v>302</v>
      </c>
      <c r="B1106" s="61" t="s">
        <v>1158</v>
      </c>
      <c r="C1106" s="21" t="s">
        <v>1159</v>
      </c>
      <c r="D1106" s="21" t="s">
        <v>1160</v>
      </c>
      <c r="E1106" s="81">
        <v>3.0</v>
      </c>
      <c r="F1106" s="81">
        <v>9.0</v>
      </c>
      <c r="G1106" s="12"/>
      <c r="H1106" s="12">
        <f t="shared" si="17"/>
        <v>3000</v>
      </c>
      <c r="I1106" s="12" t="str">
        <f t="shared" si="2"/>
        <v>3 Complete Medical Records, 9 Patient Portal Logins</v>
      </c>
      <c r="J1106" s="23"/>
      <c r="K1106" s="23"/>
      <c r="L1106" s="23"/>
      <c r="M1106" s="14"/>
      <c r="N1106" s="23"/>
      <c r="O1106" s="23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</row>
    <row r="1107" hidden="1">
      <c r="A1107" s="54" t="s">
        <v>302</v>
      </c>
      <c r="B1107" s="21" t="s">
        <v>1180</v>
      </c>
      <c r="C1107" s="21" t="s">
        <v>1181</v>
      </c>
      <c r="D1107" s="21" t="s">
        <v>1182</v>
      </c>
      <c r="E1107" s="81">
        <v>2.0</v>
      </c>
      <c r="F1107" s="81">
        <v>0.0</v>
      </c>
      <c r="G1107" s="12"/>
      <c r="H1107" s="12">
        <f t="shared" si="17"/>
        <v>500</v>
      </c>
      <c r="I1107" s="12" t="str">
        <f t="shared" si="2"/>
        <v>2 Complete Medical Records, 0 Patient Portal Logins</v>
      </c>
      <c r="J1107" s="23"/>
      <c r="K1107" s="23"/>
      <c r="L1107" s="23"/>
      <c r="M1107" s="14"/>
      <c r="N1107" s="23"/>
      <c r="O1107" s="23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</row>
    <row r="1108" hidden="1">
      <c r="A1108" s="54" t="s">
        <v>302</v>
      </c>
      <c r="B1108" s="21" t="s">
        <v>1161</v>
      </c>
      <c r="C1108" s="21" t="s">
        <v>1162</v>
      </c>
      <c r="D1108" s="21" t="s">
        <v>1163</v>
      </c>
      <c r="E1108" s="81">
        <v>2.0</v>
      </c>
      <c r="F1108" s="81">
        <v>1.0</v>
      </c>
      <c r="G1108" s="12"/>
      <c r="H1108" s="12">
        <f t="shared" si="17"/>
        <v>750</v>
      </c>
      <c r="I1108" s="12" t="str">
        <f t="shared" si="2"/>
        <v>2 Complete Medical Records, 1 Patient Portal Logins</v>
      </c>
      <c r="J1108" s="23"/>
      <c r="K1108" s="23"/>
      <c r="L1108" s="23"/>
      <c r="M1108" s="14"/>
      <c r="N1108" s="23"/>
      <c r="O1108" s="23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</row>
    <row r="1109" hidden="1">
      <c r="A1109" s="268" t="s">
        <v>306</v>
      </c>
      <c r="B1109" s="16" t="s">
        <v>1118</v>
      </c>
      <c r="C1109" s="16" t="s">
        <v>1119</v>
      </c>
      <c r="D1109" s="16" t="s">
        <v>1120</v>
      </c>
      <c r="E1109" s="34">
        <v>0.0</v>
      </c>
      <c r="F1109" s="81">
        <v>4.0</v>
      </c>
      <c r="G1109" s="12"/>
      <c r="H1109" s="12" t="str">
        <f>E1109*300+#REF!*125+F1109*250</f>
        <v>#REF!</v>
      </c>
      <c r="I1109" s="12" t="str">
        <f t="shared" si="2"/>
        <v>0 Complete Medical Records, 4 Patient Portal Logins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</row>
    <row r="1110" hidden="1">
      <c r="A1110" s="268" t="s">
        <v>306</v>
      </c>
      <c r="B1110" s="16" t="s">
        <v>1112</v>
      </c>
      <c r="C1110" s="16" t="s">
        <v>1113</v>
      </c>
      <c r="D1110" s="16" t="s">
        <v>1114</v>
      </c>
      <c r="E1110" s="34">
        <v>0.0</v>
      </c>
      <c r="F1110" s="81">
        <v>2.0</v>
      </c>
      <c r="G1110" s="12"/>
      <c r="H1110" s="12">
        <f t="shared" ref="H1110:H1157" si="18">E1110*250 + F1110*250</f>
        <v>500</v>
      </c>
      <c r="I1110" s="12" t="str">
        <f t="shared" si="2"/>
        <v>0 Complete Medical Records, 2 Patient Portal Logins</v>
      </c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</row>
    <row r="1111" hidden="1">
      <c r="A1111" s="268" t="s">
        <v>306</v>
      </c>
      <c r="B1111" s="16" t="s">
        <v>1121</v>
      </c>
      <c r="C1111" s="16" t="s">
        <v>1122</v>
      </c>
      <c r="D1111" s="16" t="s">
        <v>1123</v>
      </c>
      <c r="E1111" s="34">
        <v>0.0</v>
      </c>
      <c r="F1111" s="81">
        <v>0.0</v>
      </c>
      <c r="G1111" s="12"/>
      <c r="H1111" s="12">
        <f t="shared" si="18"/>
        <v>0</v>
      </c>
      <c r="I1111" s="12" t="str">
        <f t="shared" si="2"/>
        <v>0 Complete Medical Records, 0 Patient Portal Logins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</row>
    <row r="1112" hidden="1">
      <c r="A1112" s="268" t="s">
        <v>306</v>
      </c>
      <c r="B1112" s="16" t="s">
        <v>1124</v>
      </c>
      <c r="C1112" s="16" t="s">
        <v>1125</v>
      </c>
      <c r="D1112" s="16" t="s">
        <v>1126</v>
      </c>
      <c r="E1112" s="34">
        <v>0.0</v>
      </c>
      <c r="F1112" s="81">
        <v>2.0</v>
      </c>
      <c r="G1112" s="12"/>
      <c r="H1112" s="12">
        <f t="shared" si="18"/>
        <v>500</v>
      </c>
      <c r="I1112" s="12" t="str">
        <f t="shared" si="2"/>
        <v>0 Complete Medical Records, 2 Patient Portal Logins</v>
      </c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</row>
    <row r="1113" hidden="1">
      <c r="A1113" s="268" t="s">
        <v>306</v>
      </c>
      <c r="B1113" s="16" t="s">
        <v>1127</v>
      </c>
      <c r="C1113" s="16" t="s">
        <v>1128</v>
      </c>
      <c r="D1113" s="16" t="s">
        <v>1129</v>
      </c>
      <c r="E1113" s="34">
        <v>0.0</v>
      </c>
      <c r="F1113" s="34">
        <v>2.0</v>
      </c>
      <c r="G1113" s="12"/>
      <c r="H1113" s="12">
        <f t="shared" si="18"/>
        <v>500</v>
      </c>
      <c r="I1113" s="12" t="str">
        <f t="shared" si="2"/>
        <v>0 Complete Medical Records, 2 Patient Portal Logins</v>
      </c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</row>
    <row r="1114" hidden="1">
      <c r="A1114" s="268" t="s">
        <v>306</v>
      </c>
      <c r="B1114" s="16" t="s">
        <v>1130</v>
      </c>
      <c r="C1114" s="16" t="s">
        <v>1131</v>
      </c>
      <c r="D1114" s="16" t="s">
        <v>1132</v>
      </c>
      <c r="E1114" s="34">
        <v>0.0</v>
      </c>
      <c r="F1114" s="81">
        <v>6.0</v>
      </c>
      <c r="G1114" s="12"/>
      <c r="H1114" s="12">
        <f t="shared" si="18"/>
        <v>1500</v>
      </c>
      <c r="I1114" s="12" t="str">
        <f t="shared" si="2"/>
        <v>0 Complete Medical Records, 6 Patient Portal Logins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</row>
    <row r="1115" hidden="1">
      <c r="A1115" s="268" t="s">
        <v>306</v>
      </c>
      <c r="B1115" s="16" t="s">
        <v>1133</v>
      </c>
      <c r="C1115" s="16" t="s">
        <v>1134</v>
      </c>
      <c r="D1115" s="16" t="s">
        <v>1135</v>
      </c>
      <c r="E1115" s="34">
        <v>0.0</v>
      </c>
      <c r="F1115" s="81">
        <v>7.0</v>
      </c>
      <c r="G1115" s="12"/>
      <c r="H1115" s="12">
        <f t="shared" si="18"/>
        <v>1750</v>
      </c>
      <c r="I1115" s="12" t="str">
        <f t="shared" si="2"/>
        <v>0 Complete Medical Records, 7 Patient Portal Logins</v>
      </c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</row>
    <row r="1116" hidden="1">
      <c r="A1116" s="268" t="s">
        <v>306</v>
      </c>
      <c r="B1116" s="16" t="s">
        <v>1177</v>
      </c>
      <c r="C1116" s="16" t="s">
        <v>1178</v>
      </c>
      <c r="D1116" s="16" t="s">
        <v>1179</v>
      </c>
      <c r="E1116" s="34">
        <v>0.0</v>
      </c>
      <c r="F1116" s="81">
        <v>5.0</v>
      </c>
      <c r="G1116" s="12"/>
      <c r="H1116" s="12">
        <f t="shared" si="18"/>
        <v>1250</v>
      </c>
      <c r="I1116" s="12" t="str">
        <f t="shared" si="2"/>
        <v>0 Complete Medical Records, 5 Patient Portal Logins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</row>
    <row r="1117" hidden="1">
      <c r="A1117" s="268" t="s">
        <v>306</v>
      </c>
      <c r="B1117" s="16" t="s">
        <v>1164</v>
      </c>
      <c r="C1117" s="16" t="s">
        <v>1165</v>
      </c>
      <c r="D1117" s="16" t="s">
        <v>1166</v>
      </c>
      <c r="E1117" s="34">
        <v>0.0</v>
      </c>
      <c r="F1117" s="81">
        <v>0.0</v>
      </c>
      <c r="G1117" s="12"/>
      <c r="H1117" s="12">
        <f t="shared" si="18"/>
        <v>0</v>
      </c>
      <c r="I1117" s="12" t="str">
        <f t="shared" si="2"/>
        <v>0 Complete Medical Records, 0 Patient Portal Logins</v>
      </c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</row>
    <row r="1118" hidden="1">
      <c r="A1118" s="268" t="s">
        <v>306</v>
      </c>
      <c r="B1118" s="16" t="s">
        <v>1136</v>
      </c>
      <c r="C1118" s="16" t="s">
        <v>1137</v>
      </c>
      <c r="D1118" s="16" t="s">
        <v>1138</v>
      </c>
      <c r="E1118" s="81">
        <v>3.0</v>
      </c>
      <c r="F1118" s="81">
        <v>22.0</v>
      </c>
      <c r="G1118" s="12"/>
      <c r="H1118" s="12">
        <f t="shared" si="18"/>
        <v>6250</v>
      </c>
      <c r="I1118" s="12" t="str">
        <f t="shared" si="2"/>
        <v>3 Complete Medical Records, 22 Patient Portal Logins</v>
      </c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</row>
    <row r="1119" hidden="1">
      <c r="A1119" s="268" t="s">
        <v>306</v>
      </c>
      <c r="B1119" s="16" t="s">
        <v>1139</v>
      </c>
      <c r="C1119" s="16" t="s">
        <v>1140</v>
      </c>
      <c r="D1119" s="16" t="s">
        <v>1141</v>
      </c>
      <c r="E1119" s="81">
        <v>3.0</v>
      </c>
      <c r="F1119" s="81">
        <v>8.0</v>
      </c>
      <c r="G1119" s="12"/>
      <c r="H1119" s="12">
        <f t="shared" si="18"/>
        <v>2750</v>
      </c>
      <c r="I1119" s="12" t="str">
        <f t="shared" si="2"/>
        <v>3 Complete Medical Records, 8 Patient Portal Logins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</row>
    <row r="1120" hidden="1">
      <c r="A1120" s="268" t="s">
        <v>306</v>
      </c>
      <c r="B1120" s="16" t="s">
        <v>1142</v>
      </c>
      <c r="C1120" s="16" t="s">
        <v>1143</v>
      </c>
      <c r="D1120" s="16" t="s">
        <v>1144</v>
      </c>
      <c r="E1120" s="81">
        <v>3.0</v>
      </c>
      <c r="F1120" s="81">
        <v>12.0</v>
      </c>
      <c r="G1120" s="12"/>
      <c r="H1120" s="12">
        <f t="shared" si="18"/>
        <v>3750</v>
      </c>
      <c r="I1120" s="12" t="str">
        <f t="shared" si="2"/>
        <v>3 Complete Medical Records, 12 Patient Portal Logins</v>
      </c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</row>
    <row r="1121" hidden="1">
      <c r="A1121" s="268" t="s">
        <v>306</v>
      </c>
      <c r="B1121" s="16" t="s">
        <v>1145</v>
      </c>
      <c r="C1121" s="16" t="s">
        <v>1146</v>
      </c>
      <c r="D1121" s="16" t="s">
        <v>1147</v>
      </c>
      <c r="E1121" s="81">
        <v>3.0</v>
      </c>
      <c r="F1121" s="81">
        <v>8.0</v>
      </c>
      <c r="G1121" s="12"/>
      <c r="H1121" s="12">
        <f t="shared" si="18"/>
        <v>2750</v>
      </c>
      <c r="I1121" s="12" t="str">
        <f t="shared" si="2"/>
        <v>3 Complete Medical Records, 8 Patient Portal Logins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</row>
    <row r="1122" hidden="1">
      <c r="A1122" s="268" t="s">
        <v>306</v>
      </c>
      <c r="B1122" s="16" t="s">
        <v>1148</v>
      </c>
      <c r="C1122" s="16" t="s">
        <v>1149</v>
      </c>
      <c r="D1122" s="16" t="s">
        <v>1150</v>
      </c>
      <c r="E1122" s="81">
        <v>2.0</v>
      </c>
      <c r="F1122" s="81">
        <v>17.0</v>
      </c>
      <c r="G1122" s="12"/>
      <c r="H1122" s="12">
        <f t="shared" si="18"/>
        <v>4750</v>
      </c>
      <c r="I1122" s="12" t="str">
        <f t="shared" si="2"/>
        <v>2 Complete Medical Records, 17 Patient Portal Logins</v>
      </c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</row>
    <row r="1123" hidden="1">
      <c r="A1123" s="268" t="s">
        <v>306</v>
      </c>
      <c r="B1123" s="16" t="s">
        <v>1151</v>
      </c>
      <c r="C1123" s="16" t="s">
        <v>1152</v>
      </c>
      <c r="D1123" s="16" t="s">
        <v>1153</v>
      </c>
      <c r="E1123" s="81">
        <v>5.0</v>
      </c>
      <c r="F1123" s="81">
        <v>10.0</v>
      </c>
      <c r="G1123" s="12"/>
      <c r="H1123" s="12">
        <f t="shared" si="18"/>
        <v>3750</v>
      </c>
      <c r="I1123" s="12" t="str">
        <f t="shared" si="2"/>
        <v>5 Complete Medical Records, 10 Patient Portal Logins</v>
      </c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</row>
    <row r="1124" hidden="1">
      <c r="A1124" s="268" t="s">
        <v>306</v>
      </c>
      <c r="B1124" s="16" t="s">
        <v>1154</v>
      </c>
      <c r="C1124" s="16" t="s">
        <v>1155</v>
      </c>
      <c r="D1124" s="16" t="s">
        <v>1156</v>
      </c>
      <c r="E1124" s="81">
        <v>3.0</v>
      </c>
      <c r="F1124" s="81">
        <v>18.0</v>
      </c>
      <c r="G1124" s="12"/>
      <c r="H1124" s="12">
        <f t="shared" si="18"/>
        <v>5250</v>
      </c>
      <c r="I1124" s="12" t="str">
        <f t="shared" si="2"/>
        <v>3 Complete Medical Records, 18 Patient Portal Logins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</row>
    <row r="1125" hidden="1">
      <c r="A1125" s="268" t="s">
        <v>306</v>
      </c>
      <c r="B1125" s="61" t="s">
        <v>1158</v>
      </c>
      <c r="C1125" s="21" t="s">
        <v>1159</v>
      </c>
      <c r="D1125" s="21" t="s">
        <v>1160</v>
      </c>
      <c r="E1125" s="81">
        <v>2.0</v>
      </c>
      <c r="F1125" s="81">
        <v>12.0</v>
      </c>
      <c r="G1125" s="12"/>
      <c r="H1125" s="12">
        <f t="shared" si="18"/>
        <v>3500</v>
      </c>
      <c r="I1125" s="12" t="str">
        <f t="shared" si="2"/>
        <v>2 Complete Medical Records, 12 Patient Portal Logins</v>
      </c>
      <c r="J1125" s="23"/>
      <c r="K1125" s="23"/>
      <c r="L1125" s="23"/>
      <c r="M1125" s="14"/>
      <c r="N1125" s="23"/>
      <c r="O1125" s="23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</row>
    <row r="1126" hidden="1">
      <c r="A1126" s="268" t="s">
        <v>306</v>
      </c>
      <c r="B1126" s="21" t="s">
        <v>1180</v>
      </c>
      <c r="C1126" s="21" t="s">
        <v>1181</v>
      </c>
      <c r="D1126" s="21" t="s">
        <v>1182</v>
      </c>
      <c r="E1126" s="81">
        <v>2.0</v>
      </c>
      <c r="F1126" s="81">
        <v>17.0</v>
      </c>
      <c r="G1126" s="12"/>
      <c r="H1126" s="12">
        <f t="shared" si="18"/>
        <v>4750</v>
      </c>
      <c r="I1126" s="12" t="str">
        <f t="shared" si="2"/>
        <v>2 Complete Medical Records, 17 Patient Portal Logins</v>
      </c>
      <c r="J1126" s="23"/>
      <c r="K1126" s="23"/>
      <c r="L1126" s="23"/>
      <c r="M1126" s="14"/>
      <c r="N1126" s="23"/>
      <c r="O1126" s="23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</row>
    <row r="1127" hidden="1">
      <c r="A1127" s="268" t="s">
        <v>306</v>
      </c>
      <c r="B1127" s="21" t="s">
        <v>1161</v>
      </c>
      <c r="C1127" s="21" t="s">
        <v>1162</v>
      </c>
      <c r="D1127" s="21" t="s">
        <v>1163</v>
      </c>
      <c r="E1127" s="81">
        <v>3.0</v>
      </c>
      <c r="F1127" s="81">
        <v>5.0</v>
      </c>
      <c r="G1127" s="12"/>
      <c r="H1127" s="12">
        <f t="shared" si="18"/>
        <v>2000</v>
      </c>
      <c r="I1127" s="12" t="str">
        <f t="shared" si="2"/>
        <v>3 Complete Medical Records, 5 Patient Portal Logins</v>
      </c>
      <c r="J1127" s="23"/>
      <c r="K1127" s="23"/>
      <c r="L1127" s="23"/>
      <c r="M1127" s="14"/>
      <c r="N1127" s="23"/>
      <c r="O1127" s="23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</row>
    <row r="1128" hidden="1">
      <c r="A1128" s="54" t="s">
        <v>307</v>
      </c>
      <c r="B1128" s="7" t="s">
        <v>1118</v>
      </c>
      <c r="C1128" s="7" t="s">
        <v>1119</v>
      </c>
      <c r="D1128" s="7" t="s">
        <v>1120</v>
      </c>
      <c r="E1128" s="13"/>
      <c r="F1128" s="90">
        <v>2.0</v>
      </c>
      <c r="G1128" s="12"/>
      <c r="H1128" s="12">
        <f t="shared" si="18"/>
        <v>500</v>
      </c>
      <c r="I1128" s="12" t="str">
        <f t="shared" si="2"/>
        <v> Complete Medical Records, 2 Patient Portal Logins</v>
      </c>
      <c r="J1128" s="47"/>
      <c r="K1128" s="47"/>
      <c r="L1128" s="47"/>
      <c r="M1128" s="47"/>
      <c r="N1128" s="47"/>
      <c r="O1128" s="47"/>
      <c r="P1128" s="47"/>
      <c r="Q1128" s="47"/>
      <c r="R1128" s="47"/>
      <c r="S1128" s="47"/>
      <c r="T1128" s="47"/>
      <c r="U1128" s="47"/>
      <c r="V1128" s="47"/>
      <c r="W1128" s="47"/>
      <c r="X1128" s="47"/>
      <c r="Y1128" s="47"/>
      <c r="Z1128" s="47"/>
      <c r="AA1128" s="47"/>
      <c r="AB1128" s="47"/>
      <c r="AC1128" s="47"/>
    </row>
    <row r="1129" hidden="1">
      <c r="A1129" s="6" t="s">
        <v>307</v>
      </c>
      <c r="B1129" s="7" t="s">
        <v>1112</v>
      </c>
      <c r="C1129" s="7" t="s">
        <v>1113</v>
      </c>
      <c r="D1129" s="7" t="s">
        <v>1114</v>
      </c>
      <c r="E1129" s="13"/>
      <c r="F1129" s="90">
        <v>2.0</v>
      </c>
      <c r="G1129" s="12"/>
      <c r="H1129" s="12">
        <f t="shared" si="18"/>
        <v>500</v>
      </c>
      <c r="I1129" s="12" t="str">
        <f t="shared" si="2"/>
        <v> Complete Medical Records, 2 Patient Portal Logins</v>
      </c>
      <c r="J1129" s="47"/>
      <c r="K1129" s="47"/>
      <c r="L1129" s="47"/>
      <c r="M1129" s="47"/>
      <c r="N1129" s="47"/>
      <c r="O1129" s="47"/>
      <c r="P1129" s="47"/>
      <c r="Q1129" s="47"/>
      <c r="R1129" s="47"/>
      <c r="S1129" s="47"/>
      <c r="T1129" s="47"/>
      <c r="U1129" s="47"/>
      <c r="V1129" s="47"/>
      <c r="W1129" s="47"/>
      <c r="X1129" s="47"/>
      <c r="Y1129" s="47"/>
      <c r="Z1129" s="47"/>
      <c r="AA1129" s="47"/>
      <c r="AB1129" s="47"/>
      <c r="AC1129" s="47"/>
    </row>
    <row r="1130" hidden="1">
      <c r="A1130" s="6" t="s">
        <v>307</v>
      </c>
      <c r="B1130" s="7" t="s">
        <v>1121</v>
      </c>
      <c r="C1130" s="7" t="s">
        <v>1122</v>
      </c>
      <c r="D1130" s="7" t="s">
        <v>1123</v>
      </c>
      <c r="E1130" s="13"/>
      <c r="F1130" s="90">
        <v>4.0</v>
      </c>
      <c r="G1130" s="12"/>
      <c r="H1130" s="12">
        <f t="shared" si="18"/>
        <v>1000</v>
      </c>
      <c r="I1130" s="12" t="str">
        <f t="shared" si="2"/>
        <v> Complete Medical Records, 4 Patient Portal Logins</v>
      </c>
      <c r="J1130" s="47"/>
      <c r="K1130" s="47"/>
      <c r="L1130" s="47"/>
      <c r="M1130" s="47"/>
      <c r="N1130" s="47"/>
      <c r="O1130" s="47"/>
      <c r="P1130" s="47"/>
      <c r="Q1130" s="47"/>
      <c r="R1130" s="47"/>
      <c r="S1130" s="47"/>
      <c r="T1130" s="47"/>
      <c r="U1130" s="47"/>
      <c r="V1130" s="47"/>
      <c r="W1130" s="47"/>
      <c r="X1130" s="47"/>
      <c r="Y1130" s="47"/>
      <c r="Z1130" s="47"/>
      <c r="AA1130" s="47"/>
      <c r="AB1130" s="47"/>
      <c r="AC1130" s="47"/>
    </row>
    <row r="1131" hidden="1">
      <c r="A1131" s="6" t="s">
        <v>307</v>
      </c>
      <c r="B1131" s="7" t="s">
        <v>1124</v>
      </c>
      <c r="C1131" s="7" t="s">
        <v>1125</v>
      </c>
      <c r="D1131" s="7" t="s">
        <v>1126</v>
      </c>
      <c r="E1131" s="13"/>
      <c r="F1131" s="90">
        <v>1.0</v>
      </c>
      <c r="G1131" s="12"/>
      <c r="H1131" s="12">
        <f t="shared" si="18"/>
        <v>250</v>
      </c>
      <c r="I1131" s="12" t="str">
        <f t="shared" si="2"/>
        <v> Complete Medical Records, 1 Patient Portal Logins</v>
      </c>
      <c r="J1131" s="47"/>
      <c r="K1131" s="47"/>
      <c r="L1131" s="47"/>
      <c r="M1131" s="47"/>
      <c r="N1131" s="47"/>
      <c r="O1131" s="47"/>
      <c r="P1131" s="47"/>
      <c r="Q1131" s="47"/>
      <c r="R1131" s="47"/>
      <c r="S1131" s="47"/>
      <c r="T1131" s="47"/>
      <c r="U1131" s="47"/>
      <c r="V1131" s="47"/>
      <c r="W1131" s="47"/>
      <c r="X1131" s="47"/>
      <c r="Y1131" s="47"/>
      <c r="Z1131" s="47"/>
      <c r="AA1131" s="47"/>
      <c r="AB1131" s="47"/>
      <c r="AC1131" s="47"/>
    </row>
    <row r="1132" hidden="1">
      <c r="A1132" s="6" t="s">
        <v>307</v>
      </c>
      <c r="B1132" s="7" t="s">
        <v>1127</v>
      </c>
      <c r="C1132" s="7" t="s">
        <v>1128</v>
      </c>
      <c r="D1132" s="7" t="s">
        <v>1129</v>
      </c>
      <c r="E1132" s="13"/>
      <c r="F1132" s="90"/>
      <c r="G1132" s="12"/>
      <c r="H1132" s="12">
        <f t="shared" si="18"/>
        <v>0</v>
      </c>
      <c r="I1132" s="12" t="str">
        <f t="shared" si="2"/>
        <v> Complete Medical Records,  Patient Portal Logins</v>
      </c>
      <c r="J1132" s="47"/>
      <c r="K1132" s="47"/>
      <c r="L1132" s="47"/>
      <c r="M1132" s="47"/>
      <c r="N1132" s="47"/>
      <c r="O1132" s="47"/>
      <c r="P1132" s="47"/>
      <c r="Q1132" s="47"/>
      <c r="R1132" s="47"/>
      <c r="S1132" s="47"/>
      <c r="T1132" s="47"/>
      <c r="U1132" s="47"/>
      <c r="V1132" s="47"/>
      <c r="W1132" s="47"/>
      <c r="X1132" s="47"/>
      <c r="Y1132" s="47"/>
      <c r="Z1132" s="47"/>
      <c r="AA1132" s="47"/>
      <c r="AB1132" s="47"/>
      <c r="AC1132" s="47"/>
    </row>
    <row r="1133" hidden="1">
      <c r="A1133" s="6" t="s">
        <v>307</v>
      </c>
      <c r="B1133" s="7" t="s">
        <v>1130</v>
      </c>
      <c r="C1133" s="7" t="s">
        <v>1131</v>
      </c>
      <c r="D1133" s="7" t="s">
        <v>1132</v>
      </c>
      <c r="E1133" s="13"/>
      <c r="F1133" s="90">
        <v>6.0</v>
      </c>
      <c r="G1133" s="12"/>
      <c r="H1133" s="12">
        <f t="shared" si="18"/>
        <v>1500</v>
      </c>
      <c r="I1133" s="12" t="str">
        <f t="shared" si="2"/>
        <v> Complete Medical Records, 6 Patient Portal Logins</v>
      </c>
      <c r="J1133" s="47"/>
      <c r="K1133" s="47"/>
      <c r="L1133" s="47"/>
      <c r="M1133" s="47"/>
      <c r="N1133" s="47"/>
      <c r="O1133" s="47"/>
      <c r="P1133" s="47"/>
      <c r="Q1133" s="47"/>
      <c r="R1133" s="47"/>
      <c r="S1133" s="47"/>
      <c r="T1133" s="47"/>
      <c r="U1133" s="47"/>
      <c r="V1133" s="47"/>
      <c r="W1133" s="47"/>
      <c r="X1133" s="47"/>
      <c r="Y1133" s="47"/>
      <c r="Z1133" s="47"/>
      <c r="AA1133" s="47"/>
      <c r="AB1133" s="47"/>
      <c r="AC1133" s="47"/>
    </row>
    <row r="1134" hidden="1">
      <c r="A1134" s="6" t="s">
        <v>307</v>
      </c>
      <c r="B1134" s="7" t="s">
        <v>1133</v>
      </c>
      <c r="C1134" s="7" t="s">
        <v>1134</v>
      </c>
      <c r="D1134" s="7" t="s">
        <v>1135</v>
      </c>
      <c r="E1134" s="13"/>
      <c r="F1134" s="90">
        <v>8.0</v>
      </c>
      <c r="G1134" s="12"/>
      <c r="H1134" s="12">
        <f t="shared" si="18"/>
        <v>2000</v>
      </c>
      <c r="I1134" s="12" t="str">
        <f t="shared" si="2"/>
        <v> Complete Medical Records, 8 Patient Portal Logins</v>
      </c>
      <c r="J1134" s="47"/>
      <c r="K1134" s="47"/>
      <c r="L1134" s="47"/>
      <c r="M1134" s="47"/>
      <c r="N1134" s="47"/>
      <c r="O1134" s="47"/>
      <c r="P1134" s="47"/>
      <c r="Q1134" s="47"/>
      <c r="R1134" s="47"/>
      <c r="S1134" s="47"/>
      <c r="T1134" s="47"/>
      <c r="U1134" s="47"/>
      <c r="V1134" s="47"/>
      <c r="W1134" s="47"/>
      <c r="X1134" s="47"/>
      <c r="Y1134" s="47"/>
      <c r="Z1134" s="47"/>
      <c r="AA1134" s="47"/>
      <c r="AB1134" s="47"/>
      <c r="AC1134" s="47"/>
    </row>
    <row r="1135" hidden="1">
      <c r="A1135" s="6" t="s">
        <v>307</v>
      </c>
      <c r="B1135" s="7" t="s">
        <v>1177</v>
      </c>
      <c r="C1135" s="7" t="s">
        <v>1178</v>
      </c>
      <c r="D1135" s="7" t="s">
        <v>1179</v>
      </c>
      <c r="E1135" s="13"/>
      <c r="F1135" s="90">
        <v>7.0</v>
      </c>
      <c r="G1135" s="12"/>
      <c r="H1135" s="12">
        <f t="shared" si="18"/>
        <v>1750</v>
      </c>
      <c r="I1135" s="12" t="str">
        <f t="shared" si="2"/>
        <v> Complete Medical Records, 7 Patient Portal Logins</v>
      </c>
      <c r="J1135" s="47"/>
      <c r="K1135" s="47"/>
      <c r="L1135" s="47"/>
      <c r="M1135" s="47"/>
      <c r="N1135" s="47"/>
      <c r="O1135" s="47"/>
      <c r="P1135" s="47"/>
      <c r="Q1135" s="47"/>
      <c r="R1135" s="47"/>
      <c r="S1135" s="47"/>
      <c r="T1135" s="47"/>
      <c r="U1135" s="47"/>
      <c r="V1135" s="47"/>
      <c r="W1135" s="47"/>
      <c r="X1135" s="47"/>
      <c r="Y1135" s="47"/>
      <c r="Z1135" s="47"/>
      <c r="AA1135" s="47"/>
      <c r="AB1135" s="47"/>
      <c r="AC1135" s="47"/>
    </row>
    <row r="1136" hidden="1">
      <c r="A1136" s="6" t="s">
        <v>307</v>
      </c>
      <c r="B1136" s="16" t="s">
        <v>1164</v>
      </c>
      <c r="C1136" s="16" t="s">
        <v>1165</v>
      </c>
      <c r="D1136" s="16" t="s">
        <v>1166</v>
      </c>
      <c r="E1136" s="13"/>
      <c r="F1136" s="90">
        <v>5.0</v>
      </c>
      <c r="G1136" s="12"/>
      <c r="H1136" s="12">
        <f t="shared" si="18"/>
        <v>1250</v>
      </c>
      <c r="I1136" s="12" t="str">
        <f t="shared" si="2"/>
        <v> Complete Medical Records, 5 Patient Portal Logins</v>
      </c>
      <c r="J1136" s="47"/>
      <c r="K1136" s="47"/>
      <c r="L1136" s="47"/>
      <c r="M1136" s="47"/>
      <c r="N1136" s="47"/>
      <c r="O1136" s="47"/>
      <c r="P1136" s="47"/>
      <c r="Q1136" s="47"/>
      <c r="R1136" s="47"/>
      <c r="S1136" s="47"/>
      <c r="T1136" s="47"/>
      <c r="U1136" s="47"/>
      <c r="V1136" s="47"/>
      <c r="W1136" s="47"/>
      <c r="X1136" s="47"/>
      <c r="Y1136" s="47"/>
      <c r="Z1136" s="47"/>
      <c r="AA1136" s="47"/>
      <c r="AB1136" s="47"/>
      <c r="AC1136" s="47"/>
    </row>
    <row r="1137" hidden="1">
      <c r="A1137" s="6" t="s">
        <v>307</v>
      </c>
      <c r="B1137" s="16" t="s">
        <v>1136</v>
      </c>
      <c r="C1137" s="16" t="s">
        <v>1137</v>
      </c>
      <c r="D1137" s="16" t="s">
        <v>1138</v>
      </c>
      <c r="E1137" s="81">
        <v>3.0</v>
      </c>
      <c r="F1137" s="90">
        <v>14.0</v>
      </c>
      <c r="G1137" s="12"/>
      <c r="H1137" s="12">
        <f t="shared" si="18"/>
        <v>4250</v>
      </c>
      <c r="I1137" s="12" t="str">
        <f t="shared" si="2"/>
        <v>3 Complete Medical Records, 14 Patient Portal Logins</v>
      </c>
      <c r="J1137" s="47"/>
      <c r="K1137" s="47"/>
      <c r="L1137" s="47"/>
      <c r="M1137" s="47"/>
      <c r="N1137" s="47"/>
      <c r="O1137" s="47"/>
      <c r="P1137" s="47"/>
      <c r="Q1137" s="47"/>
      <c r="R1137" s="47"/>
      <c r="S1137" s="47"/>
      <c r="T1137" s="47"/>
      <c r="U1137" s="47"/>
      <c r="V1137" s="47"/>
      <c r="W1137" s="47"/>
      <c r="X1137" s="47"/>
      <c r="Y1137" s="47"/>
      <c r="Z1137" s="47"/>
      <c r="AA1137" s="47"/>
      <c r="AB1137" s="47"/>
      <c r="AC1137" s="47"/>
    </row>
    <row r="1138" hidden="1">
      <c r="A1138" s="6" t="s">
        <v>307</v>
      </c>
      <c r="B1138" s="16" t="s">
        <v>1139</v>
      </c>
      <c r="C1138" s="16" t="s">
        <v>1140</v>
      </c>
      <c r="D1138" s="16" t="s">
        <v>1141</v>
      </c>
      <c r="E1138" s="81">
        <v>5.0</v>
      </c>
      <c r="F1138" s="90">
        <v>13.0</v>
      </c>
      <c r="G1138" s="12"/>
      <c r="H1138" s="12">
        <f t="shared" si="18"/>
        <v>4500</v>
      </c>
      <c r="I1138" s="12" t="str">
        <f t="shared" si="2"/>
        <v>5 Complete Medical Records, 13 Patient Portal Logins</v>
      </c>
      <c r="J1138" s="47"/>
      <c r="K1138" s="47"/>
      <c r="L1138" s="47"/>
      <c r="M1138" s="47"/>
      <c r="N1138" s="47"/>
      <c r="O1138" s="47"/>
      <c r="P1138" s="47"/>
      <c r="Q1138" s="47"/>
      <c r="R1138" s="47"/>
      <c r="S1138" s="47"/>
      <c r="T1138" s="47"/>
      <c r="U1138" s="47"/>
      <c r="V1138" s="47"/>
      <c r="W1138" s="47"/>
      <c r="X1138" s="47"/>
      <c r="Y1138" s="47"/>
      <c r="Z1138" s="47"/>
      <c r="AA1138" s="47"/>
      <c r="AB1138" s="47"/>
      <c r="AC1138" s="47"/>
    </row>
    <row r="1139" hidden="1">
      <c r="A1139" s="6" t="s">
        <v>307</v>
      </c>
      <c r="B1139" s="16" t="s">
        <v>1142</v>
      </c>
      <c r="C1139" s="16" t="s">
        <v>1143</v>
      </c>
      <c r="D1139" s="16" t="s">
        <v>1144</v>
      </c>
      <c r="E1139" s="81">
        <v>7.0</v>
      </c>
      <c r="F1139" s="90">
        <v>3.0</v>
      </c>
      <c r="G1139" s="12"/>
      <c r="H1139" s="12">
        <f t="shared" si="18"/>
        <v>2500</v>
      </c>
      <c r="I1139" s="12" t="str">
        <f t="shared" si="2"/>
        <v>7 Complete Medical Records, 3 Patient Portal Logins</v>
      </c>
      <c r="J1139" s="47"/>
      <c r="K1139" s="47"/>
      <c r="L1139" s="47"/>
      <c r="M1139" s="47"/>
      <c r="N1139" s="47"/>
      <c r="O1139" s="47"/>
      <c r="P1139" s="47"/>
      <c r="Q1139" s="47"/>
      <c r="R1139" s="47"/>
      <c r="S1139" s="47"/>
      <c r="T1139" s="47"/>
      <c r="U1139" s="47"/>
      <c r="V1139" s="47"/>
      <c r="W1139" s="47"/>
      <c r="X1139" s="47"/>
      <c r="Y1139" s="47"/>
      <c r="Z1139" s="47"/>
      <c r="AA1139" s="47"/>
      <c r="AB1139" s="47"/>
      <c r="AC1139" s="47"/>
    </row>
    <row r="1140" hidden="1">
      <c r="A1140" s="6" t="s">
        <v>307</v>
      </c>
      <c r="B1140" s="16" t="s">
        <v>1145</v>
      </c>
      <c r="C1140" s="16" t="s">
        <v>1146</v>
      </c>
      <c r="D1140" s="16" t="s">
        <v>1147</v>
      </c>
      <c r="E1140" s="81">
        <v>2.0</v>
      </c>
      <c r="F1140" s="90">
        <v>9.0</v>
      </c>
      <c r="G1140" s="12"/>
      <c r="H1140" s="12">
        <f t="shared" si="18"/>
        <v>2750</v>
      </c>
      <c r="I1140" s="12" t="str">
        <f t="shared" si="2"/>
        <v>2 Complete Medical Records, 9 Patient Portal Logins</v>
      </c>
      <c r="J1140" s="47"/>
      <c r="K1140" s="47"/>
      <c r="L1140" s="47"/>
      <c r="M1140" s="47"/>
      <c r="N1140" s="47"/>
      <c r="O1140" s="47"/>
      <c r="P1140" s="47"/>
      <c r="Q1140" s="47"/>
      <c r="R1140" s="47"/>
      <c r="S1140" s="47"/>
      <c r="T1140" s="47"/>
      <c r="U1140" s="47"/>
      <c r="V1140" s="47"/>
      <c r="W1140" s="47"/>
      <c r="X1140" s="47"/>
      <c r="Y1140" s="47"/>
      <c r="Z1140" s="47"/>
      <c r="AA1140" s="47"/>
      <c r="AB1140" s="47"/>
      <c r="AC1140" s="47"/>
    </row>
    <row r="1141" hidden="1">
      <c r="A1141" s="6" t="s">
        <v>307</v>
      </c>
      <c r="B1141" s="16" t="s">
        <v>1148</v>
      </c>
      <c r="C1141" s="16" t="s">
        <v>1149</v>
      </c>
      <c r="D1141" s="16" t="s">
        <v>1150</v>
      </c>
      <c r="E1141" s="81">
        <v>6.0</v>
      </c>
      <c r="F1141" s="90">
        <v>12.0</v>
      </c>
      <c r="G1141" s="12"/>
      <c r="H1141" s="12">
        <f t="shared" si="18"/>
        <v>4500</v>
      </c>
      <c r="I1141" s="12" t="str">
        <f t="shared" si="2"/>
        <v>6 Complete Medical Records, 12 Patient Portal Logins</v>
      </c>
      <c r="J1141" s="47"/>
      <c r="K1141" s="47"/>
      <c r="L1141" s="47"/>
      <c r="M1141" s="47"/>
      <c r="N1141" s="47"/>
      <c r="O1141" s="47"/>
      <c r="P1141" s="47"/>
      <c r="Q1141" s="47"/>
      <c r="R1141" s="47"/>
      <c r="S1141" s="47"/>
      <c r="T1141" s="47"/>
      <c r="U1141" s="47"/>
      <c r="V1141" s="47"/>
      <c r="W1141" s="47"/>
      <c r="X1141" s="47"/>
      <c r="Y1141" s="47"/>
      <c r="Z1141" s="47"/>
      <c r="AA1141" s="47"/>
      <c r="AB1141" s="47"/>
      <c r="AC1141" s="47"/>
    </row>
    <row r="1142" hidden="1">
      <c r="A1142" s="6" t="s">
        <v>307</v>
      </c>
      <c r="B1142" s="16" t="s">
        <v>1151</v>
      </c>
      <c r="C1142" s="16" t="s">
        <v>1152</v>
      </c>
      <c r="D1142" s="16" t="s">
        <v>1153</v>
      </c>
      <c r="E1142" s="81">
        <v>5.0</v>
      </c>
      <c r="F1142" s="90">
        <v>10.0</v>
      </c>
      <c r="G1142" s="12"/>
      <c r="H1142" s="12">
        <f t="shared" si="18"/>
        <v>3750</v>
      </c>
      <c r="I1142" s="12" t="str">
        <f t="shared" si="2"/>
        <v>5 Complete Medical Records, 10 Patient Portal Logins</v>
      </c>
      <c r="J1142" s="47"/>
      <c r="K1142" s="47"/>
      <c r="L1142" s="47"/>
      <c r="M1142" s="47"/>
      <c r="N1142" s="47"/>
      <c r="O1142" s="47"/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7"/>
      <c r="AB1142" s="47"/>
      <c r="AC1142" s="47"/>
    </row>
    <row r="1143" hidden="1">
      <c r="A1143" s="6" t="s">
        <v>307</v>
      </c>
      <c r="B1143" s="16" t="s">
        <v>1154</v>
      </c>
      <c r="C1143" s="16" t="s">
        <v>1155</v>
      </c>
      <c r="D1143" s="16" t="s">
        <v>1156</v>
      </c>
      <c r="E1143" s="81">
        <v>2.0</v>
      </c>
      <c r="F1143" s="90">
        <v>17.0</v>
      </c>
      <c r="G1143" s="12"/>
      <c r="H1143" s="12">
        <f t="shared" si="18"/>
        <v>4750</v>
      </c>
      <c r="I1143" s="12" t="str">
        <f t="shared" si="2"/>
        <v>2 Complete Medical Records, 17 Patient Portal Logins</v>
      </c>
      <c r="J1143" s="47"/>
      <c r="K1143" s="47"/>
      <c r="L1143" s="47"/>
      <c r="M1143" s="47"/>
      <c r="N1143" s="47"/>
      <c r="O1143" s="47"/>
      <c r="P1143" s="47"/>
      <c r="Q1143" s="47"/>
      <c r="R1143" s="47"/>
      <c r="S1143" s="47"/>
      <c r="T1143" s="47"/>
      <c r="U1143" s="47"/>
      <c r="V1143" s="47"/>
      <c r="W1143" s="47"/>
      <c r="X1143" s="47"/>
      <c r="Y1143" s="47"/>
      <c r="Z1143" s="47"/>
      <c r="AA1143" s="47"/>
      <c r="AB1143" s="47"/>
      <c r="AC1143" s="47"/>
    </row>
    <row r="1144" hidden="1">
      <c r="A1144" s="6" t="s">
        <v>307</v>
      </c>
      <c r="B1144" s="61" t="s">
        <v>1158</v>
      </c>
      <c r="C1144" s="21" t="s">
        <v>1159</v>
      </c>
      <c r="D1144" s="21" t="s">
        <v>1160</v>
      </c>
      <c r="E1144" s="81">
        <v>2.0</v>
      </c>
      <c r="F1144" s="90">
        <v>11.0</v>
      </c>
      <c r="G1144" s="12"/>
      <c r="H1144" s="12">
        <f t="shared" si="18"/>
        <v>3250</v>
      </c>
      <c r="I1144" s="12" t="str">
        <f t="shared" si="2"/>
        <v>2 Complete Medical Records, 11 Patient Portal Logins</v>
      </c>
      <c r="J1144" s="53"/>
      <c r="K1144" s="53"/>
      <c r="L1144" s="53"/>
      <c r="M1144" s="47"/>
      <c r="N1144" s="53"/>
      <c r="O1144" s="53"/>
      <c r="P1144" s="47"/>
      <c r="Q1144" s="47"/>
      <c r="R1144" s="47"/>
      <c r="S1144" s="47"/>
      <c r="T1144" s="47"/>
      <c r="U1144" s="47"/>
      <c r="V1144" s="47"/>
      <c r="W1144" s="47"/>
      <c r="X1144" s="47"/>
      <c r="Y1144" s="47"/>
      <c r="Z1144" s="47"/>
      <c r="AA1144" s="47"/>
      <c r="AB1144" s="47"/>
      <c r="AC1144" s="47"/>
    </row>
    <row r="1145" hidden="1">
      <c r="A1145" s="6" t="s">
        <v>307</v>
      </c>
      <c r="B1145" s="21" t="s">
        <v>1180</v>
      </c>
      <c r="C1145" s="21" t="s">
        <v>1181</v>
      </c>
      <c r="D1145" s="21" t="s">
        <v>1182</v>
      </c>
      <c r="E1145" s="81">
        <v>4.0</v>
      </c>
      <c r="F1145" s="90">
        <v>5.0</v>
      </c>
      <c r="G1145" s="12"/>
      <c r="H1145" s="12">
        <f t="shared" si="18"/>
        <v>2250</v>
      </c>
      <c r="I1145" s="12" t="str">
        <f t="shared" si="2"/>
        <v>4 Complete Medical Records, 5 Patient Portal Logins</v>
      </c>
      <c r="J1145" s="53"/>
      <c r="K1145" s="53"/>
      <c r="L1145" s="53"/>
      <c r="M1145" s="47"/>
      <c r="N1145" s="53"/>
      <c r="O1145" s="53"/>
      <c r="P1145" s="47"/>
      <c r="Q1145" s="47"/>
      <c r="R1145" s="47"/>
      <c r="S1145" s="47"/>
      <c r="T1145" s="47"/>
      <c r="U1145" s="47"/>
      <c r="V1145" s="47"/>
      <c r="W1145" s="47"/>
      <c r="X1145" s="47"/>
      <c r="Y1145" s="47"/>
      <c r="Z1145" s="47"/>
      <c r="AA1145" s="47"/>
      <c r="AB1145" s="47"/>
      <c r="AC1145" s="47"/>
    </row>
    <row r="1146" hidden="1">
      <c r="A1146" s="6" t="s">
        <v>307</v>
      </c>
      <c r="B1146" s="21" t="s">
        <v>1161</v>
      </c>
      <c r="C1146" s="21" t="s">
        <v>1162</v>
      </c>
      <c r="D1146" s="21" t="s">
        <v>1163</v>
      </c>
      <c r="E1146" s="81">
        <v>2.0</v>
      </c>
      <c r="F1146" s="90">
        <v>10.0</v>
      </c>
      <c r="G1146" s="12"/>
      <c r="H1146" s="12">
        <f t="shared" si="18"/>
        <v>3000</v>
      </c>
      <c r="I1146" s="12" t="str">
        <f t="shared" si="2"/>
        <v>2 Complete Medical Records, 10 Patient Portal Logins</v>
      </c>
      <c r="J1146" s="53"/>
      <c r="K1146" s="53"/>
      <c r="L1146" s="53"/>
      <c r="M1146" s="47"/>
      <c r="N1146" s="53"/>
      <c r="O1146" s="53"/>
      <c r="P1146" s="47"/>
      <c r="Q1146" s="47"/>
      <c r="R1146" s="47"/>
      <c r="S1146" s="47"/>
      <c r="T1146" s="47"/>
      <c r="U1146" s="47"/>
      <c r="V1146" s="47"/>
      <c r="W1146" s="47"/>
      <c r="X1146" s="47"/>
      <c r="Y1146" s="47"/>
      <c r="Z1146" s="47"/>
      <c r="AA1146" s="47"/>
      <c r="AB1146" s="47"/>
      <c r="AC1146" s="47"/>
    </row>
    <row r="1147" hidden="1">
      <c r="A1147" s="54" t="s">
        <v>308</v>
      </c>
      <c r="B1147" s="16" t="s">
        <v>1164</v>
      </c>
      <c r="C1147" s="16" t="s">
        <v>1165</v>
      </c>
      <c r="D1147" s="16" t="s">
        <v>1166</v>
      </c>
      <c r="E1147" s="81">
        <v>0.0</v>
      </c>
      <c r="F1147" s="12"/>
      <c r="G1147" s="12"/>
      <c r="H1147" s="12">
        <f t="shared" si="18"/>
        <v>0</v>
      </c>
      <c r="I1147" s="12" t="str">
        <f t="shared" si="2"/>
        <v>0 Complete Medical Records,  Patient Portal Logins</v>
      </c>
      <c r="J1147" s="47"/>
      <c r="K1147" s="47"/>
      <c r="L1147" s="47"/>
      <c r="M1147" s="47"/>
      <c r="N1147" s="47"/>
      <c r="O1147" s="47"/>
      <c r="P1147" s="47"/>
      <c r="Q1147" s="47"/>
      <c r="R1147" s="47"/>
      <c r="S1147" s="47"/>
      <c r="T1147" s="47"/>
      <c r="U1147" s="47"/>
      <c r="V1147" s="47"/>
      <c r="W1147" s="47"/>
      <c r="X1147" s="47"/>
      <c r="Y1147" s="47"/>
      <c r="Z1147" s="47"/>
      <c r="AA1147" s="47"/>
      <c r="AB1147" s="47"/>
      <c r="AC1147" s="47"/>
    </row>
    <row r="1148" hidden="1">
      <c r="A1148" s="54" t="s">
        <v>308</v>
      </c>
      <c r="B1148" s="16" t="s">
        <v>1136</v>
      </c>
      <c r="C1148" s="16" t="s">
        <v>1137</v>
      </c>
      <c r="D1148" s="16" t="s">
        <v>1138</v>
      </c>
      <c r="E1148" s="81">
        <v>6.0</v>
      </c>
      <c r="F1148" s="12"/>
      <c r="G1148" s="12"/>
      <c r="H1148" s="12">
        <f t="shared" si="18"/>
        <v>1500</v>
      </c>
      <c r="I1148" s="12" t="str">
        <f t="shared" si="2"/>
        <v>6 Complete Medical Records,  Patient Portal Logins</v>
      </c>
      <c r="J1148" s="47"/>
      <c r="K1148" s="47"/>
      <c r="L1148" s="47"/>
      <c r="M1148" s="47"/>
      <c r="N1148" s="47"/>
      <c r="O1148" s="47"/>
      <c r="P1148" s="47"/>
      <c r="Q1148" s="47"/>
      <c r="R1148" s="47"/>
      <c r="S1148" s="47"/>
      <c r="T1148" s="47"/>
      <c r="U1148" s="47"/>
      <c r="V1148" s="47"/>
      <c r="W1148" s="47"/>
      <c r="X1148" s="47"/>
      <c r="Y1148" s="47"/>
      <c r="Z1148" s="47"/>
      <c r="AA1148" s="47"/>
      <c r="AB1148" s="47"/>
      <c r="AC1148" s="47"/>
    </row>
    <row r="1149" hidden="1">
      <c r="A1149" s="54" t="s">
        <v>308</v>
      </c>
      <c r="B1149" s="16" t="s">
        <v>1139</v>
      </c>
      <c r="C1149" s="16" t="s">
        <v>1140</v>
      </c>
      <c r="D1149" s="16" t="s">
        <v>1141</v>
      </c>
      <c r="E1149" s="81">
        <v>6.0</v>
      </c>
      <c r="F1149" s="12"/>
      <c r="G1149" s="12"/>
      <c r="H1149" s="12">
        <f t="shared" si="18"/>
        <v>1500</v>
      </c>
      <c r="I1149" s="12" t="str">
        <f t="shared" si="2"/>
        <v>6 Complete Medical Records,  Patient Portal Logins</v>
      </c>
      <c r="J1149" s="47"/>
      <c r="K1149" s="47"/>
      <c r="L1149" s="47"/>
      <c r="M1149" s="47"/>
      <c r="N1149" s="47"/>
      <c r="O1149" s="47"/>
      <c r="P1149" s="47"/>
      <c r="Q1149" s="47"/>
      <c r="R1149" s="47"/>
      <c r="S1149" s="47"/>
      <c r="T1149" s="47"/>
      <c r="U1149" s="47"/>
      <c r="V1149" s="47"/>
      <c r="W1149" s="47"/>
      <c r="X1149" s="47"/>
      <c r="Y1149" s="47"/>
      <c r="Z1149" s="47"/>
      <c r="AA1149" s="47"/>
      <c r="AB1149" s="47"/>
      <c r="AC1149" s="47"/>
    </row>
    <row r="1150" hidden="1">
      <c r="A1150" s="54" t="s">
        <v>308</v>
      </c>
      <c r="B1150" s="16" t="s">
        <v>1142</v>
      </c>
      <c r="C1150" s="16" t="s">
        <v>1143</v>
      </c>
      <c r="D1150" s="16" t="s">
        <v>1144</v>
      </c>
      <c r="E1150" s="81">
        <v>5.0</v>
      </c>
      <c r="F1150" s="12"/>
      <c r="G1150" s="12"/>
      <c r="H1150" s="12">
        <f t="shared" si="18"/>
        <v>1250</v>
      </c>
      <c r="I1150" s="12" t="str">
        <f t="shared" si="2"/>
        <v>5 Complete Medical Records,  Patient Portal Logins</v>
      </c>
      <c r="J1150" s="47"/>
      <c r="K1150" s="47"/>
      <c r="L1150" s="47"/>
      <c r="M1150" s="47"/>
      <c r="N1150" s="47"/>
      <c r="O1150" s="47"/>
      <c r="P1150" s="47"/>
      <c r="Q1150" s="47"/>
      <c r="R1150" s="47"/>
      <c r="S1150" s="47"/>
      <c r="T1150" s="47"/>
      <c r="U1150" s="47"/>
      <c r="V1150" s="47"/>
      <c r="W1150" s="47"/>
      <c r="X1150" s="47"/>
      <c r="Y1150" s="47"/>
      <c r="Z1150" s="47"/>
      <c r="AA1150" s="47"/>
      <c r="AB1150" s="47"/>
      <c r="AC1150" s="47"/>
    </row>
    <row r="1151" hidden="1">
      <c r="A1151" s="54" t="s">
        <v>308</v>
      </c>
      <c r="B1151" s="16" t="s">
        <v>1145</v>
      </c>
      <c r="C1151" s="16" t="s">
        <v>1146</v>
      </c>
      <c r="D1151" s="16" t="s">
        <v>1147</v>
      </c>
      <c r="E1151" s="81">
        <v>2.0</v>
      </c>
      <c r="F1151" s="12"/>
      <c r="G1151" s="12"/>
      <c r="H1151" s="12">
        <f t="shared" si="18"/>
        <v>500</v>
      </c>
      <c r="I1151" s="12" t="str">
        <f t="shared" si="2"/>
        <v>2 Complete Medical Records,  Patient Portal Logins</v>
      </c>
      <c r="J1151" s="47"/>
      <c r="K1151" s="47"/>
      <c r="L1151" s="47"/>
      <c r="M1151" s="47"/>
      <c r="N1151" s="47"/>
      <c r="O1151" s="47"/>
      <c r="P1151" s="47"/>
      <c r="Q1151" s="47"/>
      <c r="R1151" s="47"/>
      <c r="S1151" s="47"/>
      <c r="T1151" s="47"/>
      <c r="U1151" s="47"/>
      <c r="V1151" s="47"/>
      <c r="W1151" s="47"/>
      <c r="X1151" s="47"/>
      <c r="Y1151" s="47"/>
      <c r="Z1151" s="47"/>
      <c r="AA1151" s="47"/>
      <c r="AB1151" s="47"/>
      <c r="AC1151" s="47"/>
    </row>
    <row r="1152" hidden="1">
      <c r="A1152" s="54" t="s">
        <v>308</v>
      </c>
      <c r="B1152" s="16" t="s">
        <v>1148</v>
      </c>
      <c r="C1152" s="16" t="s">
        <v>1149</v>
      </c>
      <c r="D1152" s="16" t="s">
        <v>1150</v>
      </c>
      <c r="E1152" s="81">
        <v>3.0</v>
      </c>
      <c r="F1152" s="12"/>
      <c r="G1152" s="12"/>
      <c r="H1152" s="12">
        <f t="shared" si="18"/>
        <v>750</v>
      </c>
      <c r="I1152" s="12" t="str">
        <f t="shared" si="2"/>
        <v>3 Complete Medical Records,  Patient Portal Logins</v>
      </c>
      <c r="J1152" s="47"/>
      <c r="K1152" s="47"/>
      <c r="L1152" s="47"/>
      <c r="M1152" s="47"/>
      <c r="N1152" s="47"/>
      <c r="O1152" s="47"/>
      <c r="P1152" s="47"/>
      <c r="Q1152" s="47"/>
      <c r="R1152" s="47"/>
      <c r="S1152" s="47"/>
      <c r="T1152" s="47"/>
      <c r="U1152" s="47"/>
      <c r="V1152" s="47"/>
      <c r="W1152" s="47"/>
      <c r="X1152" s="47"/>
      <c r="Y1152" s="47"/>
      <c r="Z1152" s="47"/>
      <c r="AA1152" s="47"/>
      <c r="AB1152" s="47"/>
      <c r="AC1152" s="47"/>
    </row>
    <row r="1153" hidden="1">
      <c r="A1153" s="54" t="s">
        <v>308</v>
      </c>
      <c r="B1153" s="16" t="s">
        <v>1151</v>
      </c>
      <c r="C1153" s="16" t="s">
        <v>1152</v>
      </c>
      <c r="D1153" s="16" t="s">
        <v>1153</v>
      </c>
      <c r="E1153" s="81">
        <v>2.0</v>
      </c>
      <c r="F1153" s="12"/>
      <c r="G1153" s="12"/>
      <c r="H1153" s="12">
        <f t="shared" si="18"/>
        <v>500</v>
      </c>
      <c r="I1153" s="12" t="str">
        <f t="shared" si="2"/>
        <v>2 Complete Medical Records,  Patient Portal Logins</v>
      </c>
      <c r="J1153" s="47"/>
      <c r="K1153" s="47"/>
      <c r="L1153" s="47"/>
      <c r="M1153" s="47"/>
      <c r="N1153" s="47"/>
      <c r="O1153" s="47"/>
      <c r="P1153" s="47"/>
      <c r="Q1153" s="47"/>
      <c r="R1153" s="47"/>
      <c r="S1153" s="47"/>
      <c r="T1153" s="47"/>
      <c r="U1153" s="47"/>
      <c r="V1153" s="47"/>
      <c r="W1153" s="47"/>
      <c r="X1153" s="47"/>
      <c r="Y1153" s="47"/>
      <c r="Z1153" s="47"/>
      <c r="AA1153" s="47"/>
      <c r="AB1153" s="47"/>
      <c r="AC1153" s="47"/>
    </row>
    <row r="1154" hidden="1">
      <c r="A1154" s="54" t="s">
        <v>308</v>
      </c>
      <c r="B1154" s="16" t="s">
        <v>1154</v>
      </c>
      <c r="C1154" s="16" t="s">
        <v>1155</v>
      </c>
      <c r="D1154" s="16" t="s">
        <v>1156</v>
      </c>
      <c r="E1154" s="81">
        <v>6.0</v>
      </c>
      <c r="F1154" s="12"/>
      <c r="G1154" s="12"/>
      <c r="H1154" s="12">
        <f t="shared" si="18"/>
        <v>1500</v>
      </c>
      <c r="I1154" s="12" t="str">
        <f t="shared" si="2"/>
        <v>6 Complete Medical Records,  Patient Portal Logins</v>
      </c>
      <c r="J1154" s="47"/>
      <c r="K1154" s="47"/>
      <c r="L1154" s="47"/>
      <c r="M1154" s="47"/>
      <c r="N1154" s="47"/>
      <c r="O1154" s="47"/>
      <c r="P1154" s="47"/>
      <c r="Q1154" s="47"/>
      <c r="R1154" s="47"/>
      <c r="S1154" s="47"/>
      <c r="T1154" s="47"/>
      <c r="U1154" s="47"/>
      <c r="V1154" s="47"/>
      <c r="W1154" s="47"/>
      <c r="X1154" s="47"/>
      <c r="Y1154" s="47"/>
      <c r="Z1154" s="47"/>
      <c r="AA1154" s="47"/>
      <c r="AB1154" s="47"/>
      <c r="AC1154" s="47"/>
    </row>
    <row r="1155" hidden="1">
      <c r="A1155" s="54" t="s">
        <v>308</v>
      </c>
      <c r="B1155" s="61" t="s">
        <v>1158</v>
      </c>
      <c r="C1155" s="21" t="s">
        <v>1159</v>
      </c>
      <c r="D1155" s="21" t="s">
        <v>1160</v>
      </c>
      <c r="E1155" s="81">
        <v>5.0</v>
      </c>
      <c r="F1155" s="12"/>
      <c r="G1155" s="12"/>
      <c r="H1155" s="12">
        <f t="shared" si="18"/>
        <v>1250</v>
      </c>
      <c r="I1155" s="12" t="str">
        <f t="shared" si="2"/>
        <v>5 Complete Medical Records,  Patient Portal Logins</v>
      </c>
      <c r="J1155" s="53"/>
      <c r="K1155" s="53"/>
      <c r="L1155" s="53"/>
      <c r="M1155" s="47"/>
      <c r="N1155" s="53"/>
      <c r="O1155" s="53"/>
      <c r="P1155" s="47"/>
      <c r="Q1155" s="47"/>
      <c r="R1155" s="47"/>
      <c r="S1155" s="47"/>
      <c r="T1155" s="47"/>
      <c r="U1155" s="47"/>
      <c r="V1155" s="47"/>
      <c r="W1155" s="47"/>
      <c r="X1155" s="47"/>
      <c r="Y1155" s="47"/>
      <c r="Z1155" s="47"/>
      <c r="AA1155" s="47"/>
      <c r="AB1155" s="47"/>
      <c r="AC1155" s="47"/>
    </row>
    <row r="1156" hidden="1">
      <c r="A1156" s="54" t="s">
        <v>308</v>
      </c>
      <c r="B1156" s="21" t="s">
        <v>1180</v>
      </c>
      <c r="C1156" s="21" t="s">
        <v>1181</v>
      </c>
      <c r="D1156" s="21" t="s">
        <v>1182</v>
      </c>
      <c r="E1156" s="81">
        <v>3.0</v>
      </c>
      <c r="F1156" s="12"/>
      <c r="G1156" s="12"/>
      <c r="H1156" s="12">
        <f t="shared" si="18"/>
        <v>750</v>
      </c>
      <c r="I1156" s="12" t="str">
        <f t="shared" si="2"/>
        <v>3 Complete Medical Records,  Patient Portal Logins</v>
      </c>
      <c r="J1156" s="53"/>
      <c r="K1156" s="53"/>
      <c r="L1156" s="53"/>
      <c r="M1156" s="47"/>
      <c r="N1156" s="53"/>
      <c r="O1156" s="53"/>
      <c r="P1156" s="47"/>
      <c r="Q1156" s="47"/>
      <c r="R1156" s="47"/>
      <c r="S1156" s="47"/>
      <c r="T1156" s="47"/>
      <c r="U1156" s="47"/>
      <c r="V1156" s="47"/>
      <c r="W1156" s="47"/>
      <c r="X1156" s="47"/>
      <c r="Y1156" s="47"/>
      <c r="Z1156" s="47"/>
      <c r="AA1156" s="47"/>
      <c r="AB1156" s="47"/>
      <c r="AC1156" s="47"/>
    </row>
    <row r="1157" hidden="1">
      <c r="A1157" s="54" t="s">
        <v>308</v>
      </c>
      <c r="B1157" s="21" t="s">
        <v>1161</v>
      </c>
      <c r="C1157" s="21" t="s">
        <v>1162</v>
      </c>
      <c r="D1157" s="21" t="s">
        <v>1163</v>
      </c>
      <c r="E1157" s="81">
        <v>4.0</v>
      </c>
      <c r="F1157" s="12"/>
      <c r="G1157" s="12"/>
      <c r="H1157" s="12">
        <f t="shared" si="18"/>
        <v>1000</v>
      </c>
      <c r="I1157" s="12" t="str">
        <f t="shared" si="2"/>
        <v>4 Complete Medical Records,  Patient Portal Logins</v>
      </c>
      <c r="J1157" s="53"/>
      <c r="K1157" s="53"/>
      <c r="L1157" s="53"/>
      <c r="M1157" s="47"/>
      <c r="N1157" s="53"/>
      <c r="O1157" s="53"/>
      <c r="P1157" s="47"/>
      <c r="Q1157" s="47"/>
      <c r="R1157" s="47"/>
      <c r="S1157" s="47"/>
      <c r="T1157" s="47"/>
      <c r="U1157" s="47"/>
      <c r="V1157" s="47"/>
      <c r="W1157" s="47"/>
      <c r="X1157" s="47"/>
      <c r="Y1157" s="47"/>
      <c r="Z1157" s="47"/>
      <c r="AA1157" s="47"/>
      <c r="AB1157" s="47"/>
      <c r="AC1157" s="47"/>
    </row>
    <row r="1158" hidden="1">
      <c r="A1158" s="88" t="s">
        <v>309</v>
      </c>
      <c r="B1158" s="92" t="s">
        <v>1164</v>
      </c>
      <c r="C1158" s="92" t="s">
        <v>1165</v>
      </c>
      <c r="D1158" s="92" t="s">
        <v>1166</v>
      </c>
      <c r="E1158" s="80">
        <v>0.0</v>
      </c>
      <c r="F1158" s="32"/>
      <c r="G1158" s="32"/>
      <c r="H1158" s="32">
        <f t="shared" ref="H1158:H1165" si="19">E1158*250</f>
        <v>0</v>
      </c>
      <c r="I1158" s="32" t="str">
        <f t="shared" ref="I1158:I1179" si="20">E1158&amp;" Complete Medical Records"</f>
        <v>0 Complete Medical Records</v>
      </c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</row>
    <row r="1159" hidden="1">
      <c r="A1159" s="88" t="s">
        <v>309</v>
      </c>
      <c r="B1159" s="92" t="s">
        <v>1136</v>
      </c>
      <c r="C1159" s="92" t="s">
        <v>1137</v>
      </c>
      <c r="D1159" s="92" t="s">
        <v>1138</v>
      </c>
      <c r="E1159" s="80">
        <v>4.0</v>
      </c>
      <c r="F1159" s="32"/>
      <c r="G1159" s="32"/>
      <c r="H1159" s="32">
        <f t="shared" si="19"/>
        <v>1000</v>
      </c>
      <c r="I1159" s="32" t="str">
        <f t="shared" si="20"/>
        <v>4 Complete Medical Records</v>
      </c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</row>
    <row r="1160" hidden="1">
      <c r="A1160" s="88" t="s">
        <v>309</v>
      </c>
      <c r="B1160" s="92" t="s">
        <v>1139</v>
      </c>
      <c r="C1160" s="92" t="s">
        <v>1140</v>
      </c>
      <c r="D1160" s="92" t="s">
        <v>1141</v>
      </c>
      <c r="E1160" s="80">
        <v>2.0</v>
      </c>
      <c r="F1160" s="32"/>
      <c r="G1160" s="32"/>
      <c r="H1160" s="32">
        <f t="shared" si="19"/>
        <v>500</v>
      </c>
      <c r="I1160" s="32" t="str">
        <f t="shared" si="20"/>
        <v>2 Complete Medical Records</v>
      </c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</row>
    <row r="1161" hidden="1">
      <c r="A1161" s="88" t="s">
        <v>309</v>
      </c>
      <c r="B1161" s="92" t="s">
        <v>1142</v>
      </c>
      <c r="C1161" s="92" t="s">
        <v>1143</v>
      </c>
      <c r="D1161" s="92" t="s">
        <v>1144</v>
      </c>
      <c r="E1161" s="80">
        <v>1.0</v>
      </c>
      <c r="F1161" s="32"/>
      <c r="G1161" s="32"/>
      <c r="H1161" s="32">
        <f t="shared" si="19"/>
        <v>250</v>
      </c>
      <c r="I1161" s="32" t="str">
        <f t="shared" si="20"/>
        <v>1 Complete Medical Records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</row>
    <row r="1162" hidden="1">
      <c r="A1162" s="88" t="s">
        <v>309</v>
      </c>
      <c r="B1162" s="92" t="s">
        <v>1145</v>
      </c>
      <c r="C1162" s="92" t="s">
        <v>1146</v>
      </c>
      <c r="D1162" s="92" t="s">
        <v>1147</v>
      </c>
      <c r="E1162" s="80">
        <v>1.0</v>
      </c>
      <c r="F1162" s="32"/>
      <c r="G1162" s="32"/>
      <c r="H1162" s="32">
        <f t="shared" si="19"/>
        <v>250</v>
      </c>
      <c r="I1162" s="32" t="str">
        <f t="shared" si="20"/>
        <v>1 Complete Medical Records</v>
      </c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</row>
    <row r="1163" hidden="1">
      <c r="A1163" s="88" t="s">
        <v>309</v>
      </c>
      <c r="B1163" s="92" t="s">
        <v>1148</v>
      </c>
      <c r="C1163" s="92" t="s">
        <v>1149</v>
      </c>
      <c r="D1163" s="92" t="s">
        <v>1150</v>
      </c>
      <c r="E1163" s="80">
        <v>3.0</v>
      </c>
      <c r="F1163" s="32"/>
      <c r="G1163" s="32"/>
      <c r="H1163" s="32">
        <f t="shared" si="19"/>
        <v>750</v>
      </c>
      <c r="I1163" s="32" t="str">
        <f t="shared" si="20"/>
        <v>3 Complete Medical Records</v>
      </c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</row>
    <row r="1164" hidden="1">
      <c r="A1164" s="88" t="s">
        <v>309</v>
      </c>
      <c r="B1164" s="92" t="s">
        <v>1151</v>
      </c>
      <c r="C1164" s="92" t="s">
        <v>1152</v>
      </c>
      <c r="D1164" s="92" t="s">
        <v>1153</v>
      </c>
      <c r="E1164" s="80">
        <v>4.0</v>
      </c>
      <c r="F1164" s="32"/>
      <c r="G1164" s="32"/>
      <c r="H1164" s="32">
        <f t="shared" si="19"/>
        <v>1000</v>
      </c>
      <c r="I1164" s="32" t="str">
        <f t="shared" si="20"/>
        <v>4 Complete Medical Records</v>
      </c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</row>
    <row r="1165" hidden="1">
      <c r="A1165" s="88" t="s">
        <v>309</v>
      </c>
      <c r="B1165" s="92" t="s">
        <v>1154</v>
      </c>
      <c r="C1165" s="92" t="s">
        <v>1155</v>
      </c>
      <c r="D1165" s="92" t="s">
        <v>1156</v>
      </c>
      <c r="E1165" s="80">
        <v>3.0</v>
      </c>
      <c r="F1165" s="32"/>
      <c r="G1165" s="32"/>
      <c r="H1165" s="32">
        <f t="shared" si="19"/>
        <v>750</v>
      </c>
      <c r="I1165" s="32" t="str">
        <f t="shared" si="20"/>
        <v>3 Complete Medical Records</v>
      </c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</row>
    <row r="1166" hidden="1">
      <c r="A1166" s="88" t="s">
        <v>309</v>
      </c>
      <c r="B1166" s="95" t="s">
        <v>1158</v>
      </c>
      <c r="C1166" s="94" t="s">
        <v>1159</v>
      </c>
      <c r="D1166" s="94" t="s">
        <v>1160</v>
      </c>
      <c r="E1166" s="80">
        <v>0.0</v>
      </c>
      <c r="F1166" s="32"/>
      <c r="G1166" s="32"/>
      <c r="H1166" s="32">
        <v>0.0</v>
      </c>
      <c r="I1166" s="32" t="str">
        <f t="shared" si="20"/>
        <v>0 Complete Medical Records</v>
      </c>
      <c r="J1166" s="23"/>
      <c r="K1166" s="23"/>
      <c r="L1166" s="23"/>
      <c r="M1166" s="14"/>
      <c r="N1166" s="23"/>
      <c r="O1166" s="23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</row>
    <row r="1167" hidden="1">
      <c r="A1167" s="88" t="s">
        <v>309</v>
      </c>
      <c r="B1167" s="94" t="s">
        <v>1180</v>
      </c>
      <c r="C1167" s="94" t="s">
        <v>1181</v>
      </c>
      <c r="D1167" s="94" t="s">
        <v>1182</v>
      </c>
      <c r="E1167" s="80">
        <v>0.0</v>
      </c>
      <c r="F1167" s="32"/>
      <c r="G1167" s="32"/>
      <c r="H1167" s="32">
        <f t="shared" ref="H1167:H1176" si="21">E1167*250</f>
        <v>0</v>
      </c>
      <c r="I1167" s="32" t="str">
        <f t="shared" si="20"/>
        <v>0 Complete Medical Records</v>
      </c>
      <c r="J1167" s="23"/>
      <c r="K1167" s="23"/>
      <c r="L1167" s="23"/>
      <c r="M1167" s="14"/>
      <c r="N1167" s="23"/>
      <c r="O1167" s="23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</row>
    <row r="1168" hidden="1">
      <c r="A1168" s="88" t="s">
        <v>309</v>
      </c>
      <c r="B1168" s="94" t="s">
        <v>1161</v>
      </c>
      <c r="C1168" s="94" t="s">
        <v>1162</v>
      </c>
      <c r="D1168" s="94" t="s">
        <v>1163</v>
      </c>
      <c r="E1168" s="80">
        <v>0.0</v>
      </c>
      <c r="F1168" s="32"/>
      <c r="G1168" s="32"/>
      <c r="H1168" s="32">
        <f t="shared" si="21"/>
        <v>0</v>
      </c>
      <c r="I1168" s="32" t="str">
        <f t="shared" si="20"/>
        <v>0 Complete Medical Records</v>
      </c>
      <c r="J1168" s="23"/>
      <c r="K1168" s="23"/>
      <c r="L1168" s="23"/>
      <c r="M1168" s="14"/>
      <c r="N1168" s="23"/>
      <c r="O1168" s="23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</row>
    <row r="1169" hidden="1">
      <c r="A1169" s="34" t="s">
        <v>310</v>
      </c>
      <c r="B1169" s="92" t="s">
        <v>1164</v>
      </c>
      <c r="C1169" s="91" t="s">
        <v>1165</v>
      </c>
      <c r="D1169" s="92" t="s">
        <v>1166</v>
      </c>
      <c r="E1169" s="80">
        <v>0.0</v>
      </c>
      <c r="F1169" s="32"/>
      <c r="G1169" s="32"/>
      <c r="H1169" s="32">
        <f t="shared" si="21"/>
        <v>0</v>
      </c>
      <c r="I1169" s="32" t="str">
        <f t="shared" si="20"/>
        <v>0 Complete Medical Records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</row>
    <row r="1170" hidden="1">
      <c r="A1170" s="34" t="s">
        <v>310</v>
      </c>
      <c r="B1170" s="92" t="s">
        <v>1136</v>
      </c>
      <c r="C1170" s="91" t="s">
        <v>1137</v>
      </c>
      <c r="D1170" s="92" t="s">
        <v>1138</v>
      </c>
      <c r="E1170" s="80">
        <v>2.0</v>
      </c>
      <c r="F1170" s="32"/>
      <c r="G1170" s="32"/>
      <c r="H1170" s="32">
        <f t="shared" si="21"/>
        <v>500</v>
      </c>
      <c r="I1170" s="32" t="str">
        <f t="shared" si="20"/>
        <v>2 Complete Medical Records</v>
      </c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</row>
    <row r="1171" hidden="1">
      <c r="A1171" s="34" t="s">
        <v>310</v>
      </c>
      <c r="B1171" s="92" t="s">
        <v>1139</v>
      </c>
      <c r="C1171" s="91" t="s">
        <v>1140</v>
      </c>
      <c r="D1171" s="92" t="s">
        <v>1141</v>
      </c>
      <c r="E1171" s="80">
        <v>6.0</v>
      </c>
      <c r="F1171" s="32"/>
      <c r="G1171" s="32"/>
      <c r="H1171" s="32">
        <f t="shared" si="21"/>
        <v>1500</v>
      </c>
      <c r="I1171" s="32" t="str">
        <f t="shared" si="20"/>
        <v>6 Complete Medical Records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</row>
    <row r="1172" hidden="1">
      <c r="A1172" s="34" t="s">
        <v>310</v>
      </c>
      <c r="B1172" s="92" t="s">
        <v>1142</v>
      </c>
      <c r="C1172" s="91" t="s">
        <v>1143</v>
      </c>
      <c r="D1172" s="92" t="s">
        <v>1144</v>
      </c>
      <c r="E1172" s="80">
        <v>4.0</v>
      </c>
      <c r="F1172" s="32"/>
      <c r="G1172" s="32"/>
      <c r="H1172" s="32">
        <f t="shared" si="21"/>
        <v>1000</v>
      </c>
      <c r="I1172" s="32" t="str">
        <f t="shared" si="20"/>
        <v>4 Complete Medical Records</v>
      </c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</row>
    <row r="1173" hidden="1">
      <c r="A1173" s="34" t="s">
        <v>310</v>
      </c>
      <c r="B1173" s="92" t="s">
        <v>1145</v>
      </c>
      <c r="C1173" s="91" t="s">
        <v>1146</v>
      </c>
      <c r="D1173" s="92" t="s">
        <v>1147</v>
      </c>
      <c r="E1173" s="80">
        <v>4.0</v>
      </c>
      <c r="F1173" s="32"/>
      <c r="G1173" s="32"/>
      <c r="H1173" s="32">
        <f t="shared" si="21"/>
        <v>1000</v>
      </c>
      <c r="I1173" s="32" t="str">
        <f t="shared" si="20"/>
        <v>4 Complete Medical Records</v>
      </c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</row>
    <row r="1174" hidden="1">
      <c r="A1174" s="34" t="s">
        <v>310</v>
      </c>
      <c r="B1174" s="92" t="s">
        <v>1148</v>
      </c>
      <c r="C1174" s="91" t="s">
        <v>1149</v>
      </c>
      <c r="D1174" s="92" t="s">
        <v>1150</v>
      </c>
      <c r="E1174" s="80">
        <v>4.0</v>
      </c>
      <c r="F1174" s="32"/>
      <c r="G1174" s="32"/>
      <c r="H1174" s="32">
        <f t="shared" si="21"/>
        <v>1000</v>
      </c>
      <c r="I1174" s="32" t="str">
        <f t="shared" si="20"/>
        <v>4 Complete Medical Records</v>
      </c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</row>
    <row r="1175" hidden="1">
      <c r="A1175" s="34" t="s">
        <v>310</v>
      </c>
      <c r="B1175" s="92" t="s">
        <v>1151</v>
      </c>
      <c r="C1175" s="91" t="s">
        <v>1152</v>
      </c>
      <c r="D1175" s="92" t="s">
        <v>1153</v>
      </c>
      <c r="E1175" s="80">
        <v>4.0</v>
      </c>
      <c r="F1175" s="32"/>
      <c r="G1175" s="32"/>
      <c r="H1175" s="32">
        <f t="shared" si="21"/>
        <v>1000</v>
      </c>
      <c r="I1175" s="32" t="str">
        <f t="shared" si="20"/>
        <v>4 Complete Medical Records</v>
      </c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</row>
    <row r="1176" hidden="1">
      <c r="A1176" s="34" t="s">
        <v>310</v>
      </c>
      <c r="B1176" s="92" t="s">
        <v>1154</v>
      </c>
      <c r="C1176" s="91" t="s">
        <v>1155</v>
      </c>
      <c r="D1176" s="92" t="s">
        <v>1156</v>
      </c>
      <c r="E1176" s="80">
        <v>6.0</v>
      </c>
      <c r="F1176" s="32"/>
      <c r="G1176" s="32"/>
      <c r="H1176" s="32">
        <f t="shared" si="21"/>
        <v>1500</v>
      </c>
      <c r="I1176" s="32" t="str">
        <f t="shared" si="20"/>
        <v>6 Complete Medical Records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</row>
    <row r="1177" hidden="1">
      <c r="A1177" s="34" t="s">
        <v>310</v>
      </c>
      <c r="B1177" s="95" t="s">
        <v>1158</v>
      </c>
      <c r="C1177" s="95" t="s">
        <v>1159</v>
      </c>
      <c r="D1177" s="94" t="s">
        <v>1160</v>
      </c>
      <c r="E1177" s="80">
        <v>0.0</v>
      </c>
      <c r="F1177" s="32"/>
      <c r="G1177" s="32"/>
      <c r="H1177" s="32">
        <v>0.0</v>
      </c>
      <c r="I1177" s="32" t="str">
        <f t="shared" si="20"/>
        <v>0 Complete Medical Records</v>
      </c>
      <c r="J1177" s="23"/>
      <c r="K1177" s="23"/>
      <c r="L1177" s="23"/>
      <c r="M1177" s="14"/>
      <c r="N1177" s="23"/>
      <c r="O1177" s="23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</row>
    <row r="1178" hidden="1">
      <c r="A1178" s="34" t="s">
        <v>310</v>
      </c>
      <c r="B1178" s="94" t="s">
        <v>1180</v>
      </c>
      <c r="C1178" s="95" t="s">
        <v>1181</v>
      </c>
      <c r="D1178" s="94" t="s">
        <v>1182</v>
      </c>
      <c r="E1178" s="80">
        <v>0.0</v>
      </c>
      <c r="F1178" s="32"/>
      <c r="G1178" s="32"/>
      <c r="H1178" s="32">
        <f t="shared" ref="H1178:H1187" si="22">E1178*250</f>
        <v>0</v>
      </c>
      <c r="I1178" s="32" t="str">
        <f t="shared" si="20"/>
        <v>0 Complete Medical Records</v>
      </c>
      <c r="J1178" s="23"/>
      <c r="K1178" s="23"/>
      <c r="L1178" s="23"/>
      <c r="M1178" s="14"/>
      <c r="N1178" s="23"/>
      <c r="O1178" s="23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</row>
    <row r="1179" hidden="1">
      <c r="A1179" s="34" t="s">
        <v>310</v>
      </c>
      <c r="B1179" s="94" t="s">
        <v>1161</v>
      </c>
      <c r="C1179" s="95" t="s">
        <v>1162</v>
      </c>
      <c r="D1179" s="94" t="s">
        <v>1163</v>
      </c>
      <c r="E1179" s="80">
        <v>2.0</v>
      </c>
      <c r="F1179" s="32"/>
      <c r="G1179" s="32"/>
      <c r="H1179" s="32">
        <f t="shared" si="22"/>
        <v>500</v>
      </c>
      <c r="I1179" s="32" t="str">
        <f t="shared" si="20"/>
        <v>2 Complete Medical Records</v>
      </c>
      <c r="J1179" s="23"/>
      <c r="K1179" s="23"/>
      <c r="L1179" s="23"/>
      <c r="M1179" s="14"/>
      <c r="N1179" s="23"/>
      <c r="O1179" s="23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</row>
    <row r="1180" hidden="1">
      <c r="A1180" s="34" t="s">
        <v>332</v>
      </c>
      <c r="B1180" s="92" t="s">
        <v>1164</v>
      </c>
      <c r="C1180" s="92"/>
      <c r="D1180" s="92" t="s">
        <v>1166</v>
      </c>
      <c r="E1180" s="80">
        <v>0.0</v>
      </c>
      <c r="F1180" s="32"/>
      <c r="G1180" s="32"/>
      <c r="H1180" s="32">
        <f t="shared" si="22"/>
        <v>0</v>
      </c>
      <c r="I1180" s="32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</row>
    <row r="1181" hidden="1">
      <c r="A1181" s="34" t="s">
        <v>332</v>
      </c>
      <c r="B1181" s="92" t="s">
        <v>1136</v>
      </c>
      <c r="C1181" s="92"/>
      <c r="D1181" s="92" t="s">
        <v>1138</v>
      </c>
      <c r="E1181" s="80">
        <v>4.0</v>
      </c>
      <c r="F1181" s="32"/>
      <c r="G1181" s="32"/>
      <c r="H1181" s="32">
        <f t="shared" si="22"/>
        <v>1000</v>
      </c>
      <c r="I1181" s="32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</row>
    <row r="1182" hidden="1">
      <c r="A1182" s="34" t="s">
        <v>332</v>
      </c>
      <c r="B1182" s="92" t="s">
        <v>1139</v>
      </c>
      <c r="C1182" s="92"/>
      <c r="D1182" s="92" t="s">
        <v>1141</v>
      </c>
      <c r="E1182" s="80">
        <v>4.0</v>
      </c>
      <c r="F1182" s="32"/>
      <c r="G1182" s="32"/>
      <c r="H1182" s="32">
        <f t="shared" si="22"/>
        <v>1000</v>
      </c>
      <c r="I1182" s="32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</row>
    <row r="1183" hidden="1">
      <c r="A1183" s="34" t="s">
        <v>332</v>
      </c>
      <c r="B1183" s="92" t="s">
        <v>1142</v>
      </c>
      <c r="C1183" s="92"/>
      <c r="D1183" s="92" t="s">
        <v>1144</v>
      </c>
      <c r="E1183" s="80">
        <v>5.0</v>
      </c>
      <c r="F1183" s="32"/>
      <c r="G1183" s="32"/>
      <c r="H1183" s="32">
        <f t="shared" si="22"/>
        <v>1250</v>
      </c>
      <c r="I1183" s="32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</row>
    <row r="1184" hidden="1">
      <c r="A1184" s="34" t="s">
        <v>332</v>
      </c>
      <c r="B1184" s="92" t="s">
        <v>1145</v>
      </c>
      <c r="C1184" s="92"/>
      <c r="D1184" s="92" t="s">
        <v>1147</v>
      </c>
      <c r="E1184" s="80">
        <v>2.0</v>
      </c>
      <c r="F1184" s="32"/>
      <c r="G1184" s="32"/>
      <c r="H1184" s="32">
        <f t="shared" si="22"/>
        <v>500</v>
      </c>
      <c r="I1184" s="32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</row>
    <row r="1185" hidden="1">
      <c r="A1185" s="34" t="s">
        <v>332</v>
      </c>
      <c r="B1185" s="92" t="s">
        <v>1148</v>
      </c>
      <c r="C1185" s="92"/>
      <c r="D1185" s="92" t="s">
        <v>1150</v>
      </c>
      <c r="E1185" s="80">
        <v>6.0</v>
      </c>
      <c r="F1185" s="32"/>
      <c r="G1185" s="32"/>
      <c r="H1185" s="32">
        <f t="shared" si="22"/>
        <v>1500</v>
      </c>
      <c r="I1185" s="32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</row>
    <row r="1186" hidden="1">
      <c r="A1186" s="34" t="s">
        <v>332</v>
      </c>
      <c r="B1186" s="92" t="s">
        <v>1151</v>
      </c>
      <c r="C1186" s="92"/>
      <c r="D1186" s="92" t="s">
        <v>1153</v>
      </c>
      <c r="E1186" s="80">
        <v>4.0</v>
      </c>
      <c r="F1186" s="32"/>
      <c r="G1186" s="32"/>
      <c r="H1186" s="32">
        <f t="shared" si="22"/>
        <v>1000</v>
      </c>
      <c r="I1186" s="32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</row>
    <row r="1187" hidden="1">
      <c r="A1187" s="34" t="s">
        <v>332</v>
      </c>
      <c r="B1187" s="92" t="s">
        <v>1154</v>
      </c>
      <c r="C1187" s="92"/>
      <c r="D1187" s="92" t="s">
        <v>1156</v>
      </c>
      <c r="E1187" s="80">
        <v>5.0</v>
      </c>
      <c r="F1187" s="32"/>
      <c r="G1187" s="32"/>
      <c r="H1187" s="32">
        <f t="shared" si="22"/>
        <v>1250</v>
      </c>
      <c r="I1187" s="32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</row>
    <row r="1188" hidden="1">
      <c r="A1188" s="34" t="s">
        <v>332</v>
      </c>
      <c r="B1188" s="95" t="s">
        <v>1158</v>
      </c>
      <c r="C1188" s="94"/>
      <c r="D1188" s="94" t="s">
        <v>1160</v>
      </c>
      <c r="E1188" s="80">
        <v>0.0</v>
      </c>
      <c r="F1188" s="32"/>
      <c r="G1188" s="32"/>
      <c r="H1188" s="32">
        <v>0.0</v>
      </c>
      <c r="I1188" s="32"/>
      <c r="J1188" s="23"/>
      <c r="K1188" s="23"/>
      <c r="L1188" s="23"/>
      <c r="M1188" s="14"/>
      <c r="N1188" s="23"/>
      <c r="O1188" s="23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</row>
    <row r="1189" hidden="1">
      <c r="A1189" s="34" t="s">
        <v>332</v>
      </c>
      <c r="B1189" s="94" t="s">
        <v>1180</v>
      </c>
      <c r="C1189" s="94"/>
      <c r="D1189" s="94" t="s">
        <v>1182</v>
      </c>
      <c r="E1189" s="80">
        <v>0.0</v>
      </c>
      <c r="F1189" s="32"/>
      <c r="G1189" s="32"/>
      <c r="H1189" s="32">
        <f t="shared" ref="H1189:H1198" si="23">E1189*250</f>
        <v>0</v>
      </c>
      <c r="I1189" s="32"/>
      <c r="J1189" s="23"/>
      <c r="K1189" s="23"/>
      <c r="L1189" s="23"/>
      <c r="M1189" s="14"/>
      <c r="N1189" s="23"/>
      <c r="O1189" s="23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</row>
    <row r="1190" hidden="1">
      <c r="A1190" s="34" t="s">
        <v>332</v>
      </c>
      <c r="B1190" s="94" t="s">
        <v>1161</v>
      </c>
      <c r="C1190" s="94"/>
      <c r="D1190" s="94" t="s">
        <v>1163</v>
      </c>
      <c r="E1190" s="80">
        <v>1.0</v>
      </c>
      <c r="F1190" s="32"/>
      <c r="G1190" s="32"/>
      <c r="H1190" s="32">
        <f t="shared" si="23"/>
        <v>250</v>
      </c>
      <c r="I1190" s="32"/>
      <c r="J1190" s="23"/>
      <c r="K1190" s="23"/>
      <c r="L1190" s="23"/>
      <c r="M1190" s="14"/>
      <c r="N1190" s="23"/>
      <c r="O1190" s="23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</row>
    <row r="1191" hidden="1">
      <c r="A1191" s="34" t="s">
        <v>336</v>
      </c>
      <c r="B1191" s="92" t="s">
        <v>1164</v>
      </c>
      <c r="C1191" s="92"/>
      <c r="D1191" s="92" t="s">
        <v>1166</v>
      </c>
      <c r="E1191" s="80">
        <v>0.0</v>
      </c>
      <c r="F1191" s="32"/>
      <c r="G1191" s="32"/>
      <c r="H1191" s="32">
        <f t="shared" si="23"/>
        <v>0</v>
      </c>
      <c r="I1191" s="32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</row>
    <row r="1192" hidden="1">
      <c r="A1192" s="34" t="s">
        <v>336</v>
      </c>
      <c r="B1192" s="92" t="s">
        <v>1136</v>
      </c>
      <c r="C1192" s="92"/>
      <c r="D1192" s="92" t="s">
        <v>1138</v>
      </c>
      <c r="E1192" s="80">
        <v>3.0</v>
      </c>
      <c r="F1192" s="32"/>
      <c r="G1192" s="32"/>
      <c r="H1192" s="32">
        <f t="shared" si="23"/>
        <v>750</v>
      </c>
      <c r="I1192" s="32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</row>
    <row r="1193" hidden="1">
      <c r="A1193" s="34" t="s">
        <v>336</v>
      </c>
      <c r="B1193" s="92" t="s">
        <v>1139</v>
      </c>
      <c r="C1193" s="92"/>
      <c r="D1193" s="92" t="s">
        <v>1141</v>
      </c>
      <c r="E1193" s="80">
        <v>4.0</v>
      </c>
      <c r="F1193" s="32"/>
      <c r="G1193" s="32"/>
      <c r="H1193" s="32">
        <f t="shared" si="23"/>
        <v>1000</v>
      </c>
      <c r="I1193" s="32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</row>
    <row r="1194" hidden="1">
      <c r="A1194" s="34" t="s">
        <v>336</v>
      </c>
      <c r="B1194" s="92" t="s">
        <v>1142</v>
      </c>
      <c r="C1194" s="92"/>
      <c r="D1194" s="92" t="s">
        <v>1144</v>
      </c>
      <c r="E1194" s="80">
        <v>5.0</v>
      </c>
      <c r="F1194" s="32"/>
      <c r="G1194" s="32"/>
      <c r="H1194" s="32">
        <f t="shared" si="23"/>
        <v>1250</v>
      </c>
      <c r="I1194" s="32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</row>
    <row r="1195" hidden="1">
      <c r="A1195" s="34" t="s">
        <v>336</v>
      </c>
      <c r="B1195" s="92" t="s">
        <v>1145</v>
      </c>
      <c r="C1195" s="92"/>
      <c r="D1195" s="92" t="s">
        <v>1147</v>
      </c>
      <c r="E1195" s="80">
        <v>5.0</v>
      </c>
      <c r="F1195" s="32"/>
      <c r="G1195" s="32"/>
      <c r="H1195" s="32">
        <f t="shared" si="23"/>
        <v>1250</v>
      </c>
      <c r="I1195" s="32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</row>
    <row r="1196" hidden="1">
      <c r="A1196" s="34" t="s">
        <v>336</v>
      </c>
      <c r="B1196" s="92" t="s">
        <v>1148</v>
      </c>
      <c r="C1196" s="92"/>
      <c r="D1196" s="92" t="s">
        <v>1150</v>
      </c>
      <c r="E1196" s="80">
        <v>3.0</v>
      </c>
      <c r="F1196" s="32"/>
      <c r="G1196" s="32"/>
      <c r="H1196" s="32">
        <f t="shared" si="23"/>
        <v>750</v>
      </c>
      <c r="I1196" s="32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</row>
    <row r="1197" hidden="1">
      <c r="A1197" s="34" t="s">
        <v>336</v>
      </c>
      <c r="B1197" s="92" t="s">
        <v>1151</v>
      </c>
      <c r="C1197" s="92"/>
      <c r="D1197" s="92" t="s">
        <v>1153</v>
      </c>
      <c r="E1197" s="80">
        <v>4.0</v>
      </c>
      <c r="F1197" s="32"/>
      <c r="G1197" s="32"/>
      <c r="H1197" s="32">
        <f t="shared" si="23"/>
        <v>1000</v>
      </c>
      <c r="I1197" s="32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</row>
    <row r="1198" hidden="1">
      <c r="A1198" s="34" t="s">
        <v>336</v>
      </c>
      <c r="B1198" s="92" t="s">
        <v>1154</v>
      </c>
      <c r="C1198" s="92"/>
      <c r="D1198" s="92" t="s">
        <v>1156</v>
      </c>
      <c r="E1198" s="80">
        <v>6.0</v>
      </c>
      <c r="F1198" s="32"/>
      <c r="G1198" s="32"/>
      <c r="H1198" s="32">
        <f t="shared" si="23"/>
        <v>1500</v>
      </c>
      <c r="I1198" s="32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</row>
    <row r="1199" hidden="1">
      <c r="A1199" s="34" t="s">
        <v>336</v>
      </c>
      <c r="B1199" s="95" t="s">
        <v>1158</v>
      </c>
      <c r="C1199" s="94"/>
      <c r="D1199" s="94" t="s">
        <v>1160</v>
      </c>
      <c r="E1199" s="80">
        <v>0.0</v>
      </c>
      <c r="F1199" s="32"/>
      <c r="G1199" s="32"/>
      <c r="H1199" s="32">
        <v>0.0</v>
      </c>
      <c r="I1199" s="32"/>
      <c r="J1199" s="23"/>
      <c r="K1199" s="23"/>
      <c r="L1199" s="23"/>
      <c r="M1199" s="14"/>
      <c r="N1199" s="23"/>
      <c r="O1199" s="23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</row>
    <row r="1200" hidden="1">
      <c r="A1200" s="34" t="s">
        <v>336</v>
      </c>
      <c r="B1200" s="94" t="s">
        <v>1180</v>
      </c>
      <c r="C1200" s="94"/>
      <c r="D1200" s="94" t="s">
        <v>1182</v>
      </c>
      <c r="E1200" s="80">
        <v>0.0</v>
      </c>
      <c r="F1200" s="32"/>
      <c r="G1200" s="32"/>
      <c r="H1200" s="32">
        <f t="shared" ref="H1200:H1209" si="24">E1200*250</f>
        <v>0</v>
      </c>
      <c r="I1200" s="32"/>
      <c r="J1200" s="23"/>
      <c r="K1200" s="23"/>
      <c r="L1200" s="23"/>
      <c r="M1200" s="14"/>
      <c r="N1200" s="23"/>
      <c r="O1200" s="23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</row>
    <row r="1201" hidden="1">
      <c r="A1201" s="34" t="s">
        <v>336</v>
      </c>
      <c r="B1201" s="94" t="s">
        <v>1161</v>
      </c>
      <c r="C1201" s="94"/>
      <c r="D1201" s="94" t="s">
        <v>1163</v>
      </c>
      <c r="E1201" s="80">
        <v>2.0</v>
      </c>
      <c r="F1201" s="32"/>
      <c r="G1201" s="32"/>
      <c r="H1201" s="32">
        <f t="shared" si="24"/>
        <v>500</v>
      </c>
      <c r="I1201" s="32"/>
      <c r="J1201" s="23"/>
      <c r="K1201" s="23"/>
      <c r="L1201" s="23"/>
      <c r="M1201" s="14"/>
      <c r="N1201" s="23"/>
      <c r="O1201" s="23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</row>
    <row r="1202" hidden="1">
      <c r="A1202" s="34" t="s">
        <v>337</v>
      </c>
      <c r="B1202" s="92" t="s">
        <v>1164</v>
      </c>
      <c r="C1202" s="92"/>
      <c r="D1202" s="92" t="s">
        <v>1166</v>
      </c>
      <c r="E1202" s="80">
        <v>1.0</v>
      </c>
      <c r="F1202" s="32"/>
      <c r="G1202" s="32"/>
      <c r="H1202" s="32">
        <f t="shared" si="24"/>
        <v>250</v>
      </c>
      <c r="I1202" s="32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</row>
    <row r="1203" hidden="1">
      <c r="A1203" s="34" t="s">
        <v>337</v>
      </c>
      <c r="B1203" s="92" t="s">
        <v>1136</v>
      </c>
      <c r="C1203" s="92"/>
      <c r="D1203" s="92" t="s">
        <v>1138</v>
      </c>
      <c r="E1203" s="80">
        <v>6.0</v>
      </c>
      <c r="F1203" s="32"/>
      <c r="G1203" s="32"/>
      <c r="H1203" s="32">
        <f t="shared" si="24"/>
        <v>1500</v>
      </c>
      <c r="I1203" s="32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</row>
    <row r="1204" hidden="1">
      <c r="A1204" s="34" t="s">
        <v>337</v>
      </c>
      <c r="B1204" s="92" t="s">
        <v>1139</v>
      </c>
      <c r="C1204" s="92"/>
      <c r="D1204" s="92" t="s">
        <v>1141</v>
      </c>
      <c r="E1204" s="80">
        <v>5.0</v>
      </c>
      <c r="F1204" s="32"/>
      <c r="G1204" s="32"/>
      <c r="H1204" s="32">
        <f t="shared" si="24"/>
        <v>1250</v>
      </c>
      <c r="I1204" s="32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</row>
    <row r="1205" hidden="1">
      <c r="A1205" s="34" t="s">
        <v>337</v>
      </c>
      <c r="B1205" s="92" t="s">
        <v>1142</v>
      </c>
      <c r="C1205" s="92"/>
      <c r="D1205" s="92" t="s">
        <v>1144</v>
      </c>
      <c r="E1205" s="80">
        <v>3.0</v>
      </c>
      <c r="F1205" s="32"/>
      <c r="G1205" s="32"/>
      <c r="H1205" s="32">
        <f t="shared" si="24"/>
        <v>750</v>
      </c>
      <c r="I1205" s="32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</row>
    <row r="1206" hidden="1">
      <c r="A1206" s="34" t="s">
        <v>337</v>
      </c>
      <c r="B1206" s="92" t="s">
        <v>1145</v>
      </c>
      <c r="C1206" s="92"/>
      <c r="D1206" s="92" t="s">
        <v>1147</v>
      </c>
      <c r="E1206" s="80">
        <v>2.0</v>
      </c>
      <c r="F1206" s="32"/>
      <c r="G1206" s="32"/>
      <c r="H1206" s="32">
        <f t="shared" si="24"/>
        <v>500</v>
      </c>
      <c r="I1206" s="32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</row>
    <row r="1207" hidden="1">
      <c r="A1207" s="34" t="s">
        <v>337</v>
      </c>
      <c r="B1207" s="92" t="s">
        <v>1148</v>
      </c>
      <c r="C1207" s="92"/>
      <c r="D1207" s="92" t="s">
        <v>1150</v>
      </c>
      <c r="E1207" s="80">
        <v>3.0</v>
      </c>
      <c r="F1207" s="32"/>
      <c r="G1207" s="32"/>
      <c r="H1207" s="32">
        <f t="shared" si="24"/>
        <v>750</v>
      </c>
      <c r="I1207" s="32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</row>
    <row r="1208" hidden="1">
      <c r="A1208" s="34" t="s">
        <v>337</v>
      </c>
      <c r="B1208" s="92" t="s">
        <v>1151</v>
      </c>
      <c r="C1208" s="92"/>
      <c r="D1208" s="92" t="s">
        <v>1153</v>
      </c>
      <c r="E1208" s="80">
        <v>3.0</v>
      </c>
      <c r="F1208" s="32"/>
      <c r="G1208" s="32"/>
      <c r="H1208" s="32">
        <f t="shared" si="24"/>
        <v>750</v>
      </c>
      <c r="I1208" s="32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</row>
    <row r="1209" hidden="1">
      <c r="A1209" s="34" t="s">
        <v>337</v>
      </c>
      <c r="B1209" s="92" t="s">
        <v>1154</v>
      </c>
      <c r="C1209" s="92"/>
      <c r="D1209" s="92" t="s">
        <v>1156</v>
      </c>
      <c r="E1209" s="80">
        <v>5.0</v>
      </c>
      <c r="F1209" s="32"/>
      <c r="G1209" s="32"/>
      <c r="H1209" s="32">
        <f t="shared" si="24"/>
        <v>1250</v>
      </c>
      <c r="I1209" s="32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</row>
    <row r="1210" hidden="1">
      <c r="A1210" s="34" t="s">
        <v>337</v>
      </c>
      <c r="B1210" s="95" t="s">
        <v>1158</v>
      </c>
      <c r="C1210" s="94"/>
      <c r="D1210" s="94" t="s">
        <v>1160</v>
      </c>
      <c r="E1210" s="80">
        <v>0.0</v>
      </c>
      <c r="F1210" s="32"/>
      <c r="G1210" s="32"/>
      <c r="H1210" s="32">
        <v>0.0</v>
      </c>
      <c r="I1210" s="32"/>
      <c r="J1210" s="23"/>
      <c r="K1210" s="23"/>
      <c r="L1210" s="23"/>
      <c r="M1210" s="14"/>
      <c r="N1210" s="23"/>
      <c r="O1210" s="23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</row>
    <row r="1211" hidden="1">
      <c r="A1211" s="34" t="s">
        <v>337</v>
      </c>
      <c r="B1211" s="94" t="s">
        <v>1180</v>
      </c>
      <c r="C1211" s="94"/>
      <c r="D1211" s="94" t="s">
        <v>1182</v>
      </c>
      <c r="E1211" s="80">
        <v>0.0</v>
      </c>
      <c r="F1211" s="32"/>
      <c r="G1211" s="32"/>
      <c r="H1211" s="32">
        <f t="shared" ref="H1211:H1220" si="25">E1211*250</f>
        <v>0</v>
      </c>
      <c r="I1211" s="32"/>
      <c r="J1211" s="23"/>
      <c r="K1211" s="23"/>
      <c r="L1211" s="23"/>
      <c r="M1211" s="14"/>
      <c r="N1211" s="23"/>
      <c r="O1211" s="23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</row>
    <row r="1212" hidden="1">
      <c r="A1212" s="34" t="s">
        <v>337</v>
      </c>
      <c r="B1212" s="94" t="s">
        <v>1161</v>
      </c>
      <c r="C1212" s="94"/>
      <c r="D1212" s="94" t="s">
        <v>1163</v>
      </c>
      <c r="E1212" s="80">
        <v>2.0</v>
      </c>
      <c r="F1212" s="32"/>
      <c r="G1212" s="32"/>
      <c r="H1212" s="32">
        <f t="shared" si="25"/>
        <v>500</v>
      </c>
      <c r="I1212" s="32"/>
      <c r="J1212" s="23"/>
      <c r="K1212" s="23"/>
      <c r="L1212" s="23"/>
      <c r="M1212" s="14"/>
      <c r="N1212" s="23"/>
      <c r="O1212" s="23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</row>
    <row r="1213" hidden="1">
      <c r="A1213" s="34" t="s">
        <v>338</v>
      </c>
      <c r="B1213" s="92" t="s">
        <v>1164</v>
      </c>
      <c r="C1213" s="92"/>
      <c r="D1213" s="92" t="s">
        <v>1166</v>
      </c>
      <c r="E1213" s="80">
        <v>0.0</v>
      </c>
      <c r="F1213" s="32"/>
      <c r="G1213" s="32"/>
      <c r="H1213" s="32">
        <f t="shared" si="25"/>
        <v>0</v>
      </c>
      <c r="I1213" s="32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</row>
    <row r="1214" hidden="1">
      <c r="A1214" s="34" t="s">
        <v>338</v>
      </c>
      <c r="B1214" s="92" t="s">
        <v>1136</v>
      </c>
      <c r="C1214" s="92"/>
      <c r="D1214" s="92" t="s">
        <v>1138</v>
      </c>
      <c r="E1214" s="80">
        <v>2.0</v>
      </c>
      <c r="F1214" s="32"/>
      <c r="G1214" s="32"/>
      <c r="H1214" s="32">
        <f t="shared" si="25"/>
        <v>500</v>
      </c>
      <c r="I1214" s="32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</row>
    <row r="1215" hidden="1">
      <c r="A1215" s="34" t="s">
        <v>338</v>
      </c>
      <c r="B1215" s="92" t="s">
        <v>1139</v>
      </c>
      <c r="C1215" s="92"/>
      <c r="D1215" s="92" t="s">
        <v>1141</v>
      </c>
      <c r="E1215" s="80">
        <v>4.0</v>
      </c>
      <c r="F1215" s="32"/>
      <c r="G1215" s="32"/>
      <c r="H1215" s="32">
        <f t="shared" si="25"/>
        <v>1000</v>
      </c>
      <c r="I1215" s="32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</row>
    <row r="1216" hidden="1">
      <c r="A1216" s="34" t="s">
        <v>338</v>
      </c>
      <c r="B1216" s="92" t="s">
        <v>1142</v>
      </c>
      <c r="C1216" s="92"/>
      <c r="D1216" s="92" t="s">
        <v>1144</v>
      </c>
      <c r="E1216" s="80">
        <v>4.0</v>
      </c>
      <c r="F1216" s="32"/>
      <c r="G1216" s="32"/>
      <c r="H1216" s="32">
        <f t="shared" si="25"/>
        <v>1000</v>
      </c>
      <c r="I1216" s="32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</row>
    <row r="1217" hidden="1">
      <c r="A1217" s="34" t="s">
        <v>338</v>
      </c>
      <c r="B1217" s="92" t="s">
        <v>1145</v>
      </c>
      <c r="C1217" s="92"/>
      <c r="D1217" s="92" t="s">
        <v>1147</v>
      </c>
      <c r="E1217" s="80">
        <v>4.0</v>
      </c>
      <c r="F1217" s="32"/>
      <c r="G1217" s="32"/>
      <c r="H1217" s="32">
        <f t="shared" si="25"/>
        <v>1000</v>
      </c>
      <c r="I1217" s="32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</row>
    <row r="1218" hidden="1">
      <c r="A1218" s="34" t="s">
        <v>338</v>
      </c>
      <c r="B1218" s="92" t="s">
        <v>1148</v>
      </c>
      <c r="C1218" s="92"/>
      <c r="D1218" s="92" t="s">
        <v>1150</v>
      </c>
      <c r="E1218" s="80">
        <v>4.0</v>
      </c>
      <c r="F1218" s="32"/>
      <c r="G1218" s="32"/>
      <c r="H1218" s="32">
        <f t="shared" si="25"/>
        <v>1000</v>
      </c>
      <c r="I1218" s="32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</row>
    <row r="1219" hidden="1">
      <c r="A1219" s="34" t="s">
        <v>338</v>
      </c>
      <c r="B1219" s="92" t="s">
        <v>1151</v>
      </c>
      <c r="C1219" s="92"/>
      <c r="D1219" s="92" t="s">
        <v>1153</v>
      </c>
      <c r="E1219" s="80">
        <v>2.0</v>
      </c>
      <c r="F1219" s="32"/>
      <c r="G1219" s="32"/>
      <c r="H1219" s="32">
        <f t="shared" si="25"/>
        <v>500</v>
      </c>
      <c r="I1219" s="32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</row>
    <row r="1220" hidden="1">
      <c r="A1220" s="34" t="s">
        <v>338</v>
      </c>
      <c r="B1220" s="92" t="s">
        <v>1154</v>
      </c>
      <c r="C1220" s="92"/>
      <c r="D1220" s="92" t="s">
        <v>1156</v>
      </c>
      <c r="E1220" s="80">
        <v>3.0</v>
      </c>
      <c r="F1220" s="32"/>
      <c r="G1220" s="32"/>
      <c r="H1220" s="32">
        <f t="shared" si="25"/>
        <v>750</v>
      </c>
      <c r="I1220" s="32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</row>
    <row r="1221" hidden="1">
      <c r="A1221" s="34" t="s">
        <v>338</v>
      </c>
      <c r="B1221" s="95" t="s">
        <v>1158</v>
      </c>
      <c r="C1221" s="94"/>
      <c r="D1221" s="94" t="s">
        <v>1160</v>
      </c>
      <c r="E1221" s="80">
        <v>0.0</v>
      </c>
      <c r="F1221" s="32"/>
      <c r="G1221" s="32"/>
      <c r="H1221" s="32">
        <v>0.0</v>
      </c>
      <c r="I1221" s="32"/>
      <c r="J1221" s="23"/>
      <c r="K1221" s="23"/>
      <c r="L1221" s="23"/>
      <c r="M1221" s="14"/>
      <c r="N1221" s="23"/>
      <c r="O1221" s="23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</row>
    <row r="1222" hidden="1">
      <c r="A1222" s="34" t="s">
        <v>338</v>
      </c>
      <c r="B1222" s="94" t="s">
        <v>1180</v>
      </c>
      <c r="C1222" s="94"/>
      <c r="D1222" s="94" t="s">
        <v>1182</v>
      </c>
      <c r="E1222" s="80">
        <v>0.0</v>
      </c>
      <c r="F1222" s="32"/>
      <c r="G1222" s="32"/>
      <c r="H1222" s="32">
        <f t="shared" ref="H1222:H1231" si="26">E1222*250</f>
        <v>0</v>
      </c>
      <c r="I1222" s="32"/>
      <c r="J1222" s="23"/>
      <c r="K1222" s="23"/>
      <c r="L1222" s="23"/>
      <c r="M1222" s="14"/>
      <c r="N1222" s="23"/>
      <c r="O1222" s="23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</row>
    <row r="1223" hidden="1">
      <c r="A1223" s="34" t="s">
        <v>338</v>
      </c>
      <c r="B1223" s="94" t="s">
        <v>1161</v>
      </c>
      <c r="C1223" s="94"/>
      <c r="D1223" s="94" t="s">
        <v>1163</v>
      </c>
      <c r="E1223" s="80">
        <v>3.0</v>
      </c>
      <c r="F1223" s="32"/>
      <c r="G1223" s="32"/>
      <c r="H1223" s="32">
        <f t="shared" si="26"/>
        <v>750</v>
      </c>
      <c r="I1223" s="32"/>
      <c r="J1223" s="23"/>
      <c r="K1223" s="23"/>
      <c r="L1223" s="23"/>
      <c r="M1223" s="14"/>
      <c r="N1223" s="23"/>
      <c r="O1223" s="23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</row>
    <row r="1224" hidden="1">
      <c r="A1224" s="34" t="s">
        <v>340</v>
      </c>
      <c r="B1224" s="92" t="s">
        <v>1164</v>
      </c>
      <c r="C1224" s="92"/>
      <c r="D1224" s="92" t="s">
        <v>1166</v>
      </c>
      <c r="E1224" s="80">
        <v>0.0</v>
      </c>
      <c r="F1224" s="32"/>
      <c r="G1224" s="32"/>
      <c r="H1224" s="32">
        <f t="shared" si="26"/>
        <v>0</v>
      </c>
      <c r="I1224" s="32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</row>
    <row r="1225" hidden="1">
      <c r="A1225" s="34" t="s">
        <v>340</v>
      </c>
      <c r="B1225" s="92" t="s">
        <v>1136</v>
      </c>
      <c r="C1225" s="92"/>
      <c r="D1225" s="92" t="s">
        <v>1138</v>
      </c>
      <c r="E1225" s="80">
        <v>2.0</v>
      </c>
      <c r="F1225" s="32"/>
      <c r="G1225" s="32"/>
      <c r="H1225" s="32">
        <f t="shared" si="26"/>
        <v>500</v>
      </c>
      <c r="I1225" s="32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</row>
    <row r="1226" hidden="1">
      <c r="A1226" s="34" t="s">
        <v>340</v>
      </c>
      <c r="B1226" s="92" t="s">
        <v>1139</v>
      </c>
      <c r="C1226" s="92"/>
      <c r="D1226" s="92" t="s">
        <v>1141</v>
      </c>
      <c r="E1226" s="80">
        <v>4.0</v>
      </c>
      <c r="F1226" s="32"/>
      <c r="G1226" s="32"/>
      <c r="H1226" s="32">
        <f t="shared" si="26"/>
        <v>1000</v>
      </c>
      <c r="I1226" s="32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</row>
    <row r="1227" hidden="1">
      <c r="A1227" s="34" t="s">
        <v>340</v>
      </c>
      <c r="B1227" s="92" t="s">
        <v>1142</v>
      </c>
      <c r="C1227" s="92"/>
      <c r="D1227" s="92" t="s">
        <v>1144</v>
      </c>
      <c r="E1227" s="80">
        <v>1.0</v>
      </c>
      <c r="F1227" s="32"/>
      <c r="G1227" s="32"/>
      <c r="H1227" s="32">
        <f t="shared" si="26"/>
        <v>250</v>
      </c>
      <c r="I1227" s="32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</row>
    <row r="1228" hidden="1">
      <c r="A1228" s="34" t="s">
        <v>340</v>
      </c>
      <c r="B1228" s="92" t="s">
        <v>1145</v>
      </c>
      <c r="C1228" s="92"/>
      <c r="D1228" s="92" t="s">
        <v>1147</v>
      </c>
      <c r="E1228" s="80">
        <v>3.0</v>
      </c>
      <c r="F1228" s="32"/>
      <c r="G1228" s="32"/>
      <c r="H1228" s="32">
        <f t="shared" si="26"/>
        <v>750</v>
      </c>
      <c r="I1228" s="32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</row>
    <row r="1229" hidden="1">
      <c r="A1229" s="34" t="s">
        <v>340</v>
      </c>
      <c r="B1229" s="92" t="s">
        <v>1148</v>
      </c>
      <c r="C1229" s="92"/>
      <c r="D1229" s="92" t="s">
        <v>1150</v>
      </c>
      <c r="E1229" s="80">
        <v>2.0</v>
      </c>
      <c r="F1229" s="32"/>
      <c r="G1229" s="32"/>
      <c r="H1229" s="32">
        <f t="shared" si="26"/>
        <v>500</v>
      </c>
      <c r="I1229" s="32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</row>
    <row r="1230" hidden="1">
      <c r="A1230" s="34" t="s">
        <v>340</v>
      </c>
      <c r="B1230" s="92" t="s">
        <v>1151</v>
      </c>
      <c r="C1230" s="92"/>
      <c r="D1230" s="92" t="s">
        <v>1153</v>
      </c>
      <c r="E1230" s="80">
        <v>3.0</v>
      </c>
      <c r="F1230" s="32"/>
      <c r="G1230" s="32"/>
      <c r="H1230" s="32">
        <f t="shared" si="26"/>
        <v>750</v>
      </c>
      <c r="I1230" s="32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</row>
    <row r="1231" hidden="1">
      <c r="A1231" s="34" t="s">
        <v>340</v>
      </c>
      <c r="B1231" s="92" t="s">
        <v>1154</v>
      </c>
      <c r="C1231" s="92"/>
      <c r="D1231" s="92" t="s">
        <v>1156</v>
      </c>
      <c r="E1231" s="80">
        <v>5.0</v>
      </c>
      <c r="F1231" s="32"/>
      <c r="G1231" s="32"/>
      <c r="H1231" s="32">
        <f t="shared" si="26"/>
        <v>1250</v>
      </c>
      <c r="I1231" s="32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</row>
    <row r="1232" hidden="1">
      <c r="A1232" s="34" t="s">
        <v>340</v>
      </c>
      <c r="B1232" s="95" t="s">
        <v>1158</v>
      </c>
      <c r="C1232" s="94"/>
      <c r="D1232" s="94" t="s">
        <v>1160</v>
      </c>
      <c r="E1232" s="80">
        <v>0.0</v>
      </c>
      <c r="F1232" s="32"/>
      <c r="G1232" s="32"/>
      <c r="H1232" s="32">
        <v>0.0</v>
      </c>
      <c r="I1232" s="32"/>
      <c r="J1232" s="23"/>
      <c r="K1232" s="23"/>
      <c r="L1232" s="23"/>
      <c r="M1232" s="14"/>
      <c r="N1232" s="23"/>
      <c r="O1232" s="23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</row>
    <row r="1233" hidden="1">
      <c r="A1233" s="34" t="s">
        <v>340</v>
      </c>
      <c r="B1233" s="94" t="s">
        <v>1180</v>
      </c>
      <c r="C1233" s="94"/>
      <c r="D1233" s="94" t="s">
        <v>1182</v>
      </c>
      <c r="E1233" s="80">
        <v>0.0</v>
      </c>
      <c r="F1233" s="32"/>
      <c r="G1233" s="32"/>
      <c r="H1233" s="32">
        <f t="shared" ref="H1233:H1242" si="27">E1233*250</f>
        <v>0</v>
      </c>
      <c r="I1233" s="32"/>
      <c r="J1233" s="23"/>
      <c r="K1233" s="23"/>
      <c r="L1233" s="23"/>
      <c r="M1233" s="14"/>
      <c r="N1233" s="23"/>
      <c r="O1233" s="23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</row>
    <row r="1234" hidden="1">
      <c r="A1234" s="34" t="s">
        <v>340</v>
      </c>
      <c r="B1234" s="94" t="s">
        <v>1161</v>
      </c>
      <c r="C1234" s="94"/>
      <c r="D1234" s="94" t="s">
        <v>1163</v>
      </c>
      <c r="E1234" s="80">
        <v>0.0</v>
      </c>
      <c r="F1234" s="32"/>
      <c r="G1234" s="32"/>
      <c r="H1234" s="32">
        <f t="shared" si="27"/>
        <v>0</v>
      </c>
      <c r="I1234" s="32"/>
      <c r="J1234" s="23"/>
      <c r="K1234" s="23"/>
      <c r="L1234" s="23"/>
      <c r="M1234" s="14"/>
      <c r="N1234" s="23"/>
      <c r="O1234" s="23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</row>
    <row r="1235" hidden="1">
      <c r="A1235" s="34" t="s">
        <v>341</v>
      </c>
      <c r="B1235" s="92" t="s">
        <v>1164</v>
      </c>
      <c r="C1235" s="92"/>
      <c r="D1235" s="92" t="s">
        <v>1166</v>
      </c>
      <c r="E1235" s="80">
        <v>0.0</v>
      </c>
      <c r="F1235" s="32"/>
      <c r="G1235" s="32"/>
      <c r="H1235" s="32">
        <f t="shared" si="27"/>
        <v>0</v>
      </c>
      <c r="I1235" s="32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</row>
    <row r="1236" hidden="1">
      <c r="A1236" s="34" t="s">
        <v>341</v>
      </c>
      <c r="B1236" s="92" t="s">
        <v>1136</v>
      </c>
      <c r="C1236" s="92"/>
      <c r="D1236" s="92" t="s">
        <v>1138</v>
      </c>
      <c r="E1236" s="80">
        <v>6.0</v>
      </c>
      <c r="F1236" s="32"/>
      <c r="G1236" s="32"/>
      <c r="H1236" s="32">
        <f t="shared" si="27"/>
        <v>1500</v>
      </c>
      <c r="I1236" s="32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</row>
    <row r="1237" hidden="1">
      <c r="A1237" s="34" t="s">
        <v>341</v>
      </c>
      <c r="B1237" s="92" t="s">
        <v>1139</v>
      </c>
      <c r="C1237" s="92"/>
      <c r="D1237" s="92" t="s">
        <v>1141</v>
      </c>
      <c r="E1237" s="80">
        <v>7.0</v>
      </c>
      <c r="F1237" s="32"/>
      <c r="G1237" s="32"/>
      <c r="H1237" s="32">
        <f t="shared" si="27"/>
        <v>1750</v>
      </c>
      <c r="I1237" s="32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</row>
    <row r="1238" hidden="1">
      <c r="A1238" s="34" t="s">
        <v>341</v>
      </c>
      <c r="B1238" s="92" t="s">
        <v>1142</v>
      </c>
      <c r="C1238" s="92"/>
      <c r="D1238" s="92" t="s">
        <v>1144</v>
      </c>
      <c r="E1238" s="80">
        <v>5.0</v>
      </c>
      <c r="F1238" s="32"/>
      <c r="G1238" s="32"/>
      <c r="H1238" s="32">
        <f t="shared" si="27"/>
        <v>1250</v>
      </c>
      <c r="I1238" s="32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</row>
    <row r="1239" hidden="1">
      <c r="A1239" s="34" t="s">
        <v>341</v>
      </c>
      <c r="B1239" s="92" t="s">
        <v>1145</v>
      </c>
      <c r="C1239" s="92"/>
      <c r="D1239" s="92" t="s">
        <v>1147</v>
      </c>
      <c r="E1239" s="80">
        <v>4.0</v>
      </c>
      <c r="F1239" s="32"/>
      <c r="G1239" s="32"/>
      <c r="H1239" s="32">
        <f t="shared" si="27"/>
        <v>1000</v>
      </c>
      <c r="I1239" s="32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</row>
    <row r="1240" hidden="1">
      <c r="A1240" s="34" t="s">
        <v>341</v>
      </c>
      <c r="B1240" s="92" t="s">
        <v>1148</v>
      </c>
      <c r="C1240" s="92"/>
      <c r="D1240" s="92" t="s">
        <v>1150</v>
      </c>
      <c r="E1240" s="80">
        <v>2.0</v>
      </c>
      <c r="F1240" s="32"/>
      <c r="G1240" s="32"/>
      <c r="H1240" s="32">
        <f t="shared" si="27"/>
        <v>500</v>
      </c>
      <c r="I1240" s="32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</row>
    <row r="1241" hidden="1">
      <c r="A1241" s="34" t="s">
        <v>341</v>
      </c>
      <c r="B1241" s="92" t="s">
        <v>1151</v>
      </c>
      <c r="C1241" s="92"/>
      <c r="D1241" s="92" t="s">
        <v>1153</v>
      </c>
      <c r="E1241" s="80">
        <v>4.0</v>
      </c>
      <c r="F1241" s="32"/>
      <c r="G1241" s="32"/>
      <c r="H1241" s="32">
        <f t="shared" si="27"/>
        <v>1000</v>
      </c>
      <c r="I1241" s="32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</row>
    <row r="1242" hidden="1">
      <c r="A1242" s="34" t="s">
        <v>341</v>
      </c>
      <c r="B1242" s="92" t="s">
        <v>1154</v>
      </c>
      <c r="C1242" s="92"/>
      <c r="D1242" s="92" t="s">
        <v>1156</v>
      </c>
      <c r="E1242" s="80">
        <v>4.0</v>
      </c>
      <c r="F1242" s="32"/>
      <c r="G1242" s="32"/>
      <c r="H1242" s="32">
        <f t="shared" si="27"/>
        <v>1000</v>
      </c>
      <c r="I1242" s="32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</row>
    <row r="1243" hidden="1">
      <c r="A1243" s="34" t="s">
        <v>341</v>
      </c>
      <c r="B1243" s="95" t="s">
        <v>1158</v>
      </c>
      <c r="C1243" s="94"/>
      <c r="D1243" s="94" t="s">
        <v>1160</v>
      </c>
      <c r="E1243" s="80">
        <v>0.0</v>
      </c>
      <c r="F1243" s="32"/>
      <c r="G1243" s="32"/>
      <c r="H1243" s="32">
        <v>0.0</v>
      </c>
      <c r="I1243" s="32"/>
      <c r="J1243" s="23"/>
      <c r="K1243" s="23"/>
      <c r="L1243" s="23"/>
      <c r="M1243" s="14"/>
      <c r="N1243" s="23"/>
      <c r="O1243" s="23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</row>
    <row r="1244" hidden="1">
      <c r="A1244" s="34" t="s">
        <v>341</v>
      </c>
      <c r="B1244" s="94" t="s">
        <v>1180</v>
      </c>
      <c r="C1244" s="94"/>
      <c r="D1244" s="94" t="s">
        <v>1182</v>
      </c>
      <c r="E1244" s="80">
        <v>0.0</v>
      </c>
      <c r="F1244" s="32"/>
      <c r="G1244" s="32"/>
      <c r="H1244" s="32">
        <f t="shared" ref="H1244:H1253" si="28">E1244*250</f>
        <v>0</v>
      </c>
      <c r="I1244" s="32"/>
      <c r="J1244" s="23"/>
      <c r="K1244" s="23"/>
      <c r="L1244" s="23"/>
      <c r="M1244" s="14"/>
      <c r="N1244" s="23"/>
      <c r="O1244" s="23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</row>
    <row r="1245" hidden="1">
      <c r="A1245" s="34" t="s">
        <v>341</v>
      </c>
      <c r="B1245" s="94" t="s">
        <v>1161</v>
      </c>
      <c r="C1245" s="94"/>
      <c r="D1245" s="94" t="s">
        <v>1163</v>
      </c>
      <c r="E1245" s="80">
        <v>2.0</v>
      </c>
      <c r="F1245" s="32"/>
      <c r="G1245" s="32"/>
      <c r="H1245" s="32">
        <f t="shared" si="28"/>
        <v>500</v>
      </c>
      <c r="I1245" s="32"/>
      <c r="J1245" s="23"/>
      <c r="K1245" s="23"/>
      <c r="L1245" s="23"/>
      <c r="M1245" s="14"/>
      <c r="N1245" s="23"/>
      <c r="O1245" s="23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</row>
    <row r="1246" hidden="1">
      <c r="A1246" s="78" t="s">
        <v>342</v>
      </c>
      <c r="B1246" s="92" t="s">
        <v>1164</v>
      </c>
      <c r="C1246" s="92"/>
      <c r="D1246" s="92" t="s">
        <v>1166</v>
      </c>
      <c r="E1246" s="80">
        <v>0.0</v>
      </c>
      <c r="F1246" s="32"/>
      <c r="G1246" s="32"/>
      <c r="H1246" s="32">
        <f t="shared" si="28"/>
        <v>0</v>
      </c>
      <c r="I1246" s="32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</row>
    <row r="1247" hidden="1">
      <c r="A1247" s="78" t="s">
        <v>342</v>
      </c>
      <c r="B1247" s="92" t="s">
        <v>1136</v>
      </c>
      <c r="C1247" s="92"/>
      <c r="D1247" s="92" t="s">
        <v>1138</v>
      </c>
      <c r="E1247" s="80">
        <v>3.0</v>
      </c>
      <c r="F1247" s="32"/>
      <c r="G1247" s="32"/>
      <c r="H1247" s="32">
        <f t="shared" si="28"/>
        <v>750</v>
      </c>
      <c r="I1247" s="32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</row>
    <row r="1248" hidden="1">
      <c r="A1248" s="78" t="s">
        <v>342</v>
      </c>
      <c r="B1248" s="92" t="s">
        <v>1139</v>
      </c>
      <c r="C1248" s="92"/>
      <c r="D1248" s="92" t="s">
        <v>1141</v>
      </c>
      <c r="E1248" s="80">
        <v>3.0</v>
      </c>
      <c r="F1248" s="32"/>
      <c r="G1248" s="32"/>
      <c r="H1248" s="32">
        <f t="shared" si="28"/>
        <v>750</v>
      </c>
      <c r="I1248" s="32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</row>
    <row r="1249" hidden="1">
      <c r="A1249" s="78" t="s">
        <v>342</v>
      </c>
      <c r="B1249" s="92" t="s">
        <v>1142</v>
      </c>
      <c r="C1249" s="92"/>
      <c r="D1249" s="92" t="s">
        <v>1144</v>
      </c>
      <c r="E1249" s="80">
        <v>4.0</v>
      </c>
      <c r="F1249" s="32"/>
      <c r="G1249" s="32"/>
      <c r="H1249" s="32">
        <f t="shared" si="28"/>
        <v>1000</v>
      </c>
      <c r="I1249" s="32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</row>
    <row r="1250" hidden="1">
      <c r="A1250" s="78" t="s">
        <v>342</v>
      </c>
      <c r="B1250" s="92" t="s">
        <v>1145</v>
      </c>
      <c r="C1250" s="92"/>
      <c r="D1250" s="92" t="s">
        <v>1147</v>
      </c>
      <c r="E1250" s="80">
        <v>3.0</v>
      </c>
      <c r="F1250" s="32"/>
      <c r="G1250" s="32"/>
      <c r="H1250" s="32">
        <f t="shared" si="28"/>
        <v>750</v>
      </c>
      <c r="I1250" s="32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</row>
    <row r="1251" hidden="1">
      <c r="A1251" s="78" t="s">
        <v>342</v>
      </c>
      <c r="B1251" s="92" t="s">
        <v>1148</v>
      </c>
      <c r="C1251" s="92"/>
      <c r="D1251" s="92" t="s">
        <v>1150</v>
      </c>
      <c r="E1251" s="80">
        <v>3.0</v>
      </c>
      <c r="F1251" s="32"/>
      <c r="G1251" s="32"/>
      <c r="H1251" s="32">
        <f t="shared" si="28"/>
        <v>750</v>
      </c>
      <c r="I1251" s="32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</row>
    <row r="1252" hidden="1">
      <c r="A1252" s="78" t="s">
        <v>342</v>
      </c>
      <c r="B1252" s="92" t="s">
        <v>1151</v>
      </c>
      <c r="C1252" s="92"/>
      <c r="D1252" s="92" t="s">
        <v>1153</v>
      </c>
      <c r="E1252" s="80">
        <v>7.0</v>
      </c>
      <c r="F1252" s="32"/>
      <c r="G1252" s="32"/>
      <c r="H1252" s="32">
        <f t="shared" si="28"/>
        <v>1750</v>
      </c>
      <c r="I1252" s="32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</row>
    <row r="1253" hidden="1">
      <c r="A1253" s="78" t="s">
        <v>342</v>
      </c>
      <c r="B1253" s="92" t="s">
        <v>1154</v>
      </c>
      <c r="C1253" s="92"/>
      <c r="D1253" s="92" t="s">
        <v>1156</v>
      </c>
      <c r="E1253" s="80">
        <v>6.0</v>
      </c>
      <c r="F1253" s="32"/>
      <c r="G1253" s="32"/>
      <c r="H1253" s="32">
        <f t="shared" si="28"/>
        <v>1500</v>
      </c>
      <c r="I1253" s="32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</row>
    <row r="1254" hidden="1">
      <c r="A1254" s="78" t="s">
        <v>342</v>
      </c>
      <c r="B1254" s="95" t="s">
        <v>1158</v>
      </c>
      <c r="C1254" s="95"/>
      <c r="D1254" s="95" t="s">
        <v>1160</v>
      </c>
      <c r="E1254" s="34">
        <v>0.0</v>
      </c>
      <c r="F1254" s="80"/>
      <c r="G1254" s="80"/>
      <c r="H1254" s="80">
        <v>0.0</v>
      </c>
      <c r="I1254" s="80"/>
      <c r="J1254" s="23"/>
      <c r="K1254" s="23"/>
      <c r="L1254" s="23"/>
      <c r="M1254" s="14"/>
      <c r="N1254" s="23"/>
      <c r="O1254" s="23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</row>
    <row r="1255" hidden="1">
      <c r="A1255" s="78" t="s">
        <v>342</v>
      </c>
      <c r="B1255" s="94" t="s">
        <v>1180</v>
      </c>
      <c r="C1255" s="95"/>
      <c r="D1255" s="95" t="s">
        <v>1182</v>
      </c>
      <c r="E1255" s="34">
        <v>0.0</v>
      </c>
      <c r="F1255" s="32"/>
      <c r="G1255" s="32"/>
      <c r="H1255" s="32">
        <f t="shared" ref="H1255:H1316" si="29">E1255*250</f>
        <v>0</v>
      </c>
      <c r="I1255" s="32"/>
      <c r="J1255" s="23"/>
      <c r="K1255" s="23"/>
      <c r="L1255" s="23"/>
      <c r="M1255" s="14"/>
      <c r="N1255" s="23"/>
      <c r="O1255" s="23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</row>
    <row r="1256" hidden="1">
      <c r="A1256" s="34" t="s">
        <v>342</v>
      </c>
      <c r="B1256" s="95" t="s">
        <v>1161</v>
      </c>
      <c r="C1256" s="95"/>
      <c r="D1256" s="95" t="s">
        <v>1163</v>
      </c>
      <c r="E1256" s="80">
        <v>2.0</v>
      </c>
      <c r="F1256" s="32"/>
      <c r="G1256" s="32"/>
      <c r="H1256" s="32">
        <f t="shared" si="29"/>
        <v>500</v>
      </c>
      <c r="I1256" s="32"/>
      <c r="J1256" s="86"/>
      <c r="K1256" s="86"/>
      <c r="L1256" s="86"/>
      <c r="M1256" s="32"/>
      <c r="N1256" s="23"/>
      <c r="O1256" s="23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</row>
    <row r="1257" hidden="1">
      <c r="A1257" s="34" t="s">
        <v>347</v>
      </c>
      <c r="B1257" s="92" t="s">
        <v>1164</v>
      </c>
      <c r="C1257" s="92"/>
      <c r="D1257" s="92" t="s">
        <v>1166</v>
      </c>
      <c r="E1257" s="80">
        <v>2.0</v>
      </c>
      <c r="F1257" s="32"/>
      <c r="G1257" s="32"/>
      <c r="H1257" s="32">
        <f t="shared" si="29"/>
        <v>500</v>
      </c>
      <c r="I1257" s="32"/>
      <c r="J1257" s="32"/>
      <c r="K1257" s="32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</row>
    <row r="1258" hidden="1">
      <c r="A1258" s="34" t="s">
        <v>347</v>
      </c>
      <c r="B1258" s="92" t="s">
        <v>1136</v>
      </c>
      <c r="C1258" s="92"/>
      <c r="D1258" s="92" t="s">
        <v>1138</v>
      </c>
      <c r="E1258" s="80">
        <v>2.0</v>
      </c>
      <c r="F1258" s="32"/>
      <c r="G1258" s="32"/>
      <c r="H1258" s="32">
        <f t="shared" si="29"/>
        <v>500</v>
      </c>
      <c r="I1258" s="32"/>
      <c r="J1258" s="32"/>
      <c r="K1258" s="32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</row>
    <row r="1259" hidden="1">
      <c r="A1259" s="34" t="s">
        <v>347</v>
      </c>
      <c r="B1259" s="92" t="s">
        <v>1139</v>
      </c>
      <c r="C1259" s="92"/>
      <c r="D1259" s="92" t="s">
        <v>1141</v>
      </c>
      <c r="E1259" s="80">
        <v>0.0</v>
      </c>
      <c r="F1259" s="32"/>
      <c r="G1259" s="32"/>
      <c r="H1259" s="32">
        <f t="shared" si="29"/>
        <v>0</v>
      </c>
      <c r="I1259" s="32"/>
      <c r="J1259" s="32"/>
      <c r="K1259" s="32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</row>
    <row r="1260" hidden="1">
      <c r="A1260" s="34" t="s">
        <v>347</v>
      </c>
      <c r="B1260" s="92" t="s">
        <v>1142</v>
      </c>
      <c r="C1260" s="92"/>
      <c r="D1260" s="92" t="s">
        <v>1144</v>
      </c>
      <c r="E1260" s="80">
        <v>1.0</v>
      </c>
      <c r="F1260" s="32"/>
      <c r="G1260" s="32"/>
      <c r="H1260" s="32">
        <f t="shared" si="29"/>
        <v>250</v>
      </c>
      <c r="I1260" s="32"/>
      <c r="J1260" s="32"/>
      <c r="K1260" s="32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</row>
    <row r="1261" hidden="1">
      <c r="A1261" s="34" t="s">
        <v>347</v>
      </c>
      <c r="B1261" s="92" t="s">
        <v>1145</v>
      </c>
      <c r="C1261" s="92"/>
      <c r="D1261" s="92" t="s">
        <v>1147</v>
      </c>
      <c r="E1261" s="80">
        <v>1.0</v>
      </c>
      <c r="F1261" s="32"/>
      <c r="G1261" s="32"/>
      <c r="H1261" s="32">
        <f t="shared" si="29"/>
        <v>250</v>
      </c>
      <c r="I1261" s="32"/>
      <c r="J1261" s="32"/>
      <c r="K1261" s="32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</row>
    <row r="1262" hidden="1">
      <c r="A1262" s="34" t="s">
        <v>347</v>
      </c>
      <c r="B1262" s="92" t="s">
        <v>1148</v>
      </c>
      <c r="C1262" s="92"/>
      <c r="D1262" s="92" t="s">
        <v>1150</v>
      </c>
      <c r="E1262" s="80">
        <v>0.0</v>
      </c>
      <c r="F1262" s="32"/>
      <c r="G1262" s="32"/>
      <c r="H1262" s="32">
        <f t="shared" si="29"/>
        <v>0</v>
      </c>
      <c r="I1262" s="32"/>
      <c r="J1262" s="32"/>
      <c r="K1262" s="32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</row>
    <row r="1263" hidden="1">
      <c r="A1263" s="34" t="s">
        <v>347</v>
      </c>
      <c r="B1263" s="92" t="s">
        <v>1151</v>
      </c>
      <c r="C1263" s="92"/>
      <c r="D1263" s="92" t="s">
        <v>1153</v>
      </c>
      <c r="E1263" s="80">
        <v>2.0</v>
      </c>
      <c r="F1263" s="32"/>
      <c r="G1263" s="32"/>
      <c r="H1263" s="32">
        <f t="shared" si="29"/>
        <v>500</v>
      </c>
      <c r="I1263" s="32"/>
      <c r="J1263" s="32"/>
      <c r="K1263" s="32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</row>
    <row r="1264" hidden="1">
      <c r="A1264" s="34" t="s">
        <v>347</v>
      </c>
      <c r="B1264" s="92" t="s">
        <v>1154</v>
      </c>
      <c r="C1264" s="92"/>
      <c r="D1264" s="92" t="s">
        <v>1156</v>
      </c>
      <c r="E1264" s="80">
        <v>3.0</v>
      </c>
      <c r="F1264" s="32"/>
      <c r="G1264" s="32"/>
      <c r="H1264" s="32">
        <f t="shared" si="29"/>
        <v>750</v>
      </c>
      <c r="I1264" s="32"/>
      <c r="J1264" s="32"/>
      <c r="K1264" s="32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</row>
    <row r="1265" hidden="1">
      <c r="A1265" s="34" t="s">
        <v>348</v>
      </c>
      <c r="B1265" s="92" t="s">
        <v>1164</v>
      </c>
      <c r="C1265" s="92"/>
      <c r="D1265" s="92" t="s">
        <v>1166</v>
      </c>
      <c r="E1265" s="80">
        <v>3.0</v>
      </c>
      <c r="F1265" s="32"/>
      <c r="G1265" s="32"/>
      <c r="H1265" s="32">
        <f t="shared" si="29"/>
        <v>750</v>
      </c>
      <c r="I1265" s="32"/>
      <c r="J1265" s="32">
        <v>500.0</v>
      </c>
      <c r="K1265" s="32">
        <f t="shared" ref="K1265:K1272" si="30">MINUS(H1265,J1265)</f>
        <v>250</v>
      </c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</row>
    <row r="1266" hidden="1">
      <c r="A1266" s="34" t="s">
        <v>348</v>
      </c>
      <c r="B1266" s="92" t="s">
        <v>1136</v>
      </c>
      <c r="C1266" s="92"/>
      <c r="D1266" s="92" t="s">
        <v>1138</v>
      </c>
      <c r="E1266" s="80">
        <v>4.0</v>
      </c>
      <c r="F1266" s="32"/>
      <c r="G1266" s="32"/>
      <c r="H1266" s="32">
        <f t="shared" si="29"/>
        <v>1000</v>
      </c>
      <c r="I1266" s="32"/>
      <c r="J1266" s="32">
        <v>500.0</v>
      </c>
      <c r="K1266" s="32">
        <f t="shared" si="30"/>
        <v>500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</row>
    <row r="1267" hidden="1">
      <c r="A1267" s="34" t="s">
        <v>348</v>
      </c>
      <c r="B1267" s="92" t="s">
        <v>1139</v>
      </c>
      <c r="C1267" s="92"/>
      <c r="D1267" s="92" t="s">
        <v>1141</v>
      </c>
      <c r="E1267" s="80">
        <v>4.0</v>
      </c>
      <c r="F1267" s="32"/>
      <c r="G1267" s="32"/>
      <c r="H1267" s="32">
        <f t="shared" si="29"/>
        <v>1000</v>
      </c>
      <c r="I1267" s="32"/>
      <c r="J1267" s="32">
        <v>500.0</v>
      </c>
      <c r="K1267" s="32">
        <f t="shared" si="30"/>
        <v>500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</row>
    <row r="1268" hidden="1">
      <c r="A1268" s="34" t="s">
        <v>348</v>
      </c>
      <c r="B1268" s="92" t="s">
        <v>1142</v>
      </c>
      <c r="C1268" s="92"/>
      <c r="D1268" s="92" t="s">
        <v>1144</v>
      </c>
      <c r="E1268" s="80">
        <v>2.0</v>
      </c>
      <c r="F1268" s="32"/>
      <c r="G1268" s="32"/>
      <c r="H1268" s="32">
        <f t="shared" si="29"/>
        <v>500</v>
      </c>
      <c r="I1268" s="32"/>
      <c r="J1268" s="32">
        <v>1000.0</v>
      </c>
      <c r="K1268" s="32">
        <f t="shared" si="30"/>
        <v>-500</v>
      </c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</row>
    <row r="1269" hidden="1">
      <c r="A1269" s="34" t="s">
        <v>348</v>
      </c>
      <c r="B1269" s="92" t="s">
        <v>1145</v>
      </c>
      <c r="C1269" s="92"/>
      <c r="D1269" s="92" t="s">
        <v>1147</v>
      </c>
      <c r="E1269" s="80">
        <v>2.0</v>
      </c>
      <c r="F1269" s="32"/>
      <c r="G1269" s="32"/>
      <c r="H1269" s="32">
        <f t="shared" si="29"/>
        <v>500</v>
      </c>
      <c r="I1269" s="32"/>
      <c r="J1269" s="32">
        <v>500.0</v>
      </c>
      <c r="K1269" s="32">
        <f t="shared" si="30"/>
        <v>0</v>
      </c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</row>
    <row r="1270" hidden="1">
      <c r="A1270" s="34" t="s">
        <v>348</v>
      </c>
      <c r="B1270" s="92" t="s">
        <v>1148</v>
      </c>
      <c r="C1270" s="92"/>
      <c r="D1270" s="92" t="s">
        <v>1150</v>
      </c>
      <c r="E1270" s="80">
        <v>3.0</v>
      </c>
      <c r="F1270" s="32"/>
      <c r="G1270" s="32"/>
      <c r="H1270" s="32">
        <f t="shared" si="29"/>
        <v>750</v>
      </c>
      <c r="I1270" s="32"/>
      <c r="J1270" s="32">
        <v>1000.0</v>
      </c>
      <c r="K1270" s="32">
        <f t="shared" si="30"/>
        <v>-250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</row>
    <row r="1271" hidden="1">
      <c r="A1271" s="34" t="s">
        <v>348</v>
      </c>
      <c r="B1271" s="92" t="s">
        <v>1151</v>
      </c>
      <c r="C1271" s="92"/>
      <c r="D1271" s="92" t="s">
        <v>1153</v>
      </c>
      <c r="E1271" s="80">
        <v>3.0</v>
      </c>
      <c r="F1271" s="32"/>
      <c r="G1271" s="32"/>
      <c r="H1271" s="32">
        <f t="shared" si="29"/>
        <v>750</v>
      </c>
      <c r="I1271" s="32"/>
      <c r="J1271" s="32">
        <v>0.0</v>
      </c>
      <c r="K1271" s="32">
        <f t="shared" si="30"/>
        <v>750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</row>
    <row r="1272" hidden="1">
      <c r="A1272" s="34" t="s">
        <v>348</v>
      </c>
      <c r="B1272" s="92" t="s">
        <v>1154</v>
      </c>
      <c r="C1272" s="92"/>
      <c r="D1272" s="92" t="s">
        <v>1156</v>
      </c>
      <c r="E1272" s="80">
        <v>5.0</v>
      </c>
      <c r="F1272" s="32"/>
      <c r="G1272" s="32"/>
      <c r="H1272" s="32">
        <f t="shared" si="29"/>
        <v>1250</v>
      </c>
      <c r="I1272" s="32"/>
      <c r="J1272" s="32">
        <v>1000.0</v>
      </c>
      <c r="K1272" s="32">
        <f t="shared" si="30"/>
        <v>250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</row>
    <row r="1273" hidden="1">
      <c r="A1273" s="34" t="s">
        <v>350</v>
      </c>
      <c r="B1273" s="92" t="s">
        <v>1164</v>
      </c>
      <c r="C1273" s="92"/>
      <c r="D1273" s="92" t="s">
        <v>1166</v>
      </c>
      <c r="E1273" s="80">
        <v>2.0</v>
      </c>
      <c r="F1273" s="32"/>
      <c r="G1273" s="32"/>
      <c r="H1273" s="32">
        <f t="shared" si="29"/>
        <v>500</v>
      </c>
      <c r="I1273" s="32"/>
      <c r="J1273" s="32"/>
      <c r="K1273" s="32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</row>
    <row r="1274" hidden="1">
      <c r="A1274" s="34" t="s">
        <v>350</v>
      </c>
      <c r="B1274" s="92" t="s">
        <v>1136</v>
      </c>
      <c r="C1274" s="92"/>
      <c r="D1274" s="92" t="s">
        <v>1138</v>
      </c>
      <c r="E1274" s="80">
        <v>2.0</v>
      </c>
      <c r="F1274" s="32"/>
      <c r="G1274" s="32"/>
      <c r="H1274" s="32">
        <f t="shared" si="29"/>
        <v>500</v>
      </c>
      <c r="I1274" s="32"/>
      <c r="J1274" s="32"/>
      <c r="K1274" s="32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</row>
    <row r="1275" hidden="1">
      <c r="A1275" s="34" t="s">
        <v>350</v>
      </c>
      <c r="B1275" s="92" t="s">
        <v>1139</v>
      </c>
      <c r="C1275" s="92"/>
      <c r="D1275" s="92" t="s">
        <v>1141</v>
      </c>
      <c r="E1275" s="80">
        <v>2.0</v>
      </c>
      <c r="F1275" s="32"/>
      <c r="G1275" s="32"/>
      <c r="H1275" s="32">
        <f t="shared" si="29"/>
        <v>500</v>
      </c>
      <c r="I1275" s="32"/>
      <c r="J1275" s="32"/>
      <c r="K1275" s="32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</row>
    <row r="1276" hidden="1">
      <c r="A1276" s="34" t="s">
        <v>350</v>
      </c>
      <c r="B1276" s="92" t="s">
        <v>1142</v>
      </c>
      <c r="C1276" s="92"/>
      <c r="D1276" s="92" t="s">
        <v>1144</v>
      </c>
      <c r="E1276" s="80">
        <v>4.0</v>
      </c>
      <c r="F1276" s="32"/>
      <c r="G1276" s="32"/>
      <c r="H1276" s="32">
        <f t="shared" si="29"/>
        <v>1000</v>
      </c>
      <c r="I1276" s="32"/>
      <c r="J1276" s="32"/>
      <c r="K1276" s="32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</row>
    <row r="1277" hidden="1">
      <c r="A1277" s="34" t="s">
        <v>350</v>
      </c>
      <c r="B1277" s="92" t="s">
        <v>1145</v>
      </c>
      <c r="C1277" s="92"/>
      <c r="D1277" s="92" t="s">
        <v>1147</v>
      </c>
      <c r="E1277" s="80">
        <v>2.0</v>
      </c>
      <c r="F1277" s="32"/>
      <c r="G1277" s="32"/>
      <c r="H1277" s="32">
        <f t="shared" si="29"/>
        <v>500</v>
      </c>
      <c r="I1277" s="32"/>
      <c r="J1277" s="32"/>
      <c r="K1277" s="32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</row>
    <row r="1278" hidden="1">
      <c r="A1278" s="34" t="s">
        <v>350</v>
      </c>
      <c r="B1278" s="92" t="s">
        <v>1148</v>
      </c>
      <c r="C1278" s="92"/>
      <c r="D1278" s="92" t="s">
        <v>1150</v>
      </c>
      <c r="E1278" s="80">
        <v>4.0</v>
      </c>
      <c r="F1278" s="32"/>
      <c r="G1278" s="32"/>
      <c r="H1278" s="32">
        <f t="shared" si="29"/>
        <v>1000</v>
      </c>
      <c r="I1278" s="32"/>
      <c r="J1278" s="32"/>
      <c r="K1278" s="32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</row>
    <row r="1279" hidden="1">
      <c r="A1279" s="34" t="s">
        <v>350</v>
      </c>
      <c r="B1279" s="92" t="s">
        <v>1151</v>
      </c>
      <c r="C1279" s="92"/>
      <c r="D1279" s="92" t="s">
        <v>1153</v>
      </c>
      <c r="E1279" s="80">
        <v>0.0</v>
      </c>
      <c r="F1279" s="32"/>
      <c r="G1279" s="32"/>
      <c r="H1279" s="32">
        <f t="shared" si="29"/>
        <v>0</v>
      </c>
      <c r="I1279" s="32"/>
      <c r="J1279" s="32"/>
      <c r="K1279" s="32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</row>
    <row r="1280" hidden="1">
      <c r="A1280" s="34" t="s">
        <v>350</v>
      </c>
      <c r="B1280" s="92" t="s">
        <v>1154</v>
      </c>
      <c r="C1280" s="92"/>
      <c r="D1280" s="92" t="s">
        <v>1156</v>
      </c>
      <c r="E1280" s="80">
        <v>4.0</v>
      </c>
      <c r="F1280" s="32"/>
      <c r="G1280" s="32"/>
      <c r="H1280" s="32">
        <f t="shared" si="29"/>
        <v>1000</v>
      </c>
      <c r="I1280" s="32"/>
      <c r="J1280" s="32"/>
      <c r="K1280" s="32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</row>
    <row r="1281" hidden="1">
      <c r="A1281" s="34" t="s">
        <v>351</v>
      </c>
      <c r="B1281" s="92" t="s">
        <v>1164</v>
      </c>
      <c r="C1281" s="92"/>
      <c r="D1281" s="92" t="s">
        <v>1166</v>
      </c>
      <c r="E1281" s="80">
        <v>1.0</v>
      </c>
      <c r="F1281" s="32"/>
      <c r="G1281" s="32"/>
      <c r="H1281" s="32">
        <f t="shared" si="29"/>
        <v>250</v>
      </c>
      <c r="I1281" s="32"/>
      <c r="J1281" s="32"/>
      <c r="K1281" s="32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</row>
    <row r="1282" hidden="1">
      <c r="A1282" s="34" t="s">
        <v>351</v>
      </c>
      <c r="B1282" s="92" t="s">
        <v>1136</v>
      </c>
      <c r="C1282" s="92"/>
      <c r="D1282" s="92" t="s">
        <v>1138</v>
      </c>
      <c r="E1282" s="80">
        <v>3.0</v>
      </c>
      <c r="F1282" s="32"/>
      <c r="G1282" s="32"/>
      <c r="H1282" s="32">
        <f t="shared" si="29"/>
        <v>750</v>
      </c>
      <c r="I1282" s="32"/>
      <c r="J1282" s="32"/>
      <c r="K1282" s="32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</row>
    <row r="1283" hidden="1">
      <c r="A1283" s="34" t="s">
        <v>351</v>
      </c>
      <c r="B1283" s="92" t="s">
        <v>1139</v>
      </c>
      <c r="C1283" s="92"/>
      <c r="D1283" s="92" t="s">
        <v>1141</v>
      </c>
      <c r="E1283" s="80">
        <v>5.0</v>
      </c>
      <c r="F1283" s="32"/>
      <c r="G1283" s="32"/>
      <c r="H1283" s="32">
        <f t="shared" si="29"/>
        <v>1250</v>
      </c>
      <c r="I1283" s="32"/>
      <c r="J1283" s="32"/>
      <c r="K1283" s="32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</row>
    <row r="1284" hidden="1">
      <c r="A1284" s="34" t="s">
        <v>351</v>
      </c>
      <c r="B1284" s="92" t="s">
        <v>1142</v>
      </c>
      <c r="C1284" s="92"/>
      <c r="D1284" s="92" t="s">
        <v>1144</v>
      </c>
      <c r="E1284" s="80">
        <v>2.0</v>
      </c>
      <c r="F1284" s="32"/>
      <c r="G1284" s="32"/>
      <c r="H1284" s="32">
        <f t="shared" si="29"/>
        <v>500</v>
      </c>
      <c r="I1284" s="32"/>
      <c r="J1284" s="32"/>
      <c r="K1284" s="32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</row>
    <row r="1285" hidden="1">
      <c r="A1285" s="34" t="s">
        <v>351</v>
      </c>
      <c r="B1285" s="92" t="s">
        <v>1145</v>
      </c>
      <c r="C1285" s="92"/>
      <c r="D1285" s="92" t="s">
        <v>1147</v>
      </c>
      <c r="E1285" s="80">
        <v>4.0</v>
      </c>
      <c r="F1285" s="32"/>
      <c r="G1285" s="32"/>
      <c r="H1285" s="32">
        <f t="shared" si="29"/>
        <v>1000</v>
      </c>
      <c r="I1285" s="32"/>
      <c r="J1285" s="32"/>
      <c r="K1285" s="32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</row>
    <row r="1286" hidden="1">
      <c r="A1286" s="34" t="s">
        <v>351</v>
      </c>
      <c r="B1286" s="92" t="s">
        <v>1148</v>
      </c>
      <c r="C1286" s="92"/>
      <c r="D1286" s="92" t="s">
        <v>1150</v>
      </c>
      <c r="E1286" s="80">
        <v>3.0</v>
      </c>
      <c r="F1286" s="32"/>
      <c r="G1286" s="32"/>
      <c r="H1286" s="32">
        <f t="shared" si="29"/>
        <v>750</v>
      </c>
      <c r="I1286" s="32"/>
      <c r="J1286" s="32"/>
      <c r="K1286" s="32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</row>
    <row r="1287" hidden="1">
      <c r="A1287" s="34" t="s">
        <v>351</v>
      </c>
      <c r="B1287" s="92" t="s">
        <v>1151</v>
      </c>
      <c r="C1287" s="92"/>
      <c r="D1287" s="92" t="s">
        <v>1153</v>
      </c>
      <c r="E1287" s="80">
        <v>3.0</v>
      </c>
      <c r="F1287" s="32"/>
      <c r="G1287" s="32"/>
      <c r="H1287" s="32">
        <f t="shared" si="29"/>
        <v>750</v>
      </c>
      <c r="I1287" s="32"/>
      <c r="J1287" s="32"/>
      <c r="K1287" s="32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</row>
    <row r="1288" hidden="1">
      <c r="A1288" s="34" t="s">
        <v>351</v>
      </c>
      <c r="B1288" s="92" t="s">
        <v>1154</v>
      </c>
      <c r="C1288" s="92"/>
      <c r="D1288" s="92" t="s">
        <v>1156</v>
      </c>
      <c r="E1288" s="80">
        <v>2.0</v>
      </c>
      <c r="F1288" s="32"/>
      <c r="G1288" s="32"/>
      <c r="H1288" s="32">
        <f t="shared" si="29"/>
        <v>500</v>
      </c>
      <c r="I1288" s="32"/>
      <c r="J1288" s="32"/>
      <c r="K1288" s="32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</row>
    <row r="1289" hidden="1">
      <c r="A1289" s="34" t="s">
        <v>351</v>
      </c>
      <c r="B1289" s="92" t="s">
        <v>1183</v>
      </c>
      <c r="C1289" s="92"/>
      <c r="D1289" s="92" t="s">
        <v>1184</v>
      </c>
      <c r="E1289" s="80">
        <v>1.0</v>
      </c>
      <c r="F1289" s="32"/>
      <c r="G1289" s="32"/>
      <c r="H1289" s="32">
        <f t="shared" si="29"/>
        <v>250</v>
      </c>
      <c r="I1289" s="32"/>
      <c r="J1289" s="32"/>
      <c r="K1289" s="32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</row>
    <row r="1290" hidden="1">
      <c r="A1290" s="34" t="s">
        <v>352</v>
      </c>
      <c r="B1290" s="92" t="s">
        <v>1164</v>
      </c>
      <c r="C1290" s="92"/>
      <c r="D1290" s="92" t="s">
        <v>1166</v>
      </c>
      <c r="E1290" s="80">
        <v>4.0</v>
      </c>
      <c r="F1290" s="32"/>
      <c r="G1290" s="32"/>
      <c r="H1290" s="32">
        <f t="shared" si="29"/>
        <v>1000</v>
      </c>
      <c r="I1290" s="32"/>
      <c r="J1290" s="32"/>
      <c r="K1290" s="32"/>
      <c r="L1290" s="32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</row>
    <row r="1291" hidden="1">
      <c r="A1291" s="34" t="s">
        <v>352</v>
      </c>
      <c r="B1291" s="92" t="s">
        <v>1148</v>
      </c>
      <c r="C1291" s="92"/>
      <c r="D1291" s="92" t="s">
        <v>1150</v>
      </c>
      <c r="E1291" s="80">
        <v>1.0</v>
      </c>
      <c r="F1291" s="32"/>
      <c r="G1291" s="32"/>
      <c r="H1291" s="32">
        <f t="shared" si="29"/>
        <v>250</v>
      </c>
      <c r="I1291" s="32"/>
      <c r="J1291" s="32"/>
      <c r="K1291" s="32"/>
      <c r="L1291" s="32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</row>
    <row r="1292" hidden="1">
      <c r="A1292" s="34" t="s">
        <v>352</v>
      </c>
      <c r="B1292" s="92" t="s">
        <v>1136</v>
      </c>
      <c r="C1292" s="91"/>
      <c r="D1292" s="91" t="s">
        <v>1138</v>
      </c>
      <c r="E1292" s="80">
        <v>3.0</v>
      </c>
      <c r="F1292" s="32"/>
      <c r="G1292" s="32"/>
      <c r="H1292" s="32">
        <f t="shared" si="29"/>
        <v>750</v>
      </c>
      <c r="I1292" s="32"/>
      <c r="J1292" s="32"/>
      <c r="K1292" s="32"/>
      <c r="L1292" s="32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</row>
    <row r="1293" hidden="1">
      <c r="A1293" s="34" t="s">
        <v>352</v>
      </c>
      <c r="B1293" s="92" t="s">
        <v>1154</v>
      </c>
      <c r="C1293" s="92"/>
      <c r="D1293" s="92" t="s">
        <v>1156</v>
      </c>
      <c r="E1293" s="80">
        <v>0.0</v>
      </c>
      <c r="F1293" s="32"/>
      <c r="G1293" s="32"/>
      <c r="H1293" s="32">
        <f t="shared" si="29"/>
        <v>0</v>
      </c>
      <c r="I1293" s="32"/>
      <c r="J1293" s="32"/>
      <c r="K1293" s="32"/>
      <c r="L1293" s="32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</row>
    <row r="1294" hidden="1">
      <c r="A1294" s="34" t="s">
        <v>352</v>
      </c>
      <c r="B1294" s="92" t="s">
        <v>1142</v>
      </c>
      <c r="C1294" s="92"/>
      <c r="D1294" s="92" t="s">
        <v>1144</v>
      </c>
      <c r="E1294" s="80">
        <v>2.0</v>
      </c>
      <c r="F1294" s="32"/>
      <c r="G1294" s="32"/>
      <c r="H1294" s="32">
        <f t="shared" si="29"/>
        <v>500</v>
      </c>
      <c r="I1294" s="32"/>
      <c r="J1294" s="32"/>
      <c r="K1294" s="32"/>
      <c r="L1294" s="32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</row>
    <row r="1295" hidden="1">
      <c r="A1295" s="34" t="s">
        <v>352</v>
      </c>
      <c r="B1295" s="92" t="s">
        <v>1145</v>
      </c>
      <c r="C1295" s="92"/>
      <c r="D1295" s="92" t="s">
        <v>1147</v>
      </c>
      <c r="E1295" s="80">
        <v>3.0</v>
      </c>
      <c r="F1295" s="32"/>
      <c r="G1295" s="32"/>
      <c r="H1295" s="32">
        <f t="shared" si="29"/>
        <v>750</v>
      </c>
      <c r="I1295" s="32"/>
      <c r="J1295" s="32"/>
      <c r="K1295" s="32"/>
      <c r="L1295" s="32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</row>
    <row r="1296" hidden="1">
      <c r="A1296" s="34" t="s">
        <v>352</v>
      </c>
      <c r="B1296" s="92" t="s">
        <v>1183</v>
      </c>
      <c r="C1296" s="92"/>
      <c r="D1296" s="92" t="s">
        <v>1184</v>
      </c>
      <c r="E1296" s="80">
        <v>0.0</v>
      </c>
      <c r="F1296" s="32"/>
      <c r="G1296" s="32"/>
      <c r="H1296" s="32">
        <f t="shared" si="29"/>
        <v>0</v>
      </c>
      <c r="I1296" s="32"/>
      <c r="J1296" s="32"/>
      <c r="K1296" s="32"/>
      <c r="L1296" s="32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</row>
    <row r="1297" hidden="1">
      <c r="A1297" s="34" t="s">
        <v>352</v>
      </c>
      <c r="B1297" s="92" t="s">
        <v>1151</v>
      </c>
      <c r="C1297" s="92"/>
      <c r="D1297" s="92" t="s">
        <v>1153</v>
      </c>
      <c r="E1297" s="80">
        <v>3.0</v>
      </c>
      <c r="F1297" s="32"/>
      <c r="G1297" s="32"/>
      <c r="H1297" s="32">
        <f t="shared" si="29"/>
        <v>750</v>
      </c>
      <c r="I1297" s="32"/>
      <c r="J1297" s="32"/>
      <c r="K1297" s="32"/>
      <c r="L1297" s="32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</row>
    <row r="1298" hidden="1">
      <c r="A1298" s="34" t="s">
        <v>352</v>
      </c>
      <c r="B1298" s="92" t="s">
        <v>1139</v>
      </c>
      <c r="C1298" s="92"/>
      <c r="D1298" s="92" t="s">
        <v>1141</v>
      </c>
      <c r="E1298" s="80">
        <v>3.0</v>
      </c>
      <c r="F1298" s="32"/>
      <c r="G1298" s="32"/>
      <c r="H1298" s="32">
        <f t="shared" si="29"/>
        <v>750</v>
      </c>
      <c r="I1298" s="32"/>
      <c r="J1298" s="32"/>
      <c r="K1298" s="32"/>
      <c r="L1298" s="32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</row>
    <row r="1299" hidden="1">
      <c r="A1299" s="34" t="s">
        <v>353</v>
      </c>
      <c r="B1299" s="372" t="s">
        <v>1164</v>
      </c>
      <c r="C1299" s="372"/>
      <c r="D1299" s="372" t="s">
        <v>1166</v>
      </c>
      <c r="E1299" s="80">
        <v>7.0</v>
      </c>
      <c r="F1299" s="32"/>
      <c r="G1299" s="32"/>
      <c r="H1299" s="32">
        <f t="shared" si="29"/>
        <v>1750</v>
      </c>
      <c r="I1299" s="32"/>
      <c r="J1299" s="32"/>
      <c r="K1299" s="32"/>
      <c r="L1299" s="280">
        <f t="shared" ref="L1299:L1307" si="31">H1299+H1308</f>
        <v>2750</v>
      </c>
    </row>
    <row r="1300" hidden="1">
      <c r="A1300" s="34" t="s">
        <v>353</v>
      </c>
      <c r="B1300" s="372" t="s">
        <v>1148</v>
      </c>
      <c r="C1300" s="372"/>
      <c r="D1300" s="372" t="s">
        <v>1150</v>
      </c>
      <c r="E1300" s="80">
        <v>1.0</v>
      </c>
      <c r="F1300" s="32"/>
      <c r="G1300" s="32"/>
      <c r="H1300" s="32">
        <f t="shared" si="29"/>
        <v>250</v>
      </c>
      <c r="I1300" s="32"/>
      <c r="J1300" s="32"/>
      <c r="K1300" s="32"/>
      <c r="L1300" s="280">
        <f t="shared" si="31"/>
        <v>750</v>
      </c>
    </row>
    <row r="1301" hidden="1">
      <c r="A1301" s="34" t="s">
        <v>353</v>
      </c>
      <c r="B1301" s="372" t="s">
        <v>1136</v>
      </c>
      <c r="C1301" s="372"/>
      <c r="D1301" s="372" t="s">
        <v>1185</v>
      </c>
      <c r="E1301" s="80">
        <v>6.0</v>
      </c>
      <c r="F1301" s="32"/>
      <c r="G1301" s="32"/>
      <c r="H1301" s="32">
        <f t="shared" si="29"/>
        <v>1500</v>
      </c>
      <c r="I1301" s="32"/>
      <c r="J1301" s="32"/>
      <c r="K1301" s="32"/>
      <c r="L1301" s="280">
        <f t="shared" si="31"/>
        <v>2000</v>
      </c>
    </row>
    <row r="1302" hidden="1">
      <c r="A1302" s="34" t="s">
        <v>353</v>
      </c>
      <c r="B1302" s="372" t="s">
        <v>1154</v>
      </c>
      <c r="C1302" s="372"/>
      <c r="D1302" s="372" t="s">
        <v>1156</v>
      </c>
      <c r="E1302" s="80">
        <v>0.0</v>
      </c>
      <c r="F1302" s="32"/>
      <c r="G1302" s="32"/>
      <c r="H1302" s="32">
        <f t="shared" si="29"/>
        <v>0</v>
      </c>
      <c r="I1302" s="32"/>
      <c r="J1302" s="32"/>
      <c r="K1302" s="32"/>
      <c r="L1302" s="280">
        <f t="shared" si="31"/>
        <v>0</v>
      </c>
    </row>
    <row r="1303" hidden="1">
      <c r="A1303" s="34" t="s">
        <v>353</v>
      </c>
      <c r="B1303" s="372" t="s">
        <v>1142</v>
      </c>
      <c r="C1303" s="372"/>
      <c r="D1303" s="372" t="s">
        <v>1144</v>
      </c>
      <c r="E1303" s="80">
        <v>4.0</v>
      </c>
      <c r="F1303" s="32"/>
      <c r="G1303" s="32"/>
      <c r="H1303" s="32">
        <f t="shared" si="29"/>
        <v>1000</v>
      </c>
      <c r="I1303" s="32"/>
      <c r="J1303" s="32"/>
      <c r="K1303" s="32"/>
      <c r="L1303" s="280">
        <f t="shared" si="31"/>
        <v>1750</v>
      </c>
    </row>
    <row r="1304" hidden="1">
      <c r="A1304" s="34" t="s">
        <v>353</v>
      </c>
      <c r="B1304" s="372" t="s">
        <v>1145</v>
      </c>
      <c r="C1304" s="372"/>
      <c r="D1304" s="372" t="s">
        <v>1147</v>
      </c>
      <c r="E1304" s="80">
        <v>2.0</v>
      </c>
      <c r="F1304" s="32"/>
      <c r="G1304" s="32"/>
      <c r="H1304" s="32">
        <f t="shared" si="29"/>
        <v>500</v>
      </c>
      <c r="I1304" s="32"/>
      <c r="J1304" s="32"/>
      <c r="K1304" s="32"/>
      <c r="L1304" s="280">
        <f t="shared" si="31"/>
        <v>1500</v>
      </c>
    </row>
    <row r="1305" hidden="1">
      <c r="A1305" s="34" t="s">
        <v>353</v>
      </c>
      <c r="B1305" s="372" t="s">
        <v>1183</v>
      </c>
      <c r="C1305" s="372"/>
      <c r="D1305" s="372" t="s">
        <v>1184</v>
      </c>
      <c r="E1305" s="80">
        <v>0.0</v>
      </c>
      <c r="F1305" s="32"/>
      <c r="G1305" s="32"/>
      <c r="H1305" s="32">
        <f t="shared" si="29"/>
        <v>0</v>
      </c>
      <c r="I1305" s="32"/>
      <c r="J1305" s="32"/>
      <c r="K1305" s="32"/>
      <c r="L1305" s="280">
        <f t="shared" si="31"/>
        <v>0</v>
      </c>
    </row>
    <row r="1306" hidden="1">
      <c r="A1306" s="34" t="s">
        <v>353</v>
      </c>
      <c r="B1306" s="372" t="s">
        <v>1151</v>
      </c>
      <c r="C1306" s="372"/>
      <c r="D1306" s="372" t="s">
        <v>1153</v>
      </c>
      <c r="E1306" s="80">
        <v>1.0</v>
      </c>
      <c r="F1306" s="32"/>
      <c r="G1306" s="32"/>
      <c r="H1306" s="32">
        <f t="shared" si="29"/>
        <v>250</v>
      </c>
      <c r="I1306" s="32"/>
      <c r="J1306" s="32"/>
      <c r="K1306" s="32"/>
      <c r="L1306" s="280">
        <f t="shared" si="31"/>
        <v>500</v>
      </c>
    </row>
    <row r="1307" hidden="1">
      <c r="A1307" s="34" t="s">
        <v>353</v>
      </c>
      <c r="B1307" s="372" t="s">
        <v>1139</v>
      </c>
      <c r="C1307" s="372"/>
      <c r="D1307" s="372" t="s">
        <v>1141</v>
      </c>
      <c r="E1307" s="80">
        <v>5.0</v>
      </c>
      <c r="F1307" s="32"/>
      <c r="G1307" s="32"/>
      <c r="H1307" s="32">
        <f t="shared" si="29"/>
        <v>1250</v>
      </c>
      <c r="I1307" s="32"/>
      <c r="J1307" s="32"/>
      <c r="K1307" s="32"/>
      <c r="L1307" s="280">
        <f t="shared" si="31"/>
        <v>1750</v>
      </c>
    </row>
    <row r="1308" hidden="1">
      <c r="A1308" s="34" t="s">
        <v>354</v>
      </c>
      <c r="B1308" s="372"/>
      <c r="C1308" s="372"/>
      <c r="D1308" s="372" t="s">
        <v>1166</v>
      </c>
      <c r="E1308" s="80">
        <v>4.0</v>
      </c>
      <c r="F1308" s="32"/>
      <c r="G1308" s="32"/>
      <c r="H1308" s="32">
        <f t="shared" si="29"/>
        <v>1000</v>
      </c>
      <c r="I1308" s="32"/>
      <c r="J1308" s="32"/>
      <c r="K1308" s="32"/>
    </row>
    <row r="1309" hidden="1">
      <c r="A1309" s="34" t="s">
        <v>354</v>
      </c>
      <c r="B1309" s="372"/>
      <c r="C1309" s="372"/>
      <c r="D1309" s="372" t="s">
        <v>1150</v>
      </c>
      <c r="E1309" s="80">
        <v>2.0</v>
      </c>
      <c r="F1309" s="32"/>
      <c r="G1309" s="32"/>
      <c r="H1309" s="32">
        <f t="shared" si="29"/>
        <v>500</v>
      </c>
      <c r="I1309" s="32"/>
      <c r="J1309" s="32"/>
      <c r="K1309" s="32"/>
    </row>
    <row r="1310" hidden="1">
      <c r="A1310" s="34" t="s">
        <v>354</v>
      </c>
      <c r="B1310" s="372"/>
      <c r="C1310" s="372"/>
      <c r="D1310" s="372" t="s">
        <v>1138</v>
      </c>
      <c r="E1310" s="80">
        <v>2.0</v>
      </c>
      <c r="F1310" s="32"/>
      <c r="G1310" s="32"/>
      <c r="H1310" s="32">
        <f t="shared" si="29"/>
        <v>500</v>
      </c>
      <c r="I1310" s="32"/>
      <c r="J1310" s="32"/>
      <c r="K1310" s="32"/>
    </row>
    <row r="1311" hidden="1">
      <c r="A1311" s="34" t="s">
        <v>354</v>
      </c>
      <c r="B1311" s="372"/>
      <c r="C1311" s="372"/>
      <c r="D1311" s="372" t="s">
        <v>1156</v>
      </c>
      <c r="E1311" s="80">
        <v>0.0</v>
      </c>
      <c r="F1311" s="32"/>
      <c r="G1311" s="32"/>
      <c r="H1311" s="32">
        <f t="shared" si="29"/>
        <v>0</v>
      </c>
      <c r="I1311" s="32"/>
      <c r="J1311" s="32"/>
      <c r="K1311" s="32"/>
    </row>
    <row r="1312" hidden="1">
      <c r="A1312" s="34" t="s">
        <v>354</v>
      </c>
      <c r="B1312" s="372"/>
      <c r="C1312" s="372"/>
      <c r="D1312" s="372" t="s">
        <v>1144</v>
      </c>
      <c r="E1312" s="80">
        <v>3.0</v>
      </c>
      <c r="F1312" s="32"/>
      <c r="G1312" s="32"/>
      <c r="H1312" s="32">
        <f t="shared" si="29"/>
        <v>750</v>
      </c>
      <c r="I1312" s="32"/>
      <c r="J1312" s="32"/>
      <c r="K1312" s="32"/>
    </row>
    <row r="1313" hidden="1">
      <c r="A1313" s="34" t="s">
        <v>354</v>
      </c>
      <c r="B1313" s="372"/>
      <c r="C1313" s="372"/>
      <c r="D1313" s="372" t="s">
        <v>1147</v>
      </c>
      <c r="E1313" s="80">
        <v>4.0</v>
      </c>
      <c r="F1313" s="32"/>
      <c r="G1313" s="32"/>
      <c r="H1313" s="32">
        <f t="shared" si="29"/>
        <v>1000</v>
      </c>
      <c r="I1313" s="32"/>
      <c r="J1313" s="32"/>
      <c r="K1313" s="32"/>
    </row>
    <row r="1314" hidden="1">
      <c r="A1314" s="34" t="s">
        <v>354</v>
      </c>
      <c r="B1314" s="372"/>
      <c r="C1314" s="372"/>
      <c r="D1314" s="372" t="s">
        <v>1184</v>
      </c>
      <c r="E1314" s="80">
        <v>0.0</v>
      </c>
      <c r="F1314" s="32"/>
      <c r="G1314" s="32"/>
      <c r="H1314" s="32">
        <f t="shared" si="29"/>
        <v>0</v>
      </c>
      <c r="I1314" s="32"/>
      <c r="J1314" s="32"/>
      <c r="K1314" s="32"/>
    </row>
    <row r="1315" hidden="1">
      <c r="A1315" s="34" t="s">
        <v>354</v>
      </c>
      <c r="B1315" s="372"/>
      <c r="C1315" s="372"/>
      <c r="D1315" s="372" t="s">
        <v>1153</v>
      </c>
      <c r="E1315" s="80">
        <v>1.0</v>
      </c>
      <c r="F1315" s="32"/>
      <c r="G1315" s="32"/>
      <c r="H1315" s="32">
        <f t="shared" si="29"/>
        <v>250</v>
      </c>
      <c r="I1315" s="32"/>
      <c r="J1315" s="32"/>
      <c r="K1315" s="32"/>
    </row>
    <row r="1316" hidden="1">
      <c r="A1316" s="34" t="s">
        <v>354</v>
      </c>
      <c r="B1316" s="372"/>
      <c r="C1316" s="372"/>
      <c r="D1316" s="372" t="s">
        <v>1141</v>
      </c>
      <c r="E1316" s="80">
        <v>2.0</v>
      </c>
      <c r="F1316" s="32"/>
      <c r="G1316" s="32"/>
      <c r="H1316" s="32">
        <f t="shared" si="29"/>
        <v>500</v>
      </c>
      <c r="I1316" s="32"/>
      <c r="J1316" s="32"/>
      <c r="K1316" s="32"/>
    </row>
    <row r="1317">
      <c r="A1317" s="247"/>
      <c r="B1317" s="373"/>
      <c r="C1317" s="373"/>
      <c r="D1317" s="373"/>
      <c r="E1317" s="247"/>
      <c r="F1317" s="247"/>
      <c r="G1317" s="39"/>
      <c r="H1317" s="39"/>
      <c r="I1317" s="247"/>
      <c r="J1317" s="247"/>
      <c r="K1317" s="247"/>
      <c r="L1317" s="247"/>
      <c r="M1317" s="247"/>
      <c r="N1317" s="247"/>
      <c r="O1317" s="247"/>
      <c r="P1317" s="247"/>
      <c r="Q1317" s="247"/>
      <c r="R1317" s="247"/>
      <c r="S1317" s="247"/>
      <c r="T1317" s="247"/>
      <c r="U1317" s="247"/>
      <c r="V1317" s="247"/>
      <c r="W1317" s="247"/>
      <c r="X1317" s="247"/>
      <c r="Y1317" s="247"/>
      <c r="Z1317" s="247"/>
      <c r="AA1317" s="247"/>
      <c r="AB1317" s="247"/>
      <c r="AC1317" s="247"/>
    </row>
    <row r="1318">
      <c r="A1318" s="247"/>
      <c r="B1318" s="373"/>
      <c r="C1318" s="373"/>
      <c r="D1318" s="373"/>
      <c r="E1318" s="247"/>
      <c r="F1318" s="247"/>
      <c r="G1318" s="247"/>
      <c r="H1318" s="247"/>
      <c r="I1318" s="247"/>
      <c r="J1318" s="247"/>
      <c r="K1318" s="247"/>
      <c r="L1318" s="247"/>
      <c r="M1318" s="247"/>
      <c r="N1318" s="247"/>
      <c r="O1318" s="247"/>
      <c r="P1318" s="247"/>
      <c r="Q1318" s="247"/>
      <c r="R1318" s="247"/>
      <c r="S1318" s="247"/>
      <c r="T1318" s="247"/>
      <c r="U1318" s="247"/>
      <c r="V1318" s="247"/>
      <c r="W1318" s="247"/>
      <c r="X1318" s="247"/>
      <c r="Y1318" s="247"/>
      <c r="Z1318" s="247"/>
      <c r="AA1318" s="247"/>
      <c r="AB1318" s="247"/>
      <c r="AC1318" s="247"/>
    </row>
    <row r="1319">
      <c r="A1319" s="247"/>
      <c r="B1319" s="373"/>
      <c r="C1319" s="373"/>
      <c r="D1319" s="373"/>
      <c r="E1319" s="247"/>
      <c r="F1319" s="247"/>
      <c r="G1319" s="247"/>
      <c r="H1319" s="247"/>
      <c r="I1319" s="247"/>
      <c r="J1319" s="247"/>
      <c r="K1319" s="247"/>
      <c r="L1319" s="247"/>
      <c r="M1319" s="247"/>
      <c r="N1319" s="247"/>
      <c r="O1319" s="247"/>
      <c r="P1319" s="247"/>
      <c r="Q1319" s="247"/>
      <c r="R1319" s="247"/>
      <c r="S1319" s="247"/>
      <c r="T1319" s="247"/>
      <c r="U1319" s="247"/>
      <c r="V1319" s="247"/>
      <c r="W1319" s="247"/>
      <c r="X1319" s="247"/>
      <c r="Y1319" s="247"/>
      <c r="Z1319" s="247"/>
      <c r="AA1319" s="247"/>
      <c r="AB1319" s="247"/>
      <c r="AC1319" s="247"/>
    </row>
    <row r="1320">
      <c r="A1320" s="247"/>
      <c r="B1320" s="373"/>
      <c r="C1320" s="373"/>
      <c r="D1320" s="373"/>
      <c r="E1320" s="247"/>
      <c r="F1320" s="247"/>
      <c r="G1320" s="247"/>
      <c r="H1320" s="247"/>
      <c r="I1320" s="247"/>
      <c r="J1320" s="247"/>
      <c r="K1320" s="247"/>
      <c r="L1320" s="247"/>
      <c r="M1320" s="247"/>
      <c r="N1320" s="247"/>
      <c r="O1320" s="247"/>
      <c r="P1320" s="247"/>
      <c r="Q1320" s="247"/>
      <c r="R1320" s="247"/>
      <c r="S1320" s="247"/>
      <c r="T1320" s="247"/>
      <c r="U1320" s="247"/>
      <c r="V1320" s="247"/>
      <c r="W1320" s="247"/>
      <c r="X1320" s="247"/>
      <c r="Y1320" s="247"/>
      <c r="Z1320" s="247"/>
      <c r="AA1320" s="247"/>
      <c r="AB1320" s="247"/>
      <c r="AC1320" s="247"/>
    </row>
    <row r="1321">
      <c r="A1321" s="247"/>
      <c r="B1321" s="373"/>
      <c r="C1321" s="373"/>
      <c r="D1321" s="373"/>
      <c r="E1321" s="247"/>
      <c r="F1321" s="247"/>
      <c r="G1321" s="247"/>
      <c r="H1321" s="247"/>
      <c r="I1321" s="247"/>
      <c r="J1321" s="247"/>
      <c r="K1321" s="247"/>
      <c r="L1321" s="247"/>
      <c r="M1321" s="247"/>
      <c r="N1321" s="247"/>
      <c r="O1321" s="247"/>
      <c r="P1321" s="247"/>
      <c r="Q1321" s="247"/>
      <c r="R1321" s="247"/>
      <c r="S1321" s="247"/>
      <c r="T1321" s="247"/>
      <c r="U1321" s="247"/>
      <c r="V1321" s="247"/>
      <c r="W1321" s="247"/>
      <c r="X1321" s="247"/>
      <c r="Y1321" s="247"/>
      <c r="Z1321" s="247"/>
      <c r="AA1321" s="247"/>
      <c r="AB1321" s="247"/>
      <c r="AC1321" s="247"/>
    </row>
    <row r="1322">
      <c r="A1322" s="247"/>
      <c r="B1322" s="373"/>
      <c r="C1322" s="373"/>
      <c r="D1322" s="373"/>
      <c r="E1322" s="247"/>
      <c r="F1322" s="247"/>
      <c r="G1322" s="247"/>
      <c r="H1322" s="247"/>
      <c r="I1322" s="247"/>
      <c r="J1322" s="247"/>
      <c r="K1322" s="247"/>
      <c r="L1322" s="247"/>
      <c r="M1322" s="247"/>
      <c r="N1322" s="247"/>
      <c r="O1322" s="247"/>
      <c r="P1322" s="247"/>
      <c r="Q1322" s="247"/>
      <c r="R1322" s="247"/>
      <c r="S1322" s="247"/>
      <c r="T1322" s="247"/>
      <c r="U1322" s="247"/>
      <c r="V1322" s="247"/>
      <c r="W1322" s="247"/>
      <c r="X1322" s="247"/>
      <c r="Y1322" s="247"/>
      <c r="Z1322" s="247"/>
      <c r="AA1322" s="247"/>
      <c r="AB1322" s="247"/>
      <c r="AC1322" s="247"/>
    </row>
    <row r="1323">
      <c r="A1323" s="247"/>
      <c r="B1323" s="373"/>
      <c r="C1323" s="373"/>
      <c r="D1323" s="373"/>
      <c r="E1323" s="247"/>
      <c r="F1323" s="247"/>
      <c r="G1323" s="247"/>
      <c r="H1323" s="247"/>
      <c r="I1323" s="247"/>
      <c r="J1323" s="247"/>
      <c r="K1323" s="247"/>
      <c r="L1323" s="247"/>
      <c r="M1323" s="247"/>
      <c r="N1323" s="247"/>
      <c r="O1323" s="247"/>
      <c r="P1323" s="247"/>
      <c r="Q1323" s="247"/>
      <c r="R1323" s="247"/>
      <c r="S1323" s="247"/>
      <c r="T1323" s="247"/>
      <c r="U1323" s="247"/>
      <c r="V1323" s="247"/>
      <c r="W1323" s="247"/>
      <c r="X1323" s="247"/>
      <c r="Y1323" s="247"/>
      <c r="Z1323" s="247"/>
      <c r="AA1323" s="247"/>
      <c r="AB1323" s="247"/>
      <c r="AC1323" s="247"/>
    </row>
    <row r="1324">
      <c r="A1324" s="247"/>
      <c r="B1324" s="373"/>
      <c r="C1324" s="373"/>
      <c r="D1324" s="373"/>
      <c r="E1324" s="247"/>
      <c r="F1324" s="247"/>
      <c r="G1324" s="247"/>
      <c r="H1324" s="247"/>
      <c r="I1324" s="247"/>
      <c r="J1324" s="247"/>
      <c r="K1324" s="247"/>
      <c r="L1324" s="247"/>
      <c r="M1324" s="247"/>
      <c r="N1324" s="247"/>
      <c r="O1324" s="247"/>
      <c r="P1324" s="247"/>
      <c r="Q1324" s="247"/>
      <c r="R1324" s="247"/>
      <c r="S1324" s="247"/>
      <c r="T1324" s="247"/>
      <c r="U1324" s="247"/>
      <c r="V1324" s="247"/>
      <c r="W1324" s="247"/>
      <c r="X1324" s="247"/>
      <c r="Y1324" s="247"/>
      <c r="Z1324" s="247"/>
      <c r="AA1324" s="247"/>
      <c r="AB1324" s="247"/>
      <c r="AC1324" s="247"/>
    </row>
    <row r="1325">
      <c r="A1325" s="247"/>
      <c r="B1325" s="373"/>
      <c r="C1325" s="373"/>
      <c r="D1325" s="373"/>
      <c r="E1325" s="247"/>
      <c r="F1325" s="247"/>
      <c r="G1325" s="247"/>
      <c r="H1325" s="247"/>
      <c r="I1325" s="247"/>
      <c r="J1325" s="247"/>
      <c r="K1325" s="247"/>
      <c r="L1325" s="247"/>
      <c r="M1325" s="247"/>
      <c r="N1325" s="247"/>
      <c r="O1325" s="247"/>
      <c r="P1325" s="247"/>
      <c r="Q1325" s="247"/>
      <c r="R1325" s="247"/>
      <c r="S1325" s="247"/>
      <c r="T1325" s="247"/>
      <c r="U1325" s="247"/>
      <c r="V1325" s="247"/>
      <c r="W1325" s="247"/>
      <c r="X1325" s="247"/>
      <c r="Y1325" s="247"/>
      <c r="Z1325" s="247"/>
      <c r="AA1325" s="247"/>
      <c r="AB1325" s="247"/>
      <c r="AC1325" s="247"/>
    </row>
    <row r="1326">
      <c r="A1326" s="247"/>
      <c r="B1326" s="373"/>
      <c r="C1326" s="373"/>
      <c r="D1326" s="373"/>
      <c r="E1326" s="247"/>
      <c r="F1326" s="247"/>
      <c r="G1326" s="247"/>
      <c r="H1326" s="247"/>
      <c r="I1326" s="247"/>
      <c r="J1326" s="247"/>
      <c r="K1326" s="247"/>
      <c r="L1326" s="247"/>
      <c r="M1326" s="247"/>
      <c r="N1326" s="247"/>
      <c r="O1326" s="247"/>
      <c r="P1326" s="247"/>
      <c r="Q1326" s="247"/>
      <c r="R1326" s="247"/>
      <c r="S1326" s="247"/>
      <c r="T1326" s="247"/>
      <c r="U1326" s="247"/>
      <c r="V1326" s="247"/>
      <c r="W1326" s="247"/>
      <c r="X1326" s="247"/>
      <c r="Y1326" s="247"/>
      <c r="Z1326" s="247"/>
      <c r="AA1326" s="247"/>
      <c r="AB1326" s="247"/>
      <c r="AC1326" s="247"/>
    </row>
    <row r="1327">
      <c r="A1327" s="247"/>
      <c r="B1327" s="373"/>
      <c r="C1327" s="373"/>
      <c r="D1327" s="373"/>
      <c r="E1327" s="247"/>
      <c r="F1327" s="247"/>
      <c r="G1327" s="247"/>
      <c r="H1327" s="247"/>
      <c r="I1327" s="247"/>
      <c r="J1327" s="247"/>
      <c r="K1327" s="247"/>
      <c r="L1327" s="247"/>
      <c r="M1327" s="247"/>
      <c r="N1327" s="247"/>
      <c r="O1327" s="247"/>
      <c r="P1327" s="247"/>
      <c r="Q1327" s="247"/>
      <c r="R1327" s="247"/>
      <c r="S1327" s="247"/>
      <c r="T1327" s="247"/>
      <c r="U1327" s="247"/>
      <c r="V1327" s="247"/>
      <c r="W1327" s="247"/>
      <c r="X1327" s="247"/>
      <c r="Y1327" s="247"/>
      <c r="Z1327" s="247"/>
      <c r="AA1327" s="247"/>
      <c r="AB1327" s="247"/>
      <c r="AC1327" s="247"/>
    </row>
    <row r="1328">
      <c r="A1328" s="247"/>
      <c r="B1328" s="373"/>
      <c r="C1328" s="373"/>
      <c r="D1328" s="373"/>
      <c r="E1328" s="247"/>
      <c r="F1328" s="247"/>
      <c r="G1328" s="247"/>
      <c r="H1328" s="247"/>
      <c r="I1328" s="247"/>
      <c r="J1328" s="247"/>
      <c r="K1328" s="247"/>
      <c r="L1328" s="247"/>
      <c r="M1328" s="247"/>
      <c r="N1328" s="247"/>
      <c r="O1328" s="247"/>
      <c r="P1328" s="247"/>
      <c r="Q1328" s="247"/>
      <c r="R1328" s="247"/>
      <c r="S1328" s="247"/>
      <c r="T1328" s="247"/>
      <c r="U1328" s="247"/>
      <c r="V1328" s="247"/>
      <c r="W1328" s="247"/>
      <c r="X1328" s="247"/>
      <c r="Y1328" s="247"/>
      <c r="Z1328" s="247"/>
      <c r="AA1328" s="247"/>
      <c r="AB1328" s="247"/>
      <c r="AC1328" s="247"/>
    </row>
    <row r="1329">
      <c r="A1329" s="247"/>
      <c r="B1329" s="373"/>
      <c r="C1329" s="373"/>
      <c r="D1329" s="373"/>
      <c r="E1329" s="247"/>
      <c r="F1329" s="247"/>
      <c r="G1329" s="247"/>
      <c r="H1329" s="247"/>
      <c r="I1329" s="247"/>
      <c r="J1329" s="247"/>
      <c r="K1329" s="247"/>
      <c r="L1329" s="247"/>
      <c r="M1329" s="247"/>
      <c r="N1329" s="247"/>
      <c r="O1329" s="247"/>
      <c r="P1329" s="247"/>
      <c r="Q1329" s="247"/>
      <c r="R1329" s="247"/>
      <c r="S1329" s="247"/>
      <c r="T1329" s="247"/>
      <c r="U1329" s="247"/>
      <c r="V1329" s="247"/>
      <c r="W1329" s="247"/>
      <c r="X1329" s="247"/>
      <c r="Y1329" s="247"/>
      <c r="Z1329" s="247"/>
      <c r="AA1329" s="247"/>
      <c r="AB1329" s="247"/>
      <c r="AC1329" s="247"/>
    </row>
    <row r="1330">
      <c r="A1330" s="247"/>
      <c r="B1330" s="373"/>
      <c r="C1330" s="373"/>
      <c r="D1330" s="373"/>
      <c r="E1330" s="247"/>
      <c r="F1330" s="247"/>
      <c r="G1330" s="247"/>
      <c r="H1330" s="247"/>
      <c r="I1330" s="247"/>
      <c r="J1330" s="247"/>
      <c r="K1330" s="247"/>
      <c r="L1330" s="247"/>
      <c r="M1330" s="247"/>
      <c r="N1330" s="247"/>
      <c r="O1330" s="247"/>
      <c r="P1330" s="247"/>
      <c r="Q1330" s="247"/>
      <c r="R1330" s="247"/>
      <c r="S1330" s="247"/>
      <c r="T1330" s="247"/>
      <c r="U1330" s="247"/>
      <c r="V1330" s="247"/>
      <c r="W1330" s="247"/>
      <c r="X1330" s="247"/>
      <c r="Y1330" s="247"/>
      <c r="Z1330" s="247"/>
      <c r="AA1330" s="247"/>
      <c r="AB1330" s="247"/>
      <c r="AC1330" s="247"/>
    </row>
    <row r="1331">
      <c r="A1331" s="247"/>
      <c r="B1331" s="373"/>
      <c r="C1331" s="373"/>
      <c r="D1331" s="373"/>
      <c r="E1331" s="247"/>
      <c r="F1331" s="247"/>
      <c r="G1331" s="247"/>
      <c r="H1331" s="247"/>
      <c r="I1331" s="247"/>
      <c r="J1331" s="247"/>
      <c r="K1331" s="247"/>
      <c r="L1331" s="247"/>
      <c r="M1331" s="247"/>
      <c r="N1331" s="247"/>
      <c r="O1331" s="247"/>
      <c r="P1331" s="247"/>
      <c r="Q1331" s="247"/>
      <c r="R1331" s="247"/>
      <c r="S1331" s="247"/>
      <c r="T1331" s="247"/>
      <c r="U1331" s="247"/>
      <c r="V1331" s="247"/>
      <c r="W1331" s="247"/>
      <c r="X1331" s="247"/>
      <c r="Y1331" s="247"/>
      <c r="Z1331" s="247"/>
      <c r="AA1331" s="247"/>
      <c r="AB1331" s="247"/>
      <c r="AC1331" s="247"/>
    </row>
    <row r="1332">
      <c r="A1332" s="247"/>
      <c r="B1332" s="373"/>
      <c r="C1332" s="373"/>
      <c r="D1332" s="373"/>
      <c r="E1332" s="247"/>
      <c r="F1332" s="247"/>
      <c r="G1332" s="247"/>
      <c r="H1332" s="247"/>
      <c r="I1332" s="247"/>
      <c r="J1332" s="247"/>
      <c r="K1332" s="247"/>
      <c r="L1332" s="247"/>
      <c r="M1332" s="247"/>
      <c r="N1332" s="247"/>
      <c r="O1332" s="247"/>
      <c r="P1332" s="247"/>
      <c r="Q1332" s="247"/>
      <c r="R1332" s="247"/>
      <c r="S1332" s="247"/>
      <c r="T1332" s="247"/>
      <c r="U1332" s="247"/>
      <c r="V1332" s="247"/>
      <c r="W1332" s="247"/>
      <c r="X1332" s="247"/>
      <c r="Y1332" s="247"/>
      <c r="Z1332" s="247"/>
      <c r="AA1332" s="247"/>
      <c r="AB1332" s="247"/>
      <c r="AC1332" s="247"/>
    </row>
    <row r="1333">
      <c r="A1333" s="247"/>
      <c r="B1333" s="373"/>
      <c r="C1333" s="373"/>
      <c r="D1333" s="373"/>
      <c r="E1333" s="247"/>
      <c r="F1333" s="247"/>
      <c r="G1333" s="247"/>
      <c r="H1333" s="247"/>
      <c r="I1333" s="247"/>
      <c r="J1333" s="247"/>
      <c r="K1333" s="247"/>
      <c r="L1333" s="247"/>
      <c r="M1333" s="247"/>
      <c r="N1333" s="247"/>
      <c r="O1333" s="247"/>
      <c r="P1333" s="247"/>
      <c r="Q1333" s="247"/>
      <c r="R1333" s="247"/>
      <c r="S1333" s="247"/>
      <c r="T1333" s="247"/>
      <c r="U1333" s="247"/>
      <c r="V1333" s="247"/>
      <c r="W1333" s="247"/>
      <c r="X1333" s="247"/>
      <c r="Y1333" s="247"/>
      <c r="Z1333" s="247"/>
      <c r="AA1333" s="247"/>
      <c r="AB1333" s="247"/>
      <c r="AC1333" s="247"/>
    </row>
    <row r="1334">
      <c r="A1334" s="247"/>
      <c r="B1334" s="373"/>
      <c r="C1334" s="373"/>
      <c r="D1334" s="373"/>
      <c r="E1334" s="247"/>
      <c r="F1334" s="247"/>
      <c r="G1334" s="247"/>
      <c r="H1334" s="247"/>
      <c r="I1334" s="247"/>
      <c r="J1334" s="247"/>
      <c r="K1334" s="247"/>
      <c r="L1334" s="247"/>
      <c r="M1334" s="247"/>
      <c r="N1334" s="247"/>
      <c r="O1334" s="247"/>
      <c r="P1334" s="247"/>
      <c r="Q1334" s="247"/>
      <c r="R1334" s="247"/>
      <c r="S1334" s="247"/>
      <c r="T1334" s="247"/>
      <c r="U1334" s="247"/>
      <c r="V1334" s="247"/>
      <c r="W1334" s="247"/>
      <c r="X1334" s="247"/>
      <c r="Y1334" s="247"/>
      <c r="Z1334" s="247"/>
      <c r="AA1334" s="247"/>
      <c r="AB1334" s="247"/>
      <c r="AC1334" s="247"/>
    </row>
    <row r="1335">
      <c r="A1335" s="247"/>
      <c r="B1335" s="373"/>
      <c r="C1335" s="373"/>
      <c r="D1335" s="373"/>
      <c r="E1335" s="247"/>
      <c r="F1335" s="247"/>
      <c r="G1335" s="247"/>
      <c r="H1335" s="247"/>
      <c r="I1335" s="247"/>
      <c r="J1335" s="247"/>
      <c r="K1335" s="247"/>
      <c r="L1335" s="247"/>
      <c r="M1335" s="247"/>
      <c r="N1335" s="247"/>
      <c r="O1335" s="247"/>
      <c r="P1335" s="247"/>
      <c r="Q1335" s="247"/>
      <c r="R1335" s="247"/>
      <c r="S1335" s="247"/>
      <c r="T1335" s="247"/>
      <c r="U1335" s="247"/>
      <c r="V1335" s="247"/>
      <c r="W1335" s="247"/>
      <c r="X1335" s="247"/>
      <c r="Y1335" s="247"/>
      <c r="Z1335" s="247"/>
      <c r="AA1335" s="247"/>
      <c r="AB1335" s="247"/>
      <c r="AC1335" s="247"/>
    </row>
    <row r="1336">
      <c r="A1336" s="247"/>
      <c r="B1336" s="373"/>
      <c r="C1336" s="373"/>
      <c r="D1336" s="373"/>
      <c r="E1336" s="247"/>
      <c r="F1336" s="247"/>
      <c r="G1336" s="247"/>
      <c r="H1336" s="247"/>
      <c r="I1336" s="247"/>
      <c r="J1336" s="247"/>
      <c r="K1336" s="247"/>
      <c r="L1336" s="247"/>
      <c r="M1336" s="247"/>
      <c r="N1336" s="247"/>
      <c r="O1336" s="247"/>
      <c r="P1336" s="247"/>
      <c r="Q1336" s="247"/>
      <c r="R1336" s="247"/>
      <c r="S1336" s="247"/>
      <c r="T1336" s="247"/>
      <c r="U1336" s="247"/>
      <c r="V1336" s="247"/>
      <c r="W1336" s="247"/>
      <c r="X1336" s="247"/>
      <c r="Y1336" s="247"/>
      <c r="Z1336" s="247"/>
      <c r="AA1336" s="247"/>
      <c r="AB1336" s="247"/>
      <c r="AC1336" s="247"/>
    </row>
    <row r="1337">
      <c r="A1337" s="247"/>
      <c r="B1337" s="373"/>
      <c r="C1337" s="373"/>
      <c r="D1337" s="373"/>
      <c r="E1337" s="247"/>
      <c r="F1337" s="247"/>
      <c r="G1337" s="247"/>
      <c r="H1337" s="247"/>
      <c r="I1337" s="247"/>
      <c r="J1337" s="247"/>
      <c r="K1337" s="247"/>
      <c r="L1337" s="247"/>
      <c r="M1337" s="247"/>
      <c r="N1337" s="247"/>
      <c r="O1337" s="247"/>
      <c r="P1337" s="247"/>
      <c r="Q1337" s="247"/>
      <c r="R1337" s="247"/>
      <c r="S1337" s="247"/>
      <c r="T1337" s="247"/>
      <c r="U1337" s="247"/>
      <c r="V1337" s="247"/>
      <c r="W1337" s="247"/>
      <c r="X1337" s="247"/>
      <c r="Y1337" s="247"/>
      <c r="Z1337" s="247"/>
      <c r="AA1337" s="247"/>
      <c r="AB1337" s="247"/>
      <c r="AC1337" s="247"/>
    </row>
    <row r="1338">
      <c r="A1338" s="247"/>
      <c r="B1338" s="373"/>
      <c r="C1338" s="373"/>
      <c r="D1338" s="373"/>
      <c r="E1338" s="247"/>
      <c r="F1338" s="247"/>
      <c r="G1338" s="247"/>
      <c r="H1338" s="247"/>
      <c r="I1338" s="247"/>
      <c r="J1338" s="247"/>
      <c r="K1338" s="247"/>
      <c r="L1338" s="247"/>
      <c r="M1338" s="247"/>
      <c r="N1338" s="247"/>
      <c r="O1338" s="247"/>
      <c r="P1338" s="247"/>
      <c r="Q1338" s="247"/>
      <c r="R1338" s="247"/>
      <c r="S1338" s="247"/>
      <c r="T1338" s="247"/>
      <c r="U1338" s="247"/>
      <c r="V1338" s="247"/>
      <c r="W1338" s="247"/>
      <c r="X1338" s="247"/>
      <c r="Y1338" s="247"/>
      <c r="Z1338" s="247"/>
      <c r="AA1338" s="247"/>
      <c r="AB1338" s="247"/>
      <c r="AC1338" s="247"/>
    </row>
    <row r="1339">
      <c r="A1339" s="247"/>
      <c r="B1339" s="373"/>
      <c r="C1339" s="373"/>
      <c r="D1339" s="373"/>
      <c r="E1339" s="247"/>
      <c r="F1339" s="247"/>
      <c r="G1339" s="247"/>
      <c r="H1339" s="247"/>
      <c r="I1339" s="247"/>
      <c r="J1339" s="247"/>
      <c r="K1339" s="247"/>
      <c r="L1339" s="247"/>
      <c r="M1339" s="247"/>
      <c r="N1339" s="247"/>
      <c r="O1339" s="247"/>
      <c r="P1339" s="247"/>
      <c r="Q1339" s="247"/>
      <c r="R1339" s="247"/>
      <c r="S1339" s="247"/>
      <c r="T1339" s="247"/>
      <c r="U1339" s="247"/>
      <c r="V1339" s="247"/>
      <c r="W1339" s="247"/>
      <c r="X1339" s="247"/>
      <c r="Y1339" s="247"/>
      <c r="Z1339" s="247"/>
      <c r="AA1339" s="247"/>
      <c r="AB1339" s="247"/>
      <c r="AC1339" s="247"/>
    </row>
    <row r="1340">
      <c r="A1340" s="247"/>
      <c r="B1340" s="373"/>
      <c r="C1340" s="373"/>
      <c r="D1340" s="373"/>
      <c r="E1340" s="247"/>
      <c r="F1340" s="247"/>
      <c r="G1340" s="247"/>
      <c r="H1340" s="247"/>
      <c r="I1340" s="247"/>
      <c r="J1340" s="247"/>
      <c r="K1340" s="247"/>
      <c r="L1340" s="247"/>
      <c r="M1340" s="247"/>
      <c r="N1340" s="247"/>
      <c r="O1340" s="247"/>
      <c r="P1340" s="247"/>
      <c r="Q1340" s="247"/>
      <c r="R1340" s="247"/>
      <c r="S1340" s="247"/>
      <c r="T1340" s="247"/>
      <c r="U1340" s="247"/>
      <c r="V1340" s="247"/>
      <c r="W1340" s="247"/>
      <c r="X1340" s="247"/>
      <c r="Y1340" s="247"/>
      <c r="Z1340" s="247"/>
      <c r="AA1340" s="247"/>
      <c r="AB1340" s="247"/>
      <c r="AC1340" s="247"/>
    </row>
    <row r="1341">
      <c r="A1341" s="247"/>
      <c r="B1341" s="373"/>
      <c r="C1341" s="373"/>
      <c r="D1341" s="373"/>
      <c r="E1341" s="247"/>
      <c r="F1341" s="247"/>
      <c r="G1341" s="247"/>
      <c r="H1341" s="247"/>
      <c r="I1341" s="247"/>
      <c r="J1341" s="247"/>
      <c r="K1341" s="247"/>
      <c r="L1341" s="247"/>
      <c r="M1341" s="247"/>
      <c r="N1341" s="247"/>
      <c r="O1341" s="247"/>
      <c r="P1341" s="247"/>
      <c r="Q1341" s="247"/>
      <c r="R1341" s="247"/>
      <c r="S1341" s="247"/>
      <c r="T1341" s="247"/>
      <c r="U1341" s="247"/>
      <c r="V1341" s="247"/>
      <c r="W1341" s="247"/>
      <c r="X1341" s="247"/>
      <c r="Y1341" s="247"/>
      <c r="Z1341" s="247"/>
      <c r="AA1341" s="247"/>
      <c r="AB1341" s="247"/>
      <c r="AC1341" s="247"/>
    </row>
    <row r="1342">
      <c r="A1342" s="247"/>
      <c r="B1342" s="373"/>
      <c r="C1342" s="373"/>
      <c r="D1342" s="373"/>
      <c r="E1342" s="247"/>
      <c r="F1342" s="247"/>
      <c r="G1342" s="247"/>
      <c r="H1342" s="247"/>
      <c r="I1342" s="247"/>
      <c r="J1342" s="247"/>
      <c r="K1342" s="247"/>
      <c r="L1342" s="247"/>
      <c r="M1342" s="247"/>
      <c r="N1342" s="247"/>
      <c r="O1342" s="247"/>
      <c r="P1342" s="247"/>
      <c r="Q1342" s="247"/>
      <c r="R1342" s="247"/>
      <c r="S1342" s="247"/>
      <c r="T1342" s="247"/>
      <c r="U1342" s="247"/>
      <c r="V1342" s="247"/>
      <c r="W1342" s="247"/>
      <c r="X1342" s="247"/>
      <c r="Y1342" s="247"/>
      <c r="Z1342" s="247"/>
      <c r="AA1342" s="247"/>
      <c r="AB1342" s="247"/>
      <c r="AC1342" s="247"/>
    </row>
    <row r="1343">
      <c r="A1343" s="247"/>
      <c r="B1343" s="373"/>
      <c r="C1343" s="373"/>
      <c r="D1343" s="373"/>
      <c r="E1343" s="247"/>
      <c r="F1343" s="247"/>
      <c r="G1343" s="247"/>
      <c r="H1343" s="247"/>
      <c r="I1343" s="247"/>
      <c r="J1343" s="247"/>
      <c r="K1343" s="247"/>
      <c r="L1343" s="247"/>
      <c r="M1343" s="247"/>
      <c r="N1343" s="247"/>
      <c r="O1343" s="247"/>
      <c r="P1343" s="247"/>
      <c r="Q1343" s="247"/>
      <c r="R1343" s="247"/>
      <c r="S1343" s="247"/>
      <c r="T1343" s="247"/>
      <c r="U1343" s="247"/>
      <c r="V1343" s="247"/>
      <c r="W1343" s="247"/>
      <c r="X1343" s="247"/>
      <c r="Y1343" s="247"/>
      <c r="Z1343" s="247"/>
      <c r="AA1343" s="247"/>
      <c r="AB1343" s="247"/>
      <c r="AC1343" s="247"/>
    </row>
    <row r="1344">
      <c r="A1344" s="247"/>
      <c r="B1344" s="373"/>
      <c r="C1344" s="373"/>
      <c r="D1344" s="373"/>
      <c r="E1344" s="247"/>
      <c r="F1344" s="247"/>
      <c r="G1344" s="247"/>
      <c r="H1344" s="247"/>
      <c r="I1344" s="247"/>
      <c r="J1344" s="247"/>
      <c r="K1344" s="247"/>
      <c r="L1344" s="247"/>
      <c r="M1344" s="247"/>
      <c r="N1344" s="247"/>
      <c r="O1344" s="247"/>
      <c r="P1344" s="247"/>
      <c r="Q1344" s="247"/>
      <c r="R1344" s="247"/>
      <c r="S1344" s="247"/>
      <c r="T1344" s="247"/>
      <c r="U1344" s="247"/>
      <c r="V1344" s="247"/>
      <c r="W1344" s="247"/>
      <c r="X1344" s="247"/>
      <c r="Y1344" s="247"/>
      <c r="Z1344" s="247"/>
      <c r="AA1344" s="247"/>
      <c r="AB1344" s="247"/>
      <c r="AC1344" s="247"/>
    </row>
    <row r="1345">
      <c r="A1345" s="247"/>
      <c r="B1345" s="373"/>
      <c r="C1345" s="373"/>
      <c r="D1345" s="373"/>
      <c r="E1345" s="247"/>
      <c r="F1345" s="247"/>
      <c r="G1345" s="247"/>
      <c r="H1345" s="247"/>
      <c r="I1345" s="247"/>
      <c r="J1345" s="247"/>
      <c r="K1345" s="247"/>
      <c r="L1345" s="247"/>
      <c r="M1345" s="247"/>
      <c r="N1345" s="247"/>
      <c r="O1345" s="247"/>
      <c r="P1345" s="247"/>
      <c r="Q1345" s="247"/>
      <c r="R1345" s="247"/>
      <c r="S1345" s="247"/>
      <c r="T1345" s="247"/>
      <c r="U1345" s="247"/>
      <c r="V1345" s="247"/>
      <c r="W1345" s="247"/>
      <c r="X1345" s="247"/>
      <c r="Y1345" s="247"/>
      <c r="Z1345" s="247"/>
      <c r="AA1345" s="247"/>
      <c r="AB1345" s="247"/>
      <c r="AC1345" s="247"/>
    </row>
    <row r="1346">
      <c r="A1346" s="247"/>
      <c r="B1346" s="373"/>
      <c r="C1346" s="373"/>
      <c r="D1346" s="373"/>
      <c r="E1346" s="247"/>
      <c r="F1346" s="247"/>
      <c r="G1346" s="247"/>
      <c r="H1346" s="247"/>
      <c r="I1346" s="247"/>
      <c r="J1346" s="247"/>
      <c r="K1346" s="247"/>
      <c r="L1346" s="247"/>
      <c r="M1346" s="247"/>
      <c r="N1346" s="247"/>
      <c r="O1346" s="247"/>
      <c r="P1346" s="247"/>
      <c r="Q1346" s="247"/>
      <c r="R1346" s="247"/>
      <c r="S1346" s="247"/>
      <c r="T1346" s="247"/>
      <c r="U1346" s="247"/>
      <c r="V1346" s="247"/>
      <c r="W1346" s="247"/>
      <c r="X1346" s="247"/>
      <c r="Y1346" s="247"/>
      <c r="Z1346" s="247"/>
      <c r="AA1346" s="247"/>
      <c r="AB1346" s="247"/>
      <c r="AC1346" s="247"/>
    </row>
    <row r="1347">
      <c r="A1347" s="247"/>
      <c r="B1347" s="373"/>
      <c r="C1347" s="373"/>
      <c r="D1347" s="373"/>
      <c r="E1347" s="247"/>
      <c r="F1347" s="247"/>
      <c r="G1347" s="247"/>
      <c r="H1347" s="247"/>
      <c r="I1347" s="247"/>
      <c r="J1347" s="247"/>
      <c r="K1347" s="247"/>
      <c r="L1347" s="247"/>
      <c r="M1347" s="247"/>
      <c r="N1347" s="247"/>
      <c r="O1347" s="247"/>
      <c r="P1347" s="247"/>
      <c r="Q1347" s="247"/>
      <c r="R1347" s="247"/>
      <c r="S1347" s="247"/>
      <c r="T1347" s="247"/>
      <c r="U1347" s="247"/>
      <c r="V1347" s="247"/>
      <c r="W1347" s="247"/>
      <c r="X1347" s="247"/>
      <c r="Y1347" s="247"/>
      <c r="Z1347" s="247"/>
      <c r="AA1347" s="247"/>
      <c r="AB1347" s="247"/>
      <c r="AC1347" s="247"/>
    </row>
    <row r="1348">
      <c r="A1348" s="247"/>
      <c r="B1348" s="373"/>
      <c r="C1348" s="373"/>
      <c r="D1348" s="373"/>
      <c r="E1348" s="247"/>
      <c r="F1348" s="247"/>
      <c r="G1348" s="247"/>
      <c r="H1348" s="247"/>
      <c r="I1348" s="247"/>
      <c r="J1348" s="247"/>
      <c r="K1348" s="247"/>
      <c r="L1348" s="247"/>
      <c r="M1348" s="247"/>
      <c r="N1348" s="247"/>
      <c r="O1348" s="247"/>
      <c r="P1348" s="247"/>
      <c r="Q1348" s="247"/>
      <c r="R1348" s="247"/>
      <c r="S1348" s="247"/>
      <c r="T1348" s="247"/>
      <c r="U1348" s="247"/>
      <c r="V1348" s="247"/>
      <c r="W1348" s="247"/>
      <c r="X1348" s="247"/>
      <c r="Y1348" s="247"/>
      <c r="Z1348" s="247"/>
      <c r="AA1348" s="247"/>
      <c r="AB1348" s="247"/>
      <c r="AC1348" s="247"/>
    </row>
    <row r="1349">
      <c r="A1349" s="247"/>
      <c r="B1349" s="373"/>
      <c r="C1349" s="373"/>
      <c r="D1349" s="373"/>
      <c r="E1349" s="247"/>
      <c r="F1349" s="247"/>
      <c r="G1349" s="247"/>
      <c r="H1349" s="247"/>
      <c r="I1349" s="247"/>
      <c r="J1349" s="247"/>
      <c r="K1349" s="247"/>
      <c r="L1349" s="247"/>
      <c r="M1349" s="247"/>
      <c r="N1349" s="247"/>
      <c r="O1349" s="247"/>
      <c r="P1349" s="247"/>
      <c r="Q1349" s="247"/>
      <c r="R1349" s="247"/>
      <c r="S1349" s="247"/>
      <c r="T1349" s="247"/>
      <c r="U1349" s="247"/>
      <c r="V1349" s="247"/>
      <c r="W1349" s="247"/>
      <c r="X1349" s="247"/>
      <c r="Y1349" s="247"/>
      <c r="Z1349" s="247"/>
      <c r="AA1349" s="247"/>
      <c r="AB1349" s="247"/>
      <c r="AC1349" s="247"/>
    </row>
    <row r="1350">
      <c r="A1350" s="247"/>
      <c r="B1350" s="373"/>
      <c r="C1350" s="373"/>
      <c r="D1350" s="373"/>
      <c r="E1350" s="247"/>
      <c r="F1350" s="247"/>
      <c r="G1350" s="247"/>
      <c r="H1350" s="247"/>
      <c r="I1350" s="247"/>
      <c r="J1350" s="247"/>
      <c r="K1350" s="247"/>
      <c r="L1350" s="247"/>
      <c r="M1350" s="247"/>
      <c r="N1350" s="247"/>
      <c r="O1350" s="247"/>
      <c r="P1350" s="247"/>
      <c r="Q1350" s="247"/>
      <c r="R1350" s="247"/>
      <c r="S1350" s="247"/>
      <c r="T1350" s="247"/>
      <c r="U1350" s="247"/>
      <c r="V1350" s="247"/>
      <c r="W1350" s="247"/>
      <c r="X1350" s="247"/>
      <c r="Y1350" s="247"/>
      <c r="Z1350" s="247"/>
      <c r="AA1350" s="247"/>
      <c r="AB1350" s="247"/>
      <c r="AC1350" s="247"/>
    </row>
    <row r="1351">
      <c r="A1351" s="247"/>
      <c r="B1351" s="373"/>
      <c r="C1351" s="373"/>
      <c r="D1351" s="373"/>
      <c r="E1351" s="247"/>
      <c r="F1351" s="247"/>
      <c r="G1351" s="247"/>
      <c r="H1351" s="247"/>
      <c r="I1351" s="247"/>
      <c r="J1351" s="247"/>
      <c r="K1351" s="247"/>
      <c r="L1351" s="247"/>
      <c r="M1351" s="247"/>
      <c r="N1351" s="247"/>
      <c r="O1351" s="247"/>
      <c r="P1351" s="247"/>
      <c r="Q1351" s="247"/>
      <c r="R1351" s="247"/>
      <c r="S1351" s="247"/>
      <c r="T1351" s="247"/>
      <c r="U1351" s="247"/>
      <c r="V1351" s="247"/>
      <c r="W1351" s="247"/>
      <c r="X1351" s="247"/>
      <c r="Y1351" s="247"/>
      <c r="Z1351" s="247"/>
      <c r="AA1351" s="247"/>
      <c r="AB1351" s="247"/>
      <c r="AC1351" s="247"/>
    </row>
    <row r="1352">
      <c r="A1352" s="247"/>
      <c r="B1352" s="373"/>
      <c r="C1352" s="373"/>
      <c r="D1352" s="373"/>
      <c r="E1352" s="247"/>
      <c r="F1352" s="247"/>
      <c r="G1352" s="247"/>
      <c r="H1352" s="247"/>
      <c r="I1352" s="247"/>
      <c r="J1352" s="247"/>
      <c r="K1352" s="247"/>
      <c r="L1352" s="247"/>
      <c r="M1352" s="247"/>
      <c r="N1352" s="247"/>
      <c r="O1352" s="247"/>
      <c r="P1352" s="247"/>
      <c r="Q1352" s="247"/>
      <c r="R1352" s="247"/>
      <c r="S1352" s="247"/>
      <c r="T1352" s="247"/>
      <c r="U1352" s="247"/>
      <c r="V1352" s="247"/>
      <c r="W1352" s="247"/>
      <c r="X1352" s="247"/>
      <c r="Y1352" s="247"/>
      <c r="Z1352" s="247"/>
      <c r="AA1352" s="247"/>
      <c r="AB1352" s="247"/>
      <c r="AC1352" s="247"/>
    </row>
    <row r="1353">
      <c r="A1353" s="247"/>
      <c r="B1353" s="373"/>
      <c r="C1353" s="373"/>
      <c r="D1353" s="373"/>
      <c r="E1353" s="247"/>
      <c r="F1353" s="247"/>
      <c r="G1353" s="247"/>
      <c r="H1353" s="247"/>
      <c r="I1353" s="247"/>
      <c r="J1353" s="247"/>
      <c r="K1353" s="247"/>
      <c r="L1353" s="247"/>
      <c r="M1353" s="247"/>
      <c r="N1353" s="247"/>
      <c r="O1353" s="247"/>
      <c r="P1353" s="247"/>
      <c r="Q1353" s="247"/>
      <c r="R1353" s="247"/>
      <c r="S1353" s="247"/>
      <c r="T1353" s="247"/>
      <c r="U1353" s="247"/>
      <c r="V1353" s="247"/>
      <c r="W1353" s="247"/>
      <c r="X1353" s="247"/>
      <c r="Y1353" s="247"/>
      <c r="Z1353" s="247"/>
      <c r="AA1353" s="247"/>
      <c r="AB1353" s="247"/>
      <c r="AC1353" s="247"/>
    </row>
    <row r="1354">
      <c r="A1354" s="247"/>
      <c r="B1354" s="373"/>
      <c r="C1354" s="373"/>
      <c r="D1354" s="373"/>
      <c r="E1354" s="247"/>
      <c r="F1354" s="247"/>
      <c r="G1354" s="247"/>
      <c r="H1354" s="247"/>
      <c r="I1354" s="247"/>
      <c r="J1354" s="247"/>
      <c r="K1354" s="247"/>
      <c r="L1354" s="247"/>
      <c r="M1354" s="247"/>
      <c r="N1354" s="247"/>
      <c r="O1354" s="247"/>
      <c r="P1354" s="247"/>
      <c r="Q1354" s="247"/>
      <c r="R1354" s="247"/>
      <c r="S1354" s="247"/>
      <c r="T1354" s="247"/>
      <c r="U1354" s="247"/>
      <c r="V1354" s="247"/>
      <c r="W1354" s="247"/>
      <c r="X1354" s="247"/>
      <c r="Y1354" s="247"/>
      <c r="Z1354" s="247"/>
      <c r="AA1354" s="247"/>
      <c r="AB1354" s="247"/>
      <c r="AC1354" s="247"/>
    </row>
    <row r="1355">
      <c r="A1355" s="247"/>
      <c r="B1355" s="373"/>
      <c r="C1355" s="373"/>
      <c r="D1355" s="373"/>
      <c r="E1355" s="247"/>
      <c r="F1355" s="247"/>
      <c r="G1355" s="247"/>
      <c r="H1355" s="247"/>
      <c r="I1355" s="247"/>
      <c r="J1355" s="247"/>
      <c r="K1355" s="247"/>
      <c r="L1355" s="247"/>
      <c r="M1355" s="247"/>
      <c r="N1355" s="247"/>
      <c r="O1355" s="247"/>
      <c r="P1355" s="247"/>
      <c r="Q1355" s="247"/>
      <c r="R1355" s="247"/>
      <c r="S1355" s="247"/>
      <c r="T1355" s="247"/>
      <c r="U1355" s="247"/>
      <c r="V1355" s="247"/>
      <c r="W1355" s="247"/>
      <c r="X1355" s="247"/>
      <c r="Y1355" s="247"/>
      <c r="Z1355" s="247"/>
      <c r="AA1355" s="247"/>
      <c r="AB1355" s="247"/>
      <c r="AC1355" s="247"/>
    </row>
    <row r="1356">
      <c r="A1356" s="247"/>
      <c r="B1356" s="373"/>
      <c r="C1356" s="373"/>
      <c r="D1356" s="373"/>
      <c r="E1356" s="247"/>
      <c r="F1356" s="247"/>
      <c r="G1356" s="247"/>
      <c r="H1356" s="247"/>
      <c r="I1356" s="247"/>
      <c r="J1356" s="247"/>
      <c r="K1356" s="247"/>
      <c r="L1356" s="247"/>
      <c r="M1356" s="247"/>
      <c r="N1356" s="247"/>
      <c r="O1356" s="247"/>
      <c r="P1356" s="247"/>
      <c r="Q1356" s="247"/>
      <c r="R1356" s="247"/>
      <c r="S1356" s="247"/>
      <c r="T1356" s="247"/>
      <c r="U1356" s="247"/>
      <c r="V1356" s="247"/>
      <c r="W1356" s="247"/>
      <c r="X1356" s="247"/>
      <c r="Y1356" s="247"/>
      <c r="Z1356" s="247"/>
      <c r="AA1356" s="247"/>
      <c r="AB1356" s="247"/>
      <c r="AC1356" s="247"/>
    </row>
    <row r="1357">
      <c r="A1357" s="247"/>
      <c r="B1357" s="373"/>
      <c r="C1357" s="373"/>
      <c r="D1357" s="373"/>
      <c r="E1357" s="247"/>
      <c r="F1357" s="247"/>
      <c r="G1357" s="247"/>
      <c r="H1357" s="247"/>
      <c r="I1357" s="247"/>
      <c r="J1357" s="247"/>
      <c r="K1357" s="247"/>
      <c r="L1357" s="247"/>
      <c r="M1357" s="247"/>
      <c r="N1357" s="247"/>
      <c r="O1357" s="247"/>
      <c r="P1357" s="247"/>
      <c r="Q1357" s="247"/>
      <c r="R1357" s="247"/>
      <c r="S1357" s="247"/>
      <c r="T1357" s="247"/>
      <c r="U1357" s="247"/>
      <c r="V1357" s="247"/>
      <c r="W1357" s="247"/>
      <c r="X1357" s="247"/>
      <c r="Y1357" s="247"/>
      <c r="Z1357" s="247"/>
      <c r="AA1357" s="247"/>
      <c r="AB1357" s="247"/>
      <c r="AC1357" s="247"/>
    </row>
    <row r="1358">
      <c r="A1358" s="247"/>
      <c r="B1358" s="373"/>
      <c r="C1358" s="373"/>
      <c r="D1358" s="373"/>
      <c r="E1358" s="247"/>
      <c r="F1358" s="247"/>
      <c r="G1358" s="247"/>
      <c r="H1358" s="247"/>
      <c r="I1358" s="247"/>
      <c r="J1358" s="247"/>
      <c r="K1358" s="247"/>
      <c r="L1358" s="247"/>
      <c r="M1358" s="247"/>
      <c r="N1358" s="247"/>
      <c r="O1358" s="247"/>
      <c r="P1358" s="247"/>
      <c r="Q1358" s="247"/>
      <c r="R1358" s="247"/>
      <c r="S1358" s="247"/>
      <c r="T1358" s="247"/>
      <c r="U1358" s="247"/>
      <c r="V1358" s="247"/>
      <c r="W1358" s="247"/>
      <c r="X1358" s="247"/>
      <c r="Y1358" s="247"/>
      <c r="Z1358" s="247"/>
      <c r="AA1358" s="247"/>
      <c r="AB1358" s="247"/>
      <c r="AC1358" s="247"/>
    </row>
    <row r="1359">
      <c r="A1359" s="247"/>
      <c r="B1359" s="373"/>
      <c r="C1359" s="373"/>
      <c r="D1359" s="373"/>
      <c r="E1359" s="247"/>
      <c r="F1359" s="247"/>
      <c r="G1359" s="247"/>
      <c r="H1359" s="247"/>
      <c r="I1359" s="247"/>
      <c r="J1359" s="247"/>
      <c r="K1359" s="247"/>
      <c r="L1359" s="247"/>
      <c r="M1359" s="247"/>
      <c r="N1359" s="247"/>
      <c r="O1359" s="247"/>
      <c r="P1359" s="247"/>
      <c r="Q1359" s="247"/>
      <c r="R1359" s="247"/>
      <c r="S1359" s="247"/>
      <c r="T1359" s="247"/>
      <c r="U1359" s="247"/>
      <c r="V1359" s="247"/>
      <c r="W1359" s="247"/>
      <c r="X1359" s="247"/>
      <c r="Y1359" s="247"/>
      <c r="Z1359" s="247"/>
      <c r="AA1359" s="247"/>
      <c r="AB1359" s="247"/>
      <c r="AC1359" s="247"/>
    </row>
    <row r="1360">
      <c r="A1360" s="247"/>
      <c r="B1360" s="373"/>
      <c r="C1360" s="373"/>
      <c r="D1360" s="373"/>
      <c r="E1360" s="247"/>
      <c r="F1360" s="247"/>
      <c r="G1360" s="247"/>
      <c r="H1360" s="247"/>
      <c r="I1360" s="247"/>
      <c r="J1360" s="247"/>
      <c r="K1360" s="247"/>
      <c r="L1360" s="247"/>
      <c r="M1360" s="247"/>
      <c r="N1360" s="247"/>
      <c r="O1360" s="247"/>
      <c r="P1360" s="247"/>
      <c r="Q1360" s="247"/>
      <c r="R1360" s="247"/>
      <c r="S1360" s="247"/>
      <c r="T1360" s="247"/>
      <c r="U1360" s="247"/>
      <c r="V1360" s="247"/>
      <c r="W1360" s="247"/>
      <c r="X1360" s="247"/>
      <c r="Y1360" s="247"/>
      <c r="Z1360" s="247"/>
      <c r="AA1360" s="247"/>
      <c r="AB1360" s="247"/>
      <c r="AC1360" s="247"/>
    </row>
    <row r="1361">
      <c r="A1361" s="247"/>
      <c r="B1361" s="373"/>
      <c r="C1361" s="373"/>
      <c r="D1361" s="373"/>
      <c r="E1361" s="247"/>
      <c r="F1361" s="247"/>
      <c r="G1361" s="247"/>
      <c r="H1361" s="247"/>
      <c r="I1361" s="247"/>
      <c r="J1361" s="247"/>
      <c r="K1361" s="247"/>
      <c r="L1361" s="247"/>
      <c r="M1361" s="247"/>
      <c r="N1361" s="247"/>
      <c r="O1361" s="247"/>
      <c r="P1361" s="247"/>
      <c r="Q1361" s="247"/>
      <c r="R1361" s="247"/>
      <c r="S1361" s="247"/>
      <c r="T1361" s="247"/>
      <c r="U1361" s="247"/>
      <c r="V1361" s="247"/>
      <c r="W1361" s="247"/>
      <c r="X1361" s="247"/>
      <c r="Y1361" s="247"/>
      <c r="Z1361" s="247"/>
      <c r="AA1361" s="247"/>
      <c r="AB1361" s="247"/>
      <c r="AC1361" s="247"/>
    </row>
    <row r="1362">
      <c r="A1362" s="247"/>
      <c r="B1362" s="373"/>
      <c r="C1362" s="373"/>
      <c r="D1362" s="373"/>
      <c r="E1362" s="247"/>
      <c r="F1362" s="247"/>
      <c r="G1362" s="247"/>
      <c r="H1362" s="247"/>
      <c r="I1362" s="247"/>
      <c r="J1362" s="247"/>
      <c r="K1362" s="247"/>
      <c r="L1362" s="247"/>
      <c r="M1362" s="247"/>
      <c r="N1362" s="247"/>
      <c r="O1362" s="247"/>
      <c r="P1362" s="247"/>
      <c r="Q1362" s="247"/>
      <c r="R1362" s="247"/>
      <c r="S1362" s="247"/>
      <c r="T1362" s="247"/>
      <c r="U1362" s="247"/>
      <c r="V1362" s="247"/>
      <c r="W1362" s="247"/>
      <c r="X1362" s="247"/>
      <c r="Y1362" s="247"/>
      <c r="Z1362" s="247"/>
      <c r="AA1362" s="247"/>
      <c r="AB1362" s="247"/>
      <c r="AC1362" s="247"/>
    </row>
    <row r="1363">
      <c r="A1363" s="247"/>
      <c r="B1363" s="373"/>
      <c r="C1363" s="373"/>
      <c r="D1363" s="373"/>
      <c r="E1363" s="247"/>
      <c r="F1363" s="247"/>
      <c r="G1363" s="247"/>
      <c r="H1363" s="247"/>
      <c r="I1363" s="247"/>
      <c r="J1363" s="247"/>
      <c r="K1363" s="247"/>
      <c r="L1363" s="247"/>
      <c r="M1363" s="247"/>
      <c r="N1363" s="247"/>
      <c r="O1363" s="247"/>
      <c r="P1363" s="247"/>
      <c r="Q1363" s="247"/>
      <c r="R1363" s="247"/>
      <c r="S1363" s="247"/>
      <c r="T1363" s="247"/>
      <c r="U1363" s="247"/>
      <c r="V1363" s="247"/>
      <c r="W1363" s="247"/>
      <c r="X1363" s="247"/>
      <c r="Y1363" s="247"/>
      <c r="Z1363" s="247"/>
      <c r="AA1363" s="247"/>
      <c r="AB1363" s="247"/>
      <c r="AC1363" s="247"/>
    </row>
    <row r="1364">
      <c r="A1364" s="247"/>
      <c r="B1364" s="373"/>
      <c r="C1364" s="373"/>
      <c r="D1364" s="373"/>
      <c r="E1364" s="247"/>
      <c r="F1364" s="247"/>
      <c r="G1364" s="247"/>
      <c r="H1364" s="247"/>
      <c r="I1364" s="247"/>
      <c r="J1364" s="247"/>
      <c r="K1364" s="247"/>
      <c r="L1364" s="247"/>
      <c r="M1364" s="247"/>
      <c r="N1364" s="247"/>
      <c r="O1364" s="247"/>
      <c r="P1364" s="247"/>
      <c r="Q1364" s="247"/>
      <c r="R1364" s="247"/>
      <c r="S1364" s="247"/>
      <c r="T1364" s="247"/>
      <c r="U1364" s="247"/>
      <c r="V1364" s="247"/>
      <c r="W1364" s="247"/>
      <c r="X1364" s="247"/>
      <c r="Y1364" s="247"/>
      <c r="Z1364" s="247"/>
      <c r="AA1364" s="247"/>
      <c r="AB1364" s="247"/>
      <c r="AC1364" s="247"/>
    </row>
    <row r="1365">
      <c r="A1365" s="247"/>
      <c r="B1365" s="373"/>
      <c r="C1365" s="373"/>
      <c r="D1365" s="373"/>
      <c r="E1365" s="247"/>
      <c r="F1365" s="247"/>
      <c r="G1365" s="247"/>
      <c r="H1365" s="247"/>
      <c r="I1365" s="247"/>
      <c r="J1365" s="247"/>
      <c r="K1365" s="247"/>
      <c r="L1365" s="247"/>
      <c r="M1365" s="247"/>
      <c r="N1365" s="247"/>
      <c r="O1365" s="247"/>
      <c r="P1365" s="247"/>
      <c r="Q1365" s="247"/>
      <c r="R1365" s="247"/>
      <c r="S1365" s="247"/>
      <c r="T1365" s="247"/>
      <c r="U1365" s="247"/>
      <c r="V1365" s="247"/>
      <c r="W1365" s="247"/>
      <c r="X1365" s="247"/>
      <c r="Y1365" s="247"/>
      <c r="Z1365" s="247"/>
      <c r="AA1365" s="247"/>
      <c r="AB1365" s="247"/>
      <c r="AC1365" s="247"/>
    </row>
    <row r="1366">
      <c r="A1366" s="247"/>
      <c r="B1366" s="373"/>
      <c r="C1366" s="373"/>
      <c r="D1366" s="373"/>
      <c r="E1366" s="247"/>
      <c r="F1366" s="247"/>
      <c r="G1366" s="247"/>
      <c r="H1366" s="247"/>
      <c r="I1366" s="247"/>
      <c r="J1366" s="247"/>
      <c r="K1366" s="247"/>
      <c r="L1366" s="247"/>
      <c r="M1366" s="247"/>
      <c r="N1366" s="247"/>
      <c r="O1366" s="247"/>
      <c r="P1366" s="247"/>
      <c r="Q1366" s="247"/>
      <c r="R1366" s="247"/>
      <c r="S1366" s="247"/>
      <c r="T1366" s="247"/>
      <c r="U1366" s="247"/>
      <c r="V1366" s="247"/>
      <c r="W1366" s="247"/>
      <c r="X1366" s="247"/>
      <c r="Y1366" s="247"/>
      <c r="Z1366" s="247"/>
      <c r="AA1366" s="247"/>
      <c r="AB1366" s="247"/>
      <c r="AC1366" s="247"/>
    </row>
    <row r="1367">
      <c r="A1367" s="247"/>
      <c r="B1367" s="373"/>
      <c r="C1367" s="373"/>
      <c r="D1367" s="373"/>
      <c r="E1367" s="247"/>
      <c r="F1367" s="247"/>
      <c r="G1367" s="247"/>
      <c r="H1367" s="247"/>
      <c r="I1367" s="247"/>
      <c r="J1367" s="247"/>
      <c r="K1367" s="247"/>
      <c r="L1367" s="247"/>
      <c r="M1367" s="247"/>
      <c r="N1367" s="247"/>
      <c r="O1367" s="247"/>
      <c r="P1367" s="247"/>
      <c r="Q1367" s="247"/>
      <c r="R1367" s="247"/>
      <c r="S1367" s="247"/>
      <c r="T1367" s="247"/>
      <c r="U1367" s="247"/>
      <c r="V1367" s="247"/>
      <c r="W1367" s="247"/>
      <c r="X1367" s="247"/>
      <c r="Y1367" s="247"/>
      <c r="Z1367" s="247"/>
      <c r="AA1367" s="247"/>
      <c r="AB1367" s="247"/>
      <c r="AC1367" s="247"/>
    </row>
    <row r="1368">
      <c r="A1368" s="247"/>
      <c r="B1368" s="373"/>
      <c r="C1368" s="373"/>
      <c r="D1368" s="373"/>
      <c r="E1368" s="247"/>
      <c r="F1368" s="247"/>
      <c r="G1368" s="247"/>
      <c r="H1368" s="247"/>
      <c r="I1368" s="247"/>
      <c r="J1368" s="247"/>
      <c r="K1368" s="247"/>
      <c r="L1368" s="247"/>
      <c r="M1368" s="247"/>
      <c r="N1368" s="247"/>
      <c r="O1368" s="247"/>
      <c r="P1368" s="247"/>
      <c r="Q1368" s="247"/>
      <c r="R1368" s="247"/>
      <c r="S1368" s="247"/>
      <c r="T1368" s="247"/>
      <c r="U1368" s="247"/>
      <c r="V1368" s="247"/>
      <c r="W1368" s="247"/>
      <c r="X1368" s="247"/>
      <c r="Y1368" s="247"/>
      <c r="Z1368" s="247"/>
      <c r="AA1368" s="247"/>
      <c r="AB1368" s="247"/>
      <c r="AC1368" s="247"/>
    </row>
    <row r="1369">
      <c r="A1369" s="247"/>
      <c r="B1369" s="373"/>
      <c r="C1369" s="373"/>
      <c r="D1369" s="373"/>
      <c r="E1369" s="247"/>
      <c r="F1369" s="247"/>
      <c r="G1369" s="247"/>
      <c r="H1369" s="247"/>
      <c r="I1369" s="247"/>
      <c r="J1369" s="247"/>
      <c r="K1369" s="247"/>
      <c r="L1369" s="247"/>
      <c r="M1369" s="247"/>
      <c r="N1369" s="247"/>
      <c r="O1369" s="247"/>
      <c r="P1369" s="247"/>
      <c r="Q1369" s="247"/>
      <c r="R1369" s="247"/>
      <c r="S1369" s="247"/>
      <c r="T1369" s="247"/>
      <c r="U1369" s="247"/>
      <c r="V1369" s="247"/>
      <c r="W1369" s="247"/>
      <c r="X1369" s="247"/>
      <c r="Y1369" s="247"/>
      <c r="Z1369" s="247"/>
      <c r="AA1369" s="247"/>
      <c r="AB1369" s="247"/>
      <c r="AC1369" s="247"/>
    </row>
    <row r="1370">
      <c r="A1370" s="247"/>
      <c r="B1370" s="373"/>
      <c r="C1370" s="373"/>
      <c r="D1370" s="373"/>
      <c r="E1370" s="247"/>
      <c r="F1370" s="247"/>
      <c r="G1370" s="247"/>
      <c r="H1370" s="247"/>
      <c r="I1370" s="247"/>
      <c r="J1370" s="247"/>
      <c r="K1370" s="247"/>
      <c r="L1370" s="247"/>
      <c r="M1370" s="247"/>
      <c r="N1370" s="247"/>
      <c r="O1370" s="247"/>
      <c r="P1370" s="247"/>
      <c r="Q1370" s="247"/>
      <c r="R1370" s="247"/>
      <c r="S1370" s="247"/>
      <c r="T1370" s="247"/>
      <c r="U1370" s="247"/>
      <c r="V1370" s="247"/>
      <c r="W1370" s="247"/>
      <c r="X1370" s="247"/>
      <c r="Y1370" s="247"/>
      <c r="Z1370" s="247"/>
      <c r="AA1370" s="247"/>
      <c r="AB1370" s="247"/>
      <c r="AC1370" s="247"/>
    </row>
    <row r="1371">
      <c r="A1371" s="247"/>
      <c r="B1371" s="373"/>
      <c r="C1371" s="373"/>
      <c r="D1371" s="373"/>
      <c r="E1371" s="247"/>
      <c r="F1371" s="247"/>
      <c r="G1371" s="247"/>
      <c r="H1371" s="247"/>
      <c r="I1371" s="247"/>
      <c r="J1371" s="247"/>
      <c r="K1371" s="247"/>
      <c r="L1371" s="247"/>
      <c r="M1371" s="247"/>
      <c r="N1371" s="247"/>
      <c r="O1371" s="247"/>
      <c r="P1371" s="247"/>
      <c r="Q1371" s="247"/>
      <c r="R1371" s="247"/>
      <c r="S1371" s="247"/>
      <c r="T1371" s="247"/>
      <c r="U1371" s="247"/>
      <c r="V1371" s="247"/>
      <c r="W1371" s="247"/>
      <c r="X1371" s="247"/>
      <c r="Y1371" s="247"/>
      <c r="Z1371" s="247"/>
      <c r="AA1371" s="247"/>
      <c r="AB1371" s="247"/>
      <c r="AC1371" s="247"/>
    </row>
    <row r="1372">
      <c r="A1372" s="247"/>
      <c r="B1372" s="373"/>
      <c r="C1372" s="373"/>
      <c r="D1372" s="373"/>
      <c r="E1372" s="247"/>
      <c r="F1372" s="247"/>
      <c r="G1372" s="247"/>
      <c r="H1372" s="247"/>
      <c r="I1372" s="247"/>
      <c r="J1372" s="247"/>
      <c r="K1372" s="247"/>
      <c r="L1372" s="247"/>
      <c r="M1372" s="247"/>
      <c r="N1372" s="247"/>
      <c r="O1372" s="247"/>
      <c r="P1372" s="247"/>
      <c r="Q1372" s="247"/>
      <c r="R1372" s="247"/>
      <c r="S1372" s="247"/>
      <c r="T1372" s="247"/>
      <c r="U1372" s="247"/>
      <c r="V1372" s="247"/>
      <c r="W1372" s="247"/>
      <c r="X1372" s="247"/>
      <c r="Y1372" s="247"/>
      <c r="Z1372" s="247"/>
      <c r="AA1372" s="247"/>
      <c r="AB1372" s="247"/>
      <c r="AC1372" s="247"/>
    </row>
    <row r="1373">
      <c r="A1373" s="247"/>
      <c r="B1373" s="373"/>
      <c r="C1373" s="373"/>
      <c r="D1373" s="373"/>
      <c r="E1373" s="247"/>
      <c r="F1373" s="247"/>
      <c r="G1373" s="247"/>
      <c r="H1373" s="247"/>
      <c r="I1373" s="247"/>
      <c r="J1373" s="247"/>
      <c r="K1373" s="247"/>
      <c r="L1373" s="247"/>
      <c r="M1373" s="247"/>
      <c r="N1373" s="247"/>
      <c r="O1373" s="247"/>
      <c r="P1373" s="247"/>
      <c r="Q1373" s="247"/>
      <c r="R1373" s="247"/>
      <c r="S1373" s="247"/>
      <c r="T1373" s="247"/>
      <c r="U1373" s="247"/>
      <c r="V1373" s="247"/>
      <c r="W1373" s="247"/>
      <c r="X1373" s="247"/>
      <c r="Y1373" s="247"/>
      <c r="Z1373" s="247"/>
      <c r="AA1373" s="247"/>
      <c r="AB1373" s="247"/>
      <c r="AC1373" s="247"/>
    </row>
    <row r="1374">
      <c r="A1374" s="247"/>
      <c r="B1374" s="373"/>
      <c r="C1374" s="373"/>
      <c r="D1374" s="373"/>
      <c r="E1374" s="247"/>
      <c r="F1374" s="247"/>
      <c r="G1374" s="247"/>
      <c r="H1374" s="247"/>
      <c r="I1374" s="247"/>
      <c r="J1374" s="247"/>
      <c r="K1374" s="247"/>
      <c r="L1374" s="247"/>
      <c r="M1374" s="247"/>
      <c r="N1374" s="247"/>
      <c r="O1374" s="247"/>
      <c r="P1374" s="247"/>
      <c r="Q1374" s="247"/>
      <c r="R1374" s="247"/>
      <c r="S1374" s="247"/>
      <c r="T1374" s="247"/>
      <c r="U1374" s="247"/>
      <c r="V1374" s="247"/>
      <c r="W1374" s="247"/>
      <c r="X1374" s="247"/>
      <c r="Y1374" s="247"/>
      <c r="Z1374" s="247"/>
      <c r="AA1374" s="247"/>
      <c r="AB1374" s="247"/>
      <c r="AC1374" s="247"/>
    </row>
    <row r="1375">
      <c r="A1375" s="247"/>
      <c r="B1375" s="373"/>
      <c r="C1375" s="373"/>
      <c r="D1375" s="373"/>
      <c r="E1375" s="247"/>
      <c r="F1375" s="247"/>
      <c r="G1375" s="247"/>
      <c r="H1375" s="247"/>
      <c r="I1375" s="247"/>
      <c r="J1375" s="247"/>
      <c r="K1375" s="247"/>
      <c r="L1375" s="247"/>
      <c r="M1375" s="247"/>
      <c r="N1375" s="247"/>
      <c r="O1375" s="247"/>
      <c r="P1375" s="247"/>
      <c r="Q1375" s="247"/>
      <c r="R1375" s="247"/>
      <c r="S1375" s="247"/>
      <c r="T1375" s="247"/>
      <c r="U1375" s="247"/>
      <c r="V1375" s="247"/>
      <c r="W1375" s="247"/>
      <c r="X1375" s="247"/>
      <c r="Y1375" s="247"/>
      <c r="Z1375" s="247"/>
      <c r="AA1375" s="247"/>
      <c r="AB1375" s="247"/>
      <c r="AC1375" s="247"/>
    </row>
    <row r="1376">
      <c r="A1376" s="247"/>
      <c r="B1376" s="373"/>
      <c r="C1376" s="373"/>
      <c r="D1376" s="373"/>
      <c r="E1376" s="247"/>
      <c r="F1376" s="247"/>
      <c r="G1376" s="247"/>
      <c r="H1376" s="247"/>
      <c r="I1376" s="247"/>
      <c r="J1376" s="247"/>
      <c r="K1376" s="247"/>
      <c r="L1376" s="247"/>
      <c r="M1376" s="247"/>
      <c r="N1376" s="247"/>
      <c r="O1376" s="247"/>
      <c r="P1376" s="247"/>
      <c r="Q1376" s="247"/>
      <c r="R1376" s="247"/>
      <c r="S1376" s="247"/>
      <c r="T1376" s="247"/>
      <c r="U1376" s="247"/>
      <c r="V1376" s="247"/>
      <c r="W1376" s="247"/>
      <c r="X1376" s="247"/>
      <c r="Y1376" s="247"/>
      <c r="Z1376" s="247"/>
      <c r="AA1376" s="247"/>
      <c r="AB1376" s="247"/>
      <c r="AC1376" s="247"/>
    </row>
    <row r="1377">
      <c r="A1377" s="247"/>
      <c r="B1377" s="373"/>
      <c r="C1377" s="373"/>
      <c r="D1377" s="373"/>
      <c r="E1377" s="247"/>
      <c r="F1377" s="247"/>
      <c r="G1377" s="247"/>
      <c r="H1377" s="247"/>
      <c r="I1377" s="247"/>
      <c r="J1377" s="247"/>
      <c r="K1377" s="247"/>
      <c r="L1377" s="247"/>
      <c r="M1377" s="247"/>
      <c r="N1377" s="247"/>
      <c r="O1377" s="247"/>
      <c r="P1377" s="247"/>
      <c r="Q1377" s="247"/>
      <c r="R1377" s="247"/>
      <c r="S1377" s="247"/>
      <c r="T1377" s="247"/>
      <c r="U1377" s="247"/>
      <c r="V1377" s="247"/>
      <c r="W1377" s="247"/>
      <c r="X1377" s="247"/>
      <c r="Y1377" s="247"/>
      <c r="Z1377" s="247"/>
      <c r="AA1377" s="247"/>
      <c r="AB1377" s="247"/>
      <c r="AC1377" s="247"/>
    </row>
    <row r="1378">
      <c r="A1378" s="247"/>
      <c r="B1378" s="373"/>
      <c r="C1378" s="373"/>
      <c r="D1378" s="373"/>
      <c r="E1378" s="247"/>
      <c r="F1378" s="247"/>
      <c r="G1378" s="247"/>
      <c r="H1378" s="247"/>
      <c r="I1378" s="247"/>
      <c r="J1378" s="247"/>
      <c r="K1378" s="247"/>
      <c r="L1378" s="247"/>
      <c r="M1378" s="247"/>
      <c r="N1378" s="247"/>
      <c r="O1378" s="247"/>
      <c r="P1378" s="247"/>
      <c r="Q1378" s="247"/>
      <c r="R1378" s="247"/>
      <c r="S1378" s="247"/>
      <c r="T1378" s="247"/>
      <c r="U1378" s="247"/>
      <c r="V1378" s="247"/>
      <c r="W1378" s="247"/>
      <c r="X1378" s="247"/>
      <c r="Y1378" s="247"/>
      <c r="Z1378" s="247"/>
      <c r="AA1378" s="247"/>
      <c r="AB1378" s="247"/>
      <c r="AC1378" s="247"/>
    </row>
    <row r="1379">
      <c r="A1379" s="247"/>
      <c r="B1379" s="373"/>
      <c r="C1379" s="373"/>
      <c r="D1379" s="373"/>
      <c r="E1379" s="247"/>
      <c r="F1379" s="247"/>
      <c r="G1379" s="247"/>
      <c r="H1379" s="247"/>
      <c r="I1379" s="247"/>
      <c r="J1379" s="247"/>
      <c r="K1379" s="247"/>
      <c r="L1379" s="247"/>
      <c r="M1379" s="247"/>
      <c r="N1379" s="247"/>
      <c r="O1379" s="247"/>
      <c r="P1379" s="247"/>
      <c r="Q1379" s="247"/>
      <c r="R1379" s="247"/>
      <c r="S1379" s="247"/>
      <c r="T1379" s="247"/>
      <c r="U1379" s="247"/>
      <c r="V1379" s="247"/>
      <c r="W1379" s="247"/>
      <c r="X1379" s="247"/>
      <c r="Y1379" s="247"/>
      <c r="Z1379" s="247"/>
      <c r="AA1379" s="247"/>
      <c r="AB1379" s="247"/>
      <c r="AC1379" s="247"/>
    </row>
    <row r="1380">
      <c r="A1380" s="247"/>
      <c r="B1380" s="373"/>
      <c r="C1380" s="373"/>
      <c r="D1380" s="373"/>
      <c r="E1380" s="247"/>
      <c r="F1380" s="247"/>
      <c r="G1380" s="247"/>
      <c r="H1380" s="247"/>
      <c r="I1380" s="247"/>
      <c r="J1380" s="247"/>
      <c r="K1380" s="247"/>
      <c r="L1380" s="247"/>
      <c r="M1380" s="247"/>
      <c r="N1380" s="247"/>
      <c r="O1380" s="247"/>
      <c r="P1380" s="247"/>
      <c r="Q1380" s="247"/>
      <c r="R1380" s="247"/>
      <c r="S1380" s="247"/>
      <c r="T1380" s="247"/>
      <c r="U1380" s="247"/>
      <c r="V1380" s="247"/>
      <c r="W1380" s="247"/>
      <c r="X1380" s="247"/>
      <c r="Y1380" s="247"/>
      <c r="Z1380" s="247"/>
      <c r="AA1380" s="247"/>
      <c r="AB1380" s="247"/>
      <c r="AC1380" s="247"/>
    </row>
    <row r="1381">
      <c r="A1381" s="247"/>
      <c r="B1381" s="373"/>
      <c r="C1381" s="373"/>
      <c r="D1381" s="373"/>
      <c r="E1381" s="247"/>
      <c r="F1381" s="247"/>
      <c r="G1381" s="247"/>
      <c r="H1381" s="247"/>
      <c r="I1381" s="247"/>
      <c r="J1381" s="247"/>
      <c r="K1381" s="247"/>
      <c r="L1381" s="247"/>
      <c r="M1381" s="247"/>
      <c r="N1381" s="247"/>
      <c r="O1381" s="247"/>
      <c r="P1381" s="247"/>
      <c r="Q1381" s="247"/>
      <c r="R1381" s="247"/>
      <c r="S1381" s="247"/>
      <c r="T1381" s="247"/>
      <c r="U1381" s="247"/>
      <c r="V1381" s="247"/>
      <c r="W1381" s="247"/>
      <c r="X1381" s="247"/>
      <c r="Y1381" s="247"/>
      <c r="Z1381" s="247"/>
      <c r="AA1381" s="247"/>
      <c r="AB1381" s="247"/>
      <c r="AC1381" s="247"/>
    </row>
    <row r="1382">
      <c r="A1382" s="247"/>
      <c r="B1382" s="373"/>
      <c r="C1382" s="373"/>
      <c r="D1382" s="373"/>
      <c r="E1382" s="247"/>
      <c r="F1382" s="247"/>
      <c r="G1382" s="247"/>
      <c r="H1382" s="247"/>
      <c r="I1382" s="247"/>
      <c r="J1382" s="247"/>
      <c r="K1382" s="247"/>
      <c r="L1382" s="247"/>
      <c r="M1382" s="247"/>
      <c r="N1382" s="247"/>
      <c r="O1382" s="247"/>
      <c r="P1382" s="247"/>
      <c r="Q1382" s="247"/>
      <c r="R1382" s="247"/>
      <c r="S1382" s="247"/>
      <c r="T1382" s="247"/>
      <c r="U1382" s="247"/>
      <c r="V1382" s="247"/>
      <c r="W1382" s="247"/>
      <c r="X1382" s="247"/>
      <c r="Y1382" s="247"/>
      <c r="Z1382" s="247"/>
      <c r="AA1382" s="247"/>
      <c r="AB1382" s="247"/>
      <c r="AC1382" s="247"/>
    </row>
    <row r="1383">
      <c r="A1383" s="247"/>
      <c r="B1383" s="373"/>
      <c r="C1383" s="373"/>
      <c r="D1383" s="373"/>
      <c r="E1383" s="247"/>
      <c r="F1383" s="247"/>
      <c r="G1383" s="247"/>
      <c r="H1383" s="247"/>
      <c r="I1383" s="247"/>
      <c r="J1383" s="247"/>
      <c r="K1383" s="247"/>
      <c r="L1383" s="247"/>
      <c r="M1383" s="247"/>
      <c r="N1383" s="247"/>
      <c r="O1383" s="247"/>
      <c r="P1383" s="247"/>
      <c r="Q1383" s="247"/>
      <c r="R1383" s="247"/>
      <c r="S1383" s="247"/>
      <c r="T1383" s="247"/>
      <c r="U1383" s="247"/>
      <c r="V1383" s="247"/>
      <c r="W1383" s="247"/>
      <c r="X1383" s="247"/>
      <c r="Y1383" s="247"/>
      <c r="Z1383" s="247"/>
      <c r="AA1383" s="247"/>
      <c r="AB1383" s="247"/>
      <c r="AC1383" s="247"/>
    </row>
    <row r="1384">
      <c r="A1384" s="247"/>
      <c r="B1384" s="373"/>
      <c r="C1384" s="373"/>
      <c r="D1384" s="373"/>
      <c r="E1384" s="247"/>
      <c r="F1384" s="247"/>
      <c r="G1384" s="247"/>
      <c r="H1384" s="247"/>
      <c r="I1384" s="247"/>
      <c r="J1384" s="247"/>
      <c r="K1384" s="247"/>
      <c r="L1384" s="247"/>
      <c r="M1384" s="247"/>
      <c r="N1384" s="247"/>
      <c r="O1384" s="247"/>
      <c r="P1384" s="247"/>
      <c r="Q1384" s="247"/>
      <c r="R1384" s="247"/>
      <c r="S1384" s="247"/>
      <c r="T1384" s="247"/>
      <c r="U1384" s="247"/>
      <c r="V1384" s="247"/>
      <c r="W1384" s="247"/>
      <c r="X1384" s="247"/>
      <c r="Y1384" s="247"/>
      <c r="Z1384" s="247"/>
      <c r="AA1384" s="247"/>
      <c r="AB1384" s="247"/>
      <c r="AC1384" s="247"/>
    </row>
    <row r="1385">
      <c r="A1385" s="247"/>
      <c r="B1385" s="373"/>
      <c r="C1385" s="373"/>
      <c r="D1385" s="373"/>
      <c r="E1385" s="247"/>
      <c r="F1385" s="247"/>
      <c r="G1385" s="247"/>
      <c r="H1385" s="247"/>
      <c r="I1385" s="247"/>
      <c r="J1385" s="247"/>
      <c r="K1385" s="247"/>
      <c r="L1385" s="247"/>
      <c r="M1385" s="247"/>
      <c r="N1385" s="247"/>
      <c r="O1385" s="247"/>
      <c r="P1385" s="247"/>
      <c r="Q1385" s="247"/>
      <c r="R1385" s="247"/>
      <c r="S1385" s="247"/>
      <c r="T1385" s="247"/>
      <c r="U1385" s="247"/>
      <c r="V1385" s="247"/>
      <c r="W1385" s="247"/>
      <c r="X1385" s="247"/>
      <c r="Y1385" s="247"/>
      <c r="Z1385" s="247"/>
      <c r="AA1385" s="247"/>
      <c r="AB1385" s="247"/>
      <c r="AC1385" s="247"/>
    </row>
    <row r="1386">
      <c r="A1386" s="247"/>
      <c r="B1386" s="373"/>
      <c r="C1386" s="373"/>
      <c r="D1386" s="373"/>
      <c r="E1386" s="247"/>
      <c r="F1386" s="247"/>
      <c r="G1386" s="247"/>
      <c r="H1386" s="247"/>
      <c r="I1386" s="247"/>
      <c r="J1386" s="247"/>
      <c r="K1386" s="247"/>
      <c r="L1386" s="247"/>
      <c r="M1386" s="247"/>
      <c r="N1386" s="247"/>
      <c r="O1386" s="247"/>
      <c r="P1386" s="247"/>
      <c r="Q1386" s="247"/>
      <c r="R1386" s="247"/>
      <c r="S1386" s="247"/>
      <c r="T1386" s="247"/>
      <c r="U1386" s="247"/>
      <c r="V1386" s="247"/>
      <c r="W1386" s="247"/>
      <c r="X1386" s="247"/>
      <c r="Y1386" s="247"/>
      <c r="Z1386" s="247"/>
      <c r="AA1386" s="247"/>
      <c r="AB1386" s="247"/>
      <c r="AC1386" s="247"/>
    </row>
    <row r="1387">
      <c r="A1387" s="247"/>
      <c r="B1387" s="373"/>
      <c r="C1387" s="373"/>
      <c r="D1387" s="373"/>
      <c r="E1387" s="247"/>
      <c r="F1387" s="247"/>
      <c r="G1387" s="247"/>
      <c r="H1387" s="247"/>
      <c r="I1387" s="247"/>
      <c r="J1387" s="247"/>
      <c r="K1387" s="247"/>
      <c r="L1387" s="247"/>
      <c r="M1387" s="247"/>
      <c r="N1387" s="247"/>
      <c r="O1387" s="247"/>
      <c r="P1387" s="247"/>
      <c r="Q1387" s="247"/>
      <c r="R1387" s="247"/>
      <c r="S1387" s="247"/>
      <c r="T1387" s="247"/>
      <c r="U1387" s="247"/>
      <c r="V1387" s="247"/>
      <c r="W1387" s="247"/>
      <c r="X1387" s="247"/>
      <c r="Y1387" s="247"/>
      <c r="Z1387" s="247"/>
      <c r="AA1387" s="247"/>
      <c r="AB1387" s="247"/>
      <c r="AC1387" s="247"/>
    </row>
    <row r="1388">
      <c r="A1388" s="247"/>
      <c r="B1388" s="373"/>
      <c r="C1388" s="373"/>
      <c r="D1388" s="373"/>
      <c r="E1388" s="247"/>
      <c r="F1388" s="247"/>
      <c r="G1388" s="247"/>
      <c r="H1388" s="247"/>
      <c r="I1388" s="247"/>
      <c r="J1388" s="247"/>
      <c r="K1388" s="247"/>
      <c r="L1388" s="247"/>
      <c r="M1388" s="247"/>
      <c r="N1388" s="247"/>
      <c r="O1388" s="247"/>
      <c r="P1388" s="247"/>
      <c r="Q1388" s="247"/>
      <c r="R1388" s="247"/>
      <c r="S1388" s="247"/>
      <c r="T1388" s="247"/>
      <c r="U1388" s="247"/>
      <c r="V1388" s="247"/>
      <c r="W1388" s="247"/>
      <c r="X1388" s="247"/>
      <c r="Y1388" s="247"/>
      <c r="Z1388" s="247"/>
      <c r="AA1388" s="247"/>
      <c r="AB1388" s="247"/>
      <c r="AC1388" s="247"/>
    </row>
    <row r="1389">
      <c r="A1389" s="247"/>
      <c r="B1389" s="373"/>
      <c r="C1389" s="373"/>
      <c r="D1389" s="373"/>
      <c r="E1389" s="247"/>
      <c r="F1389" s="247"/>
      <c r="G1389" s="247"/>
      <c r="H1389" s="247"/>
      <c r="I1389" s="247"/>
      <c r="J1389" s="247"/>
      <c r="K1389" s="247"/>
      <c r="L1389" s="247"/>
      <c r="M1389" s="247"/>
      <c r="N1389" s="247"/>
      <c r="O1389" s="247"/>
      <c r="P1389" s="247"/>
      <c r="Q1389" s="247"/>
      <c r="R1389" s="247"/>
      <c r="S1389" s="247"/>
      <c r="T1389" s="247"/>
      <c r="U1389" s="247"/>
      <c r="V1389" s="247"/>
      <c r="W1389" s="247"/>
      <c r="X1389" s="247"/>
      <c r="Y1389" s="247"/>
      <c r="Z1389" s="247"/>
      <c r="AA1389" s="247"/>
      <c r="AB1389" s="247"/>
      <c r="AC1389" s="247"/>
    </row>
    <row r="1390">
      <c r="A1390" s="247"/>
      <c r="B1390" s="373"/>
      <c r="C1390" s="373"/>
      <c r="D1390" s="373"/>
      <c r="E1390" s="247"/>
      <c r="F1390" s="247"/>
      <c r="G1390" s="247"/>
      <c r="H1390" s="247"/>
      <c r="I1390" s="247"/>
      <c r="J1390" s="247"/>
      <c r="K1390" s="247"/>
      <c r="L1390" s="247"/>
      <c r="M1390" s="247"/>
      <c r="N1390" s="247"/>
      <c r="O1390" s="247"/>
      <c r="P1390" s="247"/>
      <c r="Q1390" s="247"/>
      <c r="R1390" s="247"/>
      <c r="S1390" s="247"/>
      <c r="T1390" s="247"/>
      <c r="U1390" s="247"/>
      <c r="V1390" s="247"/>
      <c r="W1390" s="247"/>
      <c r="X1390" s="247"/>
      <c r="Y1390" s="247"/>
      <c r="Z1390" s="247"/>
      <c r="AA1390" s="247"/>
      <c r="AB1390" s="247"/>
      <c r="AC1390" s="247"/>
    </row>
    <row r="1391">
      <c r="A1391" s="247"/>
      <c r="B1391" s="373"/>
      <c r="C1391" s="373"/>
      <c r="D1391" s="373"/>
      <c r="E1391" s="247"/>
      <c r="F1391" s="247"/>
      <c r="G1391" s="247"/>
      <c r="H1391" s="247"/>
      <c r="I1391" s="247"/>
      <c r="J1391" s="247"/>
      <c r="K1391" s="247"/>
      <c r="L1391" s="247"/>
      <c r="M1391" s="247"/>
      <c r="N1391" s="247"/>
      <c r="O1391" s="247"/>
      <c r="P1391" s="247"/>
      <c r="Q1391" s="247"/>
      <c r="R1391" s="247"/>
      <c r="S1391" s="247"/>
      <c r="T1391" s="247"/>
      <c r="U1391" s="247"/>
      <c r="V1391" s="247"/>
      <c r="W1391" s="247"/>
      <c r="X1391" s="247"/>
      <c r="Y1391" s="247"/>
      <c r="Z1391" s="247"/>
      <c r="AA1391" s="247"/>
      <c r="AB1391" s="247"/>
      <c r="AC1391" s="247"/>
    </row>
    <row r="1392">
      <c r="A1392" s="247"/>
      <c r="B1392" s="373"/>
      <c r="C1392" s="373"/>
      <c r="D1392" s="373"/>
      <c r="E1392" s="247"/>
      <c r="F1392" s="247"/>
      <c r="G1392" s="247"/>
      <c r="H1392" s="247"/>
      <c r="I1392" s="247"/>
      <c r="J1392" s="247"/>
      <c r="K1392" s="247"/>
      <c r="L1392" s="247"/>
      <c r="M1392" s="247"/>
      <c r="N1392" s="247"/>
      <c r="O1392" s="247"/>
      <c r="P1392" s="247"/>
      <c r="Q1392" s="247"/>
      <c r="R1392" s="247"/>
      <c r="S1392" s="247"/>
      <c r="T1392" s="247"/>
      <c r="U1392" s="247"/>
      <c r="V1392" s="247"/>
      <c r="W1392" s="247"/>
      <c r="X1392" s="247"/>
      <c r="Y1392" s="247"/>
      <c r="Z1392" s="247"/>
      <c r="AA1392" s="247"/>
      <c r="AB1392" s="247"/>
      <c r="AC1392" s="247"/>
    </row>
    <row r="1393">
      <c r="A1393" s="247"/>
      <c r="B1393" s="373"/>
      <c r="C1393" s="373"/>
      <c r="D1393" s="373"/>
      <c r="E1393" s="247"/>
      <c r="F1393" s="247"/>
      <c r="G1393" s="247"/>
      <c r="H1393" s="247"/>
      <c r="I1393" s="247"/>
      <c r="J1393" s="247"/>
      <c r="K1393" s="247"/>
      <c r="L1393" s="247"/>
      <c r="M1393" s="247"/>
      <c r="N1393" s="247"/>
      <c r="O1393" s="247"/>
      <c r="P1393" s="247"/>
      <c r="Q1393" s="247"/>
      <c r="R1393" s="247"/>
      <c r="S1393" s="247"/>
      <c r="T1393" s="247"/>
      <c r="U1393" s="247"/>
      <c r="V1393" s="247"/>
      <c r="W1393" s="247"/>
      <c r="X1393" s="247"/>
      <c r="Y1393" s="247"/>
      <c r="Z1393" s="247"/>
      <c r="AA1393" s="247"/>
      <c r="AB1393" s="247"/>
      <c r="AC1393" s="247"/>
    </row>
    <row r="1394">
      <c r="A1394" s="247"/>
      <c r="B1394" s="373"/>
      <c r="C1394" s="373"/>
      <c r="D1394" s="373"/>
      <c r="E1394" s="247"/>
      <c r="F1394" s="247"/>
      <c r="G1394" s="247"/>
      <c r="H1394" s="247"/>
      <c r="I1394" s="247"/>
      <c r="J1394" s="247"/>
      <c r="K1394" s="247"/>
      <c r="L1394" s="247"/>
      <c r="M1394" s="247"/>
      <c r="N1394" s="247"/>
      <c r="O1394" s="247"/>
      <c r="P1394" s="247"/>
      <c r="Q1394" s="247"/>
      <c r="R1394" s="247"/>
      <c r="S1394" s="247"/>
      <c r="T1394" s="247"/>
      <c r="U1394" s="247"/>
      <c r="V1394" s="247"/>
      <c r="W1394" s="247"/>
      <c r="X1394" s="247"/>
      <c r="Y1394" s="247"/>
      <c r="Z1394" s="247"/>
      <c r="AA1394" s="247"/>
      <c r="AB1394" s="247"/>
      <c r="AC1394" s="247"/>
    </row>
    <row r="1395">
      <c r="A1395" s="247"/>
      <c r="B1395" s="373"/>
      <c r="C1395" s="373"/>
      <c r="D1395" s="373"/>
      <c r="E1395" s="247"/>
      <c r="F1395" s="247"/>
      <c r="G1395" s="247"/>
      <c r="H1395" s="247"/>
      <c r="I1395" s="247"/>
      <c r="J1395" s="247"/>
      <c r="K1395" s="247"/>
      <c r="L1395" s="247"/>
      <c r="M1395" s="247"/>
      <c r="N1395" s="247"/>
      <c r="O1395" s="247"/>
      <c r="P1395" s="247"/>
      <c r="Q1395" s="247"/>
      <c r="R1395" s="247"/>
      <c r="S1395" s="247"/>
      <c r="T1395" s="247"/>
      <c r="U1395" s="247"/>
      <c r="V1395" s="247"/>
      <c r="W1395" s="247"/>
      <c r="X1395" s="247"/>
      <c r="Y1395" s="247"/>
      <c r="Z1395" s="247"/>
      <c r="AA1395" s="247"/>
      <c r="AB1395" s="247"/>
      <c r="AC1395" s="247"/>
    </row>
    <row r="1396">
      <c r="A1396" s="247"/>
      <c r="B1396" s="373"/>
      <c r="C1396" s="373"/>
      <c r="D1396" s="373"/>
      <c r="E1396" s="247"/>
      <c r="F1396" s="247"/>
      <c r="G1396" s="247"/>
      <c r="H1396" s="247"/>
      <c r="I1396" s="247"/>
      <c r="J1396" s="247"/>
      <c r="K1396" s="247"/>
      <c r="L1396" s="247"/>
      <c r="M1396" s="247"/>
      <c r="N1396" s="247"/>
      <c r="O1396" s="247"/>
      <c r="P1396" s="247"/>
      <c r="Q1396" s="247"/>
      <c r="R1396" s="247"/>
      <c r="S1396" s="247"/>
      <c r="T1396" s="247"/>
      <c r="U1396" s="247"/>
      <c r="V1396" s="247"/>
      <c r="W1396" s="247"/>
      <c r="X1396" s="247"/>
      <c r="Y1396" s="247"/>
      <c r="Z1396" s="247"/>
      <c r="AA1396" s="247"/>
      <c r="AB1396" s="247"/>
      <c r="AC1396" s="247"/>
    </row>
    <row r="1397">
      <c r="A1397" s="247"/>
      <c r="B1397" s="373"/>
      <c r="C1397" s="373"/>
      <c r="D1397" s="373"/>
      <c r="E1397" s="247"/>
      <c r="F1397" s="247"/>
      <c r="G1397" s="247"/>
      <c r="H1397" s="247"/>
      <c r="I1397" s="247"/>
      <c r="J1397" s="247"/>
      <c r="K1397" s="247"/>
      <c r="L1397" s="247"/>
      <c r="M1397" s="247"/>
      <c r="N1397" s="247"/>
      <c r="O1397" s="247"/>
      <c r="P1397" s="247"/>
      <c r="Q1397" s="247"/>
      <c r="R1397" s="247"/>
      <c r="S1397" s="247"/>
      <c r="T1397" s="247"/>
      <c r="U1397" s="247"/>
      <c r="V1397" s="247"/>
      <c r="W1397" s="247"/>
      <c r="X1397" s="247"/>
      <c r="Y1397" s="247"/>
      <c r="Z1397" s="247"/>
      <c r="AA1397" s="247"/>
      <c r="AB1397" s="247"/>
      <c r="AC1397" s="247"/>
    </row>
    <row r="1398">
      <c r="A1398" s="247"/>
      <c r="B1398" s="373"/>
      <c r="C1398" s="373"/>
      <c r="D1398" s="373"/>
      <c r="E1398" s="247"/>
      <c r="F1398" s="247"/>
      <c r="G1398" s="247"/>
      <c r="H1398" s="247"/>
      <c r="I1398" s="247"/>
      <c r="J1398" s="247"/>
      <c r="K1398" s="247"/>
      <c r="L1398" s="247"/>
      <c r="M1398" s="247"/>
      <c r="N1398" s="247"/>
      <c r="O1398" s="247"/>
      <c r="P1398" s="247"/>
      <c r="Q1398" s="247"/>
      <c r="R1398" s="247"/>
      <c r="S1398" s="247"/>
      <c r="T1398" s="247"/>
      <c r="U1398" s="247"/>
      <c r="V1398" s="247"/>
      <c r="W1398" s="247"/>
      <c r="X1398" s="247"/>
      <c r="Y1398" s="247"/>
      <c r="Z1398" s="247"/>
      <c r="AA1398" s="247"/>
      <c r="AB1398" s="247"/>
      <c r="AC1398" s="247"/>
    </row>
    <row r="1399">
      <c r="A1399" s="247"/>
      <c r="B1399" s="373"/>
      <c r="C1399" s="373"/>
      <c r="D1399" s="373"/>
      <c r="E1399" s="247"/>
      <c r="F1399" s="247"/>
      <c r="G1399" s="247"/>
      <c r="H1399" s="247"/>
      <c r="I1399" s="247"/>
      <c r="J1399" s="247"/>
      <c r="K1399" s="247"/>
      <c r="L1399" s="247"/>
      <c r="M1399" s="247"/>
      <c r="N1399" s="247"/>
      <c r="O1399" s="247"/>
      <c r="P1399" s="247"/>
      <c r="Q1399" s="247"/>
      <c r="R1399" s="247"/>
      <c r="S1399" s="247"/>
      <c r="T1399" s="247"/>
      <c r="U1399" s="247"/>
      <c r="V1399" s="247"/>
      <c r="W1399" s="247"/>
      <c r="X1399" s="247"/>
      <c r="Y1399" s="247"/>
      <c r="Z1399" s="247"/>
      <c r="AA1399" s="247"/>
      <c r="AB1399" s="247"/>
      <c r="AC1399" s="247"/>
    </row>
    <row r="1400">
      <c r="A1400" s="247"/>
      <c r="B1400" s="373"/>
      <c r="C1400" s="373"/>
      <c r="D1400" s="373"/>
      <c r="E1400" s="247"/>
      <c r="F1400" s="247"/>
      <c r="G1400" s="247"/>
      <c r="H1400" s="247"/>
      <c r="I1400" s="247"/>
      <c r="J1400" s="247"/>
      <c r="K1400" s="247"/>
      <c r="L1400" s="247"/>
      <c r="M1400" s="247"/>
      <c r="N1400" s="247"/>
      <c r="O1400" s="247"/>
      <c r="P1400" s="247"/>
      <c r="Q1400" s="247"/>
      <c r="R1400" s="247"/>
      <c r="S1400" s="247"/>
      <c r="T1400" s="247"/>
      <c r="U1400" s="247"/>
      <c r="V1400" s="247"/>
      <c r="W1400" s="247"/>
      <c r="X1400" s="247"/>
      <c r="Y1400" s="247"/>
      <c r="Z1400" s="247"/>
      <c r="AA1400" s="247"/>
      <c r="AB1400" s="247"/>
      <c r="AC1400" s="247"/>
    </row>
    <row r="1401">
      <c r="A1401" s="247"/>
      <c r="B1401" s="373"/>
      <c r="C1401" s="373"/>
      <c r="D1401" s="373"/>
      <c r="E1401" s="247"/>
      <c r="F1401" s="247"/>
      <c r="G1401" s="247"/>
      <c r="H1401" s="247"/>
      <c r="I1401" s="247"/>
      <c r="J1401" s="247"/>
      <c r="K1401" s="247"/>
      <c r="L1401" s="247"/>
      <c r="M1401" s="247"/>
      <c r="N1401" s="247"/>
      <c r="O1401" s="247"/>
      <c r="P1401" s="247"/>
      <c r="Q1401" s="247"/>
      <c r="R1401" s="247"/>
      <c r="S1401" s="247"/>
      <c r="T1401" s="247"/>
      <c r="U1401" s="247"/>
      <c r="V1401" s="247"/>
      <c r="W1401" s="247"/>
      <c r="X1401" s="247"/>
      <c r="Y1401" s="247"/>
      <c r="Z1401" s="247"/>
      <c r="AA1401" s="247"/>
      <c r="AB1401" s="247"/>
      <c r="AC1401" s="247"/>
    </row>
    <row r="1402">
      <c r="A1402" s="247"/>
      <c r="B1402" s="373"/>
      <c r="C1402" s="373"/>
      <c r="D1402" s="373"/>
      <c r="E1402" s="247"/>
      <c r="F1402" s="247"/>
      <c r="G1402" s="247"/>
      <c r="H1402" s="247"/>
      <c r="I1402" s="247"/>
      <c r="J1402" s="247"/>
      <c r="K1402" s="247"/>
      <c r="L1402" s="247"/>
      <c r="M1402" s="247"/>
      <c r="N1402" s="247"/>
      <c r="O1402" s="247"/>
      <c r="P1402" s="247"/>
      <c r="Q1402" s="247"/>
      <c r="R1402" s="247"/>
      <c r="S1402" s="247"/>
      <c r="T1402" s="247"/>
      <c r="U1402" s="247"/>
      <c r="V1402" s="247"/>
      <c r="W1402" s="247"/>
      <c r="X1402" s="247"/>
      <c r="Y1402" s="247"/>
      <c r="Z1402" s="247"/>
      <c r="AA1402" s="247"/>
      <c r="AB1402" s="247"/>
      <c r="AC1402" s="247"/>
    </row>
    <row r="1403">
      <c r="A1403" s="247"/>
      <c r="B1403" s="373"/>
      <c r="C1403" s="373"/>
      <c r="D1403" s="373"/>
      <c r="E1403" s="247"/>
      <c r="F1403" s="247"/>
      <c r="G1403" s="247"/>
      <c r="H1403" s="247"/>
      <c r="I1403" s="247"/>
      <c r="J1403" s="247"/>
      <c r="K1403" s="247"/>
      <c r="L1403" s="247"/>
      <c r="M1403" s="247"/>
      <c r="N1403" s="247"/>
      <c r="O1403" s="247"/>
      <c r="P1403" s="247"/>
      <c r="Q1403" s="247"/>
      <c r="R1403" s="247"/>
      <c r="S1403" s="247"/>
      <c r="T1403" s="247"/>
      <c r="U1403" s="247"/>
      <c r="V1403" s="247"/>
      <c r="W1403" s="247"/>
      <c r="X1403" s="247"/>
      <c r="Y1403" s="247"/>
      <c r="Z1403" s="247"/>
      <c r="AA1403" s="247"/>
      <c r="AB1403" s="247"/>
      <c r="AC1403" s="247"/>
    </row>
    <row r="1404">
      <c r="A1404" s="247"/>
      <c r="B1404" s="373"/>
      <c r="C1404" s="373"/>
      <c r="D1404" s="373"/>
      <c r="E1404" s="247"/>
      <c r="F1404" s="247"/>
      <c r="G1404" s="247"/>
      <c r="H1404" s="247"/>
      <c r="I1404" s="247"/>
      <c r="J1404" s="247"/>
      <c r="K1404" s="247"/>
      <c r="L1404" s="247"/>
      <c r="M1404" s="247"/>
      <c r="N1404" s="247"/>
      <c r="O1404" s="247"/>
      <c r="P1404" s="247"/>
      <c r="Q1404" s="247"/>
      <c r="R1404" s="247"/>
      <c r="S1404" s="247"/>
      <c r="T1404" s="247"/>
      <c r="U1404" s="247"/>
      <c r="V1404" s="247"/>
      <c r="W1404" s="247"/>
      <c r="X1404" s="247"/>
      <c r="Y1404" s="247"/>
      <c r="Z1404" s="247"/>
      <c r="AA1404" s="247"/>
      <c r="AB1404" s="247"/>
      <c r="AC1404" s="247"/>
    </row>
    <row r="1405">
      <c r="A1405" s="247"/>
      <c r="B1405" s="373"/>
      <c r="C1405" s="373"/>
      <c r="D1405" s="373"/>
      <c r="E1405" s="247"/>
      <c r="F1405" s="247"/>
      <c r="G1405" s="247"/>
      <c r="H1405" s="247"/>
      <c r="I1405" s="247"/>
      <c r="J1405" s="247"/>
      <c r="K1405" s="247"/>
      <c r="L1405" s="247"/>
      <c r="M1405" s="247"/>
      <c r="N1405" s="247"/>
      <c r="O1405" s="247"/>
      <c r="P1405" s="247"/>
      <c r="Q1405" s="247"/>
      <c r="R1405" s="247"/>
      <c r="S1405" s="247"/>
      <c r="T1405" s="247"/>
      <c r="U1405" s="247"/>
      <c r="V1405" s="247"/>
      <c r="W1405" s="247"/>
      <c r="X1405" s="247"/>
      <c r="Y1405" s="247"/>
      <c r="Z1405" s="247"/>
      <c r="AA1405" s="247"/>
      <c r="AB1405" s="247"/>
      <c r="AC1405" s="247"/>
    </row>
    <row r="1406">
      <c r="A1406" s="247"/>
      <c r="B1406" s="373"/>
      <c r="C1406" s="373"/>
      <c r="D1406" s="373"/>
      <c r="E1406" s="247"/>
      <c r="F1406" s="247"/>
      <c r="G1406" s="247"/>
      <c r="H1406" s="247"/>
      <c r="I1406" s="247"/>
      <c r="J1406" s="247"/>
      <c r="K1406" s="247"/>
      <c r="L1406" s="247"/>
      <c r="M1406" s="247"/>
      <c r="N1406" s="247"/>
      <c r="O1406" s="247"/>
      <c r="P1406" s="247"/>
      <c r="Q1406" s="247"/>
      <c r="R1406" s="247"/>
      <c r="S1406" s="247"/>
      <c r="T1406" s="247"/>
      <c r="U1406" s="247"/>
      <c r="V1406" s="247"/>
      <c r="W1406" s="247"/>
      <c r="X1406" s="247"/>
      <c r="Y1406" s="247"/>
      <c r="Z1406" s="247"/>
      <c r="AA1406" s="247"/>
      <c r="AB1406" s="247"/>
      <c r="AC1406" s="247"/>
    </row>
    <row r="1407">
      <c r="A1407" s="247"/>
      <c r="B1407" s="373"/>
      <c r="C1407" s="373"/>
      <c r="D1407" s="373"/>
      <c r="E1407" s="247"/>
      <c r="F1407" s="247"/>
      <c r="G1407" s="247"/>
      <c r="H1407" s="247"/>
      <c r="I1407" s="247"/>
      <c r="J1407" s="247"/>
      <c r="K1407" s="247"/>
      <c r="L1407" s="247"/>
      <c r="M1407" s="247"/>
      <c r="N1407" s="247"/>
      <c r="O1407" s="247"/>
      <c r="P1407" s="247"/>
      <c r="Q1407" s="247"/>
      <c r="R1407" s="247"/>
      <c r="S1407" s="247"/>
      <c r="T1407" s="247"/>
      <c r="U1407" s="247"/>
      <c r="V1407" s="247"/>
      <c r="W1407" s="247"/>
      <c r="X1407" s="247"/>
      <c r="Y1407" s="247"/>
      <c r="Z1407" s="247"/>
      <c r="AA1407" s="247"/>
      <c r="AB1407" s="247"/>
      <c r="AC1407" s="247"/>
    </row>
    <row r="1408">
      <c r="A1408" s="247"/>
      <c r="B1408" s="373"/>
      <c r="C1408" s="373"/>
      <c r="D1408" s="373"/>
      <c r="E1408" s="247"/>
      <c r="F1408" s="247"/>
      <c r="G1408" s="247"/>
      <c r="H1408" s="247"/>
      <c r="I1408" s="247"/>
      <c r="J1408" s="247"/>
      <c r="K1408" s="247"/>
      <c r="L1408" s="247"/>
      <c r="M1408" s="247"/>
      <c r="N1408" s="247"/>
      <c r="O1408" s="247"/>
      <c r="P1408" s="247"/>
      <c r="Q1408" s="247"/>
      <c r="R1408" s="247"/>
      <c r="S1408" s="247"/>
      <c r="T1408" s="247"/>
      <c r="U1408" s="247"/>
      <c r="V1408" s="247"/>
      <c r="W1408" s="247"/>
      <c r="X1408" s="247"/>
      <c r="Y1408" s="247"/>
      <c r="Z1408" s="247"/>
      <c r="AA1408" s="247"/>
      <c r="AB1408" s="247"/>
      <c r="AC1408" s="247"/>
    </row>
    <row r="1409">
      <c r="A1409" s="247"/>
      <c r="B1409" s="373"/>
      <c r="C1409" s="373"/>
      <c r="D1409" s="373"/>
      <c r="E1409" s="247"/>
      <c r="F1409" s="247"/>
      <c r="G1409" s="247"/>
      <c r="H1409" s="247"/>
      <c r="I1409" s="247"/>
      <c r="J1409" s="247"/>
      <c r="K1409" s="247"/>
      <c r="L1409" s="247"/>
      <c r="M1409" s="247"/>
      <c r="N1409" s="247"/>
      <c r="O1409" s="247"/>
      <c r="P1409" s="247"/>
      <c r="Q1409" s="247"/>
      <c r="R1409" s="247"/>
      <c r="S1409" s="247"/>
      <c r="T1409" s="247"/>
      <c r="U1409" s="247"/>
      <c r="V1409" s="247"/>
      <c r="W1409" s="247"/>
      <c r="X1409" s="247"/>
      <c r="Y1409" s="247"/>
      <c r="Z1409" s="247"/>
      <c r="AA1409" s="247"/>
      <c r="AB1409" s="247"/>
      <c r="AC1409" s="247"/>
    </row>
    <row r="1410">
      <c r="A1410" s="247"/>
      <c r="B1410" s="373"/>
      <c r="C1410" s="373"/>
      <c r="D1410" s="373"/>
      <c r="E1410" s="247"/>
      <c r="F1410" s="247"/>
      <c r="G1410" s="247"/>
      <c r="H1410" s="247"/>
      <c r="I1410" s="247"/>
      <c r="J1410" s="247"/>
      <c r="K1410" s="247"/>
      <c r="L1410" s="247"/>
      <c r="M1410" s="247"/>
      <c r="N1410" s="247"/>
      <c r="O1410" s="247"/>
      <c r="P1410" s="247"/>
      <c r="Q1410" s="247"/>
      <c r="R1410" s="247"/>
      <c r="S1410" s="247"/>
      <c r="T1410" s="247"/>
      <c r="U1410" s="247"/>
      <c r="V1410" s="247"/>
      <c r="W1410" s="247"/>
      <c r="X1410" s="247"/>
      <c r="Y1410" s="247"/>
      <c r="Z1410" s="247"/>
      <c r="AA1410" s="247"/>
      <c r="AB1410" s="247"/>
      <c r="AC1410" s="247"/>
    </row>
    <row r="1411">
      <c r="A1411" s="247"/>
      <c r="B1411" s="373"/>
      <c r="C1411" s="373"/>
      <c r="D1411" s="373"/>
      <c r="E1411" s="247"/>
      <c r="F1411" s="247"/>
      <c r="G1411" s="247"/>
      <c r="H1411" s="247"/>
      <c r="I1411" s="247"/>
      <c r="J1411" s="247"/>
      <c r="K1411" s="247"/>
      <c r="L1411" s="247"/>
      <c r="M1411" s="247"/>
      <c r="N1411" s="247"/>
      <c r="O1411" s="247"/>
      <c r="P1411" s="247"/>
      <c r="Q1411" s="247"/>
      <c r="R1411" s="247"/>
      <c r="S1411" s="247"/>
      <c r="T1411" s="247"/>
      <c r="U1411" s="247"/>
      <c r="V1411" s="247"/>
      <c r="W1411" s="247"/>
      <c r="X1411" s="247"/>
      <c r="Y1411" s="247"/>
      <c r="Z1411" s="247"/>
      <c r="AA1411" s="247"/>
      <c r="AB1411" s="247"/>
      <c r="AC1411" s="247"/>
    </row>
    <row r="1412">
      <c r="A1412" s="247"/>
      <c r="B1412" s="373"/>
      <c r="C1412" s="373"/>
      <c r="D1412" s="373"/>
      <c r="E1412" s="247"/>
      <c r="F1412" s="247"/>
      <c r="G1412" s="247"/>
      <c r="H1412" s="247"/>
      <c r="I1412" s="247"/>
      <c r="J1412" s="247"/>
      <c r="K1412" s="247"/>
      <c r="L1412" s="247"/>
      <c r="M1412" s="247"/>
      <c r="N1412" s="247"/>
      <c r="O1412" s="247"/>
      <c r="P1412" s="247"/>
      <c r="Q1412" s="247"/>
      <c r="R1412" s="247"/>
      <c r="S1412" s="247"/>
      <c r="T1412" s="247"/>
      <c r="U1412" s="247"/>
      <c r="V1412" s="247"/>
      <c r="W1412" s="247"/>
      <c r="X1412" s="247"/>
      <c r="Y1412" s="247"/>
      <c r="Z1412" s="247"/>
      <c r="AA1412" s="247"/>
      <c r="AB1412" s="247"/>
      <c r="AC1412" s="247"/>
    </row>
    <row r="1413">
      <c r="A1413" s="247"/>
      <c r="B1413" s="373"/>
      <c r="C1413" s="373"/>
      <c r="D1413" s="373"/>
      <c r="E1413" s="247"/>
      <c r="F1413" s="247"/>
      <c r="G1413" s="247"/>
      <c r="H1413" s="247"/>
      <c r="I1413" s="247"/>
      <c r="J1413" s="247"/>
      <c r="K1413" s="247"/>
      <c r="L1413" s="247"/>
      <c r="M1413" s="247"/>
      <c r="N1413" s="247"/>
      <c r="O1413" s="247"/>
      <c r="P1413" s="247"/>
      <c r="Q1413" s="247"/>
      <c r="R1413" s="247"/>
      <c r="S1413" s="247"/>
      <c r="T1413" s="247"/>
      <c r="U1413" s="247"/>
      <c r="V1413" s="247"/>
      <c r="W1413" s="247"/>
      <c r="X1413" s="247"/>
      <c r="Y1413" s="247"/>
      <c r="Z1413" s="247"/>
      <c r="AA1413" s="247"/>
      <c r="AB1413" s="247"/>
      <c r="AC1413" s="247"/>
    </row>
    <row r="1414">
      <c r="A1414" s="247"/>
      <c r="B1414" s="373"/>
      <c r="C1414" s="373"/>
      <c r="D1414" s="373"/>
      <c r="E1414" s="247"/>
      <c r="F1414" s="247"/>
      <c r="G1414" s="247"/>
      <c r="H1414" s="247"/>
      <c r="I1414" s="247"/>
      <c r="J1414" s="247"/>
      <c r="K1414" s="247"/>
      <c r="L1414" s="247"/>
      <c r="M1414" s="247"/>
      <c r="N1414" s="247"/>
      <c r="O1414" s="247"/>
      <c r="P1414" s="247"/>
      <c r="Q1414" s="247"/>
      <c r="R1414" s="247"/>
      <c r="S1414" s="247"/>
      <c r="T1414" s="247"/>
      <c r="U1414" s="247"/>
      <c r="V1414" s="247"/>
      <c r="W1414" s="247"/>
      <c r="X1414" s="247"/>
      <c r="Y1414" s="247"/>
      <c r="Z1414" s="247"/>
      <c r="AA1414" s="247"/>
      <c r="AB1414" s="247"/>
      <c r="AC1414" s="247"/>
    </row>
    <row r="1415">
      <c r="A1415" s="247"/>
      <c r="B1415" s="373"/>
      <c r="C1415" s="373"/>
      <c r="D1415" s="373"/>
      <c r="E1415" s="247"/>
      <c r="F1415" s="247"/>
      <c r="G1415" s="247"/>
      <c r="H1415" s="247"/>
      <c r="I1415" s="247"/>
      <c r="J1415" s="247"/>
      <c r="K1415" s="247"/>
      <c r="L1415" s="247"/>
      <c r="M1415" s="247"/>
      <c r="N1415" s="247"/>
      <c r="O1415" s="247"/>
      <c r="P1415" s="247"/>
      <c r="Q1415" s="247"/>
      <c r="R1415" s="247"/>
      <c r="S1415" s="247"/>
      <c r="T1415" s="247"/>
      <c r="U1415" s="247"/>
      <c r="V1415" s="247"/>
      <c r="W1415" s="247"/>
      <c r="X1415" s="247"/>
      <c r="Y1415" s="247"/>
      <c r="Z1415" s="247"/>
      <c r="AA1415" s="247"/>
      <c r="AB1415" s="247"/>
      <c r="AC1415" s="247"/>
    </row>
    <row r="1416">
      <c r="A1416" s="247"/>
      <c r="B1416" s="373"/>
      <c r="C1416" s="373"/>
      <c r="D1416" s="373"/>
      <c r="E1416" s="247"/>
      <c r="F1416" s="247"/>
      <c r="G1416" s="247"/>
      <c r="H1416" s="247"/>
      <c r="I1416" s="247"/>
      <c r="J1416" s="247"/>
      <c r="K1416" s="247"/>
      <c r="L1416" s="247"/>
      <c r="M1416" s="247"/>
      <c r="N1416" s="247"/>
      <c r="O1416" s="247"/>
      <c r="P1416" s="247"/>
      <c r="Q1416" s="247"/>
      <c r="R1416" s="247"/>
      <c r="S1416" s="247"/>
      <c r="T1416" s="247"/>
      <c r="U1416" s="247"/>
      <c r="V1416" s="247"/>
      <c r="W1416" s="247"/>
      <c r="X1416" s="247"/>
      <c r="Y1416" s="247"/>
      <c r="Z1416" s="247"/>
      <c r="AA1416" s="247"/>
      <c r="AB1416" s="247"/>
      <c r="AC1416" s="247"/>
    </row>
    <row r="1417">
      <c r="A1417" s="247"/>
      <c r="B1417" s="373"/>
      <c r="C1417" s="373"/>
      <c r="D1417" s="373"/>
      <c r="E1417" s="247"/>
      <c r="F1417" s="247"/>
      <c r="G1417" s="247"/>
      <c r="H1417" s="247"/>
      <c r="I1417" s="247"/>
      <c r="J1417" s="247"/>
      <c r="K1417" s="247"/>
      <c r="L1417" s="247"/>
      <c r="M1417" s="247"/>
      <c r="N1417" s="247"/>
      <c r="O1417" s="247"/>
      <c r="P1417" s="247"/>
      <c r="Q1417" s="247"/>
      <c r="R1417" s="247"/>
      <c r="S1417" s="247"/>
      <c r="T1417" s="247"/>
      <c r="U1417" s="247"/>
      <c r="V1417" s="247"/>
      <c r="W1417" s="247"/>
      <c r="X1417" s="247"/>
      <c r="Y1417" s="247"/>
      <c r="Z1417" s="247"/>
      <c r="AA1417" s="247"/>
      <c r="AB1417" s="247"/>
      <c r="AC1417" s="247"/>
    </row>
    <row r="1418">
      <c r="A1418" s="247"/>
      <c r="B1418" s="373"/>
      <c r="C1418" s="373"/>
      <c r="D1418" s="373"/>
      <c r="E1418" s="247"/>
      <c r="F1418" s="247"/>
      <c r="G1418" s="247"/>
      <c r="H1418" s="247"/>
      <c r="I1418" s="247"/>
      <c r="J1418" s="247"/>
      <c r="K1418" s="247"/>
      <c r="L1418" s="247"/>
      <c r="M1418" s="247"/>
      <c r="N1418" s="247"/>
      <c r="O1418" s="247"/>
      <c r="P1418" s="247"/>
      <c r="Q1418" s="247"/>
      <c r="R1418" s="247"/>
      <c r="S1418" s="247"/>
      <c r="T1418" s="247"/>
      <c r="U1418" s="247"/>
      <c r="V1418" s="247"/>
      <c r="W1418" s="247"/>
      <c r="X1418" s="247"/>
      <c r="Y1418" s="247"/>
      <c r="Z1418" s="247"/>
      <c r="AA1418" s="247"/>
      <c r="AB1418" s="247"/>
      <c r="AC1418" s="247"/>
    </row>
    <row r="1419">
      <c r="A1419" s="247"/>
      <c r="B1419" s="373"/>
      <c r="C1419" s="373"/>
      <c r="D1419" s="373"/>
      <c r="E1419" s="247"/>
      <c r="F1419" s="247"/>
      <c r="G1419" s="247"/>
      <c r="H1419" s="247"/>
      <c r="I1419" s="247"/>
      <c r="J1419" s="247"/>
      <c r="K1419" s="247"/>
      <c r="L1419" s="247"/>
      <c r="M1419" s="247"/>
      <c r="N1419" s="247"/>
      <c r="O1419" s="247"/>
      <c r="P1419" s="247"/>
      <c r="Q1419" s="247"/>
      <c r="R1419" s="247"/>
      <c r="S1419" s="247"/>
      <c r="T1419" s="247"/>
      <c r="U1419" s="247"/>
      <c r="V1419" s="247"/>
      <c r="W1419" s="247"/>
      <c r="X1419" s="247"/>
      <c r="Y1419" s="247"/>
      <c r="Z1419" s="247"/>
      <c r="AA1419" s="247"/>
      <c r="AB1419" s="247"/>
      <c r="AC1419" s="247"/>
    </row>
    <row r="1420">
      <c r="A1420" s="247"/>
      <c r="B1420" s="373"/>
      <c r="C1420" s="373"/>
      <c r="D1420" s="373"/>
      <c r="E1420" s="247"/>
      <c r="F1420" s="247"/>
      <c r="G1420" s="247"/>
      <c r="H1420" s="247"/>
      <c r="I1420" s="247"/>
      <c r="J1420" s="247"/>
      <c r="K1420" s="247"/>
      <c r="L1420" s="247"/>
      <c r="M1420" s="247"/>
      <c r="N1420" s="247"/>
      <c r="O1420" s="247"/>
      <c r="P1420" s="247"/>
      <c r="Q1420" s="247"/>
      <c r="R1420" s="247"/>
      <c r="S1420" s="247"/>
      <c r="T1420" s="247"/>
      <c r="U1420" s="247"/>
      <c r="V1420" s="247"/>
      <c r="W1420" s="247"/>
      <c r="X1420" s="247"/>
      <c r="Y1420" s="247"/>
      <c r="Z1420" s="247"/>
      <c r="AA1420" s="247"/>
      <c r="AB1420" s="247"/>
      <c r="AC1420" s="247"/>
    </row>
    <row r="1421">
      <c r="A1421" s="247"/>
      <c r="B1421" s="373"/>
      <c r="C1421" s="373"/>
      <c r="D1421" s="373"/>
      <c r="E1421" s="247"/>
      <c r="F1421" s="247"/>
      <c r="G1421" s="247"/>
      <c r="H1421" s="247"/>
      <c r="I1421" s="247"/>
      <c r="J1421" s="247"/>
      <c r="K1421" s="247"/>
      <c r="L1421" s="247"/>
      <c r="M1421" s="247"/>
      <c r="N1421" s="247"/>
      <c r="O1421" s="247"/>
      <c r="P1421" s="247"/>
      <c r="Q1421" s="247"/>
      <c r="R1421" s="247"/>
      <c r="S1421" s="247"/>
      <c r="T1421" s="247"/>
      <c r="U1421" s="247"/>
      <c r="V1421" s="247"/>
      <c r="W1421" s="247"/>
      <c r="X1421" s="247"/>
      <c r="Y1421" s="247"/>
      <c r="Z1421" s="247"/>
      <c r="AA1421" s="247"/>
      <c r="AB1421" s="247"/>
      <c r="AC1421" s="247"/>
    </row>
    <row r="1422">
      <c r="A1422" s="247"/>
      <c r="B1422" s="373"/>
      <c r="C1422" s="373"/>
      <c r="D1422" s="373"/>
      <c r="E1422" s="247"/>
      <c r="F1422" s="247"/>
      <c r="G1422" s="247"/>
      <c r="H1422" s="247"/>
      <c r="I1422" s="247"/>
      <c r="J1422" s="247"/>
      <c r="K1422" s="247"/>
      <c r="L1422" s="247"/>
      <c r="M1422" s="247"/>
      <c r="N1422" s="247"/>
      <c r="O1422" s="247"/>
      <c r="P1422" s="247"/>
      <c r="Q1422" s="247"/>
      <c r="R1422" s="247"/>
      <c r="S1422" s="247"/>
      <c r="T1422" s="247"/>
      <c r="U1422" s="247"/>
      <c r="V1422" s="247"/>
      <c r="W1422" s="247"/>
      <c r="X1422" s="247"/>
      <c r="Y1422" s="247"/>
      <c r="Z1422" s="247"/>
      <c r="AA1422" s="247"/>
      <c r="AB1422" s="247"/>
      <c r="AC1422" s="247"/>
    </row>
    <row r="1423">
      <c r="A1423" s="247"/>
      <c r="B1423" s="373"/>
      <c r="C1423" s="373"/>
      <c r="D1423" s="373"/>
      <c r="E1423" s="247"/>
      <c r="F1423" s="247"/>
      <c r="G1423" s="247"/>
      <c r="H1423" s="247"/>
      <c r="I1423" s="247"/>
      <c r="J1423" s="247"/>
      <c r="K1423" s="247"/>
      <c r="L1423" s="247"/>
      <c r="M1423" s="247"/>
      <c r="N1423" s="247"/>
      <c r="O1423" s="247"/>
      <c r="P1423" s="247"/>
      <c r="Q1423" s="247"/>
      <c r="R1423" s="247"/>
      <c r="S1423" s="247"/>
      <c r="T1423" s="247"/>
      <c r="U1423" s="247"/>
      <c r="V1423" s="247"/>
      <c r="W1423" s="247"/>
      <c r="X1423" s="247"/>
      <c r="Y1423" s="247"/>
      <c r="Z1423" s="247"/>
      <c r="AA1423" s="247"/>
      <c r="AB1423" s="247"/>
      <c r="AC1423" s="247"/>
    </row>
    <row r="1424">
      <c r="A1424" s="247"/>
      <c r="B1424" s="373"/>
      <c r="C1424" s="373"/>
      <c r="D1424" s="373"/>
      <c r="E1424" s="247"/>
      <c r="F1424" s="247"/>
      <c r="G1424" s="247"/>
      <c r="H1424" s="247"/>
      <c r="I1424" s="247"/>
      <c r="J1424" s="247"/>
      <c r="K1424" s="247"/>
      <c r="L1424" s="247"/>
      <c r="M1424" s="247"/>
      <c r="N1424" s="247"/>
      <c r="O1424" s="247"/>
      <c r="P1424" s="247"/>
      <c r="Q1424" s="247"/>
      <c r="R1424" s="247"/>
      <c r="S1424" s="247"/>
      <c r="T1424" s="247"/>
      <c r="U1424" s="247"/>
      <c r="V1424" s="247"/>
      <c r="W1424" s="247"/>
      <c r="X1424" s="247"/>
      <c r="Y1424" s="247"/>
      <c r="Z1424" s="247"/>
      <c r="AA1424" s="247"/>
      <c r="AB1424" s="247"/>
      <c r="AC1424" s="247"/>
    </row>
    <row r="1425">
      <c r="A1425" s="247"/>
      <c r="B1425" s="373"/>
      <c r="C1425" s="373"/>
      <c r="D1425" s="373"/>
      <c r="E1425" s="247"/>
      <c r="F1425" s="247"/>
      <c r="G1425" s="247"/>
      <c r="H1425" s="247"/>
      <c r="I1425" s="247"/>
      <c r="J1425" s="247"/>
      <c r="K1425" s="247"/>
      <c r="L1425" s="247"/>
      <c r="M1425" s="247"/>
      <c r="N1425" s="247"/>
      <c r="O1425" s="247"/>
      <c r="P1425" s="247"/>
      <c r="Q1425" s="247"/>
      <c r="R1425" s="247"/>
      <c r="S1425" s="247"/>
      <c r="T1425" s="247"/>
      <c r="U1425" s="247"/>
      <c r="V1425" s="247"/>
      <c r="W1425" s="247"/>
      <c r="X1425" s="247"/>
      <c r="Y1425" s="247"/>
      <c r="Z1425" s="247"/>
      <c r="AA1425" s="247"/>
      <c r="AB1425" s="247"/>
      <c r="AC1425" s="247"/>
    </row>
    <row r="1426">
      <c r="A1426" s="247"/>
      <c r="B1426" s="373"/>
      <c r="C1426" s="373"/>
      <c r="D1426" s="373"/>
      <c r="E1426" s="247"/>
      <c r="F1426" s="247"/>
      <c r="G1426" s="247"/>
      <c r="H1426" s="247"/>
      <c r="I1426" s="247"/>
      <c r="J1426" s="247"/>
      <c r="K1426" s="247"/>
      <c r="L1426" s="247"/>
      <c r="M1426" s="247"/>
      <c r="N1426" s="247"/>
      <c r="O1426" s="247"/>
      <c r="P1426" s="247"/>
      <c r="Q1426" s="247"/>
      <c r="R1426" s="247"/>
      <c r="S1426" s="247"/>
      <c r="T1426" s="247"/>
      <c r="U1426" s="247"/>
      <c r="V1426" s="247"/>
      <c r="W1426" s="247"/>
      <c r="X1426" s="247"/>
      <c r="Y1426" s="247"/>
      <c r="Z1426" s="247"/>
      <c r="AA1426" s="247"/>
      <c r="AB1426" s="247"/>
      <c r="AC1426" s="247"/>
    </row>
    <row r="1427">
      <c r="A1427" s="247"/>
      <c r="B1427" s="373"/>
      <c r="C1427" s="373"/>
      <c r="D1427" s="373"/>
      <c r="E1427" s="247"/>
      <c r="F1427" s="247"/>
      <c r="G1427" s="247"/>
      <c r="H1427" s="247"/>
      <c r="I1427" s="247"/>
      <c r="J1427" s="247"/>
      <c r="K1427" s="247"/>
      <c r="L1427" s="247"/>
      <c r="M1427" s="247"/>
      <c r="N1427" s="247"/>
      <c r="O1427" s="247"/>
      <c r="P1427" s="247"/>
      <c r="Q1427" s="247"/>
      <c r="R1427" s="247"/>
      <c r="S1427" s="247"/>
      <c r="T1427" s="247"/>
      <c r="U1427" s="247"/>
      <c r="V1427" s="247"/>
      <c r="W1427" s="247"/>
      <c r="X1427" s="247"/>
      <c r="Y1427" s="247"/>
      <c r="Z1427" s="247"/>
      <c r="AA1427" s="247"/>
      <c r="AB1427" s="247"/>
      <c r="AC1427" s="247"/>
    </row>
    <row r="1428">
      <c r="A1428" s="247"/>
      <c r="B1428" s="373"/>
      <c r="C1428" s="373"/>
      <c r="D1428" s="373"/>
      <c r="E1428" s="247"/>
      <c r="F1428" s="247"/>
      <c r="G1428" s="247"/>
      <c r="H1428" s="247"/>
      <c r="I1428" s="247"/>
      <c r="J1428" s="247"/>
      <c r="K1428" s="247"/>
      <c r="L1428" s="247"/>
      <c r="M1428" s="247"/>
      <c r="N1428" s="247"/>
      <c r="O1428" s="247"/>
      <c r="P1428" s="247"/>
      <c r="Q1428" s="247"/>
      <c r="R1428" s="247"/>
      <c r="S1428" s="247"/>
      <c r="T1428" s="247"/>
      <c r="U1428" s="247"/>
      <c r="V1428" s="247"/>
      <c r="W1428" s="247"/>
      <c r="X1428" s="247"/>
      <c r="Y1428" s="247"/>
      <c r="Z1428" s="247"/>
      <c r="AA1428" s="247"/>
      <c r="AB1428" s="247"/>
      <c r="AC1428" s="247"/>
    </row>
    <row r="1429">
      <c r="A1429" s="247"/>
      <c r="B1429" s="373"/>
      <c r="C1429" s="373"/>
      <c r="D1429" s="373"/>
      <c r="E1429" s="247"/>
      <c r="F1429" s="247"/>
      <c r="G1429" s="247"/>
      <c r="H1429" s="247"/>
      <c r="I1429" s="247"/>
      <c r="J1429" s="247"/>
      <c r="K1429" s="247"/>
      <c r="L1429" s="247"/>
      <c r="M1429" s="247"/>
      <c r="N1429" s="247"/>
      <c r="O1429" s="247"/>
      <c r="P1429" s="247"/>
      <c r="Q1429" s="247"/>
      <c r="R1429" s="247"/>
      <c r="S1429" s="247"/>
      <c r="T1429" s="247"/>
      <c r="U1429" s="247"/>
      <c r="V1429" s="247"/>
      <c r="W1429" s="247"/>
      <c r="X1429" s="247"/>
      <c r="Y1429" s="247"/>
      <c r="Z1429" s="247"/>
      <c r="AA1429" s="247"/>
      <c r="AB1429" s="247"/>
      <c r="AC1429" s="247"/>
    </row>
    <row r="1430">
      <c r="A1430" s="247"/>
      <c r="B1430" s="373"/>
      <c r="C1430" s="373"/>
      <c r="D1430" s="373"/>
      <c r="E1430" s="247"/>
      <c r="F1430" s="247"/>
      <c r="G1430" s="247"/>
      <c r="H1430" s="247"/>
      <c r="I1430" s="247"/>
      <c r="J1430" s="247"/>
      <c r="K1430" s="247"/>
      <c r="L1430" s="247"/>
      <c r="M1430" s="247"/>
      <c r="N1430" s="247"/>
      <c r="O1430" s="247"/>
      <c r="P1430" s="247"/>
      <c r="Q1430" s="247"/>
      <c r="R1430" s="247"/>
      <c r="S1430" s="247"/>
      <c r="T1430" s="247"/>
      <c r="U1430" s="247"/>
      <c r="V1430" s="247"/>
      <c r="W1430" s="247"/>
      <c r="X1430" s="247"/>
      <c r="Y1430" s="247"/>
      <c r="Z1430" s="247"/>
      <c r="AA1430" s="247"/>
      <c r="AB1430" s="247"/>
      <c r="AC1430" s="247"/>
    </row>
    <row r="1431">
      <c r="A1431" s="247"/>
      <c r="B1431" s="373"/>
      <c r="C1431" s="373"/>
      <c r="D1431" s="373"/>
      <c r="E1431" s="247"/>
      <c r="F1431" s="247"/>
      <c r="G1431" s="247"/>
      <c r="H1431" s="247"/>
      <c r="I1431" s="247"/>
      <c r="J1431" s="247"/>
      <c r="K1431" s="247"/>
      <c r="L1431" s="247"/>
      <c r="M1431" s="247"/>
      <c r="N1431" s="247"/>
      <c r="O1431" s="247"/>
      <c r="P1431" s="247"/>
      <c r="Q1431" s="247"/>
      <c r="R1431" s="247"/>
      <c r="S1431" s="247"/>
      <c r="T1431" s="247"/>
      <c r="U1431" s="247"/>
      <c r="V1431" s="247"/>
      <c r="W1431" s="247"/>
      <c r="X1431" s="247"/>
      <c r="Y1431" s="247"/>
      <c r="Z1431" s="247"/>
      <c r="AA1431" s="247"/>
      <c r="AB1431" s="247"/>
      <c r="AC1431" s="247"/>
    </row>
    <row r="1432">
      <c r="A1432" s="247"/>
      <c r="B1432" s="373"/>
      <c r="C1432" s="373"/>
      <c r="D1432" s="373"/>
      <c r="E1432" s="247"/>
      <c r="F1432" s="247"/>
      <c r="G1432" s="247"/>
      <c r="H1432" s="247"/>
      <c r="I1432" s="247"/>
      <c r="J1432" s="247"/>
      <c r="K1432" s="247"/>
      <c r="L1432" s="247"/>
      <c r="M1432" s="247"/>
      <c r="N1432" s="247"/>
      <c r="O1432" s="247"/>
      <c r="P1432" s="247"/>
      <c r="Q1432" s="247"/>
      <c r="R1432" s="247"/>
      <c r="S1432" s="247"/>
      <c r="T1432" s="247"/>
      <c r="U1432" s="247"/>
      <c r="V1432" s="247"/>
      <c r="W1432" s="247"/>
      <c r="X1432" s="247"/>
      <c r="Y1432" s="247"/>
      <c r="Z1432" s="247"/>
      <c r="AA1432" s="247"/>
      <c r="AB1432" s="247"/>
      <c r="AC1432" s="247"/>
    </row>
    <row r="1433">
      <c r="A1433" s="247"/>
      <c r="B1433" s="373"/>
      <c r="C1433" s="373"/>
      <c r="D1433" s="373"/>
      <c r="E1433" s="247"/>
      <c r="F1433" s="247"/>
      <c r="G1433" s="247"/>
      <c r="H1433" s="247"/>
      <c r="I1433" s="247"/>
      <c r="J1433" s="247"/>
      <c r="K1433" s="247"/>
      <c r="L1433" s="247"/>
      <c r="M1433" s="247"/>
      <c r="N1433" s="247"/>
      <c r="O1433" s="247"/>
      <c r="P1433" s="247"/>
      <c r="Q1433" s="247"/>
      <c r="R1433" s="247"/>
      <c r="S1433" s="247"/>
      <c r="T1433" s="247"/>
      <c r="U1433" s="247"/>
      <c r="V1433" s="247"/>
      <c r="W1433" s="247"/>
      <c r="X1433" s="247"/>
      <c r="Y1433" s="247"/>
      <c r="Z1433" s="247"/>
      <c r="AA1433" s="247"/>
      <c r="AB1433" s="247"/>
      <c r="AC1433" s="247"/>
    </row>
    <row r="1434">
      <c r="A1434" s="247"/>
      <c r="B1434" s="373"/>
      <c r="C1434" s="373"/>
      <c r="D1434" s="373"/>
      <c r="E1434" s="247"/>
      <c r="F1434" s="247"/>
      <c r="G1434" s="247"/>
      <c r="H1434" s="247"/>
      <c r="I1434" s="247"/>
      <c r="J1434" s="247"/>
      <c r="K1434" s="247"/>
      <c r="L1434" s="247"/>
      <c r="M1434" s="247"/>
      <c r="N1434" s="247"/>
      <c r="O1434" s="247"/>
      <c r="P1434" s="247"/>
      <c r="Q1434" s="247"/>
      <c r="R1434" s="247"/>
      <c r="S1434" s="247"/>
      <c r="T1434" s="247"/>
      <c r="U1434" s="247"/>
      <c r="V1434" s="247"/>
      <c r="W1434" s="247"/>
      <c r="X1434" s="247"/>
      <c r="Y1434" s="247"/>
      <c r="Z1434" s="247"/>
      <c r="AA1434" s="247"/>
      <c r="AB1434" s="247"/>
      <c r="AC1434" s="247"/>
    </row>
    <row r="1435">
      <c r="A1435" s="247"/>
      <c r="B1435" s="373"/>
      <c r="C1435" s="373"/>
      <c r="D1435" s="373"/>
      <c r="E1435" s="247"/>
      <c r="F1435" s="247"/>
      <c r="G1435" s="247"/>
      <c r="H1435" s="247"/>
      <c r="I1435" s="247"/>
      <c r="J1435" s="247"/>
      <c r="K1435" s="247"/>
      <c r="L1435" s="247"/>
      <c r="M1435" s="247"/>
      <c r="N1435" s="247"/>
      <c r="O1435" s="247"/>
      <c r="P1435" s="247"/>
      <c r="Q1435" s="247"/>
      <c r="R1435" s="247"/>
      <c r="S1435" s="247"/>
      <c r="T1435" s="247"/>
      <c r="U1435" s="247"/>
      <c r="V1435" s="247"/>
      <c r="W1435" s="247"/>
      <c r="X1435" s="247"/>
      <c r="Y1435" s="247"/>
      <c r="Z1435" s="247"/>
      <c r="AA1435" s="247"/>
      <c r="AB1435" s="247"/>
      <c r="AC1435" s="247"/>
    </row>
    <row r="1436">
      <c r="A1436" s="247"/>
      <c r="B1436" s="373"/>
      <c r="C1436" s="373"/>
      <c r="D1436" s="373"/>
      <c r="E1436" s="247"/>
      <c r="F1436" s="247"/>
      <c r="G1436" s="247"/>
      <c r="H1436" s="247"/>
      <c r="I1436" s="247"/>
      <c r="J1436" s="247"/>
      <c r="K1436" s="247"/>
      <c r="L1436" s="247"/>
      <c r="M1436" s="247"/>
      <c r="N1436" s="247"/>
      <c r="O1436" s="247"/>
      <c r="P1436" s="247"/>
      <c r="Q1436" s="247"/>
      <c r="R1436" s="247"/>
      <c r="S1436" s="247"/>
      <c r="T1436" s="247"/>
      <c r="U1436" s="247"/>
      <c r="V1436" s="247"/>
      <c r="W1436" s="247"/>
      <c r="X1436" s="247"/>
      <c r="Y1436" s="247"/>
      <c r="Z1436" s="247"/>
      <c r="AA1436" s="247"/>
      <c r="AB1436" s="247"/>
      <c r="AC1436" s="247"/>
    </row>
    <row r="1437">
      <c r="A1437" s="247"/>
      <c r="B1437" s="373"/>
      <c r="C1437" s="373"/>
      <c r="D1437" s="373"/>
      <c r="E1437" s="247"/>
      <c r="F1437" s="247"/>
      <c r="G1437" s="247"/>
      <c r="H1437" s="247"/>
      <c r="I1437" s="247"/>
      <c r="J1437" s="247"/>
      <c r="K1437" s="247"/>
      <c r="L1437" s="247"/>
      <c r="M1437" s="247"/>
      <c r="N1437" s="247"/>
      <c r="O1437" s="247"/>
      <c r="P1437" s="247"/>
      <c r="Q1437" s="247"/>
      <c r="R1437" s="247"/>
      <c r="S1437" s="247"/>
      <c r="T1437" s="247"/>
      <c r="U1437" s="247"/>
      <c r="V1437" s="247"/>
      <c r="W1437" s="247"/>
      <c r="X1437" s="247"/>
      <c r="Y1437" s="247"/>
      <c r="Z1437" s="247"/>
      <c r="AA1437" s="247"/>
      <c r="AB1437" s="247"/>
      <c r="AC1437" s="247"/>
    </row>
    <row r="1438">
      <c r="A1438" s="247"/>
      <c r="B1438" s="373"/>
      <c r="C1438" s="373"/>
      <c r="D1438" s="373"/>
      <c r="E1438" s="247"/>
      <c r="F1438" s="247"/>
      <c r="G1438" s="247"/>
      <c r="H1438" s="247"/>
      <c r="I1438" s="247"/>
      <c r="J1438" s="247"/>
      <c r="K1438" s="247"/>
      <c r="L1438" s="247"/>
      <c r="M1438" s="247"/>
      <c r="N1438" s="247"/>
      <c r="O1438" s="247"/>
      <c r="P1438" s="247"/>
      <c r="Q1438" s="247"/>
      <c r="R1438" s="247"/>
      <c r="S1438" s="247"/>
      <c r="T1438" s="247"/>
      <c r="U1438" s="247"/>
      <c r="V1438" s="247"/>
      <c r="W1438" s="247"/>
      <c r="X1438" s="247"/>
      <c r="Y1438" s="247"/>
      <c r="Z1438" s="247"/>
      <c r="AA1438" s="247"/>
      <c r="AB1438" s="247"/>
      <c r="AC1438" s="247"/>
    </row>
    <row r="1439">
      <c r="A1439" s="247"/>
      <c r="B1439" s="373"/>
      <c r="C1439" s="373"/>
      <c r="D1439" s="373"/>
      <c r="E1439" s="247"/>
      <c r="F1439" s="247"/>
      <c r="G1439" s="247"/>
      <c r="H1439" s="247"/>
      <c r="I1439" s="247"/>
      <c r="J1439" s="247"/>
      <c r="K1439" s="247"/>
      <c r="L1439" s="247"/>
      <c r="M1439" s="247"/>
      <c r="N1439" s="247"/>
      <c r="O1439" s="247"/>
      <c r="P1439" s="247"/>
      <c r="Q1439" s="247"/>
      <c r="R1439" s="247"/>
      <c r="S1439" s="247"/>
      <c r="T1439" s="247"/>
      <c r="U1439" s="247"/>
      <c r="V1439" s="247"/>
      <c r="W1439" s="247"/>
      <c r="X1439" s="247"/>
      <c r="Y1439" s="247"/>
      <c r="Z1439" s="247"/>
      <c r="AA1439" s="247"/>
      <c r="AB1439" s="247"/>
      <c r="AC1439" s="247"/>
    </row>
    <row r="1440">
      <c r="A1440" s="247"/>
      <c r="B1440" s="373"/>
      <c r="C1440" s="373"/>
      <c r="D1440" s="373"/>
      <c r="E1440" s="247"/>
      <c r="F1440" s="247"/>
      <c r="G1440" s="247"/>
      <c r="H1440" s="247"/>
      <c r="I1440" s="247"/>
      <c r="J1440" s="247"/>
      <c r="K1440" s="247"/>
      <c r="L1440" s="247"/>
      <c r="M1440" s="247"/>
      <c r="N1440" s="247"/>
      <c r="O1440" s="247"/>
      <c r="P1440" s="247"/>
      <c r="Q1440" s="247"/>
      <c r="R1440" s="247"/>
      <c r="S1440" s="247"/>
      <c r="T1440" s="247"/>
      <c r="U1440" s="247"/>
      <c r="V1440" s="247"/>
      <c r="W1440" s="247"/>
      <c r="X1440" s="247"/>
      <c r="Y1440" s="247"/>
      <c r="Z1440" s="247"/>
      <c r="AA1440" s="247"/>
      <c r="AB1440" s="247"/>
      <c r="AC1440" s="247"/>
    </row>
    <row r="1441">
      <c r="A1441" s="247"/>
      <c r="B1441" s="373"/>
      <c r="C1441" s="373"/>
      <c r="D1441" s="373"/>
      <c r="E1441" s="247"/>
      <c r="F1441" s="247"/>
      <c r="G1441" s="247"/>
      <c r="H1441" s="247"/>
      <c r="I1441" s="247"/>
      <c r="J1441" s="247"/>
      <c r="K1441" s="247"/>
      <c r="L1441" s="247"/>
      <c r="M1441" s="247"/>
      <c r="N1441" s="247"/>
      <c r="O1441" s="247"/>
      <c r="P1441" s="247"/>
      <c r="Q1441" s="247"/>
      <c r="R1441" s="247"/>
      <c r="S1441" s="247"/>
      <c r="T1441" s="247"/>
      <c r="U1441" s="247"/>
      <c r="V1441" s="247"/>
      <c r="W1441" s="247"/>
      <c r="X1441" s="247"/>
      <c r="Y1441" s="247"/>
      <c r="Z1441" s="247"/>
      <c r="AA1441" s="247"/>
      <c r="AB1441" s="247"/>
      <c r="AC1441" s="247"/>
    </row>
    <row r="1442">
      <c r="A1442" s="247"/>
      <c r="B1442" s="373"/>
      <c r="C1442" s="373"/>
      <c r="D1442" s="373"/>
      <c r="E1442" s="247"/>
      <c r="F1442" s="247"/>
      <c r="G1442" s="247"/>
      <c r="H1442" s="247"/>
      <c r="I1442" s="247"/>
      <c r="J1442" s="247"/>
      <c r="K1442" s="247"/>
      <c r="L1442" s="247"/>
      <c r="M1442" s="247"/>
      <c r="N1442" s="247"/>
      <c r="O1442" s="247"/>
      <c r="P1442" s="247"/>
      <c r="Q1442" s="247"/>
      <c r="R1442" s="247"/>
      <c r="S1442" s="247"/>
      <c r="T1442" s="247"/>
      <c r="U1442" s="247"/>
      <c r="V1442" s="247"/>
      <c r="W1442" s="247"/>
      <c r="X1442" s="247"/>
      <c r="Y1442" s="247"/>
      <c r="Z1442" s="247"/>
      <c r="AA1442" s="247"/>
      <c r="AB1442" s="247"/>
      <c r="AC1442" s="247"/>
    </row>
    <row r="1443">
      <c r="A1443" s="247"/>
      <c r="B1443" s="373"/>
      <c r="C1443" s="373"/>
      <c r="D1443" s="373"/>
      <c r="E1443" s="247"/>
      <c r="F1443" s="247"/>
      <c r="G1443" s="247"/>
      <c r="H1443" s="247"/>
      <c r="I1443" s="247"/>
      <c r="J1443" s="247"/>
      <c r="K1443" s="247"/>
      <c r="L1443" s="247"/>
      <c r="M1443" s="247"/>
      <c r="N1443" s="247"/>
      <c r="O1443" s="247"/>
      <c r="P1443" s="247"/>
      <c r="Q1443" s="247"/>
      <c r="R1443" s="247"/>
      <c r="S1443" s="247"/>
      <c r="T1443" s="247"/>
      <c r="U1443" s="247"/>
      <c r="V1443" s="247"/>
      <c r="W1443" s="247"/>
      <c r="X1443" s="247"/>
      <c r="Y1443" s="247"/>
      <c r="Z1443" s="247"/>
      <c r="AA1443" s="247"/>
      <c r="AB1443" s="247"/>
      <c r="AC1443" s="247"/>
    </row>
    <row r="1444">
      <c r="A1444" s="247"/>
      <c r="B1444" s="373"/>
      <c r="C1444" s="373"/>
      <c r="D1444" s="373"/>
      <c r="E1444" s="247"/>
      <c r="F1444" s="247"/>
      <c r="G1444" s="247"/>
      <c r="H1444" s="247"/>
      <c r="I1444" s="247"/>
      <c r="J1444" s="247"/>
      <c r="K1444" s="247"/>
      <c r="L1444" s="247"/>
      <c r="M1444" s="247"/>
      <c r="N1444" s="247"/>
      <c r="O1444" s="247"/>
      <c r="P1444" s="247"/>
      <c r="Q1444" s="247"/>
      <c r="R1444" s="247"/>
      <c r="S1444" s="247"/>
      <c r="T1444" s="247"/>
      <c r="U1444" s="247"/>
      <c r="V1444" s="247"/>
      <c r="W1444" s="247"/>
      <c r="X1444" s="247"/>
      <c r="Y1444" s="247"/>
      <c r="Z1444" s="247"/>
      <c r="AA1444" s="247"/>
      <c r="AB1444" s="247"/>
      <c r="AC1444" s="247"/>
    </row>
    <row r="1445">
      <c r="A1445" s="247"/>
      <c r="B1445" s="373"/>
      <c r="C1445" s="373"/>
      <c r="D1445" s="373"/>
      <c r="E1445" s="247"/>
      <c r="F1445" s="247"/>
      <c r="G1445" s="247"/>
      <c r="H1445" s="247"/>
      <c r="I1445" s="247"/>
      <c r="J1445" s="247"/>
      <c r="K1445" s="247"/>
      <c r="L1445" s="247"/>
      <c r="M1445" s="247"/>
      <c r="N1445" s="247"/>
      <c r="O1445" s="247"/>
      <c r="P1445" s="247"/>
      <c r="Q1445" s="247"/>
      <c r="R1445" s="247"/>
      <c r="S1445" s="247"/>
      <c r="T1445" s="247"/>
      <c r="U1445" s="247"/>
      <c r="V1445" s="247"/>
      <c r="W1445" s="247"/>
      <c r="X1445" s="247"/>
      <c r="Y1445" s="247"/>
      <c r="Z1445" s="247"/>
      <c r="AA1445" s="247"/>
      <c r="AB1445" s="247"/>
      <c r="AC1445" s="247"/>
    </row>
    <row r="1446">
      <c r="A1446" s="247"/>
      <c r="B1446" s="373"/>
      <c r="C1446" s="373"/>
      <c r="D1446" s="373"/>
      <c r="E1446" s="247"/>
      <c r="F1446" s="247"/>
      <c r="G1446" s="247"/>
      <c r="H1446" s="247"/>
      <c r="I1446" s="247"/>
      <c r="J1446" s="247"/>
      <c r="K1446" s="247"/>
      <c r="L1446" s="247"/>
      <c r="M1446" s="247"/>
      <c r="N1446" s="247"/>
      <c r="O1446" s="247"/>
      <c r="P1446" s="247"/>
      <c r="Q1446" s="247"/>
      <c r="R1446" s="247"/>
      <c r="S1446" s="247"/>
      <c r="T1446" s="247"/>
      <c r="U1446" s="247"/>
      <c r="V1446" s="247"/>
      <c r="W1446" s="247"/>
      <c r="X1446" s="247"/>
      <c r="Y1446" s="247"/>
      <c r="Z1446" s="247"/>
      <c r="AA1446" s="247"/>
      <c r="AB1446" s="247"/>
      <c r="AC1446" s="247"/>
    </row>
    <row r="1447">
      <c r="A1447" s="247"/>
      <c r="B1447" s="373"/>
      <c r="C1447" s="373"/>
      <c r="D1447" s="373"/>
      <c r="E1447" s="247"/>
      <c r="F1447" s="247"/>
      <c r="G1447" s="247"/>
      <c r="H1447" s="247"/>
      <c r="I1447" s="247"/>
      <c r="J1447" s="247"/>
      <c r="K1447" s="247"/>
      <c r="L1447" s="247"/>
      <c r="M1447" s="247"/>
      <c r="N1447" s="247"/>
      <c r="O1447" s="247"/>
      <c r="P1447" s="247"/>
      <c r="Q1447" s="247"/>
      <c r="R1447" s="247"/>
      <c r="S1447" s="247"/>
      <c r="T1447" s="247"/>
      <c r="U1447" s="247"/>
      <c r="V1447" s="247"/>
      <c r="W1447" s="247"/>
      <c r="X1447" s="247"/>
      <c r="Y1447" s="247"/>
      <c r="Z1447" s="247"/>
      <c r="AA1447" s="247"/>
      <c r="AB1447" s="247"/>
      <c r="AC1447" s="247"/>
    </row>
    <row r="1448">
      <c r="A1448" s="247"/>
      <c r="B1448" s="373"/>
      <c r="C1448" s="373"/>
      <c r="D1448" s="373"/>
      <c r="E1448" s="247"/>
      <c r="F1448" s="247"/>
      <c r="G1448" s="247"/>
      <c r="H1448" s="247"/>
      <c r="I1448" s="247"/>
      <c r="J1448" s="247"/>
      <c r="K1448" s="247"/>
      <c r="L1448" s="247"/>
      <c r="M1448" s="247"/>
      <c r="N1448" s="247"/>
      <c r="O1448" s="247"/>
      <c r="P1448" s="247"/>
      <c r="Q1448" s="247"/>
      <c r="R1448" s="247"/>
      <c r="S1448" s="247"/>
      <c r="T1448" s="247"/>
      <c r="U1448" s="247"/>
      <c r="V1448" s="247"/>
      <c r="W1448" s="247"/>
      <c r="X1448" s="247"/>
      <c r="Y1448" s="247"/>
      <c r="Z1448" s="247"/>
      <c r="AA1448" s="247"/>
      <c r="AB1448" s="247"/>
      <c r="AC1448" s="247"/>
    </row>
    <row r="1449">
      <c r="A1449" s="247"/>
      <c r="B1449" s="373"/>
      <c r="C1449" s="373"/>
      <c r="D1449" s="373"/>
      <c r="E1449" s="247"/>
      <c r="F1449" s="247"/>
      <c r="G1449" s="247"/>
      <c r="H1449" s="247"/>
      <c r="I1449" s="247"/>
      <c r="J1449" s="247"/>
      <c r="K1449" s="247"/>
      <c r="L1449" s="247"/>
      <c r="M1449" s="247"/>
      <c r="N1449" s="247"/>
      <c r="O1449" s="247"/>
      <c r="P1449" s="247"/>
      <c r="Q1449" s="247"/>
      <c r="R1449" s="247"/>
      <c r="S1449" s="247"/>
      <c r="T1449" s="247"/>
      <c r="U1449" s="247"/>
      <c r="V1449" s="247"/>
      <c r="W1449" s="247"/>
      <c r="X1449" s="247"/>
      <c r="Y1449" s="247"/>
      <c r="Z1449" s="247"/>
      <c r="AA1449" s="247"/>
      <c r="AB1449" s="247"/>
      <c r="AC1449" s="247"/>
    </row>
    <row r="1450">
      <c r="A1450" s="247"/>
      <c r="B1450" s="373"/>
      <c r="C1450" s="373"/>
      <c r="D1450" s="373"/>
      <c r="E1450" s="247"/>
      <c r="F1450" s="247"/>
      <c r="G1450" s="247"/>
      <c r="H1450" s="247"/>
      <c r="I1450" s="247"/>
      <c r="J1450" s="247"/>
      <c r="K1450" s="247"/>
      <c r="L1450" s="247"/>
      <c r="M1450" s="247"/>
      <c r="N1450" s="247"/>
      <c r="O1450" s="247"/>
      <c r="P1450" s="247"/>
      <c r="Q1450" s="247"/>
      <c r="R1450" s="247"/>
      <c r="S1450" s="247"/>
      <c r="T1450" s="247"/>
      <c r="U1450" s="247"/>
      <c r="V1450" s="247"/>
      <c r="W1450" s="247"/>
      <c r="X1450" s="247"/>
      <c r="Y1450" s="247"/>
      <c r="Z1450" s="247"/>
      <c r="AA1450" s="247"/>
      <c r="AB1450" s="247"/>
      <c r="AC1450" s="247"/>
    </row>
    <row r="1451">
      <c r="A1451" s="247"/>
      <c r="B1451" s="373"/>
      <c r="C1451" s="373"/>
      <c r="D1451" s="373"/>
      <c r="E1451" s="247"/>
      <c r="F1451" s="247"/>
      <c r="G1451" s="247"/>
      <c r="H1451" s="247"/>
      <c r="I1451" s="247"/>
      <c r="J1451" s="247"/>
      <c r="K1451" s="247"/>
      <c r="L1451" s="247"/>
      <c r="M1451" s="247"/>
      <c r="N1451" s="247"/>
      <c r="O1451" s="247"/>
      <c r="P1451" s="247"/>
      <c r="Q1451" s="247"/>
      <c r="R1451" s="247"/>
      <c r="S1451" s="247"/>
      <c r="T1451" s="247"/>
      <c r="U1451" s="247"/>
      <c r="V1451" s="247"/>
      <c r="W1451" s="247"/>
      <c r="X1451" s="247"/>
      <c r="Y1451" s="247"/>
      <c r="Z1451" s="247"/>
      <c r="AA1451" s="247"/>
      <c r="AB1451" s="247"/>
      <c r="AC1451" s="247"/>
    </row>
    <row r="1452">
      <c r="A1452" s="247"/>
      <c r="B1452" s="373"/>
      <c r="C1452" s="373"/>
      <c r="D1452" s="373"/>
      <c r="E1452" s="247"/>
      <c r="F1452" s="247"/>
      <c r="G1452" s="247"/>
      <c r="H1452" s="247"/>
      <c r="I1452" s="247"/>
      <c r="J1452" s="247"/>
      <c r="K1452" s="247"/>
      <c r="L1452" s="247"/>
      <c r="M1452" s="247"/>
      <c r="N1452" s="247"/>
      <c r="O1452" s="247"/>
      <c r="P1452" s="247"/>
      <c r="Q1452" s="247"/>
      <c r="R1452" s="247"/>
      <c r="S1452" s="247"/>
      <c r="T1452" s="247"/>
      <c r="U1452" s="247"/>
      <c r="V1452" s="247"/>
      <c r="W1452" s="247"/>
      <c r="X1452" s="247"/>
      <c r="Y1452" s="247"/>
      <c r="Z1452" s="247"/>
      <c r="AA1452" s="247"/>
      <c r="AB1452" s="247"/>
      <c r="AC1452" s="247"/>
    </row>
    <row r="1453">
      <c r="A1453" s="247"/>
      <c r="B1453" s="373"/>
      <c r="C1453" s="373"/>
      <c r="D1453" s="373"/>
      <c r="E1453" s="247"/>
      <c r="F1453" s="247"/>
      <c r="G1453" s="247"/>
      <c r="H1453" s="247"/>
      <c r="I1453" s="247"/>
      <c r="J1453" s="247"/>
      <c r="K1453" s="247"/>
      <c r="L1453" s="247"/>
      <c r="M1453" s="247"/>
      <c r="N1453" s="247"/>
      <c r="O1453" s="247"/>
      <c r="P1453" s="247"/>
      <c r="Q1453" s="247"/>
      <c r="R1453" s="247"/>
      <c r="S1453" s="247"/>
      <c r="T1453" s="247"/>
      <c r="U1453" s="247"/>
      <c r="V1453" s="247"/>
      <c r="W1453" s="247"/>
      <c r="X1453" s="247"/>
      <c r="Y1453" s="247"/>
      <c r="Z1453" s="247"/>
      <c r="AA1453" s="247"/>
      <c r="AB1453" s="247"/>
      <c r="AC1453" s="247"/>
    </row>
    <row r="1454">
      <c r="A1454" s="247"/>
      <c r="B1454" s="373"/>
      <c r="C1454" s="373"/>
      <c r="D1454" s="373"/>
      <c r="E1454" s="247"/>
      <c r="F1454" s="247"/>
      <c r="G1454" s="247"/>
      <c r="H1454" s="247"/>
      <c r="I1454" s="247"/>
      <c r="J1454" s="247"/>
      <c r="K1454" s="247"/>
      <c r="L1454" s="247"/>
      <c r="M1454" s="247"/>
      <c r="N1454" s="247"/>
      <c r="O1454" s="247"/>
      <c r="P1454" s="247"/>
      <c r="Q1454" s="247"/>
      <c r="R1454" s="247"/>
      <c r="S1454" s="247"/>
      <c r="T1454" s="247"/>
      <c r="U1454" s="247"/>
      <c r="V1454" s="247"/>
      <c r="W1454" s="247"/>
      <c r="X1454" s="247"/>
      <c r="Y1454" s="247"/>
      <c r="Z1454" s="247"/>
      <c r="AA1454" s="247"/>
      <c r="AB1454" s="247"/>
      <c r="AC1454" s="247"/>
    </row>
    <row r="1455">
      <c r="A1455" s="247"/>
      <c r="B1455" s="373"/>
      <c r="C1455" s="373"/>
      <c r="D1455" s="373"/>
      <c r="E1455" s="247"/>
      <c r="F1455" s="247"/>
      <c r="G1455" s="247"/>
      <c r="H1455" s="247"/>
      <c r="I1455" s="247"/>
      <c r="J1455" s="247"/>
      <c r="K1455" s="247"/>
      <c r="L1455" s="247"/>
      <c r="M1455" s="247"/>
      <c r="N1455" s="247"/>
      <c r="O1455" s="247"/>
      <c r="P1455" s="247"/>
      <c r="Q1455" s="247"/>
      <c r="R1455" s="247"/>
      <c r="S1455" s="247"/>
      <c r="T1455" s="247"/>
      <c r="U1455" s="247"/>
      <c r="V1455" s="247"/>
      <c r="W1455" s="247"/>
      <c r="X1455" s="247"/>
      <c r="Y1455" s="247"/>
      <c r="Z1455" s="247"/>
      <c r="AA1455" s="247"/>
      <c r="AB1455" s="247"/>
      <c r="AC1455" s="247"/>
    </row>
    <row r="1456">
      <c r="A1456" s="247"/>
      <c r="B1456" s="373"/>
      <c r="C1456" s="373"/>
      <c r="D1456" s="373"/>
      <c r="E1456" s="247"/>
      <c r="F1456" s="247"/>
      <c r="G1456" s="247"/>
      <c r="H1456" s="247"/>
      <c r="I1456" s="247"/>
      <c r="J1456" s="247"/>
      <c r="K1456" s="247"/>
      <c r="L1456" s="247"/>
      <c r="M1456" s="247"/>
      <c r="N1456" s="247"/>
      <c r="O1456" s="247"/>
      <c r="P1456" s="247"/>
      <c r="Q1456" s="247"/>
      <c r="R1456" s="247"/>
      <c r="S1456" s="247"/>
      <c r="T1456" s="247"/>
      <c r="U1456" s="247"/>
      <c r="V1456" s="247"/>
      <c r="W1456" s="247"/>
      <c r="X1456" s="247"/>
      <c r="Y1456" s="247"/>
      <c r="Z1456" s="247"/>
      <c r="AA1456" s="247"/>
      <c r="AB1456" s="247"/>
      <c r="AC1456" s="247"/>
    </row>
    <row r="1457">
      <c r="A1457" s="247"/>
      <c r="B1457" s="373"/>
      <c r="C1457" s="373"/>
      <c r="D1457" s="373"/>
      <c r="E1457" s="247"/>
      <c r="F1457" s="247"/>
      <c r="G1457" s="247"/>
      <c r="H1457" s="247"/>
      <c r="I1457" s="247"/>
      <c r="J1457" s="247"/>
      <c r="K1457" s="247"/>
      <c r="L1457" s="247"/>
      <c r="M1457" s="247"/>
      <c r="N1457" s="247"/>
      <c r="O1457" s="247"/>
      <c r="P1457" s="247"/>
      <c r="Q1457" s="247"/>
      <c r="R1457" s="247"/>
      <c r="S1457" s="247"/>
      <c r="T1457" s="247"/>
      <c r="U1457" s="247"/>
      <c r="V1457" s="247"/>
      <c r="W1457" s="247"/>
      <c r="X1457" s="247"/>
      <c r="Y1457" s="247"/>
      <c r="Z1457" s="247"/>
      <c r="AA1457" s="247"/>
      <c r="AB1457" s="247"/>
      <c r="AC1457" s="247"/>
    </row>
    <row r="1458">
      <c r="A1458" s="247"/>
      <c r="B1458" s="373"/>
      <c r="C1458" s="373"/>
      <c r="D1458" s="373"/>
      <c r="E1458" s="247"/>
      <c r="F1458" s="247"/>
      <c r="G1458" s="247"/>
      <c r="H1458" s="247"/>
      <c r="I1458" s="247"/>
      <c r="J1458" s="247"/>
      <c r="K1458" s="247"/>
      <c r="L1458" s="247"/>
      <c r="M1458" s="247"/>
      <c r="N1458" s="247"/>
      <c r="O1458" s="247"/>
      <c r="P1458" s="247"/>
      <c r="Q1458" s="247"/>
      <c r="R1458" s="247"/>
      <c r="S1458" s="247"/>
      <c r="T1458" s="247"/>
      <c r="U1458" s="247"/>
      <c r="V1458" s="247"/>
      <c r="W1458" s="247"/>
      <c r="X1458" s="247"/>
      <c r="Y1458" s="247"/>
      <c r="Z1458" s="247"/>
      <c r="AA1458" s="247"/>
      <c r="AB1458" s="247"/>
      <c r="AC1458" s="247"/>
    </row>
    <row r="1459">
      <c r="A1459" s="247"/>
      <c r="B1459" s="373"/>
      <c r="C1459" s="373"/>
      <c r="D1459" s="373"/>
      <c r="E1459" s="247"/>
      <c r="F1459" s="247"/>
      <c r="G1459" s="247"/>
      <c r="H1459" s="247"/>
      <c r="I1459" s="247"/>
      <c r="J1459" s="247"/>
      <c r="K1459" s="247"/>
      <c r="L1459" s="247"/>
      <c r="M1459" s="247"/>
      <c r="N1459" s="247"/>
      <c r="O1459" s="247"/>
      <c r="P1459" s="247"/>
      <c r="Q1459" s="247"/>
      <c r="R1459" s="247"/>
      <c r="S1459" s="247"/>
      <c r="T1459" s="247"/>
      <c r="U1459" s="247"/>
      <c r="V1459" s="247"/>
      <c r="W1459" s="247"/>
      <c r="X1459" s="247"/>
      <c r="Y1459" s="247"/>
      <c r="Z1459" s="247"/>
      <c r="AA1459" s="247"/>
      <c r="AB1459" s="247"/>
      <c r="AC1459" s="247"/>
    </row>
    <row r="1460">
      <c r="A1460" s="247"/>
      <c r="B1460" s="373"/>
      <c r="C1460" s="373"/>
      <c r="D1460" s="373"/>
      <c r="E1460" s="247"/>
      <c r="F1460" s="247"/>
      <c r="G1460" s="247"/>
      <c r="H1460" s="247"/>
      <c r="I1460" s="247"/>
      <c r="J1460" s="247"/>
      <c r="K1460" s="247"/>
      <c r="L1460" s="247"/>
      <c r="M1460" s="247"/>
      <c r="N1460" s="247"/>
      <c r="O1460" s="247"/>
      <c r="P1460" s="247"/>
      <c r="Q1460" s="247"/>
      <c r="R1460" s="247"/>
      <c r="S1460" s="247"/>
      <c r="T1460" s="247"/>
      <c r="U1460" s="247"/>
      <c r="V1460" s="247"/>
      <c r="W1460" s="247"/>
      <c r="X1460" s="247"/>
      <c r="Y1460" s="247"/>
      <c r="Z1460" s="247"/>
      <c r="AA1460" s="247"/>
      <c r="AB1460" s="247"/>
      <c r="AC1460" s="247"/>
    </row>
    <row r="1461">
      <c r="A1461" s="247"/>
      <c r="B1461" s="373"/>
      <c r="C1461" s="373"/>
      <c r="D1461" s="373"/>
      <c r="E1461" s="247"/>
      <c r="F1461" s="247"/>
      <c r="G1461" s="247"/>
      <c r="H1461" s="247"/>
      <c r="I1461" s="247"/>
      <c r="J1461" s="247"/>
      <c r="K1461" s="247"/>
      <c r="L1461" s="247"/>
      <c r="M1461" s="247"/>
      <c r="N1461" s="247"/>
      <c r="O1461" s="247"/>
      <c r="P1461" s="247"/>
      <c r="Q1461" s="247"/>
      <c r="R1461" s="247"/>
      <c r="S1461" s="247"/>
      <c r="T1461" s="247"/>
      <c r="U1461" s="247"/>
      <c r="V1461" s="247"/>
      <c r="W1461" s="247"/>
      <c r="X1461" s="247"/>
      <c r="Y1461" s="247"/>
      <c r="Z1461" s="247"/>
      <c r="AA1461" s="247"/>
      <c r="AB1461" s="247"/>
      <c r="AC1461" s="247"/>
    </row>
    <row r="1462">
      <c r="A1462" s="247"/>
      <c r="B1462" s="373"/>
      <c r="C1462" s="373"/>
      <c r="D1462" s="373"/>
      <c r="E1462" s="247"/>
      <c r="F1462" s="247"/>
      <c r="G1462" s="247"/>
      <c r="H1462" s="247"/>
      <c r="I1462" s="247"/>
      <c r="J1462" s="247"/>
      <c r="K1462" s="247"/>
      <c r="L1462" s="247"/>
      <c r="M1462" s="247"/>
      <c r="N1462" s="247"/>
      <c r="O1462" s="247"/>
      <c r="P1462" s="247"/>
      <c r="Q1462" s="247"/>
      <c r="R1462" s="247"/>
      <c r="S1462" s="247"/>
      <c r="T1462" s="247"/>
      <c r="U1462" s="247"/>
      <c r="V1462" s="247"/>
      <c r="W1462" s="247"/>
      <c r="X1462" s="247"/>
      <c r="Y1462" s="247"/>
      <c r="Z1462" s="247"/>
      <c r="AA1462" s="247"/>
      <c r="AB1462" s="247"/>
      <c r="AC1462" s="247"/>
    </row>
    <row r="1463">
      <c r="A1463" s="247"/>
      <c r="B1463" s="373"/>
      <c r="C1463" s="373"/>
      <c r="D1463" s="373"/>
      <c r="E1463" s="247"/>
      <c r="F1463" s="247"/>
      <c r="G1463" s="247"/>
      <c r="H1463" s="247"/>
      <c r="I1463" s="247"/>
      <c r="J1463" s="247"/>
      <c r="K1463" s="247"/>
      <c r="L1463" s="247"/>
      <c r="M1463" s="247"/>
      <c r="N1463" s="247"/>
      <c r="O1463" s="247"/>
      <c r="P1463" s="247"/>
      <c r="Q1463" s="247"/>
      <c r="R1463" s="247"/>
      <c r="S1463" s="247"/>
      <c r="T1463" s="247"/>
      <c r="U1463" s="247"/>
      <c r="V1463" s="247"/>
      <c r="W1463" s="247"/>
      <c r="X1463" s="247"/>
      <c r="Y1463" s="247"/>
      <c r="Z1463" s="247"/>
      <c r="AA1463" s="247"/>
      <c r="AB1463" s="247"/>
      <c r="AC1463" s="247"/>
    </row>
    <row r="1464">
      <c r="A1464" s="247"/>
      <c r="B1464" s="373"/>
      <c r="C1464" s="373"/>
      <c r="D1464" s="373"/>
      <c r="E1464" s="247"/>
      <c r="F1464" s="247"/>
      <c r="G1464" s="247"/>
      <c r="H1464" s="247"/>
      <c r="I1464" s="247"/>
      <c r="J1464" s="247"/>
      <c r="K1464" s="247"/>
      <c r="L1464" s="247"/>
      <c r="M1464" s="247"/>
      <c r="N1464" s="247"/>
      <c r="O1464" s="247"/>
      <c r="P1464" s="247"/>
      <c r="Q1464" s="247"/>
      <c r="R1464" s="247"/>
      <c r="S1464" s="247"/>
      <c r="T1464" s="247"/>
      <c r="U1464" s="247"/>
      <c r="V1464" s="247"/>
      <c r="W1464" s="247"/>
      <c r="X1464" s="247"/>
      <c r="Y1464" s="247"/>
      <c r="Z1464" s="247"/>
      <c r="AA1464" s="247"/>
      <c r="AB1464" s="247"/>
      <c r="AC1464" s="247"/>
    </row>
    <row r="1465">
      <c r="A1465" s="247"/>
      <c r="B1465" s="373"/>
      <c r="C1465" s="373"/>
      <c r="D1465" s="373"/>
      <c r="E1465" s="247"/>
      <c r="F1465" s="247"/>
      <c r="G1465" s="247"/>
      <c r="H1465" s="247"/>
      <c r="I1465" s="247"/>
      <c r="J1465" s="247"/>
      <c r="K1465" s="247"/>
      <c r="L1465" s="247"/>
      <c r="M1465" s="247"/>
      <c r="N1465" s="247"/>
      <c r="O1465" s="247"/>
      <c r="P1465" s="247"/>
      <c r="Q1465" s="247"/>
      <c r="R1465" s="247"/>
      <c r="S1465" s="247"/>
      <c r="T1465" s="247"/>
      <c r="U1465" s="247"/>
      <c r="V1465" s="247"/>
      <c r="W1465" s="247"/>
      <c r="X1465" s="247"/>
      <c r="Y1465" s="247"/>
      <c r="Z1465" s="247"/>
      <c r="AA1465" s="247"/>
      <c r="AB1465" s="247"/>
      <c r="AC1465" s="247"/>
    </row>
    <row r="1466">
      <c r="A1466" s="247"/>
      <c r="B1466" s="373"/>
      <c r="C1466" s="373"/>
      <c r="D1466" s="373"/>
      <c r="E1466" s="247"/>
      <c r="F1466" s="247"/>
      <c r="G1466" s="247"/>
      <c r="H1466" s="247"/>
      <c r="I1466" s="247"/>
      <c r="J1466" s="247"/>
      <c r="K1466" s="247"/>
      <c r="L1466" s="247"/>
      <c r="M1466" s="247"/>
      <c r="N1466" s="247"/>
      <c r="O1466" s="247"/>
      <c r="P1466" s="247"/>
      <c r="Q1466" s="247"/>
      <c r="R1466" s="247"/>
      <c r="S1466" s="247"/>
      <c r="T1466" s="247"/>
      <c r="U1466" s="247"/>
      <c r="V1466" s="247"/>
      <c r="W1466" s="247"/>
      <c r="X1466" s="247"/>
      <c r="Y1466" s="247"/>
      <c r="Z1466" s="247"/>
      <c r="AA1466" s="247"/>
      <c r="AB1466" s="247"/>
      <c r="AC1466" s="247"/>
    </row>
    <row r="1467">
      <c r="A1467" s="247"/>
      <c r="B1467" s="373"/>
      <c r="C1467" s="373"/>
      <c r="D1467" s="373"/>
      <c r="E1467" s="247"/>
      <c r="F1467" s="247"/>
      <c r="G1467" s="247"/>
      <c r="H1467" s="247"/>
      <c r="I1467" s="247"/>
      <c r="J1467" s="247"/>
      <c r="K1467" s="247"/>
      <c r="L1467" s="247"/>
      <c r="M1467" s="247"/>
      <c r="N1467" s="247"/>
      <c r="O1467" s="247"/>
      <c r="P1467" s="247"/>
      <c r="Q1467" s="247"/>
      <c r="R1467" s="247"/>
      <c r="S1467" s="247"/>
      <c r="T1467" s="247"/>
      <c r="U1467" s="247"/>
      <c r="V1467" s="247"/>
      <c r="W1467" s="247"/>
      <c r="X1467" s="247"/>
      <c r="Y1467" s="247"/>
      <c r="Z1467" s="247"/>
      <c r="AA1467" s="247"/>
      <c r="AB1467" s="247"/>
      <c r="AC1467" s="247"/>
    </row>
    <row r="1468">
      <c r="A1468" s="247"/>
      <c r="B1468" s="373"/>
      <c r="C1468" s="373"/>
      <c r="D1468" s="373"/>
      <c r="E1468" s="247"/>
      <c r="F1468" s="247"/>
      <c r="G1468" s="247"/>
      <c r="H1468" s="247"/>
      <c r="I1468" s="247"/>
      <c r="J1468" s="247"/>
      <c r="K1468" s="247"/>
      <c r="L1468" s="247"/>
      <c r="M1468" s="247"/>
      <c r="N1468" s="247"/>
      <c r="O1468" s="247"/>
      <c r="P1468" s="247"/>
      <c r="Q1468" s="247"/>
      <c r="R1468" s="247"/>
      <c r="S1468" s="247"/>
      <c r="T1468" s="247"/>
      <c r="U1468" s="247"/>
      <c r="V1468" s="247"/>
      <c r="W1468" s="247"/>
      <c r="X1468" s="247"/>
      <c r="Y1468" s="247"/>
      <c r="Z1468" s="247"/>
      <c r="AA1468" s="247"/>
      <c r="AB1468" s="247"/>
      <c r="AC1468" s="247"/>
    </row>
    <row r="1469">
      <c r="A1469" s="247"/>
      <c r="B1469" s="373"/>
      <c r="C1469" s="373"/>
      <c r="D1469" s="373"/>
      <c r="E1469" s="247"/>
      <c r="F1469" s="247"/>
      <c r="G1469" s="247"/>
      <c r="H1469" s="247"/>
      <c r="I1469" s="247"/>
      <c r="J1469" s="247"/>
      <c r="K1469" s="247"/>
      <c r="L1469" s="247"/>
      <c r="M1469" s="247"/>
      <c r="N1469" s="247"/>
      <c r="O1469" s="247"/>
      <c r="P1469" s="247"/>
      <c r="Q1469" s="247"/>
      <c r="R1469" s="247"/>
      <c r="S1469" s="247"/>
      <c r="T1469" s="247"/>
      <c r="U1469" s="247"/>
      <c r="V1469" s="247"/>
      <c r="W1469" s="247"/>
      <c r="X1469" s="247"/>
      <c r="Y1469" s="247"/>
      <c r="Z1469" s="247"/>
      <c r="AA1469" s="247"/>
      <c r="AB1469" s="247"/>
      <c r="AC1469" s="247"/>
    </row>
    <row r="1470">
      <c r="A1470" s="247"/>
      <c r="B1470" s="373"/>
      <c r="C1470" s="373"/>
      <c r="D1470" s="373"/>
      <c r="E1470" s="247"/>
      <c r="F1470" s="247"/>
      <c r="G1470" s="247"/>
      <c r="H1470" s="247"/>
      <c r="I1470" s="247"/>
      <c r="J1470" s="247"/>
      <c r="K1470" s="247"/>
      <c r="L1470" s="247"/>
      <c r="M1470" s="247"/>
      <c r="N1470" s="247"/>
      <c r="O1470" s="247"/>
      <c r="P1470" s="247"/>
      <c r="Q1470" s="247"/>
      <c r="R1470" s="247"/>
      <c r="S1470" s="247"/>
      <c r="T1470" s="247"/>
      <c r="U1470" s="247"/>
      <c r="V1470" s="247"/>
      <c r="W1470" s="247"/>
      <c r="X1470" s="247"/>
      <c r="Y1470" s="247"/>
      <c r="Z1470" s="247"/>
      <c r="AA1470" s="247"/>
      <c r="AB1470" s="247"/>
      <c r="AC1470" s="247"/>
    </row>
    <row r="1471">
      <c r="A1471" s="247"/>
      <c r="B1471" s="373"/>
      <c r="C1471" s="373"/>
      <c r="D1471" s="373"/>
      <c r="E1471" s="247"/>
      <c r="F1471" s="247"/>
      <c r="G1471" s="247"/>
      <c r="H1471" s="247"/>
      <c r="I1471" s="247"/>
      <c r="J1471" s="247"/>
      <c r="K1471" s="247"/>
      <c r="L1471" s="247"/>
      <c r="M1471" s="247"/>
      <c r="N1471" s="247"/>
      <c r="O1471" s="247"/>
      <c r="P1471" s="247"/>
      <c r="Q1471" s="247"/>
      <c r="R1471" s="247"/>
      <c r="S1471" s="247"/>
      <c r="T1471" s="247"/>
      <c r="U1471" s="247"/>
      <c r="V1471" s="247"/>
      <c r="W1471" s="247"/>
      <c r="X1471" s="247"/>
      <c r="Y1471" s="247"/>
      <c r="Z1471" s="247"/>
      <c r="AA1471" s="247"/>
      <c r="AB1471" s="247"/>
      <c r="AC1471" s="247"/>
    </row>
    <row r="1472">
      <c r="A1472" s="247"/>
      <c r="B1472" s="373"/>
      <c r="C1472" s="373"/>
      <c r="D1472" s="373"/>
      <c r="E1472" s="247"/>
      <c r="F1472" s="247"/>
      <c r="G1472" s="247"/>
      <c r="H1472" s="247"/>
      <c r="I1472" s="247"/>
      <c r="J1472" s="247"/>
      <c r="K1472" s="247"/>
      <c r="L1472" s="247"/>
      <c r="M1472" s="247"/>
      <c r="N1472" s="247"/>
      <c r="O1472" s="247"/>
      <c r="P1472" s="247"/>
      <c r="Q1472" s="247"/>
      <c r="R1472" s="247"/>
      <c r="S1472" s="247"/>
      <c r="T1472" s="247"/>
      <c r="U1472" s="247"/>
      <c r="V1472" s="247"/>
      <c r="W1472" s="247"/>
      <c r="X1472" s="247"/>
      <c r="Y1472" s="247"/>
      <c r="Z1472" s="247"/>
      <c r="AA1472" s="247"/>
      <c r="AB1472" s="247"/>
      <c r="AC1472" s="247"/>
    </row>
    <row r="1473">
      <c r="A1473" s="247"/>
      <c r="B1473" s="373"/>
      <c r="C1473" s="373"/>
      <c r="D1473" s="373"/>
      <c r="E1473" s="247"/>
      <c r="F1473" s="247"/>
      <c r="G1473" s="247"/>
      <c r="H1473" s="247"/>
      <c r="I1473" s="247"/>
      <c r="J1473" s="247"/>
      <c r="K1473" s="247"/>
      <c r="L1473" s="247"/>
      <c r="M1473" s="247"/>
      <c r="N1473" s="247"/>
      <c r="O1473" s="247"/>
      <c r="P1473" s="247"/>
      <c r="Q1473" s="247"/>
      <c r="R1473" s="247"/>
      <c r="S1473" s="247"/>
      <c r="T1473" s="247"/>
      <c r="U1473" s="247"/>
      <c r="V1473" s="247"/>
      <c r="W1473" s="247"/>
      <c r="X1473" s="247"/>
      <c r="Y1473" s="247"/>
      <c r="Z1473" s="247"/>
      <c r="AA1473" s="247"/>
      <c r="AB1473" s="247"/>
      <c r="AC1473" s="247"/>
    </row>
    <row r="1474">
      <c r="A1474" s="247"/>
      <c r="B1474" s="373"/>
      <c r="C1474" s="373"/>
      <c r="D1474" s="373"/>
      <c r="E1474" s="247"/>
      <c r="F1474" s="247"/>
      <c r="G1474" s="247"/>
      <c r="H1474" s="247"/>
      <c r="I1474" s="247"/>
      <c r="J1474" s="247"/>
      <c r="K1474" s="247"/>
      <c r="L1474" s="247"/>
      <c r="M1474" s="247"/>
      <c r="N1474" s="247"/>
      <c r="O1474" s="247"/>
      <c r="P1474" s="247"/>
      <c r="Q1474" s="247"/>
      <c r="R1474" s="247"/>
      <c r="S1474" s="247"/>
      <c r="T1474" s="247"/>
      <c r="U1474" s="247"/>
      <c r="V1474" s="247"/>
      <c r="W1474" s="247"/>
      <c r="X1474" s="247"/>
      <c r="Y1474" s="247"/>
      <c r="Z1474" s="247"/>
      <c r="AA1474" s="247"/>
      <c r="AB1474" s="247"/>
      <c r="AC1474" s="247"/>
    </row>
    <row r="1475">
      <c r="A1475" s="247"/>
      <c r="B1475" s="373"/>
      <c r="C1475" s="373"/>
      <c r="D1475" s="373"/>
      <c r="E1475" s="247"/>
      <c r="F1475" s="247"/>
      <c r="G1475" s="247"/>
      <c r="H1475" s="247"/>
      <c r="I1475" s="247"/>
      <c r="J1475" s="247"/>
      <c r="K1475" s="247"/>
      <c r="L1475" s="247"/>
      <c r="M1475" s="247"/>
      <c r="N1475" s="247"/>
      <c r="O1475" s="247"/>
      <c r="P1475" s="247"/>
      <c r="Q1475" s="247"/>
      <c r="R1475" s="247"/>
      <c r="S1475" s="247"/>
      <c r="T1475" s="247"/>
      <c r="U1475" s="247"/>
      <c r="V1475" s="247"/>
      <c r="W1475" s="247"/>
      <c r="X1475" s="247"/>
      <c r="Y1475" s="247"/>
      <c r="Z1475" s="247"/>
      <c r="AA1475" s="247"/>
      <c r="AB1475" s="247"/>
      <c r="AC1475" s="247"/>
    </row>
    <row r="1476">
      <c r="A1476" s="247"/>
      <c r="B1476" s="373"/>
      <c r="C1476" s="373"/>
      <c r="D1476" s="373"/>
      <c r="E1476" s="247"/>
      <c r="F1476" s="247"/>
      <c r="G1476" s="247"/>
      <c r="H1476" s="247"/>
      <c r="I1476" s="247"/>
      <c r="J1476" s="247"/>
      <c r="K1476" s="247"/>
      <c r="L1476" s="247"/>
      <c r="M1476" s="247"/>
      <c r="N1476" s="247"/>
      <c r="O1476" s="247"/>
      <c r="P1476" s="247"/>
      <c r="Q1476" s="247"/>
      <c r="R1476" s="247"/>
      <c r="S1476" s="247"/>
      <c r="T1476" s="247"/>
      <c r="U1476" s="247"/>
      <c r="V1476" s="247"/>
      <c r="W1476" s="247"/>
      <c r="X1476" s="247"/>
      <c r="Y1476" s="247"/>
      <c r="Z1476" s="247"/>
      <c r="AA1476" s="247"/>
      <c r="AB1476" s="247"/>
      <c r="AC1476" s="247"/>
    </row>
    <row r="1477">
      <c r="A1477" s="247"/>
      <c r="B1477" s="373"/>
      <c r="C1477" s="373"/>
      <c r="D1477" s="373"/>
      <c r="E1477" s="247"/>
      <c r="F1477" s="247"/>
      <c r="G1477" s="247"/>
      <c r="H1477" s="247"/>
      <c r="I1477" s="247"/>
      <c r="J1477" s="247"/>
      <c r="K1477" s="247"/>
      <c r="L1477" s="247"/>
      <c r="M1477" s="247"/>
      <c r="N1477" s="247"/>
      <c r="O1477" s="247"/>
      <c r="P1477" s="247"/>
      <c r="Q1477" s="247"/>
      <c r="R1477" s="247"/>
      <c r="S1477" s="247"/>
      <c r="T1477" s="247"/>
      <c r="U1477" s="247"/>
      <c r="V1477" s="247"/>
      <c r="W1477" s="247"/>
      <c r="X1477" s="247"/>
      <c r="Y1477" s="247"/>
      <c r="Z1477" s="247"/>
      <c r="AA1477" s="247"/>
      <c r="AB1477" s="247"/>
      <c r="AC1477" s="247"/>
    </row>
    <row r="1478">
      <c r="A1478" s="247"/>
      <c r="B1478" s="373"/>
      <c r="C1478" s="373"/>
      <c r="D1478" s="373"/>
      <c r="E1478" s="247"/>
      <c r="F1478" s="247"/>
      <c r="G1478" s="247"/>
      <c r="H1478" s="247"/>
      <c r="I1478" s="247"/>
      <c r="J1478" s="247"/>
      <c r="K1478" s="247"/>
      <c r="L1478" s="247"/>
      <c r="M1478" s="247"/>
      <c r="N1478" s="247"/>
      <c r="O1478" s="247"/>
      <c r="P1478" s="247"/>
      <c r="Q1478" s="247"/>
      <c r="R1478" s="247"/>
      <c r="S1478" s="247"/>
      <c r="T1478" s="247"/>
      <c r="U1478" s="247"/>
      <c r="V1478" s="247"/>
      <c r="W1478" s="247"/>
      <c r="X1478" s="247"/>
      <c r="Y1478" s="247"/>
      <c r="Z1478" s="247"/>
      <c r="AA1478" s="247"/>
      <c r="AB1478" s="247"/>
      <c r="AC1478" s="247"/>
    </row>
    <row r="1479">
      <c r="A1479" s="247"/>
      <c r="B1479" s="373"/>
      <c r="C1479" s="373"/>
      <c r="D1479" s="373"/>
      <c r="E1479" s="247"/>
      <c r="F1479" s="247"/>
      <c r="G1479" s="247"/>
      <c r="H1479" s="247"/>
      <c r="I1479" s="247"/>
      <c r="J1479" s="247"/>
      <c r="K1479" s="247"/>
      <c r="L1479" s="247"/>
      <c r="M1479" s="247"/>
      <c r="N1479" s="247"/>
      <c r="O1479" s="247"/>
      <c r="P1479" s="247"/>
      <c r="Q1479" s="247"/>
      <c r="R1479" s="247"/>
      <c r="S1479" s="247"/>
      <c r="T1479" s="247"/>
      <c r="U1479" s="247"/>
      <c r="V1479" s="247"/>
      <c r="W1479" s="247"/>
      <c r="X1479" s="247"/>
      <c r="Y1479" s="247"/>
      <c r="Z1479" s="247"/>
      <c r="AA1479" s="247"/>
      <c r="AB1479" s="247"/>
      <c r="AC1479" s="247"/>
    </row>
    <row r="1480">
      <c r="A1480" s="247"/>
      <c r="B1480" s="373"/>
      <c r="C1480" s="373"/>
      <c r="D1480" s="373"/>
      <c r="E1480" s="247"/>
      <c r="F1480" s="247"/>
      <c r="G1480" s="247"/>
      <c r="H1480" s="247"/>
      <c r="I1480" s="247"/>
      <c r="J1480" s="247"/>
      <c r="K1480" s="247"/>
      <c r="L1480" s="247"/>
      <c r="M1480" s="247"/>
      <c r="N1480" s="247"/>
      <c r="O1480" s="247"/>
      <c r="P1480" s="247"/>
      <c r="Q1480" s="247"/>
      <c r="R1480" s="247"/>
      <c r="S1480" s="247"/>
      <c r="T1480" s="247"/>
      <c r="U1480" s="247"/>
      <c r="V1480" s="247"/>
      <c r="W1480" s="247"/>
      <c r="X1480" s="247"/>
      <c r="Y1480" s="247"/>
      <c r="Z1480" s="247"/>
      <c r="AA1480" s="247"/>
      <c r="AB1480" s="247"/>
      <c r="AC1480" s="247"/>
    </row>
    <row r="1481">
      <c r="A1481" s="247"/>
      <c r="B1481" s="373"/>
      <c r="C1481" s="373"/>
      <c r="D1481" s="373"/>
      <c r="E1481" s="247"/>
      <c r="F1481" s="247"/>
      <c r="G1481" s="247"/>
      <c r="H1481" s="247"/>
      <c r="I1481" s="247"/>
      <c r="J1481" s="247"/>
      <c r="K1481" s="247"/>
      <c r="L1481" s="247"/>
      <c r="M1481" s="247"/>
      <c r="N1481" s="247"/>
      <c r="O1481" s="247"/>
      <c r="P1481" s="247"/>
      <c r="Q1481" s="247"/>
      <c r="R1481" s="247"/>
      <c r="S1481" s="247"/>
      <c r="T1481" s="247"/>
      <c r="U1481" s="247"/>
      <c r="V1481" s="247"/>
      <c r="W1481" s="247"/>
      <c r="X1481" s="247"/>
      <c r="Y1481" s="247"/>
      <c r="Z1481" s="247"/>
      <c r="AA1481" s="247"/>
      <c r="AB1481" s="247"/>
      <c r="AC1481" s="247"/>
    </row>
    <row r="1482">
      <c r="A1482" s="247"/>
      <c r="B1482" s="373"/>
      <c r="C1482" s="373"/>
      <c r="D1482" s="373"/>
      <c r="E1482" s="247"/>
      <c r="F1482" s="247"/>
      <c r="G1482" s="247"/>
      <c r="H1482" s="247"/>
      <c r="I1482" s="247"/>
      <c r="J1482" s="247"/>
      <c r="K1482" s="247"/>
      <c r="L1482" s="247"/>
      <c r="M1482" s="247"/>
      <c r="N1482" s="247"/>
      <c r="O1482" s="247"/>
      <c r="P1482" s="247"/>
      <c r="Q1482" s="247"/>
      <c r="R1482" s="247"/>
      <c r="S1482" s="247"/>
      <c r="T1482" s="247"/>
      <c r="U1482" s="247"/>
      <c r="V1482" s="247"/>
      <c r="W1482" s="247"/>
      <c r="X1482" s="247"/>
      <c r="Y1482" s="247"/>
      <c r="Z1482" s="247"/>
      <c r="AA1482" s="247"/>
      <c r="AB1482" s="247"/>
      <c r="AC1482" s="247"/>
    </row>
    <row r="1483">
      <c r="A1483" s="247"/>
      <c r="B1483" s="373"/>
      <c r="C1483" s="373"/>
      <c r="D1483" s="373"/>
      <c r="E1483" s="247"/>
      <c r="F1483" s="247"/>
      <c r="G1483" s="247"/>
      <c r="H1483" s="247"/>
      <c r="I1483" s="247"/>
      <c r="J1483" s="247"/>
      <c r="K1483" s="247"/>
      <c r="L1483" s="247"/>
      <c r="M1483" s="247"/>
      <c r="N1483" s="247"/>
      <c r="O1483" s="247"/>
      <c r="P1483" s="247"/>
      <c r="Q1483" s="247"/>
      <c r="R1483" s="247"/>
      <c r="S1483" s="247"/>
      <c r="T1483" s="247"/>
      <c r="U1483" s="247"/>
      <c r="V1483" s="247"/>
      <c r="W1483" s="247"/>
      <c r="X1483" s="247"/>
      <c r="Y1483" s="247"/>
      <c r="Z1483" s="247"/>
      <c r="AA1483" s="247"/>
      <c r="AB1483" s="247"/>
      <c r="AC1483" s="247"/>
    </row>
    <row r="1484">
      <c r="A1484" s="247"/>
      <c r="B1484" s="373"/>
      <c r="C1484" s="373"/>
      <c r="D1484" s="373"/>
      <c r="E1484" s="247"/>
      <c r="F1484" s="247"/>
      <c r="G1484" s="247"/>
      <c r="H1484" s="247"/>
      <c r="I1484" s="247"/>
      <c r="J1484" s="247"/>
      <c r="K1484" s="247"/>
      <c r="L1484" s="247"/>
      <c r="M1484" s="247"/>
      <c r="N1484" s="247"/>
      <c r="O1484" s="247"/>
      <c r="P1484" s="247"/>
      <c r="Q1484" s="247"/>
      <c r="R1484" s="247"/>
      <c r="S1484" s="247"/>
      <c r="T1484" s="247"/>
      <c r="U1484" s="247"/>
      <c r="V1484" s="247"/>
      <c r="W1484" s="247"/>
      <c r="X1484" s="247"/>
      <c r="Y1484" s="247"/>
      <c r="Z1484" s="247"/>
      <c r="AA1484" s="247"/>
      <c r="AB1484" s="247"/>
      <c r="AC1484" s="247"/>
    </row>
    <row r="1485">
      <c r="A1485" s="247"/>
      <c r="B1485" s="373"/>
      <c r="C1485" s="373"/>
      <c r="D1485" s="373"/>
      <c r="E1485" s="247"/>
      <c r="F1485" s="247"/>
      <c r="G1485" s="247"/>
      <c r="H1485" s="247"/>
      <c r="I1485" s="247"/>
      <c r="J1485" s="247"/>
      <c r="K1485" s="247"/>
      <c r="L1485" s="247"/>
      <c r="M1485" s="247"/>
      <c r="N1485" s="247"/>
      <c r="O1485" s="247"/>
      <c r="P1485" s="247"/>
      <c r="Q1485" s="247"/>
      <c r="R1485" s="247"/>
      <c r="S1485" s="247"/>
      <c r="T1485" s="247"/>
      <c r="U1485" s="247"/>
      <c r="V1485" s="247"/>
      <c r="W1485" s="247"/>
      <c r="X1485" s="247"/>
      <c r="Y1485" s="247"/>
      <c r="Z1485" s="247"/>
      <c r="AA1485" s="247"/>
      <c r="AB1485" s="247"/>
      <c r="AC1485" s="247"/>
    </row>
    <row r="1486">
      <c r="A1486" s="247"/>
      <c r="B1486" s="373"/>
      <c r="C1486" s="373"/>
      <c r="D1486" s="373"/>
      <c r="E1486" s="247"/>
      <c r="F1486" s="247"/>
      <c r="G1486" s="247"/>
      <c r="H1486" s="247"/>
      <c r="I1486" s="247"/>
      <c r="J1486" s="247"/>
      <c r="K1486" s="247"/>
      <c r="L1486" s="247"/>
      <c r="M1486" s="247"/>
      <c r="N1486" s="247"/>
      <c r="O1486" s="247"/>
      <c r="P1486" s="247"/>
      <c r="Q1486" s="247"/>
      <c r="R1486" s="247"/>
      <c r="S1486" s="247"/>
      <c r="T1486" s="247"/>
      <c r="U1486" s="247"/>
      <c r="V1486" s="247"/>
      <c r="W1486" s="247"/>
      <c r="X1486" s="247"/>
      <c r="Y1486" s="247"/>
      <c r="Z1486" s="247"/>
      <c r="AA1486" s="247"/>
      <c r="AB1486" s="247"/>
      <c r="AC1486" s="247"/>
    </row>
    <row r="1487">
      <c r="A1487" s="247"/>
      <c r="B1487" s="373"/>
      <c r="C1487" s="373"/>
      <c r="D1487" s="373"/>
      <c r="E1487" s="247"/>
      <c r="F1487" s="247"/>
      <c r="G1487" s="247"/>
      <c r="H1487" s="247"/>
      <c r="I1487" s="247"/>
      <c r="J1487" s="247"/>
      <c r="K1487" s="247"/>
      <c r="L1487" s="247"/>
      <c r="M1487" s="247"/>
      <c r="N1487" s="247"/>
      <c r="O1487" s="247"/>
      <c r="P1487" s="247"/>
      <c r="Q1487" s="247"/>
      <c r="R1487" s="247"/>
      <c r="S1487" s="247"/>
      <c r="T1487" s="247"/>
      <c r="U1487" s="247"/>
      <c r="V1487" s="247"/>
      <c r="W1487" s="247"/>
      <c r="X1487" s="247"/>
      <c r="Y1487" s="247"/>
      <c r="Z1487" s="247"/>
      <c r="AA1487" s="247"/>
      <c r="AB1487" s="247"/>
      <c r="AC1487" s="247"/>
    </row>
    <row r="1488">
      <c r="A1488" s="247"/>
      <c r="B1488" s="373"/>
      <c r="C1488" s="373"/>
      <c r="D1488" s="373"/>
      <c r="E1488" s="247"/>
      <c r="F1488" s="247"/>
      <c r="G1488" s="247"/>
      <c r="H1488" s="247"/>
      <c r="I1488" s="247"/>
      <c r="J1488" s="247"/>
      <c r="K1488" s="247"/>
      <c r="L1488" s="247"/>
      <c r="M1488" s="247"/>
      <c r="N1488" s="247"/>
      <c r="O1488" s="247"/>
      <c r="P1488" s="247"/>
      <c r="Q1488" s="247"/>
      <c r="R1488" s="247"/>
      <c r="S1488" s="247"/>
      <c r="T1488" s="247"/>
      <c r="U1488" s="247"/>
      <c r="V1488" s="247"/>
      <c r="W1488" s="247"/>
      <c r="X1488" s="247"/>
      <c r="Y1488" s="247"/>
      <c r="Z1488" s="247"/>
      <c r="AA1488" s="247"/>
      <c r="AB1488" s="247"/>
      <c r="AC1488" s="247"/>
    </row>
    <row r="1489">
      <c r="A1489" s="247"/>
      <c r="B1489" s="373"/>
      <c r="C1489" s="373"/>
      <c r="D1489" s="373"/>
      <c r="E1489" s="247"/>
      <c r="F1489" s="247"/>
      <c r="G1489" s="247"/>
      <c r="H1489" s="247"/>
      <c r="I1489" s="247"/>
      <c r="J1489" s="247"/>
      <c r="K1489" s="247"/>
      <c r="L1489" s="247"/>
      <c r="M1489" s="247"/>
      <c r="N1489" s="247"/>
      <c r="O1489" s="247"/>
      <c r="P1489" s="247"/>
      <c r="Q1489" s="247"/>
      <c r="R1489" s="247"/>
      <c r="S1489" s="247"/>
      <c r="T1489" s="247"/>
      <c r="U1489" s="247"/>
      <c r="V1489" s="247"/>
      <c r="W1489" s="247"/>
      <c r="X1489" s="247"/>
      <c r="Y1489" s="247"/>
      <c r="Z1489" s="247"/>
      <c r="AA1489" s="247"/>
      <c r="AB1489" s="247"/>
      <c r="AC1489" s="247"/>
    </row>
    <row r="1490">
      <c r="A1490" s="247"/>
      <c r="B1490" s="373"/>
      <c r="C1490" s="373"/>
      <c r="D1490" s="373"/>
      <c r="E1490" s="247"/>
      <c r="F1490" s="247"/>
      <c r="G1490" s="247"/>
      <c r="H1490" s="247"/>
      <c r="I1490" s="247"/>
      <c r="J1490" s="247"/>
      <c r="K1490" s="247"/>
      <c r="L1490" s="247"/>
      <c r="M1490" s="247"/>
      <c r="N1490" s="247"/>
      <c r="O1490" s="247"/>
      <c r="P1490" s="247"/>
      <c r="Q1490" s="247"/>
      <c r="R1490" s="247"/>
      <c r="S1490" s="247"/>
      <c r="T1490" s="247"/>
      <c r="U1490" s="247"/>
      <c r="V1490" s="247"/>
      <c r="W1490" s="247"/>
      <c r="X1490" s="247"/>
      <c r="Y1490" s="247"/>
      <c r="Z1490" s="247"/>
      <c r="AA1490" s="247"/>
      <c r="AB1490" s="247"/>
      <c r="AC1490" s="247"/>
    </row>
    <row r="1491">
      <c r="A1491" s="247"/>
      <c r="B1491" s="373"/>
      <c r="C1491" s="373"/>
      <c r="D1491" s="373"/>
      <c r="E1491" s="247"/>
      <c r="F1491" s="247"/>
      <c r="G1491" s="247"/>
      <c r="H1491" s="247"/>
      <c r="I1491" s="247"/>
      <c r="J1491" s="247"/>
      <c r="K1491" s="247"/>
      <c r="L1491" s="247"/>
      <c r="M1491" s="247"/>
      <c r="N1491" s="247"/>
      <c r="O1491" s="247"/>
      <c r="P1491" s="247"/>
      <c r="Q1491" s="247"/>
      <c r="R1491" s="247"/>
      <c r="S1491" s="247"/>
      <c r="T1491" s="247"/>
      <c r="U1491" s="247"/>
      <c r="V1491" s="247"/>
      <c r="W1491" s="247"/>
      <c r="X1491" s="247"/>
      <c r="Y1491" s="247"/>
      <c r="Z1491" s="247"/>
      <c r="AA1491" s="247"/>
      <c r="AB1491" s="247"/>
      <c r="AC1491" s="247"/>
    </row>
    <row r="1492">
      <c r="A1492" s="247"/>
      <c r="B1492" s="373"/>
      <c r="C1492" s="373"/>
      <c r="D1492" s="373"/>
      <c r="E1492" s="247"/>
      <c r="F1492" s="247"/>
      <c r="G1492" s="247"/>
      <c r="H1492" s="247"/>
      <c r="I1492" s="247"/>
      <c r="J1492" s="247"/>
      <c r="K1492" s="247"/>
      <c r="L1492" s="247"/>
      <c r="M1492" s="247"/>
      <c r="N1492" s="247"/>
      <c r="O1492" s="247"/>
      <c r="P1492" s="247"/>
      <c r="Q1492" s="247"/>
      <c r="R1492" s="247"/>
      <c r="S1492" s="247"/>
      <c r="T1492" s="247"/>
      <c r="U1492" s="247"/>
      <c r="V1492" s="247"/>
      <c r="W1492" s="247"/>
      <c r="X1492" s="247"/>
      <c r="Y1492" s="247"/>
      <c r="Z1492" s="247"/>
      <c r="AA1492" s="247"/>
      <c r="AB1492" s="247"/>
      <c r="AC1492" s="247"/>
    </row>
    <row r="1493">
      <c r="A1493" s="247"/>
      <c r="B1493" s="373"/>
      <c r="C1493" s="373"/>
      <c r="D1493" s="373"/>
      <c r="E1493" s="247"/>
      <c r="F1493" s="247"/>
      <c r="G1493" s="247"/>
      <c r="H1493" s="247"/>
      <c r="I1493" s="247"/>
      <c r="J1493" s="247"/>
      <c r="K1493" s="247"/>
      <c r="L1493" s="247"/>
      <c r="M1493" s="247"/>
      <c r="N1493" s="247"/>
      <c r="O1493" s="247"/>
      <c r="P1493" s="247"/>
      <c r="Q1493" s="247"/>
      <c r="R1493" s="247"/>
      <c r="S1493" s="247"/>
      <c r="T1493" s="247"/>
      <c r="U1493" s="247"/>
      <c r="V1493" s="247"/>
      <c r="W1493" s="247"/>
      <c r="X1493" s="247"/>
      <c r="Y1493" s="247"/>
      <c r="Z1493" s="247"/>
      <c r="AA1493" s="247"/>
      <c r="AB1493" s="247"/>
      <c r="AC1493" s="247"/>
    </row>
    <row r="1494">
      <c r="A1494" s="247"/>
      <c r="B1494" s="373"/>
      <c r="C1494" s="373"/>
      <c r="D1494" s="373"/>
      <c r="E1494" s="247"/>
      <c r="F1494" s="247"/>
      <c r="G1494" s="247"/>
      <c r="H1494" s="247"/>
      <c r="I1494" s="247"/>
      <c r="J1494" s="247"/>
      <c r="K1494" s="247"/>
      <c r="L1494" s="247"/>
      <c r="M1494" s="247"/>
      <c r="N1494" s="247"/>
      <c r="O1494" s="247"/>
      <c r="P1494" s="247"/>
      <c r="Q1494" s="247"/>
      <c r="R1494" s="247"/>
      <c r="S1494" s="247"/>
      <c r="T1494" s="247"/>
      <c r="U1494" s="247"/>
      <c r="V1494" s="247"/>
      <c r="W1494" s="247"/>
      <c r="X1494" s="247"/>
      <c r="Y1494" s="247"/>
      <c r="Z1494" s="247"/>
      <c r="AA1494" s="247"/>
      <c r="AB1494" s="247"/>
      <c r="AC1494" s="247"/>
    </row>
    <row r="1495">
      <c r="A1495" s="247"/>
      <c r="B1495" s="373"/>
      <c r="C1495" s="373"/>
      <c r="D1495" s="373"/>
      <c r="E1495" s="247"/>
      <c r="F1495" s="247"/>
      <c r="G1495" s="247"/>
      <c r="H1495" s="247"/>
      <c r="I1495" s="247"/>
      <c r="J1495" s="247"/>
      <c r="K1495" s="247"/>
      <c r="L1495" s="247"/>
      <c r="M1495" s="247"/>
      <c r="N1495" s="247"/>
      <c r="O1495" s="247"/>
      <c r="P1495" s="247"/>
      <c r="Q1495" s="247"/>
      <c r="R1495" s="247"/>
      <c r="S1495" s="247"/>
      <c r="T1495" s="247"/>
      <c r="U1495" s="247"/>
      <c r="V1495" s="247"/>
      <c r="W1495" s="247"/>
      <c r="X1495" s="247"/>
      <c r="Y1495" s="247"/>
      <c r="Z1495" s="247"/>
      <c r="AA1495" s="247"/>
      <c r="AB1495" s="247"/>
      <c r="AC1495" s="247"/>
    </row>
    <row r="1496">
      <c r="A1496" s="247"/>
      <c r="B1496" s="373"/>
      <c r="C1496" s="373"/>
      <c r="D1496" s="373"/>
      <c r="E1496" s="247"/>
      <c r="F1496" s="247"/>
      <c r="G1496" s="247"/>
      <c r="H1496" s="247"/>
      <c r="I1496" s="247"/>
      <c r="J1496" s="247"/>
      <c r="K1496" s="247"/>
      <c r="L1496" s="247"/>
      <c r="M1496" s="247"/>
      <c r="N1496" s="247"/>
      <c r="O1496" s="247"/>
      <c r="P1496" s="247"/>
      <c r="Q1496" s="247"/>
      <c r="R1496" s="247"/>
      <c r="S1496" s="247"/>
      <c r="T1496" s="247"/>
      <c r="U1496" s="247"/>
      <c r="V1496" s="247"/>
      <c r="W1496" s="247"/>
      <c r="X1496" s="247"/>
      <c r="Y1496" s="247"/>
      <c r="Z1496" s="247"/>
      <c r="AA1496" s="247"/>
      <c r="AB1496" s="247"/>
      <c r="AC1496" s="247"/>
    </row>
    <row r="1497">
      <c r="A1497" s="247"/>
      <c r="B1497" s="373"/>
      <c r="C1497" s="373"/>
      <c r="D1497" s="373"/>
      <c r="E1497" s="247"/>
      <c r="F1497" s="247"/>
      <c r="G1497" s="247"/>
      <c r="H1497" s="247"/>
      <c r="I1497" s="247"/>
      <c r="J1497" s="247"/>
      <c r="K1497" s="247"/>
      <c r="L1497" s="247"/>
      <c r="M1497" s="247"/>
      <c r="N1497" s="247"/>
      <c r="O1497" s="247"/>
      <c r="P1497" s="247"/>
      <c r="Q1497" s="247"/>
      <c r="R1497" s="247"/>
      <c r="S1497" s="247"/>
      <c r="T1497" s="247"/>
      <c r="U1497" s="247"/>
      <c r="V1497" s="247"/>
      <c r="W1497" s="247"/>
      <c r="X1497" s="247"/>
      <c r="Y1497" s="247"/>
      <c r="Z1497" s="247"/>
      <c r="AA1497" s="247"/>
      <c r="AB1497" s="247"/>
      <c r="AC1497" s="247"/>
    </row>
    <row r="1498">
      <c r="A1498" s="247"/>
      <c r="B1498" s="373"/>
      <c r="C1498" s="373"/>
      <c r="D1498" s="373"/>
      <c r="E1498" s="247"/>
      <c r="F1498" s="247"/>
      <c r="G1498" s="247"/>
      <c r="H1498" s="247"/>
      <c r="I1498" s="247"/>
      <c r="J1498" s="247"/>
      <c r="K1498" s="247"/>
      <c r="L1498" s="247"/>
      <c r="M1498" s="247"/>
      <c r="N1498" s="247"/>
      <c r="O1498" s="247"/>
      <c r="P1498" s="247"/>
      <c r="Q1498" s="247"/>
      <c r="R1498" s="247"/>
      <c r="S1498" s="247"/>
      <c r="T1498" s="247"/>
      <c r="U1498" s="247"/>
      <c r="V1498" s="247"/>
      <c r="W1498" s="247"/>
      <c r="X1498" s="247"/>
      <c r="Y1498" s="247"/>
      <c r="Z1498" s="247"/>
      <c r="AA1498" s="247"/>
      <c r="AB1498" s="247"/>
      <c r="AC1498" s="247"/>
    </row>
    <row r="1499">
      <c r="A1499" s="247"/>
      <c r="B1499" s="373"/>
      <c r="C1499" s="373"/>
      <c r="D1499" s="373"/>
      <c r="E1499" s="247"/>
      <c r="F1499" s="247"/>
      <c r="G1499" s="247"/>
      <c r="H1499" s="247"/>
      <c r="I1499" s="247"/>
      <c r="J1499" s="247"/>
      <c r="K1499" s="247"/>
      <c r="L1499" s="247"/>
      <c r="M1499" s="247"/>
      <c r="N1499" s="247"/>
      <c r="O1499" s="247"/>
      <c r="P1499" s="247"/>
      <c r="Q1499" s="247"/>
      <c r="R1499" s="247"/>
      <c r="S1499" s="247"/>
      <c r="T1499" s="247"/>
      <c r="U1499" s="247"/>
      <c r="V1499" s="247"/>
      <c r="W1499" s="247"/>
      <c r="X1499" s="247"/>
      <c r="Y1499" s="247"/>
      <c r="Z1499" s="247"/>
      <c r="AA1499" s="247"/>
      <c r="AB1499" s="247"/>
      <c r="AC1499" s="247"/>
    </row>
    <row r="1500">
      <c r="A1500" s="247"/>
      <c r="B1500" s="373"/>
      <c r="C1500" s="373"/>
      <c r="D1500" s="373"/>
      <c r="E1500" s="247"/>
      <c r="F1500" s="247"/>
      <c r="G1500" s="247"/>
      <c r="H1500" s="247"/>
      <c r="I1500" s="247"/>
      <c r="J1500" s="247"/>
      <c r="K1500" s="247"/>
      <c r="L1500" s="247"/>
      <c r="M1500" s="247"/>
      <c r="N1500" s="247"/>
      <c r="O1500" s="247"/>
      <c r="P1500" s="247"/>
      <c r="Q1500" s="247"/>
      <c r="R1500" s="247"/>
      <c r="S1500" s="247"/>
      <c r="T1500" s="247"/>
      <c r="U1500" s="247"/>
      <c r="V1500" s="247"/>
      <c r="W1500" s="247"/>
      <c r="X1500" s="247"/>
      <c r="Y1500" s="247"/>
      <c r="Z1500" s="247"/>
      <c r="AA1500" s="247"/>
      <c r="AB1500" s="247"/>
      <c r="AC1500" s="247"/>
    </row>
    <row r="1501">
      <c r="A1501" s="247"/>
      <c r="B1501" s="373"/>
      <c r="C1501" s="373"/>
      <c r="D1501" s="373"/>
      <c r="E1501" s="247"/>
      <c r="F1501" s="247"/>
      <c r="G1501" s="247"/>
      <c r="H1501" s="247"/>
      <c r="I1501" s="247"/>
      <c r="J1501" s="247"/>
      <c r="K1501" s="247"/>
      <c r="L1501" s="247"/>
      <c r="M1501" s="247"/>
      <c r="N1501" s="247"/>
      <c r="O1501" s="247"/>
      <c r="P1501" s="247"/>
      <c r="Q1501" s="247"/>
      <c r="R1501" s="247"/>
      <c r="S1501" s="247"/>
      <c r="T1501" s="247"/>
      <c r="U1501" s="247"/>
      <c r="V1501" s="247"/>
      <c r="W1501" s="247"/>
      <c r="X1501" s="247"/>
      <c r="Y1501" s="247"/>
      <c r="Z1501" s="247"/>
      <c r="AA1501" s="247"/>
      <c r="AB1501" s="247"/>
      <c r="AC1501" s="247"/>
    </row>
    <row r="1502">
      <c r="A1502" s="247"/>
      <c r="B1502" s="373"/>
      <c r="C1502" s="373"/>
      <c r="D1502" s="373"/>
      <c r="E1502" s="247"/>
      <c r="F1502" s="247"/>
      <c r="G1502" s="247"/>
      <c r="H1502" s="247"/>
      <c r="I1502" s="247"/>
      <c r="J1502" s="247"/>
      <c r="K1502" s="247"/>
      <c r="L1502" s="247"/>
      <c r="M1502" s="247"/>
      <c r="N1502" s="247"/>
      <c r="O1502" s="247"/>
      <c r="P1502" s="247"/>
      <c r="Q1502" s="247"/>
      <c r="R1502" s="247"/>
      <c r="S1502" s="247"/>
      <c r="T1502" s="247"/>
      <c r="U1502" s="247"/>
      <c r="V1502" s="247"/>
      <c r="W1502" s="247"/>
      <c r="X1502" s="247"/>
      <c r="Y1502" s="247"/>
      <c r="Z1502" s="247"/>
      <c r="AA1502" s="247"/>
      <c r="AB1502" s="247"/>
      <c r="AC1502" s="247"/>
    </row>
    <row r="1503">
      <c r="A1503" s="247"/>
      <c r="B1503" s="373"/>
      <c r="C1503" s="373"/>
      <c r="D1503" s="373"/>
      <c r="E1503" s="247"/>
      <c r="F1503" s="247"/>
      <c r="G1503" s="247"/>
      <c r="H1503" s="247"/>
      <c r="I1503" s="247"/>
      <c r="J1503" s="247"/>
      <c r="K1503" s="247"/>
      <c r="L1503" s="247"/>
      <c r="M1503" s="247"/>
      <c r="N1503" s="247"/>
      <c r="O1503" s="247"/>
      <c r="P1503" s="247"/>
      <c r="Q1503" s="247"/>
      <c r="R1503" s="247"/>
      <c r="S1503" s="247"/>
      <c r="T1503" s="247"/>
      <c r="U1503" s="247"/>
      <c r="V1503" s="247"/>
      <c r="W1503" s="247"/>
      <c r="X1503" s="247"/>
      <c r="Y1503" s="247"/>
      <c r="Z1503" s="247"/>
      <c r="AA1503" s="247"/>
      <c r="AB1503" s="247"/>
      <c r="AC1503" s="247"/>
    </row>
    <row r="1504">
      <c r="A1504" s="247"/>
      <c r="B1504" s="373"/>
      <c r="C1504" s="373"/>
      <c r="D1504" s="373"/>
      <c r="E1504" s="247"/>
      <c r="F1504" s="247"/>
      <c r="G1504" s="247"/>
      <c r="H1504" s="247"/>
      <c r="I1504" s="247"/>
      <c r="J1504" s="247"/>
      <c r="K1504" s="247"/>
      <c r="L1504" s="247"/>
      <c r="M1504" s="247"/>
      <c r="N1504" s="247"/>
      <c r="O1504" s="247"/>
      <c r="P1504" s="247"/>
      <c r="Q1504" s="247"/>
      <c r="R1504" s="247"/>
      <c r="S1504" s="247"/>
      <c r="T1504" s="247"/>
      <c r="U1504" s="247"/>
      <c r="V1504" s="247"/>
      <c r="W1504" s="247"/>
      <c r="X1504" s="247"/>
      <c r="Y1504" s="247"/>
      <c r="Z1504" s="247"/>
      <c r="AA1504" s="247"/>
      <c r="AB1504" s="247"/>
      <c r="AC1504" s="247"/>
    </row>
    <row r="1505">
      <c r="A1505" s="247"/>
      <c r="B1505" s="373"/>
      <c r="C1505" s="373"/>
      <c r="D1505" s="373"/>
      <c r="E1505" s="247"/>
      <c r="F1505" s="247"/>
      <c r="G1505" s="247"/>
      <c r="H1505" s="247"/>
      <c r="I1505" s="247"/>
      <c r="J1505" s="247"/>
      <c r="K1505" s="247"/>
      <c r="L1505" s="247"/>
      <c r="M1505" s="247"/>
      <c r="N1505" s="247"/>
      <c r="O1505" s="247"/>
      <c r="P1505" s="247"/>
      <c r="Q1505" s="247"/>
      <c r="R1505" s="247"/>
      <c r="S1505" s="247"/>
      <c r="T1505" s="247"/>
      <c r="U1505" s="247"/>
      <c r="V1505" s="247"/>
      <c r="W1505" s="247"/>
      <c r="X1505" s="247"/>
      <c r="Y1505" s="247"/>
      <c r="Z1505" s="247"/>
      <c r="AA1505" s="247"/>
      <c r="AB1505" s="247"/>
      <c r="AC1505" s="247"/>
    </row>
    <row r="1506">
      <c r="A1506" s="247"/>
      <c r="B1506" s="373"/>
      <c r="C1506" s="373"/>
      <c r="D1506" s="373"/>
      <c r="E1506" s="247"/>
      <c r="F1506" s="247"/>
      <c r="G1506" s="247"/>
      <c r="H1506" s="247"/>
      <c r="I1506" s="247"/>
      <c r="J1506" s="247"/>
      <c r="K1506" s="247"/>
      <c r="L1506" s="247"/>
      <c r="M1506" s="247"/>
      <c r="N1506" s="247"/>
      <c r="O1506" s="247"/>
      <c r="P1506" s="247"/>
      <c r="Q1506" s="247"/>
      <c r="R1506" s="247"/>
      <c r="S1506" s="247"/>
      <c r="T1506" s="247"/>
      <c r="U1506" s="247"/>
      <c r="V1506" s="247"/>
      <c r="W1506" s="247"/>
      <c r="X1506" s="247"/>
      <c r="Y1506" s="247"/>
      <c r="Z1506" s="247"/>
      <c r="AA1506" s="247"/>
      <c r="AB1506" s="247"/>
      <c r="AC1506" s="247"/>
    </row>
    <row r="1507">
      <c r="A1507" s="247"/>
      <c r="B1507" s="373"/>
      <c r="C1507" s="373"/>
      <c r="D1507" s="373"/>
      <c r="E1507" s="247"/>
      <c r="F1507" s="247"/>
      <c r="G1507" s="247"/>
      <c r="H1507" s="247"/>
      <c r="I1507" s="247"/>
      <c r="J1507" s="247"/>
      <c r="K1507" s="247"/>
      <c r="L1507" s="247"/>
      <c r="M1507" s="247"/>
      <c r="N1507" s="247"/>
      <c r="O1507" s="247"/>
      <c r="P1507" s="247"/>
      <c r="Q1507" s="247"/>
      <c r="R1507" s="247"/>
      <c r="S1507" s="247"/>
      <c r="T1507" s="247"/>
      <c r="U1507" s="247"/>
      <c r="V1507" s="247"/>
      <c r="W1507" s="247"/>
      <c r="X1507" s="247"/>
      <c r="Y1507" s="247"/>
      <c r="Z1507" s="247"/>
      <c r="AA1507" s="247"/>
      <c r="AB1507" s="247"/>
      <c r="AC1507" s="247"/>
    </row>
    <row r="1508">
      <c r="A1508" s="247"/>
      <c r="B1508" s="373"/>
      <c r="C1508" s="373"/>
      <c r="D1508" s="373"/>
      <c r="E1508" s="247"/>
      <c r="F1508" s="247"/>
      <c r="G1508" s="247"/>
      <c r="H1508" s="247"/>
      <c r="I1508" s="247"/>
      <c r="J1508" s="247"/>
      <c r="K1508" s="247"/>
      <c r="L1508" s="247"/>
      <c r="M1508" s="247"/>
      <c r="N1508" s="247"/>
      <c r="O1508" s="247"/>
      <c r="P1508" s="247"/>
      <c r="Q1508" s="247"/>
      <c r="R1508" s="247"/>
      <c r="S1508" s="247"/>
      <c r="T1508" s="247"/>
      <c r="U1508" s="247"/>
      <c r="V1508" s="247"/>
      <c r="W1508" s="247"/>
      <c r="X1508" s="247"/>
      <c r="Y1508" s="247"/>
      <c r="Z1508" s="247"/>
      <c r="AA1508" s="247"/>
      <c r="AB1508" s="247"/>
      <c r="AC1508" s="247"/>
    </row>
    <row r="1509">
      <c r="A1509" s="247"/>
      <c r="B1509" s="373"/>
      <c r="C1509" s="373"/>
      <c r="D1509" s="373"/>
      <c r="E1509" s="247"/>
      <c r="F1509" s="247"/>
      <c r="G1509" s="247"/>
      <c r="H1509" s="247"/>
      <c r="I1509" s="247"/>
      <c r="J1509" s="247"/>
      <c r="K1509" s="247"/>
      <c r="L1509" s="247"/>
      <c r="M1509" s="247"/>
      <c r="N1509" s="247"/>
      <c r="O1509" s="247"/>
      <c r="P1509" s="247"/>
      <c r="Q1509" s="247"/>
      <c r="R1509" s="247"/>
      <c r="S1509" s="247"/>
      <c r="T1509" s="247"/>
      <c r="U1509" s="247"/>
      <c r="V1509" s="247"/>
      <c r="W1509" s="247"/>
      <c r="X1509" s="247"/>
      <c r="Y1509" s="247"/>
      <c r="Z1509" s="247"/>
      <c r="AA1509" s="247"/>
      <c r="AB1509" s="247"/>
      <c r="AC1509" s="247"/>
    </row>
    <row r="1510">
      <c r="A1510" s="247"/>
      <c r="B1510" s="373"/>
      <c r="C1510" s="373"/>
      <c r="D1510" s="373"/>
      <c r="E1510" s="247"/>
      <c r="F1510" s="247"/>
      <c r="G1510" s="247"/>
      <c r="H1510" s="247"/>
      <c r="I1510" s="247"/>
      <c r="J1510" s="247"/>
      <c r="K1510" s="247"/>
      <c r="L1510" s="247"/>
      <c r="M1510" s="247"/>
      <c r="N1510" s="247"/>
      <c r="O1510" s="247"/>
      <c r="P1510" s="247"/>
      <c r="Q1510" s="247"/>
      <c r="R1510" s="247"/>
      <c r="S1510" s="247"/>
      <c r="T1510" s="247"/>
      <c r="U1510" s="247"/>
      <c r="V1510" s="247"/>
      <c r="W1510" s="247"/>
      <c r="X1510" s="247"/>
      <c r="Y1510" s="247"/>
      <c r="Z1510" s="247"/>
      <c r="AA1510" s="247"/>
      <c r="AB1510" s="247"/>
      <c r="AC1510" s="247"/>
    </row>
    <row r="1511">
      <c r="A1511" s="247"/>
      <c r="B1511" s="373"/>
      <c r="C1511" s="373"/>
      <c r="D1511" s="373"/>
      <c r="E1511" s="247"/>
      <c r="F1511" s="247"/>
      <c r="G1511" s="247"/>
      <c r="H1511" s="247"/>
      <c r="I1511" s="247"/>
      <c r="J1511" s="247"/>
      <c r="K1511" s="247"/>
      <c r="L1511" s="247"/>
      <c r="M1511" s="247"/>
      <c r="N1511" s="247"/>
      <c r="O1511" s="247"/>
      <c r="P1511" s="247"/>
      <c r="Q1511" s="247"/>
      <c r="R1511" s="247"/>
      <c r="S1511" s="247"/>
      <c r="T1511" s="247"/>
      <c r="U1511" s="247"/>
      <c r="V1511" s="247"/>
      <c r="W1511" s="247"/>
      <c r="X1511" s="247"/>
      <c r="Y1511" s="247"/>
      <c r="Z1511" s="247"/>
      <c r="AA1511" s="247"/>
      <c r="AB1511" s="247"/>
      <c r="AC1511" s="247"/>
    </row>
    <row r="1512">
      <c r="A1512" s="247"/>
      <c r="B1512" s="373"/>
      <c r="C1512" s="373"/>
      <c r="D1512" s="373"/>
      <c r="E1512" s="247"/>
      <c r="F1512" s="247"/>
      <c r="G1512" s="247"/>
      <c r="H1512" s="247"/>
      <c r="I1512" s="247"/>
      <c r="J1512" s="247"/>
      <c r="K1512" s="247"/>
      <c r="L1512" s="247"/>
      <c r="M1512" s="247"/>
      <c r="N1512" s="247"/>
      <c r="O1512" s="247"/>
      <c r="P1512" s="247"/>
      <c r="Q1512" s="247"/>
      <c r="R1512" s="247"/>
      <c r="S1512" s="247"/>
      <c r="T1512" s="247"/>
      <c r="U1512" s="247"/>
      <c r="V1512" s="247"/>
      <c r="W1512" s="247"/>
      <c r="X1512" s="247"/>
      <c r="Y1512" s="247"/>
      <c r="Z1512" s="247"/>
      <c r="AA1512" s="247"/>
      <c r="AB1512" s="247"/>
      <c r="AC1512" s="247"/>
    </row>
    <row r="1513">
      <c r="A1513" s="247"/>
      <c r="B1513" s="373"/>
      <c r="C1513" s="373"/>
      <c r="D1513" s="373"/>
      <c r="E1513" s="247"/>
      <c r="F1513" s="247"/>
      <c r="G1513" s="247"/>
      <c r="H1513" s="247"/>
      <c r="I1513" s="247"/>
      <c r="J1513" s="247"/>
      <c r="K1513" s="247"/>
      <c r="L1513" s="247"/>
      <c r="M1513" s="247"/>
      <c r="N1513" s="247"/>
      <c r="O1513" s="247"/>
      <c r="P1513" s="247"/>
      <c r="Q1513" s="247"/>
      <c r="R1513" s="247"/>
      <c r="S1513" s="247"/>
      <c r="T1513" s="247"/>
      <c r="U1513" s="247"/>
      <c r="V1513" s="247"/>
      <c r="W1513" s="247"/>
      <c r="X1513" s="247"/>
      <c r="Y1513" s="247"/>
      <c r="Z1513" s="247"/>
      <c r="AA1513" s="247"/>
      <c r="AB1513" s="247"/>
      <c r="AC1513" s="247"/>
    </row>
    <row r="1514">
      <c r="A1514" s="247"/>
      <c r="B1514" s="373"/>
      <c r="C1514" s="373"/>
      <c r="D1514" s="373"/>
      <c r="E1514" s="247"/>
      <c r="F1514" s="247"/>
      <c r="G1514" s="247"/>
      <c r="H1514" s="247"/>
      <c r="I1514" s="247"/>
      <c r="J1514" s="247"/>
      <c r="K1514" s="247"/>
      <c r="L1514" s="247"/>
      <c r="M1514" s="247"/>
      <c r="N1514" s="247"/>
      <c r="O1514" s="247"/>
      <c r="P1514" s="247"/>
      <c r="Q1514" s="247"/>
      <c r="R1514" s="247"/>
      <c r="S1514" s="247"/>
      <c r="T1514" s="247"/>
      <c r="U1514" s="247"/>
      <c r="V1514" s="247"/>
      <c r="W1514" s="247"/>
      <c r="X1514" s="247"/>
      <c r="Y1514" s="247"/>
      <c r="Z1514" s="247"/>
      <c r="AA1514" s="247"/>
      <c r="AB1514" s="247"/>
      <c r="AC1514" s="247"/>
    </row>
    <row r="1515">
      <c r="A1515" s="247"/>
      <c r="B1515" s="373"/>
      <c r="C1515" s="373"/>
      <c r="D1515" s="373"/>
      <c r="E1515" s="247"/>
      <c r="F1515" s="247"/>
      <c r="G1515" s="247"/>
      <c r="H1515" s="247"/>
      <c r="I1515" s="247"/>
      <c r="J1515" s="247"/>
      <c r="K1515" s="247"/>
      <c r="L1515" s="247"/>
      <c r="M1515" s="247"/>
      <c r="N1515" s="247"/>
      <c r="O1515" s="247"/>
      <c r="P1515" s="247"/>
      <c r="Q1515" s="247"/>
      <c r="R1515" s="247"/>
      <c r="S1515" s="247"/>
      <c r="T1515" s="247"/>
      <c r="U1515" s="247"/>
      <c r="V1515" s="247"/>
      <c r="W1515" s="247"/>
      <c r="X1515" s="247"/>
      <c r="Y1515" s="247"/>
      <c r="Z1515" s="247"/>
      <c r="AA1515" s="247"/>
      <c r="AB1515" s="247"/>
      <c r="AC1515" s="247"/>
    </row>
    <row r="1516">
      <c r="A1516" s="247"/>
      <c r="B1516" s="373"/>
      <c r="C1516" s="373"/>
      <c r="D1516" s="373"/>
      <c r="E1516" s="247"/>
      <c r="F1516" s="247"/>
      <c r="G1516" s="247"/>
      <c r="H1516" s="247"/>
      <c r="I1516" s="247"/>
      <c r="J1516" s="247"/>
      <c r="K1516" s="247"/>
      <c r="L1516" s="247"/>
      <c r="M1516" s="247"/>
      <c r="N1516" s="247"/>
      <c r="O1516" s="247"/>
      <c r="P1516" s="247"/>
      <c r="Q1516" s="247"/>
      <c r="R1516" s="247"/>
      <c r="S1516" s="247"/>
      <c r="T1516" s="247"/>
      <c r="U1516" s="247"/>
      <c r="V1516" s="247"/>
      <c r="W1516" s="247"/>
      <c r="X1516" s="247"/>
      <c r="Y1516" s="247"/>
      <c r="Z1516" s="247"/>
      <c r="AA1516" s="247"/>
      <c r="AB1516" s="247"/>
      <c r="AC1516" s="247"/>
    </row>
    <row r="1517">
      <c r="A1517" s="247"/>
      <c r="B1517" s="373"/>
      <c r="C1517" s="373"/>
      <c r="D1517" s="373"/>
      <c r="E1517" s="247"/>
      <c r="F1517" s="247"/>
      <c r="G1517" s="247"/>
      <c r="H1517" s="247"/>
      <c r="I1517" s="247"/>
      <c r="J1517" s="247"/>
      <c r="K1517" s="247"/>
      <c r="L1517" s="247"/>
      <c r="M1517" s="247"/>
      <c r="N1517" s="247"/>
      <c r="O1517" s="247"/>
      <c r="P1517" s="247"/>
      <c r="Q1517" s="247"/>
      <c r="R1517" s="247"/>
      <c r="S1517" s="247"/>
      <c r="T1517" s="247"/>
      <c r="U1517" s="247"/>
      <c r="V1517" s="247"/>
      <c r="W1517" s="247"/>
      <c r="X1517" s="247"/>
      <c r="Y1517" s="247"/>
      <c r="Z1517" s="247"/>
      <c r="AA1517" s="247"/>
      <c r="AB1517" s="247"/>
      <c r="AC1517" s="247"/>
    </row>
    <row r="1518">
      <c r="A1518" s="247"/>
      <c r="B1518" s="373"/>
      <c r="C1518" s="373"/>
      <c r="D1518" s="373"/>
      <c r="E1518" s="247"/>
      <c r="F1518" s="247"/>
      <c r="G1518" s="247"/>
      <c r="H1518" s="247"/>
      <c r="I1518" s="247"/>
      <c r="J1518" s="247"/>
      <c r="K1518" s="247"/>
      <c r="L1518" s="247"/>
      <c r="M1518" s="247"/>
      <c r="N1518" s="247"/>
      <c r="O1518" s="247"/>
      <c r="P1518" s="247"/>
      <c r="Q1518" s="247"/>
      <c r="R1518" s="247"/>
      <c r="S1518" s="247"/>
      <c r="T1518" s="247"/>
      <c r="U1518" s="247"/>
      <c r="V1518" s="247"/>
      <c r="W1518" s="247"/>
      <c r="X1518" s="247"/>
      <c r="Y1518" s="247"/>
      <c r="Z1518" s="247"/>
      <c r="AA1518" s="247"/>
      <c r="AB1518" s="247"/>
      <c r="AC1518" s="247"/>
    </row>
    <row r="1519">
      <c r="A1519" s="247"/>
      <c r="B1519" s="373"/>
      <c r="C1519" s="373"/>
      <c r="D1519" s="373"/>
      <c r="E1519" s="247"/>
      <c r="F1519" s="247"/>
      <c r="G1519" s="247"/>
      <c r="H1519" s="247"/>
      <c r="I1519" s="247"/>
      <c r="J1519" s="247"/>
      <c r="K1519" s="247"/>
      <c r="L1519" s="247"/>
      <c r="M1519" s="247"/>
      <c r="N1519" s="247"/>
      <c r="O1519" s="247"/>
      <c r="P1519" s="247"/>
      <c r="Q1519" s="247"/>
      <c r="R1519" s="247"/>
      <c r="S1519" s="247"/>
      <c r="T1519" s="247"/>
      <c r="U1519" s="247"/>
      <c r="V1519" s="247"/>
      <c r="W1519" s="247"/>
      <c r="X1519" s="247"/>
      <c r="Y1519" s="247"/>
      <c r="Z1519" s="247"/>
      <c r="AA1519" s="247"/>
      <c r="AB1519" s="247"/>
      <c r="AC1519" s="247"/>
    </row>
    <row r="1520">
      <c r="A1520" s="247"/>
      <c r="B1520" s="373"/>
      <c r="C1520" s="373"/>
      <c r="D1520" s="373"/>
      <c r="E1520" s="247"/>
      <c r="F1520" s="247"/>
      <c r="G1520" s="247"/>
      <c r="H1520" s="247"/>
      <c r="I1520" s="247"/>
      <c r="J1520" s="247"/>
      <c r="K1520" s="247"/>
      <c r="L1520" s="247"/>
      <c r="M1520" s="247"/>
      <c r="N1520" s="247"/>
      <c r="O1520" s="247"/>
      <c r="P1520" s="247"/>
      <c r="Q1520" s="247"/>
      <c r="R1520" s="247"/>
      <c r="S1520" s="247"/>
      <c r="T1520" s="247"/>
      <c r="U1520" s="247"/>
      <c r="V1520" s="247"/>
      <c r="W1520" s="247"/>
      <c r="X1520" s="247"/>
      <c r="Y1520" s="247"/>
      <c r="Z1520" s="247"/>
      <c r="AA1520" s="247"/>
      <c r="AB1520" s="247"/>
      <c r="AC1520" s="247"/>
    </row>
    <row r="1521">
      <c r="A1521" s="247"/>
      <c r="B1521" s="373"/>
      <c r="C1521" s="373"/>
      <c r="D1521" s="373"/>
      <c r="E1521" s="247"/>
      <c r="F1521" s="247"/>
      <c r="G1521" s="247"/>
      <c r="H1521" s="247"/>
      <c r="I1521" s="247"/>
      <c r="J1521" s="247"/>
      <c r="K1521" s="247"/>
      <c r="L1521" s="247"/>
      <c r="M1521" s="247"/>
      <c r="N1521" s="247"/>
      <c r="O1521" s="247"/>
      <c r="P1521" s="247"/>
      <c r="Q1521" s="247"/>
      <c r="R1521" s="247"/>
      <c r="S1521" s="247"/>
      <c r="T1521" s="247"/>
      <c r="U1521" s="247"/>
      <c r="V1521" s="247"/>
      <c r="W1521" s="247"/>
      <c r="X1521" s="247"/>
      <c r="Y1521" s="247"/>
      <c r="Z1521" s="247"/>
      <c r="AA1521" s="247"/>
      <c r="AB1521" s="247"/>
      <c r="AC1521" s="247"/>
    </row>
    <row r="1522">
      <c r="A1522" s="247"/>
      <c r="B1522" s="373"/>
      <c r="C1522" s="373"/>
      <c r="D1522" s="373"/>
      <c r="E1522" s="247"/>
      <c r="F1522" s="247"/>
      <c r="G1522" s="247"/>
      <c r="H1522" s="247"/>
      <c r="I1522" s="247"/>
      <c r="J1522" s="247"/>
      <c r="K1522" s="247"/>
      <c r="L1522" s="247"/>
      <c r="M1522" s="247"/>
      <c r="N1522" s="247"/>
      <c r="O1522" s="247"/>
      <c r="P1522" s="247"/>
      <c r="Q1522" s="247"/>
      <c r="R1522" s="247"/>
      <c r="S1522" s="247"/>
      <c r="T1522" s="247"/>
      <c r="U1522" s="247"/>
      <c r="V1522" s="247"/>
      <c r="W1522" s="247"/>
      <c r="X1522" s="247"/>
      <c r="Y1522" s="247"/>
      <c r="Z1522" s="247"/>
      <c r="AA1522" s="247"/>
      <c r="AB1522" s="247"/>
      <c r="AC1522" s="247"/>
    </row>
    <row r="1523">
      <c r="A1523" s="247"/>
      <c r="B1523" s="373"/>
      <c r="C1523" s="373"/>
      <c r="D1523" s="373"/>
      <c r="E1523" s="247"/>
      <c r="F1523" s="247"/>
      <c r="G1523" s="247"/>
      <c r="H1523" s="247"/>
      <c r="I1523" s="247"/>
      <c r="J1523" s="247"/>
      <c r="K1523" s="247"/>
      <c r="L1523" s="247"/>
      <c r="M1523" s="247"/>
      <c r="N1523" s="247"/>
      <c r="O1523" s="247"/>
      <c r="P1523" s="247"/>
      <c r="Q1523" s="247"/>
      <c r="R1523" s="247"/>
      <c r="S1523" s="247"/>
      <c r="T1523" s="247"/>
      <c r="U1523" s="247"/>
      <c r="V1523" s="247"/>
      <c r="W1523" s="247"/>
      <c r="X1523" s="247"/>
      <c r="Y1523" s="247"/>
      <c r="Z1523" s="247"/>
      <c r="AA1523" s="247"/>
      <c r="AB1523" s="247"/>
      <c r="AC1523" s="247"/>
    </row>
    <row r="1524">
      <c r="A1524" s="247"/>
      <c r="B1524" s="373"/>
      <c r="C1524" s="373"/>
      <c r="D1524" s="373"/>
      <c r="E1524" s="247"/>
      <c r="F1524" s="247"/>
      <c r="G1524" s="247"/>
      <c r="H1524" s="247"/>
      <c r="I1524" s="247"/>
      <c r="J1524" s="247"/>
      <c r="K1524" s="247"/>
      <c r="L1524" s="247"/>
      <c r="M1524" s="247"/>
      <c r="N1524" s="247"/>
      <c r="O1524" s="247"/>
      <c r="P1524" s="247"/>
      <c r="Q1524" s="247"/>
      <c r="R1524" s="247"/>
      <c r="S1524" s="247"/>
      <c r="T1524" s="247"/>
      <c r="U1524" s="247"/>
      <c r="V1524" s="247"/>
      <c r="W1524" s="247"/>
      <c r="X1524" s="247"/>
      <c r="Y1524" s="247"/>
      <c r="Z1524" s="247"/>
      <c r="AA1524" s="247"/>
      <c r="AB1524" s="247"/>
      <c r="AC1524" s="247"/>
    </row>
    <row r="1525">
      <c r="A1525" s="247"/>
      <c r="B1525" s="373"/>
      <c r="C1525" s="373"/>
      <c r="D1525" s="373"/>
      <c r="E1525" s="247"/>
      <c r="F1525" s="247"/>
      <c r="G1525" s="247"/>
      <c r="H1525" s="247"/>
      <c r="I1525" s="247"/>
      <c r="J1525" s="247"/>
      <c r="K1525" s="247"/>
      <c r="L1525" s="247"/>
      <c r="M1525" s="247"/>
      <c r="N1525" s="247"/>
      <c r="O1525" s="247"/>
      <c r="P1525" s="247"/>
      <c r="Q1525" s="247"/>
      <c r="R1525" s="247"/>
      <c r="S1525" s="247"/>
      <c r="T1525" s="247"/>
      <c r="U1525" s="247"/>
      <c r="V1525" s="247"/>
      <c r="W1525" s="247"/>
      <c r="X1525" s="247"/>
      <c r="Y1525" s="247"/>
      <c r="Z1525" s="247"/>
      <c r="AA1525" s="247"/>
      <c r="AB1525" s="247"/>
      <c r="AC1525" s="247"/>
    </row>
    <row r="1526">
      <c r="A1526" s="247"/>
      <c r="B1526" s="373"/>
      <c r="C1526" s="373"/>
      <c r="D1526" s="373"/>
      <c r="E1526" s="247"/>
      <c r="F1526" s="247"/>
      <c r="G1526" s="247"/>
      <c r="H1526" s="247"/>
      <c r="I1526" s="247"/>
      <c r="J1526" s="247"/>
      <c r="K1526" s="247"/>
      <c r="L1526" s="247"/>
      <c r="M1526" s="247"/>
      <c r="N1526" s="247"/>
      <c r="O1526" s="247"/>
      <c r="P1526" s="247"/>
      <c r="Q1526" s="247"/>
      <c r="R1526" s="247"/>
      <c r="S1526" s="247"/>
      <c r="T1526" s="247"/>
      <c r="U1526" s="247"/>
      <c r="V1526" s="247"/>
      <c r="W1526" s="247"/>
      <c r="X1526" s="247"/>
      <c r="Y1526" s="247"/>
      <c r="Z1526" s="247"/>
      <c r="AA1526" s="247"/>
      <c r="AB1526" s="247"/>
      <c r="AC1526" s="247"/>
    </row>
    <row r="1527">
      <c r="A1527" s="247"/>
      <c r="B1527" s="373"/>
      <c r="C1527" s="373"/>
      <c r="D1527" s="373"/>
      <c r="E1527" s="247"/>
      <c r="F1527" s="247"/>
      <c r="G1527" s="247"/>
      <c r="H1527" s="247"/>
      <c r="I1527" s="247"/>
      <c r="J1527" s="247"/>
      <c r="K1527" s="247"/>
      <c r="L1527" s="247"/>
      <c r="M1527" s="247"/>
      <c r="N1527" s="247"/>
      <c r="O1527" s="247"/>
      <c r="P1527" s="247"/>
      <c r="Q1527" s="247"/>
      <c r="R1527" s="247"/>
      <c r="S1527" s="247"/>
      <c r="T1527" s="247"/>
      <c r="U1527" s="247"/>
      <c r="V1527" s="247"/>
      <c r="W1527" s="247"/>
      <c r="X1527" s="247"/>
      <c r="Y1527" s="247"/>
      <c r="Z1527" s="247"/>
      <c r="AA1527" s="247"/>
      <c r="AB1527" s="247"/>
      <c r="AC1527" s="247"/>
    </row>
    <row r="1528">
      <c r="A1528" s="247"/>
      <c r="B1528" s="373"/>
      <c r="C1528" s="373"/>
      <c r="D1528" s="373"/>
      <c r="E1528" s="247"/>
      <c r="F1528" s="247"/>
      <c r="G1528" s="247"/>
      <c r="H1528" s="247"/>
      <c r="I1528" s="247"/>
      <c r="J1528" s="247"/>
      <c r="K1528" s="247"/>
      <c r="L1528" s="247"/>
      <c r="M1528" s="247"/>
      <c r="N1528" s="247"/>
      <c r="O1528" s="247"/>
      <c r="P1528" s="247"/>
      <c r="Q1528" s="247"/>
      <c r="R1528" s="247"/>
      <c r="S1528" s="247"/>
      <c r="T1528" s="247"/>
      <c r="U1528" s="247"/>
      <c r="V1528" s="247"/>
      <c r="W1528" s="247"/>
      <c r="X1528" s="247"/>
      <c r="Y1528" s="247"/>
      <c r="Z1528" s="247"/>
      <c r="AA1528" s="247"/>
      <c r="AB1528" s="247"/>
      <c r="AC1528" s="247"/>
    </row>
    <row r="1529">
      <c r="A1529" s="247"/>
      <c r="B1529" s="373"/>
      <c r="C1529" s="373"/>
      <c r="D1529" s="373"/>
      <c r="E1529" s="247"/>
      <c r="F1529" s="247"/>
      <c r="G1529" s="247"/>
      <c r="H1529" s="247"/>
      <c r="I1529" s="247"/>
      <c r="J1529" s="247"/>
      <c r="K1529" s="247"/>
      <c r="L1529" s="247"/>
      <c r="M1529" s="247"/>
      <c r="N1529" s="247"/>
      <c r="O1529" s="247"/>
      <c r="P1529" s="247"/>
      <c r="Q1529" s="247"/>
      <c r="R1529" s="247"/>
      <c r="S1529" s="247"/>
      <c r="T1529" s="247"/>
      <c r="U1529" s="247"/>
      <c r="V1529" s="247"/>
      <c r="W1529" s="247"/>
      <c r="X1529" s="247"/>
      <c r="Y1529" s="247"/>
      <c r="Z1529" s="247"/>
      <c r="AA1529" s="247"/>
      <c r="AB1529" s="247"/>
      <c r="AC1529" s="247"/>
    </row>
    <row r="1530">
      <c r="A1530" s="247"/>
      <c r="B1530" s="373"/>
      <c r="C1530" s="373"/>
      <c r="D1530" s="373"/>
      <c r="E1530" s="247"/>
      <c r="F1530" s="247"/>
      <c r="G1530" s="247"/>
      <c r="H1530" s="247"/>
      <c r="I1530" s="247"/>
      <c r="J1530" s="247"/>
      <c r="K1530" s="247"/>
      <c r="L1530" s="247"/>
      <c r="M1530" s="247"/>
      <c r="N1530" s="247"/>
      <c r="O1530" s="247"/>
      <c r="P1530" s="247"/>
      <c r="Q1530" s="247"/>
      <c r="R1530" s="247"/>
      <c r="S1530" s="247"/>
      <c r="T1530" s="247"/>
      <c r="U1530" s="247"/>
      <c r="V1530" s="247"/>
      <c r="W1530" s="247"/>
      <c r="X1530" s="247"/>
      <c r="Y1530" s="247"/>
      <c r="Z1530" s="247"/>
      <c r="AA1530" s="247"/>
      <c r="AB1530" s="247"/>
      <c r="AC1530" s="247"/>
    </row>
    <row r="1531">
      <c r="A1531" s="247"/>
      <c r="B1531" s="373"/>
      <c r="C1531" s="373"/>
      <c r="D1531" s="373"/>
      <c r="E1531" s="247"/>
      <c r="F1531" s="247"/>
      <c r="G1531" s="247"/>
      <c r="H1531" s="247"/>
      <c r="I1531" s="247"/>
      <c r="J1531" s="247"/>
      <c r="K1531" s="247"/>
      <c r="L1531" s="247"/>
      <c r="M1531" s="247"/>
      <c r="N1531" s="247"/>
      <c r="O1531" s="247"/>
      <c r="P1531" s="247"/>
      <c r="Q1531" s="247"/>
      <c r="R1531" s="247"/>
      <c r="S1531" s="247"/>
      <c r="T1531" s="247"/>
      <c r="U1531" s="247"/>
      <c r="V1531" s="247"/>
      <c r="W1531" s="247"/>
      <c r="X1531" s="247"/>
      <c r="Y1531" s="247"/>
      <c r="Z1531" s="247"/>
      <c r="AA1531" s="247"/>
      <c r="AB1531" s="247"/>
      <c r="AC1531" s="247"/>
    </row>
    <row r="1532">
      <c r="A1532" s="247"/>
      <c r="B1532" s="373"/>
      <c r="C1532" s="373"/>
      <c r="D1532" s="373"/>
      <c r="E1532" s="247"/>
      <c r="F1532" s="247"/>
      <c r="G1532" s="247"/>
      <c r="H1532" s="247"/>
      <c r="I1532" s="247"/>
      <c r="J1532" s="247"/>
      <c r="K1532" s="247"/>
      <c r="L1532" s="247"/>
      <c r="M1532" s="247"/>
      <c r="N1532" s="247"/>
      <c r="O1532" s="247"/>
      <c r="P1532" s="247"/>
      <c r="Q1532" s="247"/>
      <c r="R1532" s="247"/>
      <c r="S1532" s="247"/>
      <c r="T1532" s="247"/>
      <c r="U1532" s="247"/>
      <c r="V1532" s="247"/>
      <c r="W1532" s="247"/>
      <c r="X1532" s="247"/>
      <c r="Y1532" s="247"/>
      <c r="Z1532" s="247"/>
      <c r="AA1532" s="247"/>
      <c r="AB1532" s="247"/>
      <c r="AC1532" s="247"/>
    </row>
    <row r="1533">
      <c r="A1533" s="247"/>
      <c r="B1533" s="373"/>
      <c r="C1533" s="373"/>
      <c r="D1533" s="373"/>
      <c r="E1533" s="247"/>
      <c r="F1533" s="247"/>
      <c r="G1533" s="247"/>
      <c r="H1533" s="247"/>
      <c r="I1533" s="247"/>
      <c r="J1533" s="247"/>
      <c r="K1533" s="247"/>
      <c r="L1533" s="247"/>
      <c r="M1533" s="247"/>
      <c r="N1533" s="247"/>
      <c r="O1533" s="247"/>
      <c r="P1533" s="247"/>
      <c r="Q1533" s="247"/>
      <c r="R1533" s="247"/>
      <c r="S1533" s="247"/>
      <c r="T1533" s="247"/>
      <c r="U1533" s="247"/>
      <c r="V1533" s="247"/>
      <c r="W1533" s="247"/>
      <c r="X1533" s="247"/>
      <c r="Y1533" s="247"/>
      <c r="Z1533" s="247"/>
      <c r="AA1533" s="247"/>
      <c r="AB1533" s="247"/>
      <c r="AC1533" s="247"/>
    </row>
    <row r="1534">
      <c r="A1534" s="247"/>
      <c r="B1534" s="373"/>
      <c r="C1534" s="373"/>
      <c r="D1534" s="373"/>
      <c r="E1534" s="247"/>
      <c r="F1534" s="247"/>
      <c r="G1534" s="247"/>
      <c r="H1534" s="247"/>
      <c r="I1534" s="247"/>
      <c r="J1534" s="247"/>
      <c r="K1534" s="247"/>
      <c r="L1534" s="247"/>
      <c r="M1534" s="247"/>
      <c r="N1534" s="247"/>
      <c r="O1534" s="247"/>
      <c r="P1534" s="247"/>
      <c r="Q1534" s="247"/>
      <c r="R1534" s="247"/>
      <c r="S1534" s="247"/>
      <c r="T1534" s="247"/>
      <c r="U1534" s="247"/>
      <c r="V1534" s="247"/>
      <c r="W1534" s="247"/>
      <c r="X1534" s="247"/>
      <c r="Y1534" s="247"/>
      <c r="Z1534" s="247"/>
      <c r="AA1534" s="247"/>
      <c r="AB1534" s="247"/>
      <c r="AC1534" s="247"/>
    </row>
    <row r="1535">
      <c r="A1535" s="247"/>
      <c r="B1535" s="373"/>
      <c r="C1535" s="373"/>
      <c r="D1535" s="373"/>
      <c r="E1535" s="247"/>
      <c r="F1535" s="247"/>
      <c r="G1535" s="247"/>
      <c r="H1535" s="247"/>
      <c r="I1535" s="247"/>
      <c r="J1535" s="247"/>
      <c r="K1535" s="247"/>
      <c r="L1535" s="247"/>
      <c r="M1535" s="247"/>
      <c r="N1535" s="247"/>
      <c r="O1535" s="247"/>
      <c r="P1535" s="247"/>
      <c r="Q1535" s="247"/>
      <c r="R1535" s="247"/>
      <c r="S1535" s="247"/>
      <c r="T1535" s="247"/>
      <c r="U1535" s="247"/>
      <c r="V1535" s="247"/>
      <c r="W1535" s="247"/>
      <c r="X1535" s="247"/>
      <c r="Y1535" s="247"/>
      <c r="Z1535" s="247"/>
      <c r="AA1535" s="247"/>
      <c r="AB1535" s="247"/>
      <c r="AC1535" s="247"/>
    </row>
    <row r="1536">
      <c r="A1536" s="247"/>
      <c r="B1536" s="373"/>
      <c r="C1536" s="373"/>
      <c r="D1536" s="373"/>
      <c r="E1536" s="247"/>
      <c r="F1536" s="247"/>
      <c r="G1536" s="247"/>
      <c r="H1536" s="247"/>
      <c r="I1536" s="247"/>
      <c r="J1536" s="247"/>
      <c r="K1536" s="247"/>
      <c r="L1536" s="247"/>
      <c r="M1536" s="247"/>
      <c r="N1536" s="247"/>
      <c r="O1536" s="247"/>
      <c r="P1536" s="247"/>
      <c r="Q1536" s="247"/>
      <c r="R1536" s="247"/>
      <c r="S1536" s="247"/>
      <c r="T1536" s="247"/>
      <c r="U1536" s="247"/>
      <c r="V1536" s="247"/>
      <c r="W1536" s="247"/>
      <c r="X1536" s="247"/>
      <c r="Y1536" s="247"/>
      <c r="Z1536" s="247"/>
      <c r="AA1536" s="247"/>
      <c r="AB1536" s="247"/>
      <c r="AC1536" s="247"/>
    </row>
    <row r="1537">
      <c r="A1537" s="247"/>
      <c r="B1537" s="373"/>
      <c r="C1537" s="373"/>
      <c r="D1537" s="373"/>
      <c r="E1537" s="247"/>
      <c r="F1537" s="247"/>
      <c r="G1537" s="247"/>
      <c r="H1537" s="247"/>
      <c r="I1537" s="247"/>
      <c r="J1537" s="247"/>
      <c r="K1537" s="247"/>
      <c r="L1537" s="247"/>
      <c r="M1537" s="247"/>
      <c r="N1537" s="247"/>
      <c r="O1537" s="247"/>
      <c r="P1537" s="247"/>
      <c r="Q1537" s="247"/>
      <c r="R1537" s="247"/>
      <c r="S1537" s="247"/>
      <c r="T1537" s="247"/>
      <c r="U1537" s="247"/>
      <c r="V1537" s="247"/>
      <c r="W1537" s="247"/>
      <c r="X1537" s="247"/>
      <c r="Y1537" s="247"/>
      <c r="Z1537" s="247"/>
      <c r="AA1537" s="247"/>
      <c r="AB1537" s="247"/>
      <c r="AC1537" s="247"/>
    </row>
    <row r="1538">
      <c r="A1538" s="247"/>
      <c r="B1538" s="373"/>
      <c r="C1538" s="373"/>
      <c r="D1538" s="373"/>
      <c r="E1538" s="247"/>
      <c r="F1538" s="247"/>
      <c r="G1538" s="247"/>
      <c r="H1538" s="247"/>
      <c r="I1538" s="247"/>
      <c r="J1538" s="247"/>
      <c r="K1538" s="247"/>
      <c r="L1538" s="247"/>
      <c r="M1538" s="247"/>
      <c r="N1538" s="247"/>
      <c r="O1538" s="247"/>
      <c r="P1538" s="247"/>
      <c r="Q1538" s="247"/>
      <c r="R1538" s="247"/>
      <c r="S1538" s="247"/>
      <c r="T1538" s="247"/>
      <c r="U1538" s="247"/>
      <c r="V1538" s="247"/>
      <c r="W1538" s="247"/>
      <c r="X1538" s="247"/>
      <c r="Y1538" s="247"/>
      <c r="Z1538" s="247"/>
      <c r="AA1538" s="247"/>
      <c r="AB1538" s="247"/>
      <c r="AC1538" s="247"/>
    </row>
    <row r="1539">
      <c r="A1539" s="247"/>
      <c r="B1539" s="373"/>
      <c r="C1539" s="373"/>
      <c r="D1539" s="373"/>
      <c r="E1539" s="247"/>
      <c r="F1539" s="247"/>
      <c r="G1539" s="247"/>
      <c r="H1539" s="247"/>
      <c r="I1539" s="247"/>
      <c r="J1539" s="247"/>
      <c r="K1539" s="247"/>
      <c r="L1539" s="247"/>
      <c r="M1539" s="247"/>
      <c r="N1539" s="247"/>
      <c r="O1539" s="247"/>
      <c r="P1539" s="247"/>
      <c r="Q1539" s="247"/>
      <c r="R1539" s="247"/>
      <c r="S1539" s="247"/>
      <c r="T1539" s="247"/>
      <c r="U1539" s="247"/>
      <c r="V1539" s="247"/>
      <c r="W1539" s="247"/>
      <c r="X1539" s="247"/>
      <c r="Y1539" s="247"/>
      <c r="Z1539" s="247"/>
      <c r="AA1539" s="247"/>
      <c r="AB1539" s="247"/>
      <c r="AC1539" s="247"/>
    </row>
    <row r="1540">
      <c r="A1540" s="247"/>
      <c r="B1540" s="373"/>
      <c r="C1540" s="373"/>
      <c r="D1540" s="373"/>
      <c r="E1540" s="247"/>
      <c r="F1540" s="247"/>
      <c r="G1540" s="247"/>
      <c r="H1540" s="247"/>
      <c r="I1540" s="247"/>
      <c r="J1540" s="247"/>
      <c r="K1540" s="247"/>
      <c r="L1540" s="247"/>
      <c r="M1540" s="247"/>
      <c r="N1540" s="247"/>
      <c r="O1540" s="247"/>
      <c r="P1540" s="247"/>
      <c r="Q1540" s="247"/>
      <c r="R1540" s="247"/>
      <c r="S1540" s="247"/>
      <c r="T1540" s="247"/>
      <c r="U1540" s="247"/>
      <c r="V1540" s="247"/>
      <c r="W1540" s="247"/>
      <c r="X1540" s="247"/>
      <c r="Y1540" s="247"/>
      <c r="Z1540" s="247"/>
      <c r="AA1540" s="247"/>
      <c r="AB1540" s="247"/>
      <c r="AC1540" s="247"/>
    </row>
    <row r="1541">
      <c r="A1541" s="247"/>
      <c r="B1541" s="373"/>
      <c r="C1541" s="373"/>
      <c r="D1541" s="373"/>
      <c r="E1541" s="247"/>
      <c r="F1541" s="247"/>
      <c r="G1541" s="247"/>
      <c r="H1541" s="247"/>
      <c r="I1541" s="247"/>
      <c r="J1541" s="247"/>
      <c r="K1541" s="247"/>
      <c r="L1541" s="247"/>
      <c r="M1541" s="247"/>
      <c r="N1541" s="247"/>
      <c r="O1541" s="247"/>
      <c r="P1541" s="247"/>
      <c r="Q1541" s="247"/>
      <c r="R1541" s="247"/>
      <c r="S1541" s="247"/>
      <c r="T1541" s="247"/>
      <c r="U1541" s="247"/>
      <c r="V1541" s="247"/>
      <c r="W1541" s="247"/>
      <c r="X1541" s="247"/>
      <c r="Y1541" s="247"/>
      <c r="Z1541" s="247"/>
      <c r="AA1541" s="247"/>
      <c r="AB1541" s="247"/>
      <c r="AC1541" s="247"/>
    </row>
    <row r="1542">
      <c r="A1542" s="247"/>
      <c r="B1542" s="373"/>
      <c r="C1542" s="373"/>
      <c r="D1542" s="373"/>
      <c r="E1542" s="247"/>
      <c r="F1542" s="247"/>
      <c r="G1542" s="247"/>
      <c r="H1542" s="247"/>
      <c r="I1542" s="247"/>
      <c r="J1542" s="247"/>
      <c r="K1542" s="247"/>
      <c r="L1542" s="247"/>
      <c r="M1542" s="247"/>
      <c r="N1542" s="247"/>
      <c r="O1542" s="247"/>
      <c r="P1542" s="247"/>
      <c r="Q1542" s="247"/>
      <c r="R1542" s="247"/>
      <c r="S1542" s="247"/>
      <c r="T1542" s="247"/>
      <c r="U1542" s="247"/>
      <c r="V1542" s="247"/>
      <c r="W1542" s="247"/>
      <c r="X1542" s="247"/>
      <c r="Y1542" s="247"/>
      <c r="Z1542" s="247"/>
      <c r="AA1542" s="247"/>
      <c r="AB1542" s="247"/>
      <c r="AC1542" s="247"/>
    </row>
    <row r="1543">
      <c r="A1543" s="247"/>
      <c r="B1543" s="373"/>
      <c r="C1543" s="373"/>
      <c r="D1543" s="373"/>
      <c r="E1543" s="247"/>
      <c r="F1543" s="247"/>
      <c r="G1543" s="247"/>
      <c r="H1543" s="247"/>
      <c r="I1543" s="247"/>
      <c r="J1543" s="247"/>
      <c r="K1543" s="247"/>
      <c r="L1543" s="247"/>
      <c r="M1543" s="247"/>
      <c r="N1543" s="247"/>
      <c r="O1543" s="247"/>
      <c r="P1543" s="247"/>
      <c r="Q1543" s="247"/>
      <c r="R1543" s="247"/>
      <c r="S1543" s="247"/>
      <c r="T1543" s="247"/>
      <c r="U1543" s="247"/>
      <c r="V1543" s="247"/>
      <c r="W1543" s="247"/>
      <c r="X1543" s="247"/>
      <c r="Y1543" s="247"/>
      <c r="Z1543" s="247"/>
      <c r="AA1543" s="247"/>
      <c r="AB1543" s="247"/>
      <c r="AC1543" s="247"/>
    </row>
    <row r="1544">
      <c r="A1544" s="247"/>
      <c r="B1544" s="373"/>
      <c r="C1544" s="373"/>
      <c r="D1544" s="373"/>
      <c r="E1544" s="247"/>
      <c r="F1544" s="247"/>
      <c r="G1544" s="247"/>
      <c r="H1544" s="247"/>
      <c r="I1544" s="247"/>
      <c r="J1544" s="247"/>
      <c r="K1544" s="247"/>
      <c r="L1544" s="247"/>
      <c r="M1544" s="247"/>
      <c r="N1544" s="247"/>
      <c r="O1544" s="247"/>
      <c r="P1544" s="247"/>
      <c r="Q1544" s="247"/>
      <c r="R1544" s="247"/>
      <c r="S1544" s="247"/>
      <c r="T1544" s="247"/>
      <c r="U1544" s="247"/>
      <c r="V1544" s="247"/>
      <c r="W1544" s="247"/>
      <c r="X1544" s="247"/>
      <c r="Y1544" s="247"/>
      <c r="Z1544" s="247"/>
      <c r="AA1544" s="247"/>
      <c r="AB1544" s="247"/>
      <c r="AC1544" s="247"/>
    </row>
    <row r="1545">
      <c r="A1545" s="247"/>
      <c r="B1545" s="373"/>
      <c r="C1545" s="373"/>
      <c r="D1545" s="373"/>
      <c r="E1545" s="247"/>
      <c r="F1545" s="247"/>
      <c r="G1545" s="247"/>
      <c r="H1545" s="247"/>
      <c r="I1545" s="247"/>
      <c r="J1545" s="247"/>
      <c r="K1545" s="247"/>
      <c r="L1545" s="247"/>
      <c r="M1545" s="247"/>
      <c r="N1545" s="247"/>
      <c r="O1545" s="247"/>
      <c r="P1545" s="247"/>
      <c r="Q1545" s="247"/>
      <c r="R1545" s="247"/>
      <c r="S1545" s="247"/>
      <c r="T1545" s="247"/>
      <c r="U1545" s="247"/>
      <c r="V1545" s="247"/>
      <c r="W1545" s="247"/>
      <c r="X1545" s="247"/>
      <c r="Y1545" s="247"/>
      <c r="Z1545" s="247"/>
      <c r="AA1545" s="247"/>
      <c r="AB1545" s="247"/>
      <c r="AC1545" s="247"/>
    </row>
    <row r="1546">
      <c r="A1546" s="247"/>
      <c r="B1546" s="373"/>
      <c r="C1546" s="373"/>
      <c r="D1546" s="373"/>
      <c r="E1546" s="247"/>
      <c r="F1546" s="247"/>
      <c r="G1546" s="247"/>
      <c r="H1546" s="247"/>
      <c r="I1546" s="247"/>
      <c r="J1546" s="247"/>
      <c r="K1546" s="247"/>
      <c r="L1546" s="247"/>
      <c r="M1546" s="247"/>
      <c r="N1546" s="247"/>
      <c r="O1546" s="247"/>
      <c r="P1546" s="247"/>
      <c r="Q1546" s="247"/>
      <c r="R1546" s="247"/>
      <c r="S1546" s="247"/>
      <c r="T1546" s="247"/>
      <c r="U1546" s="247"/>
      <c r="V1546" s="247"/>
      <c r="W1546" s="247"/>
      <c r="X1546" s="247"/>
      <c r="Y1546" s="247"/>
      <c r="Z1546" s="247"/>
      <c r="AA1546" s="247"/>
      <c r="AB1546" s="247"/>
      <c r="AC1546" s="247"/>
    </row>
    <row r="1547">
      <c r="A1547" s="247"/>
      <c r="B1547" s="373"/>
      <c r="C1547" s="373"/>
      <c r="D1547" s="373"/>
      <c r="E1547" s="247"/>
      <c r="F1547" s="247"/>
      <c r="G1547" s="247"/>
      <c r="H1547" s="247"/>
      <c r="I1547" s="247"/>
      <c r="J1547" s="247"/>
      <c r="K1547" s="247"/>
      <c r="L1547" s="247"/>
      <c r="M1547" s="247"/>
      <c r="N1547" s="247"/>
      <c r="O1547" s="247"/>
      <c r="P1547" s="247"/>
      <c r="Q1547" s="247"/>
      <c r="R1547" s="247"/>
      <c r="S1547" s="247"/>
      <c r="T1547" s="247"/>
      <c r="U1547" s="247"/>
      <c r="V1547" s="247"/>
      <c r="W1547" s="247"/>
      <c r="X1547" s="247"/>
      <c r="Y1547" s="247"/>
      <c r="Z1547" s="247"/>
      <c r="AA1547" s="247"/>
      <c r="AB1547" s="247"/>
      <c r="AC1547" s="247"/>
    </row>
    <row r="1548">
      <c r="A1548" s="247"/>
      <c r="B1548" s="373"/>
      <c r="C1548" s="373"/>
      <c r="D1548" s="373"/>
      <c r="E1548" s="247"/>
      <c r="F1548" s="247"/>
      <c r="G1548" s="247"/>
      <c r="H1548" s="247"/>
      <c r="I1548" s="247"/>
      <c r="J1548" s="247"/>
      <c r="K1548" s="247"/>
      <c r="L1548" s="247"/>
      <c r="M1548" s="247"/>
      <c r="N1548" s="247"/>
      <c r="O1548" s="247"/>
      <c r="P1548" s="247"/>
      <c r="Q1548" s="247"/>
      <c r="R1548" s="247"/>
      <c r="S1548" s="247"/>
      <c r="T1548" s="247"/>
      <c r="U1548" s="247"/>
      <c r="V1548" s="247"/>
      <c r="W1548" s="247"/>
      <c r="X1548" s="247"/>
      <c r="Y1548" s="247"/>
      <c r="Z1548" s="247"/>
      <c r="AA1548" s="247"/>
      <c r="AB1548" s="247"/>
      <c r="AC1548" s="247"/>
    </row>
    <row r="1549">
      <c r="A1549" s="247"/>
      <c r="B1549" s="373"/>
      <c r="C1549" s="373"/>
      <c r="D1549" s="373"/>
      <c r="E1549" s="247"/>
      <c r="F1549" s="247"/>
      <c r="G1549" s="247"/>
      <c r="H1549" s="247"/>
      <c r="I1549" s="247"/>
      <c r="J1549" s="247"/>
      <c r="K1549" s="247"/>
      <c r="L1549" s="247"/>
      <c r="M1549" s="247"/>
      <c r="N1549" s="247"/>
      <c r="O1549" s="247"/>
      <c r="P1549" s="247"/>
      <c r="Q1549" s="247"/>
      <c r="R1549" s="247"/>
      <c r="S1549" s="247"/>
      <c r="T1549" s="247"/>
      <c r="U1549" s="247"/>
      <c r="V1549" s="247"/>
      <c r="W1549" s="247"/>
      <c r="X1549" s="247"/>
      <c r="Y1549" s="247"/>
      <c r="Z1549" s="247"/>
      <c r="AA1549" s="247"/>
      <c r="AB1549" s="247"/>
      <c r="AC1549" s="247"/>
    </row>
    <row r="1550">
      <c r="A1550" s="247"/>
      <c r="B1550" s="373"/>
      <c r="C1550" s="373"/>
      <c r="D1550" s="373"/>
      <c r="E1550" s="247"/>
      <c r="F1550" s="247"/>
      <c r="G1550" s="247"/>
      <c r="H1550" s="247"/>
      <c r="I1550" s="247"/>
      <c r="J1550" s="247"/>
      <c r="K1550" s="247"/>
      <c r="L1550" s="247"/>
      <c r="M1550" s="247"/>
      <c r="N1550" s="247"/>
      <c r="O1550" s="247"/>
      <c r="P1550" s="247"/>
      <c r="Q1550" s="247"/>
      <c r="R1550" s="247"/>
      <c r="S1550" s="247"/>
      <c r="T1550" s="247"/>
      <c r="U1550" s="247"/>
      <c r="V1550" s="247"/>
      <c r="W1550" s="247"/>
      <c r="X1550" s="247"/>
      <c r="Y1550" s="247"/>
      <c r="Z1550" s="247"/>
      <c r="AA1550" s="247"/>
      <c r="AB1550" s="247"/>
      <c r="AC1550" s="247"/>
    </row>
    <row r="1551">
      <c r="A1551" s="247"/>
      <c r="B1551" s="373"/>
      <c r="C1551" s="373"/>
      <c r="D1551" s="373"/>
      <c r="E1551" s="247"/>
      <c r="F1551" s="247"/>
      <c r="G1551" s="247"/>
      <c r="H1551" s="247"/>
      <c r="I1551" s="247"/>
      <c r="J1551" s="247"/>
      <c r="K1551" s="247"/>
      <c r="L1551" s="247"/>
      <c r="M1551" s="247"/>
      <c r="N1551" s="247"/>
      <c r="O1551" s="247"/>
      <c r="P1551" s="247"/>
      <c r="Q1551" s="247"/>
      <c r="R1551" s="247"/>
      <c r="S1551" s="247"/>
      <c r="T1551" s="247"/>
      <c r="U1551" s="247"/>
      <c r="V1551" s="247"/>
      <c r="W1551" s="247"/>
      <c r="X1551" s="247"/>
      <c r="Y1551" s="247"/>
      <c r="Z1551" s="247"/>
      <c r="AA1551" s="247"/>
      <c r="AB1551" s="247"/>
      <c r="AC1551" s="247"/>
    </row>
    <row r="1552">
      <c r="A1552" s="247"/>
      <c r="B1552" s="373"/>
      <c r="C1552" s="373"/>
      <c r="D1552" s="373"/>
      <c r="E1552" s="247"/>
      <c r="F1552" s="247"/>
      <c r="G1552" s="247"/>
      <c r="H1552" s="247"/>
      <c r="I1552" s="247"/>
      <c r="J1552" s="247"/>
      <c r="K1552" s="247"/>
      <c r="L1552" s="247"/>
      <c r="M1552" s="247"/>
      <c r="N1552" s="247"/>
      <c r="O1552" s="247"/>
      <c r="P1552" s="247"/>
      <c r="Q1552" s="247"/>
      <c r="R1552" s="247"/>
      <c r="S1552" s="247"/>
      <c r="T1552" s="247"/>
      <c r="U1552" s="247"/>
      <c r="V1552" s="247"/>
      <c r="W1552" s="247"/>
      <c r="X1552" s="247"/>
      <c r="Y1552" s="247"/>
      <c r="Z1552" s="247"/>
      <c r="AA1552" s="247"/>
      <c r="AB1552" s="247"/>
      <c r="AC1552" s="247"/>
    </row>
    <row r="1553">
      <c r="A1553" s="247"/>
      <c r="B1553" s="373"/>
      <c r="C1553" s="373"/>
      <c r="D1553" s="373"/>
      <c r="E1553" s="247"/>
      <c r="F1553" s="247"/>
      <c r="G1553" s="247"/>
      <c r="H1553" s="247"/>
      <c r="I1553" s="247"/>
      <c r="J1553" s="247"/>
      <c r="K1553" s="247"/>
      <c r="L1553" s="247"/>
      <c r="M1553" s="247"/>
      <c r="N1553" s="247"/>
      <c r="O1553" s="247"/>
      <c r="P1553" s="247"/>
      <c r="Q1553" s="247"/>
      <c r="R1553" s="247"/>
      <c r="S1553" s="247"/>
      <c r="T1553" s="247"/>
      <c r="U1553" s="247"/>
      <c r="V1553" s="247"/>
      <c r="W1553" s="247"/>
      <c r="X1553" s="247"/>
      <c r="Y1553" s="247"/>
      <c r="Z1553" s="247"/>
      <c r="AA1553" s="247"/>
      <c r="AB1553" s="247"/>
      <c r="AC1553" s="247"/>
    </row>
    <row r="1554">
      <c r="A1554" s="247"/>
      <c r="B1554" s="373"/>
      <c r="C1554" s="373"/>
      <c r="D1554" s="373"/>
      <c r="E1554" s="247"/>
      <c r="F1554" s="247"/>
      <c r="G1554" s="247"/>
      <c r="H1554" s="247"/>
      <c r="I1554" s="247"/>
      <c r="J1554" s="247"/>
      <c r="K1554" s="247"/>
      <c r="L1554" s="247"/>
      <c r="M1554" s="247"/>
      <c r="N1554" s="247"/>
      <c r="O1554" s="247"/>
      <c r="P1554" s="247"/>
      <c r="Q1554" s="247"/>
      <c r="R1554" s="247"/>
      <c r="S1554" s="247"/>
      <c r="T1554" s="247"/>
      <c r="U1554" s="247"/>
      <c r="V1554" s="247"/>
      <c r="W1554" s="247"/>
      <c r="X1554" s="247"/>
      <c r="Y1554" s="247"/>
      <c r="Z1554" s="247"/>
      <c r="AA1554" s="247"/>
      <c r="AB1554" s="247"/>
      <c r="AC1554" s="247"/>
    </row>
    <row r="1555">
      <c r="A1555" s="247"/>
      <c r="B1555" s="373"/>
      <c r="C1555" s="373"/>
      <c r="D1555" s="373"/>
      <c r="E1555" s="247"/>
      <c r="F1555" s="247"/>
      <c r="G1555" s="247"/>
      <c r="H1555" s="247"/>
      <c r="I1555" s="247"/>
      <c r="J1555" s="247"/>
      <c r="K1555" s="247"/>
      <c r="L1555" s="247"/>
      <c r="M1555" s="247"/>
      <c r="N1555" s="247"/>
      <c r="O1555" s="247"/>
      <c r="P1555" s="247"/>
      <c r="Q1555" s="247"/>
      <c r="R1555" s="247"/>
      <c r="S1555" s="247"/>
      <c r="T1555" s="247"/>
      <c r="U1555" s="247"/>
      <c r="V1555" s="247"/>
      <c r="W1555" s="247"/>
      <c r="X1555" s="247"/>
      <c r="Y1555" s="247"/>
      <c r="Z1555" s="247"/>
      <c r="AA1555" s="247"/>
      <c r="AB1555" s="247"/>
      <c r="AC1555" s="247"/>
    </row>
    <row r="1556">
      <c r="A1556" s="247"/>
      <c r="B1556" s="373"/>
      <c r="C1556" s="373"/>
      <c r="D1556" s="373"/>
      <c r="E1556" s="247"/>
      <c r="F1556" s="247"/>
      <c r="G1556" s="247"/>
      <c r="H1556" s="247"/>
      <c r="I1556" s="247"/>
      <c r="J1556" s="247"/>
      <c r="K1556" s="247"/>
      <c r="L1556" s="247"/>
      <c r="M1556" s="247"/>
      <c r="N1556" s="247"/>
      <c r="O1556" s="247"/>
      <c r="P1556" s="247"/>
      <c r="Q1556" s="247"/>
      <c r="R1556" s="247"/>
      <c r="S1556" s="247"/>
      <c r="T1556" s="247"/>
      <c r="U1556" s="247"/>
      <c r="V1556" s="247"/>
      <c r="W1556" s="247"/>
      <c r="X1556" s="247"/>
      <c r="Y1556" s="247"/>
      <c r="Z1556" s="247"/>
      <c r="AA1556" s="247"/>
      <c r="AB1556" s="247"/>
      <c r="AC1556" s="247"/>
    </row>
    <row r="1557">
      <c r="A1557" s="247"/>
      <c r="B1557" s="373"/>
      <c r="C1557" s="373"/>
      <c r="D1557" s="373"/>
      <c r="E1557" s="247"/>
      <c r="F1557" s="247"/>
      <c r="G1557" s="247"/>
      <c r="H1557" s="247"/>
      <c r="I1557" s="247"/>
      <c r="J1557" s="247"/>
      <c r="K1557" s="247"/>
      <c r="L1557" s="247"/>
      <c r="M1557" s="247"/>
      <c r="N1557" s="247"/>
      <c r="O1557" s="247"/>
      <c r="P1557" s="247"/>
      <c r="Q1557" s="247"/>
      <c r="R1557" s="247"/>
      <c r="S1557" s="247"/>
      <c r="T1557" s="247"/>
      <c r="U1557" s="247"/>
      <c r="V1557" s="247"/>
      <c r="W1557" s="247"/>
      <c r="X1557" s="247"/>
      <c r="Y1557" s="247"/>
      <c r="Z1557" s="247"/>
      <c r="AA1557" s="247"/>
      <c r="AB1557" s="247"/>
      <c r="AC1557" s="247"/>
    </row>
    <row r="1558">
      <c r="A1558" s="247"/>
      <c r="B1558" s="373"/>
      <c r="C1558" s="373"/>
      <c r="D1558" s="373"/>
      <c r="E1558" s="247"/>
      <c r="F1558" s="247"/>
      <c r="G1558" s="247"/>
      <c r="H1558" s="247"/>
      <c r="I1558" s="247"/>
      <c r="J1558" s="247"/>
      <c r="K1558" s="247"/>
      <c r="L1558" s="247"/>
      <c r="M1558" s="247"/>
      <c r="N1558" s="247"/>
      <c r="O1558" s="247"/>
      <c r="P1558" s="247"/>
      <c r="Q1558" s="247"/>
      <c r="R1558" s="247"/>
      <c r="S1558" s="247"/>
      <c r="T1558" s="247"/>
      <c r="U1558" s="247"/>
      <c r="V1558" s="247"/>
      <c r="W1558" s="247"/>
      <c r="X1558" s="247"/>
      <c r="Y1558" s="247"/>
      <c r="Z1558" s="247"/>
      <c r="AA1558" s="247"/>
      <c r="AB1558" s="247"/>
      <c r="AC1558" s="247"/>
    </row>
    <row r="1559">
      <c r="A1559" s="247"/>
      <c r="B1559" s="373"/>
      <c r="C1559" s="373"/>
      <c r="D1559" s="373"/>
      <c r="E1559" s="247"/>
      <c r="F1559" s="247"/>
      <c r="G1559" s="247"/>
      <c r="H1559" s="247"/>
      <c r="I1559" s="247"/>
      <c r="J1559" s="247"/>
      <c r="K1559" s="247"/>
      <c r="L1559" s="247"/>
      <c r="M1559" s="247"/>
      <c r="N1559" s="247"/>
      <c r="O1559" s="247"/>
      <c r="P1559" s="247"/>
      <c r="Q1559" s="247"/>
      <c r="R1559" s="247"/>
      <c r="S1559" s="247"/>
      <c r="T1559" s="247"/>
      <c r="U1559" s="247"/>
      <c r="V1559" s="247"/>
      <c r="W1559" s="247"/>
      <c r="X1559" s="247"/>
      <c r="Y1559" s="247"/>
      <c r="Z1559" s="247"/>
      <c r="AA1559" s="247"/>
      <c r="AB1559" s="247"/>
      <c r="AC1559" s="247"/>
    </row>
    <row r="1560">
      <c r="A1560" s="247"/>
      <c r="B1560" s="373"/>
      <c r="C1560" s="373"/>
      <c r="D1560" s="373"/>
      <c r="E1560" s="247"/>
      <c r="F1560" s="247"/>
      <c r="G1560" s="247"/>
      <c r="H1560" s="247"/>
      <c r="I1560" s="247"/>
      <c r="J1560" s="247"/>
      <c r="K1560" s="247"/>
      <c r="L1560" s="247"/>
      <c r="M1560" s="247"/>
      <c r="N1560" s="247"/>
      <c r="O1560" s="247"/>
      <c r="P1560" s="247"/>
      <c r="Q1560" s="247"/>
      <c r="R1560" s="247"/>
      <c r="S1560" s="247"/>
      <c r="T1560" s="247"/>
      <c r="U1560" s="247"/>
      <c r="V1560" s="247"/>
      <c r="W1560" s="247"/>
      <c r="X1560" s="247"/>
      <c r="Y1560" s="247"/>
      <c r="Z1560" s="247"/>
      <c r="AA1560" s="247"/>
      <c r="AB1560" s="247"/>
      <c r="AC1560" s="247"/>
    </row>
    <row r="1561">
      <c r="A1561" s="247"/>
      <c r="B1561" s="373"/>
      <c r="C1561" s="373"/>
      <c r="D1561" s="373"/>
      <c r="E1561" s="247"/>
      <c r="F1561" s="247"/>
      <c r="G1561" s="247"/>
      <c r="H1561" s="247"/>
      <c r="I1561" s="247"/>
      <c r="J1561" s="247"/>
      <c r="K1561" s="247"/>
      <c r="L1561" s="247"/>
      <c r="M1561" s="247"/>
      <c r="N1561" s="247"/>
      <c r="O1561" s="247"/>
      <c r="P1561" s="247"/>
      <c r="Q1561" s="247"/>
      <c r="R1561" s="247"/>
      <c r="S1561" s="247"/>
      <c r="T1561" s="247"/>
      <c r="U1561" s="247"/>
      <c r="V1561" s="247"/>
      <c r="W1561" s="247"/>
      <c r="X1561" s="247"/>
      <c r="Y1561" s="247"/>
      <c r="Z1561" s="247"/>
      <c r="AA1561" s="247"/>
      <c r="AB1561" s="247"/>
      <c r="AC1561" s="247"/>
    </row>
    <row r="1562">
      <c r="A1562" s="247"/>
      <c r="B1562" s="373"/>
      <c r="C1562" s="373"/>
      <c r="D1562" s="373"/>
      <c r="E1562" s="247"/>
      <c r="F1562" s="247"/>
      <c r="G1562" s="247"/>
      <c r="H1562" s="247"/>
      <c r="I1562" s="247"/>
      <c r="J1562" s="247"/>
      <c r="K1562" s="247"/>
      <c r="L1562" s="247"/>
      <c r="M1562" s="247"/>
      <c r="N1562" s="247"/>
      <c r="O1562" s="247"/>
      <c r="P1562" s="247"/>
      <c r="Q1562" s="247"/>
      <c r="R1562" s="247"/>
      <c r="S1562" s="247"/>
      <c r="T1562" s="247"/>
      <c r="U1562" s="247"/>
      <c r="V1562" s="247"/>
      <c r="W1562" s="247"/>
      <c r="X1562" s="247"/>
      <c r="Y1562" s="247"/>
      <c r="Z1562" s="247"/>
      <c r="AA1562" s="247"/>
      <c r="AB1562" s="247"/>
      <c r="AC1562" s="247"/>
    </row>
    <row r="1563">
      <c r="A1563" s="247"/>
      <c r="B1563" s="373"/>
      <c r="C1563" s="373"/>
      <c r="D1563" s="373"/>
      <c r="E1563" s="247"/>
      <c r="F1563" s="247"/>
      <c r="G1563" s="247"/>
      <c r="H1563" s="247"/>
      <c r="I1563" s="247"/>
      <c r="J1563" s="247"/>
      <c r="K1563" s="247"/>
      <c r="L1563" s="247"/>
      <c r="M1563" s="247"/>
      <c r="N1563" s="247"/>
      <c r="O1563" s="247"/>
      <c r="P1563" s="247"/>
      <c r="Q1563" s="247"/>
      <c r="R1563" s="247"/>
      <c r="S1563" s="247"/>
      <c r="T1563" s="247"/>
      <c r="U1563" s="247"/>
      <c r="V1563" s="247"/>
      <c r="W1563" s="247"/>
      <c r="X1563" s="247"/>
      <c r="Y1563" s="247"/>
      <c r="Z1563" s="247"/>
      <c r="AA1563" s="247"/>
      <c r="AB1563" s="247"/>
      <c r="AC1563" s="247"/>
    </row>
    <row r="1564">
      <c r="A1564" s="247"/>
      <c r="B1564" s="373"/>
      <c r="C1564" s="373"/>
      <c r="D1564" s="373"/>
      <c r="E1564" s="247"/>
      <c r="F1564" s="247"/>
      <c r="G1564" s="247"/>
      <c r="H1564" s="247"/>
      <c r="I1564" s="247"/>
      <c r="J1564" s="247"/>
      <c r="K1564" s="247"/>
      <c r="L1564" s="247"/>
      <c r="M1564" s="247"/>
      <c r="N1564" s="247"/>
      <c r="O1564" s="247"/>
      <c r="P1564" s="247"/>
      <c r="Q1564" s="247"/>
      <c r="R1564" s="247"/>
      <c r="S1564" s="247"/>
      <c r="T1564" s="247"/>
      <c r="U1564" s="247"/>
      <c r="V1564" s="247"/>
      <c r="W1564" s="247"/>
      <c r="X1564" s="247"/>
      <c r="Y1564" s="247"/>
      <c r="Z1564" s="247"/>
      <c r="AA1564" s="247"/>
      <c r="AB1564" s="247"/>
      <c r="AC1564" s="247"/>
    </row>
    <row r="1565">
      <c r="A1565" s="247"/>
      <c r="B1565" s="373"/>
      <c r="C1565" s="373"/>
      <c r="D1565" s="373"/>
      <c r="E1565" s="247"/>
      <c r="F1565" s="247"/>
      <c r="G1565" s="247"/>
      <c r="H1565" s="247"/>
      <c r="I1565" s="247"/>
      <c r="J1565" s="247"/>
      <c r="K1565" s="247"/>
      <c r="L1565" s="247"/>
      <c r="M1565" s="247"/>
      <c r="N1565" s="247"/>
      <c r="O1565" s="247"/>
      <c r="P1565" s="247"/>
      <c r="Q1565" s="247"/>
      <c r="R1565" s="247"/>
      <c r="S1565" s="247"/>
      <c r="T1565" s="247"/>
      <c r="U1565" s="247"/>
      <c r="V1565" s="247"/>
      <c r="W1565" s="247"/>
      <c r="X1565" s="247"/>
      <c r="Y1565" s="247"/>
      <c r="Z1565" s="247"/>
      <c r="AA1565" s="247"/>
      <c r="AB1565" s="247"/>
      <c r="AC1565" s="247"/>
    </row>
    <row r="1566">
      <c r="A1566" s="247"/>
      <c r="B1566" s="373"/>
      <c r="C1566" s="373"/>
      <c r="D1566" s="373"/>
      <c r="E1566" s="247"/>
      <c r="F1566" s="247"/>
      <c r="G1566" s="247"/>
      <c r="H1566" s="247"/>
      <c r="I1566" s="247"/>
      <c r="J1566" s="247"/>
      <c r="K1566" s="247"/>
      <c r="L1566" s="247"/>
      <c r="M1566" s="247"/>
      <c r="N1566" s="247"/>
      <c r="O1566" s="247"/>
      <c r="P1566" s="247"/>
      <c r="Q1566" s="247"/>
      <c r="R1566" s="247"/>
      <c r="S1566" s="247"/>
      <c r="T1566" s="247"/>
      <c r="U1566" s="247"/>
      <c r="V1566" s="247"/>
      <c r="W1566" s="247"/>
      <c r="X1566" s="247"/>
      <c r="Y1566" s="247"/>
      <c r="Z1566" s="247"/>
      <c r="AA1566" s="247"/>
      <c r="AB1566" s="247"/>
      <c r="AC1566" s="247"/>
    </row>
    <row r="1567">
      <c r="A1567" s="247"/>
      <c r="B1567" s="373"/>
      <c r="C1567" s="373"/>
      <c r="D1567" s="373"/>
      <c r="E1567" s="247"/>
      <c r="F1567" s="247"/>
      <c r="G1567" s="247"/>
      <c r="H1567" s="247"/>
      <c r="I1567" s="247"/>
      <c r="J1567" s="247"/>
      <c r="K1567" s="247"/>
      <c r="L1567" s="247"/>
      <c r="M1567" s="247"/>
      <c r="N1567" s="247"/>
      <c r="O1567" s="247"/>
      <c r="P1567" s="247"/>
      <c r="Q1567" s="247"/>
      <c r="R1567" s="247"/>
      <c r="S1567" s="247"/>
      <c r="T1567" s="247"/>
      <c r="U1567" s="247"/>
      <c r="V1567" s="247"/>
      <c r="W1567" s="247"/>
      <c r="X1567" s="247"/>
      <c r="Y1567" s="247"/>
      <c r="Z1567" s="247"/>
      <c r="AA1567" s="247"/>
      <c r="AB1567" s="247"/>
      <c r="AC1567" s="247"/>
    </row>
    <row r="1568">
      <c r="A1568" s="247"/>
      <c r="B1568" s="373"/>
      <c r="C1568" s="373"/>
      <c r="D1568" s="373"/>
      <c r="E1568" s="247"/>
      <c r="F1568" s="247"/>
      <c r="G1568" s="247"/>
      <c r="H1568" s="247"/>
      <c r="I1568" s="247"/>
      <c r="J1568" s="247"/>
      <c r="K1568" s="247"/>
      <c r="L1568" s="247"/>
      <c r="M1568" s="247"/>
      <c r="N1568" s="247"/>
      <c r="O1568" s="247"/>
      <c r="P1568" s="247"/>
      <c r="Q1568" s="247"/>
      <c r="R1568" s="247"/>
      <c r="S1568" s="247"/>
      <c r="T1568" s="247"/>
      <c r="U1568" s="247"/>
      <c r="V1568" s="247"/>
      <c r="W1568" s="247"/>
      <c r="X1568" s="247"/>
      <c r="Y1568" s="247"/>
      <c r="Z1568" s="247"/>
      <c r="AA1568" s="247"/>
      <c r="AB1568" s="247"/>
      <c r="AC1568" s="247"/>
    </row>
    <row r="1569">
      <c r="A1569" s="247"/>
      <c r="B1569" s="373"/>
      <c r="C1569" s="373"/>
      <c r="D1569" s="373"/>
      <c r="E1569" s="247"/>
      <c r="F1569" s="247"/>
      <c r="G1569" s="247"/>
      <c r="H1569" s="247"/>
      <c r="I1569" s="247"/>
      <c r="J1569" s="247"/>
      <c r="K1569" s="247"/>
      <c r="L1569" s="247"/>
      <c r="M1569" s="247"/>
      <c r="N1569" s="247"/>
      <c r="O1569" s="247"/>
      <c r="P1569" s="247"/>
      <c r="Q1569" s="247"/>
      <c r="R1569" s="247"/>
      <c r="S1569" s="247"/>
      <c r="T1569" s="247"/>
      <c r="U1569" s="247"/>
      <c r="V1569" s="247"/>
      <c r="W1569" s="247"/>
      <c r="X1569" s="247"/>
      <c r="Y1569" s="247"/>
      <c r="Z1569" s="247"/>
      <c r="AA1569" s="247"/>
      <c r="AB1569" s="247"/>
      <c r="AC1569" s="247"/>
    </row>
    <row r="1570">
      <c r="A1570" s="247"/>
      <c r="B1570" s="373"/>
      <c r="C1570" s="373"/>
      <c r="D1570" s="373"/>
      <c r="E1570" s="247"/>
      <c r="F1570" s="247"/>
      <c r="G1570" s="247"/>
      <c r="H1570" s="247"/>
      <c r="I1570" s="247"/>
      <c r="J1570" s="247"/>
      <c r="K1570" s="247"/>
      <c r="L1570" s="247"/>
      <c r="M1570" s="247"/>
      <c r="N1570" s="247"/>
      <c r="O1570" s="247"/>
      <c r="P1570" s="247"/>
      <c r="Q1570" s="247"/>
      <c r="R1570" s="247"/>
      <c r="S1570" s="247"/>
      <c r="T1570" s="247"/>
      <c r="U1570" s="247"/>
      <c r="V1570" s="247"/>
      <c r="W1570" s="247"/>
      <c r="X1570" s="247"/>
      <c r="Y1570" s="247"/>
      <c r="Z1570" s="247"/>
      <c r="AA1570" s="247"/>
      <c r="AB1570" s="247"/>
      <c r="AC1570" s="247"/>
    </row>
    <row r="1571">
      <c r="A1571" s="247"/>
      <c r="B1571" s="373"/>
      <c r="C1571" s="373"/>
      <c r="D1571" s="373"/>
      <c r="E1571" s="247"/>
      <c r="F1571" s="247"/>
      <c r="G1571" s="247"/>
      <c r="H1571" s="247"/>
      <c r="I1571" s="247"/>
      <c r="J1571" s="247"/>
      <c r="K1571" s="247"/>
      <c r="L1571" s="247"/>
      <c r="M1571" s="247"/>
      <c r="N1571" s="247"/>
      <c r="O1571" s="247"/>
      <c r="P1571" s="247"/>
      <c r="Q1571" s="247"/>
      <c r="R1571" s="247"/>
      <c r="S1571" s="247"/>
      <c r="T1571" s="247"/>
      <c r="U1571" s="247"/>
      <c r="V1571" s="247"/>
      <c r="W1571" s="247"/>
      <c r="X1571" s="247"/>
      <c r="Y1571" s="247"/>
      <c r="Z1571" s="247"/>
      <c r="AA1571" s="247"/>
      <c r="AB1571" s="247"/>
      <c r="AC1571" s="247"/>
    </row>
    <row r="1572">
      <c r="A1572" s="247"/>
      <c r="B1572" s="373"/>
      <c r="C1572" s="373"/>
      <c r="D1572" s="373"/>
      <c r="E1572" s="247"/>
      <c r="F1572" s="247"/>
      <c r="G1572" s="247"/>
      <c r="H1572" s="247"/>
      <c r="I1572" s="247"/>
      <c r="J1572" s="247"/>
      <c r="K1572" s="247"/>
      <c r="L1572" s="247"/>
      <c r="M1572" s="247"/>
      <c r="N1572" s="247"/>
      <c r="O1572" s="247"/>
      <c r="P1572" s="247"/>
      <c r="Q1572" s="247"/>
      <c r="R1572" s="247"/>
      <c r="S1572" s="247"/>
      <c r="T1572" s="247"/>
      <c r="U1572" s="247"/>
      <c r="V1572" s="247"/>
      <c r="W1572" s="247"/>
      <c r="X1572" s="247"/>
      <c r="Y1572" s="247"/>
      <c r="Z1572" s="247"/>
      <c r="AA1572" s="247"/>
      <c r="AB1572" s="247"/>
      <c r="AC1572" s="247"/>
    </row>
    <row r="1573">
      <c r="A1573" s="247"/>
      <c r="B1573" s="373"/>
      <c r="C1573" s="373"/>
      <c r="D1573" s="373"/>
      <c r="E1573" s="247"/>
      <c r="F1573" s="247"/>
      <c r="G1573" s="247"/>
      <c r="H1573" s="247"/>
      <c r="I1573" s="247"/>
      <c r="J1573" s="247"/>
      <c r="K1573" s="247"/>
      <c r="L1573" s="247"/>
      <c r="M1573" s="247"/>
      <c r="N1573" s="247"/>
      <c r="O1573" s="247"/>
      <c r="P1573" s="247"/>
      <c r="Q1573" s="247"/>
      <c r="R1573" s="247"/>
      <c r="S1573" s="247"/>
      <c r="T1573" s="247"/>
      <c r="U1573" s="247"/>
      <c r="V1573" s="247"/>
      <c r="W1573" s="247"/>
      <c r="X1573" s="247"/>
      <c r="Y1573" s="247"/>
      <c r="Z1573" s="247"/>
      <c r="AA1573" s="247"/>
      <c r="AB1573" s="247"/>
      <c r="AC1573" s="247"/>
    </row>
    <row r="1574">
      <c r="A1574" s="247"/>
      <c r="B1574" s="373"/>
      <c r="C1574" s="373"/>
      <c r="D1574" s="373"/>
      <c r="E1574" s="247"/>
      <c r="F1574" s="247"/>
      <c r="G1574" s="247"/>
      <c r="H1574" s="247"/>
      <c r="I1574" s="247"/>
      <c r="J1574" s="247"/>
      <c r="K1574" s="247"/>
      <c r="L1574" s="247"/>
      <c r="M1574" s="247"/>
      <c r="N1574" s="247"/>
      <c r="O1574" s="247"/>
      <c r="P1574" s="247"/>
      <c r="Q1574" s="247"/>
      <c r="R1574" s="247"/>
      <c r="S1574" s="247"/>
      <c r="T1574" s="247"/>
      <c r="U1574" s="247"/>
      <c r="V1574" s="247"/>
      <c r="W1574" s="247"/>
      <c r="X1574" s="247"/>
      <c r="Y1574" s="247"/>
      <c r="Z1574" s="247"/>
      <c r="AA1574" s="247"/>
      <c r="AB1574" s="247"/>
      <c r="AC1574" s="247"/>
    </row>
    <row r="1575">
      <c r="A1575" s="247"/>
      <c r="B1575" s="373"/>
      <c r="C1575" s="373"/>
      <c r="D1575" s="373"/>
      <c r="E1575" s="247"/>
      <c r="F1575" s="247"/>
      <c r="G1575" s="247"/>
      <c r="H1575" s="247"/>
      <c r="I1575" s="247"/>
      <c r="J1575" s="247"/>
      <c r="K1575" s="247"/>
      <c r="L1575" s="247"/>
      <c r="M1575" s="247"/>
      <c r="N1575" s="247"/>
      <c r="O1575" s="247"/>
      <c r="P1575" s="247"/>
      <c r="Q1575" s="247"/>
      <c r="R1575" s="247"/>
      <c r="S1575" s="247"/>
      <c r="T1575" s="247"/>
      <c r="U1575" s="247"/>
      <c r="V1575" s="247"/>
      <c r="W1575" s="247"/>
      <c r="X1575" s="247"/>
      <c r="Y1575" s="247"/>
      <c r="Z1575" s="247"/>
      <c r="AA1575" s="247"/>
      <c r="AB1575" s="247"/>
      <c r="AC1575" s="247"/>
    </row>
    <row r="1576">
      <c r="A1576" s="247"/>
      <c r="B1576" s="373"/>
      <c r="C1576" s="373"/>
      <c r="D1576" s="373"/>
      <c r="E1576" s="247"/>
      <c r="F1576" s="247"/>
      <c r="G1576" s="247"/>
      <c r="H1576" s="247"/>
      <c r="I1576" s="247"/>
      <c r="J1576" s="247"/>
      <c r="K1576" s="247"/>
      <c r="L1576" s="247"/>
      <c r="M1576" s="247"/>
      <c r="N1576" s="247"/>
      <c r="O1576" s="247"/>
      <c r="P1576" s="247"/>
      <c r="Q1576" s="247"/>
      <c r="R1576" s="247"/>
      <c r="S1576" s="247"/>
      <c r="T1576" s="247"/>
      <c r="U1576" s="247"/>
      <c r="V1576" s="247"/>
      <c r="W1576" s="247"/>
      <c r="X1576" s="247"/>
      <c r="Y1576" s="247"/>
      <c r="Z1576" s="247"/>
      <c r="AA1576" s="247"/>
      <c r="AB1576" s="247"/>
      <c r="AC1576" s="247"/>
    </row>
    <row r="1577">
      <c r="A1577" s="247"/>
      <c r="B1577" s="373"/>
      <c r="C1577" s="373"/>
      <c r="D1577" s="373"/>
      <c r="E1577" s="247"/>
      <c r="F1577" s="247"/>
      <c r="G1577" s="247"/>
      <c r="H1577" s="247"/>
      <c r="I1577" s="247"/>
      <c r="J1577" s="247"/>
      <c r="K1577" s="247"/>
      <c r="L1577" s="247"/>
      <c r="M1577" s="247"/>
      <c r="N1577" s="247"/>
      <c r="O1577" s="247"/>
      <c r="P1577" s="247"/>
      <c r="Q1577" s="247"/>
      <c r="R1577" s="247"/>
      <c r="S1577" s="247"/>
      <c r="T1577" s="247"/>
      <c r="U1577" s="247"/>
      <c r="V1577" s="247"/>
      <c r="W1577" s="247"/>
      <c r="X1577" s="247"/>
      <c r="Y1577" s="247"/>
      <c r="Z1577" s="247"/>
      <c r="AA1577" s="247"/>
      <c r="AB1577" s="247"/>
      <c r="AC1577" s="247"/>
    </row>
    <row r="1578">
      <c r="A1578" s="247"/>
      <c r="B1578" s="373"/>
      <c r="C1578" s="373"/>
      <c r="D1578" s="373"/>
      <c r="E1578" s="247"/>
      <c r="F1578" s="247"/>
      <c r="G1578" s="247"/>
      <c r="H1578" s="247"/>
      <c r="I1578" s="247"/>
      <c r="J1578" s="247"/>
      <c r="K1578" s="247"/>
      <c r="L1578" s="247"/>
      <c r="M1578" s="247"/>
      <c r="N1578" s="247"/>
      <c r="O1578" s="247"/>
      <c r="P1578" s="247"/>
      <c r="Q1578" s="247"/>
      <c r="R1578" s="247"/>
      <c r="S1578" s="247"/>
      <c r="T1578" s="247"/>
      <c r="U1578" s="247"/>
      <c r="V1578" s="247"/>
      <c r="W1578" s="247"/>
      <c r="X1578" s="247"/>
      <c r="Y1578" s="247"/>
      <c r="Z1578" s="247"/>
      <c r="AA1578" s="247"/>
      <c r="AB1578" s="247"/>
      <c r="AC1578" s="247"/>
    </row>
    <row r="1579">
      <c r="A1579" s="247"/>
      <c r="B1579" s="373"/>
      <c r="C1579" s="373"/>
      <c r="D1579" s="373"/>
      <c r="E1579" s="247"/>
      <c r="F1579" s="247"/>
      <c r="G1579" s="247"/>
      <c r="H1579" s="247"/>
      <c r="I1579" s="247"/>
      <c r="J1579" s="247"/>
      <c r="K1579" s="247"/>
      <c r="L1579" s="247"/>
      <c r="M1579" s="247"/>
      <c r="N1579" s="247"/>
      <c r="O1579" s="247"/>
      <c r="P1579" s="247"/>
      <c r="Q1579" s="247"/>
      <c r="R1579" s="247"/>
      <c r="S1579" s="247"/>
      <c r="T1579" s="247"/>
      <c r="U1579" s="247"/>
      <c r="V1579" s="247"/>
      <c r="W1579" s="247"/>
      <c r="X1579" s="247"/>
      <c r="Y1579" s="247"/>
      <c r="Z1579" s="247"/>
      <c r="AA1579" s="247"/>
      <c r="AB1579" s="247"/>
      <c r="AC1579" s="247"/>
    </row>
    <row r="1580">
      <c r="A1580" s="247"/>
      <c r="B1580" s="373"/>
      <c r="C1580" s="373"/>
      <c r="D1580" s="373"/>
      <c r="E1580" s="247"/>
      <c r="F1580" s="247"/>
      <c r="G1580" s="247"/>
      <c r="H1580" s="247"/>
      <c r="I1580" s="247"/>
      <c r="J1580" s="247"/>
      <c r="K1580" s="247"/>
      <c r="L1580" s="247"/>
      <c r="M1580" s="247"/>
      <c r="N1580" s="247"/>
      <c r="O1580" s="247"/>
      <c r="P1580" s="247"/>
      <c r="Q1580" s="247"/>
      <c r="R1580" s="247"/>
      <c r="S1580" s="247"/>
      <c r="T1580" s="247"/>
      <c r="U1580" s="247"/>
      <c r="V1580" s="247"/>
      <c r="W1580" s="247"/>
      <c r="X1580" s="247"/>
      <c r="Y1580" s="247"/>
      <c r="Z1580" s="247"/>
      <c r="AA1580" s="247"/>
      <c r="AB1580" s="247"/>
      <c r="AC1580" s="247"/>
    </row>
    <row r="1581">
      <c r="A1581" s="247"/>
      <c r="B1581" s="373"/>
      <c r="C1581" s="373"/>
      <c r="D1581" s="373"/>
      <c r="E1581" s="247"/>
      <c r="F1581" s="247"/>
      <c r="G1581" s="247"/>
      <c r="H1581" s="247"/>
      <c r="I1581" s="247"/>
      <c r="J1581" s="247"/>
      <c r="K1581" s="247"/>
      <c r="L1581" s="247"/>
      <c r="M1581" s="247"/>
      <c r="N1581" s="247"/>
      <c r="O1581" s="247"/>
      <c r="P1581" s="247"/>
      <c r="Q1581" s="247"/>
      <c r="R1581" s="247"/>
      <c r="S1581" s="247"/>
      <c r="T1581" s="247"/>
      <c r="U1581" s="247"/>
      <c r="V1581" s="247"/>
      <c r="W1581" s="247"/>
      <c r="X1581" s="247"/>
      <c r="Y1581" s="247"/>
      <c r="Z1581" s="247"/>
      <c r="AA1581" s="247"/>
      <c r="AB1581" s="247"/>
      <c r="AC1581" s="247"/>
    </row>
    <row r="1582">
      <c r="A1582" s="247"/>
      <c r="B1582" s="373"/>
      <c r="C1582" s="373"/>
      <c r="D1582" s="373"/>
      <c r="E1582" s="247"/>
      <c r="F1582" s="247"/>
      <c r="G1582" s="247"/>
      <c r="H1582" s="247"/>
      <c r="I1582" s="247"/>
      <c r="J1582" s="247"/>
      <c r="K1582" s="247"/>
      <c r="L1582" s="247"/>
      <c r="M1582" s="247"/>
      <c r="N1582" s="247"/>
      <c r="O1582" s="247"/>
      <c r="P1582" s="247"/>
      <c r="Q1582" s="247"/>
      <c r="R1582" s="247"/>
      <c r="S1582" s="247"/>
      <c r="T1582" s="247"/>
      <c r="U1582" s="247"/>
      <c r="V1582" s="247"/>
      <c r="W1582" s="247"/>
      <c r="X1582" s="247"/>
      <c r="Y1582" s="247"/>
      <c r="Z1582" s="247"/>
      <c r="AA1582" s="247"/>
      <c r="AB1582" s="247"/>
      <c r="AC1582" s="247"/>
    </row>
    <row r="1583">
      <c r="A1583" s="247"/>
      <c r="B1583" s="373"/>
      <c r="C1583" s="373"/>
      <c r="D1583" s="373"/>
      <c r="E1583" s="247"/>
      <c r="F1583" s="247"/>
      <c r="G1583" s="247"/>
      <c r="H1583" s="247"/>
      <c r="I1583" s="247"/>
      <c r="J1583" s="247"/>
      <c r="K1583" s="247"/>
      <c r="L1583" s="247"/>
      <c r="M1583" s="247"/>
      <c r="N1583" s="247"/>
      <c r="O1583" s="247"/>
      <c r="P1583" s="247"/>
      <c r="Q1583" s="247"/>
      <c r="R1583" s="247"/>
      <c r="S1583" s="247"/>
      <c r="T1583" s="247"/>
      <c r="U1583" s="247"/>
      <c r="V1583" s="247"/>
      <c r="W1583" s="247"/>
      <c r="X1583" s="247"/>
      <c r="Y1583" s="247"/>
      <c r="Z1583" s="247"/>
      <c r="AA1583" s="247"/>
      <c r="AB1583" s="247"/>
      <c r="AC1583" s="247"/>
    </row>
    <row r="1584">
      <c r="A1584" s="247"/>
      <c r="B1584" s="373"/>
      <c r="C1584" s="373"/>
      <c r="D1584" s="373"/>
      <c r="E1584" s="247"/>
      <c r="F1584" s="247"/>
      <c r="G1584" s="247"/>
      <c r="H1584" s="247"/>
      <c r="I1584" s="247"/>
      <c r="J1584" s="247"/>
      <c r="K1584" s="247"/>
      <c r="L1584" s="247"/>
      <c r="M1584" s="247"/>
      <c r="N1584" s="247"/>
      <c r="O1584" s="247"/>
      <c r="P1584" s="247"/>
      <c r="Q1584" s="247"/>
      <c r="R1584" s="247"/>
      <c r="S1584" s="247"/>
      <c r="T1584" s="247"/>
      <c r="U1584" s="247"/>
      <c r="V1584" s="247"/>
      <c r="W1584" s="247"/>
      <c r="X1584" s="247"/>
      <c r="Y1584" s="247"/>
      <c r="Z1584" s="247"/>
      <c r="AA1584" s="247"/>
      <c r="AB1584" s="247"/>
      <c r="AC1584" s="247"/>
    </row>
    <row r="1585">
      <c r="A1585" s="247"/>
      <c r="B1585" s="373"/>
      <c r="C1585" s="373"/>
      <c r="D1585" s="373"/>
      <c r="E1585" s="247"/>
      <c r="F1585" s="247"/>
      <c r="G1585" s="247"/>
      <c r="H1585" s="247"/>
      <c r="I1585" s="247"/>
      <c r="J1585" s="247"/>
      <c r="K1585" s="247"/>
      <c r="L1585" s="247"/>
      <c r="M1585" s="247"/>
      <c r="N1585" s="247"/>
      <c r="O1585" s="247"/>
      <c r="P1585" s="247"/>
      <c r="Q1585" s="247"/>
      <c r="R1585" s="247"/>
      <c r="S1585" s="247"/>
      <c r="T1585" s="247"/>
      <c r="U1585" s="247"/>
      <c r="V1585" s="247"/>
      <c r="W1585" s="247"/>
      <c r="X1585" s="247"/>
      <c r="Y1585" s="247"/>
      <c r="Z1585" s="247"/>
      <c r="AA1585" s="247"/>
      <c r="AB1585" s="247"/>
      <c r="AC1585" s="247"/>
    </row>
    <row r="1586">
      <c r="A1586" s="247"/>
      <c r="B1586" s="373"/>
      <c r="C1586" s="373"/>
      <c r="D1586" s="373"/>
      <c r="E1586" s="247"/>
      <c r="F1586" s="247"/>
      <c r="G1586" s="247"/>
      <c r="H1586" s="247"/>
      <c r="I1586" s="247"/>
      <c r="J1586" s="247"/>
      <c r="K1586" s="247"/>
      <c r="L1586" s="247"/>
      <c r="M1586" s="247"/>
      <c r="N1586" s="247"/>
      <c r="O1586" s="247"/>
      <c r="P1586" s="247"/>
      <c r="Q1586" s="247"/>
      <c r="R1586" s="247"/>
      <c r="S1586" s="247"/>
      <c r="T1586" s="247"/>
      <c r="U1586" s="247"/>
      <c r="V1586" s="247"/>
      <c r="W1586" s="247"/>
      <c r="X1586" s="247"/>
      <c r="Y1586" s="247"/>
      <c r="Z1586" s="247"/>
      <c r="AA1586" s="247"/>
      <c r="AB1586" s="247"/>
      <c r="AC1586" s="247"/>
    </row>
    <row r="1587">
      <c r="A1587" s="247"/>
      <c r="B1587" s="373"/>
      <c r="C1587" s="373"/>
      <c r="D1587" s="373"/>
      <c r="E1587" s="247"/>
      <c r="F1587" s="247"/>
      <c r="G1587" s="247"/>
      <c r="H1587" s="247"/>
      <c r="I1587" s="247"/>
      <c r="J1587" s="247"/>
      <c r="K1587" s="247"/>
      <c r="L1587" s="247"/>
      <c r="M1587" s="247"/>
      <c r="N1587" s="247"/>
      <c r="O1587" s="247"/>
      <c r="P1587" s="247"/>
      <c r="Q1587" s="247"/>
      <c r="R1587" s="247"/>
      <c r="S1587" s="247"/>
      <c r="T1587" s="247"/>
      <c r="U1587" s="247"/>
      <c r="V1587" s="247"/>
      <c r="W1587" s="247"/>
      <c r="X1587" s="247"/>
      <c r="Y1587" s="247"/>
      <c r="Z1587" s="247"/>
      <c r="AA1587" s="247"/>
      <c r="AB1587" s="247"/>
      <c r="AC1587" s="247"/>
    </row>
    <row r="1588">
      <c r="A1588" s="247"/>
      <c r="B1588" s="373"/>
      <c r="C1588" s="373"/>
      <c r="D1588" s="373"/>
      <c r="E1588" s="247"/>
      <c r="F1588" s="247"/>
      <c r="G1588" s="247"/>
      <c r="H1588" s="247"/>
      <c r="I1588" s="247"/>
      <c r="J1588" s="247"/>
      <c r="K1588" s="247"/>
      <c r="L1588" s="247"/>
      <c r="M1588" s="247"/>
      <c r="N1588" s="247"/>
      <c r="O1588" s="247"/>
      <c r="P1588" s="247"/>
      <c r="Q1588" s="247"/>
      <c r="R1588" s="247"/>
      <c r="S1588" s="247"/>
      <c r="T1588" s="247"/>
      <c r="U1588" s="247"/>
      <c r="V1588" s="247"/>
      <c r="W1588" s="247"/>
      <c r="X1588" s="247"/>
      <c r="Y1588" s="247"/>
      <c r="Z1588" s="247"/>
      <c r="AA1588" s="247"/>
      <c r="AB1588" s="247"/>
      <c r="AC1588" s="247"/>
    </row>
    <row r="1589">
      <c r="A1589" s="247"/>
      <c r="B1589" s="373"/>
      <c r="C1589" s="373"/>
      <c r="D1589" s="373"/>
      <c r="E1589" s="247"/>
      <c r="F1589" s="247"/>
      <c r="G1589" s="247"/>
      <c r="H1589" s="247"/>
      <c r="I1589" s="247"/>
      <c r="J1589" s="247"/>
      <c r="K1589" s="247"/>
      <c r="L1589" s="247"/>
      <c r="M1589" s="247"/>
      <c r="N1589" s="247"/>
      <c r="O1589" s="247"/>
      <c r="P1589" s="247"/>
      <c r="Q1589" s="247"/>
      <c r="R1589" s="247"/>
      <c r="S1589" s="247"/>
      <c r="T1589" s="247"/>
      <c r="U1589" s="247"/>
      <c r="V1589" s="247"/>
      <c r="W1589" s="247"/>
      <c r="X1589" s="247"/>
      <c r="Y1589" s="247"/>
      <c r="Z1589" s="247"/>
      <c r="AA1589" s="247"/>
      <c r="AB1589" s="247"/>
      <c r="AC1589" s="247"/>
    </row>
    <row r="1590">
      <c r="A1590" s="247"/>
      <c r="B1590" s="373"/>
      <c r="C1590" s="373"/>
      <c r="D1590" s="373"/>
      <c r="E1590" s="247"/>
      <c r="F1590" s="247"/>
      <c r="G1590" s="247"/>
      <c r="H1590" s="247"/>
      <c r="I1590" s="247"/>
      <c r="J1590" s="247"/>
      <c r="K1590" s="247"/>
      <c r="L1590" s="247"/>
      <c r="M1590" s="247"/>
      <c r="N1590" s="247"/>
      <c r="O1590" s="247"/>
      <c r="P1590" s="247"/>
      <c r="Q1590" s="247"/>
      <c r="R1590" s="247"/>
      <c r="S1590" s="247"/>
      <c r="T1590" s="247"/>
      <c r="U1590" s="247"/>
      <c r="V1590" s="247"/>
      <c r="W1590" s="247"/>
      <c r="X1590" s="247"/>
      <c r="Y1590" s="247"/>
      <c r="Z1590" s="247"/>
      <c r="AA1590" s="247"/>
      <c r="AB1590" s="247"/>
      <c r="AC1590" s="247"/>
    </row>
    <row r="1591">
      <c r="A1591" s="247"/>
      <c r="B1591" s="373"/>
      <c r="C1591" s="373"/>
      <c r="D1591" s="373"/>
      <c r="E1591" s="247"/>
      <c r="F1591" s="247"/>
      <c r="G1591" s="247"/>
      <c r="H1591" s="247"/>
      <c r="I1591" s="247"/>
      <c r="J1591" s="247"/>
      <c r="K1591" s="247"/>
      <c r="L1591" s="247"/>
      <c r="M1591" s="247"/>
      <c r="N1591" s="247"/>
      <c r="O1591" s="247"/>
      <c r="P1591" s="247"/>
      <c r="Q1591" s="247"/>
      <c r="R1591" s="247"/>
      <c r="S1591" s="247"/>
      <c r="T1591" s="247"/>
      <c r="U1591" s="247"/>
      <c r="V1591" s="247"/>
      <c r="W1591" s="247"/>
      <c r="X1591" s="247"/>
      <c r="Y1591" s="247"/>
      <c r="Z1591" s="247"/>
      <c r="AA1591" s="247"/>
      <c r="AB1591" s="247"/>
      <c r="AC1591" s="247"/>
    </row>
    <row r="1592">
      <c r="A1592" s="247"/>
      <c r="B1592" s="373"/>
      <c r="C1592" s="373"/>
      <c r="D1592" s="373"/>
      <c r="E1592" s="247"/>
      <c r="F1592" s="247"/>
      <c r="G1592" s="247"/>
      <c r="H1592" s="247"/>
      <c r="I1592" s="247"/>
      <c r="J1592" s="247"/>
      <c r="K1592" s="247"/>
      <c r="L1592" s="247"/>
      <c r="M1592" s="247"/>
      <c r="N1592" s="247"/>
      <c r="O1592" s="247"/>
      <c r="P1592" s="247"/>
      <c r="Q1592" s="247"/>
      <c r="R1592" s="247"/>
      <c r="S1592" s="247"/>
      <c r="T1592" s="247"/>
      <c r="U1592" s="247"/>
      <c r="V1592" s="247"/>
      <c r="W1592" s="247"/>
      <c r="X1592" s="247"/>
      <c r="Y1592" s="247"/>
      <c r="Z1592" s="247"/>
      <c r="AA1592" s="247"/>
      <c r="AB1592" s="247"/>
      <c r="AC1592" s="247"/>
    </row>
    <row r="1593">
      <c r="A1593" s="247"/>
      <c r="B1593" s="373"/>
      <c r="C1593" s="373"/>
      <c r="D1593" s="373"/>
      <c r="E1593" s="247"/>
      <c r="F1593" s="247"/>
      <c r="G1593" s="247"/>
      <c r="H1593" s="247"/>
      <c r="I1593" s="247"/>
      <c r="J1593" s="247"/>
      <c r="K1593" s="247"/>
      <c r="L1593" s="247"/>
      <c r="M1593" s="247"/>
      <c r="N1593" s="247"/>
      <c r="O1593" s="247"/>
      <c r="P1593" s="247"/>
      <c r="Q1593" s="247"/>
      <c r="R1593" s="247"/>
      <c r="S1593" s="247"/>
      <c r="T1593" s="247"/>
      <c r="U1593" s="247"/>
      <c r="V1593" s="247"/>
      <c r="W1593" s="247"/>
      <c r="X1593" s="247"/>
      <c r="Y1593" s="247"/>
      <c r="Z1593" s="247"/>
      <c r="AA1593" s="247"/>
      <c r="AB1593" s="247"/>
      <c r="AC1593" s="247"/>
    </row>
    <row r="1594">
      <c r="A1594" s="247"/>
      <c r="B1594" s="373"/>
      <c r="C1594" s="373"/>
      <c r="D1594" s="373"/>
      <c r="E1594" s="247"/>
      <c r="F1594" s="247"/>
      <c r="G1594" s="247"/>
      <c r="H1594" s="247"/>
      <c r="I1594" s="247"/>
      <c r="J1594" s="247"/>
      <c r="K1594" s="247"/>
      <c r="L1594" s="247"/>
      <c r="M1594" s="247"/>
      <c r="N1594" s="247"/>
      <c r="O1594" s="247"/>
      <c r="P1594" s="247"/>
      <c r="Q1594" s="247"/>
      <c r="R1594" s="247"/>
      <c r="S1594" s="247"/>
      <c r="T1594" s="247"/>
      <c r="U1594" s="247"/>
      <c r="V1594" s="247"/>
      <c r="W1594" s="247"/>
      <c r="X1594" s="247"/>
      <c r="Y1594" s="247"/>
      <c r="Z1594" s="247"/>
      <c r="AA1594" s="247"/>
      <c r="AB1594" s="247"/>
      <c r="AC1594" s="247"/>
    </row>
    <row r="1595">
      <c r="A1595" s="247"/>
      <c r="B1595" s="373"/>
      <c r="C1595" s="373"/>
      <c r="D1595" s="373"/>
      <c r="E1595" s="247"/>
      <c r="F1595" s="247"/>
      <c r="G1595" s="247"/>
      <c r="H1595" s="247"/>
      <c r="I1595" s="247"/>
      <c r="J1595" s="247"/>
      <c r="K1595" s="247"/>
      <c r="L1595" s="247"/>
      <c r="M1595" s="247"/>
      <c r="N1595" s="247"/>
      <c r="O1595" s="247"/>
      <c r="P1595" s="247"/>
      <c r="Q1595" s="247"/>
      <c r="R1595" s="247"/>
      <c r="S1595" s="247"/>
      <c r="T1595" s="247"/>
      <c r="U1595" s="247"/>
      <c r="V1595" s="247"/>
      <c r="W1595" s="247"/>
      <c r="X1595" s="247"/>
      <c r="Y1595" s="247"/>
      <c r="Z1595" s="247"/>
      <c r="AA1595" s="247"/>
      <c r="AB1595" s="247"/>
      <c r="AC1595" s="247"/>
    </row>
    <row r="1596">
      <c r="A1596" s="247"/>
      <c r="B1596" s="373"/>
      <c r="C1596" s="373"/>
      <c r="D1596" s="373"/>
      <c r="E1596" s="247"/>
      <c r="F1596" s="247"/>
      <c r="G1596" s="247"/>
      <c r="H1596" s="247"/>
      <c r="I1596" s="247"/>
      <c r="J1596" s="247"/>
      <c r="K1596" s="247"/>
      <c r="L1596" s="247"/>
      <c r="M1596" s="247"/>
      <c r="N1596" s="247"/>
      <c r="O1596" s="247"/>
      <c r="P1596" s="247"/>
      <c r="Q1596" s="247"/>
      <c r="R1596" s="247"/>
      <c r="S1596" s="247"/>
      <c r="T1596" s="247"/>
      <c r="U1596" s="247"/>
      <c r="V1596" s="247"/>
      <c r="W1596" s="247"/>
      <c r="X1596" s="247"/>
      <c r="Y1596" s="247"/>
      <c r="Z1596" s="247"/>
      <c r="AA1596" s="247"/>
      <c r="AB1596" s="247"/>
      <c r="AC1596" s="247"/>
    </row>
    <row r="1597">
      <c r="A1597" s="247"/>
      <c r="B1597" s="373"/>
      <c r="C1597" s="373"/>
      <c r="D1597" s="373"/>
      <c r="E1597" s="247"/>
      <c r="F1597" s="247"/>
      <c r="G1597" s="247"/>
      <c r="H1597" s="247"/>
      <c r="I1597" s="247"/>
      <c r="J1597" s="247"/>
      <c r="K1597" s="247"/>
      <c r="L1597" s="247"/>
      <c r="M1597" s="247"/>
      <c r="N1597" s="247"/>
      <c r="O1597" s="247"/>
      <c r="P1597" s="247"/>
      <c r="Q1597" s="247"/>
      <c r="R1597" s="247"/>
      <c r="S1597" s="247"/>
      <c r="T1597" s="247"/>
      <c r="U1597" s="247"/>
      <c r="V1597" s="247"/>
      <c r="W1597" s="247"/>
      <c r="X1597" s="247"/>
      <c r="Y1597" s="247"/>
      <c r="Z1597" s="247"/>
      <c r="AA1597" s="247"/>
      <c r="AB1597" s="247"/>
      <c r="AC1597" s="247"/>
    </row>
    <row r="1598">
      <c r="A1598" s="247"/>
      <c r="B1598" s="373"/>
      <c r="C1598" s="373"/>
      <c r="D1598" s="373"/>
      <c r="E1598" s="247"/>
      <c r="F1598" s="247"/>
      <c r="G1598" s="247"/>
      <c r="H1598" s="247"/>
      <c r="I1598" s="247"/>
      <c r="J1598" s="247"/>
      <c r="K1598" s="247"/>
      <c r="L1598" s="247"/>
      <c r="M1598" s="247"/>
      <c r="N1598" s="247"/>
      <c r="O1598" s="247"/>
      <c r="P1598" s="247"/>
      <c r="Q1598" s="247"/>
      <c r="R1598" s="247"/>
      <c r="S1598" s="247"/>
      <c r="T1598" s="247"/>
      <c r="U1598" s="247"/>
      <c r="V1598" s="247"/>
      <c r="W1598" s="247"/>
      <c r="X1598" s="247"/>
      <c r="Y1598" s="247"/>
      <c r="Z1598" s="247"/>
      <c r="AA1598" s="247"/>
      <c r="AB1598" s="247"/>
      <c r="AC1598" s="247"/>
    </row>
    <row r="1599">
      <c r="A1599" s="247"/>
      <c r="B1599" s="373"/>
      <c r="C1599" s="373"/>
      <c r="D1599" s="373"/>
      <c r="E1599" s="247"/>
      <c r="F1599" s="247"/>
      <c r="G1599" s="247"/>
      <c r="H1599" s="247"/>
      <c r="I1599" s="247"/>
      <c r="J1599" s="247"/>
      <c r="K1599" s="247"/>
      <c r="L1599" s="247"/>
      <c r="M1599" s="247"/>
      <c r="N1599" s="247"/>
      <c r="O1599" s="247"/>
      <c r="P1599" s="247"/>
      <c r="Q1599" s="247"/>
      <c r="R1599" s="247"/>
      <c r="S1599" s="247"/>
      <c r="T1599" s="247"/>
      <c r="U1599" s="247"/>
      <c r="V1599" s="247"/>
      <c r="W1599" s="247"/>
      <c r="X1599" s="247"/>
      <c r="Y1599" s="247"/>
      <c r="Z1599" s="247"/>
      <c r="AA1599" s="247"/>
      <c r="AB1599" s="247"/>
      <c r="AC1599" s="247"/>
    </row>
    <row r="1600">
      <c r="A1600" s="247"/>
      <c r="B1600" s="373"/>
      <c r="C1600" s="373"/>
      <c r="D1600" s="373"/>
      <c r="E1600" s="247"/>
      <c r="F1600" s="247"/>
      <c r="G1600" s="247"/>
      <c r="H1600" s="247"/>
      <c r="I1600" s="247"/>
      <c r="J1600" s="247"/>
      <c r="K1600" s="247"/>
      <c r="L1600" s="247"/>
      <c r="M1600" s="247"/>
      <c r="N1600" s="247"/>
      <c r="O1600" s="247"/>
      <c r="P1600" s="247"/>
      <c r="Q1600" s="247"/>
      <c r="R1600" s="247"/>
      <c r="S1600" s="247"/>
      <c r="T1600" s="247"/>
      <c r="U1600" s="247"/>
      <c r="V1600" s="247"/>
      <c r="W1600" s="247"/>
      <c r="X1600" s="247"/>
      <c r="Y1600" s="247"/>
      <c r="Z1600" s="247"/>
      <c r="AA1600" s="247"/>
      <c r="AB1600" s="247"/>
      <c r="AC1600" s="247"/>
    </row>
    <row r="1601">
      <c r="A1601" s="247"/>
      <c r="B1601" s="373"/>
      <c r="C1601" s="373"/>
      <c r="D1601" s="373"/>
      <c r="E1601" s="247"/>
      <c r="F1601" s="247"/>
      <c r="G1601" s="247"/>
      <c r="H1601" s="247"/>
      <c r="I1601" s="247"/>
      <c r="J1601" s="247"/>
      <c r="K1601" s="247"/>
      <c r="L1601" s="247"/>
      <c r="M1601" s="247"/>
      <c r="N1601" s="247"/>
      <c r="O1601" s="247"/>
      <c r="P1601" s="247"/>
      <c r="Q1601" s="247"/>
      <c r="R1601" s="247"/>
      <c r="S1601" s="247"/>
      <c r="T1601" s="247"/>
      <c r="U1601" s="247"/>
      <c r="V1601" s="247"/>
      <c r="W1601" s="247"/>
      <c r="X1601" s="247"/>
      <c r="Y1601" s="247"/>
      <c r="Z1601" s="247"/>
      <c r="AA1601" s="247"/>
      <c r="AB1601" s="247"/>
      <c r="AC1601" s="247"/>
    </row>
    <row r="1602">
      <c r="A1602" s="247"/>
      <c r="B1602" s="373"/>
      <c r="C1602" s="373"/>
      <c r="D1602" s="373"/>
      <c r="E1602" s="247"/>
      <c r="F1602" s="247"/>
      <c r="G1602" s="247"/>
      <c r="H1602" s="247"/>
      <c r="I1602" s="247"/>
      <c r="J1602" s="247"/>
      <c r="K1602" s="247"/>
      <c r="L1602" s="247"/>
      <c r="M1602" s="247"/>
      <c r="N1602" s="247"/>
      <c r="O1602" s="247"/>
      <c r="P1602" s="247"/>
      <c r="Q1602" s="247"/>
      <c r="R1602" s="247"/>
      <c r="S1602" s="247"/>
      <c r="T1602" s="247"/>
      <c r="U1602" s="247"/>
      <c r="V1602" s="247"/>
      <c r="W1602" s="247"/>
      <c r="X1602" s="247"/>
      <c r="Y1602" s="247"/>
      <c r="Z1602" s="247"/>
      <c r="AA1602" s="247"/>
      <c r="AB1602" s="247"/>
      <c r="AC1602" s="247"/>
    </row>
    <row r="1603">
      <c r="A1603" s="247"/>
      <c r="B1603" s="373"/>
      <c r="C1603" s="373"/>
      <c r="D1603" s="373"/>
      <c r="E1603" s="247"/>
      <c r="F1603" s="247"/>
      <c r="G1603" s="247"/>
      <c r="H1603" s="247"/>
      <c r="I1603" s="247"/>
      <c r="J1603" s="247"/>
      <c r="K1603" s="247"/>
      <c r="L1603" s="247"/>
      <c r="M1603" s="247"/>
      <c r="N1603" s="247"/>
      <c r="O1603" s="247"/>
      <c r="P1603" s="247"/>
      <c r="Q1603" s="247"/>
      <c r="R1603" s="247"/>
      <c r="S1603" s="247"/>
      <c r="T1603" s="247"/>
      <c r="U1603" s="247"/>
      <c r="V1603" s="247"/>
      <c r="W1603" s="247"/>
      <c r="X1603" s="247"/>
      <c r="Y1603" s="247"/>
      <c r="Z1603" s="247"/>
      <c r="AA1603" s="247"/>
      <c r="AB1603" s="247"/>
      <c r="AC1603" s="247"/>
    </row>
    <row r="1604">
      <c r="A1604" s="247"/>
      <c r="B1604" s="373"/>
      <c r="C1604" s="373"/>
      <c r="D1604" s="373"/>
      <c r="E1604" s="247"/>
      <c r="F1604" s="247"/>
      <c r="G1604" s="247"/>
      <c r="H1604" s="247"/>
      <c r="I1604" s="247"/>
      <c r="J1604" s="247"/>
      <c r="K1604" s="247"/>
      <c r="L1604" s="247"/>
      <c r="M1604" s="247"/>
      <c r="N1604" s="247"/>
      <c r="O1604" s="247"/>
      <c r="P1604" s="247"/>
      <c r="Q1604" s="247"/>
      <c r="R1604" s="247"/>
      <c r="S1604" s="247"/>
      <c r="T1604" s="247"/>
      <c r="U1604" s="247"/>
      <c r="V1604" s="247"/>
      <c r="W1604" s="247"/>
      <c r="X1604" s="247"/>
      <c r="Y1604" s="247"/>
      <c r="Z1604" s="247"/>
      <c r="AA1604" s="247"/>
      <c r="AB1604" s="247"/>
      <c r="AC1604" s="247"/>
    </row>
    <row r="1605">
      <c r="A1605" s="247"/>
      <c r="B1605" s="373"/>
      <c r="C1605" s="373"/>
      <c r="D1605" s="373"/>
      <c r="E1605" s="247"/>
      <c r="F1605" s="247"/>
      <c r="G1605" s="247"/>
      <c r="H1605" s="247"/>
      <c r="I1605" s="247"/>
      <c r="J1605" s="247"/>
      <c r="K1605" s="247"/>
      <c r="L1605" s="247"/>
      <c r="M1605" s="247"/>
      <c r="N1605" s="247"/>
      <c r="O1605" s="247"/>
      <c r="P1605" s="247"/>
      <c r="Q1605" s="247"/>
      <c r="R1605" s="247"/>
      <c r="S1605" s="247"/>
      <c r="T1605" s="247"/>
      <c r="U1605" s="247"/>
      <c r="V1605" s="247"/>
      <c r="W1605" s="247"/>
      <c r="X1605" s="247"/>
      <c r="Y1605" s="247"/>
      <c r="Z1605" s="247"/>
      <c r="AA1605" s="247"/>
      <c r="AB1605" s="247"/>
      <c r="AC1605" s="247"/>
    </row>
    <row r="1606">
      <c r="A1606" s="247"/>
      <c r="B1606" s="373"/>
      <c r="C1606" s="373"/>
      <c r="D1606" s="373"/>
      <c r="E1606" s="247"/>
      <c r="F1606" s="247"/>
      <c r="G1606" s="247"/>
      <c r="H1606" s="247"/>
      <c r="I1606" s="247"/>
      <c r="J1606" s="247"/>
      <c r="K1606" s="247"/>
      <c r="L1606" s="247"/>
      <c r="M1606" s="247"/>
      <c r="N1606" s="247"/>
      <c r="O1606" s="247"/>
      <c r="P1606" s="247"/>
      <c r="Q1606" s="247"/>
      <c r="R1606" s="247"/>
      <c r="S1606" s="247"/>
      <c r="T1606" s="247"/>
      <c r="U1606" s="247"/>
      <c r="V1606" s="247"/>
      <c r="W1606" s="247"/>
      <c r="X1606" s="247"/>
      <c r="Y1606" s="247"/>
      <c r="Z1606" s="247"/>
      <c r="AA1606" s="247"/>
      <c r="AB1606" s="247"/>
      <c r="AC1606" s="247"/>
    </row>
    <row r="1607">
      <c r="A1607" s="247"/>
      <c r="B1607" s="373"/>
      <c r="C1607" s="373"/>
      <c r="D1607" s="373"/>
      <c r="E1607" s="247"/>
      <c r="F1607" s="247"/>
      <c r="G1607" s="247"/>
      <c r="H1607" s="247"/>
      <c r="I1607" s="247"/>
      <c r="J1607" s="247"/>
      <c r="K1607" s="247"/>
      <c r="L1607" s="247"/>
      <c r="M1607" s="247"/>
      <c r="N1607" s="247"/>
      <c r="O1607" s="247"/>
      <c r="P1607" s="247"/>
      <c r="Q1607" s="247"/>
      <c r="R1607" s="247"/>
      <c r="S1607" s="247"/>
      <c r="T1607" s="247"/>
      <c r="U1607" s="247"/>
      <c r="V1607" s="247"/>
      <c r="W1607" s="247"/>
      <c r="X1607" s="247"/>
      <c r="Y1607" s="247"/>
      <c r="Z1607" s="247"/>
      <c r="AA1607" s="247"/>
      <c r="AB1607" s="247"/>
      <c r="AC1607" s="247"/>
    </row>
    <row r="1608">
      <c r="A1608" s="247"/>
      <c r="B1608" s="373"/>
      <c r="C1608" s="373"/>
      <c r="D1608" s="373"/>
      <c r="E1608" s="247"/>
      <c r="F1608" s="247"/>
      <c r="G1608" s="247"/>
      <c r="H1608" s="247"/>
      <c r="I1608" s="247"/>
      <c r="J1608" s="247"/>
      <c r="K1608" s="247"/>
      <c r="L1608" s="247"/>
      <c r="M1608" s="247"/>
      <c r="N1608" s="247"/>
      <c r="O1608" s="247"/>
      <c r="P1608" s="247"/>
      <c r="Q1608" s="247"/>
      <c r="R1608" s="247"/>
      <c r="S1608" s="247"/>
      <c r="T1608" s="247"/>
      <c r="U1608" s="247"/>
      <c r="V1608" s="247"/>
      <c r="W1608" s="247"/>
      <c r="X1608" s="247"/>
      <c r="Y1608" s="247"/>
      <c r="Z1608" s="247"/>
      <c r="AA1608" s="247"/>
      <c r="AB1608" s="247"/>
      <c r="AC1608" s="247"/>
    </row>
    <row r="1609">
      <c r="A1609" s="247"/>
      <c r="B1609" s="373"/>
      <c r="C1609" s="373"/>
      <c r="D1609" s="373"/>
      <c r="E1609" s="247"/>
      <c r="F1609" s="247"/>
      <c r="G1609" s="247"/>
      <c r="H1609" s="247"/>
      <c r="I1609" s="247"/>
      <c r="J1609" s="247"/>
      <c r="K1609" s="247"/>
      <c r="L1609" s="247"/>
      <c r="M1609" s="247"/>
      <c r="N1609" s="247"/>
      <c r="O1609" s="247"/>
      <c r="P1609" s="247"/>
      <c r="Q1609" s="247"/>
      <c r="R1609" s="247"/>
      <c r="S1609" s="247"/>
      <c r="T1609" s="247"/>
      <c r="U1609" s="247"/>
      <c r="V1609" s="247"/>
      <c r="W1609" s="247"/>
      <c r="X1609" s="247"/>
      <c r="Y1609" s="247"/>
      <c r="Z1609" s="247"/>
      <c r="AA1609" s="247"/>
      <c r="AB1609" s="247"/>
      <c r="AC1609" s="247"/>
    </row>
    <row r="1610">
      <c r="A1610" s="247"/>
      <c r="B1610" s="373"/>
      <c r="C1610" s="373"/>
      <c r="D1610" s="373"/>
      <c r="E1610" s="247"/>
      <c r="F1610" s="247"/>
      <c r="G1610" s="247"/>
      <c r="H1610" s="247"/>
      <c r="I1610" s="247"/>
      <c r="J1610" s="247"/>
      <c r="K1610" s="247"/>
      <c r="L1610" s="247"/>
      <c r="M1610" s="247"/>
      <c r="N1610" s="247"/>
      <c r="O1610" s="247"/>
      <c r="P1610" s="247"/>
      <c r="Q1610" s="247"/>
      <c r="R1610" s="247"/>
      <c r="S1610" s="247"/>
      <c r="T1610" s="247"/>
      <c r="U1610" s="247"/>
      <c r="V1610" s="247"/>
      <c r="W1610" s="247"/>
      <c r="X1610" s="247"/>
      <c r="Y1610" s="247"/>
      <c r="Z1610" s="247"/>
      <c r="AA1610" s="247"/>
      <c r="AB1610" s="247"/>
      <c r="AC1610" s="247"/>
    </row>
    <row r="1611">
      <c r="A1611" s="247"/>
      <c r="B1611" s="373"/>
      <c r="C1611" s="373"/>
      <c r="D1611" s="373"/>
      <c r="E1611" s="247"/>
      <c r="F1611" s="247"/>
      <c r="G1611" s="247"/>
      <c r="H1611" s="247"/>
      <c r="I1611" s="247"/>
      <c r="J1611" s="247"/>
      <c r="K1611" s="247"/>
      <c r="L1611" s="247"/>
      <c r="M1611" s="247"/>
      <c r="N1611" s="247"/>
      <c r="O1611" s="247"/>
      <c r="P1611" s="247"/>
      <c r="Q1611" s="247"/>
      <c r="R1611" s="247"/>
      <c r="S1611" s="247"/>
      <c r="T1611" s="247"/>
      <c r="U1611" s="247"/>
      <c r="V1611" s="247"/>
      <c r="W1611" s="247"/>
      <c r="X1611" s="247"/>
      <c r="Y1611" s="247"/>
      <c r="Z1611" s="247"/>
      <c r="AA1611" s="247"/>
      <c r="AB1611" s="247"/>
      <c r="AC1611" s="247"/>
    </row>
    <row r="1612">
      <c r="A1612" s="247"/>
      <c r="B1612" s="373"/>
      <c r="C1612" s="373"/>
      <c r="D1612" s="373"/>
      <c r="E1612" s="247"/>
      <c r="F1612" s="247"/>
      <c r="G1612" s="247"/>
      <c r="H1612" s="247"/>
      <c r="I1612" s="247"/>
      <c r="J1612" s="247"/>
      <c r="K1612" s="247"/>
      <c r="L1612" s="247"/>
      <c r="M1612" s="247"/>
      <c r="N1612" s="247"/>
      <c r="O1612" s="247"/>
      <c r="P1612" s="247"/>
      <c r="Q1612" s="247"/>
      <c r="R1612" s="247"/>
      <c r="S1612" s="247"/>
      <c r="T1612" s="247"/>
      <c r="U1612" s="247"/>
      <c r="V1612" s="247"/>
      <c r="W1612" s="247"/>
      <c r="X1612" s="247"/>
      <c r="Y1612" s="247"/>
      <c r="Z1612" s="247"/>
      <c r="AA1612" s="247"/>
      <c r="AB1612" s="247"/>
      <c r="AC1612" s="247"/>
    </row>
    <row r="1613">
      <c r="A1613" s="247"/>
      <c r="B1613" s="373"/>
      <c r="C1613" s="373"/>
      <c r="D1613" s="373"/>
      <c r="E1613" s="247"/>
      <c r="F1613" s="247"/>
      <c r="G1613" s="247"/>
      <c r="H1613" s="247"/>
      <c r="I1613" s="247"/>
      <c r="J1613" s="247"/>
      <c r="K1613" s="247"/>
      <c r="L1613" s="247"/>
      <c r="M1613" s="247"/>
      <c r="N1613" s="247"/>
      <c r="O1613" s="247"/>
      <c r="P1613" s="247"/>
      <c r="Q1613" s="247"/>
      <c r="R1613" s="247"/>
      <c r="S1613" s="247"/>
      <c r="T1613" s="247"/>
      <c r="U1613" s="247"/>
      <c r="V1613" s="247"/>
      <c r="W1613" s="247"/>
      <c r="X1613" s="247"/>
      <c r="Y1613" s="247"/>
      <c r="Z1613" s="247"/>
      <c r="AA1613" s="247"/>
      <c r="AB1613" s="247"/>
      <c r="AC1613" s="247"/>
    </row>
    <row r="1614">
      <c r="A1614" s="247"/>
      <c r="B1614" s="373"/>
      <c r="C1614" s="373"/>
      <c r="D1614" s="373"/>
      <c r="E1614" s="247"/>
      <c r="F1614" s="247"/>
      <c r="G1614" s="247"/>
      <c r="H1614" s="247"/>
      <c r="I1614" s="247"/>
      <c r="J1614" s="247"/>
      <c r="K1614" s="247"/>
      <c r="L1614" s="247"/>
      <c r="M1614" s="247"/>
      <c r="N1614" s="247"/>
      <c r="O1614" s="247"/>
      <c r="P1614" s="247"/>
      <c r="Q1614" s="247"/>
      <c r="R1614" s="247"/>
      <c r="S1614" s="247"/>
      <c r="T1614" s="247"/>
      <c r="U1614" s="247"/>
      <c r="V1614" s="247"/>
      <c r="W1614" s="247"/>
      <c r="X1614" s="247"/>
      <c r="Y1614" s="247"/>
      <c r="Z1614" s="247"/>
      <c r="AA1614" s="247"/>
      <c r="AB1614" s="247"/>
      <c r="AC1614" s="247"/>
    </row>
    <row r="1615">
      <c r="A1615" s="247"/>
      <c r="B1615" s="373"/>
      <c r="C1615" s="373"/>
      <c r="D1615" s="373"/>
      <c r="E1615" s="247"/>
      <c r="F1615" s="247"/>
      <c r="G1615" s="247"/>
      <c r="H1615" s="247"/>
      <c r="I1615" s="247"/>
      <c r="J1615" s="247"/>
      <c r="K1615" s="247"/>
      <c r="L1615" s="247"/>
      <c r="M1615" s="247"/>
      <c r="N1615" s="247"/>
      <c r="O1615" s="247"/>
      <c r="P1615" s="247"/>
      <c r="Q1615" s="247"/>
      <c r="R1615" s="247"/>
      <c r="S1615" s="247"/>
      <c r="T1615" s="247"/>
      <c r="U1615" s="247"/>
      <c r="V1615" s="247"/>
      <c r="W1615" s="247"/>
      <c r="X1615" s="247"/>
      <c r="Y1615" s="247"/>
      <c r="Z1615" s="247"/>
      <c r="AA1615" s="247"/>
      <c r="AB1615" s="247"/>
      <c r="AC1615" s="247"/>
    </row>
    <row r="1616">
      <c r="A1616" s="247"/>
      <c r="B1616" s="373"/>
      <c r="C1616" s="373"/>
      <c r="D1616" s="373"/>
      <c r="E1616" s="247"/>
      <c r="F1616" s="247"/>
      <c r="G1616" s="247"/>
      <c r="H1616" s="247"/>
      <c r="I1616" s="247"/>
      <c r="J1616" s="247"/>
      <c r="K1616" s="247"/>
      <c r="L1616" s="247"/>
      <c r="M1616" s="247"/>
      <c r="N1616" s="247"/>
      <c r="O1616" s="247"/>
      <c r="P1616" s="247"/>
      <c r="Q1616" s="247"/>
      <c r="R1616" s="247"/>
      <c r="S1616" s="247"/>
      <c r="T1616" s="247"/>
      <c r="U1616" s="247"/>
      <c r="V1616" s="247"/>
      <c r="W1616" s="247"/>
      <c r="X1616" s="247"/>
      <c r="Y1616" s="247"/>
      <c r="Z1616" s="247"/>
      <c r="AA1616" s="247"/>
      <c r="AB1616" s="247"/>
      <c r="AC1616" s="247"/>
    </row>
    <row r="1617">
      <c r="A1617" s="247"/>
      <c r="B1617" s="373"/>
      <c r="C1617" s="373"/>
      <c r="D1617" s="373"/>
      <c r="E1617" s="247"/>
      <c r="F1617" s="247"/>
      <c r="G1617" s="247"/>
      <c r="H1617" s="247"/>
      <c r="I1617" s="247"/>
      <c r="J1617" s="247"/>
      <c r="K1617" s="247"/>
      <c r="L1617" s="247"/>
      <c r="M1617" s="247"/>
      <c r="N1617" s="247"/>
      <c r="O1617" s="247"/>
      <c r="P1617" s="247"/>
      <c r="Q1617" s="247"/>
      <c r="R1617" s="247"/>
      <c r="S1617" s="247"/>
      <c r="T1617" s="247"/>
      <c r="U1617" s="247"/>
      <c r="V1617" s="247"/>
      <c r="W1617" s="247"/>
      <c r="X1617" s="247"/>
      <c r="Y1617" s="247"/>
      <c r="Z1617" s="247"/>
      <c r="AA1617" s="247"/>
      <c r="AB1617" s="247"/>
      <c r="AC1617" s="247"/>
    </row>
    <row r="1618">
      <c r="A1618" s="247"/>
      <c r="B1618" s="373"/>
      <c r="C1618" s="373"/>
      <c r="D1618" s="373"/>
      <c r="E1618" s="247"/>
      <c r="F1618" s="247"/>
      <c r="G1618" s="247"/>
      <c r="H1618" s="247"/>
      <c r="I1618" s="247"/>
      <c r="J1618" s="247"/>
      <c r="K1618" s="247"/>
      <c r="L1618" s="247"/>
      <c r="M1618" s="247"/>
      <c r="N1618" s="247"/>
      <c r="O1618" s="247"/>
      <c r="P1618" s="247"/>
      <c r="Q1618" s="247"/>
      <c r="R1618" s="247"/>
      <c r="S1618" s="247"/>
      <c r="T1618" s="247"/>
      <c r="U1618" s="247"/>
      <c r="V1618" s="247"/>
      <c r="W1618" s="247"/>
      <c r="X1618" s="247"/>
      <c r="Y1618" s="247"/>
      <c r="Z1618" s="247"/>
      <c r="AA1618" s="247"/>
      <c r="AB1618" s="247"/>
      <c r="AC1618" s="247"/>
    </row>
    <row r="1619">
      <c r="A1619" s="247"/>
      <c r="B1619" s="373"/>
      <c r="C1619" s="373"/>
      <c r="D1619" s="373"/>
      <c r="E1619" s="247"/>
      <c r="F1619" s="247"/>
      <c r="G1619" s="247"/>
      <c r="H1619" s="247"/>
      <c r="I1619" s="247"/>
      <c r="J1619" s="247"/>
      <c r="K1619" s="247"/>
      <c r="L1619" s="247"/>
      <c r="M1619" s="247"/>
      <c r="N1619" s="247"/>
      <c r="O1619" s="247"/>
      <c r="P1619" s="247"/>
      <c r="Q1619" s="247"/>
      <c r="R1619" s="247"/>
      <c r="S1619" s="247"/>
      <c r="T1619" s="247"/>
      <c r="U1619" s="247"/>
      <c r="V1619" s="247"/>
      <c r="W1619" s="247"/>
      <c r="X1619" s="247"/>
      <c r="Y1619" s="247"/>
      <c r="Z1619" s="247"/>
      <c r="AA1619" s="247"/>
      <c r="AB1619" s="247"/>
      <c r="AC1619" s="247"/>
    </row>
    <row r="1620">
      <c r="A1620" s="247"/>
      <c r="B1620" s="373"/>
      <c r="C1620" s="373"/>
      <c r="D1620" s="373"/>
      <c r="E1620" s="247"/>
      <c r="F1620" s="247"/>
      <c r="G1620" s="247"/>
      <c r="H1620" s="247"/>
      <c r="I1620" s="247"/>
      <c r="J1620" s="247"/>
      <c r="K1620" s="247"/>
      <c r="L1620" s="247"/>
      <c r="M1620" s="247"/>
      <c r="N1620" s="247"/>
      <c r="O1620" s="247"/>
      <c r="P1620" s="247"/>
      <c r="Q1620" s="247"/>
      <c r="R1620" s="247"/>
      <c r="S1620" s="247"/>
      <c r="T1620" s="247"/>
      <c r="U1620" s="247"/>
      <c r="V1620" s="247"/>
      <c r="W1620" s="247"/>
      <c r="X1620" s="247"/>
      <c r="Y1620" s="247"/>
      <c r="Z1620" s="247"/>
      <c r="AA1620" s="247"/>
      <c r="AB1620" s="247"/>
      <c r="AC1620" s="247"/>
    </row>
    <row r="1621">
      <c r="A1621" s="247"/>
      <c r="B1621" s="373"/>
      <c r="C1621" s="373"/>
      <c r="D1621" s="373"/>
      <c r="E1621" s="247"/>
      <c r="F1621" s="247"/>
      <c r="G1621" s="247"/>
      <c r="H1621" s="247"/>
      <c r="I1621" s="247"/>
      <c r="J1621" s="247"/>
      <c r="K1621" s="247"/>
      <c r="L1621" s="247"/>
      <c r="M1621" s="247"/>
      <c r="N1621" s="247"/>
      <c r="O1621" s="247"/>
      <c r="P1621" s="247"/>
      <c r="Q1621" s="247"/>
      <c r="R1621" s="247"/>
      <c r="S1621" s="247"/>
      <c r="T1621" s="247"/>
      <c r="U1621" s="247"/>
      <c r="V1621" s="247"/>
      <c r="W1621" s="247"/>
      <c r="X1621" s="247"/>
      <c r="Y1621" s="247"/>
      <c r="Z1621" s="247"/>
      <c r="AA1621" s="247"/>
      <c r="AB1621" s="247"/>
      <c r="AC1621" s="247"/>
    </row>
    <row r="1622">
      <c r="A1622" s="247"/>
      <c r="B1622" s="373"/>
      <c r="C1622" s="373"/>
      <c r="D1622" s="373"/>
      <c r="E1622" s="247"/>
      <c r="F1622" s="247"/>
      <c r="G1622" s="247"/>
      <c r="H1622" s="247"/>
      <c r="I1622" s="247"/>
      <c r="J1622" s="247"/>
      <c r="K1622" s="247"/>
      <c r="L1622" s="247"/>
      <c r="M1622" s="247"/>
      <c r="N1622" s="247"/>
      <c r="O1622" s="247"/>
      <c r="P1622" s="247"/>
      <c r="Q1622" s="247"/>
      <c r="R1622" s="247"/>
      <c r="S1622" s="247"/>
      <c r="T1622" s="247"/>
      <c r="U1622" s="247"/>
      <c r="V1622" s="247"/>
      <c r="W1622" s="247"/>
      <c r="X1622" s="247"/>
      <c r="Y1622" s="247"/>
      <c r="Z1622" s="247"/>
      <c r="AA1622" s="247"/>
      <c r="AB1622" s="247"/>
      <c r="AC1622" s="247"/>
    </row>
    <row r="1623">
      <c r="A1623" s="247"/>
      <c r="B1623" s="373"/>
      <c r="C1623" s="373"/>
      <c r="D1623" s="373"/>
      <c r="E1623" s="247"/>
      <c r="F1623" s="247"/>
      <c r="G1623" s="247"/>
      <c r="H1623" s="247"/>
      <c r="I1623" s="247"/>
      <c r="J1623" s="247"/>
      <c r="K1623" s="247"/>
      <c r="L1623" s="247"/>
      <c r="M1623" s="247"/>
      <c r="N1623" s="247"/>
      <c r="O1623" s="247"/>
      <c r="P1623" s="247"/>
      <c r="Q1623" s="247"/>
      <c r="R1623" s="247"/>
      <c r="S1623" s="247"/>
      <c r="T1623" s="247"/>
      <c r="U1623" s="247"/>
      <c r="V1623" s="247"/>
      <c r="W1623" s="247"/>
      <c r="X1623" s="247"/>
      <c r="Y1623" s="247"/>
      <c r="Z1623" s="247"/>
      <c r="AA1623" s="247"/>
      <c r="AB1623" s="247"/>
      <c r="AC1623" s="247"/>
    </row>
    <row r="1624">
      <c r="A1624" s="247"/>
      <c r="B1624" s="373"/>
      <c r="C1624" s="373"/>
      <c r="D1624" s="373"/>
      <c r="E1624" s="247"/>
      <c r="F1624" s="247"/>
      <c r="G1624" s="247"/>
      <c r="H1624" s="247"/>
      <c r="I1624" s="247"/>
      <c r="J1624" s="247"/>
      <c r="K1624" s="247"/>
      <c r="L1624" s="247"/>
      <c r="M1624" s="247"/>
      <c r="N1624" s="247"/>
      <c r="O1624" s="247"/>
      <c r="P1624" s="247"/>
      <c r="Q1624" s="247"/>
      <c r="R1624" s="247"/>
      <c r="S1624" s="247"/>
      <c r="T1624" s="247"/>
      <c r="U1624" s="247"/>
      <c r="V1624" s="247"/>
      <c r="W1624" s="247"/>
      <c r="X1624" s="247"/>
      <c r="Y1624" s="247"/>
      <c r="Z1624" s="247"/>
      <c r="AA1624" s="247"/>
      <c r="AB1624" s="247"/>
      <c r="AC1624" s="247"/>
    </row>
    <row r="1625">
      <c r="A1625" s="247"/>
      <c r="B1625" s="373"/>
      <c r="C1625" s="373"/>
      <c r="D1625" s="373"/>
      <c r="E1625" s="247"/>
      <c r="F1625" s="247"/>
      <c r="G1625" s="247"/>
      <c r="H1625" s="247"/>
      <c r="I1625" s="247"/>
      <c r="J1625" s="247"/>
      <c r="K1625" s="247"/>
      <c r="L1625" s="247"/>
      <c r="M1625" s="247"/>
      <c r="N1625" s="247"/>
      <c r="O1625" s="247"/>
      <c r="P1625" s="247"/>
      <c r="Q1625" s="247"/>
      <c r="R1625" s="247"/>
      <c r="S1625" s="247"/>
      <c r="T1625" s="247"/>
      <c r="U1625" s="247"/>
      <c r="V1625" s="247"/>
      <c r="W1625" s="247"/>
      <c r="X1625" s="247"/>
      <c r="Y1625" s="247"/>
      <c r="Z1625" s="247"/>
      <c r="AA1625" s="247"/>
      <c r="AB1625" s="247"/>
      <c r="AC1625" s="247"/>
    </row>
    <row r="1626">
      <c r="A1626" s="247"/>
      <c r="B1626" s="373"/>
      <c r="C1626" s="373"/>
      <c r="D1626" s="373"/>
      <c r="E1626" s="247"/>
      <c r="F1626" s="247"/>
      <c r="G1626" s="247"/>
      <c r="H1626" s="247"/>
      <c r="I1626" s="247"/>
      <c r="J1626" s="247"/>
      <c r="K1626" s="247"/>
      <c r="L1626" s="247"/>
      <c r="M1626" s="247"/>
      <c r="N1626" s="247"/>
      <c r="O1626" s="247"/>
      <c r="P1626" s="247"/>
      <c r="Q1626" s="247"/>
      <c r="R1626" s="247"/>
      <c r="S1626" s="247"/>
      <c r="T1626" s="247"/>
      <c r="U1626" s="247"/>
      <c r="V1626" s="247"/>
      <c r="W1626" s="247"/>
      <c r="X1626" s="247"/>
      <c r="Y1626" s="247"/>
      <c r="Z1626" s="247"/>
      <c r="AA1626" s="247"/>
      <c r="AB1626" s="247"/>
      <c r="AC1626" s="247"/>
    </row>
    <row r="1627">
      <c r="A1627" s="247"/>
      <c r="B1627" s="373"/>
      <c r="C1627" s="373"/>
      <c r="D1627" s="373"/>
      <c r="E1627" s="247"/>
      <c r="F1627" s="247"/>
      <c r="G1627" s="247"/>
      <c r="H1627" s="247"/>
      <c r="I1627" s="247"/>
      <c r="J1627" s="247"/>
      <c r="K1627" s="247"/>
      <c r="L1627" s="247"/>
      <c r="M1627" s="247"/>
      <c r="N1627" s="247"/>
      <c r="O1627" s="247"/>
      <c r="P1627" s="247"/>
      <c r="Q1627" s="247"/>
      <c r="R1627" s="247"/>
      <c r="S1627" s="247"/>
      <c r="T1627" s="247"/>
      <c r="U1627" s="247"/>
      <c r="V1627" s="247"/>
      <c r="W1627" s="247"/>
      <c r="X1627" s="247"/>
      <c r="Y1627" s="247"/>
      <c r="Z1627" s="247"/>
      <c r="AA1627" s="247"/>
      <c r="AB1627" s="247"/>
      <c r="AC1627" s="247"/>
    </row>
    <row r="1628">
      <c r="A1628" s="247"/>
      <c r="B1628" s="373"/>
      <c r="C1628" s="373"/>
      <c r="D1628" s="373"/>
      <c r="E1628" s="247"/>
      <c r="F1628" s="247"/>
      <c r="G1628" s="247"/>
      <c r="H1628" s="247"/>
      <c r="I1628" s="247"/>
      <c r="J1628" s="247"/>
      <c r="K1628" s="247"/>
      <c r="L1628" s="247"/>
      <c r="M1628" s="247"/>
      <c r="N1628" s="247"/>
      <c r="O1628" s="247"/>
      <c r="P1628" s="247"/>
      <c r="Q1628" s="247"/>
      <c r="R1628" s="247"/>
      <c r="S1628" s="247"/>
      <c r="T1628" s="247"/>
      <c r="U1628" s="247"/>
      <c r="V1628" s="247"/>
      <c r="W1628" s="247"/>
      <c r="X1628" s="247"/>
      <c r="Y1628" s="247"/>
      <c r="Z1628" s="247"/>
      <c r="AA1628" s="247"/>
      <c r="AB1628" s="247"/>
      <c r="AC1628" s="247"/>
    </row>
    <row r="1629">
      <c r="A1629" s="247"/>
      <c r="B1629" s="373"/>
      <c r="C1629" s="373"/>
      <c r="D1629" s="373"/>
      <c r="E1629" s="247"/>
      <c r="F1629" s="247"/>
      <c r="G1629" s="247"/>
      <c r="H1629" s="247"/>
      <c r="I1629" s="247"/>
      <c r="J1629" s="247"/>
      <c r="K1629" s="247"/>
      <c r="L1629" s="247"/>
      <c r="M1629" s="247"/>
      <c r="N1629" s="247"/>
      <c r="O1629" s="247"/>
      <c r="P1629" s="247"/>
      <c r="Q1629" s="247"/>
      <c r="R1629" s="247"/>
      <c r="S1629" s="247"/>
      <c r="T1629" s="247"/>
      <c r="U1629" s="247"/>
      <c r="V1629" s="247"/>
      <c r="W1629" s="247"/>
      <c r="X1629" s="247"/>
      <c r="Y1629" s="247"/>
      <c r="Z1629" s="247"/>
      <c r="AA1629" s="247"/>
      <c r="AB1629" s="247"/>
      <c r="AC1629" s="247"/>
    </row>
    <row r="1630">
      <c r="A1630" s="247"/>
      <c r="B1630" s="373"/>
      <c r="C1630" s="373"/>
      <c r="D1630" s="373"/>
      <c r="E1630" s="247"/>
      <c r="F1630" s="247"/>
      <c r="G1630" s="247"/>
      <c r="H1630" s="247"/>
      <c r="I1630" s="247"/>
      <c r="J1630" s="247"/>
      <c r="K1630" s="247"/>
      <c r="L1630" s="247"/>
      <c r="M1630" s="247"/>
      <c r="N1630" s="247"/>
      <c r="O1630" s="247"/>
      <c r="P1630" s="247"/>
      <c r="Q1630" s="247"/>
      <c r="R1630" s="247"/>
      <c r="S1630" s="247"/>
      <c r="T1630" s="247"/>
      <c r="U1630" s="247"/>
      <c r="V1630" s="247"/>
      <c r="W1630" s="247"/>
      <c r="X1630" s="247"/>
      <c r="Y1630" s="247"/>
      <c r="Z1630" s="247"/>
      <c r="AA1630" s="247"/>
      <c r="AB1630" s="247"/>
      <c r="AC1630" s="247"/>
    </row>
    <row r="1631">
      <c r="A1631" s="247"/>
      <c r="B1631" s="373"/>
      <c r="C1631" s="373"/>
      <c r="D1631" s="373"/>
      <c r="E1631" s="247"/>
      <c r="F1631" s="247"/>
      <c r="G1631" s="247"/>
      <c r="H1631" s="247"/>
      <c r="I1631" s="247"/>
      <c r="J1631" s="247"/>
      <c r="K1631" s="247"/>
      <c r="L1631" s="247"/>
      <c r="M1631" s="247"/>
      <c r="N1631" s="247"/>
      <c r="O1631" s="247"/>
      <c r="P1631" s="247"/>
      <c r="Q1631" s="247"/>
      <c r="R1631" s="247"/>
      <c r="S1631" s="247"/>
      <c r="T1631" s="247"/>
      <c r="U1631" s="247"/>
      <c r="V1631" s="247"/>
      <c r="W1631" s="247"/>
      <c r="X1631" s="247"/>
      <c r="Y1631" s="247"/>
      <c r="Z1631" s="247"/>
      <c r="AA1631" s="247"/>
      <c r="AB1631" s="247"/>
      <c r="AC1631" s="247"/>
    </row>
    <row r="1632">
      <c r="A1632" s="247"/>
      <c r="B1632" s="373"/>
      <c r="C1632" s="373"/>
      <c r="D1632" s="373"/>
      <c r="E1632" s="247"/>
      <c r="F1632" s="247"/>
      <c r="G1632" s="247"/>
      <c r="H1632" s="247"/>
      <c r="I1632" s="247"/>
      <c r="J1632" s="247"/>
      <c r="K1632" s="247"/>
      <c r="L1632" s="247"/>
      <c r="M1632" s="247"/>
      <c r="N1632" s="247"/>
      <c r="O1632" s="247"/>
      <c r="P1632" s="247"/>
      <c r="Q1632" s="247"/>
      <c r="R1632" s="247"/>
      <c r="S1632" s="247"/>
      <c r="T1632" s="247"/>
      <c r="U1632" s="247"/>
      <c r="V1632" s="247"/>
      <c r="W1632" s="247"/>
      <c r="X1632" s="247"/>
      <c r="Y1632" s="247"/>
      <c r="Z1632" s="247"/>
      <c r="AA1632" s="247"/>
      <c r="AB1632" s="247"/>
      <c r="AC1632" s="247"/>
    </row>
    <row r="1633">
      <c r="A1633" s="247"/>
      <c r="B1633" s="373"/>
      <c r="C1633" s="373"/>
      <c r="D1633" s="373"/>
      <c r="E1633" s="247"/>
      <c r="F1633" s="247"/>
      <c r="G1633" s="247"/>
      <c r="H1633" s="247"/>
      <c r="I1633" s="247"/>
      <c r="J1633" s="247"/>
      <c r="K1633" s="247"/>
      <c r="L1633" s="247"/>
      <c r="M1633" s="247"/>
      <c r="N1633" s="247"/>
      <c r="O1633" s="247"/>
      <c r="P1633" s="247"/>
      <c r="Q1633" s="247"/>
      <c r="R1633" s="247"/>
      <c r="S1633" s="247"/>
      <c r="T1633" s="247"/>
      <c r="U1633" s="247"/>
      <c r="V1633" s="247"/>
      <c r="W1633" s="247"/>
      <c r="X1633" s="247"/>
      <c r="Y1633" s="247"/>
      <c r="Z1633" s="247"/>
      <c r="AA1633" s="247"/>
      <c r="AB1633" s="247"/>
      <c r="AC1633" s="247"/>
    </row>
    <row r="1634">
      <c r="A1634" s="247"/>
      <c r="B1634" s="373"/>
      <c r="C1634" s="373"/>
      <c r="D1634" s="373"/>
      <c r="E1634" s="247"/>
      <c r="F1634" s="247"/>
      <c r="G1634" s="247"/>
      <c r="H1634" s="247"/>
      <c r="I1634" s="247"/>
      <c r="J1634" s="247"/>
      <c r="K1634" s="247"/>
      <c r="L1634" s="247"/>
      <c r="M1634" s="247"/>
      <c r="N1634" s="247"/>
      <c r="O1634" s="247"/>
      <c r="P1634" s="247"/>
      <c r="Q1634" s="247"/>
      <c r="R1634" s="247"/>
      <c r="S1634" s="247"/>
      <c r="T1634" s="247"/>
      <c r="U1634" s="247"/>
      <c r="V1634" s="247"/>
      <c r="W1634" s="247"/>
      <c r="X1634" s="247"/>
      <c r="Y1634" s="247"/>
      <c r="Z1634" s="247"/>
      <c r="AA1634" s="247"/>
      <c r="AB1634" s="247"/>
      <c r="AC1634" s="247"/>
    </row>
    <row r="1635">
      <c r="A1635" s="247"/>
      <c r="B1635" s="373"/>
      <c r="C1635" s="373"/>
      <c r="D1635" s="373"/>
      <c r="E1635" s="247"/>
      <c r="F1635" s="247"/>
      <c r="G1635" s="247"/>
      <c r="H1635" s="247"/>
      <c r="I1635" s="247"/>
      <c r="J1635" s="247"/>
      <c r="K1635" s="247"/>
      <c r="L1635" s="247"/>
      <c r="M1635" s="247"/>
      <c r="N1635" s="247"/>
      <c r="O1635" s="247"/>
      <c r="P1635" s="247"/>
      <c r="Q1635" s="247"/>
      <c r="R1635" s="247"/>
      <c r="S1635" s="247"/>
      <c r="T1635" s="247"/>
      <c r="U1635" s="247"/>
      <c r="V1635" s="247"/>
      <c r="W1635" s="247"/>
      <c r="X1635" s="247"/>
      <c r="Y1635" s="247"/>
      <c r="Z1635" s="247"/>
      <c r="AA1635" s="247"/>
      <c r="AB1635" s="247"/>
      <c r="AC1635" s="247"/>
    </row>
    <row r="1636">
      <c r="A1636" s="247"/>
      <c r="B1636" s="373"/>
      <c r="C1636" s="373"/>
      <c r="D1636" s="373"/>
      <c r="E1636" s="247"/>
      <c r="F1636" s="247"/>
      <c r="G1636" s="247"/>
      <c r="H1636" s="247"/>
      <c r="I1636" s="247"/>
      <c r="J1636" s="247"/>
      <c r="K1636" s="247"/>
      <c r="L1636" s="247"/>
      <c r="M1636" s="247"/>
      <c r="N1636" s="247"/>
      <c r="O1636" s="247"/>
      <c r="P1636" s="247"/>
      <c r="Q1636" s="247"/>
      <c r="R1636" s="247"/>
      <c r="S1636" s="247"/>
      <c r="T1636" s="247"/>
      <c r="U1636" s="247"/>
      <c r="V1636" s="247"/>
      <c r="W1636" s="247"/>
      <c r="X1636" s="247"/>
      <c r="Y1636" s="247"/>
      <c r="Z1636" s="247"/>
      <c r="AA1636" s="247"/>
      <c r="AB1636" s="247"/>
      <c r="AC1636" s="247"/>
    </row>
    <row r="1637">
      <c r="A1637" s="247"/>
      <c r="B1637" s="373"/>
      <c r="C1637" s="373"/>
      <c r="D1637" s="373"/>
      <c r="E1637" s="247"/>
      <c r="F1637" s="247"/>
      <c r="G1637" s="247"/>
      <c r="H1637" s="247"/>
      <c r="I1637" s="247"/>
      <c r="J1637" s="247"/>
      <c r="K1637" s="247"/>
      <c r="L1637" s="247"/>
      <c r="M1637" s="247"/>
      <c r="N1637" s="247"/>
      <c r="O1637" s="247"/>
      <c r="P1637" s="247"/>
      <c r="Q1637" s="247"/>
      <c r="R1637" s="247"/>
      <c r="S1637" s="247"/>
      <c r="T1637" s="247"/>
      <c r="U1637" s="247"/>
      <c r="V1637" s="247"/>
      <c r="W1637" s="247"/>
      <c r="X1637" s="247"/>
      <c r="Y1637" s="247"/>
      <c r="Z1637" s="247"/>
      <c r="AA1637" s="247"/>
      <c r="AB1637" s="247"/>
      <c r="AC1637" s="247"/>
    </row>
    <row r="1638">
      <c r="A1638" s="247"/>
      <c r="B1638" s="373"/>
      <c r="C1638" s="373"/>
      <c r="D1638" s="373"/>
      <c r="E1638" s="247"/>
      <c r="F1638" s="247"/>
      <c r="G1638" s="247"/>
      <c r="H1638" s="247"/>
      <c r="I1638" s="247"/>
      <c r="J1638" s="247"/>
      <c r="K1638" s="247"/>
      <c r="L1638" s="247"/>
      <c r="M1638" s="247"/>
      <c r="N1638" s="247"/>
      <c r="O1638" s="247"/>
      <c r="P1638" s="247"/>
      <c r="Q1638" s="247"/>
      <c r="R1638" s="247"/>
      <c r="S1638" s="247"/>
      <c r="T1638" s="247"/>
      <c r="U1638" s="247"/>
      <c r="V1638" s="247"/>
      <c r="W1638" s="247"/>
      <c r="X1638" s="247"/>
      <c r="Y1638" s="247"/>
      <c r="Z1638" s="247"/>
      <c r="AA1638" s="247"/>
      <c r="AB1638" s="247"/>
      <c r="AC1638" s="247"/>
    </row>
    <row r="1639">
      <c r="A1639" s="247"/>
      <c r="B1639" s="373"/>
      <c r="C1639" s="373"/>
      <c r="D1639" s="373"/>
      <c r="E1639" s="247"/>
      <c r="F1639" s="247"/>
      <c r="G1639" s="247"/>
      <c r="H1639" s="247"/>
      <c r="I1639" s="247"/>
      <c r="J1639" s="247"/>
      <c r="K1639" s="247"/>
      <c r="L1639" s="247"/>
      <c r="M1639" s="247"/>
      <c r="N1639" s="247"/>
      <c r="O1639" s="247"/>
      <c r="P1639" s="247"/>
      <c r="Q1639" s="247"/>
      <c r="R1639" s="247"/>
      <c r="S1639" s="247"/>
      <c r="T1639" s="247"/>
      <c r="U1639" s="247"/>
      <c r="V1639" s="247"/>
      <c r="W1639" s="247"/>
      <c r="X1639" s="247"/>
      <c r="Y1639" s="247"/>
      <c r="Z1639" s="247"/>
      <c r="AA1639" s="247"/>
      <c r="AB1639" s="247"/>
      <c r="AC1639" s="247"/>
    </row>
    <row r="1640">
      <c r="A1640" s="247"/>
      <c r="B1640" s="373"/>
      <c r="C1640" s="373"/>
      <c r="D1640" s="373"/>
      <c r="E1640" s="247"/>
      <c r="F1640" s="247"/>
      <c r="G1640" s="247"/>
      <c r="H1640" s="247"/>
      <c r="I1640" s="247"/>
      <c r="J1640" s="247"/>
      <c r="K1640" s="247"/>
      <c r="L1640" s="247"/>
      <c r="M1640" s="247"/>
      <c r="N1640" s="247"/>
      <c r="O1640" s="247"/>
      <c r="P1640" s="247"/>
      <c r="Q1640" s="247"/>
      <c r="R1640" s="247"/>
      <c r="S1640" s="247"/>
      <c r="T1640" s="247"/>
      <c r="U1640" s="247"/>
      <c r="V1640" s="247"/>
      <c r="W1640" s="247"/>
      <c r="X1640" s="247"/>
      <c r="Y1640" s="247"/>
      <c r="Z1640" s="247"/>
      <c r="AA1640" s="247"/>
      <c r="AB1640" s="247"/>
      <c r="AC1640" s="247"/>
    </row>
    <row r="1641">
      <c r="A1641" s="247"/>
      <c r="B1641" s="373"/>
      <c r="C1641" s="373"/>
      <c r="D1641" s="373"/>
      <c r="E1641" s="247"/>
      <c r="F1641" s="247"/>
      <c r="G1641" s="247"/>
      <c r="H1641" s="247"/>
      <c r="I1641" s="247"/>
      <c r="J1641" s="247"/>
      <c r="K1641" s="247"/>
      <c r="L1641" s="247"/>
      <c r="M1641" s="247"/>
      <c r="N1641" s="247"/>
      <c r="O1641" s="247"/>
      <c r="P1641" s="247"/>
      <c r="Q1641" s="247"/>
      <c r="R1641" s="247"/>
      <c r="S1641" s="247"/>
      <c r="T1641" s="247"/>
      <c r="U1641" s="247"/>
      <c r="V1641" s="247"/>
      <c r="W1641" s="247"/>
      <c r="X1641" s="247"/>
      <c r="Y1641" s="247"/>
      <c r="Z1641" s="247"/>
      <c r="AA1641" s="247"/>
      <c r="AB1641" s="247"/>
      <c r="AC1641" s="247"/>
    </row>
    <row r="1642">
      <c r="A1642" s="247"/>
      <c r="B1642" s="373"/>
      <c r="C1642" s="373"/>
      <c r="D1642" s="373"/>
      <c r="E1642" s="247"/>
      <c r="F1642" s="247"/>
      <c r="G1642" s="247"/>
      <c r="H1642" s="247"/>
      <c r="I1642" s="247"/>
      <c r="J1642" s="247"/>
      <c r="K1642" s="247"/>
      <c r="L1642" s="247"/>
      <c r="M1642" s="247"/>
      <c r="N1642" s="247"/>
      <c r="O1642" s="247"/>
      <c r="P1642" s="247"/>
      <c r="Q1642" s="247"/>
      <c r="R1642" s="247"/>
      <c r="S1642" s="247"/>
      <c r="T1642" s="247"/>
      <c r="U1642" s="247"/>
      <c r="V1642" s="247"/>
      <c r="W1642" s="247"/>
      <c r="X1642" s="247"/>
      <c r="Y1642" s="247"/>
      <c r="Z1642" s="247"/>
      <c r="AA1642" s="247"/>
      <c r="AB1642" s="247"/>
      <c r="AC1642" s="247"/>
    </row>
    <row r="1643">
      <c r="A1643" s="247"/>
      <c r="B1643" s="373"/>
      <c r="C1643" s="373"/>
      <c r="D1643" s="373"/>
      <c r="E1643" s="247"/>
      <c r="F1643" s="247"/>
      <c r="G1643" s="247"/>
      <c r="H1643" s="247"/>
      <c r="I1643" s="247"/>
      <c r="J1643" s="247"/>
      <c r="K1643" s="247"/>
      <c r="L1643" s="247"/>
      <c r="M1643" s="247"/>
      <c r="N1643" s="247"/>
      <c r="O1643" s="247"/>
      <c r="P1643" s="247"/>
      <c r="Q1643" s="247"/>
      <c r="R1643" s="247"/>
      <c r="S1643" s="247"/>
      <c r="T1643" s="247"/>
      <c r="U1643" s="247"/>
      <c r="V1643" s="247"/>
      <c r="W1643" s="247"/>
      <c r="X1643" s="247"/>
      <c r="Y1643" s="247"/>
      <c r="Z1643" s="247"/>
      <c r="AA1643" s="247"/>
      <c r="AB1643" s="247"/>
      <c r="AC1643" s="247"/>
    </row>
    <row r="1644">
      <c r="A1644" s="247"/>
      <c r="B1644" s="373"/>
      <c r="C1644" s="373"/>
      <c r="D1644" s="373"/>
      <c r="E1644" s="247"/>
      <c r="F1644" s="247"/>
      <c r="G1644" s="247"/>
      <c r="H1644" s="247"/>
      <c r="I1644" s="247"/>
      <c r="J1644" s="247"/>
      <c r="K1644" s="247"/>
      <c r="L1644" s="247"/>
      <c r="M1644" s="247"/>
      <c r="N1644" s="247"/>
      <c r="O1644" s="247"/>
      <c r="P1644" s="247"/>
      <c r="Q1644" s="247"/>
      <c r="R1644" s="247"/>
      <c r="S1644" s="247"/>
      <c r="T1644" s="247"/>
      <c r="U1644" s="247"/>
      <c r="V1644" s="247"/>
      <c r="W1644" s="247"/>
      <c r="X1644" s="247"/>
      <c r="Y1644" s="247"/>
      <c r="Z1644" s="247"/>
      <c r="AA1644" s="247"/>
      <c r="AB1644" s="247"/>
      <c r="AC1644" s="247"/>
    </row>
    <row r="1645">
      <c r="A1645" s="247"/>
      <c r="B1645" s="373"/>
      <c r="C1645" s="373"/>
      <c r="D1645" s="373"/>
      <c r="E1645" s="247"/>
      <c r="F1645" s="247"/>
      <c r="G1645" s="247"/>
      <c r="H1645" s="247"/>
      <c r="I1645" s="247"/>
      <c r="J1645" s="247"/>
      <c r="K1645" s="247"/>
      <c r="L1645" s="247"/>
      <c r="M1645" s="247"/>
      <c r="N1645" s="247"/>
      <c r="O1645" s="247"/>
      <c r="P1645" s="247"/>
      <c r="Q1645" s="247"/>
      <c r="R1645" s="247"/>
      <c r="S1645" s="247"/>
      <c r="T1645" s="247"/>
      <c r="U1645" s="247"/>
      <c r="V1645" s="247"/>
      <c r="W1645" s="247"/>
      <c r="X1645" s="247"/>
      <c r="Y1645" s="247"/>
      <c r="Z1645" s="247"/>
      <c r="AA1645" s="247"/>
      <c r="AB1645" s="247"/>
      <c r="AC1645" s="247"/>
    </row>
    <row r="1646">
      <c r="A1646" s="247"/>
      <c r="B1646" s="373"/>
      <c r="C1646" s="373"/>
      <c r="D1646" s="373"/>
      <c r="E1646" s="247"/>
      <c r="F1646" s="247"/>
      <c r="G1646" s="247"/>
      <c r="H1646" s="247"/>
      <c r="I1646" s="247"/>
      <c r="J1646" s="247"/>
      <c r="K1646" s="247"/>
      <c r="L1646" s="247"/>
      <c r="M1646" s="247"/>
      <c r="N1646" s="247"/>
      <c r="O1646" s="247"/>
      <c r="P1646" s="247"/>
      <c r="Q1646" s="247"/>
      <c r="R1646" s="247"/>
      <c r="S1646" s="247"/>
      <c r="T1646" s="247"/>
      <c r="U1646" s="247"/>
      <c r="V1646" s="247"/>
      <c r="W1646" s="247"/>
      <c r="X1646" s="247"/>
      <c r="Y1646" s="247"/>
      <c r="Z1646" s="247"/>
      <c r="AA1646" s="247"/>
      <c r="AB1646" s="247"/>
      <c r="AC1646" s="247"/>
    </row>
    <row r="1647">
      <c r="A1647" s="247"/>
      <c r="B1647" s="373"/>
      <c r="C1647" s="373"/>
      <c r="D1647" s="373"/>
      <c r="E1647" s="247"/>
      <c r="F1647" s="247"/>
      <c r="G1647" s="247"/>
      <c r="H1647" s="247"/>
      <c r="I1647" s="247"/>
      <c r="J1647" s="247"/>
      <c r="K1647" s="247"/>
      <c r="L1647" s="247"/>
      <c r="M1647" s="247"/>
      <c r="N1647" s="247"/>
      <c r="O1647" s="247"/>
      <c r="P1647" s="247"/>
      <c r="Q1647" s="247"/>
      <c r="R1647" s="247"/>
      <c r="S1647" s="247"/>
      <c r="T1647" s="247"/>
      <c r="U1647" s="247"/>
      <c r="V1647" s="247"/>
      <c r="W1647" s="247"/>
      <c r="X1647" s="247"/>
      <c r="Y1647" s="247"/>
      <c r="Z1647" s="247"/>
      <c r="AA1647" s="247"/>
      <c r="AB1647" s="247"/>
      <c r="AC1647" s="247"/>
    </row>
    <row r="1648">
      <c r="A1648" s="247"/>
      <c r="B1648" s="373"/>
      <c r="C1648" s="373"/>
      <c r="D1648" s="373"/>
      <c r="E1648" s="247"/>
      <c r="F1648" s="247"/>
      <c r="G1648" s="247"/>
      <c r="H1648" s="247"/>
      <c r="I1648" s="247"/>
      <c r="J1648" s="247"/>
      <c r="K1648" s="247"/>
      <c r="L1648" s="247"/>
      <c r="M1648" s="247"/>
      <c r="N1648" s="247"/>
      <c r="O1648" s="247"/>
      <c r="P1648" s="247"/>
      <c r="Q1648" s="247"/>
      <c r="R1648" s="247"/>
      <c r="S1648" s="247"/>
      <c r="T1648" s="247"/>
      <c r="U1648" s="247"/>
      <c r="V1648" s="247"/>
      <c r="W1648" s="247"/>
      <c r="X1648" s="247"/>
      <c r="Y1648" s="247"/>
      <c r="Z1648" s="247"/>
      <c r="AA1648" s="247"/>
      <c r="AB1648" s="247"/>
      <c r="AC1648" s="247"/>
    </row>
    <row r="1649">
      <c r="A1649" s="247"/>
      <c r="B1649" s="373"/>
      <c r="C1649" s="373"/>
      <c r="D1649" s="373"/>
      <c r="E1649" s="247"/>
      <c r="F1649" s="247"/>
      <c r="G1649" s="247"/>
      <c r="H1649" s="247"/>
      <c r="I1649" s="247"/>
      <c r="J1649" s="247"/>
      <c r="K1649" s="247"/>
      <c r="L1649" s="247"/>
      <c r="M1649" s="247"/>
      <c r="N1649" s="247"/>
      <c r="O1649" s="247"/>
      <c r="P1649" s="247"/>
      <c r="Q1649" s="247"/>
      <c r="R1649" s="247"/>
      <c r="S1649" s="247"/>
      <c r="T1649" s="247"/>
      <c r="U1649" s="247"/>
      <c r="V1649" s="247"/>
      <c r="W1649" s="247"/>
      <c r="X1649" s="247"/>
      <c r="Y1649" s="247"/>
      <c r="Z1649" s="247"/>
      <c r="AA1649" s="247"/>
      <c r="AB1649" s="247"/>
      <c r="AC1649" s="247"/>
    </row>
    <row r="1650">
      <c r="A1650" s="247"/>
      <c r="B1650" s="373"/>
      <c r="C1650" s="373"/>
      <c r="D1650" s="373"/>
      <c r="E1650" s="247"/>
      <c r="F1650" s="247"/>
      <c r="G1650" s="247"/>
      <c r="H1650" s="247"/>
      <c r="I1650" s="247"/>
      <c r="J1650" s="247"/>
      <c r="K1650" s="247"/>
      <c r="L1650" s="247"/>
      <c r="M1650" s="247"/>
      <c r="N1650" s="247"/>
      <c r="O1650" s="247"/>
      <c r="P1650" s="247"/>
      <c r="Q1650" s="247"/>
      <c r="R1650" s="247"/>
      <c r="S1650" s="247"/>
      <c r="T1650" s="247"/>
      <c r="U1650" s="247"/>
      <c r="V1650" s="247"/>
      <c r="W1650" s="247"/>
      <c r="X1650" s="247"/>
      <c r="Y1650" s="247"/>
      <c r="Z1650" s="247"/>
      <c r="AA1650" s="247"/>
      <c r="AB1650" s="247"/>
      <c r="AC1650" s="247"/>
    </row>
    <row r="1651">
      <c r="A1651" s="247"/>
      <c r="B1651" s="373"/>
      <c r="C1651" s="373"/>
      <c r="D1651" s="373"/>
      <c r="E1651" s="247"/>
      <c r="F1651" s="247"/>
      <c r="G1651" s="247"/>
      <c r="H1651" s="247"/>
      <c r="I1651" s="247"/>
      <c r="J1651" s="247"/>
      <c r="K1651" s="247"/>
      <c r="L1651" s="247"/>
      <c r="M1651" s="247"/>
      <c r="N1651" s="247"/>
      <c r="O1651" s="247"/>
      <c r="P1651" s="247"/>
      <c r="Q1651" s="247"/>
      <c r="R1651" s="247"/>
      <c r="S1651" s="247"/>
      <c r="T1651" s="247"/>
      <c r="U1651" s="247"/>
      <c r="V1651" s="247"/>
      <c r="W1651" s="247"/>
      <c r="X1651" s="247"/>
      <c r="Y1651" s="247"/>
      <c r="Z1651" s="247"/>
      <c r="AA1651" s="247"/>
      <c r="AB1651" s="247"/>
      <c r="AC1651" s="247"/>
    </row>
    <row r="1652">
      <c r="A1652" s="247"/>
      <c r="B1652" s="373"/>
      <c r="C1652" s="373"/>
      <c r="D1652" s="373"/>
      <c r="E1652" s="247"/>
      <c r="F1652" s="247"/>
      <c r="G1652" s="247"/>
      <c r="H1652" s="247"/>
      <c r="I1652" s="247"/>
      <c r="J1652" s="247"/>
      <c r="K1652" s="247"/>
      <c r="L1652" s="247"/>
      <c r="M1652" s="247"/>
      <c r="N1652" s="247"/>
      <c r="O1652" s="247"/>
      <c r="P1652" s="247"/>
      <c r="Q1652" s="247"/>
      <c r="R1652" s="247"/>
      <c r="S1652" s="247"/>
      <c r="T1652" s="247"/>
      <c r="U1652" s="247"/>
      <c r="V1652" s="247"/>
      <c r="W1652" s="247"/>
      <c r="X1652" s="247"/>
      <c r="Y1652" s="247"/>
      <c r="Z1652" s="247"/>
      <c r="AA1652" s="247"/>
      <c r="AB1652" s="247"/>
      <c r="AC1652" s="247"/>
    </row>
    <row r="1653">
      <c r="A1653" s="247"/>
      <c r="B1653" s="373"/>
      <c r="C1653" s="373"/>
      <c r="D1653" s="373"/>
      <c r="E1653" s="247"/>
      <c r="F1653" s="247"/>
      <c r="G1653" s="247"/>
      <c r="H1653" s="247"/>
      <c r="I1653" s="247"/>
      <c r="J1653" s="247"/>
      <c r="K1653" s="247"/>
      <c r="L1653" s="247"/>
      <c r="M1653" s="247"/>
      <c r="N1653" s="247"/>
      <c r="O1653" s="247"/>
      <c r="P1653" s="247"/>
      <c r="Q1653" s="247"/>
      <c r="R1653" s="247"/>
      <c r="S1653" s="247"/>
      <c r="T1653" s="247"/>
      <c r="U1653" s="247"/>
      <c r="V1653" s="247"/>
      <c r="W1653" s="247"/>
      <c r="X1653" s="247"/>
      <c r="Y1653" s="247"/>
      <c r="Z1653" s="247"/>
      <c r="AA1653" s="247"/>
      <c r="AB1653" s="247"/>
      <c r="AC1653" s="247"/>
    </row>
    <row r="1654">
      <c r="A1654" s="247"/>
      <c r="B1654" s="373"/>
      <c r="C1654" s="373"/>
      <c r="D1654" s="373"/>
      <c r="E1654" s="247"/>
      <c r="F1654" s="247"/>
      <c r="G1654" s="247"/>
      <c r="H1654" s="247"/>
      <c r="I1654" s="247"/>
      <c r="J1654" s="247"/>
      <c r="K1654" s="247"/>
      <c r="L1654" s="247"/>
      <c r="M1654" s="247"/>
      <c r="N1654" s="247"/>
      <c r="O1654" s="247"/>
      <c r="P1654" s="247"/>
      <c r="Q1654" s="247"/>
      <c r="R1654" s="247"/>
      <c r="S1654" s="247"/>
      <c r="T1654" s="247"/>
      <c r="U1654" s="247"/>
      <c r="V1654" s="247"/>
      <c r="W1654" s="247"/>
      <c r="X1654" s="247"/>
      <c r="Y1654" s="247"/>
      <c r="Z1654" s="247"/>
      <c r="AA1654" s="247"/>
      <c r="AB1654" s="247"/>
      <c r="AC1654" s="247"/>
    </row>
    <row r="1655">
      <c r="A1655" s="247"/>
      <c r="B1655" s="373"/>
      <c r="C1655" s="373"/>
      <c r="D1655" s="373"/>
      <c r="E1655" s="247"/>
      <c r="F1655" s="247"/>
      <c r="G1655" s="247"/>
      <c r="H1655" s="247"/>
      <c r="I1655" s="247"/>
      <c r="J1655" s="247"/>
      <c r="K1655" s="247"/>
      <c r="L1655" s="247"/>
      <c r="M1655" s="247"/>
      <c r="N1655" s="247"/>
      <c r="O1655" s="247"/>
      <c r="P1655" s="247"/>
      <c r="Q1655" s="247"/>
      <c r="R1655" s="247"/>
      <c r="S1655" s="247"/>
      <c r="T1655" s="247"/>
      <c r="U1655" s="247"/>
      <c r="V1655" s="247"/>
      <c r="W1655" s="247"/>
      <c r="X1655" s="247"/>
      <c r="Y1655" s="247"/>
      <c r="Z1655" s="247"/>
      <c r="AA1655" s="247"/>
      <c r="AB1655" s="247"/>
      <c r="AC1655" s="247"/>
    </row>
    <row r="1656">
      <c r="A1656" s="247"/>
      <c r="B1656" s="373"/>
      <c r="C1656" s="373"/>
      <c r="D1656" s="373"/>
      <c r="E1656" s="247"/>
      <c r="F1656" s="247"/>
      <c r="G1656" s="247"/>
      <c r="H1656" s="247"/>
      <c r="I1656" s="247"/>
      <c r="J1656" s="247"/>
      <c r="K1656" s="247"/>
      <c r="L1656" s="247"/>
      <c r="M1656" s="247"/>
      <c r="N1656" s="247"/>
      <c r="O1656" s="247"/>
      <c r="P1656" s="247"/>
      <c r="Q1656" s="247"/>
      <c r="R1656" s="247"/>
      <c r="S1656" s="247"/>
      <c r="T1656" s="247"/>
      <c r="U1656" s="247"/>
      <c r="V1656" s="247"/>
      <c r="W1656" s="247"/>
      <c r="X1656" s="247"/>
      <c r="Y1656" s="247"/>
      <c r="Z1656" s="247"/>
      <c r="AA1656" s="247"/>
      <c r="AB1656" s="247"/>
      <c r="AC1656" s="247"/>
    </row>
    <row r="1657">
      <c r="A1657" s="247"/>
      <c r="B1657" s="373"/>
      <c r="C1657" s="373"/>
      <c r="D1657" s="373"/>
      <c r="E1657" s="247"/>
      <c r="F1657" s="247"/>
      <c r="G1657" s="247"/>
      <c r="H1657" s="247"/>
      <c r="I1657" s="247"/>
      <c r="J1657" s="247"/>
      <c r="K1657" s="247"/>
      <c r="L1657" s="247"/>
      <c r="M1657" s="247"/>
      <c r="N1657" s="247"/>
      <c r="O1657" s="247"/>
      <c r="P1657" s="247"/>
      <c r="Q1657" s="247"/>
      <c r="R1657" s="247"/>
      <c r="S1657" s="247"/>
      <c r="T1657" s="247"/>
      <c r="U1657" s="247"/>
      <c r="V1657" s="247"/>
      <c r="W1657" s="247"/>
      <c r="X1657" s="247"/>
      <c r="Y1657" s="247"/>
      <c r="Z1657" s="247"/>
      <c r="AA1657" s="247"/>
      <c r="AB1657" s="247"/>
      <c r="AC1657" s="247"/>
    </row>
    <row r="1658">
      <c r="A1658" s="247"/>
      <c r="B1658" s="373"/>
      <c r="C1658" s="373"/>
      <c r="D1658" s="373"/>
      <c r="E1658" s="247"/>
      <c r="F1658" s="247"/>
      <c r="G1658" s="247"/>
      <c r="H1658" s="247"/>
      <c r="I1658" s="247"/>
      <c r="J1658" s="247"/>
      <c r="K1658" s="247"/>
      <c r="L1658" s="247"/>
      <c r="M1658" s="247"/>
      <c r="N1658" s="247"/>
      <c r="O1658" s="247"/>
      <c r="P1658" s="247"/>
      <c r="Q1658" s="247"/>
      <c r="R1658" s="247"/>
      <c r="S1658" s="247"/>
      <c r="T1658" s="247"/>
      <c r="U1658" s="247"/>
      <c r="V1658" s="247"/>
      <c r="W1658" s="247"/>
      <c r="X1658" s="247"/>
      <c r="Y1658" s="247"/>
      <c r="Z1658" s="247"/>
      <c r="AA1658" s="247"/>
      <c r="AB1658" s="247"/>
      <c r="AC1658" s="247"/>
    </row>
    <row r="1659">
      <c r="A1659" s="247"/>
      <c r="B1659" s="373"/>
      <c r="C1659" s="373"/>
      <c r="D1659" s="373"/>
      <c r="E1659" s="247"/>
      <c r="F1659" s="247"/>
      <c r="G1659" s="247"/>
      <c r="H1659" s="247"/>
      <c r="I1659" s="247"/>
      <c r="J1659" s="247"/>
      <c r="K1659" s="247"/>
      <c r="L1659" s="247"/>
      <c r="M1659" s="247"/>
      <c r="N1659" s="247"/>
      <c r="O1659" s="247"/>
      <c r="P1659" s="247"/>
      <c r="Q1659" s="247"/>
      <c r="R1659" s="247"/>
      <c r="S1659" s="247"/>
      <c r="T1659" s="247"/>
      <c r="U1659" s="247"/>
      <c r="V1659" s="247"/>
      <c r="W1659" s="247"/>
      <c r="X1659" s="247"/>
      <c r="Y1659" s="247"/>
      <c r="Z1659" s="247"/>
      <c r="AA1659" s="247"/>
      <c r="AB1659" s="247"/>
      <c r="AC1659" s="247"/>
    </row>
    <row r="1660">
      <c r="A1660" s="247"/>
      <c r="B1660" s="373"/>
      <c r="C1660" s="373"/>
      <c r="D1660" s="373"/>
      <c r="E1660" s="247"/>
      <c r="F1660" s="247"/>
      <c r="G1660" s="247"/>
      <c r="H1660" s="247"/>
      <c r="I1660" s="247"/>
      <c r="J1660" s="247"/>
      <c r="K1660" s="247"/>
      <c r="L1660" s="247"/>
      <c r="M1660" s="247"/>
      <c r="N1660" s="247"/>
      <c r="O1660" s="247"/>
      <c r="P1660" s="247"/>
      <c r="Q1660" s="247"/>
      <c r="R1660" s="247"/>
      <c r="S1660" s="247"/>
      <c r="T1660" s="247"/>
      <c r="U1660" s="247"/>
      <c r="V1660" s="247"/>
      <c r="W1660" s="247"/>
      <c r="X1660" s="247"/>
      <c r="Y1660" s="247"/>
      <c r="Z1660" s="247"/>
      <c r="AA1660" s="247"/>
      <c r="AB1660" s="247"/>
      <c r="AC1660" s="247"/>
    </row>
    <row r="1661">
      <c r="A1661" s="247"/>
      <c r="B1661" s="373"/>
      <c r="C1661" s="373"/>
      <c r="D1661" s="373"/>
      <c r="E1661" s="247"/>
      <c r="F1661" s="247"/>
      <c r="G1661" s="247"/>
      <c r="H1661" s="247"/>
      <c r="I1661" s="247"/>
      <c r="J1661" s="247"/>
      <c r="K1661" s="247"/>
      <c r="L1661" s="247"/>
      <c r="M1661" s="247"/>
      <c r="N1661" s="247"/>
      <c r="O1661" s="247"/>
      <c r="P1661" s="247"/>
      <c r="Q1661" s="247"/>
      <c r="R1661" s="247"/>
      <c r="S1661" s="247"/>
      <c r="T1661" s="247"/>
      <c r="U1661" s="247"/>
      <c r="V1661" s="247"/>
      <c r="W1661" s="247"/>
      <c r="X1661" s="247"/>
      <c r="Y1661" s="247"/>
      <c r="Z1661" s="247"/>
      <c r="AA1661" s="247"/>
      <c r="AB1661" s="247"/>
      <c r="AC1661" s="247"/>
    </row>
    <row r="1662">
      <c r="A1662" s="247"/>
      <c r="B1662" s="373"/>
      <c r="C1662" s="373"/>
      <c r="D1662" s="373"/>
      <c r="E1662" s="247"/>
      <c r="F1662" s="247"/>
      <c r="G1662" s="247"/>
      <c r="H1662" s="247"/>
      <c r="I1662" s="247"/>
      <c r="J1662" s="247"/>
      <c r="K1662" s="247"/>
      <c r="L1662" s="247"/>
      <c r="M1662" s="247"/>
      <c r="N1662" s="247"/>
      <c r="O1662" s="247"/>
      <c r="P1662" s="247"/>
      <c r="Q1662" s="247"/>
      <c r="R1662" s="247"/>
      <c r="S1662" s="247"/>
      <c r="T1662" s="247"/>
      <c r="U1662" s="247"/>
      <c r="V1662" s="247"/>
      <c r="W1662" s="247"/>
      <c r="X1662" s="247"/>
      <c r="Y1662" s="247"/>
      <c r="Z1662" s="247"/>
      <c r="AA1662" s="247"/>
      <c r="AB1662" s="247"/>
      <c r="AC1662" s="247"/>
    </row>
    <row r="1663">
      <c r="A1663" s="247"/>
      <c r="B1663" s="373"/>
      <c r="C1663" s="373"/>
      <c r="D1663" s="373"/>
      <c r="E1663" s="247"/>
      <c r="F1663" s="247"/>
      <c r="G1663" s="247"/>
      <c r="H1663" s="247"/>
      <c r="I1663" s="247"/>
      <c r="J1663" s="247"/>
      <c r="K1663" s="247"/>
      <c r="L1663" s="247"/>
      <c r="M1663" s="247"/>
      <c r="N1663" s="247"/>
      <c r="O1663" s="247"/>
      <c r="P1663" s="247"/>
      <c r="Q1663" s="247"/>
      <c r="R1663" s="247"/>
      <c r="S1663" s="247"/>
      <c r="T1663" s="247"/>
      <c r="U1663" s="247"/>
      <c r="V1663" s="247"/>
      <c r="W1663" s="247"/>
      <c r="X1663" s="247"/>
      <c r="Y1663" s="247"/>
      <c r="Z1663" s="247"/>
      <c r="AA1663" s="247"/>
      <c r="AB1663" s="247"/>
      <c r="AC1663" s="247"/>
    </row>
    <row r="1664">
      <c r="A1664" s="247"/>
      <c r="B1664" s="373"/>
      <c r="C1664" s="373"/>
      <c r="D1664" s="373"/>
      <c r="E1664" s="247"/>
      <c r="F1664" s="247"/>
      <c r="G1664" s="247"/>
      <c r="H1664" s="247"/>
      <c r="I1664" s="247"/>
      <c r="J1664" s="247"/>
      <c r="K1664" s="247"/>
      <c r="L1664" s="247"/>
      <c r="M1664" s="247"/>
      <c r="N1664" s="247"/>
      <c r="O1664" s="247"/>
      <c r="P1664" s="247"/>
      <c r="Q1664" s="247"/>
      <c r="R1664" s="247"/>
      <c r="S1664" s="247"/>
      <c r="T1664" s="247"/>
      <c r="U1664" s="247"/>
      <c r="V1664" s="247"/>
      <c r="W1664" s="247"/>
      <c r="X1664" s="247"/>
      <c r="Y1664" s="247"/>
      <c r="Z1664" s="247"/>
      <c r="AA1664" s="247"/>
      <c r="AB1664" s="247"/>
      <c r="AC1664" s="247"/>
    </row>
    <row r="1665">
      <c r="A1665" s="247"/>
      <c r="B1665" s="373"/>
      <c r="C1665" s="373"/>
      <c r="D1665" s="373"/>
      <c r="E1665" s="247"/>
      <c r="F1665" s="247"/>
      <c r="G1665" s="247"/>
      <c r="H1665" s="247"/>
      <c r="I1665" s="247"/>
      <c r="J1665" s="247"/>
      <c r="K1665" s="247"/>
      <c r="L1665" s="247"/>
      <c r="M1665" s="247"/>
      <c r="N1665" s="247"/>
      <c r="O1665" s="247"/>
      <c r="P1665" s="247"/>
      <c r="Q1665" s="247"/>
      <c r="R1665" s="247"/>
      <c r="S1665" s="247"/>
      <c r="T1665" s="247"/>
      <c r="U1665" s="247"/>
      <c r="V1665" s="247"/>
      <c r="W1665" s="247"/>
      <c r="X1665" s="247"/>
      <c r="Y1665" s="247"/>
      <c r="Z1665" s="247"/>
      <c r="AA1665" s="247"/>
      <c r="AB1665" s="247"/>
      <c r="AC1665" s="247"/>
    </row>
    <row r="1666">
      <c r="A1666" s="247"/>
      <c r="B1666" s="373"/>
      <c r="C1666" s="373"/>
      <c r="D1666" s="373"/>
      <c r="E1666" s="247"/>
      <c r="F1666" s="247"/>
      <c r="G1666" s="247"/>
      <c r="H1666" s="247"/>
      <c r="I1666" s="247"/>
      <c r="J1666" s="247"/>
      <c r="K1666" s="247"/>
      <c r="L1666" s="247"/>
      <c r="M1666" s="247"/>
      <c r="N1666" s="247"/>
      <c r="O1666" s="247"/>
      <c r="P1666" s="247"/>
      <c r="Q1666" s="247"/>
      <c r="R1666" s="247"/>
      <c r="S1666" s="247"/>
      <c r="T1666" s="247"/>
      <c r="U1666" s="247"/>
      <c r="V1666" s="247"/>
      <c r="W1666" s="247"/>
      <c r="X1666" s="247"/>
      <c r="Y1666" s="247"/>
      <c r="Z1666" s="247"/>
      <c r="AA1666" s="247"/>
      <c r="AB1666" s="247"/>
      <c r="AC1666" s="247"/>
    </row>
    <row r="1667">
      <c r="A1667" s="247"/>
      <c r="B1667" s="373"/>
      <c r="C1667" s="373"/>
      <c r="D1667" s="373"/>
      <c r="E1667" s="247"/>
      <c r="F1667" s="247"/>
      <c r="G1667" s="247"/>
      <c r="H1667" s="247"/>
      <c r="I1667" s="247"/>
      <c r="J1667" s="247"/>
      <c r="K1667" s="247"/>
      <c r="L1667" s="247"/>
      <c r="M1667" s="247"/>
      <c r="N1667" s="247"/>
      <c r="O1667" s="247"/>
      <c r="P1667" s="247"/>
      <c r="Q1667" s="247"/>
      <c r="R1667" s="247"/>
      <c r="S1667" s="247"/>
      <c r="T1667" s="247"/>
      <c r="U1667" s="247"/>
      <c r="V1667" s="247"/>
      <c r="W1667" s="247"/>
      <c r="X1667" s="247"/>
      <c r="Y1667" s="247"/>
      <c r="Z1667" s="247"/>
      <c r="AA1667" s="247"/>
      <c r="AB1667" s="247"/>
      <c r="AC1667" s="247"/>
    </row>
    <row r="1668">
      <c r="A1668" s="247"/>
      <c r="B1668" s="373"/>
      <c r="C1668" s="373"/>
      <c r="D1668" s="373"/>
      <c r="E1668" s="247"/>
      <c r="F1668" s="247"/>
      <c r="G1668" s="247"/>
      <c r="H1668" s="247"/>
      <c r="I1668" s="247"/>
      <c r="J1668" s="247"/>
      <c r="K1668" s="247"/>
      <c r="L1668" s="247"/>
      <c r="M1668" s="247"/>
      <c r="N1668" s="247"/>
      <c r="O1668" s="247"/>
      <c r="P1668" s="247"/>
      <c r="Q1668" s="247"/>
      <c r="R1668" s="247"/>
      <c r="S1668" s="247"/>
      <c r="T1668" s="247"/>
      <c r="U1668" s="247"/>
      <c r="V1668" s="247"/>
      <c r="W1668" s="247"/>
      <c r="X1668" s="247"/>
      <c r="Y1668" s="247"/>
      <c r="Z1668" s="247"/>
      <c r="AA1668" s="247"/>
      <c r="AB1668" s="247"/>
      <c r="AC1668" s="247"/>
    </row>
    <row r="1669">
      <c r="A1669" s="247"/>
      <c r="B1669" s="373"/>
      <c r="C1669" s="373"/>
      <c r="D1669" s="373"/>
      <c r="E1669" s="247"/>
      <c r="F1669" s="247"/>
      <c r="G1669" s="247"/>
      <c r="H1669" s="247"/>
      <c r="I1669" s="247"/>
      <c r="J1669" s="247"/>
      <c r="K1669" s="247"/>
      <c r="L1669" s="247"/>
      <c r="M1669" s="247"/>
      <c r="N1669" s="247"/>
      <c r="O1669" s="247"/>
      <c r="P1669" s="247"/>
      <c r="Q1669" s="247"/>
      <c r="R1669" s="247"/>
      <c r="S1669" s="247"/>
      <c r="T1669" s="247"/>
      <c r="U1669" s="247"/>
      <c r="V1669" s="247"/>
      <c r="W1669" s="247"/>
      <c r="X1669" s="247"/>
      <c r="Y1669" s="247"/>
      <c r="Z1669" s="247"/>
      <c r="AA1669" s="247"/>
      <c r="AB1669" s="247"/>
      <c r="AC1669" s="247"/>
    </row>
    <row r="1670">
      <c r="A1670" s="247"/>
      <c r="B1670" s="373"/>
      <c r="C1670" s="373"/>
      <c r="D1670" s="373"/>
      <c r="E1670" s="247"/>
      <c r="F1670" s="247"/>
      <c r="G1670" s="247"/>
      <c r="H1670" s="247"/>
      <c r="I1670" s="247"/>
      <c r="J1670" s="247"/>
      <c r="K1670" s="247"/>
      <c r="L1670" s="247"/>
      <c r="M1670" s="247"/>
      <c r="N1670" s="247"/>
      <c r="O1670" s="247"/>
      <c r="P1670" s="247"/>
      <c r="Q1670" s="247"/>
      <c r="R1670" s="247"/>
      <c r="S1670" s="247"/>
      <c r="T1670" s="247"/>
      <c r="U1670" s="247"/>
      <c r="V1670" s="247"/>
      <c r="W1670" s="247"/>
      <c r="X1670" s="247"/>
      <c r="Y1670" s="247"/>
      <c r="Z1670" s="247"/>
      <c r="AA1670" s="247"/>
      <c r="AB1670" s="247"/>
      <c r="AC1670" s="247"/>
    </row>
    <row r="1671">
      <c r="A1671" s="247"/>
      <c r="B1671" s="373"/>
      <c r="C1671" s="373"/>
      <c r="D1671" s="373"/>
      <c r="E1671" s="247"/>
      <c r="F1671" s="247"/>
      <c r="G1671" s="247"/>
      <c r="H1671" s="247"/>
      <c r="I1671" s="247"/>
      <c r="J1671" s="247"/>
      <c r="K1671" s="247"/>
      <c r="L1671" s="247"/>
      <c r="M1671" s="247"/>
      <c r="N1671" s="247"/>
      <c r="O1671" s="247"/>
      <c r="P1671" s="247"/>
      <c r="Q1671" s="247"/>
      <c r="R1671" s="247"/>
      <c r="S1671" s="247"/>
      <c r="T1671" s="247"/>
      <c r="U1671" s="247"/>
      <c r="V1671" s="247"/>
      <c r="W1671" s="247"/>
      <c r="X1671" s="247"/>
      <c r="Y1671" s="247"/>
      <c r="Z1671" s="247"/>
      <c r="AA1671" s="247"/>
      <c r="AB1671" s="247"/>
      <c r="AC1671" s="247"/>
    </row>
    <row r="1672">
      <c r="A1672" s="247"/>
      <c r="B1672" s="373"/>
      <c r="C1672" s="373"/>
      <c r="D1672" s="373"/>
      <c r="E1672" s="247"/>
      <c r="F1672" s="247"/>
      <c r="G1672" s="247"/>
      <c r="H1672" s="247"/>
      <c r="I1672" s="247"/>
      <c r="J1672" s="247"/>
      <c r="K1672" s="247"/>
      <c r="L1672" s="247"/>
      <c r="M1672" s="247"/>
      <c r="N1672" s="247"/>
      <c r="O1672" s="247"/>
      <c r="P1672" s="247"/>
      <c r="Q1672" s="247"/>
      <c r="R1672" s="247"/>
      <c r="S1672" s="247"/>
      <c r="T1672" s="247"/>
      <c r="U1672" s="247"/>
      <c r="V1672" s="247"/>
      <c r="W1672" s="247"/>
      <c r="X1672" s="247"/>
      <c r="Y1672" s="247"/>
      <c r="Z1672" s="247"/>
      <c r="AA1672" s="247"/>
      <c r="AB1672" s="247"/>
      <c r="AC1672" s="247"/>
    </row>
    <row r="1673">
      <c r="A1673" s="247"/>
      <c r="B1673" s="373"/>
      <c r="C1673" s="373"/>
      <c r="D1673" s="373"/>
      <c r="E1673" s="247"/>
      <c r="F1673" s="247"/>
      <c r="G1673" s="247"/>
      <c r="H1673" s="247"/>
      <c r="I1673" s="247"/>
      <c r="J1673" s="247"/>
      <c r="K1673" s="247"/>
      <c r="L1673" s="247"/>
      <c r="M1673" s="247"/>
      <c r="N1673" s="247"/>
      <c r="O1673" s="247"/>
      <c r="P1673" s="247"/>
      <c r="Q1673" s="247"/>
      <c r="R1673" s="247"/>
      <c r="S1673" s="247"/>
      <c r="T1673" s="247"/>
      <c r="U1673" s="247"/>
      <c r="V1673" s="247"/>
      <c r="W1673" s="247"/>
      <c r="X1673" s="247"/>
      <c r="Y1673" s="247"/>
      <c r="Z1673" s="247"/>
      <c r="AA1673" s="247"/>
      <c r="AB1673" s="247"/>
      <c r="AC1673" s="247"/>
    </row>
    <row r="1674">
      <c r="A1674" s="247"/>
      <c r="B1674" s="373"/>
      <c r="C1674" s="373"/>
      <c r="D1674" s="373"/>
      <c r="E1674" s="247"/>
      <c r="F1674" s="247"/>
      <c r="G1674" s="247"/>
      <c r="H1674" s="247"/>
      <c r="I1674" s="247"/>
      <c r="J1674" s="247"/>
      <c r="K1674" s="247"/>
      <c r="L1674" s="247"/>
      <c r="M1674" s="247"/>
      <c r="N1674" s="247"/>
      <c r="O1674" s="247"/>
      <c r="P1674" s="247"/>
      <c r="Q1674" s="247"/>
      <c r="R1674" s="247"/>
      <c r="S1674" s="247"/>
      <c r="T1674" s="247"/>
      <c r="U1674" s="247"/>
      <c r="V1674" s="247"/>
      <c r="W1674" s="247"/>
      <c r="X1674" s="247"/>
      <c r="Y1674" s="247"/>
      <c r="Z1674" s="247"/>
      <c r="AA1674" s="247"/>
      <c r="AB1674" s="247"/>
      <c r="AC1674" s="247"/>
    </row>
    <row r="1675">
      <c r="A1675" s="247"/>
      <c r="B1675" s="373"/>
      <c r="C1675" s="373"/>
      <c r="D1675" s="373"/>
      <c r="E1675" s="247"/>
      <c r="F1675" s="247"/>
      <c r="G1675" s="247"/>
      <c r="H1675" s="247"/>
      <c r="I1675" s="247"/>
      <c r="J1675" s="247"/>
      <c r="K1675" s="247"/>
      <c r="L1675" s="247"/>
      <c r="M1675" s="247"/>
      <c r="N1675" s="247"/>
      <c r="O1675" s="247"/>
      <c r="P1675" s="247"/>
      <c r="Q1675" s="247"/>
      <c r="R1675" s="247"/>
      <c r="S1675" s="247"/>
      <c r="T1675" s="247"/>
      <c r="U1675" s="247"/>
      <c r="V1675" s="247"/>
      <c r="W1675" s="247"/>
      <c r="X1675" s="247"/>
      <c r="Y1675" s="247"/>
      <c r="Z1675" s="247"/>
      <c r="AA1675" s="247"/>
      <c r="AB1675" s="247"/>
      <c r="AC1675" s="247"/>
    </row>
    <row r="1676">
      <c r="A1676" s="247"/>
      <c r="B1676" s="373"/>
      <c r="C1676" s="373"/>
      <c r="D1676" s="373"/>
      <c r="E1676" s="247"/>
      <c r="F1676" s="247"/>
      <c r="G1676" s="247"/>
      <c r="H1676" s="247"/>
      <c r="I1676" s="247"/>
      <c r="J1676" s="247"/>
      <c r="K1676" s="247"/>
      <c r="L1676" s="247"/>
      <c r="M1676" s="247"/>
      <c r="N1676" s="247"/>
      <c r="O1676" s="247"/>
      <c r="P1676" s="247"/>
      <c r="Q1676" s="247"/>
      <c r="R1676" s="247"/>
      <c r="S1676" s="247"/>
      <c r="T1676" s="247"/>
      <c r="U1676" s="247"/>
      <c r="V1676" s="247"/>
      <c r="W1676" s="247"/>
      <c r="X1676" s="247"/>
      <c r="Y1676" s="247"/>
      <c r="Z1676" s="247"/>
      <c r="AA1676" s="247"/>
      <c r="AB1676" s="247"/>
      <c r="AC1676" s="247"/>
    </row>
    <row r="1677">
      <c r="A1677" s="247"/>
      <c r="B1677" s="373"/>
      <c r="C1677" s="373"/>
      <c r="D1677" s="373"/>
      <c r="E1677" s="247"/>
      <c r="F1677" s="247"/>
      <c r="G1677" s="247"/>
      <c r="H1677" s="247"/>
      <c r="I1677" s="247"/>
      <c r="J1677" s="247"/>
      <c r="K1677" s="247"/>
      <c r="L1677" s="247"/>
      <c r="M1677" s="247"/>
      <c r="N1677" s="247"/>
      <c r="O1677" s="247"/>
      <c r="P1677" s="247"/>
      <c r="Q1677" s="247"/>
      <c r="R1677" s="247"/>
      <c r="S1677" s="247"/>
      <c r="T1677" s="247"/>
      <c r="U1677" s="247"/>
      <c r="V1677" s="247"/>
      <c r="W1677" s="247"/>
      <c r="X1677" s="247"/>
      <c r="Y1677" s="247"/>
      <c r="Z1677" s="247"/>
      <c r="AA1677" s="247"/>
      <c r="AB1677" s="247"/>
      <c r="AC1677" s="247"/>
    </row>
    <row r="1678">
      <c r="A1678" s="247"/>
      <c r="B1678" s="373"/>
      <c r="C1678" s="373"/>
      <c r="D1678" s="373"/>
      <c r="E1678" s="247"/>
      <c r="F1678" s="247"/>
      <c r="G1678" s="247"/>
      <c r="H1678" s="247"/>
      <c r="I1678" s="247"/>
      <c r="J1678" s="247"/>
      <c r="K1678" s="247"/>
      <c r="L1678" s="247"/>
      <c r="M1678" s="247"/>
      <c r="N1678" s="247"/>
      <c r="O1678" s="247"/>
      <c r="P1678" s="247"/>
      <c r="Q1678" s="247"/>
      <c r="R1678" s="247"/>
      <c r="S1678" s="247"/>
      <c r="T1678" s="247"/>
      <c r="U1678" s="247"/>
      <c r="V1678" s="247"/>
      <c r="W1678" s="247"/>
      <c r="X1678" s="247"/>
      <c r="Y1678" s="247"/>
      <c r="Z1678" s="247"/>
      <c r="AA1678" s="247"/>
      <c r="AB1678" s="247"/>
      <c r="AC1678" s="247"/>
    </row>
    <row r="1679">
      <c r="A1679" s="247"/>
      <c r="B1679" s="373"/>
      <c r="C1679" s="373"/>
      <c r="D1679" s="373"/>
      <c r="E1679" s="247"/>
      <c r="F1679" s="247"/>
      <c r="G1679" s="247"/>
      <c r="H1679" s="247"/>
      <c r="I1679" s="247"/>
      <c r="J1679" s="247"/>
      <c r="K1679" s="247"/>
      <c r="L1679" s="247"/>
      <c r="M1679" s="247"/>
      <c r="N1679" s="247"/>
      <c r="O1679" s="247"/>
      <c r="P1679" s="247"/>
      <c r="Q1679" s="247"/>
      <c r="R1679" s="247"/>
      <c r="S1679" s="247"/>
      <c r="T1679" s="247"/>
      <c r="U1679" s="247"/>
      <c r="V1679" s="247"/>
      <c r="W1679" s="247"/>
      <c r="X1679" s="247"/>
      <c r="Y1679" s="247"/>
      <c r="Z1679" s="247"/>
      <c r="AA1679" s="247"/>
      <c r="AB1679" s="247"/>
      <c r="AC1679" s="247"/>
    </row>
    <row r="1680">
      <c r="A1680" s="247"/>
      <c r="B1680" s="373"/>
      <c r="C1680" s="373"/>
      <c r="D1680" s="373"/>
      <c r="E1680" s="247"/>
      <c r="F1680" s="247"/>
      <c r="G1680" s="247"/>
      <c r="H1680" s="247"/>
      <c r="I1680" s="247"/>
      <c r="J1680" s="247"/>
      <c r="K1680" s="247"/>
      <c r="L1680" s="247"/>
      <c r="M1680" s="247"/>
      <c r="N1680" s="247"/>
      <c r="O1680" s="247"/>
      <c r="P1680" s="247"/>
      <c r="Q1680" s="247"/>
      <c r="R1680" s="247"/>
      <c r="S1680" s="247"/>
      <c r="T1680" s="247"/>
      <c r="U1680" s="247"/>
      <c r="V1680" s="247"/>
      <c r="W1680" s="247"/>
      <c r="X1680" s="247"/>
      <c r="Y1680" s="247"/>
      <c r="Z1680" s="247"/>
      <c r="AA1680" s="247"/>
      <c r="AB1680" s="247"/>
      <c r="AC1680" s="247"/>
    </row>
    <row r="1681">
      <c r="A1681" s="247"/>
      <c r="B1681" s="373"/>
      <c r="C1681" s="373"/>
      <c r="D1681" s="373"/>
      <c r="E1681" s="247"/>
      <c r="F1681" s="247"/>
      <c r="G1681" s="247"/>
      <c r="H1681" s="247"/>
      <c r="I1681" s="247"/>
      <c r="J1681" s="247"/>
      <c r="K1681" s="247"/>
      <c r="L1681" s="247"/>
      <c r="M1681" s="247"/>
      <c r="N1681" s="247"/>
      <c r="O1681" s="247"/>
      <c r="P1681" s="247"/>
      <c r="Q1681" s="247"/>
      <c r="R1681" s="247"/>
      <c r="S1681" s="247"/>
      <c r="T1681" s="247"/>
      <c r="U1681" s="247"/>
      <c r="V1681" s="247"/>
      <c r="W1681" s="247"/>
      <c r="X1681" s="247"/>
      <c r="Y1681" s="247"/>
      <c r="Z1681" s="247"/>
      <c r="AA1681" s="247"/>
      <c r="AB1681" s="247"/>
      <c r="AC1681" s="247"/>
    </row>
    <row r="1682">
      <c r="A1682" s="247"/>
      <c r="B1682" s="373"/>
      <c r="C1682" s="373"/>
      <c r="D1682" s="373"/>
      <c r="E1682" s="247"/>
      <c r="F1682" s="247"/>
      <c r="G1682" s="247"/>
      <c r="H1682" s="247"/>
      <c r="I1682" s="247"/>
      <c r="J1682" s="247"/>
      <c r="K1682" s="247"/>
      <c r="L1682" s="247"/>
      <c r="M1682" s="247"/>
      <c r="N1682" s="247"/>
      <c r="O1682" s="247"/>
      <c r="P1682" s="247"/>
      <c r="Q1682" s="247"/>
      <c r="R1682" s="247"/>
      <c r="S1682" s="247"/>
      <c r="T1682" s="247"/>
      <c r="U1682" s="247"/>
      <c r="V1682" s="247"/>
      <c r="W1682" s="247"/>
      <c r="X1682" s="247"/>
      <c r="Y1682" s="247"/>
      <c r="Z1682" s="247"/>
      <c r="AA1682" s="247"/>
      <c r="AB1682" s="247"/>
      <c r="AC1682" s="247"/>
    </row>
    <row r="1683">
      <c r="A1683" s="247"/>
      <c r="B1683" s="373"/>
      <c r="C1683" s="373"/>
      <c r="D1683" s="373"/>
      <c r="E1683" s="247"/>
      <c r="F1683" s="247"/>
      <c r="G1683" s="247"/>
      <c r="H1683" s="247"/>
      <c r="I1683" s="247"/>
      <c r="J1683" s="247"/>
      <c r="K1683" s="247"/>
      <c r="L1683" s="247"/>
      <c r="M1683" s="247"/>
      <c r="N1683" s="247"/>
      <c r="O1683" s="247"/>
      <c r="P1683" s="247"/>
      <c r="Q1683" s="247"/>
      <c r="R1683" s="247"/>
      <c r="S1683" s="247"/>
      <c r="T1683" s="247"/>
      <c r="U1683" s="247"/>
      <c r="V1683" s="247"/>
      <c r="W1683" s="247"/>
      <c r="X1683" s="247"/>
      <c r="Y1683" s="247"/>
      <c r="Z1683" s="247"/>
      <c r="AA1683" s="247"/>
      <c r="AB1683" s="247"/>
      <c r="AC1683" s="247"/>
    </row>
    <row r="1684">
      <c r="A1684" s="247"/>
      <c r="B1684" s="373"/>
      <c r="C1684" s="373"/>
      <c r="D1684" s="373"/>
      <c r="E1684" s="247"/>
      <c r="F1684" s="247"/>
      <c r="G1684" s="247"/>
      <c r="H1684" s="247"/>
      <c r="I1684" s="247"/>
      <c r="J1684" s="247"/>
      <c r="K1684" s="247"/>
      <c r="L1684" s="247"/>
      <c r="M1684" s="247"/>
      <c r="N1684" s="247"/>
      <c r="O1684" s="247"/>
      <c r="P1684" s="247"/>
      <c r="Q1684" s="247"/>
      <c r="R1684" s="247"/>
      <c r="S1684" s="247"/>
      <c r="T1684" s="247"/>
      <c r="U1684" s="247"/>
      <c r="V1684" s="247"/>
      <c r="W1684" s="247"/>
      <c r="X1684" s="247"/>
      <c r="Y1684" s="247"/>
      <c r="Z1684" s="247"/>
      <c r="AA1684" s="247"/>
      <c r="AB1684" s="247"/>
      <c r="AC1684" s="247"/>
    </row>
    <row r="1685">
      <c r="A1685" s="247"/>
      <c r="B1685" s="373"/>
      <c r="C1685" s="373"/>
      <c r="D1685" s="373"/>
      <c r="E1685" s="247"/>
      <c r="F1685" s="247"/>
      <c r="G1685" s="247"/>
      <c r="H1685" s="247"/>
      <c r="I1685" s="247"/>
      <c r="J1685" s="247"/>
      <c r="K1685" s="247"/>
      <c r="L1685" s="247"/>
      <c r="M1685" s="247"/>
      <c r="N1685" s="247"/>
      <c r="O1685" s="247"/>
      <c r="P1685" s="247"/>
      <c r="Q1685" s="247"/>
      <c r="R1685" s="247"/>
      <c r="S1685" s="247"/>
      <c r="T1685" s="247"/>
      <c r="U1685" s="247"/>
      <c r="V1685" s="247"/>
      <c r="W1685" s="247"/>
      <c r="X1685" s="247"/>
      <c r="Y1685" s="247"/>
      <c r="Z1685" s="247"/>
      <c r="AA1685" s="247"/>
      <c r="AB1685" s="247"/>
      <c r="AC1685" s="247"/>
    </row>
    <row r="1686">
      <c r="A1686" s="247"/>
      <c r="B1686" s="373"/>
      <c r="C1686" s="373"/>
      <c r="D1686" s="373"/>
      <c r="E1686" s="247"/>
      <c r="F1686" s="247"/>
      <c r="G1686" s="247"/>
      <c r="H1686" s="247"/>
      <c r="I1686" s="247"/>
      <c r="J1686" s="247"/>
      <c r="K1686" s="247"/>
      <c r="L1686" s="247"/>
      <c r="M1686" s="247"/>
      <c r="N1686" s="247"/>
      <c r="O1686" s="247"/>
      <c r="P1686" s="247"/>
      <c r="Q1686" s="247"/>
      <c r="R1686" s="247"/>
      <c r="S1686" s="247"/>
      <c r="T1686" s="247"/>
      <c r="U1686" s="247"/>
      <c r="V1686" s="247"/>
      <c r="W1686" s="247"/>
      <c r="X1686" s="247"/>
      <c r="Y1686" s="247"/>
      <c r="Z1686" s="247"/>
      <c r="AA1686" s="247"/>
      <c r="AB1686" s="247"/>
      <c r="AC1686" s="247"/>
    </row>
    <row r="1687">
      <c r="A1687" s="247"/>
      <c r="B1687" s="373"/>
      <c r="C1687" s="373"/>
      <c r="D1687" s="373"/>
      <c r="E1687" s="247"/>
      <c r="F1687" s="247"/>
      <c r="G1687" s="247"/>
      <c r="H1687" s="247"/>
      <c r="I1687" s="247"/>
      <c r="J1687" s="247"/>
      <c r="K1687" s="247"/>
      <c r="L1687" s="247"/>
      <c r="M1687" s="247"/>
      <c r="N1687" s="247"/>
      <c r="O1687" s="247"/>
      <c r="P1687" s="247"/>
      <c r="Q1687" s="247"/>
      <c r="R1687" s="247"/>
      <c r="S1687" s="247"/>
      <c r="T1687" s="247"/>
      <c r="U1687" s="247"/>
      <c r="V1687" s="247"/>
      <c r="W1687" s="247"/>
      <c r="X1687" s="247"/>
      <c r="Y1687" s="247"/>
      <c r="Z1687" s="247"/>
      <c r="AA1687" s="247"/>
      <c r="AB1687" s="247"/>
      <c r="AC1687" s="247"/>
    </row>
    <row r="1688">
      <c r="A1688" s="247"/>
      <c r="B1688" s="373"/>
      <c r="C1688" s="373"/>
      <c r="D1688" s="373"/>
      <c r="E1688" s="247"/>
      <c r="F1688" s="247"/>
      <c r="G1688" s="247"/>
      <c r="H1688" s="247"/>
      <c r="I1688" s="247"/>
      <c r="J1688" s="247"/>
      <c r="K1688" s="247"/>
      <c r="L1688" s="247"/>
      <c r="M1688" s="247"/>
      <c r="N1688" s="247"/>
      <c r="O1688" s="247"/>
      <c r="P1688" s="247"/>
      <c r="Q1688" s="247"/>
      <c r="R1688" s="247"/>
      <c r="S1688" s="247"/>
      <c r="T1688" s="247"/>
      <c r="U1688" s="247"/>
      <c r="V1688" s="247"/>
      <c r="W1688" s="247"/>
      <c r="X1688" s="247"/>
      <c r="Y1688" s="247"/>
      <c r="Z1688" s="247"/>
      <c r="AA1688" s="247"/>
      <c r="AB1688" s="247"/>
      <c r="AC1688" s="247"/>
    </row>
    <row r="1689">
      <c r="A1689" s="247"/>
      <c r="B1689" s="373"/>
      <c r="C1689" s="373"/>
      <c r="D1689" s="373"/>
      <c r="E1689" s="247"/>
      <c r="F1689" s="247"/>
      <c r="G1689" s="247"/>
      <c r="H1689" s="247"/>
      <c r="I1689" s="247"/>
      <c r="J1689" s="247"/>
      <c r="K1689" s="247"/>
      <c r="L1689" s="247"/>
      <c r="M1689" s="247"/>
      <c r="N1689" s="247"/>
      <c r="O1689" s="247"/>
      <c r="P1689" s="247"/>
      <c r="Q1689" s="247"/>
      <c r="R1689" s="247"/>
      <c r="S1689" s="247"/>
      <c r="T1689" s="247"/>
      <c r="U1689" s="247"/>
      <c r="V1689" s="247"/>
      <c r="W1689" s="247"/>
      <c r="X1689" s="247"/>
      <c r="Y1689" s="247"/>
      <c r="Z1689" s="247"/>
      <c r="AA1689" s="247"/>
      <c r="AB1689" s="247"/>
      <c r="AC1689" s="247"/>
    </row>
    <row r="1690">
      <c r="A1690" s="247"/>
      <c r="B1690" s="373"/>
      <c r="C1690" s="373"/>
      <c r="D1690" s="373"/>
      <c r="E1690" s="247"/>
      <c r="F1690" s="247"/>
      <c r="G1690" s="247"/>
      <c r="H1690" s="247"/>
      <c r="I1690" s="247"/>
      <c r="J1690" s="247"/>
      <c r="K1690" s="247"/>
      <c r="L1690" s="247"/>
      <c r="M1690" s="247"/>
      <c r="N1690" s="247"/>
      <c r="O1690" s="247"/>
      <c r="P1690" s="247"/>
      <c r="Q1690" s="247"/>
      <c r="R1690" s="247"/>
      <c r="S1690" s="247"/>
      <c r="T1690" s="247"/>
      <c r="U1690" s="247"/>
      <c r="V1690" s="247"/>
      <c r="W1690" s="247"/>
      <c r="X1690" s="247"/>
      <c r="Y1690" s="247"/>
      <c r="Z1690" s="247"/>
      <c r="AA1690" s="247"/>
      <c r="AB1690" s="247"/>
      <c r="AC1690" s="247"/>
    </row>
    <row r="1691">
      <c r="A1691" s="247"/>
      <c r="B1691" s="373"/>
      <c r="C1691" s="373"/>
      <c r="D1691" s="373"/>
      <c r="E1691" s="247"/>
      <c r="F1691" s="247"/>
      <c r="G1691" s="247"/>
      <c r="H1691" s="247"/>
      <c r="I1691" s="247"/>
      <c r="J1691" s="247"/>
      <c r="K1691" s="247"/>
      <c r="L1691" s="247"/>
      <c r="M1691" s="247"/>
      <c r="N1691" s="247"/>
      <c r="O1691" s="247"/>
      <c r="P1691" s="247"/>
      <c r="Q1691" s="247"/>
      <c r="R1691" s="247"/>
      <c r="S1691" s="247"/>
      <c r="T1691" s="247"/>
      <c r="U1691" s="247"/>
      <c r="V1691" s="247"/>
      <c r="W1691" s="247"/>
      <c r="X1691" s="247"/>
      <c r="Y1691" s="247"/>
      <c r="Z1691" s="247"/>
      <c r="AA1691" s="247"/>
      <c r="AB1691" s="247"/>
      <c r="AC1691" s="247"/>
    </row>
    <row r="1692">
      <c r="A1692" s="247"/>
      <c r="B1692" s="373"/>
      <c r="C1692" s="373"/>
      <c r="D1692" s="373"/>
      <c r="E1692" s="247"/>
      <c r="F1692" s="247"/>
      <c r="G1692" s="247"/>
      <c r="H1692" s="247"/>
      <c r="I1692" s="247"/>
      <c r="J1692" s="247"/>
      <c r="K1692" s="247"/>
      <c r="L1692" s="247"/>
      <c r="M1692" s="247"/>
      <c r="N1692" s="247"/>
      <c r="O1692" s="247"/>
      <c r="P1692" s="247"/>
      <c r="Q1692" s="247"/>
      <c r="R1692" s="247"/>
      <c r="S1692" s="247"/>
      <c r="T1692" s="247"/>
      <c r="U1692" s="247"/>
      <c r="V1692" s="247"/>
      <c r="W1692" s="247"/>
      <c r="X1692" s="247"/>
      <c r="Y1692" s="247"/>
      <c r="Z1692" s="247"/>
      <c r="AA1692" s="247"/>
      <c r="AB1692" s="247"/>
      <c r="AC1692" s="247"/>
    </row>
    <row r="1693">
      <c r="A1693" s="247"/>
      <c r="B1693" s="373"/>
      <c r="C1693" s="373"/>
      <c r="D1693" s="373"/>
      <c r="E1693" s="247"/>
      <c r="F1693" s="247"/>
      <c r="G1693" s="247"/>
      <c r="H1693" s="247"/>
      <c r="I1693" s="247"/>
      <c r="J1693" s="247"/>
      <c r="K1693" s="247"/>
      <c r="L1693" s="247"/>
      <c r="M1693" s="247"/>
      <c r="N1693" s="247"/>
      <c r="O1693" s="247"/>
      <c r="P1693" s="247"/>
      <c r="Q1693" s="247"/>
      <c r="R1693" s="247"/>
      <c r="S1693" s="247"/>
      <c r="T1693" s="247"/>
      <c r="U1693" s="247"/>
      <c r="V1693" s="247"/>
      <c r="W1693" s="247"/>
      <c r="X1693" s="247"/>
      <c r="Y1693" s="247"/>
      <c r="Z1693" s="247"/>
      <c r="AA1693" s="247"/>
      <c r="AB1693" s="247"/>
      <c r="AC1693" s="247"/>
    </row>
    <row r="1694">
      <c r="A1694" s="247"/>
      <c r="B1694" s="373"/>
      <c r="C1694" s="373"/>
      <c r="D1694" s="373"/>
      <c r="E1694" s="247"/>
      <c r="F1694" s="247"/>
      <c r="G1694" s="247"/>
      <c r="H1694" s="247"/>
      <c r="I1694" s="247"/>
      <c r="J1694" s="247"/>
      <c r="K1694" s="247"/>
      <c r="L1694" s="247"/>
      <c r="M1694" s="247"/>
      <c r="N1694" s="247"/>
      <c r="O1694" s="247"/>
      <c r="P1694" s="247"/>
      <c r="Q1694" s="247"/>
      <c r="R1694" s="247"/>
      <c r="S1694" s="247"/>
      <c r="T1694" s="247"/>
      <c r="U1694" s="247"/>
      <c r="V1694" s="247"/>
      <c r="W1694" s="247"/>
      <c r="X1694" s="247"/>
      <c r="Y1694" s="247"/>
      <c r="Z1694" s="247"/>
      <c r="AA1694" s="247"/>
      <c r="AB1694" s="247"/>
      <c r="AC1694" s="247"/>
    </row>
    <row r="1695">
      <c r="A1695" s="247"/>
      <c r="B1695" s="373"/>
      <c r="C1695" s="373"/>
      <c r="D1695" s="373"/>
      <c r="E1695" s="247"/>
      <c r="F1695" s="247"/>
      <c r="G1695" s="247"/>
      <c r="H1695" s="247"/>
      <c r="I1695" s="247"/>
      <c r="J1695" s="247"/>
      <c r="K1695" s="247"/>
      <c r="L1695" s="247"/>
      <c r="M1695" s="247"/>
      <c r="N1695" s="247"/>
      <c r="O1695" s="247"/>
      <c r="P1695" s="247"/>
      <c r="Q1695" s="247"/>
      <c r="R1695" s="247"/>
      <c r="S1695" s="247"/>
      <c r="T1695" s="247"/>
      <c r="U1695" s="247"/>
      <c r="V1695" s="247"/>
      <c r="W1695" s="247"/>
      <c r="X1695" s="247"/>
      <c r="Y1695" s="247"/>
      <c r="Z1695" s="247"/>
      <c r="AA1695" s="247"/>
      <c r="AB1695" s="247"/>
      <c r="AC1695" s="247"/>
    </row>
    <row r="1696">
      <c r="A1696" s="247"/>
      <c r="B1696" s="373"/>
      <c r="C1696" s="373"/>
      <c r="D1696" s="373"/>
      <c r="E1696" s="247"/>
      <c r="F1696" s="247"/>
      <c r="G1696" s="247"/>
      <c r="H1696" s="247"/>
      <c r="I1696" s="247"/>
      <c r="J1696" s="247"/>
      <c r="K1696" s="247"/>
      <c r="L1696" s="247"/>
      <c r="M1696" s="247"/>
      <c r="N1696" s="247"/>
      <c r="O1696" s="247"/>
      <c r="P1696" s="247"/>
      <c r="Q1696" s="247"/>
      <c r="R1696" s="247"/>
      <c r="S1696" s="247"/>
      <c r="T1696" s="247"/>
      <c r="U1696" s="247"/>
      <c r="V1696" s="247"/>
      <c r="W1696" s="247"/>
      <c r="X1696" s="247"/>
      <c r="Y1696" s="247"/>
      <c r="Z1696" s="247"/>
      <c r="AA1696" s="247"/>
      <c r="AB1696" s="247"/>
      <c r="AC1696" s="247"/>
    </row>
    <row r="1697">
      <c r="A1697" s="247"/>
      <c r="B1697" s="373"/>
      <c r="C1697" s="373"/>
      <c r="D1697" s="373"/>
      <c r="E1697" s="247"/>
      <c r="F1697" s="247"/>
      <c r="G1697" s="247"/>
      <c r="H1697" s="247"/>
      <c r="I1697" s="247"/>
      <c r="J1697" s="247"/>
      <c r="K1697" s="247"/>
      <c r="L1697" s="247"/>
      <c r="M1697" s="247"/>
      <c r="N1697" s="247"/>
      <c r="O1697" s="247"/>
      <c r="P1697" s="247"/>
      <c r="Q1697" s="247"/>
      <c r="R1697" s="247"/>
      <c r="S1697" s="247"/>
      <c r="T1697" s="247"/>
      <c r="U1697" s="247"/>
      <c r="V1697" s="247"/>
      <c r="W1697" s="247"/>
      <c r="X1697" s="247"/>
      <c r="Y1697" s="247"/>
      <c r="Z1697" s="247"/>
      <c r="AA1697" s="247"/>
      <c r="AB1697" s="247"/>
      <c r="AC1697" s="247"/>
    </row>
    <row r="1698">
      <c r="A1698" s="247"/>
      <c r="B1698" s="373"/>
      <c r="C1698" s="373"/>
      <c r="D1698" s="373"/>
      <c r="E1698" s="247"/>
      <c r="F1698" s="247"/>
      <c r="G1698" s="247"/>
      <c r="H1698" s="247"/>
      <c r="I1698" s="247"/>
      <c r="J1698" s="247"/>
      <c r="K1698" s="247"/>
      <c r="L1698" s="247"/>
      <c r="M1698" s="247"/>
      <c r="N1698" s="247"/>
      <c r="O1698" s="247"/>
      <c r="P1698" s="247"/>
      <c r="Q1698" s="247"/>
      <c r="R1698" s="247"/>
      <c r="S1698" s="247"/>
      <c r="T1698" s="247"/>
      <c r="U1698" s="247"/>
      <c r="V1698" s="247"/>
      <c r="W1698" s="247"/>
      <c r="X1698" s="247"/>
      <c r="Y1698" s="247"/>
      <c r="Z1698" s="247"/>
      <c r="AA1698" s="247"/>
      <c r="AB1698" s="247"/>
      <c r="AC1698" s="247"/>
    </row>
    <row r="1699">
      <c r="A1699" s="247"/>
      <c r="B1699" s="373"/>
      <c r="C1699" s="373"/>
      <c r="D1699" s="373"/>
      <c r="E1699" s="247"/>
      <c r="F1699" s="247"/>
      <c r="G1699" s="247"/>
      <c r="H1699" s="247"/>
      <c r="I1699" s="247"/>
      <c r="J1699" s="247"/>
      <c r="K1699" s="247"/>
      <c r="L1699" s="247"/>
      <c r="M1699" s="247"/>
      <c r="N1699" s="247"/>
      <c r="O1699" s="247"/>
      <c r="P1699" s="247"/>
      <c r="Q1699" s="247"/>
      <c r="R1699" s="247"/>
      <c r="S1699" s="247"/>
      <c r="T1699" s="247"/>
      <c r="U1699" s="247"/>
      <c r="V1699" s="247"/>
      <c r="W1699" s="247"/>
      <c r="X1699" s="247"/>
      <c r="Y1699" s="247"/>
      <c r="Z1699" s="247"/>
      <c r="AA1699" s="247"/>
      <c r="AB1699" s="247"/>
      <c r="AC1699" s="247"/>
    </row>
    <row r="1700">
      <c r="A1700" s="247"/>
      <c r="B1700" s="373"/>
      <c r="C1700" s="373"/>
      <c r="D1700" s="373"/>
      <c r="E1700" s="247"/>
      <c r="F1700" s="247"/>
      <c r="G1700" s="247"/>
      <c r="H1700" s="247"/>
      <c r="I1700" s="247"/>
      <c r="J1700" s="247"/>
      <c r="K1700" s="247"/>
      <c r="L1700" s="247"/>
      <c r="M1700" s="247"/>
      <c r="N1700" s="247"/>
      <c r="O1700" s="247"/>
      <c r="P1700" s="247"/>
      <c r="Q1700" s="247"/>
      <c r="R1700" s="247"/>
      <c r="S1700" s="247"/>
      <c r="T1700" s="247"/>
      <c r="U1700" s="247"/>
      <c r="V1700" s="247"/>
      <c r="W1700" s="247"/>
      <c r="X1700" s="247"/>
      <c r="Y1700" s="247"/>
      <c r="Z1700" s="247"/>
      <c r="AA1700" s="247"/>
      <c r="AB1700" s="247"/>
      <c r="AC1700" s="247"/>
    </row>
    <row r="1701">
      <c r="A1701" s="247"/>
      <c r="B1701" s="373"/>
      <c r="C1701" s="373"/>
      <c r="D1701" s="373"/>
      <c r="E1701" s="247"/>
      <c r="F1701" s="247"/>
      <c r="G1701" s="247"/>
      <c r="H1701" s="247"/>
      <c r="I1701" s="247"/>
      <c r="J1701" s="247"/>
      <c r="K1701" s="247"/>
      <c r="L1701" s="247"/>
      <c r="M1701" s="247"/>
      <c r="N1701" s="247"/>
      <c r="O1701" s="247"/>
      <c r="P1701" s="247"/>
      <c r="Q1701" s="247"/>
      <c r="R1701" s="247"/>
      <c r="S1701" s="247"/>
      <c r="T1701" s="247"/>
      <c r="U1701" s="247"/>
      <c r="V1701" s="247"/>
      <c r="W1701" s="247"/>
      <c r="X1701" s="247"/>
      <c r="Y1701" s="247"/>
      <c r="Z1701" s="247"/>
      <c r="AA1701" s="247"/>
      <c r="AB1701" s="247"/>
      <c r="AC1701" s="247"/>
    </row>
    <row r="1702">
      <c r="A1702" s="247"/>
      <c r="B1702" s="373"/>
      <c r="C1702" s="373"/>
      <c r="D1702" s="373"/>
      <c r="E1702" s="247"/>
      <c r="F1702" s="247"/>
      <c r="G1702" s="247"/>
      <c r="H1702" s="247"/>
      <c r="I1702" s="247"/>
      <c r="J1702" s="247"/>
      <c r="K1702" s="247"/>
      <c r="L1702" s="247"/>
      <c r="M1702" s="247"/>
      <c r="N1702" s="247"/>
      <c r="O1702" s="247"/>
      <c r="P1702" s="247"/>
      <c r="Q1702" s="247"/>
      <c r="R1702" s="247"/>
      <c r="S1702" s="247"/>
      <c r="T1702" s="247"/>
      <c r="U1702" s="247"/>
      <c r="V1702" s="247"/>
      <c r="W1702" s="247"/>
      <c r="X1702" s="247"/>
      <c r="Y1702" s="247"/>
      <c r="Z1702" s="247"/>
      <c r="AA1702" s="247"/>
      <c r="AB1702" s="247"/>
      <c r="AC1702" s="247"/>
    </row>
    <row r="1703">
      <c r="A1703" s="247"/>
      <c r="B1703" s="373"/>
      <c r="C1703" s="373"/>
      <c r="D1703" s="373"/>
      <c r="E1703" s="247"/>
      <c r="F1703" s="247"/>
      <c r="G1703" s="247"/>
      <c r="H1703" s="247"/>
      <c r="I1703" s="247"/>
      <c r="J1703" s="247"/>
      <c r="K1703" s="247"/>
      <c r="L1703" s="247"/>
      <c r="M1703" s="247"/>
      <c r="N1703" s="247"/>
      <c r="O1703" s="247"/>
      <c r="P1703" s="247"/>
      <c r="Q1703" s="247"/>
      <c r="R1703" s="247"/>
      <c r="S1703" s="247"/>
      <c r="T1703" s="247"/>
      <c r="U1703" s="247"/>
      <c r="V1703" s="247"/>
      <c r="W1703" s="247"/>
      <c r="X1703" s="247"/>
      <c r="Y1703" s="247"/>
      <c r="Z1703" s="247"/>
      <c r="AA1703" s="247"/>
      <c r="AB1703" s="247"/>
      <c r="AC1703" s="247"/>
    </row>
    <row r="1704">
      <c r="A1704" s="247"/>
      <c r="B1704" s="373"/>
      <c r="C1704" s="373"/>
      <c r="D1704" s="373"/>
      <c r="E1704" s="247"/>
      <c r="F1704" s="247"/>
      <c r="G1704" s="247"/>
      <c r="H1704" s="247"/>
      <c r="I1704" s="247"/>
      <c r="J1704" s="247"/>
      <c r="K1704" s="247"/>
      <c r="L1704" s="247"/>
      <c r="M1704" s="247"/>
      <c r="N1704" s="247"/>
      <c r="O1704" s="247"/>
      <c r="P1704" s="247"/>
      <c r="Q1704" s="247"/>
      <c r="R1704" s="247"/>
      <c r="S1704" s="247"/>
      <c r="T1704" s="247"/>
      <c r="U1704" s="247"/>
      <c r="V1704" s="247"/>
      <c r="W1704" s="247"/>
      <c r="X1704" s="247"/>
      <c r="Y1704" s="247"/>
      <c r="Z1704" s="247"/>
      <c r="AA1704" s="247"/>
      <c r="AB1704" s="247"/>
      <c r="AC1704" s="247"/>
    </row>
    <row r="1705">
      <c r="A1705" s="247"/>
      <c r="B1705" s="373"/>
      <c r="C1705" s="373"/>
      <c r="D1705" s="373"/>
      <c r="E1705" s="247"/>
      <c r="F1705" s="247"/>
      <c r="G1705" s="247"/>
      <c r="H1705" s="247"/>
      <c r="I1705" s="247"/>
      <c r="J1705" s="247"/>
      <c r="K1705" s="247"/>
      <c r="L1705" s="247"/>
      <c r="M1705" s="247"/>
      <c r="N1705" s="247"/>
      <c r="O1705" s="247"/>
      <c r="P1705" s="247"/>
      <c r="Q1705" s="247"/>
      <c r="R1705" s="247"/>
      <c r="S1705" s="247"/>
      <c r="T1705" s="247"/>
      <c r="U1705" s="247"/>
      <c r="V1705" s="247"/>
      <c r="W1705" s="247"/>
      <c r="X1705" s="247"/>
      <c r="Y1705" s="247"/>
      <c r="Z1705" s="247"/>
      <c r="AA1705" s="247"/>
      <c r="AB1705" s="247"/>
      <c r="AC1705" s="247"/>
    </row>
    <row r="1706">
      <c r="A1706" s="247"/>
      <c r="B1706" s="373"/>
      <c r="C1706" s="373"/>
      <c r="D1706" s="373"/>
      <c r="E1706" s="247"/>
      <c r="F1706" s="247"/>
      <c r="G1706" s="247"/>
      <c r="H1706" s="247"/>
      <c r="I1706" s="247"/>
      <c r="J1706" s="247"/>
      <c r="K1706" s="247"/>
      <c r="L1706" s="247"/>
      <c r="M1706" s="247"/>
      <c r="N1706" s="247"/>
      <c r="O1706" s="247"/>
      <c r="P1706" s="247"/>
      <c r="Q1706" s="247"/>
      <c r="R1706" s="247"/>
      <c r="S1706" s="247"/>
      <c r="T1706" s="247"/>
      <c r="U1706" s="247"/>
      <c r="V1706" s="247"/>
      <c r="W1706" s="247"/>
      <c r="X1706" s="247"/>
      <c r="Y1706" s="247"/>
      <c r="Z1706" s="247"/>
      <c r="AA1706" s="247"/>
      <c r="AB1706" s="247"/>
      <c r="AC1706" s="247"/>
    </row>
    <row r="1707">
      <c r="A1707" s="247"/>
      <c r="B1707" s="373"/>
      <c r="C1707" s="373"/>
      <c r="D1707" s="373"/>
      <c r="E1707" s="247"/>
      <c r="F1707" s="247"/>
      <c r="G1707" s="247"/>
      <c r="H1707" s="247"/>
      <c r="I1707" s="247"/>
      <c r="J1707" s="247"/>
      <c r="K1707" s="247"/>
      <c r="L1707" s="247"/>
      <c r="M1707" s="247"/>
      <c r="N1707" s="247"/>
      <c r="O1707" s="247"/>
      <c r="P1707" s="247"/>
      <c r="Q1707" s="247"/>
      <c r="R1707" s="247"/>
      <c r="S1707" s="247"/>
      <c r="T1707" s="247"/>
      <c r="U1707" s="247"/>
      <c r="V1707" s="247"/>
      <c r="W1707" s="247"/>
      <c r="X1707" s="247"/>
      <c r="Y1707" s="247"/>
      <c r="Z1707" s="247"/>
      <c r="AA1707" s="247"/>
      <c r="AB1707" s="247"/>
      <c r="AC1707" s="247"/>
    </row>
    <row r="1708">
      <c r="A1708" s="247"/>
      <c r="B1708" s="373"/>
      <c r="C1708" s="373"/>
      <c r="D1708" s="373"/>
      <c r="E1708" s="247"/>
      <c r="F1708" s="247"/>
      <c r="G1708" s="247"/>
      <c r="H1708" s="247"/>
      <c r="I1708" s="247"/>
      <c r="J1708" s="247"/>
      <c r="K1708" s="247"/>
      <c r="L1708" s="247"/>
      <c r="M1708" s="247"/>
      <c r="N1708" s="247"/>
      <c r="O1708" s="247"/>
      <c r="P1708" s="247"/>
      <c r="Q1708" s="247"/>
      <c r="R1708" s="247"/>
      <c r="S1708" s="247"/>
      <c r="T1708" s="247"/>
      <c r="U1708" s="247"/>
      <c r="V1708" s="247"/>
      <c r="W1708" s="247"/>
      <c r="X1708" s="247"/>
      <c r="Y1708" s="247"/>
      <c r="Z1708" s="247"/>
      <c r="AA1708" s="247"/>
      <c r="AB1708" s="247"/>
      <c r="AC1708" s="247"/>
    </row>
    <row r="1709">
      <c r="A1709" s="247"/>
      <c r="B1709" s="373"/>
      <c r="C1709" s="373"/>
      <c r="D1709" s="373"/>
      <c r="E1709" s="247"/>
      <c r="F1709" s="247"/>
      <c r="G1709" s="247"/>
      <c r="H1709" s="247"/>
      <c r="I1709" s="247"/>
      <c r="J1709" s="247"/>
      <c r="K1709" s="247"/>
      <c r="L1709" s="247"/>
      <c r="M1709" s="247"/>
      <c r="N1709" s="247"/>
      <c r="O1709" s="247"/>
      <c r="P1709" s="247"/>
      <c r="Q1709" s="247"/>
      <c r="R1709" s="247"/>
      <c r="S1709" s="247"/>
      <c r="T1709" s="247"/>
      <c r="U1709" s="247"/>
      <c r="V1709" s="247"/>
      <c r="W1709" s="247"/>
      <c r="X1709" s="247"/>
      <c r="Y1709" s="247"/>
      <c r="Z1709" s="247"/>
      <c r="AA1709" s="247"/>
      <c r="AB1709" s="247"/>
      <c r="AC1709" s="247"/>
    </row>
    <row r="1710">
      <c r="A1710" s="247"/>
      <c r="B1710" s="373"/>
      <c r="C1710" s="373"/>
      <c r="D1710" s="373"/>
      <c r="E1710" s="247"/>
      <c r="F1710" s="247"/>
      <c r="G1710" s="247"/>
      <c r="H1710" s="247"/>
      <c r="I1710" s="247"/>
      <c r="J1710" s="247"/>
      <c r="K1710" s="247"/>
      <c r="L1710" s="247"/>
      <c r="M1710" s="247"/>
      <c r="N1710" s="247"/>
      <c r="O1710" s="247"/>
      <c r="P1710" s="247"/>
      <c r="Q1710" s="247"/>
      <c r="R1710" s="247"/>
      <c r="S1710" s="247"/>
      <c r="T1710" s="247"/>
      <c r="U1710" s="247"/>
      <c r="V1710" s="247"/>
      <c r="W1710" s="247"/>
      <c r="X1710" s="247"/>
      <c r="Y1710" s="247"/>
      <c r="Z1710" s="247"/>
      <c r="AA1710" s="247"/>
      <c r="AB1710" s="247"/>
      <c r="AC1710" s="247"/>
    </row>
    <row r="1711">
      <c r="A1711" s="247"/>
      <c r="B1711" s="373"/>
      <c r="C1711" s="373"/>
      <c r="D1711" s="373"/>
      <c r="E1711" s="247"/>
      <c r="F1711" s="247"/>
      <c r="G1711" s="247"/>
      <c r="H1711" s="247"/>
      <c r="I1711" s="247"/>
      <c r="J1711" s="247"/>
      <c r="K1711" s="247"/>
      <c r="L1711" s="247"/>
      <c r="M1711" s="247"/>
      <c r="N1711" s="247"/>
      <c r="O1711" s="247"/>
      <c r="P1711" s="247"/>
      <c r="Q1711" s="247"/>
      <c r="R1711" s="247"/>
      <c r="S1711" s="247"/>
      <c r="T1711" s="247"/>
      <c r="U1711" s="247"/>
      <c r="V1711" s="247"/>
      <c r="W1711" s="247"/>
      <c r="X1711" s="247"/>
      <c r="Y1711" s="247"/>
      <c r="Z1711" s="247"/>
      <c r="AA1711" s="247"/>
      <c r="AB1711" s="247"/>
      <c r="AC1711" s="247"/>
    </row>
    <row r="1712">
      <c r="A1712" s="247"/>
      <c r="B1712" s="373"/>
      <c r="C1712" s="373"/>
      <c r="D1712" s="373"/>
      <c r="E1712" s="247"/>
      <c r="F1712" s="247"/>
      <c r="G1712" s="247"/>
      <c r="H1712" s="247"/>
      <c r="I1712" s="247"/>
      <c r="J1712" s="247"/>
      <c r="K1712" s="247"/>
      <c r="L1712" s="247"/>
      <c r="M1712" s="247"/>
      <c r="N1712" s="247"/>
      <c r="O1712" s="247"/>
      <c r="P1712" s="247"/>
      <c r="Q1712" s="247"/>
      <c r="R1712" s="247"/>
      <c r="S1712" s="247"/>
      <c r="T1712" s="247"/>
      <c r="U1712" s="247"/>
      <c r="V1712" s="247"/>
      <c r="W1712" s="247"/>
      <c r="X1712" s="247"/>
      <c r="Y1712" s="247"/>
      <c r="Z1712" s="247"/>
      <c r="AA1712" s="247"/>
      <c r="AB1712" s="247"/>
      <c r="AC1712" s="247"/>
    </row>
    <row r="1713">
      <c r="A1713" s="247"/>
      <c r="B1713" s="373"/>
      <c r="C1713" s="373"/>
      <c r="D1713" s="373"/>
      <c r="E1713" s="247"/>
      <c r="F1713" s="247"/>
      <c r="G1713" s="247"/>
      <c r="H1713" s="247"/>
      <c r="I1713" s="247"/>
      <c r="J1713" s="247"/>
      <c r="K1713" s="247"/>
      <c r="L1713" s="247"/>
      <c r="M1713" s="247"/>
      <c r="N1713" s="247"/>
      <c r="O1713" s="247"/>
      <c r="P1713" s="247"/>
      <c r="Q1713" s="247"/>
      <c r="R1713" s="247"/>
      <c r="S1713" s="247"/>
      <c r="T1713" s="247"/>
      <c r="U1713" s="247"/>
      <c r="V1713" s="247"/>
      <c r="W1713" s="247"/>
      <c r="X1713" s="247"/>
      <c r="Y1713" s="247"/>
      <c r="Z1713" s="247"/>
      <c r="AA1713" s="247"/>
      <c r="AB1713" s="247"/>
      <c r="AC1713" s="247"/>
    </row>
    <row r="1714">
      <c r="A1714" s="247"/>
      <c r="B1714" s="373"/>
      <c r="C1714" s="373"/>
      <c r="D1714" s="373"/>
      <c r="E1714" s="247"/>
      <c r="F1714" s="247"/>
      <c r="G1714" s="247"/>
      <c r="H1714" s="247"/>
      <c r="I1714" s="247"/>
      <c r="J1714" s="247"/>
      <c r="K1714" s="247"/>
      <c r="L1714" s="247"/>
      <c r="M1714" s="247"/>
      <c r="N1714" s="247"/>
      <c r="O1714" s="247"/>
      <c r="P1714" s="247"/>
      <c r="Q1714" s="247"/>
      <c r="R1714" s="247"/>
      <c r="S1714" s="247"/>
      <c r="T1714" s="247"/>
      <c r="U1714" s="247"/>
      <c r="V1714" s="247"/>
      <c r="W1714" s="247"/>
      <c r="X1714" s="247"/>
      <c r="Y1714" s="247"/>
      <c r="Z1714" s="247"/>
      <c r="AA1714" s="247"/>
      <c r="AB1714" s="247"/>
      <c r="AC1714" s="247"/>
    </row>
    <row r="1715">
      <c r="A1715" s="247"/>
      <c r="B1715" s="373"/>
      <c r="C1715" s="373"/>
      <c r="D1715" s="373"/>
      <c r="E1715" s="247"/>
      <c r="F1715" s="247"/>
      <c r="G1715" s="247"/>
      <c r="H1715" s="247"/>
      <c r="I1715" s="247"/>
      <c r="J1715" s="247"/>
      <c r="K1715" s="247"/>
      <c r="L1715" s="247"/>
      <c r="M1715" s="247"/>
      <c r="N1715" s="247"/>
      <c r="O1715" s="247"/>
      <c r="P1715" s="247"/>
      <c r="Q1715" s="247"/>
      <c r="R1715" s="247"/>
      <c r="S1715" s="247"/>
      <c r="T1715" s="247"/>
      <c r="U1715" s="247"/>
      <c r="V1715" s="247"/>
      <c r="W1715" s="247"/>
      <c r="X1715" s="247"/>
      <c r="Y1715" s="247"/>
      <c r="Z1715" s="247"/>
      <c r="AA1715" s="247"/>
      <c r="AB1715" s="247"/>
      <c r="AC1715" s="247"/>
    </row>
    <row r="1716">
      <c r="A1716" s="247"/>
      <c r="B1716" s="373"/>
      <c r="C1716" s="373"/>
      <c r="D1716" s="373"/>
      <c r="E1716" s="247"/>
      <c r="F1716" s="247"/>
      <c r="G1716" s="247"/>
      <c r="H1716" s="247"/>
      <c r="I1716" s="247"/>
      <c r="J1716" s="247"/>
      <c r="K1716" s="247"/>
      <c r="L1716" s="247"/>
      <c r="M1716" s="247"/>
      <c r="N1716" s="247"/>
      <c r="O1716" s="247"/>
      <c r="P1716" s="247"/>
      <c r="Q1716" s="247"/>
      <c r="R1716" s="247"/>
      <c r="S1716" s="247"/>
      <c r="T1716" s="247"/>
      <c r="U1716" s="247"/>
      <c r="V1716" s="247"/>
      <c r="W1716" s="247"/>
      <c r="X1716" s="247"/>
      <c r="Y1716" s="247"/>
      <c r="Z1716" s="247"/>
      <c r="AA1716" s="247"/>
      <c r="AB1716" s="247"/>
      <c r="AC1716" s="247"/>
    </row>
    <row r="1717">
      <c r="A1717" s="247"/>
      <c r="B1717" s="373"/>
      <c r="C1717" s="373"/>
      <c r="D1717" s="373"/>
      <c r="E1717" s="247"/>
      <c r="F1717" s="247"/>
      <c r="G1717" s="247"/>
      <c r="H1717" s="247"/>
      <c r="I1717" s="247"/>
      <c r="J1717" s="247"/>
      <c r="K1717" s="247"/>
      <c r="L1717" s="247"/>
      <c r="M1717" s="247"/>
      <c r="N1717" s="247"/>
      <c r="O1717" s="247"/>
      <c r="P1717" s="247"/>
      <c r="Q1717" s="247"/>
      <c r="R1717" s="247"/>
      <c r="S1717" s="247"/>
      <c r="T1717" s="247"/>
      <c r="U1717" s="247"/>
      <c r="V1717" s="247"/>
      <c r="W1717" s="247"/>
      <c r="X1717" s="247"/>
      <c r="Y1717" s="247"/>
      <c r="Z1717" s="247"/>
      <c r="AA1717" s="247"/>
      <c r="AB1717" s="247"/>
      <c r="AC1717" s="247"/>
    </row>
    <row r="1718">
      <c r="A1718" s="247"/>
      <c r="B1718" s="373"/>
      <c r="C1718" s="373"/>
      <c r="D1718" s="373"/>
      <c r="E1718" s="247"/>
      <c r="F1718" s="247"/>
      <c r="G1718" s="247"/>
      <c r="H1718" s="247"/>
      <c r="I1718" s="247"/>
      <c r="J1718" s="247"/>
      <c r="K1718" s="247"/>
      <c r="L1718" s="247"/>
      <c r="M1718" s="247"/>
      <c r="N1718" s="247"/>
      <c r="O1718" s="247"/>
      <c r="P1718" s="247"/>
      <c r="Q1718" s="247"/>
      <c r="R1718" s="247"/>
      <c r="S1718" s="247"/>
      <c r="T1718" s="247"/>
      <c r="U1718" s="247"/>
      <c r="V1718" s="247"/>
      <c r="W1718" s="247"/>
      <c r="X1718" s="247"/>
      <c r="Y1718" s="247"/>
      <c r="Z1718" s="247"/>
      <c r="AA1718" s="247"/>
      <c r="AB1718" s="247"/>
      <c r="AC1718" s="247"/>
    </row>
    <row r="1719">
      <c r="A1719" s="247"/>
      <c r="B1719" s="373"/>
      <c r="C1719" s="373"/>
      <c r="D1719" s="373"/>
      <c r="E1719" s="247"/>
      <c r="F1719" s="247"/>
      <c r="G1719" s="247"/>
      <c r="H1719" s="247"/>
      <c r="I1719" s="247"/>
      <c r="J1719" s="247"/>
      <c r="K1719" s="247"/>
      <c r="L1719" s="247"/>
      <c r="M1719" s="247"/>
      <c r="N1719" s="247"/>
      <c r="O1719" s="247"/>
      <c r="P1719" s="247"/>
      <c r="Q1719" s="247"/>
      <c r="R1719" s="247"/>
      <c r="S1719" s="247"/>
      <c r="T1719" s="247"/>
      <c r="U1719" s="247"/>
      <c r="V1719" s="247"/>
      <c r="W1719" s="247"/>
      <c r="X1719" s="247"/>
      <c r="Y1719" s="247"/>
      <c r="Z1719" s="247"/>
      <c r="AA1719" s="247"/>
      <c r="AB1719" s="247"/>
      <c r="AC1719" s="247"/>
    </row>
    <row r="1720">
      <c r="A1720" s="247"/>
      <c r="B1720" s="373"/>
      <c r="C1720" s="373"/>
      <c r="D1720" s="373"/>
      <c r="E1720" s="247"/>
      <c r="F1720" s="247"/>
      <c r="G1720" s="247"/>
      <c r="H1720" s="247"/>
      <c r="I1720" s="247"/>
      <c r="J1720" s="247"/>
      <c r="K1720" s="247"/>
      <c r="L1720" s="247"/>
      <c r="M1720" s="247"/>
      <c r="N1720" s="247"/>
      <c r="O1720" s="247"/>
      <c r="P1720" s="247"/>
      <c r="Q1720" s="247"/>
      <c r="R1720" s="247"/>
      <c r="S1720" s="247"/>
      <c r="T1720" s="247"/>
      <c r="U1720" s="247"/>
      <c r="V1720" s="247"/>
      <c r="W1720" s="247"/>
      <c r="X1720" s="247"/>
      <c r="Y1720" s="247"/>
      <c r="Z1720" s="247"/>
      <c r="AA1720" s="247"/>
      <c r="AB1720" s="247"/>
      <c r="AC1720" s="247"/>
    </row>
    <row r="1721">
      <c r="A1721" s="247"/>
      <c r="B1721" s="373"/>
      <c r="C1721" s="373"/>
      <c r="D1721" s="373"/>
      <c r="E1721" s="247"/>
      <c r="F1721" s="247"/>
      <c r="G1721" s="247"/>
      <c r="H1721" s="247"/>
      <c r="I1721" s="247"/>
      <c r="J1721" s="247"/>
      <c r="K1721" s="247"/>
      <c r="L1721" s="247"/>
      <c r="M1721" s="247"/>
      <c r="N1721" s="247"/>
      <c r="O1721" s="247"/>
      <c r="P1721" s="247"/>
      <c r="Q1721" s="247"/>
      <c r="R1721" s="247"/>
      <c r="S1721" s="247"/>
      <c r="T1721" s="247"/>
      <c r="U1721" s="247"/>
      <c r="V1721" s="247"/>
      <c r="W1721" s="247"/>
      <c r="X1721" s="247"/>
      <c r="Y1721" s="247"/>
      <c r="Z1721" s="247"/>
      <c r="AA1721" s="247"/>
      <c r="AB1721" s="247"/>
      <c r="AC1721" s="247"/>
    </row>
    <row r="1722">
      <c r="A1722" s="247"/>
      <c r="B1722" s="373"/>
      <c r="C1722" s="373"/>
      <c r="D1722" s="373"/>
      <c r="E1722" s="247"/>
      <c r="F1722" s="247"/>
      <c r="G1722" s="247"/>
      <c r="H1722" s="247"/>
      <c r="I1722" s="247"/>
      <c r="J1722" s="247"/>
      <c r="K1722" s="247"/>
      <c r="L1722" s="247"/>
      <c r="M1722" s="247"/>
      <c r="N1722" s="247"/>
      <c r="O1722" s="247"/>
      <c r="P1722" s="247"/>
      <c r="Q1722" s="247"/>
      <c r="R1722" s="247"/>
      <c r="S1722" s="247"/>
      <c r="T1722" s="247"/>
      <c r="U1722" s="247"/>
      <c r="V1722" s="247"/>
      <c r="W1722" s="247"/>
      <c r="X1722" s="247"/>
      <c r="Y1722" s="247"/>
      <c r="Z1722" s="247"/>
      <c r="AA1722" s="247"/>
      <c r="AB1722" s="247"/>
      <c r="AC1722" s="247"/>
    </row>
    <row r="1723">
      <c r="A1723" s="247"/>
      <c r="B1723" s="373"/>
      <c r="C1723" s="373"/>
      <c r="D1723" s="373"/>
      <c r="E1723" s="247"/>
      <c r="F1723" s="247"/>
      <c r="G1723" s="247"/>
      <c r="H1723" s="247"/>
      <c r="I1723" s="247"/>
      <c r="J1723" s="247"/>
      <c r="K1723" s="247"/>
      <c r="L1723" s="247"/>
      <c r="M1723" s="247"/>
      <c r="N1723" s="247"/>
      <c r="O1723" s="247"/>
      <c r="P1723" s="247"/>
      <c r="Q1723" s="247"/>
      <c r="R1723" s="247"/>
      <c r="S1723" s="247"/>
      <c r="T1723" s="247"/>
      <c r="U1723" s="247"/>
      <c r="V1723" s="247"/>
      <c r="W1723" s="247"/>
      <c r="X1723" s="247"/>
      <c r="Y1723" s="247"/>
      <c r="Z1723" s="247"/>
      <c r="AA1723" s="247"/>
      <c r="AB1723" s="247"/>
      <c r="AC1723" s="247"/>
    </row>
    <row r="1724">
      <c r="A1724" s="247"/>
      <c r="B1724" s="373"/>
      <c r="C1724" s="373"/>
      <c r="D1724" s="373"/>
      <c r="E1724" s="247"/>
      <c r="F1724" s="247"/>
      <c r="G1724" s="247"/>
      <c r="H1724" s="247"/>
      <c r="I1724" s="247"/>
      <c r="J1724" s="247"/>
      <c r="K1724" s="247"/>
      <c r="L1724" s="247"/>
      <c r="M1724" s="247"/>
      <c r="N1724" s="247"/>
      <c r="O1724" s="247"/>
      <c r="P1724" s="247"/>
      <c r="Q1724" s="247"/>
      <c r="R1724" s="247"/>
      <c r="S1724" s="247"/>
      <c r="T1724" s="247"/>
      <c r="U1724" s="247"/>
      <c r="V1724" s="247"/>
      <c r="W1724" s="247"/>
      <c r="X1724" s="247"/>
      <c r="Y1724" s="247"/>
      <c r="Z1724" s="247"/>
      <c r="AA1724" s="247"/>
      <c r="AB1724" s="247"/>
      <c r="AC1724" s="247"/>
    </row>
    <row r="1725">
      <c r="A1725" s="247"/>
      <c r="B1725" s="373"/>
      <c r="C1725" s="373"/>
      <c r="D1725" s="373"/>
      <c r="E1725" s="247"/>
      <c r="F1725" s="247"/>
      <c r="G1725" s="247"/>
      <c r="H1725" s="247"/>
      <c r="I1725" s="247"/>
      <c r="J1725" s="247"/>
      <c r="K1725" s="247"/>
      <c r="L1725" s="247"/>
      <c r="M1725" s="247"/>
      <c r="N1725" s="247"/>
      <c r="O1725" s="247"/>
      <c r="P1725" s="247"/>
      <c r="Q1725" s="247"/>
      <c r="R1725" s="247"/>
      <c r="S1725" s="247"/>
      <c r="T1725" s="247"/>
      <c r="U1725" s="247"/>
      <c r="V1725" s="247"/>
      <c r="W1725" s="247"/>
      <c r="X1725" s="247"/>
      <c r="Y1725" s="247"/>
      <c r="Z1725" s="247"/>
      <c r="AA1725" s="247"/>
      <c r="AB1725" s="247"/>
      <c r="AC1725" s="247"/>
    </row>
    <row r="1726">
      <c r="A1726" s="247"/>
      <c r="B1726" s="373"/>
      <c r="C1726" s="373"/>
      <c r="D1726" s="373"/>
      <c r="E1726" s="247"/>
      <c r="F1726" s="247"/>
      <c r="G1726" s="247"/>
      <c r="H1726" s="247"/>
      <c r="I1726" s="247"/>
      <c r="J1726" s="247"/>
      <c r="K1726" s="247"/>
      <c r="L1726" s="247"/>
      <c r="M1726" s="247"/>
      <c r="N1726" s="247"/>
      <c r="O1726" s="247"/>
      <c r="P1726" s="247"/>
      <c r="Q1726" s="247"/>
      <c r="R1726" s="247"/>
      <c r="S1726" s="247"/>
      <c r="T1726" s="247"/>
      <c r="U1726" s="247"/>
      <c r="V1726" s="247"/>
      <c r="W1726" s="247"/>
      <c r="X1726" s="247"/>
      <c r="Y1726" s="247"/>
      <c r="Z1726" s="247"/>
      <c r="AA1726" s="247"/>
      <c r="AB1726" s="247"/>
      <c r="AC1726" s="247"/>
    </row>
    <row r="1727">
      <c r="A1727" s="247"/>
      <c r="B1727" s="373"/>
      <c r="C1727" s="373"/>
      <c r="D1727" s="373"/>
      <c r="E1727" s="247"/>
      <c r="F1727" s="247"/>
      <c r="G1727" s="247"/>
      <c r="H1727" s="247"/>
      <c r="I1727" s="247"/>
      <c r="J1727" s="247"/>
      <c r="K1727" s="247"/>
      <c r="L1727" s="247"/>
      <c r="M1727" s="247"/>
      <c r="N1727" s="247"/>
      <c r="O1727" s="247"/>
      <c r="P1727" s="247"/>
      <c r="Q1727" s="247"/>
      <c r="R1727" s="247"/>
      <c r="S1727" s="247"/>
      <c r="T1727" s="247"/>
      <c r="U1727" s="247"/>
      <c r="V1727" s="247"/>
      <c r="W1727" s="247"/>
      <c r="X1727" s="247"/>
      <c r="Y1727" s="247"/>
      <c r="Z1727" s="247"/>
      <c r="AA1727" s="247"/>
      <c r="AB1727" s="247"/>
      <c r="AC1727" s="247"/>
    </row>
    <row r="1728">
      <c r="A1728" s="247"/>
      <c r="B1728" s="373"/>
      <c r="C1728" s="373"/>
      <c r="D1728" s="373"/>
      <c r="E1728" s="247"/>
      <c r="F1728" s="247"/>
      <c r="G1728" s="247"/>
      <c r="H1728" s="247"/>
      <c r="I1728" s="247"/>
      <c r="J1728" s="247"/>
      <c r="K1728" s="247"/>
      <c r="L1728" s="247"/>
      <c r="M1728" s="247"/>
      <c r="N1728" s="247"/>
      <c r="O1728" s="247"/>
      <c r="P1728" s="247"/>
      <c r="Q1728" s="247"/>
      <c r="R1728" s="247"/>
      <c r="S1728" s="247"/>
      <c r="T1728" s="247"/>
      <c r="U1728" s="247"/>
      <c r="V1728" s="247"/>
      <c r="W1728" s="247"/>
      <c r="X1728" s="247"/>
      <c r="Y1728" s="247"/>
      <c r="Z1728" s="247"/>
      <c r="AA1728" s="247"/>
      <c r="AB1728" s="247"/>
      <c r="AC1728" s="247"/>
    </row>
    <row r="1729">
      <c r="A1729" s="247"/>
      <c r="B1729" s="373"/>
      <c r="C1729" s="373"/>
      <c r="D1729" s="373"/>
      <c r="E1729" s="247"/>
      <c r="F1729" s="247"/>
      <c r="G1729" s="247"/>
      <c r="H1729" s="247"/>
      <c r="I1729" s="247"/>
      <c r="J1729" s="247"/>
      <c r="K1729" s="247"/>
      <c r="L1729" s="247"/>
      <c r="M1729" s="247"/>
      <c r="N1729" s="247"/>
      <c r="O1729" s="247"/>
      <c r="P1729" s="247"/>
      <c r="Q1729" s="247"/>
      <c r="R1729" s="247"/>
      <c r="S1729" s="247"/>
      <c r="T1729" s="247"/>
      <c r="U1729" s="247"/>
      <c r="V1729" s="247"/>
      <c r="W1729" s="247"/>
      <c r="X1729" s="247"/>
      <c r="Y1729" s="247"/>
      <c r="Z1729" s="247"/>
      <c r="AA1729" s="247"/>
      <c r="AB1729" s="247"/>
      <c r="AC1729" s="247"/>
    </row>
    <row r="1730">
      <c r="A1730" s="247"/>
      <c r="B1730" s="373"/>
      <c r="C1730" s="373"/>
      <c r="D1730" s="373"/>
      <c r="E1730" s="247"/>
      <c r="F1730" s="247"/>
      <c r="G1730" s="247"/>
      <c r="H1730" s="247"/>
      <c r="I1730" s="247"/>
      <c r="J1730" s="247"/>
      <c r="K1730" s="247"/>
      <c r="L1730" s="247"/>
      <c r="M1730" s="247"/>
      <c r="N1730" s="247"/>
      <c r="O1730" s="247"/>
      <c r="P1730" s="247"/>
      <c r="Q1730" s="247"/>
      <c r="R1730" s="247"/>
      <c r="S1730" s="247"/>
      <c r="T1730" s="247"/>
      <c r="U1730" s="247"/>
      <c r="V1730" s="247"/>
      <c r="W1730" s="247"/>
      <c r="X1730" s="247"/>
      <c r="Y1730" s="247"/>
      <c r="Z1730" s="247"/>
      <c r="AA1730" s="247"/>
      <c r="AB1730" s="247"/>
      <c r="AC1730" s="247"/>
    </row>
    <row r="1731">
      <c r="A1731" s="247"/>
      <c r="B1731" s="373"/>
      <c r="C1731" s="373"/>
      <c r="D1731" s="373"/>
      <c r="E1731" s="247"/>
      <c r="F1731" s="247"/>
      <c r="G1731" s="247"/>
      <c r="H1731" s="247"/>
      <c r="I1731" s="247"/>
      <c r="J1731" s="247"/>
      <c r="K1731" s="247"/>
      <c r="L1731" s="247"/>
      <c r="M1731" s="247"/>
      <c r="N1731" s="247"/>
      <c r="O1731" s="247"/>
      <c r="P1731" s="247"/>
      <c r="Q1731" s="247"/>
      <c r="R1731" s="247"/>
      <c r="S1731" s="247"/>
      <c r="T1731" s="247"/>
      <c r="U1731" s="247"/>
      <c r="V1731" s="247"/>
      <c r="W1731" s="247"/>
      <c r="X1731" s="247"/>
      <c r="Y1731" s="247"/>
      <c r="Z1731" s="247"/>
      <c r="AA1731" s="247"/>
      <c r="AB1731" s="247"/>
      <c r="AC1731" s="247"/>
    </row>
    <row r="1732">
      <c r="A1732" s="247"/>
      <c r="B1732" s="373"/>
      <c r="C1732" s="373"/>
      <c r="D1732" s="373"/>
      <c r="E1732" s="247"/>
      <c r="F1732" s="247"/>
      <c r="G1732" s="247"/>
      <c r="H1732" s="247"/>
      <c r="I1732" s="247"/>
      <c r="J1732" s="247"/>
      <c r="K1732" s="247"/>
      <c r="L1732" s="247"/>
      <c r="M1732" s="247"/>
      <c r="N1732" s="247"/>
      <c r="O1732" s="247"/>
      <c r="P1732" s="247"/>
      <c r="Q1732" s="247"/>
      <c r="R1732" s="247"/>
      <c r="S1732" s="247"/>
      <c r="T1732" s="247"/>
      <c r="U1732" s="247"/>
      <c r="V1732" s="247"/>
      <c r="W1732" s="247"/>
      <c r="X1732" s="247"/>
      <c r="Y1732" s="247"/>
      <c r="Z1732" s="247"/>
      <c r="AA1732" s="247"/>
      <c r="AB1732" s="247"/>
      <c r="AC1732" s="247"/>
    </row>
    <row r="1733">
      <c r="A1733" s="247"/>
      <c r="B1733" s="373"/>
      <c r="C1733" s="373"/>
      <c r="D1733" s="373"/>
      <c r="E1733" s="247"/>
      <c r="F1733" s="247"/>
      <c r="G1733" s="247"/>
      <c r="H1733" s="247"/>
      <c r="I1733" s="247"/>
      <c r="J1733" s="247"/>
      <c r="K1733" s="247"/>
      <c r="L1733" s="247"/>
      <c r="M1733" s="247"/>
      <c r="N1733" s="247"/>
      <c r="O1733" s="247"/>
      <c r="P1733" s="247"/>
      <c r="Q1733" s="247"/>
      <c r="R1733" s="247"/>
      <c r="S1733" s="247"/>
      <c r="T1733" s="247"/>
      <c r="U1733" s="247"/>
      <c r="V1733" s="247"/>
      <c r="W1733" s="247"/>
      <c r="X1733" s="247"/>
      <c r="Y1733" s="247"/>
      <c r="Z1733" s="247"/>
      <c r="AA1733" s="247"/>
      <c r="AB1733" s="247"/>
      <c r="AC1733" s="247"/>
    </row>
    <row r="1734">
      <c r="A1734" s="247"/>
      <c r="B1734" s="373"/>
      <c r="C1734" s="373"/>
      <c r="D1734" s="373"/>
      <c r="E1734" s="247"/>
      <c r="F1734" s="247"/>
      <c r="G1734" s="247"/>
      <c r="H1734" s="247"/>
      <c r="I1734" s="247"/>
      <c r="J1734" s="247"/>
      <c r="K1734" s="247"/>
      <c r="L1734" s="247"/>
      <c r="M1734" s="247"/>
      <c r="N1734" s="247"/>
      <c r="O1734" s="247"/>
      <c r="P1734" s="247"/>
      <c r="Q1734" s="247"/>
      <c r="R1734" s="247"/>
      <c r="S1734" s="247"/>
      <c r="T1734" s="247"/>
      <c r="U1734" s="247"/>
      <c r="V1734" s="247"/>
      <c r="W1734" s="247"/>
      <c r="X1734" s="247"/>
      <c r="Y1734" s="247"/>
      <c r="Z1734" s="247"/>
      <c r="AA1734" s="247"/>
      <c r="AB1734" s="247"/>
      <c r="AC1734" s="247"/>
    </row>
    <row r="1735">
      <c r="A1735" s="247"/>
      <c r="B1735" s="373"/>
      <c r="C1735" s="373"/>
      <c r="D1735" s="373"/>
      <c r="E1735" s="247"/>
      <c r="F1735" s="247"/>
      <c r="G1735" s="247"/>
      <c r="H1735" s="247"/>
      <c r="I1735" s="247"/>
      <c r="J1735" s="247"/>
      <c r="K1735" s="247"/>
      <c r="L1735" s="247"/>
      <c r="M1735" s="247"/>
      <c r="N1735" s="247"/>
      <c r="O1735" s="247"/>
      <c r="P1735" s="247"/>
      <c r="Q1735" s="247"/>
      <c r="R1735" s="247"/>
      <c r="S1735" s="247"/>
      <c r="T1735" s="247"/>
      <c r="U1735" s="247"/>
      <c r="V1735" s="247"/>
      <c r="W1735" s="247"/>
      <c r="X1735" s="247"/>
      <c r="Y1735" s="247"/>
      <c r="Z1735" s="247"/>
      <c r="AA1735" s="247"/>
      <c r="AB1735" s="247"/>
      <c r="AC1735" s="247"/>
    </row>
    <row r="1736">
      <c r="A1736" s="247"/>
      <c r="B1736" s="373"/>
      <c r="C1736" s="373"/>
      <c r="D1736" s="373"/>
      <c r="E1736" s="247"/>
      <c r="F1736" s="247"/>
      <c r="G1736" s="247"/>
      <c r="H1736" s="247"/>
      <c r="I1736" s="247"/>
      <c r="J1736" s="247"/>
      <c r="K1736" s="247"/>
      <c r="L1736" s="247"/>
      <c r="M1736" s="247"/>
      <c r="N1736" s="247"/>
      <c r="O1736" s="247"/>
      <c r="P1736" s="247"/>
      <c r="Q1736" s="247"/>
      <c r="R1736" s="247"/>
      <c r="S1736" s="247"/>
      <c r="T1736" s="247"/>
      <c r="U1736" s="247"/>
      <c r="V1736" s="247"/>
      <c r="W1736" s="247"/>
      <c r="X1736" s="247"/>
      <c r="Y1736" s="247"/>
      <c r="Z1736" s="247"/>
      <c r="AA1736" s="247"/>
      <c r="AB1736" s="247"/>
      <c r="AC1736" s="247"/>
    </row>
    <row r="1737">
      <c r="A1737" s="247"/>
      <c r="B1737" s="373"/>
      <c r="C1737" s="373"/>
      <c r="D1737" s="373"/>
      <c r="E1737" s="247"/>
      <c r="F1737" s="247"/>
      <c r="G1737" s="247"/>
      <c r="H1737" s="247"/>
      <c r="I1737" s="247"/>
      <c r="J1737" s="247"/>
      <c r="K1737" s="247"/>
      <c r="L1737" s="247"/>
      <c r="M1737" s="247"/>
      <c r="N1737" s="247"/>
      <c r="O1737" s="247"/>
      <c r="P1737" s="247"/>
      <c r="Q1737" s="247"/>
      <c r="R1737" s="247"/>
      <c r="S1737" s="247"/>
      <c r="T1737" s="247"/>
      <c r="U1737" s="247"/>
      <c r="V1737" s="247"/>
      <c r="W1737" s="247"/>
      <c r="X1737" s="247"/>
      <c r="Y1737" s="247"/>
      <c r="Z1737" s="247"/>
      <c r="AA1737" s="247"/>
      <c r="AB1737" s="247"/>
      <c r="AC1737" s="247"/>
    </row>
    <row r="1738">
      <c r="A1738" s="247"/>
      <c r="B1738" s="373"/>
      <c r="C1738" s="373"/>
      <c r="D1738" s="373"/>
      <c r="E1738" s="247"/>
      <c r="F1738" s="247"/>
      <c r="G1738" s="247"/>
      <c r="H1738" s="247"/>
      <c r="I1738" s="247"/>
      <c r="J1738" s="247"/>
      <c r="K1738" s="247"/>
      <c r="L1738" s="247"/>
      <c r="M1738" s="247"/>
      <c r="N1738" s="247"/>
      <c r="O1738" s="247"/>
      <c r="P1738" s="247"/>
      <c r="Q1738" s="247"/>
      <c r="R1738" s="247"/>
      <c r="S1738" s="247"/>
      <c r="T1738" s="247"/>
      <c r="U1738" s="247"/>
      <c r="V1738" s="247"/>
      <c r="W1738" s="247"/>
      <c r="X1738" s="247"/>
      <c r="Y1738" s="247"/>
      <c r="Z1738" s="247"/>
      <c r="AA1738" s="247"/>
      <c r="AB1738" s="247"/>
      <c r="AC1738" s="247"/>
    </row>
    <row r="1739">
      <c r="A1739" s="247"/>
      <c r="B1739" s="373"/>
      <c r="C1739" s="373"/>
      <c r="D1739" s="373"/>
      <c r="E1739" s="247"/>
      <c r="F1739" s="247"/>
      <c r="G1739" s="247"/>
      <c r="H1739" s="247"/>
      <c r="I1739" s="247"/>
      <c r="J1739" s="247"/>
      <c r="K1739" s="247"/>
      <c r="L1739" s="247"/>
      <c r="M1739" s="247"/>
      <c r="N1739" s="247"/>
      <c r="O1739" s="247"/>
      <c r="P1739" s="247"/>
      <c r="Q1739" s="247"/>
      <c r="R1739" s="247"/>
      <c r="S1739" s="247"/>
      <c r="T1739" s="247"/>
      <c r="U1739" s="247"/>
      <c r="V1739" s="247"/>
      <c r="W1739" s="247"/>
      <c r="X1739" s="247"/>
      <c r="Y1739" s="247"/>
      <c r="Z1739" s="247"/>
      <c r="AA1739" s="247"/>
      <c r="AB1739" s="247"/>
      <c r="AC1739" s="247"/>
    </row>
    <row r="1740">
      <c r="A1740" s="247"/>
      <c r="B1740" s="373"/>
      <c r="C1740" s="373"/>
      <c r="D1740" s="373"/>
      <c r="E1740" s="247"/>
      <c r="F1740" s="247"/>
      <c r="G1740" s="247"/>
      <c r="H1740" s="247"/>
      <c r="I1740" s="247"/>
      <c r="J1740" s="247"/>
      <c r="K1740" s="247"/>
      <c r="L1740" s="247"/>
      <c r="M1740" s="247"/>
      <c r="N1740" s="247"/>
      <c r="O1740" s="247"/>
      <c r="P1740" s="247"/>
      <c r="Q1740" s="247"/>
      <c r="R1740" s="247"/>
      <c r="S1740" s="247"/>
      <c r="T1740" s="247"/>
      <c r="U1740" s="247"/>
      <c r="V1740" s="247"/>
      <c r="W1740" s="247"/>
      <c r="X1740" s="247"/>
      <c r="Y1740" s="247"/>
      <c r="Z1740" s="247"/>
      <c r="AA1740" s="247"/>
      <c r="AB1740" s="247"/>
      <c r="AC1740" s="247"/>
    </row>
    <row r="1741">
      <c r="A1741" s="247"/>
      <c r="B1741" s="373"/>
      <c r="C1741" s="373"/>
      <c r="D1741" s="373"/>
      <c r="E1741" s="247"/>
      <c r="F1741" s="247"/>
      <c r="G1741" s="247"/>
      <c r="H1741" s="247"/>
      <c r="I1741" s="247"/>
      <c r="J1741" s="247"/>
      <c r="K1741" s="247"/>
      <c r="L1741" s="247"/>
      <c r="M1741" s="247"/>
      <c r="N1741" s="247"/>
      <c r="O1741" s="247"/>
      <c r="P1741" s="247"/>
      <c r="Q1741" s="247"/>
      <c r="R1741" s="247"/>
      <c r="S1741" s="247"/>
      <c r="T1741" s="247"/>
      <c r="U1741" s="247"/>
      <c r="V1741" s="247"/>
      <c r="W1741" s="247"/>
      <c r="X1741" s="247"/>
      <c r="Y1741" s="247"/>
      <c r="Z1741" s="247"/>
      <c r="AA1741" s="247"/>
      <c r="AB1741" s="247"/>
      <c r="AC1741" s="247"/>
    </row>
    <row r="1742">
      <c r="A1742" s="247"/>
      <c r="B1742" s="373"/>
      <c r="C1742" s="373"/>
      <c r="D1742" s="373"/>
      <c r="E1742" s="247"/>
      <c r="F1742" s="247"/>
      <c r="G1742" s="247"/>
      <c r="H1742" s="247"/>
      <c r="I1742" s="247"/>
      <c r="J1742" s="247"/>
      <c r="K1742" s="247"/>
      <c r="L1742" s="247"/>
      <c r="M1742" s="247"/>
      <c r="N1742" s="247"/>
      <c r="O1742" s="247"/>
      <c r="P1742" s="247"/>
      <c r="Q1742" s="247"/>
      <c r="R1742" s="247"/>
      <c r="S1742" s="247"/>
      <c r="T1742" s="247"/>
      <c r="U1742" s="247"/>
      <c r="V1742" s="247"/>
      <c r="W1742" s="247"/>
      <c r="X1742" s="247"/>
      <c r="Y1742" s="247"/>
      <c r="Z1742" s="247"/>
      <c r="AA1742" s="247"/>
      <c r="AB1742" s="247"/>
      <c r="AC1742" s="247"/>
    </row>
    <row r="1743">
      <c r="A1743" s="247"/>
      <c r="B1743" s="373"/>
      <c r="C1743" s="373"/>
      <c r="D1743" s="373"/>
      <c r="E1743" s="247"/>
      <c r="F1743" s="247"/>
      <c r="G1743" s="247"/>
      <c r="H1743" s="247"/>
      <c r="I1743" s="247"/>
      <c r="J1743" s="247"/>
      <c r="K1743" s="247"/>
      <c r="L1743" s="247"/>
      <c r="M1743" s="247"/>
      <c r="N1743" s="247"/>
      <c r="O1743" s="247"/>
      <c r="P1743" s="247"/>
      <c r="Q1743" s="247"/>
      <c r="R1743" s="247"/>
      <c r="S1743" s="247"/>
      <c r="T1743" s="247"/>
      <c r="U1743" s="247"/>
      <c r="V1743" s="247"/>
      <c r="W1743" s="247"/>
      <c r="X1743" s="247"/>
      <c r="Y1743" s="247"/>
      <c r="Z1743" s="247"/>
      <c r="AA1743" s="247"/>
      <c r="AB1743" s="247"/>
      <c r="AC1743" s="247"/>
    </row>
    <row r="1744">
      <c r="A1744" s="247"/>
      <c r="B1744" s="373"/>
      <c r="C1744" s="373"/>
      <c r="D1744" s="373"/>
      <c r="E1744" s="247"/>
      <c r="F1744" s="247"/>
      <c r="G1744" s="247"/>
      <c r="H1744" s="247"/>
      <c r="I1744" s="247"/>
      <c r="J1744" s="247"/>
      <c r="K1744" s="247"/>
      <c r="L1744" s="247"/>
      <c r="M1744" s="247"/>
      <c r="N1744" s="247"/>
      <c r="O1744" s="247"/>
      <c r="P1744" s="247"/>
      <c r="Q1744" s="247"/>
      <c r="R1744" s="247"/>
      <c r="S1744" s="247"/>
      <c r="T1744" s="247"/>
      <c r="U1744" s="247"/>
      <c r="V1744" s="247"/>
      <c r="W1744" s="247"/>
      <c r="X1744" s="247"/>
      <c r="Y1744" s="247"/>
      <c r="Z1744" s="247"/>
      <c r="AA1744" s="247"/>
      <c r="AB1744" s="247"/>
      <c r="AC1744" s="247"/>
    </row>
    <row r="1745">
      <c r="A1745" s="247"/>
      <c r="B1745" s="373"/>
      <c r="C1745" s="373"/>
      <c r="D1745" s="373"/>
      <c r="E1745" s="247"/>
      <c r="F1745" s="247"/>
      <c r="G1745" s="247"/>
      <c r="H1745" s="247"/>
      <c r="I1745" s="247"/>
      <c r="J1745" s="247"/>
      <c r="K1745" s="247"/>
      <c r="L1745" s="247"/>
      <c r="M1745" s="247"/>
      <c r="N1745" s="247"/>
      <c r="O1745" s="247"/>
      <c r="P1745" s="247"/>
      <c r="Q1745" s="247"/>
      <c r="R1745" s="247"/>
      <c r="S1745" s="247"/>
      <c r="T1745" s="247"/>
      <c r="U1745" s="247"/>
      <c r="V1745" s="247"/>
      <c r="W1745" s="247"/>
      <c r="X1745" s="247"/>
      <c r="Y1745" s="247"/>
      <c r="Z1745" s="247"/>
      <c r="AA1745" s="247"/>
      <c r="AB1745" s="247"/>
      <c r="AC1745" s="247"/>
    </row>
    <row r="1746">
      <c r="A1746" s="247"/>
      <c r="B1746" s="373"/>
      <c r="C1746" s="373"/>
      <c r="D1746" s="373"/>
      <c r="E1746" s="247"/>
      <c r="F1746" s="247"/>
      <c r="G1746" s="247"/>
      <c r="H1746" s="247"/>
      <c r="I1746" s="247"/>
      <c r="J1746" s="247"/>
      <c r="K1746" s="247"/>
      <c r="L1746" s="247"/>
      <c r="M1746" s="247"/>
      <c r="N1746" s="247"/>
      <c r="O1746" s="247"/>
      <c r="P1746" s="247"/>
      <c r="Q1746" s="247"/>
      <c r="R1746" s="247"/>
      <c r="S1746" s="247"/>
      <c r="T1746" s="247"/>
      <c r="U1746" s="247"/>
      <c r="V1746" s="247"/>
      <c r="W1746" s="247"/>
      <c r="X1746" s="247"/>
      <c r="Y1746" s="247"/>
      <c r="Z1746" s="247"/>
      <c r="AA1746" s="247"/>
      <c r="AB1746" s="247"/>
      <c r="AC1746" s="247"/>
    </row>
    <row r="1747">
      <c r="A1747" s="247"/>
      <c r="B1747" s="373"/>
      <c r="C1747" s="373"/>
      <c r="D1747" s="373"/>
      <c r="E1747" s="247"/>
      <c r="F1747" s="247"/>
      <c r="G1747" s="247"/>
      <c r="H1747" s="247"/>
      <c r="I1747" s="247"/>
      <c r="J1747" s="247"/>
      <c r="K1747" s="247"/>
      <c r="L1747" s="247"/>
      <c r="M1747" s="247"/>
      <c r="N1747" s="247"/>
      <c r="O1747" s="247"/>
      <c r="P1747" s="247"/>
      <c r="Q1747" s="247"/>
      <c r="R1747" s="247"/>
      <c r="S1747" s="247"/>
      <c r="T1747" s="247"/>
      <c r="U1747" s="247"/>
      <c r="V1747" s="247"/>
      <c r="W1747" s="247"/>
      <c r="X1747" s="247"/>
      <c r="Y1747" s="247"/>
      <c r="Z1747" s="247"/>
      <c r="AA1747" s="247"/>
      <c r="AB1747" s="247"/>
      <c r="AC1747" s="247"/>
    </row>
    <row r="1748">
      <c r="A1748" s="247"/>
      <c r="B1748" s="373"/>
      <c r="C1748" s="373"/>
      <c r="D1748" s="373"/>
      <c r="E1748" s="247"/>
      <c r="F1748" s="247"/>
      <c r="G1748" s="247"/>
      <c r="H1748" s="247"/>
      <c r="I1748" s="247"/>
      <c r="J1748" s="247"/>
      <c r="K1748" s="247"/>
      <c r="L1748" s="247"/>
      <c r="M1748" s="247"/>
      <c r="N1748" s="247"/>
      <c r="O1748" s="247"/>
      <c r="P1748" s="247"/>
      <c r="Q1748" s="247"/>
      <c r="R1748" s="247"/>
      <c r="S1748" s="247"/>
      <c r="T1748" s="247"/>
      <c r="U1748" s="247"/>
      <c r="V1748" s="247"/>
      <c r="W1748" s="247"/>
      <c r="X1748" s="247"/>
      <c r="Y1748" s="247"/>
      <c r="Z1748" s="247"/>
      <c r="AA1748" s="247"/>
      <c r="AB1748" s="247"/>
      <c r="AC1748" s="247"/>
    </row>
    <row r="1749">
      <c r="A1749" s="247"/>
      <c r="B1749" s="373"/>
      <c r="C1749" s="373"/>
      <c r="D1749" s="373"/>
      <c r="E1749" s="247"/>
      <c r="F1749" s="247"/>
      <c r="G1749" s="247"/>
      <c r="H1749" s="247"/>
      <c r="I1749" s="247"/>
      <c r="J1749" s="247"/>
      <c r="K1749" s="247"/>
      <c r="L1749" s="247"/>
      <c r="M1749" s="247"/>
      <c r="N1749" s="247"/>
      <c r="O1749" s="247"/>
      <c r="P1749" s="247"/>
      <c r="Q1749" s="247"/>
      <c r="R1749" s="247"/>
      <c r="S1749" s="247"/>
      <c r="T1749" s="247"/>
      <c r="U1749" s="247"/>
      <c r="V1749" s="247"/>
      <c r="W1749" s="247"/>
      <c r="X1749" s="247"/>
      <c r="Y1749" s="247"/>
      <c r="Z1749" s="247"/>
      <c r="AA1749" s="247"/>
      <c r="AB1749" s="247"/>
      <c r="AC1749" s="247"/>
    </row>
    <row r="1750">
      <c r="A1750" s="247"/>
      <c r="B1750" s="373"/>
      <c r="C1750" s="373"/>
      <c r="D1750" s="373"/>
      <c r="E1750" s="247"/>
      <c r="F1750" s="247"/>
      <c r="G1750" s="247"/>
      <c r="H1750" s="247"/>
      <c r="I1750" s="247"/>
      <c r="J1750" s="247"/>
      <c r="K1750" s="247"/>
      <c r="L1750" s="247"/>
      <c r="M1750" s="247"/>
      <c r="N1750" s="247"/>
      <c r="O1750" s="247"/>
      <c r="P1750" s="247"/>
      <c r="Q1750" s="247"/>
      <c r="R1750" s="247"/>
      <c r="S1750" s="247"/>
      <c r="T1750" s="247"/>
      <c r="U1750" s="247"/>
      <c r="V1750" s="247"/>
      <c r="W1750" s="247"/>
      <c r="X1750" s="247"/>
      <c r="Y1750" s="247"/>
      <c r="Z1750" s="247"/>
      <c r="AA1750" s="247"/>
      <c r="AB1750" s="247"/>
      <c r="AC1750" s="247"/>
    </row>
    <row r="1751">
      <c r="A1751" s="247"/>
      <c r="B1751" s="373"/>
      <c r="C1751" s="373"/>
      <c r="D1751" s="373"/>
      <c r="E1751" s="247"/>
      <c r="F1751" s="247"/>
      <c r="G1751" s="247"/>
      <c r="H1751" s="247"/>
      <c r="I1751" s="247"/>
      <c r="J1751" s="247"/>
      <c r="K1751" s="247"/>
      <c r="L1751" s="247"/>
      <c r="M1751" s="247"/>
      <c r="N1751" s="247"/>
      <c r="O1751" s="247"/>
      <c r="P1751" s="247"/>
      <c r="Q1751" s="247"/>
      <c r="R1751" s="247"/>
      <c r="S1751" s="247"/>
      <c r="T1751" s="247"/>
      <c r="U1751" s="247"/>
      <c r="V1751" s="247"/>
      <c r="W1751" s="247"/>
      <c r="X1751" s="247"/>
      <c r="Y1751" s="247"/>
      <c r="Z1751" s="247"/>
      <c r="AA1751" s="247"/>
      <c r="AB1751" s="247"/>
      <c r="AC1751" s="247"/>
    </row>
    <row r="1752">
      <c r="A1752" s="247"/>
      <c r="B1752" s="373"/>
      <c r="C1752" s="373"/>
      <c r="D1752" s="373"/>
      <c r="E1752" s="247"/>
      <c r="F1752" s="247"/>
      <c r="G1752" s="247"/>
      <c r="H1752" s="247"/>
      <c r="I1752" s="247"/>
      <c r="J1752" s="247"/>
      <c r="K1752" s="247"/>
      <c r="L1752" s="247"/>
      <c r="M1752" s="247"/>
      <c r="N1752" s="247"/>
      <c r="O1752" s="247"/>
      <c r="P1752" s="247"/>
      <c r="Q1752" s="247"/>
      <c r="R1752" s="247"/>
      <c r="S1752" s="247"/>
      <c r="T1752" s="247"/>
      <c r="U1752" s="247"/>
      <c r="V1752" s="247"/>
      <c r="W1752" s="247"/>
      <c r="X1752" s="247"/>
      <c r="Y1752" s="247"/>
      <c r="Z1752" s="247"/>
      <c r="AA1752" s="247"/>
      <c r="AB1752" s="247"/>
      <c r="AC1752" s="247"/>
    </row>
    <row r="1753">
      <c r="A1753" s="247"/>
      <c r="B1753" s="373"/>
      <c r="C1753" s="373"/>
      <c r="D1753" s="373"/>
      <c r="E1753" s="247"/>
      <c r="F1753" s="247"/>
      <c r="G1753" s="247"/>
      <c r="H1753" s="247"/>
      <c r="I1753" s="247"/>
      <c r="J1753" s="247"/>
      <c r="K1753" s="247"/>
      <c r="L1753" s="247"/>
      <c r="M1753" s="247"/>
      <c r="N1753" s="247"/>
      <c r="O1753" s="247"/>
      <c r="P1753" s="247"/>
      <c r="Q1753" s="247"/>
      <c r="R1753" s="247"/>
      <c r="S1753" s="247"/>
      <c r="T1753" s="247"/>
      <c r="U1753" s="247"/>
      <c r="V1753" s="247"/>
      <c r="W1753" s="247"/>
      <c r="X1753" s="247"/>
      <c r="Y1753" s="247"/>
      <c r="Z1753" s="247"/>
      <c r="AA1753" s="247"/>
      <c r="AB1753" s="247"/>
      <c r="AC1753" s="247"/>
    </row>
    <row r="1754">
      <c r="A1754" s="247"/>
      <c r="B1754" s="373"/>
      <c r="C1754" s="373"/>
      <c r="D1754" s="373"/>
      <c r="E1754" s="247"/>
      <c r="F1754" s="247"/>
      <c r="G1754" s="247"/>
      <c r="H1754" s="247"/>
      <c r="I1754" s="247"/>
      <c r="J1754" s="247"/>
      <c r="K1754" s="247"/>
      <c r="L1754" s="247"/>
      <c r="M1754" s="247"/>
      <c r="N1754" s="247"/>
      <c r="O1754" s="247"/>
      <c r="P1754" s="247"/>
      <c r="Q1754" s="247"/>
      <c r="R1754" s="247"/>
      <c r="S1754" s="247"/>
      <c r="T1754" s="247"/>
      <c r="U1754" s="247"/>
      <c r="V1754" s="247"/>
      <c r="W1754" s="247"/>
      <c r="X1754" s="247"/>
      <c r="Y1754" s="247"/>
      <c r="Z1754" s="247"/>
      <c r="AA1754" s="247"/>
      <c r="AB1754" s="247"/>
      <c r="AC1754" s="247"/>
    </row>
    <row r="1755">
      <c r="A1755" s="247"/>
      <c r="B1755" s="373"/>
      <c r="C1755" s="373"/>
      <c r="D1755" s="373"/>
      <c r="E1755" s="247"/>
      <c r="F1755" s="247"/>
      <c r="G1755" s="247"/>
      <c r="H1755" s="247"/>
      <c r="I1755" s="247"/>
      <c r="J1755" s="247"/>
      <c r="K1755" s="247"/>
      <c r="L1755" s="247"/>
      <c r="M1755" s="247"/>
      <c r="N1755" s="247"/>
      <c r="O1755" s="247"/>
      <c r="P1755" s="247"/>
      <c r="Q1755" s="247"/>
      <c r="R1755" s="247"/>
      <c r="S1755" s="247"/>
      <c r="T1755" s="247"/>
      <c r="U1755" s="247"/>
      <c r="V1755" s="247"/>
      <c r="W1755" s="247"/>
      <c r="X1755" s="247"/>
      <c r="Y1755" s="247"/>
      <c r="Z1755" s="247"/>
      <c r="AA1755" s="247"/>
      <c r="AB1755" s="247"/>
      <c r="AC1755" s="247"/>
    </row>
    <row r="1756">
      <c r="A1756" s="247"/>
      <c r="B1756" s="373"/>
      <c r="C1756" s="373"/>
      <c r="D1756" s="373"/>
      <c r="E1756" s="247"/>
      <c r="F1756" s="247"/>
      <c r="G1756" s="247"/>
      <c r="H1756" s="247"/>
      <c r="I1756" s="247"/>
      <c r="J1756" s="247"/>
      <c r="K1756" s="247"/>
      <c r="L1756" s="247"/>
      <c r="M1756" s="247"/>
      <c r="N1756" s="247"/>
      <c r="O1756" s="247"/>
      <c r="P1756" s="247"/>
      <c r="Q1756" s="247"/>
      <c r="R1756" s="247"/>
      <c r="S1756" s="247"/>
      <c r="T1756" s="247"/>
      <c r="U1756" s="247"/>
      <c r="V1756" s="247"/>
      <c r="W1756" s="247"/>
      <c r="X1756" s="247"/>
      <c r="Y1756" s="247"/>
      <c r="Z1756" s="247"/>
      <c r="AA1756" s="247"/>
      <c r="AB1756" s="247"/>
      <c r="AC1756" s="247"/>
    </row>
    <row r="1757">
      <c r="A1757" s="247"/>
      <c r="B1757" s="373"/>
      <c r="C1757" s="373"/>
      <c r="D1757" s="373"/>
      <c r="E1757" s="247"/>
      <c r="F1757" s="247"/>
      <c r="G1757" s="247"/>
      <c r="H1757" s="247"/>
      <c r="I1757" s="247"/>
      <c r="J1757" s="247"/>
      <c r="K1757" s="247"/>
      <c r="L1757" s="247"/>
      <c r="M1757" s="247"/>
      <c r="N1757" s="247"/>
      <c r="O1757" s="247"/>
      <c r="P1757" s="247"/>
      <c r="Q1757" s="247"/>
      <c r="R1757" s="247"/>
      <c r="S1757" s="247"/>
      <c r="T1757" s="247"/>
      <c r="U1757" s="247"/>
      <c r="V1757" s="247"/>
      <c r="W1757" s="247"/>
      <c r="X1757" s="247"/>
      <c r="Y1757" s="247"/>
      <c r="Z1757" s="247"/>
      <c r="AA1757" s="247"/>
      <c r="AB1757" s="247"/>
      <c r="AC1757" s="247"/>
    </row>
    <row r="1758">
      <c r="A1758" s="247"/>
      <c r="B1758" s="373"/>
      <c r="C1758" s="373"/>
      <c r="D1758" s="373"/>
      <c r="E1758" s="247"/>
      <c r="F1758" s="247"/>
      <c r="G1758" s="247"/>
      <c r="H1758" s="247"/>
      <c r="I1758" s="247"/>
      <c r="J1758" s="247"/>
      <c r="K1758" s="247"/>
      <c r="L1758" s="247"/>
      <c r="M1758" s="247"/>
      <c r="N1758" s="247"/>
      <c r="O1758" s="247"/>
      <c r="P1758" s="247"/>
      <c r="Q1758" s="247"/>
      <c r="R1758" s="247"/>
      <c r="S1758" s="247"/>
      <c r="T1758" s="247"/>
      <c r="U1758" s="247"/>
      <c r="V1758" s="247"/>
      <c r="W1758" s="247"/>
      <c r="X1758" s="247"/>
      <c r="Y1758" s="247"/>
      <c r="Z1758" s="247"/>
      <c r="AA1758" s="247"/>
      <c r="AB1758" s="247"/>
      <c r="AC1758" s="247"/>
    </row>
    <row r="1759">
      <c r="A1759" s="247"/>
      <c r="B1759" s="373"/>
      <c r="C1759" s="373"/>
      <c r="D1759" s="373"/>
      <c r="E1759" s="247"/>
      <c r="F1759" s="247"/>
      <c r="G1759" s="247"/>
      <c r="H1759" s="247"/>
      <c r="I1759" s="247"/>
      <c r="J1759" s="247"/>
      <c r="K1759" s="247"/>
      <c r="L1759" s="247"/>
      <c r="M1759" s="247"/>
      <c r="N1759" s="247"/>
      <c r="O1759" s="247"/>
      <c r="P1759" s="247"/>
      <c r="Q1759" s="247"/>
      <c r="R1759" s="247"/>
      <c r="S1759" s="247"/>
      <c r="T1759" s="247"/>
      <c r="U1759" s="247"/>
      <c r="V1759" s="247"/>
      <c r="W1759" s="247"/>
      <c r="X1759" s="247"/>
      <c r="Y1759" s="247"/>
      <c r="Z1759" s="247"/>
      <c r="AA1759" s="247"/>
      <c r="AB1759" s="247"/>
      <c r="AC1759" s="247"/>
    </row>
    <row r="1760">
      <c r="A1760" s="247"/>
      <c r="B1760" s="373"/>
      <c r="C1760" s="373"/>
      <c r="D1760" s="373"/>
      <c r="E1760" s="247"/>
      <c r="F1760" s="247"/>
      <c r="G1760" s="247"/>
      <c r="H1760" s="247"/>
      <c r="I1760" s="247"/>
      <c r="J1760" s="247"/>
      <c r="K1760" s="247"/>
      <c r="L1760" s="247"/>
      <c r="M1760" s="247"/>
      <c r="N1760" s="247"/>
      <c r="O1760" s="247"/>
      <c r="P1760" s="247"/>
      <c r="Q1760" s="247"/>
      <c r="R1760" s="247"/>
      <c r="S1760" s="247"/>
      <c r="T1760" s="247"/>
      <c r="U1760" s="247"/>
      <c r="V1760" s="247"/>
      <c r="W1760" s="247"/>
      <c r="X1760" s="247"/>
      <c r="Y1760" s="247"/>
      <c r="Z1760" s="247"/>
      <c r="AA1760" s="247"/>
      <c r="AB1760" s="247"/>
      <c r="AC1760" s="247"/>
    </row>
    <row r="1761">
      <c r="A1761" s="247"/>
      <c r="B1761" s="373"/>
      <c r="C1761" s="373"/>
      <c r="D1761" s="373"/>
      <c r="E1761" s="247"/>
      <c r="F1761" s="247"/>
      <c r="G1761" s="247"/>
      <c r="H1761" s="247"/>
      <c r="I1761" s="247"/>
      <c r="J1761" s="247"/>
      <c r="K1761" s="247"/>
      <c r="L1761" s="247"/>
      <c r="M1761" s="247"/>
      <c r="N1761" s="247"/>
      <c r="O1761" s="247"/>
      <c r="P1761" s="247"/>
      <c r="Q1761" s="247"/>
      <c r="R1761" s="247"/>
      <c r="S1761" s="247"/>
      <c r="T1761" s="247"/>
      <c r="U1761" s="247"/>
      <c r="V1761" s="247"/>
      <c r="W1761" s="247"/>
      <c r="X1761" s="247"/>
      <c r="Y1761" s="247"/>
      <c r="Z1761" s="247"/>
      <c r="AA1761" s="247"/>
      <c r="AB1761" s="247"/>
      <c r="AC1761" s="247"/>
    </row>
    <row r="1762">
      <c r="A1762" s="247"/>
      <c r="B1762" s="373"/>
      <c r="C1762" s="373"/>
      <c r="D1762" s="373"/>
      <c r="E1762" s="247"/>
      <c r="F1762" s="247"/>
      <c r="G1762" s="247"/>
      <c r="H1762" s="247"/>
      <c r="I1762" s="247"/>
      <c r="J1762" s="247"/>
      <c r="K1762" s="247"/>
      <c r="L1762" s="247"/>
      <c r="M1762" s="247"/>
      <c r="N1762" s="247"/>
      <c r="O1762" s="247"/>
      <c r="P1762" s="247"/>
      <c r="Q1762" s="247"/>
      <c r="R1762" s="247"/>
      <c r="S1762" s="247"/>
      <c r="T1762" s="247"/>
      <c r="U1762" s="247"/>
      <c r="V1762" s="247"/>
      <c r="W1762" s="247"/>
      <c r="X1762" s="247"/>
      <c r="Y1762" s="247"/>
      <c r="Z1762" s="247"/>
      <c r="AA1762" s="247"/>
      <c r="AB1762" s="247"/>
      <c r="AC1762" s="247"/>
    </row>
    <row r="1763">
      <c r="A1763" s="247"/>
      <c r="B1763" s="373"/>
      <c r="C1763" s="373"/>
      <c r="D1763" s="373"/>
      <c r="E1763" s="247"/>
      <c r="F1763" s="247"/>
      <c r="G1763" s="247"/>
      <c r="H1763" s="247"/>
      <c r="I1763" s="247"/>
      <c r="J1763" s="247"/>
      <c r="K1763" s="247"/>
      <c r="L1763" s="247"/>
      <c r="M1763" s="247"/>
      <c r="N1763" s="247"/>
      <c r="O1763" s="247"/>
      <c r="P1763" s="247"/>
      <c r="Q1763" s="247"/>
      <c r="R1763" s="247"/>
      <c r="S1763" s="247"/>
      <c r="T1763" s="247"/>
      <c r="U1763" s="247"/>
      <c r="V1763" s="247"/>
      <c r="W1763" s="247"/>
      <c r="X1763" s="247"/>
      <c r="Y1763" s="247"/>
      <c r="Z1763" s="247"/>
      <c r="AA1763" s="247"/>
      <c r="AB1763" s="247"/>
      <c r="AC1763" s="247"/>
    </row>
    <row r="1764">
      <c r="A1764" s="247"/>
      <c r="B1764" s="373"/>
      <c r="C1764" s="373"/>
      <c r="D1764" s="373"/>
      <c r="E1764" s="247"/>
      <c r="F1764" s="247"/>
      <c r="G1764" s="247"/>
      <c r="H1764" s="247"/>
      <c r="I1764" s="247"/>
      <c r="J1764" s="247"/>
      <c r="K1764" s="247"/>
      <c r="L1764" s="247"/>
      <c r="M1764" s="247"/>
      <c r="N1764" s="247"/>
      <c r="O1764" s="247"/>
      <c r="P1764" s="247"/>
      <c r="Q1764" s="247"/>
      <c r="R1764" s="247"/>
      <c r="S1764" s="247"/>
      <c r="T1764" s="247"/>
      <c r="U1764" s="247"/>
      <c r="V1764" s="247"/>
      <c r="W1764" s="247"/>
      <c r="X1764" s="247"/>
      <c r="Y1764" s="247"/>
      <c r="Z1764" s="247"/>
      <c r="AA1764" s="247"/>
      <c r="AB1764" s="247"/>
      <c r="AC1764" s="247"/>
    </row>
    <row r="1765">
      <c r="A1765" s="247"/>
      <c r="B1765" s="373"/>
      <c r="C1765" s="373"/>
      <c r="D1765" s="373"/>
      <c r="E1765" s="247"/>
      <c r="F1765" s="247"/>
      <c r="G1765" s="247"/>
      <c r="H1765" s="247"/>
      <c r="I1765" s="247"/>
      <c r="J1765" s="247"/>
      <c r="K1765" s="247"/>
      <c r="L1765" s="247"/>
      <c r="M1765" s="247"/>
      <c r="N1765" s="247"/>
      <c r="O1765" s="247"/>
      <c r="P1765" s="247"/>
      <c r="Q1765" s="247"/>
      <c r="R1765" s="247"/>
      <c r="S1765" s="247"/>
      <c r="T1765" s="247"/>
      <c r="U1765" s="247"/>
      <c r="V1765" s="247"/>
      <c r="W1765" s="247"/>
      <c r="X1765" s="247"/>
      <c r="Y1765" s="247"/>
      <c r="Z1765" s="247"/>
      <c r="AA1765" s="247"/>
      <c r="AB1765" s="247"/>
      <c r="AC1765" s="247"/>
    </row>
    <row r="1766">
      <c r="A1766" s="247"/>
      <c r="B1766" s="373"/>
      <c r="C1766" s="373"/>
      <c r="D1766" s="373"/>
      <c r="E1766" s="247"/>
      <c r="F1766" s="247"/>
      <c r="G1766" s="247"/>
      <c r="H1766" s="247"/>
      <c r="I1766" s="247"/>
      <c r="J1766" s="247"/>
      <c r="K1766" s="247"/>
      <c r="L1766" s="247"/>
      <c r="M1766" s="247"/>
      <c r="N1766" s="247"/>
      <c r="O1766" s="247"/>
      <c r="P1766" s="247"/>
      <c r="Q1766" s="247"/>
      <c r="R1766" s="247"/>
      <c r="S1766" s="247"/>
      <c r="T1766" s="247"/>
      <c r="U1766" s="247"/>
      <c r="V1766" s="247"/>
      <c r="W1766" s="247"/>
      <c r="X1766" s="247"/>
      <c r="Y1766" s="247"/>
      <c r="Z1766" s="247"/>
      <c r="AA1766" s="247"/>
      <c r="AB1766" s="247"/>
      <c r="AC1766" s="247"/>
    </row>
    <row r="1767">
      <c r="A1767" s="247"/>
      <c r="B1767" s="373"/>
      <c r="C1767" s="373"/>
      <c r="D1767" s="373"/>
      <c r="E1767" s="247"/>
      <c r="F1767" s="247"/>
      <c r="G1767" s="247"/>
      <c r="H1767" s="247"/>
      <c r="I1767" s="247"/>
      <c r="J1767" s="247"/>
      <c r="K1767" s="247"/>
      <c r="L1767" s="247"/>
      <c r="M1767" s="247"/>
      <c r="N1767" s="247"/>
      <c r="O1767" s="247"/>
      <c r="P1767" s="247"/>
      <c r="Q1767" s="247"/>
      <c r="R1767" s="247"/>
      <c r="S1767" s="247"/>
      <c r="T1767" s="247"/>
      <c r="U1767" s="247"/>
      <c r="V1767" s="247"/>
      <c r="W1767" s="247"/>
      <c r="X1767" s="247"/>
      <c r="Y1767" s="247"/>
      <c r="Z1767" s="247"/>
      <c r="AA1767" s="247"/>
      <c r="AB1767" s="247"/>
      <c r="AC1767" s="247"/>
    </row>
    <row r="1768">
      <c r="A1768" s="247"/>
      <c r="B1768" s="373"/>
      <c r="C1768" s="373"/>
      <c r="D1768" s="373"/>
      <c r="E1768" s="247"/>
      <c r="F1768" s="247"/>
      <c r="G1768" s="247"/>
      <c r="H1768" s="247"/>
      <c r="I1768" s="247"/>
      <c r="J1768" s="247"/>
      <c r="K1768" s="247"/>
      <c r="L1768" s="247"/>
      <c r="M1768" s="247"/>
      <c r="N1768" s="247"/>
      <c r="O1768" s="247"/>
      <c r="P1768" s="247"/>
      <c r="Q1768" s="247"/>
      <c r="R1768" s="247"/>
      <c r="S1768" s="247"/>
      <c r="T1768" s="247"/>
      <c r="U1768" s="247"/>
      <c r="V1768" s="247"/>
      <c r="W1768" s="247"/>
      <c r="X1768" s="247"/>
      <c r="Y1768" s="247"/>
      <c r="Z1768" s="247"/>
      <c r="AA1768" s="247"/>
      <c r="AB1768" s="247"/>
      <c r="AC1768" s="247"/>
    </row>
    <row r="1769">
      <c r="A1769" s="247"/>
      <c r="B1769" s="373"/>
      <c r="C1769" s="373"/>
      <c r="D1769" s="373"/>
      <c r="E1769" s="247"/>
      <c r="F1769" s="247"/>
      <c r="G1769" s="247"/>
      <c r="H1769" s="247"/>
      <c r="I1769" s="247"/>
      <c r="J1769" s="247"/>
      <c r="K1769" s="247"/>
      <c r="L1769" s="247"/>
      <c r="M1769" s="247"/>
      <c r="N1769" s="247"/>
      <c r="O1769" s="247"/>
      <c r="P1769" s="247"/>
      <c r="Q1769" s="247"/>
      <c r="R1769" s="247"/>
      <c r="S1769" s="247"/>
      <c r="T1769" s="247"/>
      <c r="U1769" s="247"/>
      <c r="V1769" s="247"/>
      <c r="W1769" s="247"/>
      <c r="X1769" s="247"/>
      <c r="Y1769" s="247"/>
      <c r="Z1769" s="247"/>
      <c r="AA1769" s="247"/>
      <c r="AB1769" s="247"/>
      <c r="AC1769" s="247"/>
    </row>
    <row r="1770">
      <c r="A1770" s="247"/>
      <c r="B1770" s="373"/>
      <c r="C1770" s="373"/>
      <c r="D1770" s="373"/>
      <c r="E1770" s="247"/>
      <c r="F1770" s="247"/>
      <c r="G1770" s="247"/>
      <c r="H1770" s="247"/>
      <c r="I1770" s="247"/>
      <c r="J1770" s="247"/>
      <c r="K1770" s="247"/>
      <c r="L1770" s="247"/>
      <c r="M1770" s="247"/>
      <c r="N1770" s="247"/>
      <c r="O1770" s="247"/>
      <c r="P1770" s="247"/>
      <c r="Q1770" s="247"/>
      <c r="R1770" s="247"/>
      <c r="S1770" s="247"/>
      <c r="T1770" s="247"/>
      <c r="U1770" s="247"/>
      <c r="V1770" s="247"/>
      <c r="W1770" s="247"/>
      <c r="X1770" s="247"/>
      <c r="Y1770" s="247"/>
      <c r="Z1770" s="247"/>
      <c r="AA1770" s="247"/>
      <c r="AB1770" s="247"/>
      <c r="AC1770" s="247"/>
    </row>
    <row r="1771">
      <c r="A1771" s="247"/>
      <c r="B1771" s="373"/>
      <c r="C1771" s="373"/>
      <c r="D1771" s="373"/>
      <c r="E1771" s="247"/>
      <c r="F1771" s="247"/>
      <c r="G1771" s="247"/>
      <c r="H1771" s="247"/>
      <c r="I1771" s="247"/>
      <c r="J1771" s="247"/>
      <c r="K1771" s="247"/>
      <c r="L1771" s="247"/>
      <c r="M1771" s="247"/>
      <c r="N1771" s="247"/>
      <c r="O1771" s="247"/>
      <c r="P1771" s="247"/>
      <c r="Q1771" s="247"/>
      <c r="R1771" s="247"/>
      <c r="S1771" s="247"/>
      <c r="T1771" s="247"/>
      <c r="U1771" s="247"/>
      <c r="V1771" s="247"/>
      <c r="W1771" s="247"/>
      <c r="X1771" s="247"/>
      <c r="Y1771" s="247"/>
      <c r="Z1771" s="247"/>
      <c r="AA1771" s="247"/>
      <c r="AB1771" s="247"/>
      <c r="AC1771" s="247"/>
    </row>
    <row r="1772">
      <c r="A1772" s="247"/>
      <c r="B1772" s="373"/>
      <c r="C1772" s="373"/>
      <c r="D1772" s="373"/>
      <c r="E1772" s="247"/>
      <c r="F1772" s="247"/>
      <c r="G1772" s="247"/>
      <c r="H1772" s="247"/>
      <c r="I1772" s="247"/>
      <c r="J1772" s="247"/>
      <c r="K1772" s="247"/>
      <c r="L1772" s="247"/>
      <c r="M1772" s="247"/>
      <c r="N1772" s="247"/>
      <c r="O1772" s="247"/>
      <c r="P1772" s="247"/>
      <c r="Q1772" s="247"/>
      <c r="R1772" s="247"/>
      <c r="S1772" s="247"/>
      <c r="T1772" s="247"/>
      <c r="U1772" s="247"/>
      <c r="V1772" s="247"/>
      <c r="W1772" s="247"/>
      <c r="X1772" s="247"/>
      <c r="Y1772" s="247"/>
      <c r="Z1772" s="247"/>
      <c r="AA1772" s="247"/>
      <c r="AB1772" s="247"/>
      <c r="AC1772" s="247"/>
    </row>
    <row r="1773">
      <c r="A1773" s="247"/>
      <c r="B1773" s="373"/>
      <c r="C1773" s="373"/>
      <c r="D1773" s="373"/>
      <c r="E1773" s="247"/>
      <c r="F1773" s="247"/>
      <c r="G1773" s="247"/>
      <c r="H1773" s="247"/>
      <c r="I1773" s="247"/>
      <c r="J1773" s="247"/>
      <c r="K1773" s="247"/>
      <c r="L1773" s="247"/>
      <c r="M1773" s="247"/>
      <c r="N1773" s="247"/>
      <c r="O1773" s="247"/>
      <c r="P1773" s="247"/>
      <c r="Q1773" s="247"/>
      <c r="R1773" s="247"/>
      <c r="S1773" s="247"/>
      <c r="T1773" s="247"/>
      <c r="U1773" s="247"/>
      <c r="V1773" s="247"/>
      <c r="W1773" s="247"/>
      <c r="X1773" s="247"/>
      <c r="Y1773" s="247"/>
      <c r="Z1773" s="247"/>
      <c r="AA1773" s="247"/>
      <c r="AB1773" s="247"/>
      <c r="AC1773" s="247"/>
    </row>
    <row r="1774">
      <c r="A1774" s="247"/>
      <c r="B1774" s="373"/>
      <c r="C1774" s="373"/>
      <c r="D1774" s="373"/>
      <c r="E1774" s="247"/>
      <c r="F1774" s="247"/>
      <c r="G1774" s="247"/>
      <c r="H1774" s="247"/>
      <c r="I1774" s="247"/>
      <c r="J1774" s="247"/>
      <c r="K1774" s="247"/>
      <c r="L1774" s="247"/>
      <c r="M1774" s="247"/>
      <c r="N1774" s="247"/>
      <c r="O1774" s="247"/>
      <c r="P1774" s="247"/>
      <c r="Q1774" s="247"/>
      <c r="R1774" s="247"/>
      <c r="S1774" s="247"/>
      <c r="T1774" s="247"/>
      <c r="U1774" s="247"/>
      <c r="V1774" s="247"/>
      <c r="W1774" s="247"/>
      <c r="X1774" s="247"/>
      <c r="Y1774" s="247"/>
      <c r="Z1774" s="247"/>
      <c r="AA1774" s="247"/>
      <c r="AB1774" s="247"/>
      <c r="AC1774" s="247"/>
    </row>
    <row r="1775">
      <c r="A1775" s="247"/>
      <c r="B1775" s="373"/>
      <c r="C1775" s="373"/>
      <c r="D1775" s="373"/>
      <c r="E1775" s="247"/>
      <c r="F1775" s="247"/>
      <c r="G1775" s="247"/>
      <c r="H1775" s="247"/>
      <c r="I1775" s="247"/>
      <c r="J1775" s="247"/>
      <c r="K1775" s="247"/>
      <c r="L1775" s="247"/>
      <c r="M1775" s="247"/>
      <c r="N1775" s="247"/>
      <c r="O1775" s="247"/>
      <c r="P1775" s="247"/>
      <c r="Q1775" s="247"/>
      <c r="R1775" s="247"/>
      <c r="S1775" s="247"/>
      <c r="T1775" s="247"/>
      <c r="U1775" s="247"/>
      <c r="V1775" s="247"/>
      <c r="W1775" s="247"/>
      <c r="X1775" s="247"/>
      <c r="Y1775" s="247"/>
      <c r="Z1775" s="247"/>
      <c r="AA1775" s="247"/>
      <c r="AB1775" s="247"/>
      <c r="AC1775" s="247"/>
    </row>
    <row r="1776">
      <c r="A1776" s="247"/>
      <c r="B1776" s="373"/>
      <c r="C1776" s="373"/>
      <c r="D1776" s="373"/>
      <c r="E1776" s="247"/>
      <c r="F1776" s="247"/>
      <c r="G1776" s="247"/>
      <c r="H1776" s="247"/>
      <c r="I1776" s="247"/>
      <c r="J1776" s="247"/>
      <c r="K1776" s="247"/>
      <c r="L1776" s="247"/>
      <c r="M1776" s="247"/>
      <c r="N1776" s="247"/>
      <c r="O1776" s="247"/>
      <c r="P1776" s="247"/>
      <c r="Q1776" s="247"/>
      <c r="R1776" s="247"/>
      <c r="S1776" s="247"/>
      <c r="T1776" s="247"/>
      <c r="U1776" s="247"/>
      <c r="V1776" s="247"/>
      <c r="W1776" s="247"/>
      <c r="X1776" s="247"/>
      <c r="Y1776" s="247"/>
      <c r="Z1776" s="247"/>
      <c r="AA1776" s="247"/>
      <c r="AB1776" s="247"/>
      <c r="AC1776" s="247"/>
    </row>
    <row r="1777">
      <c r="A1777" s="247"/>
      <c r="B1777" s="373"/>
      <c r="C1777" s="373"/>
      <c r="D1777" s="373"/>
      <c r="E1777" s="247"/>
      <c r="F1777" s="247"/>
      <c r="G1777" s="247"/>
      <c r="H1777" s="247"/>
      <c r="I1777" s="247"/>
      <c r="J1777" s="247"/>
      <c r="K1777" s="247"/>
      <c r="L1777" s="247"/>
      <c r="M1777" s="247"/>
      <c r="N1777" s="247"/>
      <c r="O1777" s="247"/>
      <c r="P1777" s="247"/>
      <c r="Q1777" s="247"/>
      <c r="R1777" s="247"/>
      <c r="S1777" s="247"/>
      <c r="T1777" s="247"/>
      <c r="U1777" s="247"/>
      <c r="V1777" s="247"/>
      <c r="W1777" s="247"/>
      <c r="X1777" s="247"/>
      <c r="Y1777" s="247"/>
      <c r="Z1777" s="247"/>
      <c r="AA1777" s="247"/>
      <c r="AB1777" s="247"/>
      <c r="AC1777" s="247"/>
    </row>
    <row r="1778">
      <c r="A1778" s="247"/>
      <c r="B1778" s="373"/>
      <c r="C1778" s="373"/>
      <c r="D1778" s="373"/>
      <c r="E1778" s="247"/>
      <c r="F1778" s="247"/>
      <c r="G1778" s="247"/>
      <c r="H1778" s="247"/>
      <c r="I1778" s="247"/>
      <c r="J1778" s="247"/>
      <c r="K1778" s="247"/>
      <c r="L1778" s="247"/>
      <c r="M1778" s="247"/>
      <c r="N1778" s="247"/>
      <c r="O1778" s="247"/>
      <c r="P1778" s="247"/>
      <c r="Q1778" s="247"/>
      <c r="R1778" s="247"/>
      <c r="S1778" s="247"/>
      <c r="T1778" s="247"/>
      <c r="U1778" s="247"/>
      <c r="V1778" s="247"/>
      <c r="W1778" s="247"/>
      <c r="X1778" s="247"/>
      <c r="Y1778" s="247"/>
      <c r="Z1778" s="247"/>
      <c r="AA1778" s="247"/>
      <c r="AB1778" s="247"/>
      <c r="AC1778" s="247"/>
    </row>
    <row r="1779">
      <c r="A1779" s="247"/>
      <c r="B1779" s="373"/>
      <c r="C1779" s="373"/>
      <c r="D1779" s="373"/>
      <c r="E1779" s="247"/>
      <c r="F1779" s="247"/>
      <c r="G1779" s="247"/>
      <c r="H1779" s="247"/>
      <c r="I1779" s="247"/>
      <c r="J1779" s="247"/>
      <c r="K1779" s="247"/>
      <c r="L1779" s="247"/>
      <c r="M1779" s="247"/>
      <c r="N1779" s="247"/>
      <c r="O1779" s="247"/>
      <c r="P1779" s="247"/>
      <c r="Q1779" s="247"/>
      <c r="R1779" s="247"/>
      <c r="S1779" s="247"/>
      <c r="T1779" s="247"/>
      <c r="U1779" s="247"/>
      <c r="V1779" s="247"/>
      <c r="W1779" s="247"/>
      <c r="X1779" s="247"/>
      <c r="Y1779" s="247"/>
      <c r="Z1779" s="247"/>
      <c r="AA1779" s="247"/>
      <c r="AB1779" s="247"/>
      <c r="AC1779" s="247"/>
    </row>
    <row r="1780">
      <c r="A1780" s="247"/>
      <c r="B1780" s="373"/>
      <c r="C1780" s="373"/>
      <c r="D1780" s="373"/>
      <c r="E1780" s="247"/>
      <c r="F1780" s="247"/>
      <c r="G1780" s="247"/>
      <c r="H1780" s="247"/>
      <c r="I1780" s="247"/>
      <c r="J1780" s="247"/>
      <c r="K1780" s="247"/>
      <c r="L1780" s="247"/>
      <c r="M1780" s="247"/>
      <c r="N1780" s="247"/>
      <c r="O1780" s="247"/>
      <c r="P1780" s="247"/>
      <c r="Q1780" s="247"/>
      <c r="R1780" s="247"/>
      <c r="S1780" s="247"/>
      <c r="T1780" s="247"/>
      <c r="U1780" s="247"/>
      <c r="V1780" s="247"/>
      <c r="W1780" s="247"/>
      <c r="X1780" s="247"/>
      <c r="Y1780" s="247"/>
      <c r="Z1780" s="247"/>
      <c r="AA1780" s="247"/>
      <c r="AB1780" s="247"/>
      <c r="AC1780" s="247"/>
    </row>
    <row r="1781">
      <c r="A1781" s="247"/>
      <c r="B1781" s="373"/>
      <c r="C1781" s="373"/>
      <c r="D1781" s="373"/>
      <c r="E1781" s="247"/>
      <c r="F1781" s="247"/>
      <c r="G1781" s="247"/>
      <c r="H1781" s="247"/>
      <c r="I1781" s="247"/>
      <c r="J1781" s="247"/>
      <c r="K1781" s="247"/>
      <c r="L1781" s="247"/>
      <c r="M1781" s="247"/>
      <c r="N1781" s="247"/>
      <c r="O1781" s="247"/>
      <c r="P1781" s="247"/>
      <c r="Q1781" s="247"/>
      <c r="R1781" s="247"/>
      <c r="S1781" s="247"/>
      <c r="T1781" s="247"/>
      <c r="U1781" s="247"/>
      <c r="V1781" s="247"/>
      <c r="W1781" s="247"/>
      <c r="X1781" s="247"/>
      <c r="Y1781" s="247"/>
      <c r="Z1781" s="247"/>
      <c r="AA1781" s="247"/>
      <c r="AB1781" s="247"/>
      <c r="AC1781" s="247"/>
    </row>
    <row r="1782">
      <c r="A1782" s="247"/>
      <c r="B1782" s="373"/>
      <c r="C1782" s="373"/>
      <c r="D1782" s="373"/>
      <c r="E1782" s="247"/>
      <c r="F1782" s="247"/>
      <c r="G1782" s="247"/>
      <c r="H1782" s="247"/>
      <c r="I1782" s="247"/>
      <c r="J1782" s="247"/>
      <c r="K1782" s="247"/>
      <c r="L1782" s="247"/>
      <c r="M1782" s="247"/>
      <c r="N1782" s="247"/>
      <c r="O1782" s="247"/>
      <c r="P1782" s="247"/>
      <c r="Q1782" s="247"/>
      <c r="R1782" s="247"/>
      <c r="S1782" s="247"/>
      <c r="T1782" s="247"/>
      <c r="U1782" s="247"/>
      <c r="V1782" s="247"/>
      <c r="W1782" s="247"/>
      <c r="X1782" s="247"/>
      <c r="Y1782" s="247"/>
      <c r="Z1782" s="247"/>
      <c r="AA1782" s="247"/>
      <c r="AB1782" s="247"/>
      <c r="AC1782" s="247"/>
    </row>
    <row r="1783">
      <c r="A1783" s="247"/>
      <c r="B1783" s="373"/>
      <c r="C1783" s="373"/>
      <c r="D1783" s="373"/>
      <c r="E1783" s="247"/>
      <c r="F1783" s="247"/>
      <c r="G1783" s="247"/>
      <c r="H1783" s="247"/>
      <c r="I1783" s="247"/>
      <c r="J1783" s="247"/>
      <c r="K1783" s="247"/>
      <c r="L1783" s="247"/>
      <c r="M1783" s="247"/>
      <c r="N1783" s="247"/>
      <c r="O1783" s="247"/>
      <c r="P1783" s="247"/>
      <c r="Q1783" s="247"/>
      <c r="R1783" s="247"/>
      <c r="S1783" s="247"/>
      <c r="T1783" s="247"/>
      <c r="U1783" s="247"/>
      <c r="V1783" s="247"/>
      <c r="W1783" s="247"/>
      <c r="X1783" s="247"/>
      <c r="Y1783" s="247"/>
      <c r="Z1783" s="247"/>
      <c r="AA1783" s="247"/>
      <c r="AB1783" s="247"/>
      <c r="AC1783" s="247"/>
    </row>
    <row r="1784">
      <c r="A1784" s="247"/>
      <c r="B1784" s="373"/>
      <c r="C1784" s="373"/>
      <c r="D1784" s="373"/>
      <c r="E1784" s="247"/>
      <c r="F1784" s="247"/>
      <c r="G1784" s="247"/>
      <c r="H1784" s="247"/>
      <c r="I1784" s="247"/>
      <c r="J1784" s="247"/>
      <c r="K1784" s="247"/>
      <c r="L1784" s="247"/>
      <c r="M1784" s="247"/>
      <c r="N1784" s="247"/>
      <c r="O1784" s="247"/>
      <c r="P1784" s="247"/>
      <c r="Q1784" s="247"/>
      <c r="R1784" s="247"/>
      <c r="S1784" s="247"/>
      <c r="T1784" s="247"/>
      <c r="U1784" s="247"/>
      <c r="V1784" s="247"/>
      <c r="W1784" s="247"/>
      <c r="X1784" s="247"/>
      <c r="Y1784" s="247"/>
      <c r="Z1784" s="247"/>
      <c r="AA1784" s="247"/>
      <c r="AB1784" s="247"/>
      <c r="AC1784" s="247"/>
    </row>
    <row r="1785">
      <c r="A1785" s="247"/>
      <c r="B1785" s="373"/>
      <c r="C1785" s="373"/>
      <c r="D1785" s="373"/>
      <c r="E1785" s="247"/>
      <c r="F1785" s="247"/>
      <c r="G1785" s="247"/>
      <c r="H1785" s="247"/>
      <c r="I1785" s="247"/>
      <c r="J1785" s="247"/>
      <c r="K1785" s="247"/>
      <c r="L1785" s="247"/>
      <c r="M1785" s="247"/>
      <c r="N1785" s="247"/>
      <c r="O1785" s="247"/>
      <c r="P1785" s="247"/>
      <c r="Q1785" s="247"/>
      <c r="R1785" s="247"/>
      <c r="S1785" s="247"/>
      <c r="T1785" s="247"/>
      <c r="U1785" s="247"/>
      <c r="V1785" s="247"/>
      <c r="W1785" s="247"/>
      <c r="X1785" s="247"/>
      <c r="Y1785" s="247"/>
      <c r="Z1785" s="247"/>
      <c r="AA1785" s="247"/>
      <c r="AB1785" s="247"/>
      <c r="AC1785" s="247"/>
    </row>
    <row r="1786">
      <c r="A1786" s="247"/>
      <c r="B1786" s="373"/>
      <c r="C1786" s="373"/>
      <c r="D1786" s="373"/>
      <c r="E1786" s="247"/>
      <c r="F1786" s="247"/>
      <c r="G1786" s="247"/>
      <c r="H1786" s="247"/>
      <c r="I1786" s="247"/>
      <c r="J1786" s="247"/>
      <c r="K1786" s="247"/>
      <c r="L1786" s="247"/>
      <c r="M1786" s="247"/>
      <c r="N1786" s="247"/>
      <c r="O1786" s="247"/>
      <c r="P1786" s="247"/>
      <c r="Q1786" s="247"/>
      <c r="R1786" s="247"/>
      <c r="S1786" s="247"/>
      <c r="T1786" s="247"/>
      <c r="U1786" s="247"/>
      <c r="V1786" s="247"/>
      <c r="W1786" s="247"/>
      <c r="X1786" s="247"/>
      <c r="Y1786" s="247"/>
      <c r="Z1786" s="247"/>
      <c r="AA1786" s="247"/>
      <c r="AB1786" s="247"/>
      <c r="AC1786" s="247"/>
    </row>
    <row r="1787">
      <c r="A1787" s="247"/>
      <c r="B1787" s="373"/>
      <c r="C1787" s="373"/>
      <c r="D1787" s="373"/>
      <c r="E1787" s="247"/>
      <c r="F1787" s="247"/>
      <c r="G1787" s="247"/>
      <c r="H1787" s="247"/>
      <c r="I1787" s="247"/>
      <c r="J1787" s="247"/>
      <c r="K1787" s="247"/>
      <c r="L1787" s="247"/>
      <c r="M1787" s="247"/>
      <c r="N1787" s="247"/>
      <c r="O1787" s="247"/>
      <c r="P1787" s="247"/>
      <c r="Q1787" s="247"/>
      <c r="R1787" s="247"/>
      <c r="S1787" s="247"/>
      <c r="T1787" s="247"/>
      <c r="U1787" s="247"/>
      <c r="V1787" s="247"/>
      <c r="W1787" s="247"/>
      <c r="X1787" s="247"/>
      <c r="Y1787" s="247"/>
      <c r="Z1787" s="247"/>
      <c r="AA1787" s="247"/>
      <c r="AB1787" s="247"/>
      <c r="AC1787" s="247"/>
    </row>
    <row r="1788">
      <c r="A1788" s="247"/>
      <c r="B1788" s="373"/>
      <c r="C1788" s="373"/>
      <c r="D1788" s="373"/>
      <c r="E1788" s="247"/>
      <c r="F1788" s="247"/>
      <c r="G1788" s="247"/>
      <c r="H1788" s="247"/>
      <c r="I1788" s="247"/>
      <c r="J1788" s="247"/>
      <c r="K1788" s="247"/>
      <c r="L1788" s="247"/>
      <c r="M1788" s="247"/>
      <c r="N1788" s="247"/>
      <c r="O1788" s="247"/>
      <c r="P1788" s="247"/>
      <c r="Q1788" s="247"/>
      <c r="R1788" s="247"/>
      <c r="S1788" s="247"/>
      <c r="T1788" s="247"/>
      <c r="U1788" s="247"/>
      <c r="V1788" s="247"/>
      <c r="W1788" s="247"/>
      <c r="X1788" s="247"/>
      <c r="Y1788" s="247"/>
      <c r="Z1788" s="247"/>
      <c r="AA1788" s="247"/>
      <c r="AB1788" s="247"/>
      <c r="AC1788" s="247"/>
    </row>
    <row r="1789">
      <c r="A1789" s="247"/>
      <c r="B1789" s="373"/>
      <c r="C1789" s="373"/>
      <c r="D1789" s="373"/>
      <c r="E1789" s="247"/>
      <c r="F1789" s="247"/>
      <c r="G1789" s="247"/>
      <c r="H1789" s="247"/>
      <c r="I1789" s="247"/>
      <c r="J1789" s="247"/>
      <c r="K1789" s="247"/>
      <c r="L1789" s="247"/>
      <c r="M1789" s="247"/>
      <c r="N1789" s="247"/>
      <c r="O1789" s="247"/>
      <c r="P1789" s="247"/>
      <c r="Q1789" s="247"/>
      <c r="R1789" s="247"/>
      <c r="S1789" s="247"/>
      <c r="T1789" s="247"/>
      <c r="U1789" s="247"/>
      <c r="V1789" s="247"/>
      <c r="W1789" s="247"/>
      <c r="X1789" s="247"/>
      <c r="Y1789" s="247"/>
      <c r="Z1789" s="247"/>
      <c r="AA1789" s="247"/>
      <c r="AB1789" s="247"/>
      <c r="AC1789" s="247"/>
    </row>
    <row r="1790">
      <c r="A1790" s="247"/>
      <c r="B1790" s="373"/>
      <c r="C1790" s="373"/>
      <c r="D1790" s="373"/>
      <c r="E1790" s="247"/>
      <c r="F1790" s="247"/>
      <c r="G1790" s="247"/>
      <c r="H1790" s="247"/>
      <c r="I1790" s="247"/>
      <c r="J1790" s="247"/>
      <c r="K1790" s="247"/>
      <c r="L1790" s="247"/>
      <c r="M1790" s="247"/>
      <c r="N1790" s="247"/>
      <c r="O1790" s="247"/>
      <c r="P1790" s="247"/>
      <c r="Q1790" s="247"/>
      <c r="R1790" s="247"/>
      <c r="S1790" s="247"/>
      <c r="T1790" s="247"/>
      <c r="U1790" s="247"/>
      <c r="V1790" s="247"/>
      <c r="W1790" s="247"/>
      <c r="X1790" s="247"/>
      <c r="Y1790" s="247"/>
      <c r="Z1790" s="247"/>
      <c r="AA1790" s="247"/>
      <c r="AB1790" s="247"/>
      <c r="AC1790" s="247"/>
    </row>
    <row r="1791">
      <c r="A1791" s="247"/>
      <c r="B1791" s="373"/>
      <c r="C1791" s="373"/>
      <c r="D1791" s="373"/>
      <c r="E1791" s="247"/>
      <c r="F1791" s="247"/>
      <c r="G1791" s="247"/>
      <c r="H1791" s="247"/>
      <c r="I1791" s="247"/>
      <c r="J1791" s="247"/>
      <c r="K1791" s="247"/>
      <c r="L1791" s="247"/>
      <c r="M1791" s="247"/>
      <c r="N1791" s="247"/>
      <c r="O1791" s="247"/>
      <c r="P1791" s="247"/>
      <c r="Q1791" s="247"/>
      <c r="R1791" s="247"/>
      <c r="S1791" s="247"/>
      <c r="T1791" s="247"/>
      <c r="U1791" s="247"/>
      <c r="V1791" s="247"/>
      <c r="W1791" s="247"/>
      <c r="X1791" s="247"/>
      <c r="Y1791" s="247"/>
      <c r="Z1791" s="247"/>
      <c r="AA1791" s="247"/>
      <c r="AB1791" s="247"/>
      <c r="AC1791" s="247"/>
    </row>
    <row r="1792">
      <c r="A1792" s="247"/>
      <c r="B1792" s="373"/>
      <c r="C1792" s="373"/>
      <c r="D1792" s="373"/>
      <c r="E1792" s="247"/>
      <c r="F1792" s="247"/>
      <c r="G1792" s="247"/>
      <c r="H1792" s="247"/>
      <c r="I1792" s="247"/>
      <c r="J1792" s="247"/>
      <c r="K1792" s="247"/>
      <c r="L1792" s="247"/>
      <c r="M1792" s="247"/>
      <c r="N1792" s="247"/>
      <c r="O1792" s="247"/>
      <c r="P1792" s="247"/>
      <c r="Q1792" s="247"/>
      <c r="R1792" s="247"/>
      <c r="S1792" s="247"/>
      <c r="T1792" s="247"/>
      <c r="U1792" s="247"/>
      <c r="V1792" s="247"/>
      <c r="W1792" s="247"/>
      <c r="X1792" s="247"/>
      <c r="Y1792" s="247"/>
      <c r="Z1792" s="247"/>
      <c r="AA1792" s="247"/>
      <c r="AB1792" s="247"/>
      <c r="AC1792" s="247"/>
    </row>
    <row r="1793">
      <c r="A1793" s="247"/>
      <c r="B1793" s="373"/>
      <c r="C1793" s="373"/>
      <c r="D1793" s="373"/>
      <c r="E1793" s="247"/>
      <c r="F1793" s="247"/>
      <c r="G1793" s="247"/>
      <c r="H1793" s="247"/>
      <c r="I1793" s="247"/>
      <c r="J1793" s="247"/>
      <c r="K1793" s="247"/>
      <c r="L1793" s="247"/>
      <c r="M1793" s="247"/>
      <c r="N1793" s="247"/>
      <c r="O1793" s="247"/>
      <c r="P1793" s="247"/>
      <c r="Q1793" s="247"/>
      <c r="R1793" s="247"/>
      <c r="S1793" s="247"/>
      <c r="T1793" s="247"/>
      <c r="U1793" s="247"/>
      <c r="V1793" s="247"/>
      <c r="W1793" s="247"/>
      <c r="X1793" s="247"/>
      <c r="Y1793" s="247"/>
      <c r="Z1793" s="247"/>
      <c r="AA1793" s="247"/>
      <c r="AB1793" s="247"/>
      <c r="AC1793" s="247"/>
    </row>
    <row r="1794">
      <c r="A1794" s="247"/>
      <c r="B1794" s="373"/>
      <c r="C1794" s="373"/>
      <c r="D1794" s="373"/>
      <c r="E1794" s="247"/>
      <c r="F1794" s="247"/>
      <c r="G1794" s="247"/>
      <c r="H1794" s="247"/>
      <c r="I1794" s="247"/>
      <c r="J1794" s="247"/>
      <c r="K1794" s="247"/>
      <c r="L1794" s="247"/>
      <c r="M1794" s="247"/>
      <c r="N1794" s="247"/>
      <c r="O1794" s="247"/>
      <c r="P1794" s="247"/>
      <c r="Q1794" s="247"/>
      <c r="R1794" s="247"/>
      <c r="S1794" s="247"/>
      <c r="T1794" s="247"/>
      <c r="U1794" s="247"/>
      <c r="V1794" s="247"/>
      <c r="W1794" s="247"/>
      <c r="X1794" s="247"/>
      <c r="Y1794" s="247"/>
      <c r="Z1794" s="247"/>
      <c r="AA1794" s="247"/>
      <c r="AB1794" s="247"/>
      <c r="AC1794" s="247"/>
    </row>
    <row r="1795">
      <c r="A1795" s="247"/>
      <c r="B1795" s="373"/>
      <c r="C1795" s="373"/>
      <c r="D1795" s="373"/>
      <c r="E1795" s="247"/>
      <c r="F1795" s="247"/>
      <c r="G1795" s="247"/>
      <c r="H1795" s="247"/>
      <c r="I1795" s="247"/>
      <c r="J1795" s="247"/>
      <c r="K1795" s="247"/>
      <c r="L1795" s="247"/>
      <c r="M1795" s="247"/>
      <c r="N1795" s="247"/>
      <c r="O1795" s="247"/>
      <c r="P1795" s="247"/>
      <c r="Q1795" s="247"/>
      <c r="R1795" s="247"/>
      <c r="S1795" s="247"/>
      <c r="T1795" s="247"/>
      <c r="U1795" s="247"/>
      <c r="V1795" s="247"/>
      <c r="W1795" s="247"/>
      <c r="X1795" s="247"/>
      <c r="Y1795" s="247"/>
      <c r="Z1795" s="247"/>
      <c r="AA1795" s="247"/>
      <c r="AB1795" s="247"/>
      <c r="AC1795" s="247"/>
    </row>
    <row r="1796">
      <c r="A1796" s="247"/>
      <c r="B1796" s="373"/>
      <c r="C1796" s="373"/>
      <c r="D1796" s="373"/>
      <c r="E1796" s="247"/>
      <c r="F1796" s="247"/>
      <c r="G1796" s="247"/>
      <c r="H1796" s="247"/>
      <c r="I1796" s="247"/>
      <c r="J1796" s="247"/>
      <c r="K1796" s="247"/>
      <c r="L1796" s="247"/>
      <c r="M1796" s="247"/>
      <c r="N1796" s="247"/>
      <c r="O1796" s="247"/>
      <c r="P1796" s="247"/>
      <c r="Q1796" s="247"/>
      <c r="R1796" s="247"/>
      <c r="S1796" s="247"/>
      <c r="T1796" s="247"/>
      <c r="U1796" s="247"/>
      <c r="V1796" s="247"/>
      <c r="W1796" s="247"/>
      <c r="X1796" s="247"/>
      <c r="Y1796" s="247"/>
      <c r="Z1796" s="247"/>
      <c r="AA1796" s="247"/>
      <c r="AB1796" s="247"/>
      <c r="AC1796" s="247"/>
    </row>
    <row r="1797">
      <c r="A1797" s="247"/>
      <c r="B1797" s="373"/>
      <c r="C1797" s="373"/>
      <c r="D1797" s="373"/>
      <c r="E1797" s="247"/>
      <c r="F1797" s="247"/>
      <c r="G1797" s="247"/>
      <c r="H1797" s="247"/>
      <c r="I1797" s="247"/>
      <c r="J1797" s="247"/>
      <c r="K1797" s="247"/>
      <c r="L1797" s="247"/>
      <c r="M1797" s="247"/>
      <c r="N1797" s="247"/>
      <c r="O1797" s="247"/>
      <c r="P1797" s="247"/>
      <c r="Q1797" s="247"/>
      <c r="R1797" s="247"/>
      <c r="S1797" s="247"/>
      <c r="T1797" s="247"/>
      <c r="U1797" s="247"/>
      <c r="V1797" s="247"/>
      <c r="W1797" s="247"/>
      <c r="X1797" s="247"/>
      <c r="Y1797" s="247"/>
      <c r="Z1797" s="247"/>
      <c r="AA1797" s="247"/>
      <c r="AB1797" s="247"/>
      <c r="AC1797" s="247"/>
    </row>
    <row r="1798">
      <c r="A1798" s="247"/>
      <c r="B1798" s="373"/>
      <c r="C1798" s="373"/>
      <c r="D1798" s="373"/>
      <c r="E1798" s="247"/>
      <c r="F1798" s="247"/>
      <c r="G1798" s="247"/>
      <c r="H1798" s="247"/>
      <c r="I1798" s="247"/>
      <c r="J1798" s="247"/>
      <c r="K1798" s="247"/>
      <c r="L1798" s="247"/>
      <c r="M1798" s="247"/>
      <c r="N1798" s="247"/>
      <c r="O1798" s="247"/>
      <c r="P1798" s="247"/>
      <c r="Q1798" s="247"/>
      <c r="R1798" s="247"/>
      <c r="S1798" s="247"/>
      <c r="T1798" s="247"/>
      <c r="U1798" s="247"/>
      <c r="V1798" s="247"/>
      <c r="W1798" s="247"/>
      <c r="X1798" s="247"/>
      <c r="Y1798" s="247"/>
      <c r="Z1798" s="247"/>
      <c r="AA1798" s="247"/>
      <c r="AB1798" s="247"/>
      <c r="AC1798" s="247"/>
    </row>
    <row r="1799">
      <c r="A1799" s="247"/>
      <c r="B1799" s="373"/>
      <c r="C1799" s="373"/>
      <c r="D1799" s="373"/>
      <c r="E1799" s="247"/>
      <c r="F1799" s="247"/>
      <c r="G1799" s="247"/>
      <c r="H1799" s="247"/>
      <c r="I1799" s="247"/>
      <c r="J1799" s="247"/>
      <c r="K1799" s="247"/>
      <c r="L1799" s="247"/>
      <c r="M1799" s="247"/>
      <c r="N1799" s="247"/>
      <c r="O1799" s="247"/>
      <c r="P1799" s="247"/>
      <c r="Q1799" s="247"/>
      <c r="R1799" s="247"/>
      <c r="S1799" s="247"/>
      <c r="T1799" s="247"/>
      <c r="U1799" s="247"/>
      <c r="V1799" s="247"/>
      <c r="W1799" s="247"/>
      <c r="X1799" s="247"/>
      <c r="Y1799" s="247"/>
      <c r="Z1799" s="247"/>
      <c r="AA1799" s="247"/>
      <c r="AB1799" s="247"/>
      <c r="AC1799" s="247"/>
    </row>
    <row r="1800">
      <c r="A1800" s="247"/>
      <c r="B1800" s="373"/>
      <c r="C1800" s="373"/>
      <c r="D1800" s="373"/>
      <c r="E1800" s="247"/>
      <c r="F1800" s="247"/>
      <c r="G1800" s="247"/>
      <c r="H1800" s="247"/>
      <c r="I1800" s="247"/>
      <c r="J1800" s="247"/>
      <c r="K1800" s="247"/>
      <c r="L1800" s="247"/>
      <c r="M1800" s="247"/>
      <c r="N1800" s="247"/>
      <c r="O1800" s="247"/>
      <c r="P1800" s="247"/>
      <c r="Q1800" s="247"/>
      <c r="R1800" s="247"/>
      <c r="S1800" s="247"/>
      <c r="T1800" s="247"/>
      <c r="U1800" s="247"/>
      <c r="V1800" s="247"/>
      <c r="W1800" s="247"/>
      <c r="X1800" s="247"/>
      <c r="Y1800" s="247"/>
      <c r="Z1800" s="247"/>
      <c r="AA1800" s="247"/>
      <c r="AB1800" s="247"/>
      <c r="AC1800" s="247"/>
    </row>
    <row r="1801">
      <c r="A1801" s="247"/>
      <c r="B1801" s="373"/>
      <c r="C1801" s="373"/>
      <c r="D1801" s="373"/>
      <c r="E1801" s="247"/>
      <c r="F1801" s="247"/>
      <c r="G1801" s="247"/>
      <c r="H1801" s="247"/>
      <c r="I1801" s="247"/>
      <c r="J1801" s="247"/>
      <c r="K1801" s="247"/>
      <c r="L1801" s="247"/>
      <c r="M1801" s="247"/>
      <c r="N1801" s="247"/>
      <c r="O1801" s="247"/>
      <c r="P1801" s="247"/>
      <c r="Q1801" s="247"/>
      <c r="R1801" s="247"/>
      <c r="S1801" s="247"/>
      <c r="T1801" s="247"/>
      <c r="U1801" s="247"/>
      <c r="V1801" s="247"/>
      <c r="W1801" s="247"/>
      <c r="X1801" s="247"/>
      <c r="Y1801" s="247"/>
      <c r="Z1801" s="247"/>
      <c r="AA1801" s="247"/>
      <c r="AB1801" s="247"/>
      <c r="AC1801" s="247"/>
    </row>
    <row r="1802">
      <c r="A1802" s="247"/>
      <c r="B1802" s="373"/>
      <c r="C1802" s="373"/>
      <c r="D1802" s="373"/>
      <c r="E1802" s="247"/>
      <c r="F1802" s="247"/>
      <c r="G1802" s="247"/>
      <c r="H1802" s="247"/>
      <c r="I1802" s="247"/>
      <c r="J1802" s="247"/>
      <c r="K1802" s="247"/>
      <c r="L1802" s="247"/>
      <c r="M1802" s="247"/>
      <c r="N1802" s="247"/>
      <c r="O1802" s="247"/>
      <c r="P1802" s="247"/>
      <c r="Q1802" s="247"/>
      <c r="R1802" s="247"/>
      <c r="S1802" s="247"/>
      <c r="T1802" s="247"/>
      <c r="U1802" s="247"/>
      <c r="V1802" s="247"/>
      <c r="W1802" s="247"/>
      <c r="X1802" s="247"/>
      <c r="Y1802" s="247"/>
      <c r="Z1802" s="247"/>
      <c r="AA1802" s="247"/>
      <c r="AB1802" s="247"/>
      <c r="AC1802" s="247"/>
    </row>
    <row r="1803">
      <c r="A1803" s="247"/>
      <c r="B1803" s="373"/>
      <c r="C1803" s="373"/>
      <c r="D1803" s="373"/>
      <c r="E1803" s="247"/>
      <c r="F1803" s="247"/>
      <c r="G1803" s="247"/>
      <c r="H1803" s="247"/>
      <c r="I1803" s="247"/>
      <c r="J1803" s="247"/>
      <c r="K1803" s="247"/>
      <c r="L1803" s="247"/>
      <c r="M1803" s="247"/>
      <c r="N1803" s="247"/>
      <c r="O1803" s="247"/>
      <c r="P1803" s="247"/>
      <c r="Q1803" s="247"/>
      <c r="R1803" s="247"/>
      <c r="S1803" s="247"/>
      <c r="T1803" s="247"/>
      <c r="U1803" s="247"/>
      <c r="V1803" s="247"/>
      <c r="W1803" s="247"/>
      <c r="X1803" s="247"/>
      <c r="Y1803" s="247"/>
      <c r="Z1803" s="247"/>
      <c r="AA1803" s="247"/>
      <c r="AB1803" s="247"/>
      <c r="AC1803" s="247"/>
    </row>
    <row r="1804">
      <c r="A1804" s="247"/>
      <c r="B1804" s="373"/>
      <c r="C1804" s="373"/>
      <c r="D1804" s="373"/>
      <c r="E1804" s="247"/>
      <c r="F1804" s="247"/>
      <c r="G1804" s="247"/>
      <c r="H1804" s="247"/>
      <c r="I1804" s="247"/>
      <c r="J1804" s="247"/>
      <c r="K1804" s="247"/>
      <c r="L1804" s="247"/>
      <c r="M1804" s="247"/>
      <c r="N1804" s="247"/>
      <c r="O1804" s="247"/>
      <c r="P1804" s="247"/>
      <c r="Q1804" s="247"/>
      <c r="R1804" s="247"/>
      <c r="S1804" s="247"/>
      <c r="T1804" s="247"/>
      <c r="U1804" s="247"/>
      <c r="V1804" s="247"/>
      <c r="W1804" s="247"/>
      <c r="X1804" s="247"/>
      <c r="Y1804" s="247"/>
      <c r="Z1804" s="247"/>
      <c r="AA1804" s="247"/>
      <c r="AB1804" s="247"/>
      <c r="AC1804" s="247"/>
    </row>
    <row r="1805">
      <c r="A1805" s="247"/>
      <c r="B1805" s="373"/>
      <c r="C1805" s="373"/>
      <c r="D1805" s="373"/>
      <c r="E1805" s="247"/>
      <c r="F1805" s="247"/>
      <c r="G1805" s="247"/>
      <c r="H1805" s="247"/>
      <c r="I1805" s="247"/>
      <c r="J1805" s="247"/>
      <c r="K1805" s="247"/>
      <c r="L1805" s="247"/>
      <c r="M1805" s="247"/>
      <c r="N1805" s="247"/>
      <c r="O1805" s="247"/>
      <c r="P1805" s="247"/>
      <c r="Q1805" s="247"/>
      <c r="R1805" s="247"/>
      <c r="S1805" s="247"/>
      <c r="T1805" s="247"/>
      <c r="U1805" s="247"/>
      <c r="V1805" s="247"/>
      <c r="W1805" s="247"/>
      <c r="X1805" s="247"/>
      <c r="Y1805" s="247"/>
      <c r="Z1805" s="247"/>
      <c r="AA1805" s="247"/>
      <c r="AB1805" s="247"/>
      <c r="AC1805" s="247"/>
    </row>
    <row r="1806">
      <c r="A1806" s="247"/>
      <c r="B1806" s="373"/>
      <c r="C1806" s="373"/>
      <c r="D1806" s="373"/>
      <c r="E1806" s="247"/>
      <c r="F1806" s="247"/>
      <c r="G1806" s="247"/>
      <c r="H1806" s="247"/>
      <c r="I1806" s="247"/>
      <c r="J1806" s="247"/>
      <c r="K1806" s="247"/>
      <c r="L1806" s="247"/>
      <c r="M1806" s="247"/>
      <c r="N1806" s="247"/>
      <c r="O1806" s="247"/>
      <c r="P1806" s="247"/>
      <c r="Q1806" s="247"/>
      <c r="R1806" s="247"/>
      <c r="S1806" s="247"/>
      <c r="T1806" s="247"/>
      <c r="U1806" s="247"/>
      <c r="V1806" s="247"/>
      <c r="W1806" s="247"/>
      <c r="X1806" s="247"/>
      <c r="Y1806" s="247"/>
      <c r="Z1806" s="247"/>
      <c r="AA1806" s="247"/>
      <c r="AB1806" s="247"/>
      <c r="AC1806" s="247"/>
    </row>
    <row r="1807">
      <c r="A1807" s="247"/>
      <c r="B1807" s="373"/>
      <c r="C1807" s="373"/>
      <c r="D1807" s="373"/>
      <c r="E1807" s="247"/>
      <c r="F1807" s="247"/>
      <c r="G1807" s="247"/>
      <c r="H1807" s="247"/>
      <c r="I1807" s="247"/>
      <c r="J1807" s="247"/>
      <c r="K1807" s="247"/>
      <c r="L1807" s="247"/>
      <c r="M1807" s="247"/>
      <c r="N1807" s="247"/>
      <c r="O1807" s="247"/>
      <c r="P1807" s="247"/>
      <c r="Q1807" s="247"/>
      <c r="R1807" s="247"/>
      <c r="S1807" s="247"/>
      <c r="T1807" s="247"/>
      <c r="U1807" s="247"/>
      <c r="V1807" s="247"/>
      <c r="W1807" s="247"/>
      <c r="X1807" s="247"/>
      <c r="Y1807" s="247"/>
      <c r="Z1807" s="247"/>
      <c r="AA1807" s="247"/>
      <c r="AB1807" s="247"/>
      <c r="AC1807" s="247"/>
    </row>
    <row r="1808">
      <c r="A1808" s="247"/>
      <c r="B1808" s="373"/>
      <c r="C1808" s="373"/>
      <c r="D1808" s="373"/>
      <c r="E1808" s="247"/>
      <c r="F1808" s="247"/>
      <c r="G1808" s="247"/>
      <c r="H1808" s="247"/>
      <c r="I1808" s="247"/>
      <c r="J1808" s="247"/>
      <c r="K1808" s="247"/>
      <c r="L1808" s="247"/>
      <c r="M1808" s="247"/>
      <c r="N1808" s="247"/>
      <c r="O1808" s="247"/>
      <c r="P1808" s="247"/>
      <c r="Q1808" s="247"/>
      <c r="R1808" s="247"/>
      <c r="S1808" s="247"/>
      <c r="T1808" s="247"/>
      <c r="U1808" s="247"/>
      <c r="V1808" s="247"/>
      <c r="W1808" s="247"/>
      <c r="X1808" s="247"/>
      <c r="Y1808" s="247"/>
      <c r="Z1808" s="247"/>
      <c r="AA1808" s="247"/>
      <c r="AB1808" s="247"/>
      <c r="AC1808" s="247"/>
    </row>
    <row r="1809">
      <c r="A1809" s="247"/>
      <c r="B1809" s="373"/>
      <c r="C1809" s="373"/>
      <c r="D1809" s="373"/>
      <c r="E1809" s="247"/>
      <c r="F1809" s="247"/>
      <c r="G1809" s="247"/>
      <c r="H1809" s="247"/>
      <c r="I1809" s="247"/>
      <c r="J1809" s="247"/>
      <c r="K1809" s="247"/>
      <c r="L1809" s="247"/>
      <c r="M1809" s="247"/>
      <c r="N1809" s="247"/>
      <c r="O1809" s="247"/>
      <c r="P1809" s="247"/>
      <c r="Q1809" s="247"/>
      <c r="R1809" s="247"/>
      <c r="S1809" s="247"/>
      <c r="T1809" s="247"/>
      <c r="U1809" s="247"/>
      <c r="V1809" s="247"/>
      <c r="W1809" s="247"/>
      <c r="X1809" s="247"/>
      <c r="Y1809" s="247"/>
      <c r="Z1809" s="247"/>
      <c r="AA1809" s="247"/>
      <c r="AB1809" s="247"/>
      <c r="AC1809" s="247"/>
    </row>
    <row r="1810">
      <c r="A1810" s="247"/>
      <c r="B1810" s="373"/>
      <c r="C1810" s="373"/>
      <c r="D1810" s="373"/>
      <c r="E1810" s="247"/>
      <c r="F1810" s="247"/>
      <c r="G1810" s="247"/>
      <c r="H1810" s="247"/>
      <c r="I1810" s="247"/>
      <c r="J1810" s="247"/>
      <c r="K1810" s="247"/>
      <c r="L1810" s="247"/>
      <c r="M1810" s="247"/>
      <c r="N1810" s="247"/>
      <c r="O1810" s="247"/>
      <c r="P1810" s="247"/>
      <c r="Q1810" s="247"/>
      <c r="R1810" s="247"/>
      <c r="S1810" s="247"/>
      <c r="T1810" s="247"/>
      <c r="U1810" s="247"/>
      <c r="V1810" s="247"/>
      <c r="W1810" s="247"/>
      <c r="X1810" s="247"/>
      <c r="Y1810" s="247"/>
      <c r="Z1810" s="247"/>
      <c r="AA1810" s="247"/>
      <c r="AB1810" s="247"/>
      <c r="AC1810" s="247"/>
    </row>
    <row r="1811">
      <c r="A1811" s="247"/>
      <c r="B1811" s="373"/>
      <c r="C1811" s="373"/>
      <c r="D1811" s="373"/>
      <c r="E1811" s="247"/>
      <c r="F1811" s="247"/>
      <c r="G1811" s="247"/>
      <c r="H1811" s="247"/>
      <c r="I1811" s="247"/>
      <c r="J1811" s="247"/>
      <c r="K1811" s="247"/>
      <c r="L1811" s="247"/>
      <c r="M1811" s="247"/>
      <c r="N1811" s="247"/>
      <c r="O1811" s="247"/>
      <c r="P1811" s="247"/>
      <c r="Q1811" s="247"/>
      <c r="R1811" s="247"/>
      <c r="S1811" s="247"/>
      <c r="T1811" s="247"/>
      <c r="U1811" s="247"/>
      <c r="V1811" s="247"/>
      <c r="W1811" s="247"/>
      <c r="X1811" s="247"/>
      <c r="Y1811" s="247"/>
      <c r="Z1811" s="247"/>
      <c r="AA1811" s="247"/>
      <c r="AB1811" s="247"/>
      <c r="AC1811" s="247"/>
    </row>
    <row r="1812">
      <c r="A1812" s="247"/>
      <c r="B1812" s="373"/>
      <c r="C1812" s="373"/>
      <c r="D1812" s="373"/>
      <c r="E1812" s="247"/>
      <c r="F1812" s="247"/>
      <c r="G1812" s="247"/>
      <c r="H1812" s="247"/>
      <c r="I1812" s="247"/>
      <c r="J1812" s="247"/>
      <c r="K1812" s="247"/>
      <c r="L1812" s="247"/>
      <c r="M1812" s="247"/>
      <c r="N1812" s="247"/>
      <c r="O1812" s="247"/>
      <c r="P1812" s="247"/>
      <c r="Q1812" s="247"/>
      <c r="R1812" s="247"/>
      <c r="S1812" s="247"/>
      <c r="T1812" s="247"/>
      <c r="U1812" s="247"/>
      <c r="V1812" s="247"/>
      <c r="W1812" s="247"/>
      <c r="X1812" s="247"/>
      <c r="Y1812" s="247"/>
      <c r="Z1812" s="247"/>
      <c r="AA1812" s="247"/>
      <c r="AB1812" s="247"/>
      <c r="AC1812" s="247"/>
    </row>
    <row r="1813">
      <c r="A1813" s="247"/>
      <c r="B1813" s="373"/>
      <c r="C1813" s="373"/>
      <c r="D1813" s="373"/>
      <c r="E1813" s="247"/>
      <c r="F1813" s="247"/>
      <c r="G1813" s="247"/>
      <c r="H1813" s="247"/>
      <c r="I1813" s="247"/>
      <c r="J1813" s="247"/>
      <c r="K1813" s="247"/>
      <c r="L1813" s="247"/>
      <c r="M1813" s="247"/>
      <c r="N1813" s="247"/>
      <c r="O1813" s="247"/>
      <c r="P1813" s="247"/>
      <c r="Q1813" s="247"/>
      <c r="R1813" s="247"/>
      <c r="S1813" s="247"/>
      <c r="T1813" s="247"/>
      <c r="U1813" s="247"/>
      <c r="V1813" s="247"/>
      <c r="W1813" s="247"/>
      <c r="X1813" s="247"/>
      <c r="Y1813" s="247"/>
      <c r="Z1813" s="247"/>
      <c r="AA1813" s="247"/>
      <c r="AB1813" s="247"/>
      <c r="AC1813" s="247"/>
    </row>
    <row r="1814">
      <c r="A1814" s="247"/>
      <c r="B1814" s="373"/>
      <c r="C1814" s="373"/>
      <c r="D1814" s="373"/>
      <c r="E1814" s="247"/>
      <c r="F1814" s="247"/>
      <c r="G1814" s="247"/>
      <c r="H1814" s="247"/>
      <c r="I1814" s="247"/>
      <c r="J1814" s="247"/>
      <c r="K1814" s="247"/>
      <c r="L1814" s="247"/>
      <c r="M1814" s="247"/>
      <c r="N1814" s="247"/>
      <c r="O1814" s="247"/>
      <c r="P1814" s="247"/>
      <c r="Q1814" s="247"/>
      <c r="R1814" s="247"/>
      <c r="S1814" s="247"/>
      <c r="T1814" s="247"/>
      <c r="U1814" s="247"/>
      <c r="V1814" s="247"/>
      <c r="W1814" s="247"/>
      <c r="X1814" s="247"/>
      <c r="Y1814" s="247"/>
      <c r="Z1814" s="247"/>
      <c r="AA1814" s="247"/>
      <c r="AB1814" s="247"/>
      <c r="AC1814" s="247"/>
    </row>
    <row r="1815">
      <c r="A1815" s="247"/>
      <c r="B1815" s="373"/>
      <c r="C1815" s="373"/>
      <c r="D1815" s="373"/>
      <c r="E1815" s="247"/>
      <c r="F1815" s="247"/>
      <c r="G1815" s="247"/>
      <c r="H1815" s="247"/>
      <c r="I1815" s="247"/>
      <c r="J1815" s="247"/>
      <c r="K1815" s="247"/>
      <c r="L1815" s="247"/>
      <c r="M1815" s="247"/>
      <c r="N1815" s="247"/>
      <c r="O1815" s="247"/>
      <c r="P1815" s="247"/>
      <c r="Q1815" s="247"/>
      <c r="R1815" s="247"/>
      <c r="S1815" s="247"/>
      <c r="T1815" s="247"/>
      <c r="U1815" s="247"/>
      <c r="V1815" s="247"/>
      <c r="W1815" s="247"/>
      <c r="X1815" s="247"/>
      <c r="Y1815" s="247"/>
      <c r="Z1815" s="247"/>
      <c r="AA1815" s="247"/>
      <c r="AB1815" s="247"/>
      <c r="AC1815" s="247"/>
    </row>
    <row r="1816">
      <c r="A1816" s="247"/>
      <c r="B1816" s="373"/>
      <c r="C1816" s="373"/>
      <c r="D1816" s="373"/>
      <c r="E1816" s="247"/>
      <c r="F1816" s="247"/>
      <c r="G1816" s="247"/>
      <c r="H1816" s="247"/>
      <c r="I1816" s="247"/>
      <c r="J1816" s="247"/>
      <c r="K1816" s="247"/>
      <c r="L1816" s="247"/>
      <c r="M1816" s="247"/>
      <c r="N1816" s="247"/>
      <c r="O1816" s="247"/>
      <c r="P1816" s="247"/>
      <c r="Q1816" s="247"/>
      <c r="R1816" s="247"/>
      <c r="S1816" s="247"/>
      <c r="T1816" s="247"/>
      <c r="U1816" s="247"/>
      <c r="V1816" s="247"/>
      <c r="W1816" s="247"/>
      <c r="X1816" s="247"/>
      <c r="Y1816" s="247"/>
      <c r="Z1816" s="247"/>
      <c r="AA1816" s="247"/>
      <c r="AB1816" s="247"/>
      <c r="AC1816" s="247"/>
    </row>
    <row r="1817">
      <c r="A1817" s="247"/>
      <c r="B1817" s="373"/>
      <c r="C1817" s="373"/>
      <c r="D1817" s="373"/>
      <c r="E1817" s="247"/>
      <c r="F1817" s="247"/>
      <c r="G1817" s="247"/>
      <c r="H1817" s="247"/>
      <c r="I1817" s="247"/>
      <c r="J1817" s="247"/>
      <c r="K1817" s="247"/>
      <c r="L1817" s="247"/>
      <c r="M1817" s="247"/>
      <c r="N1817" s="247"/>
      <c r="O1817" s="247"/>
      <c r="P1817" s="247"/>
      <c r="Q1817" s="247"/>
      <c r="R1817" s="247"/>
      <c r="S1817" s="247"/>
      <c r="T1817" s="247"/>
      <c r="U1817" s="247"/>
      <c r="V1817" s="247"/>
      <c r="W1817" s="247"/>
      <c r="X1817" s="247"/>
      <c r="Y1817" s="247"/>
      <c r="Z1817" s="247"/>
      <c r="AA1817" s="247"/>
      <c r="AB1817" s="247"/>
      <c r="AC1817" s="247"/>
    </row>
    <row r="1818">
      <c r="A1818" s="247"/>
      <c r="B1818" s="373"/>
      <c r="C1818" s="373"/>
      <c r="D1818" s="373"/>
      <c r="E1818" s="247"/>
      <c r="F1818" s="247"/>
      <c r="G1818" s="247"/>
      <c r="H1818" s="247"/>
      <c r="I1818" s="247"/>
      <c r="J1818" s="247"/>
      <c r="K1818" s="247"/>
      <c r="L1818" s="247"/>
      <c r="M1818" s="247"/>
      <c r="N1818" s="247"/>
      <c r="O1818" s="247"/>
      <c r="P1818" s="247"/>
      <c r="Q1818" s="247"/>
      <c r="R1818" s="247"/>
      <c r="S1818" s="247"/>
      <c r="T1818" s="247"/>
      <c r="U1818" s="247"/>
      <c r="V1818" s="247"/>
      <c r="W1818" s="247"/>
      <c r="X1818" s="247"/>
      <c r="Y1818" s="247"/>
      <c r="Z1818" s="247"/>
      <c r="AA1818" s="247"/>
      <c r="AB1818" s="247"/>
      <c r="AC1818" s="247"/>
    </row>
    <row r="1819">
      <c r="A1819" s="247"/>
      <c r="B1819" s="373"/>
      <c r="C1819" s="373"/>
      <c r="D1819" s="373"/>
      <c r="E1819" s="247"/>
      <c r="F1819" s="247"/>
      <c r="G1819" s="247"/>
      <c r="H1819" s="247"/>
      <c r="I1819" s="247"/>
      <c r="J1819" s="247"/>
      <c r="K1819" s="247"/>
      <c r="L1819" s="247"/>
      <c r="M1819" s="247"/>
      <c r="N1819" s="247"/>
      <c r="O1819" s="247"/>
      <c r="P1819" s="247"/>
      <c r="Q1819" s="247"/>
      <c r="R1819" s="247"/>
      <c r="S1819" s="247"/>
      <c r="T1819" s="247"/>
      <c r="U1819" s="247"/>
      <c r="V1819" s="247"/>
      <c r="W1819" s="247"/>
      <c r="X1819" s="247"/>
      <c r="Y1819" s="247"/>
      <c r="Z1819" s="247"/>
      <c r="AA1819" s="247"/>
      <c r="AB1819" s="247"/>
      <c r="AC1819" s="247"/>
    </row>
    <row r="1820">
      <c r="A1820" s="247"/>
      <c r="B1820" s="373"/>
      <c r="C1820" s="373"/>
      <c r="D1820" s="373"/>
      <c r="E1820" s="247"/>
      <c r="F1820" s="247"/>
      <c r="G1820" s="247"/>
      <c r="H1820" s="247"/>
      <c r="I1820" s="247"/>
      <c r="J1820" s="247"/>
      <c r="K1820" s="247"/>
      <c r="L1820" s="247"/>
      <c r="M1820" s="247"/>
      <c r="N1820" s="247"/>
      <c r="O1820" s="247"/>
      <c r="P1820" s="247"/>
      <c r="Q1820" s="247"/>
      <c r="R1820" s="247"/>
      <c r="S1820" s="247"/>
      <c r="T1820" s="247"/>
      <c r="U1820" s="247"/>
      <c r="V1820" s="247"/>
      <c r="W1820" s="247"/>
      <c r="X1820" s="247"/>
      <c r="Y1820" s="247"/>
      <c r="Z1820" s="247"/>
      <c r="AA1820" s="247"/>
      <c r="AB1820" s="247"/>
      <c r="AC1820" s="247"/>
    </row>
    <row r="1821">
      <c r="A1821" s="247"/>
      <c r="B1821" s="373"/>
      <c r="C1821" s="373"/>
      <c r="D1821" s="373"/>
      <c r="E1821" s="247"/>
      <c r="F1821" s="247"/>
      <c r="G1821" s="247"/>
      <c r="H1821" s="247"/>
      <c r="I1821" s="247"/>
      <c r="J1821" s="247"/>
      <c r="K1821" s="247"/>
      <c r="L1821" s="247"/>
      <c r="M1821" s="247"/>
      <c r="N1821" s="247"/>
      <c r="O1821" s="247"/>
      <c r="P1821" s="247"/>
      <c r="Q1821" s="247"/>
      <c r="R1821" s="247"/>
      <c r="S1821" s="247"/>
      <c r="T1821" s="247"/>
      <c r="U1821" s="247"/>
      <c r="V1821" s="247"/>
      <c r="W1821" s="247"/>
      <c r="X1821" s="247"/>
      <c r="Y1821" s="247"/>
      <c r="Z1821" s="247"/>
      <c r="AA1821" s="247"/>
      <c r="AB1821" s="247"/>
      <c r="AC1821" s="247"/>
    </row>
    <row r="1822">
      <c r="A1822" s="247"/>
      <c r="B1822" s="373"/>
      <c r="C1822" s="373"/>
      <c r="D1822" s="373"/>
      <c r="E1822" s="247"/>
      <c r="F1822" s="247"/>
      <c r="G1822" s="247"/>
      <c r="H1822" s="247"/>
      <c r="I1822" s="247"/>
      <c r="J1822" s="247"/>
      <c r="K1822" s="247"/>
      <c r="L1822" s="247"/>
      <c r="M1822" s="247"/>
      <c r="N1822" s="247"/>
      <c r="O1822" s="247"/>
      <c r="P1822" s="247"/>
      <c r="Q1822" s="247"/>
      <c r="R1822" s="247"/>
      <c r="S1822" s="247"/>
      <c r="T1822" s="247"/>
      <c r="U1822" s="247"/>
      <c r="V1822" s="247"/>
      <c r="W1822" s="247"/>
      <c r="X1822" s="247"/>
      <c r="Y1822" s="247"/>
      <c r="Z1822" s="247"/>
      <c r="AA1822" s="247"/>
      <c r="AB1822" s="247"/>
      <c r="AC1822" s="247"/>
    </row>
    <row r="1823">
      <c r="A1823" s="247"/>
      <c r="B1823" s="373"/>
      <c r="C1823" s="373"/>
      <c r="D1823" s="373"/>
      <c r="E1823" s="247"/>
      <c r="F1823" s="247"/>
      <c r="G1823" s="247"/>
      <c r="H1823" s="247"/>
      <c r="I1823" s="247"/>
      <c r="J1823" s="247"/>
      <c r="K1823" s="247"/>
      <c r="L1823" s="247"/>
      <c r="M1823" s="247"/>
      <c r="N1823" s="247"/>
      <c r="O1823" s="247"/>
      <c r="P1823" s="247"/>
      <c r="Q1823" s="247"/>
      <c r="R1823" s="247"/>
      <c r="S1823" s="247"/>
      <c r="T1823" s="247"/>
      <c r="U1823" s="247"/>
      <c r="V1823" s="247"/>
      <c r="W1823" s="247"/>
      <c r="X1823" s="247"/>
      <c r="Y1823" s="247"/>
      <c r="Z1823" s="247"/>
      <c r="AA1823" s="247"/>
      <c r="AB1823" s="247"/>
      <c r="AC1823" s="247"/>
    </row>
    <row r="1824">
      <c r="A1824" s="247"/>
      <c r="B1824" s="373"/>
      <c r="C1824" s="373"/>
      <c r="D1824" s="373"/>
      <c r="E1824" s="247"/>
      <c r="F1824" s="247"/>
      <c r="G1824" s="247"/>
      <c r="H1824" s="247"/>
      <c r="I1824" s="247"/>
      <c r="J1824" s="247"/>
      <c r="K1824" s="247"/>
      <c r="L1824" s="247"/>
      <c r="M1824" s="247"/>
      <c r="N1824" s="247"/>
      <c r="O1824" s="247"/>
      <c r="P1824" s="247"/>
      <c r="Q1824" s="247"/>
      <c r="R1824" s="247"/>
      <c r="S1824" s="247"/>
      <c r="T1824" s="247"/>
      <c r="U1824" s="247"/>
      <c r="V1824" s="247"/>
      <c r="W1824" s="247"/>
      <c r="X1824" s="247"/>
      <c r="Y1824" s="247"/>
      <c r="Z1824" s="247"/>
      <c r="AA1824" s="247"/>
      <c r="AB1824" s="247"/>
      <c r="AC1824" s="247"/>
    </row>
    <row r="1825">
      <c r="A1825" s="247"/>
      <c r="B1825" s="373"/>
      <c r="C1825" s="373"/>
      <c r="D1825" s="373"/>
      <c r="E1825" s="247"/>
      <c r="F1825" s="247"/>
      <c r="G1825" s="247"/>
      <c r="H1825" s="247"/>
      <c r="I1825" s="247"/>
      <c r="J1825" s="247"/>
      <c r="K1825" s="247"/>
      <c r="L1825" s="247"/>
      <c r="M1825" s="247"/>
      <c r="N1825" s="247"/>
      <c r="O1825" s="247"/>
      <c r="P1825" s="247"/>
      <c r="Q1825" s="247"/>
      <c r="R1825" s="247"/>
      <c r="S1825" s="247"/>
      <c r="T1825" s="247"/>
      <c r="U1825" s="247"/>
      <c r="V1825" s="247"/>
      <c r="W1825" s="247"/>
      <c r="X1825" s="247"/>
      <c r="Y1825" s="247"/>
      <c r="Z1825" s="247"/>
      <c r="AA1825" s="247"/>
      <c r="AB1825" s="247"/>
      <c r="AC1825" s="247"/>
    </row>
    <row r="1826">
      <c r="A1826" s="247"/>
      <c r="B1826" s="373"/>
      <c r="C1826" s="373"/>
      <c r="D1826" s="373"/>
      <c r="E1826" s="247"/>
      <c r="F1826" s="247"/>
      <c r="G1826" s="247"/>
      <c r="H1826" s="247"/>
      <c r="I1826" s="247"/>
      <c r="J1826" s="247"/>
      <c r="K1826" s="247"/>
      <c r="L1826" s="247"/>
      <c r="M1826" s="247"/>
      <c r="N1826" s="247"/>
      <c r="O1826" s="247"/>
      <c r="P1826" s="247"/>
      <c r="Q1826" s="247"/>
      <c r="R1826" s="247"/>
      <c r="S1826" s="247"/>
      <c r="T1826" s="247"/>
      <c r="U1826" s="247"/>
      <c r="V1826" s="247"/>
      <c r="W1826" s="247"/>
      <c r="X1826" s="247"/>
      <c r="Y1826" s="247"/>
      <c r="Z1826" s="247"/>
      <c r="AA1826" s="247"/>
      <c r="AB1826" s="247"/>
      <c r="AC1826" s="247"/>
    </row>
    <row r="1827">
      <c r="A1827" s="247"/>
      <c r="B1827" s="373"/>
      <c r="C1827" s="373"/>
      <c r="D1827" s="373"/>
      <c r="E1827" s="247"/>
      <c r="F1827" s="247"/>
      <c r="G1827" s="247"/>
      <c r="H1827" s="247"/>
      <c r="I1827" s="247"/>
      <c r="J1827" s="247"/>
      <c r="K1827" s="247"/>
      <c r="L1827" s="247"/>
      <c r="M1827" s="247"/>
      <c r="N1827" s="247"/>
      <c r="O1827" s="247"/>
      <c r="P1827" s="247"/>
      <c r="Q1827" s="247"/>
      <c r="R1827" s="247"/>
      <c r="S1827" s="247"/>
      <c r="T1827" s="247"/>
      <c r="U1827" s="247"/>
      <c r="V1827" s="247"/>
      <c r="W1827" s="247"/>
      <c r="X1827" s="247"/>
      <c r="Y1827" s="247"/>
      <c r="Z1827" s="247"/>
      <c r="AA1827" s="247"/>
      <c r="AB1827" s="247"/>
      <c r="AC1827" s="247"/>
    </row>
    <row r="1828">
      <c r="A1828" s="247"/>
      <c r="B1828" s="373"/>
      <c r="C1828" s="373"/>
      <c r="D1828" s="373"/>
      <c r="E1828" s="247"/>
      <c r="F1828" s="247"/>
      <c r="G1828" s="247"/>
      <c r="H1828" s="247"/>
      <c r="I1828" s="247"/>
      <c r="J1828" s="247"/>
      <c r="K1828" s="247"/>
      <c r="L1828" s="247"/>
      <c r="M1828" s="247"/>
      <c r="N1828" s="247"/>
      <c r="O1828" s="247"/>
      <c r="P1828" s="247"/>
      <c r="Q1828" s="247"/>
      <c r="R1828" s="247"/>
      <c r="S1828" s="247"/>
      <c r="T1828" s="247"/>
      <c r="U1828" s="247"/>
      <c r="V1828" s="247"/>
      <c r="W1828" s="247"/>
      <c r="X1828" s="247"/>
      <c r="Y1828" s="247"/>
      <c r="Z1828" s="247"/>
      <c r="AA1828" s="247"/>
      <c r="AB1828" s="247"/>
      <c r="AC1828" s="247"/>
    </row>
    <row r="1829">
      <c r="A1829" s="247"/>
      <c r="B1829" s="373"/>
      <c r="C1829" s="373"/>
      <c r="D1829" s="373"/>
      <c r="E1829" s="247"/>
      <c r="F1829" s="247"/>
      <c r="G1829" s="247"/>
      <c r="H1829" s="247"/>
      <c r="I1829" s="247"/>
      <c r="J1829" s="247"/>
      <c r="K1829" s="247"/>
      <c r="L1829" s="247"/>
      <c r="M1829" s="247"/>
      <c r="N1829" s="247"/>
      <c r="O1829" s="247"/>
      <c r="P1829" s="247"/>
      <c r="Q1829" s="247"/>
      <c r="R1829" s="247"/>
      <c r="S1829" s="247"/>
      <c r="T1829" s="247"/>
      <c r="U1829" s="247"/>
      <c r="V1829" s="247"/>
      <c r="W1829" s="247"/>
      <c r="X1829" s="247"/>
      <c r="Y1829" s="247"/>
      <c r="Z1829" s="247"/>
      <c r="AA1829" s="247"/>
      <c r="AB1829" s="247"/>
      <c r="AC1829" s="247"/>
    </row>
    <row r="1830">
      <c r="A1830" s="247"/>
      <c r="B1830" s="373"/>
      <c r="C1830" s="373"/>
      <c r="D1830" s="373"/>
      <c r="E1830" s="247"/>
      <c r="F1830" s="247"/>
      <c r="G1830" s="247"/>
      <c r="H1830" s="247"/>
      <c r="I1830" s="247"/>
      <c r="J1830" s="247"/>
      <c r="K1830" s="247"/>
      <c r="L1830" s="247"/>
      <c r="M1830" s="247"/>
      <c r="N1830" s="247"/>
      <c r="O1830" s="247"/>
      <c r="P1830" s="247"/>
      <c r="Q1830" s="247"/>
      <c r="R1830" s="247"/>
      <c r="S1830" s="247"/>
      <c r="T1830" s="247"/>
      <c r="U1830" s="247"/>
      <c r="V1830" s="247"/>
      <c r="W1830" s="247"/>
      <c r="X1830" s="247"/>
      <c r="Y1830" s="247"/>
      <c r="Z1830" s="247"/>
      <c r="AA1830" s="247"/>
      <c r="AB1830" s="247"/>
      <c r="AC1830" s="247"/>
    </row>
    <row r="1831">
      <c r="A1831" s="247"/>
      <c r="B1831" s="373"/>
      <c r="C1831" s="373"/>
      <c r="D1831" s="373"/>
      <c r="E1831" s="247"/>
      <c r="F1831" s="247"/>
      <c r="G1831" s="247"/>
      <c r="H1831" s="247"/>
      <c r="I1831" s="247"/>
      <c r="J1831" s="247"/>
      <c r="K1831" s="247"/>
      <c r="L1831" s="247"/>
      <c r="M1831" s="247"/>
      <c r="N1831" s="247"/>
      <c r="O1831" s="247"/>
      <c r="P1831" s="247"/>
      <c r="Q1831" s="247"/>
      <c r="R1831" s="247"/>
      <c r="S1831" s="247"/>
      <c r="T1831" s="247"/>
      <c r="U1831" s="247"/>
      <c r="V1831" s="247"/>
      <c r="W1831" s="247"/>
      <c r="X1831" s="247"/>
      <c r="Y1831" s="247"/>
      <c r="Z1831" s="247"/>
      <c r="AA1831" s="247"/>
      <c r="AB1831" s="247"/>
      <c r="AC1831" s="247"/>
    </row>
    <row r="1832">
      <c r="A1832" s="247"/>
      <c r="B1832" s="373"/>
      <c r="C1832" s="373"/>
      <c r="D1832" s="373"/>
      <c r="E1832" s="247"/>
      <c r="F1832" s="247"/>
      <c r="G1832" s="247"/>
      <c r="H1832" s="247"/>
      <c r="I1832" s="247"/>
      <c r="J1832" s="247"/>
      <c r="K1832" s="247"/>
      <c r="L1832" s="247"/>
      <c r="M1832" s="247"/>
      <c r="N1832" s="247"/>
      <c r="O1832" s="247"/>
      <c r="P1832" s="247"/>
      <c r="Q1832" s="247"/>
      <c r="R1832" s="247"/>
      <c r="S1832" s="247"/>
      <c r="T1832" s="247"/>
      <c r="U1832" s="247"/>
      <c r="V1832" s="247"/>
      <c r="W1832" s="247"/>
      <c r="X1832" s="247"/>
      <c r="Y1832" s="247"/>
      <c r="Z1832" s="247"/>
      <c r="AA1832" s="247"/>
      <c r="AB1832" s="247"/>
      <c r="AC1832" s="247"/>
    </row>
    <row r="1833">
      <c r="A1833" s="247"/>
      <c r="B1833" s="373"/>
      <c r="C1833" s="373"/>
      <c r="D1833" s="373"/>
      <c r="E1833" s="247"/>
      <c r="F1833" s="247"/>
      <c r="G1833" s="247"/>
      <c r="H1833" s="247"/>
      <c r="I1833" s="247"/>
      <c r="J1833" s="247"/>
      <c r="K1833" s="247"/>
      <c r="L1833" s="247"/>
      <c r="M1833" s="247"/>
      <c r="N1833" s="247"/>
      <c r="O1833" s="247"/>
      <c r="P1833" s="247"/>
      <c r="Q1833" s="247"/>
      <c r="R1833" s="247"/>
      <c r="S1833" s="247"/>
      <c r="T1833" s="247"/>
      <c r="U1833" s="247"/>
      <c r="V1833" s="247"/>
      <c r="W1833" s="247"/>
      <c r="X1833" s="247"/>
      <c r="Y1833" s="247"/>
      <c r="Z1833" s="247"/>
      <c r="AA1833" s="247"/>
      <c r="AB1833" s="247"/>
      <c r="AC1833" s="247"/>
    </row>
    <row r="1834">
      <c r="A1834" s="247"/>
      <c r="B1834" s="373"/>
      <c r="C1834" s="373"/>
      <c r="D1834" s="373"/>
      <c r="E1834" s="247"/>
      <c r="F1834" s="247"/>
      <c r="G1834" s="247"/>
      <c r="H1834" s="247"/>
      <c r="I1834" s="247"/>
      <c r="J1834" s="247"/>
      <c r="K1834" s="247"/>
      <c r="L1834" s="247"/>
      <c r="M1834" s="247"/>
      <c r="N1834" s="247"/>
      <c r="O1834" s="247"/>
      <c r="P1834" s="247"/>
      <c r="Q1834" s="247"/>
      <c r="R1834" s="247"/>
      <c r="S1834" s="247"/>
      <c r="T1834" s="247"/>
      <c r="U1834" s="247"/>
      <c r="V1834" s="247"/>
      <c r="W1834" s="247"/>
      <c r="X1834" s="247"/>
      <c r="Y1834" s="247"/>
      <c r="Z1834" s="247"/>
      <c r="AA1834" s="247"/>
      <c r="AB1834" s="247"/>
      <c r="AC1834" s="247"/>
    </row>
    <row r="1835">
      <c r="A1835" s="247"/>
      <c r="B1835" s="373"/>
      <c r="C1835" s="373"/>
      <c r="D1835" s="373"/>
      <c r="E1835" s="247"/>
      <c r="F1835" s="247"/>
      <c r="G1835" s="247"/>
      <c r="H1835" s="247"/>
      <c r="I1835" s="247"/>
      <c r="J1835" s="247"/>
      <c r="K1835" s="247"/>
      <c r="L1835" s="247"/>
      <c r="M1835" s="247"/>
      <c r="N1835" s="247"/>
      <c r="O1835" s="247"/>
      <c r="P1835" s="247"/>
      <c r="Q1835" s="247"/>
      <c r="R1835" s="247"/>
      <c r="S1835" s="247"/>
      <c r="T1835" s="247"/>
      <c r="U1835" s="247"/>
      <c r="V1835" s="247"/>
      <c r="W1835" s="247"/>
      <c r="X1835" s="247"/>
      <c r="Y1835" s="247"/>
      <c r="Z1835" s="247"/>
      <c r="AA1835" s="247"/>
      <c r="AB1835" s="247"/>
      <c r="AC1835" s="247"/>
    </row>
    <row r="1836">
      <c r="A1836" s="247"/>
      <c r="B1836" s="373"/>
      <c r="C1836" s="373"/>
      <c r="D1836" s="373"/>
      <c r="E1836" s="247"/>
      <c r="F1836" s="247"/>
      <c r="G1836" s="247"/>
      <c r="H1836" s="247"/>
      <c r="I1836" s="247"/>
      <c r="J1836" s="247"/>
      <c r="K1836" s="247"/>
      <c r="L1836" s="247"/>
      <c r="M1836" s="247"/>
      <c r="N1836" s="247"/>
      <c r="O1836" s="247"/>
      <c r="P1836" s="247"/>
      <c r="Q1836" s="247"/>
      <c r="R1836" s="247"/>
      <c r="S1836" s="247"/>
      <c r="T1836" s="247"/>
      <c r="U1836" s="247"/>
      <c r="V1836" s="247"/>
      <c r="W1836" s="247"/>
      <c r="X1836" s="247"/>
      <c r="Y1836" s="247"/>
      <c r="Z1836" s="247"/>
      <c r="AA1836" s="247"/>
      <c r="AB1836" s="247"/>
      <c r="AC1836" s="247"/>
    </row>
    <row r="1837">
      <c r="A1837" s="247"/>
      <c r="B1837" s="373"/>
      <c r="C1837" s="373"/>
      <c r="D1837" s="373"/>
      <c r="E1837" s="247"/>
      <c r="F1837" s="247"/>
      <c r="G1837" s="247"/>
      <c r="H1837" s="247"/>
      <c r="I1837" s="247"/>
      <c r="J1837" s="247"/>
      <c r="K1837" s="247"/>
      <c r="L1837" s="247"/>
      <c r="M1837" s="247"/>
      <c r="N1837" s="247"/>
      <c r="O1837" s="247"/>
      <c r="P1837" s="247"/>
      <c r="Q1837" s="247"/>
      <c r="R1837" s="247"/>
      <c r="S1837" s="247"/>
      <c r="T1837" s="247"/>
      <c r="U1837" s="247"/>
      <c r="V1837" s="247"/>
      <c r="W1837" s="247"/>
      <c r="X1837" s="247"/>
      <c r="Y1837" s="247"/>
      <c r="Z1837" s="247"/>
      <c r="AA1837" s="247"/>
      <c r="AB1837" s="247"/>
      <c r="AC1837" s="247"/>
    </row>
    <row r="1838">
      <c r="A1838" s="247"/>
      <c r="B1838" s="373"/>
      <c r="C1838" s="373"/>
      <c r="D1838" s="373"/>
      <c r="E1838" s="247"/>
      <c r="F1838" s="247"/>
      <c r="G1838" s="247"/>
      <c r="H1838" s="247"/>
      <c r="I1838" s="247"/>
      <c r="J1838" s="247"/>
      <c r="K1838" s="247"/>
      <c r="L1838" s="247"/>
      <c r="M1838" s="247"/>
      <c r="N1838" s="247"/>
      <c r="O1838" s="247"/>
      <c r="P1838" s="247"/>
      <c r="Q1838" s="247"/>
      <c r="R1838" s="247"/>
      <c r="S1838" s="247"/>
      <c r="T1838" s="247"/>
      <c r="U1838" s="247"/>
      <c r="V1838" s="247"/>
      <c r="W1838" s="247"/>
      <c r="X1838" s="247"/>
      <c r="Y1838" s="247"/>
      <c r="Z1838" s="247"/>
      <c r="AA1838" s="247"/>
      <c r="AB1838" s="247"/>
      <c r="AC1838" s="247"/>
    </row>
    <row r="1839">
      <c r="A1839" s="247"/>
      <c r="B1839" s="373"/>
      <c r="C1839" s="373"/>
      <c r="D1839" s="373"/>
      <c r="E1839" s="247"/>
      <c r="F1839" s="247"/>
      <c r="G1839" s="247"/>
      <c r="H1839" s="247"/>
      <c r="I1839" s="247"/>
      <c r="J1839" s="247"/>
      <c r="K1839" s="247"/>
      <c r="L1839" s="247"/>
      <c r="M1839" s="247"/>
      <c r="N1839" s="247"/>
      <c r="O1839" s="247"/>
      <c r="P1839" s="247"/>
      <c r="Q1839" s="247"/>
      <c r="R1839" s="247"/>
      <c r="S1839" s="247"/>
      <c r="T1839" s="247"/>
      <c r="U1839" s="247"/>
      <c r="V1839" s="247"/>
      <c r="W1839" s="247"/>
      <c r="X1839" s="247"/>
      <c r="Y1839" s="247"/>
      <c r="Z1839" s="247"/>
      <c r="AA1839" s="247"/>
      <c r="AB1839" s="247"/>
      <c r="AC1839" s="247"/>
    </row>
    <row r="1840">
      <c r="A1840" s="247"/>
      <c r="B1840" s="373"/>
      <c r="C1840" s="373"/>
      <c r="D1840" s="373"/>
      <c r="E1840" s="247"/>
      <c r="F1840" s="247"/>
      <c r="G1840" s="247"/>
      <c r="H1840" s="247"/>
      <c r="I1840" s="247"/>
      <c r="J1840" s="247"/>
      <c r="K1840" s="247"/>
      <c r="L1840" s="247"/>
      <c r="M1840" s="247"/>
      <c r="N1840" s="247"/>
      <c r="O1840" s="247"/>
      <c r="P1840" s="247"/>
      <c r="Q1840" s="247"/>
      <c r="R1840" s="247"/>
      <c r="S1840" s="247"/>
      <c r="T1840" s="247"/>
      <c r="U1840" s="247"/>
      <c r="V1840" s="247"/>
      <c r="W1840" s="247"/>
      <c r="X1840" s="247"/>
      <c r="Y1840" s="247"/>
      <c r="Z1840" s="247"/>
      <c r="AA1840" s="247"/>
      <c r="AB1840" s="247"/>
      <c r="AC1840" s="247"/>
    </row>
    <row r="1841">
      <c r="A1841" s="247"/>
      <c r="B1841" s="373"/>
      <c r="C1841" s="373"/>
      <c r="D1841" s="373"/>
      <c r="E1841" s="247"/>
      <c r="F1841" s="247"/>
      <c r="G1841" s="247"/>
      <c r="H1841" s="247"/>
      <c r="I1841" s="247"/>
      <c r="J1841" s="247"/>
      <c r="K1841" s="247"/>
      <c r="L1841" s="247"/>
      <c r="M1841" s="247"/>
      <c r="N1841" s="247"/>
      <c r="O1841" s="247"/>
      <c r="P1841" s="247"/>
      <c r="Q1841" s="247"/>
      <c r="R1841" s="247"/>
      <c r="S1841" s="247"/>
      <c r="T1841" s="247"/>
      <c r="U1841" s="247"/>
      <c r="V1841" s="247"/>
      <c r="W1841" s="247"/>
      <c r="X1841" s="247"/>
      <c r="Y1841" s="247"/>
      <c r="Z1841" s="247"/>
      <c r="AA1841" s="247"/>
      <c r="AB1841" s="247"/>
      <c r="AC1841" s="247"/>
    </row>
    <row r="1842">
      <c r="A1842" s="247"/>
      <c r="B1842" s="373"/>
      <c r="C1842" s="373"/>
      <c r="D1842" s="373"/>
      <c r="E1842" s="247"/>
      <c r="F1842" s="247"/>
      <c r="G1842" s="247"/>
      <c r="H1842" s="247"/>
      <c r="I1842" s="247"/>
      <c r="J1842" s="247"/>
      <c r="K1842" s="247"/>
      <c r="L1842" s="247"/>
      <c r="M1842" s="247"/>
      <c r="N1842" s="247"/>
      <c r="O1842" s="247"/>
      <c r="P1842" s="247"/>
      <c r="Q1842" s="247"/>
      <c r="R1842" s="247"/>
      <c r="S1842" s="247"/>
      <c r="T1842" s="247"/>
      <c r="U1842" s="247"/>
      <c r="V1842" s="247"/>
      <c r="W1842" s="247"/>
      <c r="X1842" s="247"/>
      <c r="Y1842" s="247"/>
      <c r="Z1842" s="247"/>
      <c r="AA1842" s="247"/>
      <c r="AB1842" s="247"/>
      <c r="AC1842" s="247"/>
    </row>
    <row r="1843">
      <c r="A1843" s="247"/>
      <c r="B1843" s="373"/>
      <c r="C1843" s="373"/>
      <c r="D1843" s="373"/>
      <c r="E1843" s="247"/>
      <c r="F1843" s="247"/>
      <c r="G1843" s="247"/>
      <c r="H1843" s="247"/>
      <c r="I1843" s="247"/>
      <c r="J1843" s="247"/>
      <c r="K1843" s="247"/>
      <c r="L1843" s="247"/>
      <c r="M1843" s="247"/>
      <c r="N1843" s="247"/>
      <c r="O1843" s="247"/>
      <c r="P1843" s="247"/>
      <c r="Q1843" s="247"/>
      <c r="R1843" s="247"/>
      <c r="S1843" s="247"/>
      <c r="T1843" s="247"/>
      <c r="U1843" s="247"/>
      <c r="V1843" s="247"/>
      <c r="W1843" s="247"/>
      <c r="X1843" s="247"/>
      <c r="Y1843" s="247"/>
      <c r="Z1843" s="247"/>
      <c r="AA1843" s="247"/>
      <c r="AB1843" s="247"/>
      <c r="AC1843" s="247"/>
    </row>
    <row r="1844">
      <c r="A1844" s="247"/>
      <c r="B1844" s="373"/>
      <c r="C1844" s="373"/>
      <c r="D1844" s="373"/>
      <c r="E1844" s="247"/>
      <c r="F1844" s="247"/>
      <c r="G1844" s="247"/>
      <c r="H1844" s="247"/>
      <c r="I1844" s="247"/>
      <c r="J1844" s="247"/>
      <c r="K1844" s="247"/>
      <c r="L1844" s="247"/>
      <c r="M1844" s="247"/>
      <c r="N1844" s="247"/>
      <c r="O1844" s="247"/>
      <c r="P1844" s="247"/>
      <c r="Q1844" s="247"/>
      <c r="R1844" s="247"/>
      <c r="S1844" s="247"/>
      <c r="T1844" s="247"/>
      <c r="U1844" s="247"/>
      <c r="V1844" s="247"/>
      <c r="W1844" s="247"/>
      <c r="X1844" s="247"/>
      <c r="Y1844" s="247"/>
      <c r="Z1844" s="247"/>
      <c r="AA1844" s="247"/>
      <c r="AB1844" s="247"/>
      <c r="AC1844" s="247"/>
    </row>
    <row r="1845">
      <c r="A1845" s="247"/>
      <c r="B1845" s="373"/>
      <c r="C1845" s="373"/>
      <c r="D1845" s="373"/>
      <c r="E1845" s="247"/>
      <c r="F1845" s="247"/>
      <c r="G1845" s="247"/>
      <c r="H1845" s="247"/>
      <c r="I1845" s="247"/>
      <c r="J1845" s="247"/>
      <c r="K1845" s="247"/>
      <c r="L1845" s="247"/>
      <c r="M1845" s="247"/>
      <c r="N1845" s="247"/>
      <c r="O1845" s="247"/>
      <c r="P1845" s="247"/>
      <c r="Q1845" s="247"/>
      <c r="R1845" s="247"/>
      <c r="S1845" s="247"/>
      <c r="T1845" s="247"/>
      <c r="U1845" s="247"/>
      <c r="V1845" s="247"/>
      <c r="W1845" s="247"/>
      <c r="X1845" s="247"/>
      <c r="Y1845" s="247"/>
      <c r="Z1845" s="247"/>
      <c r="AA1845" s="247"/>
      <c r="AB1845" s="247"/>
      <c r="AC1845" s="247"/>
    </row>
    <row r="1846">
      <c r="A1846" s="247"/>
      <c r="B1846" s="373"/>
      <c r="C1846" s="373"/>
      <c r="D1846" s="373"/>
      <c r="E1846" s="247"/>
      <c r="F1846" s="247"/>
      <c r="G1846" s="247"/>
      <c r="H1846" s="247"/>
      <c r="I1846" s="247"/>
      <c r="J1846" s="247"/>
      <c r="K1846" s="247"/>
      <c r="L1846" s="247"/>
      <c r="M1846" s="247"/>
      <c r="N1846" s="247"/>
      <c r="O1846" s="247"/>
      <c r="P1846" s="247"/>
      <c r="Q1846" s="247"/>
      <c r="R1846" s="247"/>
      <c r="S1846" s="247"/>
      <c r="T1846" s="247"/>
      <c r="U1846" s="247"/>
      <c r="V1846" s="247"/>
      <c r="W1846" s="247"/>
      <c r="X1846" s="247"/>
      <c r="Y1846" s="247"/>
      <c r="Z1846" s="247"/>
      <c r="AA1846" s="247"/>
      <c r="AB1846" s="247"/>
      <c r="AC1846" s="247"/>
    </row>
    <row r="1847">
      <c r="A1847" s="247"/>
      <c r="B1847" s="373"/>
      <c r="C1847" s="373"/>
      <c r="D1847" s="373"/>
      <c r="E1847" s="247"/>
      <c r="F1847" s="247"/>
      <c r="G1847" s="247"/>
      <c r="H1847" s="247"/>
      <c r="I1847" s="247"/>
      <c r="J1847" s="247"/>
      <c r="K1847" s="247"/>
      <c r="L1847" s="247"/>
      <c r="M1847" s="247"/>
      <c r="N1847" s="247"/>
      <c r="O1847" s="247"/>
      <c r="P1847" s="247"/>
      <c r="Q1847" s="247"/>
      <c r="R1847" s="247"/>
      <c r="S1847" s="247"/>
      <c r="T1847" s="247"/>
      <c r="U1847" s="247"/>
      <c r="V1847" s="247"/>
      <c r="W1847" s="247"/>
      <c r="X1847" s="247"/>
      <c r="Y1847" s="247"/>
      <c r="Z1847" s="247"/>
      <c r="AA1847" s="247"/>
      <c r="AB1847" s="247"/>
      <c r="AC1847" s="247"/>
    </row>
    <row r="1848">
      <c r="A1848" s="247"/>
      <c r="B1848" s="373"/>
      <c r="C1848" s="373"/>
      <c r="D1848" s="373"/>
      <c r="E1848" s="247"/>
      <c r="F1848" s="247"/>
      <c r="G1848" s="247"/>
      <c r="H1848" s="247"/>
      <c r="I1848" s="247"/>
      <c r="J1848" s="247"/>
      <c r="K1848" s="247"/>
      <c r="L1848" s="247"/>
      <c r="M1848" s="247"/>
      <c r="N1848" s="247"/>
      <c r="O1848" s="247"/>
      <c r="P1848" s="247"/>
      <c r="Q1848" s="247"/>
      <c r="R1848" s="247"/>
      <c r="S1848" s="247"/>
      <c r="T1848" s="247"/>
      <c r="U1848" s="247"/>
      <c r="V1848" s="247"/>
      <c r="W1848" s="247"/>
      <c r="X1848" s="247"/>
      <c r="Y1848" s="247"/>
      <c r="Z1848" s="247"/>
      <c r="AA1848" s="247"/>
      <c r="AB1848" s="247"/>
      <c r="AC1848" s="247"/>
    </row>
    <row r="1849">
      <c r="A1849" s="247"/>
      <c r="B1849" s="373"/>
      <c r="C1849" s="373"/>
      <c r="D1849" s="373"/>
      <c r="E1849" s="247"/>
      <c r="F1849" s="247"/>
      <c r="G1849" s="247"/>
      <c r="H1849" s="247"/>
      <c r="I1849" s="247"/>
      <c r="J1849" s="247"/>
      <c r="K1849" s="247"/>
      <c r="L1849" s="247"/>
      <c r="M1849" s="247"/>
      <c r="N1849" s="247"/>
      <c r="O1849" s="247"/>
      <c r="P1849" s="247"/>
      <c r="Q1849" s="247"/>
      <c r="R1849" s="247"/>
      <c r="S1849" s="247"/>
      <c r="T1849" s="247"/>
      <c r="U1849" s="247"/>
      <c r="V1849" s="247"/>
      <c r="W1849" s="247"/>
      <c r="X1849" s="247"/>
      <c r="Y1849" s="247"/>
      <c r="Z1849" s="247"/>
      <c r="AA1849" s="247"/>
      <c r="AB1849" s="247"/>
      <c r="AC1849" s="247"/>
    </row>
    <row r="1850">
      <c r="A1850" s="247"/>
      <c r="B1850" s="373"/>
      <c r="C1850" s="373"/>
      <c r="D1850" s="373"/>
      <c r="E1850" s="247"/>
      <c r="F1850" s="247"/>
      <c r="G1850" s="247"/>
      <c r="H1850" s="247"/>
      <c r="I1850" s="247"/>
      <c r="J1850" s="247"/>
      <c r="K1850" s="247"/>
      <c r="L1850" s="247"/>
      <c r="M1850" s="247"/>
      <c r="N1850" s="247"/>
      <c r="O1850" s="247"/>
      <c r="P1850" s="247"/>
      <c r="Q1850" s="247"/>
      <c r="R1850" s="247"/>
      <c r="S1850" s="247"/>
      <c r="T1850" s="247"/>
      <c r="U1850" s="247"/>
      <c r="V1850" s="247"/>
      <c r="W1850" s="247"/>
      <c r="X1850" s="247"/>
      <c r="Y1850" s="247"/>
      <c r="Z1850" s="247"/>
      <c r="AA1850" s="247"/>
      <c r="AB1850" s="247"/>
      <c r="AC1850" s="247"/>
    </row>
    <row r="1851">
      <c r="A1851" s="247"/>
      <c r="B1851" s="373"/>
      <c r="C1851" s="373"/>
      <c r="D1851" s="373"/>
      <c r="E1851" s="247"/>
      <c r="F1851" s="247"/>
      <c r="G1851" s="247"/>
      <c r="H1851" s="247"/>
      <c r="I1851" s="247"/>
      <c r="J1851" s="247"/>
      <c r="K1851" s="247"/>
      <c r="L1851" s="247"/>
      <c r="M1851" s="247"/>
      <c r="N1851" s="247"/>
      <c r="O1851" s="247"/>
      <c r="P1851" s="247"/>
      <c r="Q1851" s="247"/>
      <c r="R1851" s="247"/>
      <c r="S1851" s="247"/>
      <c r="T1851" s="247"/>
      <c r="U1851" s="247"/>
      <c r="V1851" s="247"/>
      <c r="W1851" s="247"/>
      <c r="X1851" s="247"/>
      <c r="Y1851" s="247"/>
      <c r="Z1851" s="247"/>
      <c r="AA1851" s="247"/>
      <c r="AB1851" s="247"/>
      <c r="AC1851" s="247"/>
    </row>
    <row r="1852">
      <c r="A1852" s="247"/>
      <c r="B1852" s="373"/>
      <c r="C1852" s="373"/>
      <c r="D1852" s="373"/>
      <c r="E1852" s="247"/>
      <c r="F1852" s="247"/>
      <c r="G1852" s="247"/>
      <c r="H1852" s="247"/>
      <c r="I1852" s="247"/>
      <c r="J1852" s="247"/>
      <c r="K1852" s="247"/>
      <c r="L1852" s="247"/>
      <c r="M1852" s="247"/>
      <c r="N1852" s="247"/>
      <c r="O1852" s="247"/>
      <c r="P1852" s="247"/>
      <c r="Q1852" s="247"/>
      <c r="R1852" s="247"/>
      <c r="S1852" s="247"/>
      <c r="T1852" s="247"/>
      <c r="U1852" s="247"/>
      <c r="V1852" s="247"/>
      <c r="W1852" s="247"/>
      <c r="X1852" s="247"/>
      <c r="Y1852" s="247"/>
      <c r="Z1852" s="247"/>
      <c r="AA1852" s="247"/>
      <c r="AB1852" s="247"/>
      <c r="AC1852" s="247"/>
    </row>
    <row r="1853">
      <c r="A1853" s="247"/>
      <c r="B1853" s="373"/>
      <c r="C1853" s="373"/>
      <c r="D1853" s="373"/>
      <c r="E1853" s="247"/>
      <c r="F1853" s="247"/>
      <c r="G1853" s="247"/>
      <c r="H1853" s="247"/>
      <c r="I1853" s="247"/>
      <c r="J1853" s="247"/>
      <c r="K1853" s="247"/>
      <c r="L1853" s="247"/>
      <c r="M1853" s="247"/>
      <c r="N1853" s="247"/>
      <c r="O1853" s="247"/>
      <c r="P1853" s="247"/>
      <c r="Q1853" s="247"/>
      <c r="R1853" s="247"/>
      <c r="S1853" s="247"/>
      <c r="T1853" s="247"/>
      <c r="U1853" s="247"/>
      <c r="V1853" s="247"/>
      <c r="W1853" s="247"/>
      <c r="X1853" s="247"/>
      <c r="Y1853" s="247"/>
      <c r="Z1853" s="247"/>
      <c r="AA1853" s="247"/>
      <c r="AB1853" s="247"/>
      <c r="AC1853" s="247"/>
    </row>
    <row r="1854">
      <c r="A1854" s="247"/>
      <c r="B1854" s="373"/>
      <c r="C1854" s="373"/>
      <c r="D1854" s="373"/>
      <c r="E1854" s="247"/>
      <c r="F1854" s="247"/>
      <c r="G1854" s="247"/>
      <c r="H1854" s="247"/>
      <c r="I1854" s="247"/>
      <c r="J1854" s="247"/>
      <c r="K1854" s="247"/>
      <c r="L1854" s="247"/>
      <c r="M1854" s="247"/>
      <c r="N1854" s="247"/>
      <c r="O1854" s="247"/>
      <c r="P1854" s="247"/>
      <c r="Q1854" s="247"/>
      <c r="R1854" s="247"/>
      <c r="S1854" s="247"/>
      <c r="T1854" s="247"/>
      <c r="U1854" s="247"/>
      <c r="V1854" s="247"/>
      <c r="W1854" s="247"/>
      <c r="X1854" s="247"/>
      <c r="Y1854" s="247"/>
      <c r="Z1854" s="247"/>
      <c r="AA1854" s="247"/>
      <c r="AB1854" s="247"/>
      <c r="AC1854" s="247"/>
    </row>
    <row r="1855">
      <c r="A1855" s="247"/>
      <c r="B1855" s="373"/>
      <c r="C1855" s="373"/>
      <c r="D1855" s="373"/>
      <c r="E1855" s="247"/>
      <c r="F1855" s="247"/>
      <c r="G1855" s="247"/>
      <c r="H1855" s="247"/>
      <c r="I1855" s="247"/>
      <c r="J1855" s="247"/>
      <c r="K1855" s="247"/>
      <c r="L1855" s="247"/>
      <c r="M1855" s="247"/>
      <c r="N1855" s="247"/>
      <c r="O1855" s="247"/>
      <c r="P1855" s="247"/>
      <c r="Q1855" s="247"/>
      <c r="R1855" s="247"/>
      <c r="S1855" s="247"/>
      <c r="T1855" s="247"/>
      <c r="U1855" s="247"/>
      <c r="V1855" s="247"/>
      <c r="W1855" s="247"/>
      <c r="X1855" s="247"/>
      <c r="Y1855" s="247"/>
      <c r="Z1855" s="247"/>
      <c r="AA1855" s="247"/>
      <c r="AB1855" s="247"/>
      <c r="AC1855" s="247"/>
    </row>
    <row r="1856">
      <c r="A1856" s="247"/>
      <c r="B1856" s="373"/>
      <c r="C1856" s="373"/>
      <c r="D1856" s="373"/>
      <c r="E1856" s="247"/>
      <c r="F1856" s="247"/>
      <c r="G1856" s="247"/>
      <c r="H1856" s="247"/>
      <c r="I1856" s="247"/>
      <c r="J1856" s="247"/>
      <c r="K1856" s="247"/>
      <c r="L1856" s="247"/>
      <c r="M1856" s="247"/>
      <c r="N1856" s="247"/>
      <c r="O1856" s="247"/>
      <c r="P1856" s="247"/>
      <c r="Q1856" s="247"/>
      <c r="R1856" s="247"/>
      <c r="S1856" s="247"/>
      <c r="T1856" s="247"/>
      <c r="U1856" s="247"/>
      <c r="V1856" s="247"/>
      <c r="W1856" s="247"/>
      <c r="X1856" s="247"/>
      <c r="Y1856" s="247"/>
      <c r="Z1856" s="247"/>
      <c r="AA1856" s="247"/>
      <c r="AB1856" s="247"/>
      <c r="AC1856" s="247"/>
    </row>
    <row r="1857">
      <c r="A1857" s="247"/>
      <c r="B1857" s="373"/>
      <c r="C1857" s="373"/>
      <c r="D1857" s="373"/>
      <c r="E1857" s="247"/>
      <c r="F1857" s="247"/>
      <c r="G1857" s="247"/>
      <c r="H1857" s="247"/>
      <c r="I1857" s="247"/>
      <c r="J1857" s="247"/>
      <c r="K1857" s="247"/>
      <c r="L1857" s="247"/>
      <c r="M1857" s="247"/>
      <c r="N1857" s="247"/>
      <c r="O1857" s="247"/>
      <c r="P1857" s="247"/>
      <c r="Q1857" s="247"/>
      <c r="R1857" s="247"/>
      <c r="S1857" s="247"/>
      <c r="T1857" s="247"/>
      <c r="U1857" s="247"/>
      <c r="V1857" s="247"/>
      <c r="W1857" s="247"/>
      <c r="X1857" s="247"/>
      <c r="Y1857" s="247"/>
      <c r="Z1857" s="247"/>
      <c r="AA1857" s="247"/>
      <c r="AB1857" s="247"/>
      <c r="AC1857" s="247"/>
    </row>
    <row r="1858">
      <c r="A1858" s="247"/>
      <c r="B1858" s="373"/>
      <c r="C1858" s="373"/>
      <c r="D1858" s="373"/>
      <c r="E1858" s="247"/>
      <c r="F1858" s="247"/>
      <c r="G1858" s="247"/>
      <c r="H1858" s="247"/>
      <c r="I1858" s="247"/>
      <c r="J1858" s="247"/>
      <c r="K1858" s="247"/>
      <c r="L1858" s="247"/>
      <c r="M1858" s="247"/>
      <c r="N1858" s="247"/>
      <c r="O1858" s="247"/>
      <c r="P1858" s="247"/>
      <c r="Q1858" s="247"/>
      <c r="R1858" s="247"/>
      <c r="S1858" s="247"/>
      <c r="T1858" s="247"/>
      <c r="U1858" s="247"/>
      <c r="V1858" s="247"/>
      <c r="W1858" s="247"/>
      <c r="X1858" s="247"/>
      <c r="Y1858" s="247"/>
      <c r="Z1858" s="247"/>
      <c r="AA1858" s="247"/>
      <c r="AB1858" s="247"/>
      <c r="AC1858" s="247"/>
    </row>
    <row r="1859">
      <c r="A1859" s="247"/>
      <c r="B1859" s="373"/>
      <c r="C1859" s="373"/>
      <c r="D1859" s="373"/>
      <c r="E1859" s="247"/>
      <c r="F1859" s="247"/>
      <c r="G1859" s="247"/>
      <c r="H1859" s="247"/>
      <c r="I1859" s="247"/>
      <c r="J1859" s="247"/>
      <c r="K1859" s="247"/>
      <c r="L1859" s="247"/>
      <c r="M1859" s="247"/>
      <c r="N1859" s="247"/>
      <c r="O1859" s="247"/>
      <c r="P1859" s="247"/>
      <c r="Q1859" s="247"/>
      <c r="R1859" s="247"/>
      <c r="S1859" s="247"/>
      <c r="T1859" s="247"/>
      <c r="U1859" s="247"/>
      <c r="V1859" s="247"/>
      <c r="W1859" s="247"/>
      <c r="X1859" s="247"/>
      <c r="Y1859" s="247"/>
      <c r="Z1859" s="247"/>
      <c r="AA1859" s="247"/>
      <c r="AB1859" s="247"/>
      <c r="AC1859" s="247"/>
    </row>
    <row r="1860">
      <c r="A1860" s="247"/>
      <c r="B1860" s="373"/>
      <c r="C1860" s="373"/>
      <c r="D1860" s="373"/>
      <c r="E1860" s="247"/>
      <c r="F1860" s="247"/>
      <c r="G1860" s="247"/>
      <c r="H1860" s="247"/>
      <c r="I1860" s="247"/>
      <c r="J1860" s="247"/>
      <c r="K1860" s="247"/>
      <c r="L1860" s="247"/>
      <c r="M1860" s="247"/>
      <c r="N1860" s="247"/>
      <c r="O1860" s="247"/>
      <c r="P1860" s="247"/>
      <c r="Q1860" s="247"/>
      <c r="R1860" s="247"/>
      <c r="S1860" s="247"/>
      <c r="T1860" s="247"/>
      <c r="U1860" s="247"/>
      <c r="V1860" s="247"/>
      <c r="W1860" s="247"/>
      <c r="X1860" s="247"/>
      <c r="Y1860" s="247"/>
      <c r="Z1860" s="247"/>
      <c r="AA1860" s="247"/>
      <c r="AB1860" s="247"/>
      <c r="AC1860" s="247"/>
    </row>
    <row r="1861">
      <c r="A1861" s="247"/>
      <c r="B1861" s="373"/>
      <c r="C1861" s="373"/>
      <c r="D1861" s="373"/>
      <c r="E1861" s="247"/>
      <c r="F1861" s="247"/>
      <c r="G1861" s="247"/>
      <c r="H1861" s="247"/>
      <c r="I1861" s="247"/>
      <c r="J1861" s="247"/>
      <c r="K1861" s="247"/>
      <c r="L1861" s="247"/>
      <c r="M1861" s="247"/>
      <c r="N1861" s="247"/>
      <c r="O1861" s="247"/>
      <c r="P1861" s="247"/>
      <c r="Q1861" s="247"/>
      <c r="R1861" s="247"/>
      <c r="S1861" s="247"/>
      <c r="T1861" s="247"/>
      <c r="U1861" s="247"/>
      <c r="V1861" s="247"/>
      <c r="W1861" s="247"/>
      <c r="X1861" s="247"/>
      <c r="Y1861" s="247"/>
      <c r="Z1861" s="247"/>
      <c r="AA1861" s="247"/>
      <c r="AB1861" s="247"/>
      <c r="AC1861" s="247"/>
    </row>
    <row r="1862">
      <c r="A1862" s="247"/>
      <c r="B1862" s="373"/>
      <c r="C1862" s="373"/>
      <c r="D1862" s="373"/>
      <c r="E1862" s="247"/>
      <c r="F1862" s="247"/>
      <c r="G1862" s="247"/>
      <c r="H1862" s="247"/>
      <c r="I1862" s="247"/>
      <c r="J1862" s="247"/>
      <c r="K1862" s="247"/>
      <c r="L1862" s="247"/>
      <c r="M1862" s="247"/>
      <c r="N1862" s="247"/>
      <c r="O1862" s="247"/>
      <c r="P1862" s="247"/>
      <c r="Q1862" s="247"/>
      <c r="R1862" s="247"/>
      <c r="S1862" s="247"/>
      <c r="T1862" s="247"/>
      <c r="U1862" s="247"/>
      <c r="V1862" s="247"/>
      <c r="W1862" s="247"/>
      <c r="X1862" s="247"/>
      <c r="Y1862" s="247"/>
      <c r="Z1862" s="247"/>
      <c r="AA1862" s="247"/>
      <c r="AB1862" s="247"/>
      <c r="AC1862" s="247"/>
    </row>
    <row r="1863">
      <c r="A1863" s="247"/>
      <c r="B1863" s="373"/>
      <c r="C1863" s="373"/>
      <c r="D1863" s="373"/>
      <c r="E1863" s="247"/>
      <c r="F1863" s="247"/>
      <c r="G1863" s="247"/>
      <c r="H1863" s="247"/>
      <c r="I1863" s="247"/>
      <c r="J1863" s="247"/>
      <c r="K1863" s="247"/>
      <c r="L1863" s="247"/>
      <c r="M1863" s="247"/>
      <c r="N1863" s="247"/>
      <c r="O1863" s="247"/>
      <c r="P1863" s="247"/>
      <c r="Q1863" s="247"/>
      <c r="R1863" s="247"/>
      <c r="S1863" s="247"/>
      <c r="T1863" s="247"/>
      <c r="U1863" s="247"/>
      <c r="V1863" s="247"/>
      <c r="W1863" s="247"/>
      <c r="X1863" s="247"/>
      <c r="Y1863" s="247"/>
      <c r="Z1863" s="247"/>
      <c r="AA1863" s="247"/>
      <c r="AB1863" s="247"/>
      <c r="AC1863" s="247"/>
    </row>
    <row r="1864">
      <c r="A1864" s="247"/>
      <c r="B1864" s="373"/>
      <c r="C1864" s="373"/>
      <c r="D1864" s="373"/>
      <c r="E1864" s="247"/>
      <c r="F1864" s="247"/>
      <c r="G1864" s="247"/>
      <c r="H1864" s="247"/>
      <c r="I1864" s="247"/>
      <c r="J1864" s="247"/>
      <c r="K1864" s="247"/>
      <c r="L1864" s="247"/>
      <c r="M1864" s="247"/>
      <c r="N1864" s="247"/>
      <c r="O1864" s="247"/>
      <c r="P1864" s="247"/>
      <c r="Q1864" s="247"/>
      <c r="R1864" s="247"/>
      <c r="S1864" s="247"/>
      <c r="T1864" s="247"/>
      <c r="U1864" s="247"/>
      <c r="V1864" s="247"/>
      <c r="W1864" s="247"/>
      <c r="X1864" s="247"/>
      <c r="Y1864" s="247"/>
      <c r="Z1864" s="247"/>
      <c r="AA1864" s="247"/>
      <c r="AB1864" s="247"/>
      <c r="AC1864" s="247"/>
    </row>
    <row r="1865">
      <c r="A1865" s="247"/>
      <c r="B1865" s="373"/>
      <c r="C1865" s="373"/>
      <c r="D1865" s="373"/>
      <c r="E1865" s="247"/>
      <c r="F1865" s="247"/>
      <c r="G1865" s="247"/>
      <c r="H1865" s="247"/>
      <c r="I1865" s="247"/>
      <c r="J1865" s="247"/>
      <c r="K1865" s="247"/>
      <c r="L1865" s="247"/>
      <c r="M1865" s="247"/>
      <c r="N1865" s="247"/>
      <c r="O1865" s="247"/>
      <c r="P1865" s="247"/>
      <c r="Q1865" s="247"/>
      <c r="R1865" s="247"/>
      <c r="S1865" s="247"/>
      <c r="T1865" s="247"/>
      <c r="U1865" s="247"/>
      <c r="V1865" s="247"/>
      <c r="W1865" s="247"/>
      <c r="X1865" s="247"/>
      <c r="Y1865" s="247"/>
      <c r="Z1865" s="247"/>
      <c r="AA1865" s="247"/>
      <c r="AB1865" s="247"/>
      <c r="AC1865" s="247"/>
    </row>
    <row r="1866">
      <c r="A1866" s="247"/>
      <c r="B1866" s="373"/>
      <c r="C1866" s="373"/>
      <c r="D1866" s="373"/>
      <c r="E1866" s="247"/>
      <c r="F1866" s="247"/>
      <c r="G1866" s="247"/>
      <c r="H1866" s="247"/>
      <c r="I1866" s="247"/>
      <c r="J1866" s="247"/>
      <c r="K1866" s="247"/>
      <c r="L1866" s="247"/>
      <c r="M1866" s="247"/>
      <c r="N1866" s="247"/>
      <c r="O1866" s="247"/>
      <c r="P1866" s="247"/>
      <c r="Q1866" s="247"/>
      <c r="R1866" s="247"/>
      <c r="S1866" s="247"/>
      <c r="T1866" s="247"/>
      <c r="U1866" s="247"/>
      <c r="V1866" s="247"/>
      <c r="W1866" s="247"/>
      <c r="X1866" s="247"/>
      <c r="Y1866" s="247"/>
      <c r="Z1866" s="247"/>
      <c r="AA1866" s="247"/>
      <c r="AB1866" s="247"/>
      <c r="AC1866" s="247"/>
    </row>
    <row r="1867">
      <c r="A1867" s="247"/>
      <c r="B1867" s="373"/>
      <c r="C1867" s="373"/>
      <c r="D1867" s="373"/>
      <c r="E1867" s="247"/>
      <c r="F1867" s="247"/>
      <c r="G1867" s="247"/>
      <c r="H1867" s="247"/>
      <c r="I1867" s="247"/>
      <c r="J1867" s="247"/>
      <c r="K1867" s="247"/>
      <c r="L1867" s="247"/>
      <c r="M1867" s="247"/>
      <c r="N1867" s="247"/>
      <c r="O1867" s="247"/>
      <c r="P1867" s="247"/>
      <c r="Q1867" s="247"/>
      <c r="R1867" s="247"/>
      <c r="S1867" s="247"/>
      <c r="T1867" s="247"/>
      <c r="U1867" s="247"/>
      <c r="V1867" s="247"/>
      <c r="W1867" s="247"/>
      <c r="X1867" s="247"/>
      <c r="Y1867" s="247"/>
      <c r="Z1867" s="247"/>
      <c r="AA1867" s="247"/>
      <c r="AB1867" s="247"/>
      <c r="AC1867" s="247"/>
    </row>
    <row r="1868">
      <c r="A1868" s="247"/>
      <c r="B1868" s="373"/>
      <c r="C1868" s="373"/>
      <c r="D1868" s="373"/>
      <c r="E1868" s="247"/>
      <c r="F1868" s="247"/>
      <c r="G1868" s="247"/>
      <c r="H1868" s="247"/>
      <c r="I1868" s="247"/>
      <c r="J1868" s="247"/>
      <c r="K1868" s="247"/>
      <c r="L1868" s="247"/>
      <c r="M1868" s="247"/>
      <c r="N1868" s="247"/>
      <c r="O1868" s="247"/>
      <c r="P1868" s="247"/>
      <c r="Q1868" s="247"/>
      <c r="R1868" s="247"/>
      <c r="S1868" s="247"/>
      <c r="T1868" s="247"/>
      <c r="U1868" s="247"/>
      <c r="V1868" s="247"/>
      <c r="W1868" s="247"/>
      <c r="X1868" s="247"/>
      <c r="Y1868" s="247"/>
      <c r="Z1868" s="247"/>
      <c r="AA1868" s="247"/>
      <c r="AB1868" s="247"/>
      <c r="AC1868" s="247"/>
    </row>
    <row r="1869">
      <c r="A1869" s="247"/>
      <c r="B1869" s="373"/>
      <c r="C1869" s="373"/>
      <c r="D1869" s="373"/>
      <c r="E1869" s="247"/>
      <c r="F1869" s="247"/>
      <c r="G1869" s="247"/>
      <c r="H1869" s="247"/>
      <c r="I1869" s="247"/>
      <c r="J1869" s="247"/>
      <c r="K1869" s="247"/>
      <c r="L1869" s="247"/>
      <c r="M1869" s="247"/>
      <c r="N1869" s="247"/>
      <c r="O1869" s="247"/>
      <c r="P1869" s="247"/>
      <c r="Q1869" s="247"/>
      <c r="R1869" s="247"/>
      <c r="S1869" s="247"/>
      <c r="T1869" s="247"/>
      <c r="U1869" s="247"/>
      <c r="V1869" s="247"/>
      <c r="W1869" s="247"/>
      <c r="X1869" s="247"/>
      <c r="Y1869" s="247"/>
      <c r="Z1869" s="247"/>
      <c r="AA1869" s="247"/>
      <c r="AB1869" s="247"/>
      <c r="AC1869" s="247"/>
    </row>
    <row r="1870">
      <c r="A1870" s="247"/>
      <c r="B1870" s="373"/>
      <c r="C1870" s="373"/>
      <c r="D1870" s="373"/>
      <c r="E1870" s="247"/>
      <c r="F1870" s="247"/>
      <c r="G1870" s="247"/>
      <c r="H1870" s="247"/>
      <c r="I1870" s="247"/>
      <c r="J1870" s="247"/>
      <c r="K1870" s="247"/>
      <c r="L1870" s="247"/>
      <c r="M1870" s="247"/>
      <c r="N1870" s="247"/>
      <c r="O1870" s="247"/>
      <c r="P1870" s="247"/>
      <c r="Q1870" s="247"/>
      <c r="R1870" s="247"/>
      <c r="S1870" s="247"/>
      <c r="T1870" s="247"/>
      <c r="U1870" s="247"/>
      <c r="V1870" s="247"/>
      <c r="W1870" s="247"/>
      <c r="X1870" s="247"/>
      <c r="Y1870" s="247"/>
      <c r="Z1870" s="247"/>
      <c r="AA1870" s="247"/>
      <c r="AB1870" s="247"/>
      <c r="AC1870" s="247"/>
    </row>
    <row r="1871">
      <c r="A1871" s="247"/>
      <c r="B1871" s="373"/>
      <c r="C1871" s="373"/>
      <c r="D1871" s="373"/>
      <c r="E1871" s="247"/>
      <c r="F1871" s="247"/>
      <c r="G1871" s="247"/>
      <c r="H1871" s="247"/>
      <c r="I1871" s="247"/>
      <c r="J1871" s="247"/>
      <c r="K1871" s="247"/>
      <c r="L1871" s="247"/>
      <c r="M1871" s="247"/>
      <c r="N1871" s="247"/>
      <c r="O1871" s="247"/>
      <c r="P1871" s="247"/>
      <c r="Q1871" s="247"/>
      <c r="R1871" s="247"/>
      <c r="S1871" s="247"/>
      <c r="T1871" s="247"/>
      <c r="U1871" s="247"/>
      <c r="V1871" s="247"/>
      <c r="W1871" s="247"/>
      <c r="X1871" s="247"/>
      <c r="Y1871" s="247"/>
      <c r="Z1871" s="247"/>
      <c r="AA1871" s="247"/>
      <c r="AB1871" s="247"/>
      <c r="AC1871" s="247"/>
    </row>
    <row r="1872">
      <c r="A1872" s="247"/>
      <c r="B1872" s="373"/>
      <c r="C1872" s="373"/>
      <c r="D1872" s="373"/>
      <c r="E1872" s="247"/>
      <c r="F1872" s="247"/>
      <c r="G1872" s="247"/>
      <c r="H1872" s="247"/>
      <c r="I1872" s="247"/>
      <c r="J1872" s="247"/>
      <c r="K1872" s="247"/>
      <c r="L1872" s="247"/>
      <c r="M1872" s="247"/>
      <c r="N1872" s="247"/>
      <c r="O1872" s="247"/>
      <c r="P1872" s="247"/>
      <c r="Q1872" s="247"/>
      <c r="R1872" s="247"/>
      <c r="S1872" s="247"/>
      <c r="T1872" s="247"/>
      <c r="U1872" s="247"/>
      <c r="V1872" s="247"/>
      <c r="W1872" s="247"/>
      <c r="X1872" s="247"/>
      <c r="Y1872" s="247"/>
      <c r="Z1872" s="247"/>
      <c r="AA1872" s="247"/>
      <c r="AB1872" s="247"/>
      <c r="AC1872" s="247"/>
    </row>
    <row r="1873">
      <c r="A1873" s="247"/>
      <c r="B1873" s="373"/>
      <c r="C1873" s="373"/>
      <c r="D1873" s="373"/>
      <c r="E1873" s="247"/>
      <c r="F1873" s="247"/>
      <c r="G1873" s="247"/>
      <c r="H1873" s="247"/>
      <c r="I1873" s="247"/>
      <c r="J1873" s="247"/>
      <c r="K1873" s="247"/>
      <c r="L1873" s="247"/>
      <c r="M1873" s="247"/>
      <c r="N1873" s="247"/>
      <c r="O1873" s="247"/>
      <c r="P1873" s="247"/>
      <c r="Q1873" s="247"/>
      <c r="R1873" s="247"/>
      <c r="S1873" s="247"/>
      <c r="T1873" s="247"/>
      <c r="U1873" s="247"/>
      <c r="V1873" s="247"/>
      <c r="W1873" s="247"/>
      <c r="X1873" s="247"/>
      <c r="Y1873" s="247"/>
      <c r="Z1873" s="247"/>
      <c r="AA1873" s="247"/>
      <c r="AB1873" s="247"/>
      <c r="AC1873" s="247"/>
    </row>
    <row r="1874">
      <c r="A1874" s="247"/>
      <c r="B1874" s="373"/>
      <c r="C1874" s="373"/>
      <c r="D1874" s="373"/>
      <c r="E1874" s="247"/>
      <c r="F1874" s="247"/>
      <c r="G1874" s="247"/>
      <c r="H1874" s="247"/>
      <c r="I1874" s="247"/>
      <c r="J1874" s="247"/>
      <c r="K1874" s="247"/>
      <c r="L1874" s="247"/>
      <c r="M1874" s="247"/>
      <c r="N1874" s="247"/>
      <c r="O1874" s="247"/>
      <c r="P1874" s="247"/>
      <c r="Q1874" s="247"/>
      <c r="R1874" s="247"/>
      <c r="S1874" s="247"/>
      <c r="T1874" s="247"/>
      <c r="U1874" s="247"/>
      <c r="V1874" s="247"/>
      <c r="W1874" s="247"/>
      <c r="X1874" s="247"/>
      <c r="Y1874" s="247"/>
      <c r="Z1874" s="247"/>
      <c r="AA1874" s="247"/>
      <c r="AB1874" s="247"/>
      <c r="AC1874" s="247"/>
    </row>
    <row r="1875">
      <c r="A1875" s="247"/>
      <c r="B1875" s="373"/>
      <c r="C1875" s="373"/>
      <c r="D1875" s="373"/>
      <c r="E1875" s="247"/>
      <c r="F1875" s="247"/>
      <c r="G1875" s="247"/>
      <c r="H1875" s="247"/>
      <c r="I1875" s="247"/>
      <c r="J1875" s="247"/>
      <c r="K1875" s="247"/>
      <c r="L1875" s="247"/>
      <c r="M1875" s="247"/>
      <c r="N1875" s="247"/>
      <c r="O1875" s="247"/>
      <c r="P1875" s="247"/>
      <c r="Q1875" s="247"/>
      <c r="R1875" s="247"/>
      <c r="S1875" s="247"/>
      <c r="T1875" s="247"/>
      <c r="U1875" s="247"/>
      <c r="V1875" s="247"/>
      <c r="W1875" s="247"/>
      <c r="X1875" s="247"/>
      <c r="Y1875" s="247"/>
      <c r="Z1875" s="247"/>
      <c r="AA1875" s="247"/>
      <c r="AB1875" s="247"/>
      <c r="AC1875" s="247"/>
    </row>
    <row r="1876">
      <c r="A1876" s="247"/>
      <c r="B1876" s="373"/>
      <c r="C1876" s="373"/>
      <c r="D1876" s="373"/>
      <c r="E1876" s="247"/>
      <c r="F1876" s="247"/>
      <c r="G1876" s="247"/>
      <c r="H1876" s="247"/>
      <c r="I1876" s="247"/>
      <c r="J1876" s="247"/>
      <c r="K1876" s="247"/>
      <c r="L1876" s="247"/>
      <c r="M1876" s="247"/>
      <c r="N1876" s="247"/>
      <c r="O1876" s="247"/>
      <c r="P1876" s="247"/>
      <c r="Q1876" s="247"/>
      <c r="R1876" s="247"/>
      <c r="S1876" s="247"/>
      <c r="T1876" s="247"/>
      <c r="U1876" s="247"/>
      <c r="V1876" s="247"/>
      <c r="W1876" s="247"/>
      <c r="X1876" s="247"/>
      <c r="Y1876" s="247"/>
      <c r="Z1876" s="247"/>
      <c r="AA1876" s="247"/>
      <c r="AB1876" s="247"/>
      <c r="AC1876" s="247"/>
    </row>
    <row r="1877">
      <c r="A1877" s="247"/>
      <c r="B1877" s="373"/>
      <c r="C1877" s="373"/>
      <c r="D1877" s="373"/>
      <c r="E1877" s="247"/>
      <c r="F1877" s="247"/>
      <c r="G1877" s="247"/>
      <c r="H1877" s="247"/>
      <c r="I1877" s="247"/>
      <c r="J1877" s="247"/>
      <c r="K1877" s="247"/>
      <c r="L1877" s="247"/>
      <c r="M1877" s="247"/>
      <c r="N1877" s="247"/>
      <c r="O1877" s="247"/>
      <c r="P1877" s="247"/>
      <c r="Q1877" s="247"/>
      <c r="R1877" s="247"/>
      <c r="S1877" s="247"/>
      <c r="T1877" s="247"/>
      <c r="U1877" s="247"/>
      <c r="V1877" s="247"/>
      <c r="W1877" s="247"/>
      <c r="X1877" s="247"/>
      <c r="Y1877" s="247"/>
      <c r="Z1877" s="247"/>
      <c r="AA1877" s="247"/>
      <c r="AB1877" s="247"/>
      <c r="AC1877" s="247"/>
    </row>
    <row r="1878">
      <c r="A1878" s="247"/>
      <c r="B1878" s="373"/>
      <c r="C1878" s="373"/>
      <c r="D1878" s="373"/>
      <c r="E1878" s="247"/>
      <c r="F1878" s="247"/>
      <c r="G1878" s="247"/>
      <c r="H1878" s="247"/>
      <c r="I1878" s="247"/>
      <c r="J1878" s="247"/>
      <c r="K1878" s="247"/>
      <c r="L1878" s="247"/>
      <c r="M1878" s="247"/>
      <c r="N1878" s="247"/>
      <c r="O1878" s="247"/>
      <c r="P1878" s="247"/>
      <c r="Q1878" s="247"/>
      <c r="R1878" s="247"/>
      <c r="S1878" s="247"/>
      <c r="T1878" s="247"/>
      <c r="U1878" s="247"/>
      <c r="V1878" s="247"/>
      <c r="W1878" s="247"/>
      <c r="X1878" s="247"/>
      <c r="Y1878" s="247"/>
      <c r="Z1878" s="247"/>
      <c r="AA1878" s="247"/>
      <c r="AB1878" s="247"/>
      <c r="AC1878" s="247"/>
    </row>
    <row r="1879">
      <c r="A1879" s="247"/>
      <c r="B1879" s="373"/>
      <c r="C1879" s="373"/>
      <c r="D1879" s="373"/>
      <c r="E1879" s="247"/>
      <c r="F1879" s="247"/>
      <c r="G1879" s="247"/>
      <c r="H1879" s="247"/>
      <c r="I1879" s="247"/>
      <c r="J1879" s="247"/>
      <c r="K1879" s="247"/>
      <c r="L1879" s="247"/>
      <c r="M1879" s="247"/>
      <c r="N1879" s="247"/>
      <c r="O1879" s="247"/>
      <c r="P1879" s="247"/>
      <c r="Q1879" s="247"/>
      <c r="R1879" s="247"/>
      <c r="S1879" s="247"/>
      <c r="T1879" s="247"/>
      <c r="U1879" s="247"/>
      <c r="V1879" s="247"/>
      <c r="W1879" s="247"/>
      <c r="X1879" s="247"/>
      <c r="Y1879" s="247"/>
      <c r="Z1879" s="247"/>
      <c r="AA1879" s="247"/>
      <c r="AB1879" s="247"/>
      <c r="AC1879" s="247"/>
    </row>
    <row r="1880">
      <c r="A1880" s="247"/>
      <c r="B1880" s="373"/>
      <c r="C1880" s="373"/>
      <c r="D1880" s="373"/>
      <c r="E1880" s="247"/>
      <c r="F1880" s="247"/>
      <c r="G1880" s="247"/>
      <c r="H1880" s="247"/>
      <c r="I1880" s="247"/>
      <c r="J1880" s="247"/>
      <c r="K1880" s="247"/>
      <c r="L1880" s="247"/>
      <c r="M1880" s="247"/>
      <c r="N1880" s="247"/>
      <c r="O1880" s="247"/>
      <c r="P1880" s="247"/>
      <c r="Q1880" s="247"/>
      <c r="R1880" s="247"/>
      <c r="S1880" s="247"/>
      <c r="T1880" s="247"/>
      <c r="U1880" s="247"/>
      <c r="V1880" s="247"/>
      <c r="W1880" s="247"/>
      <c r="X1880" s="247"/>
      <c r="Y1880" s="247"/>
      <c r="Z1880" s="247"/>
      <c r="AA1880" s="247"/>
      <c r="AB1880" s="247"/>
      <c r="AC1880" s="247"/>
    </row>
    <row r="1881">
      <c r="A1881" s="247"/>
      <c r="B1881" s="373"/>
      <c r="C1881" s="373"/>
      <c r="D1881" s="373"/>
      <c r="E1881" s="247"/>
      <c r="F1881" s="247"/>
      <c r="G1881" s="247"/>
      <c r="H1881" s="247"/>
      <c r="I1881" s="247"/>
      <c r="J1881" s="247"/>
      <c r="K1881" s="247"/>
      <c r="L1881" s="247"/>
      <c r="M1881" s="247"/>
      <c r="N1881" s="247"/>
      <c r="O1881" s="247"/>
      <c r="P1881" s="247"/>
      <c r="Q1881" s="247"/>
      <c r="R1881" s="247"/>
      <c r="S1881" s="247"/>
      <c r="T1881" s="247"/>
      <c r="U1881" s="247"/>
      <c r="V1881" s="247"/>
      <c r="W1881" s="247"/>
      <c r="X1881" s="247"/>
      <c r="Y1881" s="247"/>
      <c r="Z1881" s="247"/>
      <c r="AA1881" s="247"/>
      <c r="AB1881" s="247"/>
      <c r="AC1881" s="247"/>
    </row>
    <row r="1882">
      <c r="A1882" s="247"/>
      <c r="B1882" s="373"/>
      <c r="C1882" s="373"/>
      <c r="D1882" s="373"/>
      <c r="E1882" s="247"/>
      <c r="F1882" s="247"/>
      <c r="G1882" s="247"/>
      <c r="H1882" s="247"/>
      <c r="I1882" s="247"/>
      <c r="J1882" s="247"/>
      <c r="K1882" s="247"/>
      <c r="L1882" s="247"/>
      <c r="M1882" s="247"/>
      <c r="N1882" s="247"/>
      <c r="O1882" s="247"/>
      <c r="P1882" s="247"/>
      <c r="Q1882" s="247"/>
      <c r="R1882" s="247"/>
      <c r="S1882" s="247"/>
      <c r="T1882" s="247"/>
      <c r="U1882" s="247"/>
      <c r="V1882" s="247"/>
      <c r="W1882" s="247"/>
      <c r="X1882" s="247"/>
      <c r="Y1882" s="247"/>
      <c r="Z1882" s="247"/>
      <c r="AA1882" s="247"/>
      <c r="AB1882" s="247"/>
      <c r="AC1882" s="247"/>
    </row>
    <row r="1883">
      <c r="A1883" s="247"/>
      <c r="B1883" s="373"/>
      <c r="C1883" s="373"/>
      <c r="D1883" s="373"/>
      <c r="E1883" s="247"/>
      <c r="F1883" s="247"/>
      <c r="G1883" s="247"/>
      <c r="H1883" s="247"/>
      <c r="I1883" s="247"/>
      <c r="J1883" s="247"/>
      <c r="K1883" s="247"/>
      <c r="L1883" s="247"/>
      <c r="M1883" s="247"/>
      <c r="N1883" s="247"/>
      <c r="O1883" s="247"/>
      <c r="P1883" s="247"/>
      <c r="Q1883" s="247"/>
      <c r="R1883" s="247"/>
      <c r="S1883" s="247"/>
      <c r="T1883" s="247"/>
      <c r="U1883" s="247"/>
      <c r="V1883" s="247"/>
      <c r="W1883" s="247"/>
      <c r="X1883" s="247"/>
      <c r="Y1883" s="247"/>
      <c r="Z1883" s="247"/>
      <c r="AA1883" s="247"/>
      <c r="AB1883" s="247"/>
      <c r="AC1883" s="247"/>
    </row>
    <row r="1884">
      <c r="A1884" s="247"/>
      <c r="B1884" s="373"/>
      <c r="C1884" s="373"/>
      <c r="D1884" s="373"/>
      <c r="E1884" s="247"/>
      <c r="F1884" s="247"/>
      <c r="G1884" s="247"/>
      <c r="H1884" s="247"/>
      <c r="I1884" s="247"/>
      <c r="J1884" s="247"/>
      <c r="K1884" s="247"/>
      <c r="L1884" s="247"/>
      <c r="M1884" s="247"/>
      <c r="N1884" s="247"/>
      <c r="O1884" s="247"/>
      <c r="P1884" s="247"/>
      <c r="Q1884" s="247"/>
      <c r="R1884" s="247"/>
      <c r="S1884" s="247"/>
      <c r="T1884" s="247"/>
      <c r="U1884" s="247"/>
      <c r="V1884" s="247"/>
      <c r="W1884" s="247"/>
      <c r="X1884" s="247"/>
      <c r="Y1884" s="247"/>
      <c r="Z1884" s="247"/>
      <c r="AA1884" s="247"/>
      <c r="AB1884" s="247"/>
      <c r="AC1884" s="247"/>
    </row>
    <row r="1885">
      <c r="A1885" s="247"/>
      <c r="B1885" s="373"/>
      <c r="C1885" s="373"/>
      <c r="D1885" s="373"/>
      <c r="E1885" s="247"/>
      <c r="F1885" s="247"/>
      <c r="G1885" s="247"/>
      <c r="H1885" s="247"/>
      <c r="I1885" s="247"/>
      <c r="J1885" s="247"/>
      <c r="K1885" s="247"/>
      <c r="L1885" s="247"/>
      <c r="M1885" s="247"/>
      <c r="N1885" s="247"/>
      <c r="O1885" s="247"/>
      <c r="P1885" s="247"/>
      <c r="Q1885" s="247"/>
      <c r="R1885" s="247"/>
      <c r="S1885" s="247"/>
      <c r="T1885" s="247"/>
      <c r="U1885" s="247"/>
      <c r="V1885" s="247"/>
      <c r="W1885" s="247"/>
      <c r="X1885" s="247"/>
      <c r="Y1885" s="247"/>
      <c r="Z1885" s="247"/>
      <c r="AA1885" s="247"/>
      <c r="AB1885" s="247"/>
      <c r="AC1885" s="247"/>
    </row>
    <row r="1886">
      <c r="A1886" s="247"/>
      <c r="B1886" s="373"/>
      <c r="C1886" s="373"/>
      <c r="D1886" s="373"/>
      <c r="E1886" s="247"/>
      <c r="F1886" s="247"/>
      <c r="G1886" s="247"/>
      <c r="H1886" s="247"/>
      <c r="I1886" s="247"/>
      <c r="J1886" s="247"/>
      <c r="K1886" s="247"/>
      <c r="L1886" s="247"/>
      <c r="M1886" s="247"/>
      <c r="N1886" s="247"/>
      <c r="O1886" s="247"/>
      <c r="P1886" s="247"/>
      <c r="Q1886" s="247"/>
      <c r="R1886" s="247"/>
      <c r="S1886" s="247"/>
      <c r="T1886" s="247"/>
      <c r="U1886" s="247"/>
      <c r="V1886" s="247"/>
      <c r="W1886" s="247"/>
      <c r="X1886" s="247"/>
      <c r="Y1886" s="247"/>
      <c r="Z1886" s="247"/>
      <c r="AA1886" s="247"/>
      <c r="AB1886" s="247"/>
      <c r="AC1886" s="247"/>
    </row>
    <row r="1887">
      <c r="A1887" s="247"/>
      <c r="B1887" s="373"/>
      <c r="C1887" s="373"/>
      <c r="D1887" s="373"/>
      <c r="E1887" s="247"/>
      <c r="F1887" s="247"/>
      <c r="G1887" s="247"/>
      <c r="H1887" s="247"/>
      <c r="I1887" s="247"/>
      <c r="J1887" s="247"/>
      <c r="K1887" s="247"/>
      <c r="L1887" s="247"/>
      <c r="M1887" s="247"/>
      <c r="N1887" s="247"/>
      <c r="O1887" s="247"/>
      <c r="P1887" s="247"/>
      <c r="Q1887" s="247"/>
      <c r="R1887" s="247"/>
      <c r="S1887" s="247"/>
      <c r="T1887" s="247"/>
      <c r="U1887" s="247"/>
      <c r="V1887" s="247"/>
      <c r="W1887" s="247"/>
      <c r="X1887" s="247"/>
      <c r="Y1887" s="247"/>
      <c r="Z1887" s="247"/>
      <c r="AA1887" s="247"/>
      <c r="AB1887" s="247"/>
      <c r="AC1887" s="247"/>
    </row>
    <row r="1888">
      <c r="A1888" s="247"/>
      <c r="B1888" s="373"/>
      <c r="C1888" s="373"/>
      <c r="D1888" s="373"/>
      <c r="E1888" s="247"/>
      <c r="F1888" s="247"/>
      <c r="G1888" s="247"/>
      <c r="H1888" s="247"/>
      <c r="I1888" s="247"/>
      <c r="J1888" s="247"/>
      <c r="K1888" s="247"/>
      <c r="L1888" s="247"/>
      <c r="M1888" s="247"/>
      <c r="N1888" s="247"/>
      <c r="O1888" s="247"/>
      <c r="P1888" s="247"/>
      <c r="Q1888" s="247"/>
      <c r="R1888" s="247"/>
      <c r="S1888" s="247"/>
      <c r="T1888" s="247"/>
      <c r="U1888" s="247"/>
      <c r="V1888" s="247"/>
      <c r="W1888" s="247"/>
      <c r="X1888" s="247"/>
      <c r="Y1888" s="247"/>
      <c r="Z1888" s="247"/>
      <c r="AA1888" s="247"/>
      <c r="AB1888" s="247"/>
      <c r="AC1888" s="247"/>
    </row>
    <row r="1889">
      <c r="A1889" s="247"/>
      <c r="B1889" s="373"/>
      <c r="C1889" s="373"/>
      <c r="D1889" s="373"/>
      <c r="E1889" s="247"/>
      <c r="F1889" s="247"/>
      <c r="G1889" s="247"/>
      <c r="H1889" s="247"/>
      <c r="I1889" s="247"/>
      <c r="J1889" s="247"/>
      <c r="K1889" s="247"/>
      <c r="L1889" s="247"/>
      <c r="M1889" s="247"/>
      <c r="N1889" s="247"/>
      <c r="O1889" s="247"/>
      <c r="P1889" s="247"/>
      <c r="Q1889" s="247"/>
      <c r="R1889" s="247"/>
      <c r="S1889" s="247"/>
      <c r="T1889" s="247"/>
      <c r="U1889" s="247"/>
      <c r="V1889" s="247"/>
      <c r="W1889" s="247"/>
      <c r="X1889" s="247"/>
      <c r="Y1889" s="247"/>
      <c r="Z1889" s="247"/>
      <c r="AA1889" s="247"/>
      <c r="AB1889" s="247"/>
      <c r="AC1889" s="247"/>
    </row>
    <row r="1890">
      <c r="A1890" s="247"/>
      <c r="B1890" s="373"/>
      <c r="C1890" s="373"/>
      <c r="D1890" s="373"/>
      <c r="E1890" s="247"/>
      <c r="F1890" s="247"/>
      <c r="G1890" s="247"/>
      <c r="H1890" s="247"/>
      <c r="I1890" s="247"/>
      <c r="J1890" s="247"/>
      <c r="K1890" s="247"/>
      <c r="L1890" s="247"/>
      <c r="M1890" s="247"/>
      <c r="N1890" s="247"/>
      <c r="O1890" s="247"/>
      <c r="P1890" s="247"/>
      <c r="Q1890" s="247"/>
      <c r="R1890" s="247"/>
      <c r="S1890" s="247"/>
      <c r="T1890" s="247"/>
      <c r="U1890" s="247"/>
      <c r="V1890" s="247"/>
      <c r="W1890" s="247"/>
      <c r="X1890" s="247"/>
      <c r="Y1890" s="247"/>
      <c r="Z1890" s="247"/>
      <c r="AA1890" s="247"/>
      <c r="AB1890" s="247"/>
      <c r="AC1890" s="247"/>
    </row>
    <row r="1891">
      <c r="A1891" s="247"/>
      <c r="B1891" s="373"/>
      <c r="C1891" s="373"/>
      <c r="D1891" s="373"/>
      <c r="E1891" s="247"/>
      <c r="F1891" s="247"/>
      <c r="G1891" s="247"/>
      <c r="H1891" s="247"/>
      <c r="I1891" s="247"/>
      <c r="J1891" s="247"/>
      <c r="K1891" s="247"/>
      <c r="L1891" s="247"/>
      <c r="M1891" s="247"/>
      <c r="N1891" s="247"/>
      <c r="O1891" s="247"/>
      <c r="P1891" s="247"/>
      <c r="Q1891" s="247"/>
      <c r="R1891" s="247"/>
      <c r="S1891" s="247"/>
      <c r="T1891" s="247"/>
      <c r="U1891" s="247"/>
      <c r="V1891" s="247"/>
      <c r="W1891" s="247"/>
      <c r="X1891" s="247"/>
      <c r="Y1891" s="247"/>
      <c r="Z1891" s="247"/>
      <c r="AA1891" s="247"/>
      <c r="AB1891" s="247"/>
      <c r="AC1891" s="247"/>
    </row>
    <row r="1892">
      <c r="A1892" s="247"/>
      <c r="B1892" s="373"/>
      <c r="C1892" s="373"/>
      <c r="D1892" s="373"/>
      <c r="E1892" s="247"/>
      <c r="F1892" s="247"/>
      <c r="G1892" s="247"/>
      <c r="H1892" s="247"/>
      <c r="I1892" s="247"/>
      <c r="J1892" s="247"/>
      <c r="K1892" s="247"/>
      <c r="L1892" s="247"/>
      <c r="M1892" s="247"/>
      <c r="N1892" s="247"/>
      <c r="O1892" s="247"/>
      <c r="P1892" s="247"/>
      <c r="Q1892" s="247"/>
      <c r="R1892" s="247"/>
      <c r="S1892" s="247"/>
      <c r="T1892" s="247"/>
      <c r="U1892" s="247"/>
      <c r="V1892" s="247"/>
      <c r="W1892" s="247"/>
      <c r="X1892" s="247"/>
      <c r="Y1892" s="247"/>
      <c r="Z1892" s="247"/>
      <c r="AA1892" s="247"/>
      <c r="AB1892" s="247"/>
      <c r="AC1892" s="247"/>
    </row>
    <row r="1893">
      <c r="A1893" s="247"/>
      <c r="B1893" s="373"/>
      <c r="C1893" s="373"/>
      <c r="D1893" s="373"/>
      <c r="E1893" s="247"/>
      <c r="F1893" s="247"/>
      <c r="G1893" s="247"/>
      <c r="H1893" s="247"/>
      <c r="I1893" s="247"/>
      <c r="J1893" s="247"/>
      <c r="K1893" s="247"/>
      <c r="L1893" s="247"/>
      <c r="M1893" s="247"/>
      <c r="N1893" s="247"/>
      <c r="O1893" s="247"/>
      <c r="P1893" s="247"/>
      <c r="Q1893" s="247"/>
      <c r="R1893" s="247"/>
      <c r="S1893" s="247"/>
      <c r="T1893" s="247"/>
      <c r="U1893" s="247"/>
      <c r="V1893" s="247"/>
      <c r="W1893" s="247"/>
      <c r="X1893" s="247"/>
      <c r="Y1893" s="247"/>
      <c r="Z1893" s="247"/>
      <c r="AA1893" s="247"/>
      <c r="AB1893" s="247"/>
      <c r="AC1893" s="247"/>
    </row>
    <row r="1894">
      <c r="A1894" s="247"/>
      <c r="B1894" s="373"/>
      <c r="C1894" s="373"/>
      <c r="D1894" s="373"/>
      <c r="E1894" s="247"/>
      <c r="F1894" s="247"/>
      <c r="G1894" s="247"/>
      <c r="H1894" s="247"/>
      <c r="I1894" s="247"/>
      <c r="J1894" s="247"/>
      <c r="K1894" s="247"/>
      <c r="L1894" s="247"/>
      <c r="M1894" s="247"/>
      <c r="N1894" s="247"/>
      <c r="O1894" s="247"/>
      <c r="P1894" s="247"/>
      <c r="Q1894" s="247"/>
      <c r="R1894" s="247"/>
      <c r="S1894" s="247"/>
      <c r="T1894" s="247"/>
      <c r="U1894" s="247"/>
      <c r="V1894" s="247"/>
      <c r="W1894" s="247"/>
      <c r="X1894" s="247"/>
      <c r="Y1894" s="247"/>
      <c r="Z1894" s="247"/>
      <c r="AA1894" s="247"/>
      <c r="AB1894" s="247"/>
      <c r="AC1894" s="247"/>
    </row>
    <row r="1895">
      <c r="A1895" s="247"/>
      <c r="B1895" s="373"/>
      <c r="C1895" s="373"/>
      <c r="D1895" s="373"/>
      <c r="E1895" s="247"/>
      <c r="F1895" s="247"/>
      <c r="G1895" s="247"/>
      <c r="H1895" s="247"/>
      <c r="I1895" s="247"/>
      <c r="J1895" s="247"/>
      <c r="K1895" s="247"/>
      <c r="L1895" s="247"/>
      <c r="M1895" s="247"/>
      <c r="N1895" s="247"/>
      <c r="O1895" s="247"/>
      <c r="P1895" s="247"/>
      <c r="Q1895" s="247"/>
      <c r="R1895" s="247"/>
      <c r="S1895" s="247"/>
      <c r="T1895" s="247"/>
      <c r="U1895" s="247"/>
      <c r="V1895" s="247"/>
      <c r="W1895" s="247"/>
      <c r="X1895" s="247"/>
      <c r="Y1895" s="247"/>
      <c r="Z1895" s="247"/>
      <c r="AA1895" s="247"/>
      <c r="AB1895" s="247"/>
      <c r="AC1895" s="247"/>
    </row>
    <row r="1896">
      <c r="A1896" s="247"/>
      <c r="B1896" s="373"/>
      <c r="C1896" s="373"/>
      <c r="D1896" s="373"/>
      <c r="E1896" s="247"/>
      <c r="F1896" s="247"/>
      <c r="G1896" s="247"/>
      <c r="H1896" s="247"/>
      <c r="I1896" s="247"/>
      <c r="J1896" s="247"/>
      <c r="K1896" s="247"/>
      <c r="L1896" s="247"/>
      <c r="M1896" s="247"/>
      <c r="N1896" s="247"/>
      <c r="O1896" s="247"/>
      <c r="P1896" s="247"/>
      <c r="Q1896" s="247"/>
      <c r="R1896" s="247"/>
      <c r="S1896" s="247"/>
      <c r="T1896" s="247"/>
      <c r="U1896" s="247"/>
      <c r="V1896" s="247"/>
      <c r="W1896" s="247"/>
      <c r="X1896" s="247"/>
      <c r="Y1896" s="247"/>
      <c r="Z1896" s="247"/>
      <c r="AA1896" s="247"/>
      <c r="AB1896" s="247"/>
      <c r="AC1896" s="247"/>
    </row>
    <row r="1897">
      <c r="A1897" s="247"/>
      <c r="B1897" s="373"/>
      <c r="C1897" s="373"/>
      <c r="D1897" s="373"/>
      <c r="E1897" s="247"/>
      <c r="F1897" s="247"/>
      <c r="G1897" s="247"/>
      <c r="H1897" s="247"/>
      <c r="I1897" s="247"/>
      <c r="J1897" s="247"/>
      <c r="K1897" s="247"/>
      <c r="L1897" s="247"/>
      <c r="M1897" s="247"/>
      <c r="N1897" s="247"/>
      <c r="O1897" s="247"/>
      <c r="P1897" s="247"/>
      <c r="Q1897" s="247"/>
      <c r="R1897" s="247"/>
      <c r="S1897" s="247"/>
      <c r="T1897" s="247"/>
      <c r="U1897" s="247"/>
      <c r="V1897" s="247"/>
      <c r="W1897" s="247"/>
      <c r="X1897" s="247"/>
      <c r="Y1897" s="247"/>
      <c r="Z1897" s="247"/>
      <c r="AA1897" s="247"/>
      <c r="AB1897" s="247"/>
      <c r="AC1897" s="247"/>
    </row>
    <row r="1898">
      <c r="A1898" s="247"/>
      <c r="B1898" s="373"/>
      <c r="C1898" s="373"/>
      <c r="D1898" s="373"/>
      <c r="E1898" s="247"/>
      <c r="F1898" s="247"/>
      <c r="G1898" s="247"/>
      <c r="H1898" s="247"/>
      <c r="I1898" s="247"/>
      <c r="J1898" s="247"/>
      <c r="K1898" s="247"/>
      <c r="L1898" s="247"/>
      <c r="M1898" s="247"/>
      <c r="N1898" s="247"/>
      <c r="O1898" s="247"/>
      <c r="P1898" s="247"/>
      <c r="Q1898" s="247"/>
      <c r="R1898" s="247"/>
      <c r="S1898" s="247"/>
      <c r="T1898" s="247"/>
      <c r="U1898" s="247"/>
      <c r="V1898" s="247"/>
      <c r="W1898" s="247"/>
      <c r="X1898" s="247"/>
      <c r="Y1898" s="247"/>
      <c r="Z1898" s="247"/>
      <c r="AA1898" s="247"/>
      <c r="AB1898" s="247"/>
      <c r="AC1898" s="247"/>
    </row>
    <row r="1899">
      <c r="A1899" s="247"/>
      <c r="B1899" s="373"/>
      <c r="C1899" s="373"/>
      <c r="D1899" s="373"/>
      <c r="E1899" s="247"/>
      <c r="F1899" s="247"/>
      <c r="G1899" s="247"/>
      <c r="H1899" s="247"/>
      <c r="I1899" s="247"/>
      <c r="J1899" s="247"/>
      <c r="K1899" s="247"/>
      <c r="L1899" s="247"/>
      <c r="M1899" s="247"/>
      <c r="N1899" s="247"/>
      <c r="O1899" s="247"/>
      <c r="P1899" s="247"/>
      <c r="Q1899" s="247"/>
      <c r="R1899" s="247"/>
      <c r="S1899" s="247"/>
      <c r="T1899" s="247"/>
      <c r="U1899" s="247"/>
      <c r="V1899" s="247"/>
      <c r="W1899" s="247"/>
      <c r="X1899" s="247"/>
      <c r="Y1899" s="247"/>
      <c r="Z1899" s="247"/>
      <c r="AA1899" s="247"/>
      <c r="AB1899" s="247"/>
      <c r="AC1899" s="247"/>
    </row>
    <row r="1900">
      <c r="A1900" s="247"/>
      <c r="B1900" s="373"/>
      <c r="C1900" s="373"/>
      <c r="D1900" s="373"/>
      <c r="E1900" s="247"/>
      <c r="F1900" s="247"/>
      <c r="G1900" s="247"/>
      <c r="H1900" s="247"/>
      <c r="I1900" s="247"/>
      <c r="J1900" s="247"/>
      <c r="K1900" s="247"/>
      <c r="L1900" s="247"/>
      <c r="M1900" s="247"/>
      <c r="N1900" s="247"/>
      <c r="O1900" s="247"/>
      <c r="P1900" s="247"/>
      <c r="Q1900" s="247"/>
      <c r="R1900" s="247"/>
      <c r="S1900" s="247"/>
      <c r="T1900" s="247"/>
      <c r="U1900" s="247"/>
      <c r="V1900" s="247"/>
      <c r="W1900" s="247"/>
      <c r="X1900" s="247"/>
      <c r="Y1900" s="247"/>
      <c r="Z1900" s="247"/>
      <c r="AA1900" s="247"/>
      <c r="AB1900" s="247"/>
      <c r="AC1900" s="247"/>
    </row>
    <row r="1901">
      <c r="A1901" s="247"/>
      <c r="B1901" s="373"/>
      <c r="C1901" s="373"/>
      <c r="D1901" s="373"/>
      <c r="E1901" s="247"/>
      <c r="F1901" s="247"/>
      <c r="G1901" s="247"/>
      <c r="H1901" s="247"/>
      <c r="I1901" s="247"/>
      <c r="J1901" s="247"/>
      <c r="K1901" s="247"/>
      <c r="L1901" s="247"/>
      <c r="M1901" s="247"/>
      <c r="N1901" s="247"/>
      <c r="O1901" s="247"/>
      <c r="P1901" s="247"/>
      <c r="Q1901" s="247"/>
      <c r="R1901" s="247"/>
      <c r="S1901" s="247"/>
      <c r="T1901" s="247"/>
      <c r="U1901" s="247"/>
      <c r="V1901" s="247"/>
      <c r="W1901" s="247"/>
      <c r="X1901" s="247"/>
      <c r="Y1901" s="247"/>
      <c r="Z1901" s="247"/>
      <c r="AA1901" s="247"/>
      <c r="AB1901" s="247"/>
      <c r="AC1901" s="247"/>
    </row>
    <row r="1902">
      <c r="A1902" s="247"/>
      <c r="B1902" s="373"/>
      <c r="C1902" s="373"/>
      <c r="D1902" s="373"/>
      <c r="E1902" s="247"/>
      <c r="F1902" s="247"/>
      <c r="G1902" s="247"/>
      <c r="H1902" s="247"/>
      <c r="I1902" s="247"/>
      <c r="J1902" s="247"/>
      <c r="K1902" s="247"/>
      <c r="L1902" s="247"/>
      <c r="M1902" s="247"/>
      <c r="N1902" s="247"/>
      <c r="O1902" s="247"/>
      <c r="P1902" s="247"/>
      <c r="Q1902" s="247"/>
      <c r="R1902" s="247"/>
      <c r="S1902" s="247"/>
      <c r="T1902" s="247"/>
      <c r="U1902" s="247"/>
      <c r="V1902" s="247"/>
      <c r="W1902" s="247"/>
      <c r="X1902" s="247"/>
      <c r="Y1902" s="247"/>
      <c r="Z1902" s="247"/>
      <c r="AA1902" s="247"/>
      <c r="AB1902" s="247"/>
      <c r="AC1902" s="247"/>
    </row>
    <row r="1903">
      <c r="A1903" s="247"/>
      <c r="B1903" s="373"/>
      <c r="C1903" s="373"/>
      <c r="D1903" s="373"/>
      <c r="E1903" s="247"/>
      <c r="F1903" s="247"/>
      <c r="G1903" s="247"/>
      <c r="H1903" s="247"/>
      <c r="I1903" s="247"/>
      <c r="J1903" s="247"/>
      <c r="K1903" s="247"/>
      <c r="L1903" s="247"/>
      <c r="M1903" s="247"/>
      <c r="N1903" s="247"/>
      <c r="O1903" s="247"/>
      <c r="P1903" s="247"/>
      <c r="Q1903" s="247"/>
      <c r="R1903" s="247"/>
      <c r="S1903" s="247"/>
      <c r="T1903" s="247"/>
      <c r="U1903" s="247"/>
      <c r="V1903" s="247"/>
      <c r="W1903" s="247"/>
      <c r="X1903" s="247"/>
      <c r="Y1903" s="247"/>
      <c r="Z1903" s="247"/>
      <c r="AA1903" s="247"/>
      <c r="AB1903" s="247"/>
      <c r="AC1903" s="247"/>
    </row>
    <row r="1904">
      <c r="A1904" s="247"/>
      <c r="B1904" s="373"/>
      <c r="C1904" s="373"/>
      <c r="D1904" s="373"/>
      <c r="E1904" s="247"/>
      <c r="F1904" s="247"/>
      <c r="G1904" s="247"/>
      <c r="H1904" s="247"/>
      <c r="I1904" s="247"/>
      <c r="J1904" s="247"/>
      <c r="K1904" s="247"/>
      <c r="L1904" s="247"/>
      <c r="M1904" s="247"/>
      <c r="N1904" s="247"/>
      <c r="O1904" s="247"/>
      <c r="P1904" s="247"/>
      <c r="Q1904" s="247"/>
      <c r="R1904" s="247"/>
      <c r="S1904" s="247"/>
      <c r="T1904" s="247"/>
      <c r="U1904" s="247"/>
      <c r="V1904" s="247"/>
      <c r="W1904" s="247"/>
      <c r="X1904" s="247"/>
      <c r="Y1904" s="247"/>
      <c r="Z1904" s="247"/>
      <c r="AA1904" s="247"/>
      <c r="AB1904" s="247"/>
      <c r="AC1904" s="247"/>
    </row>
    <row r="1905">
      <c r="A1905" s="247"/>
      <c r="B1905" s="373"/>
      <c r="C1905" s="373"/>
      <c r="D1905" s="373"/>
      <c r="E1905" s="247"/>
      <c r="F1905" s="247"/>
      <c r="G1905" s="247"/>
      <c r="H1905" s="247"/>
      <c r="I1905" s="247"/>
      <c r="J1905" s="247"/>
      <c r="K1905" s="247"/>
      <c r="L1905" s="247"/>
      <c r="M1905" s="247"/>
      <c r="N1905" s="247"/>
      <c r="O1905" s="247"/>
      <c r="P1905" s="247"/>
      <c r="Q1905" s="247"/>
      <c r="R1905" s="247"/>
      <c r="S1905" s="247"/>
      <c r="T1905" s="247"/>
      <c r="U1905" s="247"/>
      <c r="V1905" s="247"/>
      <c r="W1905" s="247"/>
      <c r="X1905" s="247"/>
      <c r="Y1905" s="247"/>
      <c r="Z1905" s="247"/>
      <c r="AA1905" s="247"/>
      <c r="AB1905" s="247"/>
      <c r="AC1905" s="247"/>
    </row>
    <row r="1906">
      <c r="A1906" s="247"/>
      <c r="B1906" s="373"/>
      <c r="C1906" s="373"/>
      <c r="D1906" s="373"/>
      <c r="E1906" s="247"/>
      <c r="F1906" s="247"/>
      <c r="G1906" s="247"/>
      <c r="H1906" s="247"/>
      <c r="I1906" s="247"/>
      <c r="J1906" s="247"/>
      <c r="K1906" s="247"/>
      <c r="L1906" s="247"/>
      <c r="M1906" s="247"/>
      <c r="N1906" s="247"/>
      <c r="O1906" s="247"/>
      <c r="P1906" s="247"/>
      <c r="Q1906" s="247"/>
      <c r="R1906" s="247"/>
      <c r="S1906" s="247"/>
      <c r="T1906" s="247"/>
      <c r="U1906" s="247"/>
      <c r="V1906" s="247"/>
      <c r="W1906" s="247"/>
      <c r="X1906" s="247"/>
      <c r="Y1906" s="247"/>
      <c r="Z1906" s="247"/>
      <c r="AA1906" s="247"/>
      <c r="AB1906" s="247"/>
      <c r="AC1906" s="247"/>
    </row>
    <row r="1907">
      <c r="A1907" s="247"/>
      <c r="B1907" s="373"/>
      <c r="C1907" s="373"/>
      <c r="D1907" s="373"/>
      <c r="E1907" s="247"/>
      <c r="F1907" s="247"/>
      <c r="G1907" s="247"/>
      <c r="H1907" s="247"/>
      <c r="I1907" s="247"/>
      <c r="J1907" s="247"/>
      <c r="K1907" s="247"/>
      <c r="L1907" s="247"/>
      <c r="M1907" s="247"/>
      <c r="N1907" s="247"/>
      <c r="O1907" s="247"/>
      <c r="P1907" s="247"/>
      <c r="Q1907" s="247"/>
      <c r="R1907" s="247"/>
      <c r="S1907" s="247"/>
      <c r="T1907" s="247"/>
      <c r="U1907" s="247"/>
      <c r="V1907" s="247"/>
      <c r="W1907" s="247"/>
      <c r="X1907" s="247"/>
      <c r="Y1907" s="247"/>
      <c r="Z1907" s="247"/>
      <c r="AA1907" s="247"/>
      <c r="AB1907" s="247"/>
      <c r="AC1907" s="247"/>
    </row>
    <row r="1908">
      <c r="A1908" s="247"/>
      <c r="B1908" s="373"/>
      <c r="C1908" s="373"/>
      <c r="D1908" s="373"/>
      <c r="E1908" s="247"/>
      <c r="F1908" s="247"/>
      <c r="G1908" s="247"/>
      <c r="H1908" s="247"/>
      <c r="I1908" s="247"/>
      <c r="J1908" s="247"/>
      <c r="K1908" s="247"/>
      <c r="L1908" s="247"/>
      <c r="M1908" s="247"/>
      <c r="N1908" s="247"/>
      <c r="O1908" s="247"/>
      <c r="P1908" s="247"/>
      <c r="Q1908" s="247"/>
      <c r="R1908" s="247"/>
      <c r="S1908" s="247"/>
      <c r="T1908" s="247"/>
      <c r="U1908" s="247"/>
      <c r="V1908" s="247"/>
      <c r="W1908" s="247"/>
      <c r="X1908" s="247"/>
      <c r="Y1908" s="247"/>
      <c r="Z1908" s="247"/>
      <c r="AA1908" s="247"/>
      <c r="AB1908" s="247"/>
      <c r="AC1908" s="247"/>
    </row>
    <row r="1909">
      <c r="A1909" s="247"/>
      <c r="B1909" s="373"/>
      <c r="C1909" s="373"/>
      <c r="D1909" s="373"/>
      <c r="E1909" s="247"/>
      <c r="F1909" s="247"/>
      <c r="G1909" s="247"/>
      <c r="H1909" s="247"/>
      <c r="I1909" s="247"/>
      <c r="J1909" s="247"/>
      <c r="K1909" s="247"/>
      <c r="L1909" s="247"/>
      <c r="M1909" s="247"/>
      <c r="N1909" s="247"/>
      <c r="O1909" s="247"/>
      <c r="P1909" s="247"/>
      <c r="Q1909" s="247"/>
      <c r="R1909" s="247"/>
      <c r="S1909" s="247"/>
      <c r="T1909" s="247"/>
      <c r="U1909" s="247"/>
      <c r="V1909" s="247"/>
      <c r="W1909" s="247"/>
      <c r="X1909" s="247"/>
      <c r="Y1909" s="247"/>
      <c r="Z1909" s="247"/>
      <c r="AA1909" s="247"/>
      <c r="AB1909" s="247"/>
      <c r="AC1909" s="247"/>
    </row>
    <row r="1910">
      <c r="A1910" s="247"/>
      <c r="B1910" s="373"/>
      <c r="C1910" s="373"/>
      <c r="D1910" s="373"/>
      <c r="E1910" s="247"/>
      <c r="F1910" s="247"/>
      <c r="G1910" s="247"/>
      <c r="H1910" s="247"/>
      <c r="I1910" s="247"/>
      <c r="J1910" s="247"/>
      <c r="K1910" s="247"/>
      <c r="L1910" s="247"/>
      <c r="M1910" s="247"/>
      <c r="N1910" s="247"/>
      <c r="O1910" s="247"/>
      <c r="P1910" s="247"/>
      <c r="Q1910" s="247"/>
      <c r="R1910" s="247"/>
      <c r="S1910" s="247"/>
      <c r="T1910" s="247"/>
      <c r="U1910" s="247"/>
      <c r="V1910" s="247"/>
      <c r="W1910" s="247"/>
      <c r="X1910" s="247"/>
      <c r="Y1910" s="247"/>
      <c r="Z1910" s="247"/>
      <c r="AA1910" s="247"/>
      <c r="AB1910" s="247"/>
      <c r="AC1910" s="247"/>
    </row>
    <row r="1911">
      <c r="A1911" s="247"/>
      <c r="B1911" s="373"/>
      <c r="C1911" s="373"/>
      <c r="D1911" s="373"/>
      <c r="E1911" s="247"/>
      <c r="F1911" s="247"/>
      <c r="G1911" s="247"/>
      <c r="H1911" s="247"/>
      <c r="I1911" s="247"/>
      <c r="J1911" s="247"/>
      <c r="K1911" s="247"/>
      <c r="L1911" s="247"/>
      <c r="M1911" s="247"/>
      <c r="N1911" s="247"/>
      <c r="O1911" s="247"/>
      <c r="P1911" s="247"/>
      <c r="Q1911" s="247"/>
      <c r="R1911" s="247"/>
      <c r="S1911" s="247"/>
      <c r="T1911" s="247"/>
      <c r="U1911" s="247"/>
      <c r="V1911" s="247"/>
      <c r="W1911" s="247"/>
      <c r="X1911" s="247"/>
      <c r="Y1911" s="247"/>
      <c r="Z1911" s="247"/>
      <c r="AA1911" s="247"/>
      <c r="AB1911" s="247"/>
      <c r="AC1911" s="247"/>
    </row>
    <row r="1912">
      <c r="A1912" s="247"/>
      <c r="B1912" s="373"/>
      <c r="C1912" s="373"/>
      <c r="D1912" s="373"/>
      <c r="E1912" s="247"/>
      <c r="F1912" s="247"/>
      <c r="G1912" s="247"/>
      <c r="H1912" s="247"/>
      <c r="I1912" s="247"/>
      <c r="J1912" s="247"/>
      <c r="K1912" s="247"/>
      <c r="L1912" s="247"/>
      <c r="M1912" s="247"/>
      <c r="N1912" s="247"/>
      <c r="O1912" s="247"/>
      <c r="P1912" s="247"/>
      <c r="Q1912" s="247"/>
      <c r="R1912" s="247"/>
      <c r="S1912" s="247"/>
      <c r="T1912" s="247"/>
      <c r="U1912" s="247"/>
      <c r="V1912" s="247"/>
      <c r="W1912" s="247"/>
      <c r="X1912" s="247"/>
      <c r="Y1912" s="247"/>
      <c r="Z1912" s="247"/>
      <c r="AA1912" s="247"/>
      <c r="AB1912" s="247"/>
      <c r="AC1912" s="247"/>
    </row>
    <row r="1913">
      <c r="A1913" s="247"/>
      <c r="B1913" s="373"/>
      <c r="C1913" s="373"/>
      <c r="D1913" s="373"/>
      <c r="E1913" s="247"/>
      <c r="F1913" s="247"/>
      <c r="G1913" s="247"/>
      <c r="H1913" s="247"/>
      <c r="I1913" s="247"/>
      <c r="J1913" s="247"/>
      <c r="K1913" s="247"/>
      <c r="L1913" s="247"/>
      <c r="M1913" s="247"/>
      <c r="N1913" s="247"/>
      <c r="O1913" s="247"/>
      <c r="P1913" s="247"/>
      <c r="Q1913" s="247"/>
      <c r="R1913" s="247"/>
      <c r="S1913" s="247"/>
      <c r="T1913" s="247"/>
      <c r="U1913" s="247"/>
      <c r="V1913" s="247"/>
      <c r="W1913" s="247"/>
      <c r="X1913" s="247"/>
      <c r="Y1913" s="247"/>
      <c r="Z1913" s="247"/>
      <c r="AA1913" s="247"/>
      <c r="AB1913" s="247"/>
      <c r="AC1913" s="247"/>
    </row>
    <row r="1914">
      <c r="A1914" s="247"/>
      <c r="B1914" s="373"/>
      <c r="C1914" s="373"/>
      <c r="D1914" s="373"/>
      <c r="E1914" s="247"/>
      <c r="F1914" s="247"/>
      <c r="G1914" s="247"/>
      <c r="H1914" s="247"/>
      <c r="I1914" s="247"/>
      <c r="J1914" s="247"/>
      <c r="K1914" s="247"/>
      <c r="L1914" s="247"/>
      <c r="M1914" s="247"/>
      <c r="N1914" s="247"/>
      <c r="O1914" s="247"/>
      <c r="P1914" s="247"/>
      <c r="Q1914" s="247"/>
      <c r="R1914" s="247"/>
      <c r="S1914" s="247"/>
      <c r="T1914" s="247"/>
      <c r="U1914" s="247"/>
      <c r="V1914" s="247"/>
      <c r="W1914" s="247"/>
      <c r="X1914" s="247"/>
      <c r="Y1914" s="247"/>
      <c r="Z1914" s="247"/>
      <c r="AA1914" s="247"/>
      <c r="AB1914" s="247"/>
      <c r="AC1914" s="247"/>
    </row>
    <row r="1915">
      <c r="A1915" s="247"/>
      <c r="B1915" s="373"/>
      <c r="C1915" s="373"/>
      <c r="D1915" s="373"/>
      <c r="E1915" s="247"/>
      <c r="F1915" s="247"/>
      <c r="G1915" s="247"/>
      <c r="H1915" s="247"/>
      <c r="I1915" s="247"/>
      <c r="J1915" s="247"/>
      <c r="K1915" s="247"/>
      <c r="L1915" s="247"/>
      <c r="M1915" s="247"/>
      <c r="N1915" s="247"/>
      <c r="O1915" s="247"/>
      <c r="P1915" s="247"/>
      <c r="Q1915" s="247"/>
      <c r="R1915" s="247"/>
      <c r="S1915" s="247"/>
      <c r="T1915" s="247"/>
      <c r="U1915" s="247"/>
      <c r="V1915" s="247"/>
      <c r="W1915" s="247"/>
      <c r="X1915" s="247"/>
      <c r="Y1915" s="247"/>
      <c r="Z1915" s="247"/>
      <c r="AA1915" s="247"/>
      <c r="AB1915" s="247"/>
      <c r="AC1915" s="247"/>
    </row>
    <row r="1916">
      <c r="A1916" s="247"/>
      <c r="B1916" s="373"/>
      <c r="C1916" s="373"/>
      <c r="D1916" s="373"/>
      <c r="E1916" s="247"/>
      <c r="F1916" s="247"/>
      <c r="G1916" s="247"/>
      <c r="H1916" s="247"/>
      <c r="I1916" s="247"/>
      <c r="J1916" s="247"/>
      <c r="K1916" s="247"/>
      <c r="L1916" s="247"/>
      <c r="M1916" s="247"/>
      <c r="N1916" s="247"/>
      <c r="O1916" s="247"/>
      <c r="P1916" s="247"/>
      <c r="Q1916" s="247"/>
      <c r="R1916" s="247"/>
      <c r="S1916" s="247"/>
      <c r="T1916" s="247"/>
      <c r="U1916" s="247"/>
      <c r="V1916" s="247"/>
      <c r="W1916" s="247"/>
      <c r="X1916" s="247"/>
      <c r="Y1916" s="247"/>
      <c r="Z1916" s="247"/>
      <c r="AA1916" s="247"/>
      <c r="AB1916" s="247"/>
      <c r="AC1916" s="247"/>
    </row>
    <row r="1917">
      <c r="A1917" s="247"/>
      <c r="B1917" s="373"/>
      <c r="C1917" s="373"/>
      <c r="D1917" s="373"/>
      <c r="E1917" s="247"/>
      <c r="F1917" s="247"/>
      <c r="G1917" s="247"/>
      <c r="H1917" s="247"/>
      <c r="I1917" s="247"/>
      <c r="J1917" s="247"/>
      <c r="K1917" s="247"/>
      <c r="L1917" s="247"/>
      <c r="M1917" s="247"/>
      <c r="N1917" s="247"/>
      <c r="O1917" s="247"/>
      <c r="P1917" s="247"/>
      <c r="Q1917" s="247"/>
      <c r="R1917" s="247"/>
      <c r="S1917" s="247"/>
      <c r="T1917" s="247"/>
      <c r="U1917" s="247"/>
      <c r="V1917" s="247"/>
      <c r="W1917" s="247"/>
      <c r="X1917" s="247"/>
      <c r="Y1917" s="247"/>
      <c r="Z1917" s="247"/>
      <c r="AA1917" s="247"/>
      <c r="AB1917" s="247"/>
      <c r="AC1917" s="247"/>
    </row>
    <row r="1918">
      <c r="A1918" s="247"/>
      <c r="B1918" s="373"/>
      <c r="C1918" s="373"/>
      <c r="D1918" s="373"/>
      <c r="E1918" s="247"/>
      <c r="F1918" s="247"/>
      <c r="G1918" s="247"/>
      <c r="H1918" s="247"/>
      <c r="I1918" s="247"/>
      <c r="J1918" s="247"/>
      <c r="K1918" s="247"/>
      <c r="L1918" s="247"/>
      <c r="M1918" s="247"/>
      <c r="N1918" s="247"/>
      <c r="O1918" s="247"/>
      <c r="P1918" s="247"/>
      <c r="Q1918" s="247"/>
      <c r="R1918" s="247"/>
      <c r="S1918" s="247"/>
      <c r="T1918" s="247"/>
      <c r="U1918" s="247"/>
      <c r="V1918" s="247"/>
      <c r="W1918" s="247"/>
      <c r="X1918" s="247"/>
      <c r="Y1918" s="247"/>
      <c r="Z1918" s="247"/>
      <c r="AA1918" s="247"/>
      <c r="AB1918" s="247"/>
      <c r="AC1918" s="247"/>
    </row>
    <row r="1919">
      <c r="A1919" s="247"/>
      <c r="B1919" s="373"/>
      <c r="C1919" s="373"/>
      <c r="D1919" s="373"/>
      <c r="E1919" s="247"/>
      <c r="F1919" s="247"/>
      <c r="G1919" s="247"/>
      <c r="H1919" s="247"/>
      <c r="I1919" s="247"/>
      <c r="J1919" s="247"/>
      <c r="K1919" s="247"/>
      <c r="L1919" s="247"/>
      <c r="M1919" s="247"/>
      <c r="N1919" s="247"/>
      <c r="O1919" s="247"/>
      <c r="P1919" s="247"/>
      <c r="Q1919" s="247"/>
      <c r="R1919" s="247"/>
      <c r="S1919" s="247"/>
      <c r="T1919" s="247"/>
      <c r="U1919" s="247"/>
      <c r="V1919" s="247"/>
      <c r="W1919" s="247"/>
      <c r="X1919" s="247"/>
      <c r="Y1919" s="247"/>
      <c r="Z1919" s="247"/>
      <c r="AA1919" s="247"/>
      <c r="AB1919" s="247"/>
      <c r="AC1919" s="247"/>
    </row>
    <row r="1920">
      <c r="A1920" s="247"/>
      <c r="B1920" s="373"/>
      <c r="C1920" s="373"/>
      <c r="D1920" s="373"/>
      <c r="E1920" s="247"/>
      <c r="F1920" s="247"/>
      <c r="G1920" s="247"/>
      <c r="H1920" s="247"/>
      <c r="I1920" s="247"/>
      <c r="J1920" s="247"/>
      <c r="K1920" s="247"/>
      <c r="L1920" s="247"/>
      <c r="M1920" s="247"/>
      <c r="N1920" s="247"/>
      <c r="O1920" s="247"/>
      <c r="P1920" s="247"/>
      <c r="Q1920" s="247"/>
      <c r="R1920" s="247"/>
      <c r="S1920" s="247"/>
      <c r="T1920" s="247"/>
      <c r="U1920" s="247"/>
      <c r="V1920" s="247"/>
      <c r="W1920" s="247"/>
      <c r="X1920" s="247"/>
      <c r="Y1920" s="247"/>
      <c r="Z1920" s="247"/>
      <c r="AA1920" s="247"/>
      <c r="AB1920" s="247"/>
      <c r="AC1920" s="247"/>
    </row>
    <row r="1921">
      <c r="A1921" s="247"/>
      <c r="B1921" s="373"/>
      <c r="C1921" s="373"/>
      <c r="D1921" s="373"/>
      <c r="E1921" s="247"/>
      <c r="F1921" s="247"/>
      <c r="G1921" s="247"/>
      <c r="H1921" s="247"/>
      <c r="I1921" s="247"/>
      <c r="J1921" s="247"/>
      <c r="K1921" s="247"/>
      <c r="L1921" s="247"/>
      <c r="M1921" s="247"/>
      <c r="N1921" s="247"/>
      <c r="O1921" s="247"/>
      <c r="P1921" s="247"/>
      <c r="Q1921" s="247"/>
      <c r="R1921" s="247"/>
      <c r="S1921" s="247"/>
      <c r="T1921" s="247"/>
      <c r="U1921" s="247"/>
      <c r="V1921" s="247"/>
      <c r="W1921" s="247"/>
      <c r="X1921" s="247"/>
      <c r="Y1921" s="247"/>
      <c r="Z1921" s="247"/>
      <c r="AA1921" s="247"/>
      <c r="AB1921" s="247"/>
      <c r="AC1921" s="247"/>
    </row>
    <row r="1922">
      <c r="A1922" s="247"/>
      <c r="B1922" s="373"/>
      <c r="C1922" s="373"/>
      <c r="D1922" s="373"/>
      <c r="E1922" s="247"/>
      <c r="F1922" s="247"/>
      <c r="G1922" s="247"/>
      <c r="H1922" s="247"/>
      <c r="I1922" s="247"/>
      <c r="J1922" s="247"/>
      <c r="K1922" s="247"/>
      <c r="L1922" s="247"/>
      <c r="M1922" s="247"/>
      <c r="N1922" s="247"/>
      <c r="O1922" s="247"/>
      <c r="P1922" s="247"/>
      <c r="Q1922" s="247"/>
      <c r="R1922" s="247"/>
      <c r="S1922" s="247"/>
      <c r="T1922" s="247"/>
      <c r="U1922" s="247"/>
      <c r="V1922" s="247"/>
      <c r="W1922" s="247"/>
      <c r="X1922" s="247"/>
      <c r="Y1922" s="247"/>
      <c r="Z1922" s="247"/>
      <c r="AA1922" s="247"/>
      <c r="AB1922" s="247"/>
      <c r="AC1922" s="247"/>
    </row>
    <row r="1923">
      <c r="A1923" s="247"/>
      <c r="B1923" s="373"/>
      <c r="C1923" s="373"/>
      <c r="D1923" s="373"/>
      <c r="E1923" s="247"/>
      <c r="F1923" s="247"/>
      <c r="G1923" s="247"/>
      <c r="H1923" s="247"/>
      <c r="I1923" s="247"/>
      <c r="J1923" s="247"/>
      <c r="K1923" s="247"/>
      <c r="L1923" s="247"/>
      <c r="M1923" s="247"/>
      <c r="N1923" s="247"/>
      <c r="O1923" s="247"/>
      <c r="P1923" s="247"/>
      <c r="Q1923" s="247"/>
      <c r="R1923" s="247"/>
      <c r="S1923" s="247"/>
      <c r="T1923" s="247"/>
      <c r="U1923" s="247"/>
      <c r="V1923" s="247"/>
      <c r="W1923" s="247"/>
      <c r="X1923" s="247"/>
      <c r="Y1923" s="247"/>
      <c r="Z1923" s="247"/>
      <c r="AA1923" s="247"/>
      <c r="AB1923" s="247"/>
      <c r="AC1923" s="247"/>
    </row>
    <row r="1924">
      <c r="A1924" s="247"/>
      <c r="B1924" s="373"/>
      <c r="C1924" s="373"/>
      <c r="D1924" s="373"/>
      <c r="E1924" s="247"/>
      <c r="F1924" s="247"/>
      <c r="G1924" s="247"/>
      <c r="H1924" s="247"/>
      <c r="I1924" s="247"/>
      <c r="J1924" s="247"/>
      <c r="K1924" s="247"/>
      <c r="L1924" s="247"/>
      <c r="M1924" s="247"/>
      <c r="N1924" s="247"/>
      <c r="O1924" s="247"/>
      <c r="P1924" s="247"/>
      <c r="Q1924" s="247"/>
      <c r="R1924" s="247"/>
      <c r="S1924" s="247"/>
      <c r="T1924" s="247"/>
      <c r="U1924" s="247"/>
      <c r="V1924" s="247"/>
      <c r="W1924" s="247"/>
      <c r="X1924" s="247"/>
      <c r="Y1924" s="247"/>
      <c r="Z1924" s="247"/>
      <c r="AA1924" s="247"/>
      <c r="AB1924" s="247"/>
      <c r="AC1924" s="247"/>
    </row>
    <row r="1925">
      <c r="A1925" s="247"/>
      <c r="B1925" s="373"/>
      <c r="C1925" s="373"/>
      <c r="D1925" s="373"/>
      <c r="E1925" s="247"/>
      <c r="F1925" s="247"/>
      <c r="G1925" s="247"/>
      <c r="H1925" s="247"/>
      <c r="I1925" s="247"/>
      <c r="J1925" s="247"/>
      <c r="K1925" s="247"/>
      <c r="L1925" s="247"/>
      <c r="M1925" s="247"/>
      <c r="N1925" s="247"/>
      <c r="O1925" s="247"/>
      <c r="P1925" s="247"/>
      <c r="Q1925" s="247"/>
      <c r="R1925" s="247"/>
      <c r="S1925" s="247"/>
      <c r="T1925" s="247"/>
      <c r="U1925" s="247"/>
      <c r="V1925" s="247"/>
      <c r="W1925" s="247"/>
      <c r="X1925" s="247"/>
      <c r="Y1925" s="247"/>
      <c r="Z1925" s="247"/>
      <c r="AA1925" s="247"/>
      <c r="AB1925" s="247"/>
      <c r="AC1925" s="247"/>
    </row>
    <row r="1926">
      <c r="A1926" s="247"/>
      <c r="B1926" s="373"/>
      <c r="C1926" s="373"/>
      <c r="D1926" s="373"/>
      <c r="E1926" s="247"/>
      <c r="F1926" s="247"/>
      <c r="G1926" s="247"/>
      <c r="H1926" s="247"/>
      <c r="I1926" s="247"/>
      <c r="J1926" s="247"/>
      <c r="K1926" s="247"/>
      <c r="L1926" s="247"/>
      <c r="M1926" s="247"/>
      <c r="N1926" s="247"/>
      <c r="O1926" s="247"/>
      <c r="P1926" s="247"/>
      <c r="Q1926" s="247"/>
      <c r="R1926" s="247"/>
      <c r="S1926" s="247"/>
      <c r="T1926" s="247"/>
      <c r="U1926" s="247"/>
      <c r="V1926" s="247"/>
      <c r="W1926" s="247"/>
      <c r="X1926" s="247"/>
      <c r="Y1926" s="247"/>
      <c r="Z1926" s="247"/>
      <c r="AA1926" s="247"/>
      <c r="AB1926" s="247"/>
      <c r="AC1926" s="247"/>
    </row>
    <row r="1927">
      <c r="A1927" s="247"/>
      <c r="B1927" s="373"/>
      <c r="C1927" s="373"/>
      <c r="D1927" s="373"/>
      <c r="E1927" s="247"/>
      <c r="F1927" s="247"/>
      <c r="G1927" s="247"/>
      <c r="H1927" s="247"/>
      <c r="I1927" s="247"/>
      <c r="J1927" s="247"/>
      <c r="K1927" s="247"/>
      <c r="L1927" s="247"/>
      <c r="M1927" s="247"/>
      <c r="N1927" s="247"/>
      <c r="O1927" s="247"/>
      <c r="P1927" s="247"/>
      <c r="Q1927" s="247"/>
      <c r="R1927" s="247"/>
      <c r="S1927" s="247"/>
      <c r="T1927" s="247"/>
      <c r="U1927" s="247"/>
      <c r="V1927" s="247"/>
      <c r="W1927" s="247"/>
      <c r="X1927" s="247"/>
      <c r="Y1927" s="247"/>
      <c r="Z1927" s="247"/>
      <c r="AA1927" s="247"/>
      <c r="AB1927" s="247"/>
      <c r="AC1927" s="247"/>
    </row>
    <row r="1928">
      <c r="A1928" s="247"/>
      <c r="B1928" s="373"/>
      <c r="C1928" s="373"/>
      <c r="D1928" s="373"/>
      <c r="E1928" s="247"/>
      <c r="F1928" s="247"/>
      <c r="G1928" s="247"/>
      <c r="H1928" s="247"/>
      <c r="I1928" s="247"/>
      <c r="J1928" s="247"/>
      <c r="K1928" s="247"/>
      <c r="L1928" s="247"/>
      <c r="M1928" s="247"/>
      <c r="N1928" s="247"/>
      <c r="O1928" s="247"/>
      <c r="P1928" s="247"/>
      <c r="Q1928" s="247"/>
      <c r="R1928" s="247"/>
      <c r="S1928" s="247"/>
      <c r="T1928" s="247"/>
      <c r="U1928" s="247"/>
      <c r="V1928" s="247"/>
      <c r="W1928" s="247"/>
      <c r="X1928" s="247"/>
      <c r="Y1928" s="247"/>
      <c r="Z1928" s="247"/>
      <c r="AA1928" s="247"/>
      <c r="AB1928" s="247"/>
      <c r="AC1928" s="247"/>
    </row>
    <row r="1929">
      <c r="A1929" s="247"/>
      <c r="B1929" s="373"/>
      <c r="C1929" s="373"/>
      <c r="D1929" s="373"/>
      <c r="E1929" s="247"/>
      <c r="F1929" s="247"/>
      <c r="G1929" s="247"/>
      <c r="H1929" s="247"/>
      <c r="I1929" s="247"/>
      <c r="J1929" s="247"/>
      <c r="K1929" s="247"/>
      <c r="L1929" s="247"/>
      <c r="M1929" s="247"/>
      <c r="N1929" s="247"/>
      <c r="O1929" s="247"/>
      <c r="P1929" s="247"/>
      <c r="Q1929" s="247"/>
      <c r="R1929" s="247"/>
      <c r="S1929" s="247"/>
      <c r="T1929" s="247"/>
      <c r="U1929" s="247"/>
      <c r="V1929" s="247"/>
      <c r="W1929" s="247"/>
      <c r="X1929" s="247"/>
      <c r="Y1929" s="247"/>
      <c r="Z1929" s="247"/>
      <c r="AA1929" s="247"/>
      <c r="AB1929" s="247"/>
      <c r="AC1929" s="247"/>
    </row>
    <row r="1930">
      <c r="A1930" s="247"/>
      <c r="B1930" s="373"/>
      <c r="C1930" s="373"/>
      <c r="D1930" s="373"/>
      <c r="E1930" s="247"/>
      <c r="F1930" s="247"/>
      <c r="G1930" s="247"/>
      <c r="H1930" s="247"/>
      <c r="I1930" s="247"/>
      <c r="J1930" s="247"/>
      <c r="K1930" s="247"/>
      <c r="L1930" s="247"/>
      <c r="M1930" s="247"/>
      <c r="N1930" s="247"/>
      <c r="O1930" s="247"/>
      <c r="P1930" s="247"/>
      <c r="Q1930" s="247"/>
      <c r="R1930" s="247"/>
      <c r="S1930" s="247"/>
      <c r="T1930" s="247"/>
      <c r="U1930" s="247"/>
      <c r="V1930" s="247"/>
      <c r="W1930" s="247"/>
      <c r="X1930" s="247"/>
      <c r="Y1930" s="247"/>
      <c r="Z1930" s="247"/>
      <c r="AA1930" s="247"/>
      <c r="AB1930" s="247"/>
      <c r="AC1930" s="247"/>
    </row>
    <row r="1931">
      <c r="A1931" s="247"/>
      <c r="B1931" s="373"/>
      <c r="C1931" s="373"/>
      <c r="D1931" s="373"/>
      <c r="E1931" s="247"/>
      <c r="F1931" s="247"/>
      <c r="G1931" s="247"/>
      <c r="H1931" s="247"/>
      <c r="I1931" s="247"/>
      <c r="J1931" s="247"/>
      <c r="K1931" s="247"/>
      <c r="L1931" s="247"/>
      <c r="M1931" s="247"/>
      <c r="N1931" s="247"/>
      <c r="O1931" s="247"/>
      <c r="P1931" s="247"/>
      <c r="Q1931" s="247"/>
      <c r="R1931" s="247"/>
      <c r="S1931" s="247"/>
      <c r="T1931" s="247"/>
      <c r="U1931" s="247"/>
      <c r="V1931" s="247"/>
      <c r="W1931" s="247"/>
      <c r="X1931" s="247"/>
      <c r="Y1931" s="247"/>
      <c r="Z1931" s="247"/>
      <c r="AA1931" s="247"/>
      <c r="AB1931" s="247"/>
      <c r="AC1931" s="247"/>
    </row>
    <row r="1932">
      <c r="A1932" s="247"/>
      <c r="B1932" s="373"/>
      <c r="C1932" s="373"/>
      <c r="D1932" s="373"/>
      <c r="E1932" s="247"/>
      <c r="F1932" s="247"/>
      <c r="G1932" s="247"/>
      <c r="H1932" s="247"/>
      <c r="I1932" s="247"/>
      <c r="J1932" s="247"/>
      <c r="K1932" s="247"/>
      <c r="L1932" s="247"/>
      <c r="M1932" s="247"/>
      <c r="N1932" s="247"/>
      <c r="O1932" s="247"/>
      <c r="P1932" s="247"/>
      <c r="Q1932" s="247"/>
      <c r="R1932" s="247"/>
      <c r="S1932" s="247"/>
      <c r="T1932" s="247"/>
      <c r="U1932" s="247"/>
      <c r="V1932" s="247"/>
      <c r="W1932" s="247"/>
      <c r="X1932" s="247"/>
      <c r="Y1932" s="247"/>
      <c r="Z1932" s="247"/>
      <c r="AA1932" s="247"/>
      <c r="AB1932" s="247"/>
      <c r="AC1932" s="247"/>
    </row>
    <row r="1933">
      <c r="A1933" s="247"/>
      <c r="B1933" s="373"/>
      <c r="C1933" s="373"/>
      <c r="D1933" s="373"/>
      <c r="E1933" s="247"/>
      <c r="F1933" s="247"/>
      <c r="G1933" s="247"/>
      <c r="H1933" s="247"/>
      <c r="I1933" s="247"/>
      <c r="J1933" s="247"/>
      <c r="K1933" s="247"/>
      <c r="L1933" s="247"/>
      <c r="M1933" s="247"/>
      <c r="N1933" s="247"/>
      <c r="O1933" s="247"/>
      <c r="P1933" s="247"/>
      <c r="Q1933" s="247"/>
      <c r="R1933" s="247"/>
      <c r="S1933" s="247"/>
      <c r="T1933" s="247"/>
      <c r="U1933" s="247"/>
      <c r="V1933" s="247"/>
      <c r="W1933" s="247"/>
      <c r="X1933" s="247"/>
      <c r="Y1933" s="247"/>
      <c r="Z1933" s="247"/>
      <c r="AA1933" s="247"/>
      <c r="AB1933" s="247"/>
      <c r="AC1933" s="247"/>
    </row>
    <row r="1934">
      <c r="A1934" s="247"/>
      <c r="B1934" s="373"/>
      <c r="C1934" s="373"/>
      <c r="D1934" s="373"/>
      <c r="E1934" s="247"/>
      <c r="F1934" s="247"/>
      <c r="G1934" s="247"/>
      <c r="H1934" s="247"/>
      <c r="I1934" s="247"/>
      <c r="J1934" s="247"/>
      <c r="K1934" s="247"/>
      <c r="L1934" s="247"/>
      <c r="M1934" s="247"/>
      <c r="N1934" s="247"/>
      <c r="O1934" s="247"/>
      <c r="P1934" s="247"/>
      <c r="Q1934" s="247"/>
      <c r="R1934" s="247"/>
      <c r="S1934" s="247"/>
      <c r="T1934" s="247"/>
      <c r="U1934" s="247"/>
      <c r="V1934" s="247"/>
      <c r="W1934" s="247"/>
      <c r="X1934" s="247"/>
      <c r="Y1934" s="247"/>
      <c r="Z1934" s="247"/>
      <c r="AA1934" s="247"/>
      <c r="AB1934" s="247"/>
      <c r="AC1934" s="247"/>
    </row>
    <row r="1935">
      <c r="A1935" s="247"/>
      <c r="B1935" s="373"/>
      <c r="C1935" s="373"/>
      <c r="D1935" s="373"/>
      <c r="E1935" s="247"/>
      <c r="F1935" s="247"/>
      <c r="G1935" s="247"/>
      <c r="H1935" s="247"/>
      <c r="I1935" s="247"/>
      <c r="J1935" s="247"/>
      <c r="K1935" s="247"/>
      <c r="L1935" s="247"/>
      <c r="M1935" s="247"/>
      <c r="N1935" s="247"/>
      <c r="O1935" s="247"/>
      <c r="P1935" s="247"/>
      <c r="Q1935" s="247"/>
      <c r="R1935" s="247"/>
      <c r="S1935" s="247"/>
      <c r="T1935" s="247"/>
      <c r="U1935" s="247"/>
      <c r="V1935" s="247"/>
      <c r="W1935" s="247"/>
      <c r="X1935" s="247"/>
      <c r="Y1935" s="247"/>
      <c r="Z1935" s="247"/>
      <c r="AA1935" s="247"/>
      <c r="AB1935" s="247"/>
      <c r="AC1935" s="247"/>
    </row>
    <row r="1936">
      <c r="A1936" s="247"/>
      <c r="B1936" s="373"/>
      <c r="C1936" s="373"/>
      <c r="D1936" s="373"/>
      <c r="E1936" s="247"/>
      <c r="F1936" s="247"/>
      <c r="G1936" s="247"/>
      <c r="H1936" s="247"/>
      <c r="I1936" s="247"/>
      <c r="J1936" s="247"/>
      <c r="K1936" s="247"/>
      <c r="L1936" s="247"/>
      <c r="M1936" s="247"/>
      <c r="N1936" s="247"/>
      <c r="O1936" s="247"/>
      <c r="P1936" s="247"/>
      <c r="Q1936" s="247"/>
      <c r="R1936" s="247"/>
      <c r="S1936" s="247"/>
      <c r="T1936" s="247"/>
      <c r="U1936" s="247"/>
      <c r="V1936" s="247"/>
      <c r="W1936" s="247"/>
      <c r="X1936" s="247"/>
      <c r="Y1936" s="247"/>
      <c r="Z1936" s="247"/>
      <c r="AA1936" s="247"/>
      <c r="AB1936" s="247"/>
      <c r="AC1936" s="247"/>
    </row>
    <row r="1937">
      <c r="A1937" s="247"/>
      <c r="B1937" s="373"/>
      <c r="C1937" s="373"/>
      <c r="D1937" s="373"/>
      <c r="E1937" s="247"/>
      <c r="F1937" s="247"/>
      <c r="G1937" s="247"/>
      <c r="H1937" s="247"/>
      <c r="I1937" s="247"/>
      <c r="J1937" s="247"/>
      <c r="K1937" s="247"/>
      <c r="L1937" s="247"/>
      <c r="M1937" s="247"/>
      <c r="N1937" s="247"/>
      <c r="O1937" s="247"/>
      <c r="P1937" s="247"/>
      <c r="Q1937" s="247"/>
      <c r="R1937" s="247"/>
      <c r="S1937" s="247"/>
      <c r="T1937" s="247"/>
      <c r="U1937" s="247"/>
      <c r="V1937" s="247"/>
      <c r="W1937" s="247"/>
      <c r="X1937" s="247"/>
      <c r="Y1937" s="247"/>
      <c r="Z1937" s="247"/>
      <c r="AA1937" s="247"/>
      <c r="AB1937" s="247"/>
      <c r="AC1937" s="247"/>
    </row>
    <row r="1938">
      <c r="A1938" s="247"/>
      <c r="B1938" s="373"/>
      <c r="C1938" s="373"/>
      <c r="D1938" s="373"/>
      <c r="E1938" s="247"/>
      <c r="F1938" s="247"/>
      <c r="G1938" s="247"/>
      <c r="H1938" s="247"/>
      <c r="I1938" s="247"/>
      <c r="J1938" s="247"/>
      <c r="K1938" s="247"/>
      <c r="L1938" s="247"/>
      <c r="M1938" s="247"/>
      <c r="N1938" s="247"/>
      <c r="O1938" s="247"/>
      <c r="P1938" s="247"/>
      <c r="Q1938" s="247"/>
      <c r="R1938" s="247"/>
      <c r="S1938" s="247"/>
      <c r="T1938" s="247"/>
      <c r="U1938" s="247"/>
      <c r="V1938" s="247"/>
      <c r="W1938" s="247"/>
      <c r="X1938" s="247"/>
      <c r="Y1938" s="247"/>
      <c r="Z1938" s="247"/>
      <c r="AA1938" s="247"/>
      <c r="AB1938" s="247"/>
      <c r="AC1938" s="247"/>
    </row>
    <row r="1939">
      <c r="A1939" s="247"/>
      <c r="B1939" s="373"/>
      <c r="C1939" s="373"/>
      <c r="D1939" s="373"/>
      <c r="E1939" s="247"/>
      <c r="F1939" s="247"/>
      <c r="G1939" s="247"/>
      <c r="H1939" s="247"/>
      <c r="I1939" s="247"/>
      <c r="J1939" s="247"/>
      <c r="K1939" s="247"/>
      <c r="L1939" s="247"/>
      <c r="M1939" s="247"/>
      <c r="N1939" s="247"/>
      <c r="O1939" s="247"/>
      <c r="P1939" s="247"/>
      <c r="Q1939" s="247"/>
      <c r="R1939" s="247"/>
      <c r="S1939" s="247"/>
      <c r="T1939" s="247"/>
      <c r="U1939" s="247"/>
      <c r="V1939" s="247"/>
      <c r="W1939" s="247"/>
      <c r="X1939" s="247"/>
      <c r="Y1939" s="247"/>
      <c r="Z1939" s="247"/>
      <c r="AA1939" s="247"/>
      <c r="AB1939" s="247"/>
      <c r="AC1939" s="247"/>
    </row>
    <row r="1940">
      <c r="A1940" s="247"/>
      <c r="B1940" s="373"/>
      <c r="C1940" s="373"/>
      <c r="D1940" s="373"/>
      <c r="E1940" s="247"/>
      <c r="F1940" s="247"/>
      <c r="G1940" s="247"/>
      <c r="H1940" s="247"/>
      <c r="I1940" s="247"/>
      <c r="J1940" s="247"/>
      <c r="K1940" s="247"/>
      <c r="L1940" s="247"/>
      <c r="M1940" s="247"/>
      <c r="N1940" s="247"/>
      <c r="O1940" s="247"/>
      <c r="P1940" s="247"/>
      <c r="Q1940" s="247"/>
      <c r="R1940" s="247"/>
      <c r="S1940" s="247"/>
      <c r="T1940" s="247"/>
      <c r="U1940" s="247"/>
      <c r="V1940" s="247"/>
      <c r="W1940" s="247"/>
      <c r="X1940" s="247"/>
      <c r="Y1940" s="247"/>
      <c r="Z1940" s="247"/>
      <c r="AA1940" s="247"/>
      <c r="AB1940" s="247"/>
      <c r="AC1940" s="247"/>
    </row>
    <row r="1941">
      <c r="A1941" s="247"/>
      <c r="B1941" s="373"/>
      <c r="C1941" s="373"/>
      <c r="D1941" s="373"/>
      <c r="E1941" s="247"/>
      <c r="F1941" s="247"/>
      <c r="G1941" s="247"/>
      <c r="H1941" s="247"/>
      <c r="I1941" s="247"/>
      <c r="J1941" s="247"/>
      <c r="K1941" s="247"/>
      <c r="L1941" s="247"/>
      <c r="M1941" s="247"/>
      <c r="N1941" s="247"/>
      <c r="O1941" s="247"/>
      <c r="P1941" s="247"/>
      <c r="Q1941" s="247"/>
      <c r="R1941" s="247"/>
      <c r="S1941" s="247"/>
      <c r="T1941" s="247"/>
      <c r="U1941" s="247"/>
      <c r="V1941" s="247"/>
      <c r="W1941" s="247"/>
      <c r="X1941" s="247"/>
      <c r="Y1941" s="247"/>
      <c r="Z1941" s="247"/>
      <c r="AA1941" s="247"/>
      <c r="AB1941" s="247"/>
      <c r="AC1941" s="247"/>
    </row>
    <row r="1942">
      <c r="A1942" s="247"/>
      <c r="B1942" s="373"/>
      <c r="C1942" s="373"/>
      <c r="D1942" s="373"/>
      <c r="E1942" s="247"/>
      <c r="F1942" s="247"/>
      <c r="G1942" s="247"/>
      <c r="H1942" s="247"/>
      <c r="I1942" s="247"/>
      <c r="J1942" s="247"/>
      <c r="K1942" s="247"/>
      <c r="L1942" s="247"/>
      <c r="M1942" s="247"/>
      <c r="N1942" s="247"/>
      <c r="O1942" s="247"/>
      <c r="P1942" s="247"/>
      <c r="Q1942" s="247"/>
      <c r="R1942" s="247"/>
      <c r="S1942" s="247"/>
      <c r="T1942" s="247"/>
      <c r="U1942" s="247"/>
      <c r="V1942" s="247"/>
      <c r="W1942" s="247"/>
      <c r="X1942" s="247"/>
      <c r="Y1942" s="247"/>
      <c r="Z1942" s="247"/>
      <c r="AA1942" s="247"/>
      <c r="AB1942" s="247"/>
      <c r="AC1942" s="247"/>
    </row>
    <row r="1943">
      <c r="A1943" s="247"/>
      <c r="B1943" s="373"/>
      <c r="C1943" s="373"/>
      <c r="D1943" s="373"/>
      <c r="E1943" s="247"/>
      <c r="F1943" s="247"/>
      <c r="G1943" s="247"/>
      <c r="H1943" s="247"/>
      <c r="I1943" s="247"/>
      <c r="J1943" s="247"/>
      <c r="K1943" s="247"/>
      <c r="L1943" s="247"/>
      <c r="M1943" s="247"/>
      <c r="N1943" s="247"/>
      <c r="O1943" s="247"/>
      <c r="P1943" s="247"/>
      <c r="Q1943" s="247"/>
      <c r="R1943" s="247"/>
      <c r="S1943" s="247"/>
      <c r="T1943" s="247"/>
      <c r="U1943" s="247"/>
      <c r="V1943" s="247"/>
      <c r="W1943" s="247"/>
      <c r="X1943" s="247"/>
      <c r="Y1943" s="247"/>
      <c r="Z1943" s="247"/>
      <c r="AA1943" s="247"/>
      <c r="AB1943" s="247"/>
      <c r="AC1943" s="247"/>
    </row>
    <row r="1944">
      <c r="A1944" s="247"/>
      <c r="B1944" s="373"/>
      <c r="C1944" s="373"/>
      <c r="D1944" s="373"/>
      <c r="E1944" s="247"/>
      <c r="F1944" s="247"/>
      <c r="G1944" s="247"/>
      <c r="H1944" s="247"/>
      <c r="I1944" s="247"/>
      <c r="J1944" s="247"/>
      <c r="K1944" s="247"/>
      <c r="L1944" s="247"/>
      <c r="M1944" s="247"/>
      <c r="N1944" s="247"/>
      <c r="O1944" s="247"/>
      <c r="P1944" s="247"/>
      <c r="Q1944" s="247"/>
      <c r="R1944" s="247"/>
      <c r="S1944" s="247"/>
      <c r="T1944" s="247"/>
      <c r="U1944" s="247"/>
      <c r="V1944" s="247"/>
      <c r="W1944" s="247"/>
      <c r="X1944" s="247"/>
      <c r="Y1944" s="247"/>
      <c r="Z1944" s="247"/>
      <c r="AA1944" s="247"/>
      <c r="AB1944" s="247"/>
      <c r="AC1944" s="247"/>
    </row>
    <row r="1945">
      <c r="A1945" s="247"/>
      <c r="B1945" s="373"/>
      <c r="C1945" s="373"/>
      <c r="D1945" s="373"/>
      <c r="E1945" s="247"/>
      <c r="F1945" s="247"/>
      <c r="G1945" s="247"/>
      <c r="H1945" s="247"/>
      <c r="I1945" s="247"/>
      <c r="J1945" s="247"/>
      <c r="K1945" s="247"/>
      <c r="L1945" s="247"/>
      <c r="M1945" s="247"/>
      <c r="N1945" s="247"/>
      <c r="O1945" s="247"/>
      <c r="P1945" s="247"/>
      <c r="Q1945" s="247"/>
      <c r="R1945" s="247"/>
      <c r="S1945" s="247"/>
      <c r="T1945" s="247"/>
      <c r="U1945" s="247"/>
      <c r="V1945" s="247"/>
      <c r="W1945" s="247"/>
      <c r="X1945" s="247"/>
      <c r="Y1945" s="247"/>
      <c r="Z1945" s="247"/>
      <c r="AA1945" s="247"/>
      <c r="AB1945" s="247"/>
      <c r="AC1945" s="247"/>
    </row>
    <row r="1946">
      <c r="A1946" s="247"/>
      <c r="B1946" s="373"/>
      <c r="C1946" s="373"/>
      <c r="D1946" s="373"/>
      <c r="E1946" s="247"/>
      <c r="F1946" s="247"/>
      <c r="G1946" s="247"/>
      <c r="H1946" s="247"/>
      <c r="I1946" s="247"/>
      <c r="J1946" s="247"/>
      <c r="K1946" s="247"/>
      <c r="L1946" s="247"/>
      <c r="M1946" s="247"/>
      <c r="N1946" s="247"/>
      <c r="O1946" s="247"/>
      <c r="P1946" s="247"/>
      <c r="Q1946" s="247"/>
      <c r="R1946" s="247"/>
      <c r="S1946" s="247"/>
      <c r="T1946" s="247"/>
      <c r="U1946" s="247"/>
      <c r="V1946" s="247"/>
      <c r="W1946" s="247"/>
      <c r="X1946" s="247"/>
      <c r="Y1946" s="247"/>
      <c r="Z1946" s="247"/>
      <c r="AA1946" s="247"/>
      <c r="AB1946" s="247"/>
      <c r="AC1946" s="247"/>
    </row>
    <row r="1947">
      <c r="A1947" s="247"/>
      <c r="B1947" s="373"/>
      <c r="C1947" s="373"/>
      <c r="D1947" s="373"/>
      <c r="E1947" s="247"/>
      <c r="F1947" s="247"/>
      <c r="G1947" s="247"/>
      <c r="H1947" s="247"/>
      <c r="I1947" s="247"/>
      <c r="J1947" s="247"/>
      <c r="K1947" s="247"/>
      <c r="L1947" s="247"/>
      <c r="M1947" s="247"/>
      <c r="N1947" s="247"/>
      <c r="O1947" s="247"/>
      <c r="P1947" s="247"/>
      <c r="Q1947" s="247"/>
      <c r="R1947" s="247"/>
      <c r="S1947" s="247"/>
      <c r="T1947" s="247"/>
      <c r="U1947" s="247"/>
      <c r="V1947" s="247"/>
      <c r="W1947" s="247"/>
      <c r="X1947" s="247"/>
      <c r="Y1947" s="247"/>
      <c r="Z1947" s="247"/>
      <c r="AA1947" s="247"/>
      <c r="AB1947" s="247"/>
      <c r="AC1947" s="247"/>
    </row>
    <row r="1948">
      <c r="A1948" s="247"/>
      <c r="B1948" s="373"/>
      <c r="C1948" s="373"/>
      <c r="D1948" s="373"/>
      <c r="E1948" s="247"/>
      <c r="F1948" s="247"/>
      <c r="G1948" s="247"/>
      <c r="H1948" s="247"/>
      <c r="I1948" s="247"/>
      <c r="J1948" s="247"/>
      <c r="K1948" s="247"/>
      <c r="L1948" s="247"/>
      <c r="M1948" s="247"/>
      <c r="N1948" s="247"/>
      <c r="O1948" s="247"/>
      <c r="P1948" s="247"/>
      <c r="Q1948" s="247"/>
      <c r="R1948" s="247"/>
      <c r="S1948" s="247"/>
      <c r="T1948" s="247"/>
      <c r="U1948" s="247"/>
      <c r="V1948" s="247"/>
      <c r="W1948" s="247"/>
      <c r="X1948" s="247"/>
      <c r="Y1948" s="247"/>
      <c r="Z1948" s="247"/>
      <c r="AA1948" s="247"/>
      <c r="AB1948" s="247"/>
      <c r="AC1948" s="247"/>
    </row>
    <row r="1949">
      <c r="A1949" s="247"/>
      <c r="B1949" s="373"/>
      <c r="C1949" s="373"/>
      <c r="D1949" s="373"/>
      <c r="E1949" s="247"/>
      <c r="F1949" s="247"/>
      <c r="G1949" s="247"/>
      <c r="H1949" s="247"/>
      <c r="I1949" s="247"/>
      <c r="J1949" s="247"/>
      <c r="K1949" s="247"/>
      <c r="L1949" s="247"/>
      <c r="M1949" s="247"/>
      <c r="N1949" s="247"/>
      <c r="O1949" s="247"/>
      <c r="P1949" s="247"/>
      <c r="Q1949" s="247"/>
      <c r="R1949" s="247"/>
      <c r="S1949" s="247"/>
      <c r="T1949" s="247"/>
      <c r="U1949" s="247"/>
      <c r="V1949" s="247"/>
      <c r="W1949" s="247"/>
      <c r="X1949" s="247"/>
      <c r="Y1949" s="247"/>
      <c r="Z1949" s="247"/>
      <c r="AA1949" s="247"/>
      <c r="AB1949" s="247"/>
      <c r="AC1949" s="247"/>
    </row>
    <row r="1950">
      <c r="A1950" s="247"/>
      <c r="B1950" s="373"/>
      <c r="C1950" s="373"/>
      <c r="D1950" s="373"/>
      <c r="E1950" s="247"/>
      <c r="F1950" s="247"/>
      <c r="G1950" s="247"/>
      <c r="H1950" s="247"/>
      <c r="I1950" s="247"/>
      <c r="J1950" s="247"/>
      <c r="K1950" s="247"/>
      <c r="L1950" s="247"/>
      <c r="M1950" s="247"/>
      <c r="N1950" s="247"/>
      <c r="O1950" s="247"/>
      <c r="P1950" s="247"/>
      <c r="Q1950" s="247"/>
      <c r="R1950" s="247"/>
      <c r="S1950" s="247"/>
      <c r="T1950" s="247"/>
      <c r="U1950" s="247"/>
      <c r="V1950" s="247"/>
      <c r="W1950" s="247"/>
      <c r="X1950" s="247"/>
      <c r="Y1950" s="247"/>
      <c r="Z1950" s="247"/>
      <c r="AA1950" s="247"/>
      <c r="AB1950" s="247"/>
      <c r="AC1950" s="247"/>
    </row>
    <row r="1951">
      <c r="A1951" s="247"/>
      <c r="B1951" s="373"/>
      <c r="C1951" s="373"/>
      <c r="D1951" s="373"/>
      <c r="E1951" s="247"/>
      <c r="F1951" s="247"/>
      <c r="G1951" s="247"/>
      <c r="H1951" s="247"/>
      <c r="I1951" s="247"/>
      <c r="J1951" s="247"/>
      <c r="K1951" s="247"/>
      <c r="L1951" s="247"/>
      <c r="M1951" s="247"/>
      <c r="N1951" s="247"/>
      <c r="O1951" s="247"/>
      <c r="P1951" s="247"/>
      <c r="Q1951" s="247"/>
      <c r="R1951" s="247"/>
      <c r="S1951" s="247"/>
      <c r="T1951" s="247"/>
      <c r="U1951" s="247"/>
      <c r="V1951" s="247"/>
      <c r="W1951" s="247"/>
      <c r="X1951" s="247"/>
      <c r="Y1951" s="247"/>
      <c r="Z1951" s="247"/>
      <c r="AA1951" s="247"/>
      <c r="AB1951" s="247"/>
      <c r="AC1951" s="247"/>
    </row>
    <row r="1952">
      <c r="A1952" s="247"/>
      <c r="B1952" s="373"/>
      <c r="C1952" s="373"/>
      <c r="D1952" s="373"/>
      <c r="E1952" s="247"/>
      <c r="F1952" s="247"/>
      <c r="G1952" s="247"/>
      <c r="H1952" s="247"/>
      <c r="I1952" s="247"/>
      <c r="J1952" s="247"/>
      <c r="K1952" s="247"/>
      <c r="L1952" s="247"/>
      <c r="M1952" s="247"/>
      <c r="N1952" s="247"/>
      <c r="O1952" s="247"/>
      <c r="P1952" s="247"/>
      <c r="Q1952" s="247"/>
      <c r="R1952" s="247"/>
      <c r="S1952" s="247"/>
      <c r="T1952" s="247"/>
      <c r="U1952" s="247"/>
      <c r="V1952" s="247"/>
      <c r="W1952" s="247"/>
      <c r="X1952" s="247"/>
      <c r="Y1952" s="247"/>
      <c r="Z1952" s="247"/>
      <c r="AA1952" s="247"/>
      <c r="AB1952" s="247"/>
      <c r="AC1952" s="247"/>
    </row>
    <row r="1953">
      <c r="A1953" s="247"/>
      <c r="B1953" s="373"/>
      <c r="C1953" s="373"/>
      <c r="D1953" s="373"/>
      <c r="E1953" s="247"/>
      <c r="F1953" s="247"/>
      <c r="G1953" s="247"/>
      <c r="H1953" s="247"/>
      <c r="I1953" s="247"/>
      <c r="J1953" s="247"/>
      <c r="K1953" s="247"/>
      <c r="L1953" s="247"/>
      <c r="M1953" s="247"/>
      <c r="N1953" s="247"/>
      <c r="O1953" s="247"/>
      <c r="P1953" s="247"/>
      <c r="Q1953" s="247"/>
      <c r="R1953" s="247"/>
      <c r="S1953" s="247"/>
      <c r="T1953" s="247"/>
      <c r="U1953" s="247"/>
      <c r="V1953" s="247"/>
      <c r="W1953" s="247"/>
      <c r="X1953" s="247"/>
      <c r="Y1953" s="247"/>
      <c r="Z1953" s="247"/>
      <c r="AA1953" s="247"/>
      <c r="AB1953" s="247"/>
      <c r="AC1953" s="247"/>
    </row>
    <row r="1954">
      <c r="A1954" s="247"/>
      <c r="B1954" s="373"/>
      <c r="C1954" s="373"/>
      <c r="D1954" s="373"/>
      <c r="E1954" s="247"/>
      <c r="F1954" s="247"/>
      <c r="G1954" s="247"/>
      <c r="H1954" s="247"/>
      <c r="I1954" s="247"/>
      <c r="J1954" s="247"/>
      <c r="K1954" s="247"/>
      <c r="L1954" s="247"/>
      <c r="M1954" s="247"/>
      <c r="N1954" s="247"/>
      <c r="O1954" s="247"/>
      <c r="P1954" s="247"/>
      <c r="Q1954" s="247"/>
      <c r="R1954" s="247"/>
      <c r="S1954" s="247"/>
      <c r="T1954" s="247"/>
      <c r="U1954" s="247"/>
      <c r="V1954" s="247"/>
      <c r="W1954" s="247"/>
      <c r="X1954" s="247"/>
      <c r="Y1954" s="247"/>
      <c r="Z1954" s="247"/>
      <c r="AA1954" s="247"/>
      <c r="AB1954" s="247"/>
      <c r="AC1954" s="247"/>
    </row>
    <row r="1955">
      <c r="A1955" s="247"/>
      <c r="B1955" s="373"/>
      <c r="C1955" s="373"/>
      <c r="D1955" s="373"/>
      <c r="E1955" s="247"/>
      <c r="F1955" s="247"/>
      <c r="G1955" s="247"/>
      <c r="H1955" s="247"/>
      <c r="I1955" s="247"/>
      <c r="J1955" s="247"/>
      <c r="K1955" s="247"/>
      <c r="L1955" s="247"/>
      <c r="M1955" s="247"/>
      <c r="N1955" s="247"/>
      <c r="O1955" s="247"/>
      <c r="P1955" s="247"/>
      <c r="Q1955" s="247"/>
      <c r="R1955" s="247"/>
      <c r="S1955" s="247"/>
      <c r="T1955" s="247"/>
      <c r="U1955" s="247"/>
      <c r="V1955" s="247"/>
      <c r="W1955" s="247"/>
      <c r="X1955" s="247"/>
      <c r="Y1955" s="247"/>
      <c r="Z1955" s="247"/>
      <c r="AA1955" s="247"/>
      <c r="AB1955" s="247"/>
      <c r="AC1955" s="247"/>
    </row>
    <row r="1956">
      <c r="A1956" s="247"/>
      <c r="B1956" s="373"/>
      <c r="C1956" s="373"/>
      <c r="D1956" s="373"/>
      <c r="E1956" s="247"/>
      <c r="F1956" s="247"/>
      <c r="G1956" s="247"/>
      <c r="H1956" s="247"/>
      <c r="I1956" s="247"/>
      <c r="J1956" s="247"/>
      <c r="K1956" s="247"/>
      <c r="L1956" s="247"/>
      <c r="M1956" s="247"/>
      <c r="N1956" s="247"/>
      <c r="O1956" s="247"/>
      <c r="P1956" s="247"/>
      <c r="Q1956" s="247"/>
      <c r="R1956" s="247"/>
      <c r="S1956" s="247"/>
      <c r="T1956" s="247"/>
      <c r="U1956" s="247"/>
      <c r="V1956" s="247"/>
      <c r="W1956" s="247"/>
      <c r="X1956" s="247"/>
      <c r="Y1956" s="247"/>
      <c r="Z1956" s="247"/>
      <c r="AA1956" s="247"/>
      <c r="AB1956" s="247"/>
      <c r="AC1956" s="247"/>
    </row>
    <row r="1957">
      <c r="A1957" s="247"/>
      <c r="B1957" s="373"/>
      <c r="C1957" s="373"/>
      <c r="D1957" s="373"/>
      <c r="E1957" s="247"/>
      <c r="F1957" s="247"/>
      <c r="G1957" s="247"/>
      <c r="H1957" s="247"/>
      <c r="I1957" s="247"/>
      <c r="J1957" s="247"/>
      <c r="K1957" s="247"/>
      <c r="L1957" s="247"/>
      <c r="M1957" s="247"/>
      <c r="N1957" s="247"/>
      <c r="O1957" s="247"/>
      <c r="P1957" s="247"/>
      <c r="Q1957" s="247"/>
      <c r="R1957" s="247"/>
      <c r="S1957" s="247"/>
      <c r="T1957" s="247"/>
      <c r="U1957" s="247"/>
      <c r="V1957" s="247"/>
      <c r="W1957" s="247"/>
      <c r="X1957" s="247"/>
      <c r="Y1957" s="247"/>
      <c r="Z1957" s="247"/>
      <c r="AA1957" s="247"/>
      <c r="AB1957" s="247"/>
      <c r="AC1957" s="247"/>
    </row>
    <row r="1958">
      <c r="A1958" s="247"/>
      <c r="B1958" s="373"/>
      <c r="C1958" s="373"/>
      <c r="D1958" s="373"/>
      <c r="E1958" s="247"/>
      <c r="F1958" s="247"/>
      <c r="G1958" s="247"/>
      <c r="H1958" s="247"/>
      <c r="I1958" s="247"/>
      <c r="J1958" s="247"/>
      <c r="K1958" s="247"/>
      <c r="L1958" s="247"/>
      <c r="M1958" s="247"/>
      <c r="N1958" s="247"/>
      <c r="O1958" s="247"/>
      <c r="P1958" s="247"/>
      <c r="Q1958" s="247"/>
      <c r="R1958" s="247"/>
      <c r="S1958" s="247"/>
      <c r="T1958" s="247"/>
      <c r="U1958" s="247"/>
      <c r="V1958" s="247"/>
      <c r="W1958" s="247"/>
      <c r="X1958" s="247"/>
      <c r="Y1958" s="247"/>
      <c r="Z1958" s="247"/>
      <c r="AA1958" s="247"/>
      <c r="AB1958" s="247"/>
      <c r="AC1958" s="247"/>
    </row>
    <row r="1959">
      <c r="A1959" s="247"/>
      <c r="B1959" s="373"/>
      <c r="C1959" s="373"/>
      <c r="D1959" s="373"/>
      <c r="E1959" s="247"/>
      <c r="F1959" s="247"/>
      <c r="G1959" s="247"/>
      <c r="H1959" s="247"/>
      <c r="I1959" s="247"/>
      <c r="J1959" s="247"/>
      <c r="K1959" s="247"/>
      <c r="L1959" s="247"/>
      <c r="M1959" s="247"/>
      <c r="N1959" s="247"/>
      <c r="O1959" s="247"/>
      <c r="P1959" s="247"/>
      <c r="Q1959" s="247"/>
      <c r="R1959" s="247"/>
      <c r="S1959" s="247"/>
      <c r="T1959" s="247"/>
      <c r="U1959" s="247"/>
      <c r="V1959" s="247"/>
      <c r="W1959" s="247"/>
      <c r="X1959" s="247"/>
      <c r="Y1959" s="247"/>
      <c r="Z1959" s="247"/>
      <c r="AA1959" s="247"/>
      <c r="AB1959" s="247"/>
      <c r="AC1959" s="247"/>
    </row>
    <row r="1960">
      <c r="A1960" s="247"/>
      <c r="B1960" s="373"/>
      <c r="C1960" s="373"/>
      <c r="D1960" s="373"/>
      <c r="E1960" s="247"/>
      <c r="F1960" s="247"/>
      <c r="G1960" s="247"/>
      <c r="H1960" s="247"/>
      <c r="I1960" s="247"/>
      <c r="J1960" s="247"/>
      <c r="K1960" s="247"/>
      <c r="L1960" s="247"/>
      <c r="M1960" s="247"/>
      <c r="N1960" s="247"/>
      <c r="O1960" s="247"/>
      <c r="P1960" s="247"/>
      <c r="Q1960" s="247"/>
      <c r="R1960" s="247"/>
      <c r="S1960" s="247"/>
      <c r="T1960" s="247"/>
      <c r="U1960" s="247"/>
      <c r="V1960" s="247"/>
      <c r="W1960" s="247"/>
      <c r="X1960" s="247"/>
      <c r="Y1960" s="247"/>
      <c r="Z1960" s="247"/>
      <c r="AA1960" s="247"/>
      <c r="AB1960" s="247"/>
      <c r="AC1960" s="247"/>
    </row>
    <row r="1961">
      <c r="A1961" s="247"/>
      <c r="B1961" s="373"/>
      <c r="C1961" s="373"/>
      <c r="D1961" s="373"/>
      <c r="E1961" s="247"/>
      <c r="F1961" s="247"/>
      <c r="G1961" s="247"/>
      <c r="H1961" s="247"/>
      <c r="I1961" s="247"/>
      <c r="J1961" s="247"/>
      <c r="K1961" s="247"/>
      <c r="L1961" s="247"/>
      <c r="M1961" s="247"/>
      <c r="N1961" s="247"/>
      <c r="O1961" s="247"/>
      <c r="P1961" s="247"/>
      <c r="Q1961" s="247"/>
      <c r="R1961" s="247"/>
      <c r="S1961" s="247"/>
      <c r="T1961" s="247"/>
      <c r="U1961" s="247"/>
      <c r="V1961" s="247"/>
      <c r="W1961" s="247"/>
      <c r="X1961" s="247"/>
      <c r="Y1961" s="247"/>
      <c r="Z1961" s="247"/>
      <c r="AA1961" s="247"/>
      <c r="AB1961" s="247"/>
      <c r="AC1961" s="247"/>
    </row>
    <row r="1962">
      <c r="A1962" s="247"/>
      <c r="B1962" s="373"/>
      <c r="C1962" s="373"/>
      <c r="D1962" s="373"/>
      <c r="E1962" s="247"/>
      <c r="F1962" s="247"/>
      <c r="G1962" s="247"/>
      <c r="H1962" s="247"/>
      <c r="I1962" s="247"/>
      <c r="J1962" s="247"/>
      <c r="K1962" s="247"/>
      <c r="L1962" s="247"/>
      <c r="M1962" s="247"/>
      <c r="N1962" s="247"/>
      <c r="O1962" s="247"/>
      <c r="P1962" s="247"/>
      <c r="Q1962" s="247"/>
      <c r="R1962" s="247"/>
      <c r="S1962" s="247"/>
      <c r="T1962" s="247"/>
      <c r="U1962" s="247"/>
      <c r="V1962" s="247"/>
      <c r="W1962" s="247"/>
      <c r="X1962" s="247"/>
      <c r="Y1962" s="247"/>
      <c r="Z1962" s="247"/>
      <c r="AA1962" s="247"/>
      <c r="AB1962" s="247"/>
      <c r="AC1962" s="247"/>
    </row>
    <row r="1963">
      <c r="A1963" s="247"/>
      <c r="B1963" s="373"/>
      <c r="C1963" s="373"/>
      <c r="D1963" s="373"/>
      <c r="E1963" s="247"/>
      <c r="F1963" s="247"/>
      <c r="G1963" s="247"/>
      <c r="H1963" s="247"/>
      <c r="I1963" s="247"/>
      <c r="J1963" s="247"/>
      <c r="K1963" s="247"/>
      <c r="L1963" s="247"/>
      <c r="M1963" s="247"/>
      <c r="N1963" s="247"/>
      <c r="O1963" s="247"/>
      <c r="P1963" s="247"/>
      <c r="Q1963" s="247"/>
      <c r="R1963" s="247"/>
      <c r="S1963" s="247"/>
      <c r="T1963" s="247"/>
      <c r="U1963" s="247"/>
      <c r="V1963" s="247"/>
      <c r="W1963" s="247"/>
      <c r="X1963" s="247"/>
      <c r="Y1963" s="247"/>
      <c r="Z1963" s="247"/>
      <c r="AA1963" s="247"/>
      <c r="AB1963" s="247"/>
      <c r="AC1963" s="247"/>
    </row>
    <row r="1964">
      <c r="A1964" s="247"/>
      <c r="B1964" s="373"/>
      <c r="C1964" s="373"/>
      <c r="D1964" s="373"/>
      <c r="E1964" s="247"/>
      <c r="F1964" s="247"/>
      <c r="G1964" s="247"/>
      <c r="H1964" s="247"/>
      <c r="I1964" s="247"/>
      <c r="J1964" s="247"/>
      <c r="K1964" s="247"/>
      <c r="L1964" s="247"/>
      <c r="M1964" s="247"/>
      <c r="N1964" s="247"/>
      <c r="O1964" s="247"/>
      <c r="P1964" s="247"/>
      <c r="Q1964" s="247"/>
      <c r="R1964" s="247"/>
      <c r="S1964" s="247"/>
      <c r="T1964" s="247"/>
      <c r="U1964" s="247"/>
      <c r="V1964" s="247"/>
      <c r="W1964" s="247"/>
      <c r="X1964" s="247"/>
      <c r="Y1964" s="247"/>
      <c r="Z1964" s="247"/>
      <c r="AA1964" s="247"/>
      <c r="AB1964" s="247"/>
      <c r="AC1964" s="247"/>
    </row>
    <row r="1965">
      <c r="A1965" s="247"/>
      <c r="B1965" s="373"/>
      <c r="C1965" s="373"/>
      <c r="D1965" s="373"/>
      <c r="E1965" s="247"/>
      <c r="F1965" s="247"/>
      <c r="G1965" s="247"/>
      <c r="H1965" s="247"/>
      <c r="I1965" s="247"/>
      <c r="J1965" s="247"/>
      <c r="K1965" s="247"/>
      <c r="L1965" s="247"/>
      <c r="M1965" s="247"/>
      <c r="N1965" s="247"/>
      <c r="O1965" s="247"/>
      <c r="P1965" s="247"/>
      <c r="Q1965" s="247"/>
      <c r="R1965" s="247"/>
      <c r="S1965" s="247"/>
      <c r="T1965" s="247"/>
      <c r="U1965" s="247"/>
      <c r="V1965" s="247"/>
      <c r="W1965" s="247"/>
      <c r="X1965" s="247"/>
      <c r="Y1965" s="247"/>
      <c r="Z1965" s="247"/>
      <c r="AA1965" s="247"/>
      <c r="AB1965" s="247"/>
      <c r="AC1965" s="247"/>
    </row>
    <row r="1966">
      <c r="A1966" s="247"/>
      <c r="B1966" s="373"/>
      <c r="C1966" s="373"/>
      <c r="D1966" s="373"/>
      <c r="E1966" s="247"/>
      <c r="F1966" s="247"/>
      <c r="G1966" s="247"/>
      <c r="H1966" s="247"/>
      <c r="I1966" s="247"/>
      <c r="J1966" s="247"/>
      <c r="K1966" s="247"/>
      <c r="L1966" s="247"/>
      <c r="M1966" s="247"/>
      <c r="N1966" s="247"/>
      <c r="O1966" s="247"/>
      <c r="P1966" s="247"/>
      <c r="Q1966" s="247"/>
      <c r="R1966" s="247"/>
      <c r="S1966" s="247"/>
      <c r="T1966" s="247"/>
      <c r="U1966" s="247"/>
      <c r="V1966" s="247"/>
      <c r="W1966" s="247"/>
      <c r="X1966" s="247"/>
      <c r="Y1966" s="247"/>
      <c r="Z1966" s="247"/>
      <c r="AA1966" s="247"/>
      <c r="AB1966" s="247"/>
      <c r="AC1966" s="247"/>
    </row>
    <row r="1967">
      <c r="A1967" s="247"/>
      <c r="B1967" s="373"/>
      <c r="C1967" s="373"/>
      <c r="D1967" s="373"/>
      <c r="E1967" s="247"/>
      <c r="F1967" s="247"/>
      <c r="G1967" s="247"/>
      <c r="H1967" s="247"/>
      <c r="I1967" s="247"/>
      <c r="J1967" s="247"/>
      <c r="K1967" s="247"/>
      <c r="L1967" s="247"/>
      <c r="M1967" s="247"/>
      <c r="N1967" s="247"/>
      <c r="O1967" s="247"/>
      <c r="P1967" s="247"/>
      <c r="Q1967" s="247"/>
      <c r="R1967" s="247"/>
      <c r="S1967" s="247"/>
      <c r="T1967" s="247"/>
      <c r="U1967" s="247"/>
      <c r="V1967" s="247"/>
      <c r="W1967" s="247"/>
      <c r="X1967" s="247"/>
      <c r="Y1967" s="247"/>
      <c r="Z1967" s="247"/>
      <c r="AA1967" s="247"/>
      <c r="AB1967" s="247"/>
      <c r="AC1967" s="247"/>
    </row>
    <row r="1968">
      <c r="A1968" s="247"/>
      <c r="B1968" s="373"/>
      <c r="C1968" s="373"/>
      <c r="D1968" s="373"/>
      <c r="E1968" s="247"/>
      <c r="F1968" s="247"/>
      <c r="G1968" s="247"/>
      <c r="H1968" s="247"/>
      <c r="I1968" s="247"/>
      <c r="J1968" s="247"/>
      <c r="K1968" s="247"/>
      <c r="L1968" s="247"/>
      <c r="M1968" s="247"/>
      <c r="N1968" s="247"/>
      <c r="O1968" s="247"/>
      <c r="P1968" s="247"/>
      <c r="Q1968" s="247"/>
      <c r="R1968" s="247"/>
      <c r="S1968" s="247"/>
      <c r="T1968" s="247"/>
      <c r="U1968" s="247"/>
      <c r="V1968" s="247"/>
      <c r="W1968" s="247"/>
      <c r="X1968" s="247"/>
      <c r="Y1968" s="247"/>
      <c r="Z1968" s="247"/>
      <c r="AA1968" s="247"/>
      <c r="AB1968" s="247"/>
      <c r="AC1968" s="247"/>
    </row>
    <row r="1969">
      <c r="A1969" s="247"/>
      <c r="B1969" s="373"/>
      <c r="C1969" s="373"/>
      <c r="D1969" s="373"/>
      <c r="E1969" s="247"/>
      <c r="F1969" s="247"/>
      <c r="G1969" s="247"/>
      <c r="H1969" s="247"/>
      <c r="I1969" s="247"/>
      <c r="J1969" s="247"/>
      <c r="K1969" s="247"/>
      <c r="L1969" s="247"/>
      <c r="M1969" s="247"/>
      <c r="N1969" s="247"/>
      <c r="O1969" s="247"/>
      <c r="P1969" s="247"/>
      <c r="Q1969" s="247"/>
      <c r="R1969" s="247"/>
      <c r="S1969" s="247"/>
      <c r="T1969" s="247"/>
      <c r="U1969" s="247"/>
      <c r="V1969" s="247"/>
      <c r="W1969" s="247"/>
      <c r="X1969" s="247"/>
      <c r="Y1969" s="247"/>
      <c r="Z1969" s="247"/>
      <c r="AA1969" s="247"/>
      <c r="AB1969" s="247"/>
      <c r="AC1969" s="247"/>
    </row>
    <row r="1970">
      <c r="A1970" s="247"/>
      <c r="B1970" s="373"/>
      <c r="C1970" s="373"/>
      <c r="D1970" s="373"/>
      <c r="E1970" s="247"/>
      <c r="F1970" s="247"/>
      <c r="G1970" s="247"/>
      <c r="H1970" s="247"/>
      <c r="I1970" s="247"/>
      <c r="J1970" s="247"/>
      <c r="K1970" s="247"/>
      <c r="L1970" s="247"/>
      <c r="M1970" s="247"/>
      <c r="N1970" s="247"/>
      <c r="O1970" s="247"/>
      <c r="P1970" s="247"/>
      <c r="Q1970" s="247"/>
      <c r="R1970" s="247"/>
      <c r="S1970" s="247"/>
      <c r="T1970" s="247"/>
      <c r="U1970" s="247"/>
      <c r="V1970" s="247"/>
      <c r="W1970" s="247"/>
      <c r="X1970" s="247"/>
      <c r="Y1970" s="247"/>
      <c r="Z1970" s="247"/>
      <c r="AA1970" s="247"/>
      <c r="AB1970" s="247"/>
      <c r="AC1970" s="247"/>
    </row>
    <row r="1971">
      <c r="A1971" s="247"/>
      <c r="B1971" s="373"/>
      <c r="C1971" s="373"/>
      <c r="D1971" s="373"/>
      <c r="E1971" s="247"/>
      <c r="F1971" s="247"/>
      <c r="G1971" s="247"/>
      <c r="H1971" s="247"/>
      <c r="I1971" s="247"/>
      <c r="J1971" s="247"/>
      <c r="K1971" s="247"/>
      <c r="L1971" s="247"/>
      <c r="M1971" s="247"/>
      <c r="N1971" s="247"/>
      <c r="O1971" s="247"/>
      <c r="P1971" s="247"/>
      <c r="Q1971" s="247"/>
      <c r="R1971" s="247"/>
      <c r="S1971" s="247"/>
      <c r="T1971" s="247"/>
      <c r="U1971" s="247"/>
      <c r="V1971" s="247"/>
      <c r="W1971" s="247"/>
      <c r="X1971" s="247"/>
      <c r="Y1971" s="247"/>
      <c r="Z1971" s="247"/>
      <c r="AA1971" s="247"/>
      <c r="AB1971" s="247"/>
      <c r="AC1971" s="247"/>
    </row>
    <row r="1972">
      <c r="A1972" s="247"/>
      <c r="B1972" s="373"/>
      <c r="C1972" s="373"/>
      <c r="D1972" s="373"/>
      <c r="E1972" s="247"/>
      <c r="F1972" s="247"/>
      <c r="G1972" s="247"/>
      <c r="H1972" s="247"/>
      <c r="I1972" s="247"/>
      <c r="J1972" s="247"/>
      <c r="K1972" s="247"/>
      <c r="L1972" s="247"/>
      <c r="M1972" s="247"/>
      <c r="N1972" s="247"/>
      <c r="O1972" s="247"/>
      <c r="P1972" s="247"/>
      <c r="Q1972" s="247"/>
      <c r="R1972" s="247"/>
      <c r="S1972" s="247"/>
      <c r="T1972" s="247"/>
      <c r="U1972" s="247"/>
      <c r="V1972" s="247"/>
      <c r="W1972" s="247"/>
      <c r="X1972" s="247"/>
      <c r="Y1972" s="247"/>
      <c r="Z1972" s="247"/>
      <c r="AA1972" s="247"/>
      <c r="AB1972" s="247"/>
      <c r="AC1972" s="247"/>
    </row>
    <row r="1973">
      <c r="A1973" s="247"/>
      <c r="B1973" s="373"/>
      <c r="C1973" s="373"/>
      <c r="D1973" s="373"/>
      <c r="E1973" s="247"/>
      <c r="F1973" s="247"/>
      <c r="G1973" s="247"/>
      <c r="H1973" s="247"/>
      <c r="I1973" s="247"/>
      <c r="J1973" s="247"/>
      <c r="K1973" s="247"/>
      <c r="L1973" s="247"/>
      <c r="M1973" s="247"/>
      <c r="N1973" s="247"/>
      <c r="O1973" s="247"/>
      <c r="P1973" s="247"/>
      <c r="Q1973" s="247"/>
      <c r="R1973" s="247"/>
      <c r="S1973" s="247"/>
      <c r="T1973" s="247"/>
      <c r="U1973" s="247"/>
      <c r="V1973" s="247"/>
      <c r="W1973" s="247"/>
      <c r="X1973" s="247"/>
      <c r="Y1973" s="247"/>
      <c r="Z1973" s="247"/>
      <c r="AA1973" s="247"/>
      <c r="AB1973" s="247"/>
      <c r="AC1973" s="247"/>
    </row>
    <row r="1974">
      <c r="A1974" s="247"/>
      <c r="B1974" s="373"/>
      <c r="C1974" s="373"/>
      <c r="D1974" s="373"/>
      <c r="E1974" s="247"/>
      <c r="F1974" s="247"/>
      <c r="G1974" s="247"/>
      <c r="H1974" s="247"/>
      <c r="I1974" s="247"/>
      <c r="J1974" s="247"/>
      <c r="K1974" s="247"/>
      <c r="L1974" s="247"/>
      <c r="M1974" s="247"/>
      <c r="N1974" s="247"/>
      <c r="O1974" s="247"/>
      <c r="P1974" s="247"/>
      <c r="Q1974" s="247"/>
      <c r="R1974" s="247"/>
      <c r="S1974" s="247"/>
      <c r="T1974" s="247"/>
      <c r="U1974" s="247"/>
      <c r="V1974" s="247"/>
      <c r="W1974" s="247"/>
      <c r="X1974" s="247"/>
      <c r="Y1974" s="247"/>
      <c r="Z1974" s="247"/>
      <c r="AA1974" s="247"/>
      <c r="AB1974" s="247"/>
      <c r="AC1974" s="247"/>
    </row>
    <row r="1975">
      <c r="A1975" s="247"/>
      <c r="B1975" s="373"/>
      <c r="C1975" s="373"/>
      <c r="D1975" s="373"/>
      <c r="E1975" s="247"/>
      <c r="F1975" s="247"/>
      <c r="G1975" s="247"/>
      <c r="H1975" s="247"/>
      <c r="I1975" s="247"/>
      <c r="J1975" s="247"/>
      <c r="K1975" s="247"/>
      <c r="L1975" s="247"/>
      <c r="M1975" s="247"/>
      <c r="N1975" s="247"/>
      <c r="O1975" s="247"/>
      <c r="P1975" s="247"/>
      <c r="Q1975" s="247"/>
      <c r="R1975" s="247"/>
      <c r="S1975" s="247"/>
      <c r="T1975" s="247"/>
      <c r="U1975" s="247"/>
      <c r="V1975" s="247"/>
      <c r="W1975" s="247"/>
      <c r="X1975" s="247"/>
      <c r="Y1975" s="247"/>
      <c r="Z1975" s="247"/>
      <c r="AA1975" s="247"/>
      <c r="AB1975" s="247"/>
      <c r="AC1975" s="247"/>
    </row>
    <row r="1976">
      <c r="A1976" s="247"/>
      <c r="B1976" s="373"/>
      <c r="C1976" s="373"/>
      <c r="D1976" s="373"/>
      <c r="E1976" s="247"/>
      <c r="F1976" s="247"/>
      <c r="G1976" s="247"/>
      <c r="H1976" s="247"/>
      <c r="I1976" s="247"/>
      <c r="J1976" s="247"/>
      <c r="K1976" s="247"/>
      <c r="L1976" s="247"/>
      <c r="M1976" s="247"/>
      <c r="N1976" s="247"/>
      <c r="O1976" s="247"/>
      <c r="P1976" s="247"/>
      <c r="Q1976" s="247"/>
      <c r="R1976" s="247"/>
      <c r="S1976" s="247"/>
      <c r="T1976" s="247"/>
      <c r="U1976" s="247"/>
      <c r="V1976" s="247"/>
      <c r="W1976" s="247"/>
      <c r="X1976" s="247"/>
      <c r="Y1976" s="247"/>
      <c r="Z1976" s="247"/>
      <c r="AA1976" s="247"/>
      <c r="AB1976" s="247"/>
      <c r="AC1976" s="247"/>
    </row>
    <row r="1977">
      <c r="A1977" s="247"/>
      <c r="B1977" s="373"/>
      <c r="C1977" s="373"/>
      <c r="D1977" s="373"/>
      <c r="E1977" s="247"/>
      <c r="F1977" s="247"/>
      <c r="G1977" s="247"/>
      <c r="H1977" s="247"/>
      <c r="I1977" s="247"/>
      <c r="J1977" s="247"/>
      <c r="K1977" s="247"/>
      <c r="L1977" s="247"/>
      <c r="M1977" s="247"/>
      <c r="N1977" s="247"/>
      <c r="O1977" s="247"/>
      <c r="P1977" s="247"/>
      <c r="Q1977" s="247"/>
      <c r="R1977" s="247"/>
      <c r="S1977" s="247"/>
      <c r="T1977" s="247"/>
      <c r="U1977" s="247"/>
      <c r="V1977" s="247"/>
      <c r="W1977" s="247"/>
      <c r="X1977" s="247"/>
      <c r="Y1977" s="247"/>
      <c r="Z1977" s="247"/>
      <c r="AA1977" s="247"/>
      <c r="AB1977" s="247"/>
      <c r="AC1977" s="247"/>
    </row>
    <row r="1978">
      <c r="A1978" s="247"/>
      <c r="B1978" s="373"/>
      <c r="C1978" s="373"/>
      <c r="D1978" s="373"/>
      <c r="E1978" s="247"/>
      <c r="F1978" s="247"/>
      <c r="G1978" s="247"/>
      <c r="H1978" s="247"/>
      <c r="I1978" s="247"/>
      <c r="J1978" s="247"/>
      <c r="K1978" s="247"/>
      <c r="L1978" s="247"/>
      <c r="M1978" s="247"/>
      <c r="N1978" s="247"/>
      <c r="O1978" s="247"/>
      <c r="P1978" s="247"/>
      <c r="Q1978" s="247"/>
      <c r="R1978" s="247"/>
      <c r="S1978" s="247"/>
      <c r="T1978" s="247"/>
      <c r="U1978" s="247"/>
      <c r="V1978" s="247"/>
      <c r="W1978" s="247"/>
      <c r="X1978" s="247"/>
      <c r="Y1978" s="247"/>
      <c r="Z1978" s="247"/>
      <c r="AA1978" s="247"/>
      <c r="AB1978" s="247"/>
      <c r="AC1978" s="247"/>
    </row>
    <row r="1979">
      <c r="A1979" s="247"/>
      <c r="B1979" s="373"/>
      <c r="C1979" s="373"/>
      <c r="D1979" s="373"/>
      <c r="E1979" s="247"/>
      <c r="F1979" s="247"/>
      <c r="G1979" s="247"/>
      <c r="H1979" s="247"/>
      <c r="I1979" s="247"/>
      <c r="J1979" s="247"/>
      <c r="K1979" s="247"/>
      <c r="L1979" s="247"/>
      <c r="M1979" s="247"/>
      <c r="N1979" s="247"/>
      <c r="O1979" s="247"/>
      <c r="P1979" s="247"/>
      <c r="Q1979" s="247"/>
      <c r="R1979" s="247"/>
      <c r="S1979" s="247"/>
      <c r="T1979" s="247"/>
      <c r="U1979" s="247"/>
      <c r="V1979" s="247"/>
      <c r="W1979" s="247"/>
      <c r="X1979" s="247"/>
      <c r="Y1979" s="247"/>
      <c r="Z1979" s="247"/>
      <c r="AA1979" s="247"/>
      <c r="AB1979" s="247"/>
      <c r="AC1979" s="247"/>
    </row>
    <row r="1980">
      <c r="A1980" s="247"/>
      <c r="B1980" s="373"/>
      <c r="C1980" s="373"/>
      <c r="D1980" s="373"/>
      <c r="E1980" s="247"/>
      <c r="F1980" s="247"/>
      <c r="G1980" s="247"/>
      <c r="H1980" s="247"/>
      <c r="I1980" s="247"/>
      <c r="J1980" s="247"/>
      <c r="K1980" s="247"/>
      <c r="L1980" s="247"/>
      <c r="M1980" s="247"/>
      <c r="N1980" s="247"/>
      <c r="O1980" s="247"/>
      <c r="P1980" s="247"/>
      <c r="Q1980" s="247"/>
      <c r="R1980" s="247"/>
      <c r="S1980" s="247"/>
      <c r="T1980" s="247"/>
      <c r="U1980" s="247"/>
      <c r="V1980" s="247"/>
      <c r="W1980" s="247"/>
      <c r="X1980" s="247"/>
      <c r="Y1980" s="247"/>
      <c r="Z1980" s="247"/>
      <c r="AA1980" s="247"/>
      <c r="AB1980" s="247"/>
      <c r="AC1980" s="247"/>
    </row>
    <row r="1981">
      <c r="A1981" s="247"/>
      <c r="B1981" s="373"/>
      <c r="C1981" s="373"/>
      <c r="D1981" s="373"/>
      <c r="E1981" s="247"/>
      <c r="F1981" s="247"/>
      <c r="G1981" s="247"/>
      <c r="H1981" s="247"/>
      <c r="I1981" s="247"/>
      <c r="J1981" s="247"/>
      <c r="K1981" s="247"/>
      <c r="L1981" s="247"/>
      <c r="M1981" s="247"/>
      <c r="N1981" s="247"/>
      <c r="O1981" s="247"/>
      <c r="P1981" s="247"/>
      <c r="Q1981" s="247"/>
      <c r="R1981" s="247"/>
      <c r="S1981" s="247"/>
      <c r="T1981" s="247"/>
      <c r="U1981" s="247"/>
      <c r="V1981" s="247"/>
      <c r="W1981" s="247"/>
      <c r="X1981" s="247"/>
      <c r="Y1981" s="247"/>
      <c r="Z1981" s="247"/>
      <c r="AA1981" s="247"/>
      <c r="AB1981" s="247"/>
      <c r="AC1981" s="247"/>
    </row>
    <row r="1982">
      <c r="A1982" s="247"/>
      <c r="B1982" s="373"/>
      <c r="C1982" s="373"/>
      <c r="D1982" s="373"/>
      <c r="E1982" s="247"/>
      <c r="F1982" s="247"/>
      <c r="G1982" s="247"/>
      <c r="H1982" s="247"/>
      <c r="I1982" s="247"/>
      <c r="J1982" s="247"/>
      <c r="K1982" s="247"/>
      <c r="L1982" s="247"/>
      <c r="M1982" s="247"/>
      <c r="N1982" s="247"/>
      <c r="O1982" s="247"/>
      <c r="P1982" s="247"/>
      <c r="Q1982" s="247"/>
      <c r="R1982" s="247"/>
      <c r="S1982" s="247"/>
      <c r="T1982" s="247"/>
      <c r="U1982" s="247"/>
      <c r="V1982" s="247"/>
      <c r="W1982" s="247"/>
      <c r="X1982" s="247"/>
      <c r="Y1982" s="247"/>
      <c r="Z1982" s="247"/>
      <c r="AA1982" s="247"/>
      <c r="AB1982" s="247"/>
      <c r="AC1982" s="247"/>
    </row>
    <row r="1983">
      <c r="A1983" s="247"/>
      <c r="B1983" s="373"/>
      <c r="C1983" s="373"/>
      <c r="D1983" s="373"/>
      <c r="E1983" s="247"/>
      <c r="F1983" s="247"/>
      <c r="G1983" s="247"/>
      <c r="H1983" s="247"/>
      <c r="I1983" s="247"/>
      <c r="J1983" s="247"/>
      <c r="K1983" s="247"/>
      <c r="L1983" s="247"/>
      <c r="M1983" s="247"/>
      <c r="N1983" s="247"/>
      <c r="O1983" s="247"/>
      <c r="P1983" s="247"/>
      <c r="Q1983" s="247"/>
      <c r="R1983" s="247"/>
      <c r="S1983" s="247"/>
      <c r="T1983" s="247"/>
      <c r="U1983" s="247"/>
      <c r="V1983" s="247"/>
      <c r="W1983" s="247"/>
      <c r="X1983" s="247"/>
      <c r="Y1983" s="247"/>
      <c r="Z1983" s="247"/>
      <c r="AA1983" s="247"/>
      <c r="AB1983" s="247"/>
      <c r="AC1983" s="247"/>
    </row>
    <row r="1984">
      <c r="A1984" s="247"/>
      <c r="B1984" s="373"/>
      <c r="C1984" s="373"/>
      <c r="D1984" s="373"/>
      <c r="E1984" s="247"/>
      <c r="F1984" s="247"/>
      <c r="G1984" s="247"/>
      <c r="H1984" s="247"/>
      <c r="I1984" s="247"/>
      <c r="J1984" s="247"/>
      <c r="K1984" s="247"/>
      <c r="L1984" s="247"/>
      <c r="M1984" s="247"/>
      <c r="N1984" s="247"/>
      <c r="O1984" s="247"/>
      <c r="P1984" s="247"/>
      <c r="Q1984" s="247"/>
      <c r="R1984" s="247"/>
      <c r="S1984" s="247"/>
      <c r="T1984" s="247"/>
      <c r="U1984" s="247"/>
      <c r="V1984" s="247"/>
      <c r="W1984" s="247"/>
      <c r="X1984" s="247"/>
      <c r="Y1984" s="247"/>
      <c r="Z1984" s="247"/>
      <c r="AA1984" s="247"/>
      <c r="AB1984" s="247"/>
      <c r="AC1984" s="247"/>
    </row>
    <row r="1985">
      <c r="A1985" s="247"/>
      <c r="B1985" s="373"/>
      <c r="C1985" s="373"/>
      <c r="D1985" s="373"/>
      <c r="E1985" s="247"/>
      <c r="F1985" s="247"/>
      <c r="G1985" s="247"/>
      <c r="H1985" s="247"/>
      <c r="I1985" s="247"/>
      <c r="J1985" s="247"/>
      <c r="K1985" s="247"/>
      <c r="L1985" s="247"/>
      <c r="M1985" s="247"/>
      <c r="N1985" s="247"/>
      <c r="O1985" s="247"/>
      <c r="P1985" s="247"/>
      <c r="Q1985" s="247"/>
      <c r="R1985" s="247"/>
      <c r="S1985" s="247"/>
      <c r="T1985" s="247"/>
      <c r="U1985" s="247"/>
      <c r="V1985" s="247"/>
      <c r="W1985" s="247"/>
      <c r="X1985" s="247"/>
      <c r="Y1985" s="247"/>
      <c r="Z1985" s="247"/>
      <c r="AA1985" s="247"/>
      <c r="AB1985" s="247"/>
      <c r="AC1985" s="247"/>
    </row>
    <row r="1986">
      <c r="A1986" s="247"/>
      <c r="B1986" s="373"/>
      <c r="C1986" s="373"/>
      <c r="D1986" s="373"/>
      <c r="E1986" s="247"/>
      <c r="F1986" s="247"/>
      <c r="G1986" s="247"/>
      <c r="H1986" s="247"/>
      <c r="I1986" s="247"/>
      <c r="J1986" s="247"/>
      <c r="K1986" s="247"/>
      <c r="L1986" s="247"/>
      <c r="M1986" s="247"/>
      <c r="N1986" s="247"/>
      <c r="O1986" s="247"/>
      <c r="P1986" s="247"/>
      <c r="Q1986" s="247"/>
      <c r="R1986" s="247"/>
      <c r="S1986" s="247"/>
      <c r="T1986" s="247"/>
      <c r="U1986" s="247"/>
      <c r="V1986" s="247"/>
      <c r="W1986" s="247"/>
      <c r="X1986" s="247"/>
      <c r="Y1986" s="247"/>
      <c r="Z1986" s="247"/>
      <c r="AA1986" s="247"/>
      <c r="AB1986" s="247"/>
      <c r="AC1986" s="247"/>
    </row>
    <row r="1987">
      <c r="A1987" s="247"/>
      <c r="B1987" s="373"/>
      <c r="C1987" s="373"/>
      <c r="D1987" s="373"/>
      <c r="E1987" s="247"/>
      <c r="F1987" s="247"/>
      <c r="G1987" s="247"/>
      <c r="H1987" s="247"/>
      <c r="I1987" s="247"/>
      <c r="J1987" s="247"/>
      <c r="K1987" s="247"/>
      <c r="L1987" s="247"/>
      <c r="M1987" s="247"/>
      <c r="N1987" s="247"/>
      <c r="O1987" s="247"/>
      <c r="P1987" s="247"/>
      <c r="Q1987" s="247"/>
      <c r="R1987" s="247"/>
      <c r="S1987" s="247"/>
      <c r="T1987" s="247"/>
      <c r="U1987" s="247"/>
      <c r="V1987" s="247"/>
      <c r="W1987" s="247"/>
      <c r="X1987" s="247"/>
      <c r="Y1987" s="247"/>
      <c r="Z1987" s="247"/>
      <c r="AA1987" s="247"/>
      <c r="AB1987" s="247"/>
      <c r="AC1987" s="247"/>
    </row>
    <row r="1988">
      <c r="A1988" s="247"/>
      <c r="B1988" s="373"/>
      <c r="C1988" s="373"/>
      <c r="D1988" s="373"/>
      <c r="E1988" s="247"/>
      <c r="F1988" s="247"/>
      <c r="G1988" s="247"/>
      <c r="H1988" s="247"/>
      <c r="I1988" s="247"/>
      <c r="J1988" s="247"/>
      <c r="K1988" s="247"/>
      <c r="L1988" s="247"/>
      <c r="M1988" s="247"/>
      <c r="N1988" s="247"/>
      <c r="O1988" s="247"/>
      <c r="P1988" s="247"/>
      <c r="Q1988" s="247"/>
      <c r="R1988" s="247"/>
      <c r="S1988" s="247"/>
      <c r="T1988" s="247"/>
      <c r="U1988" s="247"/>
      <c r="V1988" s="247"/>
      <c r="W1988" s="247"/>
      <c r="X1988" s="247"/>
      <c r="Y1988" s="247"/>
      <c r="Z1988" s="247"/>
      <c r="AA1988" s="247"/>
      <c r="AB1988" s="247"/>
      <c r="AC1988" s="247"/>
    </row>
    <row r="1989">
      <c r="A1989" s="247"/>
      <c r="B1989" s="373"/>
      <c r="C1989" s="373"/>
      <c r="D1989" s="373"/>
      <c r="E1989" s="247"/>
      <c r="F1989" s="247"/>
      <c r="G1989" s="247"/>
      <c r="H1989" s="247"/>
      <c r="I1989" s="247"/>
      <c r="J1989" s="247"/>
      <c r="K1989" s="247"/>
      <c r="L1989" s="247"/>
      <c r="M1989" s="247"/>
      <c r="N1989" s="247"/>
      <c r="O1989" s="247"/>
      <c r="P1989" s="247"/>
      <c r="Q1989" s="247"/>
      <c r="R1989" s="247"/>
      <c r="S1989" s="247"/>
      <c r="T1989" s="247"/>
      <c r="U1989" s="247"/>
      <c r="V1989" s="247"/>
      <c r="W1989" s="247"/>
      <c r="X1989" s="247"/>
      <c r="Y1989" s="247"/>
      <c r="Z1989" s="247"/>
      <c r="AA1989" s="247"/>
      <c r="AB1989" s="247"/>
      <c r="AC1989" s="247"/>
    </row>
    <row r="1990">
      <c r="A1990" s="247"/>
      <c r="B1990" s="373"/>
      <c r="C1990" s="373"/>
      <c r="D1990" s="373"/>
      <c r="E1990" s="247"/>
      <c r="F1990" s="247"/>
      <c r="G1990" s="247"/>
      <c r="H1990" s="247"/>
      <c r="I1990" s="247"/>
      <c r="J1990" s="247"/>
      <c r="K1990" s="247"/>
      <c r="L1990" s="247"/>
      <c r="M1990" s="247"/>
      <c r="N1990" s="247"/>
      <c r="O1990" s="247"/>
      <c r="P1990" s="247"/>
      <c r="Q1990" s="247"/>
      <c r="R1990" s="247"/>
      <c r="S1990" s="247"/>
      <c r="T1990" s="247"/>
      <c r="U1990" s="247"/>
      <c r="V1990" s="247"/>
      <c r="W1990" s="247"/>
      <c r="X1990" s="247"/>
      <c r="Y1990" s="247"/>
      <c r="Z1990" s="247"/>
      <c r="AA1990" s="247"/>
      <c r="AB1990" s="247"/>
      <c r="AC1990" s="247"/>
    </row>
    <row r="1991">
      <c r="A1991" s="247"/>
      <c r="B1991" s="373"/>
      <c r="C1991" s="373"/>
      <c r="D1991" s="373"/>
      <c r="E1991" s="247"/>
      <c r="F1991" s="247"/>
      <c r="G1991" s="247"/>
      <c r="H1991" s="247"/>
      <c r="I1991" s="247"/>
      <c r="J1991" s="247"/>
      <c r="K1991" s="247"/>
      <c r="L1991" s="247"/>
      <c r="M1991" s="247"/>
      <c r="N1991" s="247"/>
      <c r="O1991" s="247"/>
      <c r="P1991" s="247"/>
      <c r="Q1991" s="247"/>
      <c r="R1991" s="247"/>
      <c r="S1991" s="247"/>
      <c r="T1991" s="247"/>
      <c r="U1991" s="247"/>
      <c r="V1991" s="247"/>
      <c r="W1991" s="247"/>
      <c r="X1991" s="247"/>
      <c r="Y1991" s="247"/>
      <c r="Z1991" s="247"/>
      <c r="AA1991" s="247"/>
      <c r="AB1991" s="247"/>
      <c r="AC1991" s="247"/>
    </row>
    <row r="1992">
      <c r="A1992" s="247"/>
      <c r="B1992" s="373"/>
      <c r="C1992" s="373"/>
      <c r="D1992" s="373"/>
      <c r="E1992" s="247"/>
      <c r="F1992" s="247"/>
      <c r="G1992" s="247"/>
      <c r="H1992" s="247"/>
      <c r="I1992" s="247"/>
      <c r="J1992" s="247"/>
      <c r="K1992" s="247"/>
      <c r="L1992" s="247"/>
      <c r="M1992" s="247"/>
      <c r="N1992" s="247"/>
      <c r="O1992" s="247"/>
      <c r="P1992" s="247"/>
      <c r="Q1992" s="247"/>
      <c r="R1992" s="247"/>
      <c r="S1992" s="247"/>
      <c r="T1992" s="247"/>
      <c r="U1992" s="247"/>
      <c r="V1992" s="247"/>
      <c r="W1992" s="247"/>
      <c r="X1992" s="247"/>
      <c r="Y1992" s="247"/>
      <c r="Z1992" s="247"/>
      <c r="AA1992" s="247"/>
      <c r="AB1992" s="247"/>
      <c r="AC1992" s="247"/>
    </row>
    <row r="1993">
      <c r="A1993" s="247"/>
      <c r="B1993" s="373"/>
      <c r="C1993" s="373"/>
      <c r="D1993" s="373"/>
      <c r="E1993" s="247"/>
      <c r="F1993" s="247"/>
      <c r="G1993" s="247"/>
      <c r="H1993" s="247"/>
      <c r="I1993" s="247"/>
      <c r="J1993" s="247"/>
      <c r="K1993" s="247"/>
      <c r="L1993" s="247"/>
      <c r="M1993" s="247"/>
      <c r="N1993" s="247"/>
      <c r="O1993" s="247"/>
      <c r="P1993" s="247"/>
      <c r="Q1993" s="247"/>
      <c r="R1993" s="247"/>
      <c r="S1993" s="247"/>
      <c r="T1993" s="247"/>
      <c r="U1993" s="247"/>
      <c r="V1993" s="247"/>
      <c r="W1993" s="247"/>
      <c r="X1993" s="247"/>
      <c r="Y1993" s="247"/>
      <c r="Z1993" s="247"/>
      <c r="AA1993" s="247"/>
      <c r="AB1993" s="247"/>
      <c r="AC1993" s="247"/>
    </row>
    <row r="1994">
      <c r="A1994" s="247"/>
      <c r="B1994" s="373"/>
      <c r="C1994" s="373"/>
      <c r="D1994" s="373"/>
      <c r="E1994" s="247"/>
      <c r="F1994" s="247"/>
      <c r="G1994" s="247"/>
      <c r="H1994" s="247"/>
      <c r="I1994" s="247"/>
      <c r="J1994" s="247"/>
      <c r="K1994" s="247"/>
      <c r="L1994" s="247"/>
      <c r="M1994" s="247"/>
      <c r="N1994" s="247"/>
      <c r="O1994" s="247"/>
      <c r="P1994" s="247"/>
      <c r="Q1994" s="247"/>
      <c r="R1994" s="247"/>
      <c r="S1994" s="247"/>
      <c r="T1994" s="247"/>
      <c r="U1994" s="247"/>
      <c r="V1994" s="247"/>
      <c r="W1994" s="247"/>
      <c r="X1994" s="247"/>
      <c r="Y1994" s="247"/>
      <c r="Z1994" s="247"/>
      <c r="AA1994" s="247"/>
      <c r="AB1994" s="247"/>
      <c r="AC1994" s="247"/>
    </row>
    <row r="1995">
      <c r="A1995" s="247"/>
      <c r="B1995" s="373"/>
      <c r="C1995" s="373"/>
      <c r="D1995" s="373"/>
      <c r="E1995" s="247"/>
      <c r="F1995" s="247"/>
      <c r="G1995" s="247"/>
      <c r="H1995" s="247"/>
      <c r="I1995" s="247"/>
      <c r="J1995" s="247"/>
      <c r="K1995" s="247"/>
      <c r="L1995" s="247"/>
      <c r="M1995" s="247"/>
      <c r="N1995" s="247"/>
      <c r="O1995" s="247"/>
      <c r="P1995" s="247"/>
      <c r="Q1995" s="247"/>
      <c r="R1995" s="247"/>
      <c r="S1995" s="247"/>
      <c r="T1995" s="247"/>
      <c r="U1995" s="247"/>
      <c r="V1995" s="247"/>
      <c r="W1995" s="247"/>
      <c r="X1995" s="247"/>
      <c r="Y1995" s="247"/>
      <c r="Z1995" s="247"/>
      <c r="AA1995" s="247"/>
      <c r="AB1995" s="247"/>
      <c r="AC1995" s="247"/>
    </row>
    <row r="1996">
      <c r="A1996" s="247"/>
      <c r="B1996" s="373"/>
      <c r="C1996" s="373"/>
      <c r="D1996" s="373"/>
      <c r="E1996" s="247"/>
      <c r="F1996" s="247"/>
      <c r="G1996" s="247"/>
      <c r="H1996" s="247"/>
      <c r="I1996" s="247"/>
      <c r="J1996" s="247"/>
      <c r="K1996" s="247"/>
      <c r="L1996" s="247"/>
      <c r="M1996" s="247"/>
      <c r="N1996" s="247"/>
      <c r="O1996" s="247"/>
      <c r="P1996" s="247"/>
      <c r="Q1996" s="247"/>
      <c r="R1996" s="247"/>
      <c r="S1996" s="247"/>
      <c r="T1996" s="247"/>
      <c r="U1996" s="247"/>
      <c r="V1996" s="247"/>
      <c r="W1996" s="247"/>
      <c r="X1996" s="247"/>
      <c r="Y1996" s="247"/>
      <c r="Z1996" s="247"/>
      <c r="AA1996" s="247"/>
      <c r="AB1996" s="247"/>
      <c r="AC1996" s="247"/>
    </row>
    <row r="1997">
      <c r="A1997" s="247"/>
      <c r="B1997" s="373"/>
      <c r="C1997" s="373"/>
      <c r="D1997" s="373"/>
      <c r="E1997" s="247"/>
      <c r="F1997" s="247"/>
      <c r="G1997" s="247"/>
      <c r="H1997" s="247"/>
      <c r="I1997" s="247"/>
      <c r="J1997" s="247"/>
      <c r="K1997" s="247"/>
      <c r="L1997" s="247"/>
      <c r="M1997" s="247"/>
      <c r="N1997" s="247"/>
      <c r="O1997" s="247"/>
      <c r="P1997" s="247"/>
      <c r="Q1997" s="247"/>
      <c r="R1997" s="247"/>
      <c r="S1997" s="247"/>
      <c r="T1997" s="247"/>
      <c r="U1997" s="247"/>
      <c r="V1997" s="247"/>
      <c r="W1997" s="247"/>
      <c r="X1997" s="247"/>
      <c r="Y1997" s="247"/>
      <c r="Z1997" s="247"/>
      <c r="AA1997" s="247"/>
      <c r="AB1997" s="247"/>
      <c r="AC1997" s="247"/>
    </row>
    <row r="1998">
      <c r="A1998" s="247"/>
      <c r="B1998" s="373"/>
      <c r="C1998" s="373"/>
      <c r="D1998" s="373"/>
      <c r="E1998" s="247"/>
      <c r="F1998" s="247"/>
      <c r="G1998" s="247"/>
      <c r="H1998" s="247"/>
      <c r="I1998" s="247"/>
      <c r="J1998" s="247"/>
      <c r="K1998" s="247"/>
      <c r="L1998" s="247"/>
      <c r="M1998" s="247"/>
      <c r="N1998" s="247"/>
      <c r="O1998" s="247"/>
      <c r="P1998" s="247"/>
      <c r="Q1998" s="247"/>
      <c r="R1998" s="247"/>
      <c r="S1998" s="247"/>
      <c r="T1998" s="247"/>
      <c r="U1998" s="247"/>
      <c r="V1998" s="247"/>
      <c r="W1998" s="247"/>
      <c r="X1998" s="247"/>
      <c r="Y1998" s="247"/>
      <c r="Z1998" s="247"/>
      <c r="AA1998" s="247"/>
      <c r="AB1998" s="247"/>
      <c r="AC1998" s="247"/>
    </row>
    <row r="1999">
      <c r="A1999" s="247"/>
      <c r="B1999" s="373"/>
      <c r="C1999" s="373"/>
      <c r="D1999" s="373"/>
      <c r="E1999" s="247"/>
      <c r="F1999" s="247"/>
      <c r="G1999" s="247"/>
      <c r="H1999" s="247"/>
      <c r="I1999" s="247"/>
      <c r="J1999" s="247"/>
      <c r="K1999" s="247"/>
      <c r="L1999" s="247"/>
      <c r="M1999" s="247"/>
      <c r="N1999" s="247"/>
      <c r="O1999" s="247"/>
      <c r="P1999" s="247"/>
      <c r="Q1999" s="247"/>
      <c r="R1999" s="247"/>
      <c r="S1999" s="247"/>
      <c r="T1999" s="247"/>
      <c r="U1999" s="247"/>
      <c r="V1999" s="247"/>
      <c r="W1999" s="247"/>
      <c r="X1999" s="247"/>
      <c r="Y1999" s="247"/>
      <c r="Z1999" s="247"/>
      <c r="AA1999" s="247"/>
      <c r="AB1999" s="247"/>
      <c r="AC1999" s="247"/>
    </row>
    <row r="2000">
      <c r="A2000" s="247"/>
      <c r="B2000" s="373"/>
      <c r="C2000" s="373"/>
      <c r="D2000" s="373"/>
      <c r="E2000" s="247"/>
      <c r="F2000" s="247"/>
      <c r="G2000" s="247"/>
      <c r="H2000" s="247"/>
      <c r="I2000" s="247"/>
      <c r="J2000" s="247"/>
      <c r="K2000" s="247"/>
      <c r="L2000" s="247"/>
      <c r="M2000" s="247"/>
      <c r="N2000" s="247"/>
      <c r="O2000" s="247"/>
      <c r="P2000" s="247"/>
      <c r="Q2000" s="247"/>
      <c r="R2000" s="247"/>
      <c r="S2000" s="247"/>
      <c r="T2000" s="247"/>
      <c r="U2000" s="247"/>
      <c r="V2000" s="247"/>
      <c r="W2000" s="247"/>
      <c r="X2000" s="247"/>
      <c r="Y2000" s="247"/>
      <c r="Z2000" s="247"/>
      <c r="AA2000" s="247"/>
      <c r="AB2000" s="247"/>
      <c r="AC2000" s="247"/>
    </row>
    <row r="2001">
      <c r="A2001" s="247"/>
      <c r="B2001" s="373"/>
      <c r="C2001" s="373"/>
      <c r="D2001" s="373"/>
      <c r="E2001" s="247"/>
      <c r="F2001" s="247"/>
      <c r="G2001" s="247"/>
      <c r="H2001" s="247"/>
      <c r="I2001" s="247"/>
      <c r="J2001" s="247"/>
      <c r="K2001" s="247"/>
      <c r="L2001" s="247"/>
      <c r="M2001" s="247"/>
      <c r="N2001" s="247"/>
      <c r="O2001" s="247"/>
      <c r="P2001" s="247"/>
      <c r="Q2001" s="247"/>
      <c r="R2001" s="247"/>
      <c r="S2001" s="247"/>
      <c r="T2001" s="247"/>
      <c r="U2001" s="247"/>
      <c r="V2001" s="247"/>
      <c r="W2001" s="247"/>
      <c r="X2001" s="247"/>
      <c r="Y2001" s="247"/>
      <c r="Z2001" s="247"/>
      <c r="AA2001" s="247"/>
      <c r="AB2001" s="247"/>
      <c r="AC2001" s="247"/>
    </row>
    <row r="2002">
      <c r="A2002" s="247"/>
      <c r="B2002" s="373"/>
      <c r="C2002" s="373"/>
      <c r="D2002" s="373"/>
      <c r="E2002" s="247"/>
      <c r="F2002" s="247"/>
      <c r="G2002" s="247"/>
      <c r="H2002" s="247"/>
      <c r="I2002" s="247"/>
      <c r="J2002" s="247"/>
      <c r="K2002" s="247"/>
      <c r="L2002" s="247"/>
      <c r="M2002" s="247"/>
      <c r="N2002" s="247"/>
      <c r="O2002" s="247"/>
      <c r="P2002" s="247"/>
      <c r="Q2002" s="247"/>
      <c r="R2002" s="247"/>
      <c r="S2002" s="247"/>
      <c r="T2002" s="247"/>
      <c r="U2002" s="247"/>
      <c r="V2002" s="247"/>
      <c r="W2002" s="247"/>
      <c r="X2002" s="247"/>
      <c r="Y2002" s="247"/>
      <c r="Z2002" s="247"/>
      <c r="AA2002" s="247"/>
      <c r="AB2002" s="247"/>
      <c r="AC2002" s="247"/>
    </row>
    <row r="2003">
      <c r="A2003" s="247"/>
      <c r="B2003" s="373"/>
      <c r="C2003" s="373"/>
      <c r="D2003" s="373"/>
      <c r="E2003" s="247"/>
      <c r="F2003" s="247"/>
      <c r="G2003" s="247"/>
      <c r="H2003" s="247"/>
      <c r="I2003" s="247"/>
      <c r="J2003" s="247"/>
      <c r="K2003" s="247"/>
      <c r="L2003" s="247"/>
      <c r="M2003" s="247"/>
      <c r="N2003" s="247"/>
      <c r="O2003" s="247"/>
      <c r="P2003" s="247"/>
      <c r="Q2003" s="247"/>
      <c r="R2003" s="247"/>
      <c r="S2003" s="247"/>
      <c r="T2003" s="247"/>
      <c r="U2003" s="247"/>
      <c r="V2003" s="247"/>
      <c r="W2003" s="247"/>
      <c r="X2003" s="247"/>
      <c r="Y2003" s="247"/>
      <c r="Z2003" s="247"/>
      <c r="AA2003" s="247"/>
      <c r="AB2003" s="247"/>
      <c r="AC2003" s="247"/>
    </row>
    <row r="2004">
      <c r="A2004" s="247"/>
      <c r="B2004" s="373"/>
      <c r="C2004" s="373"/>
      <c r="D2004" s="373"/>
      <c r="E2004" s="247"/>
      <c r="F2004" s="247"/>
      <c r="G2004" s="247"/>
      <c r="H2004" s="247"/>
      <c r="I2004" s="247"/>
      <c r="J2004" s="247"/>
      <c r="K2004" s="247"/>
      <c r="L2004" s="247"/>
      <c r="M2004" s="247"/>
      <c r="N2004" s="247"/>
      <c r="O2004" s="247"/>
      <c r="P2004" s="247"/>
      <c r="Q2004" s="247"/>
      <c r="R2004" s="247"/>
      <c r="S2004" s="247"/>
      <c r="T2004" s="247"/>
      <c r="U2004" s="247"/>
      <c r="V2004" s="247"/>
      <c r="W2004" s="247"/>
      <c r="X2004" s="247"/>
      <c r="Y2004" s="247"/>
      <c r="Z2004" s="247"/>
      <c r="AA2004" s="247"/>
      <c r="AB2004" s="247"/>
      <c r="AC2004" s="247"/>
    </row>
    <row r="2005">
      <c r="A2005" s="247"/>
      <c r="B2005" s="373"/>
      <c r="C2005" s="373"/>
      <c r="D2005" s="373"/>
      <c r="E2005" s="247"/>
      <c r="F2005" s="247"/>
      <c r="G2005" s="247"/>
      <c r="H2005" s="247"/>
      <c r="I2005" s="247"/>
      <c r="J2005" s="247"/>
      <c r="K2005" s="247"/>
      <c r="L2005" s="247"/>
      <c r="M2005" s="247"/>
      <c r="N2005" s="247"/>
      <c r="O2005" s="247"/>
      <c r="P2005" s="247"/>
      <c r="Q2005" s="247"/>
      <c r="R2005" s="247"/>
      <c r="S2005" s="247"/>
      <c r="T2005" s="247"/>
      <c r="U2005" s="247"/>
      <c r="V2005" s="247"/>
      <c r="W2005" s="247"/>
      <c r="X2005" s="247"/>
      <c r="Y2005" s="247"/>
      <c r="Z2005" s="247"/>
      <c r="AA2005" s="247"/>
      <c r="AB2005" s="247"/>
      <c r="AC2005" s="247"/>
    </row>
    <row r="2006">
      <c r="A2006" s="247"/>
      <c r="B2006" s="373"/>
      <c r="C2006" s="373"/>
      <c r="D2006" s="373"/>
      <c r="E2006" s="247"/>
      <c r="F2006" s="247"/>
      <c r="G2006" s="247"/>
      <c r="H2006" s="247"/>
      <c r="I2006" s="247"/>
      <c r="J2006" s="247"/>
      <c r="K2006" s="247"/>
      <c r="L2006" s="247"/>
      <c r="M2006" s="247"/>
      <c r="N2006" s="247"/>
      <c r="O2006" s="247"/>
      <c r="P2006" s="247"/>
      <c r="Q2006" s="247"/>
      <c r="R2006" s="247"/>
      <c r="S2006" s="247"/>
      <c r="T2006" s="247"/>
      <c r="U2006" s="247"/>
      <c r="V2006" s="247"/>
      <c r="W2006" s="247"/>
      <c r="X2006" s="247"/>
      <c r="Y2006" s="247"/>
      <c r="Z2006" s="247"/>
      <c r="AA2006" s="247"/>
      <c r="AB2006" s="247"/>
      <c r="AC2006" s="247"/>
    </row>
    <row r="2007">
      <c r="A2007" s="247"/>
      <c r="B2007" s="373"/>
      <c r="C2007" s="373"/>
      <c r="D2007" s="373"/>
      <c r="E2007" s="247"/>
      <c r="F2007" s="247"/>
      <c r="G2007" s="247"/>
      <c r="H2007" s="247"/>
      <c r="I2007" s="247"/>
      <c r="J2007" s="247"/>
      <c r="K2007" s="247"/>
      <c r="L2007" s="247"/>
      <c r="M2007" s="247"/>
      <c r="N2007" s="247"/>
      <c r="O2007" s="247"/>
      <c r="P2007" s="247"/>
      <c r="Q2007" s="247"/>
      <c r="R2007" s="247"/>
      <c r="S2007" s="247"/>
      <c r="T2007" s="247"/>
      <c r="U2007" s="247"/>
      <c r="V2007" s="247"/>
      <c r="W2007" s="247"/>
      <c r="X2007" s="247"/>
      <c r="Y2007" s="247"/>
      <c r="Z2007" s="247"/>
      <c r="AA2007" s="247"/>
      <c r="AB2007" s="247"/>
      <c r="AC2007" s="247"/>
    </row>
    <row r="2008">
      <c r="A2008" s="247"/>
      <c r="B2008" s="373"/>
      <c r="C2008" s="373"/>
      <c r="D2008" s="373"/>
      <c r="E2008" s="247"/>
      <c r="F2008" s="247"/>
      <c r="G2008" s="247"/>
      <c r="H2008" s="247"/>
      <c r="I2008" s="247"/>
      <c r="J2008" s="247"/>
      <c r="K2008" s="247"/>
      <c r="L2008" s="247"/>
      <c r="M2008" s="247"/>
      <c r="N2008" s="247"/>
      <c r="O2008" s="247"/>
      <c r="P2008" s="247"/>
      <c r="Q2008" s="247"/>
      <c r="R2008" s="247"/>
      <c r="S2008" s="247"/>
      <c r="T2008" s="247"/>
      <c r="U2008" s="247"/>
      <c r="V2008" s="247"/>
      <c r="W2008" s="247"/>
      <c r="X2008" s="247"/>
      <c r="Y2008" s="247"/>
      <c r="Z2008" s="247"/>
      <c r="AA2008" s="247"/>
      <c r="AB2008" s="247"/>
      <c r="AC2008" s="247"/>
    </row>
    <row r="2009">
      <c r="A2009" s="247"/>
      <c r="B2009" s="373"/>
      <c r="C2009" s="373"/>
      <c r="D2009" s="373"/>
      <c r="E2009" s="247"/>
      <c r="F2009" s="247"/>
      <c r="G2009" s="247"/>
      <c r="H2009" s="247"/>
      <c r="I2009" s="247"/>
      <c r="J2009" s="247"/>
      <c r="K2009" s="247"/>
      <c r="L2009" s="247"/>
      <c r="M2009" s="247"/>
      <c r="N2009" s="247"/>
      <c r="O2009" s="247"/>
      <c r="P2009" s="247"/>
      <c r="Q2009" s="247"/>
      <c r="R2009" s="247"/>
      <c r="S2009" s="247"/>
      <c r="T2009" s="247"/>
      <c r="U2009" s="247"/>
      <c r="V2009" s="247"/>
      <c r="W2009" s="247"/>
      <c r="X2009" s="247"/>
      <c r="Y2009" s="247"/>
      <c r="Z2009" s="247"/>
      <c r="AA2009" s="247"/>
      <c r="AB2009" s="247"/>
      <c r="AC2009" s="247"/>
    </row>
    <row r="2010">
      <c r="A2010" s="247"/>
      <c r="B2010" s="373"/>
      <c r="C2010" s="373"/>
      <c r="D2010" s="373"/>
      <c r="E2010" s="247"/>
      <c r="F2010" s="247"/>
      <c r="G2010" s="247"/>
      <c r="H2010" s="247"/>
      <c r="I2010" s="247"/>
      <c r="J2010" s="247"/>
      <c r="K2010" s="247"/>
      <c r="L2010" s="247"/>
      <c r="M2010" s="247"/>
      <c r="N2010" s="247"/>
      <c r="O2010" s="247"/>
      <c r="P2010" s="247"/>
      <c r="Q2010" s="247"/>
      <c r="R2010" s="247"/>
      <c r="S2010" s="247"/>
      <c r="T2010" s="247"/>
      <c r="U2010" s="247"/>
      <c r="V2010" s="247"/>
      <c r="W2010" s="247"/>
      <c r="X2010" s="247"/>
      <c r="Y2010" s="247"/>
      <c r="Z2010" s="247"/>
      <c r="AA2010" s="247"/>
      <c r="AB2010" s="247"/>
      <c r="AC2010" s="247"/>
    </row>
    <row r="2011">
      <c r="A2011" s="247"/>
      <c r="B2011" s="373"/>
      <c r="C2011" s="373"/>
      <c r="D2011" s="373"/>
      <c r="E2011" s="247"/>
      <c r="F2011" s="247"/>
      <c r="G2011" s="247"/>
      <c r="H2011" s="247"/>
      <c r="I2011" s="247"/>
      <c r="J2011" s="247"/>
      <c r="K2011" s="247"/>
      <c r="L2011" s="247"/>
      <c r="M2011" s="247"/>
      <c r="N2011" s="247"/>
      <c r="O2011" s="247"/>
      <c r="P2011" s="247"/>
      <c r="Q2011" s="247"/>
      <c r="R2011" s="247"/>
      <c r="S2011" s="247"/>
      <c r="T2011" s="247"/>
      <c r="U2011" s="247"/>
      <c r="V2011" s="247"/>
      <c r="W2011" s="247"/>
      <c r="X2011" s="247"/>
      <c r="Y2011" s="247"/>
      <c r="Z2011" s="247"/>
      <c r="AA2011" s="247"/>
      <c r="AB2011" s="247"/>
      <c r="AC2011" s="247"/>
    </row>
    <row r="2012">
      <c r="A2012" s="247"/>
      <c r="B2012" s="373"/>
      <c r="C2012" s="373"/>
      <c r="D2012" s="373"/>
      <c r="E2012" s="247"/>
      <c r="F2012" s="247"/>
      <c r="G2012" s="247"/>
      <c r="H2012" s="247"/>
      <c r="I2012" s="247"/>
      <c r="J2012" s="247"/>
      <c r="K2012" s="247"/>
      <c r="L2012" s="247"/>
      <c r="M2012" s="247"/>
      <c r="N2012" s="247"/>
      <c r="O2012" s="247"/>
      <c r="P2012" s="247"/>
      <c r="Q2012" s="247"/>
      <c r="R2012" s="247"/>
      <c r="S2012" s="247"/>
      <c r="T2012" s="247"/>
      <c r="U2012" s="247"/>
      <c r="V2012" s="247"/>
      <c r="W2012" s="247"/>
      <c r="X2012" s="247"/>
      <c r="Y2012" s="247"/>
      <c r="Z2012" s="247"/>
      <c r="AA2012" s="247"/>
      <c r="AB2012" s="247"/>
      <c r="AC2012" s="247"/>
    </row>
    <row r="2013">
      <c r="A2013" s="247"/>
      <c r="B2013" s="373"/>
      <c r="C2013" s="373"/>
      <c r="D2013" s="373"/>
      <c r="E2013" s="247"/>
      <c r="F2013" s="247"/>
      <c r="G2013" s="247"/>
      <c r="H2013" s="247"/>
      <c r="I2013" s="247"/>
      <c r="J2013" s="247"/>
      <c r="K2013" s="247"/>
      <c r="L2013" s="247"/>
      <c r="M2013" s="247"/>
      <c r="N2013" s="247"/>
      <c r="O2013" s="247"/>
      <c r="P2013" s="247"/>
      <c r="Q2013" s="247"/>
      <c r="R2013" s="247"/>
      <c r="S2013" s="247"/>
      <c r="T2013" s="247"/>
      <c r="U2013" s="247"/>
      <c r="V2013" s="247"/>
      <c r="W2013" s="247"/>
      <c r="X2013" s="247"/>
      <c r="Y2013" s="247"/>
      <c r="Z2013" s="247"/>
      <c r="AA2013" s="247"/>
      <c r="AB2013" s="247"/>
      <c r="AC2013" s="247"/>
    </row>
    <row r="2014">
      <c r="A2014" s="247"/>
      <c r="B2014" s="373"/>
      <c r="C2014" s="373"/>
      <c r="D2014" s="373"/>
      <c r="E2014" s="247"/>
      <c r="F2014" s="247"/>
      <c r="G2014" s="247"/>
      <c r="H2014" s="247"/>
      <c r="I2014" s="247"/>
      <c r="J2014" s="247"/>
      <c r="K2014" s="247"/>
      <c r="L2014" s="247"/>
      <c r="M2014" s="247"/>
      <c r="N2014" s="247"/>
      <c r="O2014" s="247"/>
      <c r="P2014" s="247"/>
      <c r="Q2014" s="247"/>
      <c r="R2014" s="247"/>
      <c r="S2014" s="247"/>
      <c r="T2014" s="247"/>
      <c r="U2014" s="247"/>
      <c r="V2014" s="247"/>
      <c r="W2014" s="247"/>
      <c r="X2014" s="247"/>
      <c r="Y2014" s="247"/>
      <c r="Z2014" s="247"/>
      <c r="AA2014" s="247"/>
      <c r="AB2014" s="247"/>
      <c r="AC2014" s="247"/>
    </row>
    <row r="2015">
      <c r="A2015" s="247"/>
      <c r="B2015" s="373"/>
      <c r="C2015" s="373"/>
      <c r="D2015" s="373"/>
      <c r="E2015" s="247"/>
      <c r="F2015" s="247"/>
      <c r="G2015" s="247"/>
      <c r="H2015" s="247"/>
      <c r="I2015" s="247"/>
      <c r="J2015" s="247"/>
      <c r="K2015" s="247"/>
      <c r="L2015" s="247"/>
      <c r="M2015" s="247"/>
      <c r="N2015" s="247"/>
      <c r="O2015" s="247"/>
      <c r="P2015" s="247"/>
      <c r="Q2015" s="247"/>
      <c r="R2015" s="247"/>
      <c r="S2015" s="247"/>
      <c r="T2015" s="247"/>
      <c r="U2015" s="247"/>
      <c r="V2015" s="247"/>
      <c r="W2015" s="247"/>
      <c r="X2015" s="247"/>
      <c r="Y2015" s="247"/>
      <c r="Z2015" s="247"/>
      <c r="AA2015" s="247"/>
      <c r="AB2015" s="247"/>
      <c r="AC2015" s="247"/>
    </row>
    <row r="2016">
      <c r="A2016" s="247"/>
      <c r="B2016" s="373"/>
      <c r="C2016" s="373"/>
      <c r="D2016" s="373"/>
      <c r="E2016" s="247"/>
      <c r="F2016" s="247"/>
      <c r="G2016" s="247"/>
      <c r="H2016" s="247"/>
      <c r="I2016" s="247"/>
      <c r="J2016" s="247"/>
      <c r="K2016" s="247"/>
      <c r="L2016" s="247"/>
      <c r="M2016" s="247"/>
      <c r="N2016" s="247"/>
      <c r="O2016" s="247"/>
      <c r="P2016" s="247"/>
      <c r="Q2016" s="247"/>
      <c r="R2016" s="247"/>
      <c r="S2016" s="247"/>
      <c r="T2016" s="247"/>
      <c r="U2016" s="247"/>
      <c r="V2016" s="247"/>
      <c r="W2016" s="247"/>
      <c r="X2016" s="247"/>
      <c r="Y2016" s="247"/>
      <c r="Z2016" s="247"/>
      <c r="AA2016" s="247"/>
      <c r="AB2016" s="247"/>
      <c r="AC2016" s="247"/>
    </row>
    <row r="2017">
      <c r="A2017" s="247"/>
      <c r="B2017" s="373"/>
      <c r="C2017" s="373"/>
      <c r="D2017" s="373"/>
      <c r="E2017" s="247"/>
      <c r="F2017" s="247"/>
      <c r="G2017" s="247"/>
      <c r="H2017" s="247"/>
      <c r="I2017" s="247"/>
      <c r="J2017" s="247"/>
      <c r="K2017" s="247"/>
      <c r="L2017" s="247"/>
      <c r="M2017" s="247"/>
      <c r="N2017" s="247"/>
      <c r="O2017" s="247"/>
      <c r="P2017" s="247"/>
      <c r="Q2017" s="247"/>
      <c r="R2017" s="247"/>
      <c r="S2017" s="247"/>
      <c r="T2017" s="247"/>
      <c r="U2017" s="247"/>
      <c r="V2017" s="247"/>
      <c r="W2017" s="247"/>
      <c r="X2017" s="247"/>
      <c r="Y2017" s="247"/>
      <c r="Z2017" s="247"/>
      <c r="AA2017" s="247"/>
      <c r="AB2017" s="247"/>
      <c r="AC2017" s="247"/>
    </row>
    <row r="2018">
      <c r="A2018" s="247"/>
      <c r="B2018" s="373"/>
      <c r="C2018" s="373"/>
      <c r="D2018" s="373"/>
      <c r="E2018" s="247"/>
      <c r="F2018" s="247"/>
      <c r="G2018" s="247"/>
      <c r="H2018" s="247"/>
      <c r="I2018" s="247"/>
      <c r="J2018" s="247"/>
      <c r="K2018" s="247"/>
      <c r="L2018" s="247"/>
      <c r="M2018" s="247"/>
      <c r="N2018" s="247"/>
      <c r="O2018" s="247"/>
      <c r="P2018" s="247"/>
      <c r="Q2018" s="247"/>
      <c r="R2018" s="247"/>
      <c r="S2018" s="247"/>
      <c r="T2018" s="247"/>
      <c r="U2018" s="247"/>
      <c r="V2018" s="247"/>
      <c r="W2018" s="247"/>
      <c r="X2018" s="247"/>
      <c r="Y2018" s="247"/>
      <c r="Z2018" s="247"/>
      <c r="AA2018" s="247"/>
      <c r="AB2018" s="247"/>
      <c r="AC2018" s="247"/>
    </row>
    <row r="2019">
      <c r="A2019" s="247"/>
      <c r="B2019" s="373"/>
      <c r="C2019" s="373"/>
      <c r="D2019" s="373"/>
      <c r="E2019" s="247"/>
      <c r="F2019" s="247"/>
      <c r="G2019" s="247"/>
      <c r="H2019" s="247"/>
      <c r="I2019" s="247"/>
      <c r="J2019" s="247"/>
      <c r="K2019" s="247"/>
      <c r="L2019" s="247"/>
      <c r="M2019" s="247"/>
      <c r="N2019" s="247"/>
      <c r="O2019" s="247"/>
      <c r="P2019" s="247"/>
      <c r="Q2019" s="247"/>
      <c r="R2019" s="247"/>
      <c r="S2019" s="247"/>
      <c r="T2019" s="247"/>
      <c r="U2019" s="247"/>
      <c r="V2019" s="247"/>
      <c r="W2019" s="247"/>
      <c r="X2019" s="247"/>
      <c r="Y2019" s="247"/>
      <c r="Z2019" s="247"/>
      <c r="AA2019" s="247"/>
      <c r="AB2019" s="247"/>
      <c r="AC2019" s="247"/>
    </row>
    <row r="2020">
      <c r="A2020" s="247"/>
      <c r="B2020" s="373"/>
      <c r="C2020" s="373"/>
      <c r="D2020" s="373"/>
      <c r="E2020" s="247"/>
      <c r="F2020" s="247"/>
      <c r="G2020" s="247"/>
      <c r="H2020" s="247"/>
      <c r="I2020" s="247"/>
      <c r="J2020" s="247"/>
      <c r="K2020" s="247"/>
      <c r="L2020" s="247"/>
      <c r="M2020" s="247"/>
      <c r="N2020" s="247"/>
      <c r="O2020" s="247"/>
      <c r="P2020" s="247"/>
      <c r="Q2020" s="247"/>
      <c r="R2020" s="247"/>
      <c r="S2020" s="247"/>
      <c r="T2020" s="247"/>
      <c r="U2020" s="247"/>
      <c r="V2020" s="247"/>
      <c r="W2020" s="247"/>
      <c r="X2020" s="247"/>
      <c r="Y2020" s="247"/>
      <c r="Z2020" s="247"/>
      <c r="AA2020" s="247"/>
      <c r="AB2020" s="247"/>
      <c r="AC2020" s="247"/>
    </row>
    <row r="2021">
      <c r="A2021" s="247"/>
      <c r="B2021" s="373"/>
      <c r="C2021" s="373"/>
      <c r="D2021" s="373"/>
      <c r="E2021" s="247"/>
      <c r="F2021" s="247"/>
      <c r="G2021" s="247"/>
      <c r="H2021" s="247"/>
      <c r="I2021" s="247"/>
      <c r="J2021" s="247"/>
      <c r="K2021" s="247"/>
      <c r="L2021" s="247"/>
      <c r="M2021" s="247"/>
      <c r="N2021" s="247"/>
      <c r="O2021" s="247"/>
      <c r="P2021" s="247"/>
      <c r="Q2021" s="247"/>
      <c r="R2021" s="247"/>
      <c r="S2021" s="247"/>
      <c r="T2021" s="247"/>
      <c r="U2021" s="247"/>
      <c r="V2021" s="247"/>
      <c r="W2021" s="247"/>
      <c r="X2021" s="247"/>
      <c r="Y2021" s="247"/>
      <c r="Z2021" s="247"/>
      <c r="AA2021" s="247"/>
      <c r="AB2021" s="247"/>
      <c r="AC2021" s="247"/>
    </row>
    <row r="2022">
      <c r="A2022" s="247"/>
      <c r="B2022" s="373"/>
      <c r="C2022" s="373"/>
      <c r="D2022" s="373"/>
      <c r="E2022" s="247"/>
      <c r="F2022" s="247"/>
      <c r="G2022" s="247"/>
      <c r="H2022" s="247"/>
      <c r="I2022" s="247"/>
      <c r="J2022" s="247"/>
      <c r="K2022" s="247"/>
      <c r="L2022" s="247"/>
      <c r="M2022" s="247"/>
      <c r="N2022" s="247"/>
      <c r="O2022" s="247"/>
      <c r="P2022" s="247"/>
      <c r="Q2022" s="247"/>
      <c r="R2022" s="247"/>
      <c r="S2022" s="247"/>
      <c r="T2022" s="247"/>
      <c r="U2022" s="247"/>
      <c r="V2022" s="247"/>
      <c r="W2022" s="247"/>
      <c r="X2022" s="247"/>
      <c r="Y2022" s="247"/>
      <c r="Z2022" s="247"/>
      <c r="AA2022" s="247"/>
      <c r="AB2022" s="247"/>
      <c r="AC2022" s="247"/>
    </row>
    <row r="2023">
      <c r="A2023" s="247"/>
      <c r="B2023" s="373"/>
      <c r="C2023" s="373"/>
      <c r="D2023" s="373"/>
      <c r="E2023" s="247"/>
      <c r="F2023" s="247"/>
      <c r="G2023" s="247"/>
      <c r="H2023" s="247"/>
      <c r="I2023" s="247"/>
      <c r="J2023" s="247"/>
      <c r="K2023" s="247"/>
      <c r="L2023" s="247"/>
      <c r="M2023" s="247"/>
      <c r="N2023" s="247"/>
      <c r="O2023" s="247"/>
      <c r="P2023" s="247"/>
      <c r="Q2023" s="247"/>
      <c r="R2023" s="247"/>
      <c r="S2023" s="247"/>
      <c r="T2023" s="247"/>
      <c r="U2023" s="247"/>
      <c r="V2023" s="247"/>
      <c r="W2023" s="247"/>
      <c r="X2023" s="247"/>
      <c r="Y2023" s="247"/>
      <c r="Z2023" s="247"/>
      <c r="AA2023" s="247"/>
      <c r="AB2023" s="247"/>
      <c r="AC2023" s="247"/>
    </row>
    <row r="2024">
      <c r="A2024" s="247"/>
      <c r="B2024" s="373"/>
      <c r="C2024" s="373"/>
      <c r="D2024" s="373"/>
      <c r="E2024" s="247"/>
      <c r="F2024" s="247"/>
      <c r="G2024" s="247"/>
      <c r="H2024" s="247"/>
      <c r="I2024" s="247"/>
      <c r="J2024" s="247"/>
      <c r="K2024" s="247"/>
      <c r="L2024" s="247"/>
      <c r="M2024" s="247"/>
      <c r="N2024" s="247"/>
      <c r="O2024" s="247"/>
      <c r="P2024" s="247"/>
      <c r="Q2024" s="247"/>
      <c r="R2024" s="247"/>
      <c r="S2024" s="247"/>
      <c r="T2024" s="247"/>
      <c r="U2024" s="247"/>
      <c r="V2024" s="247"/>
      <c r="W2024" s="247"/>
      <c r="X2024" s="247"/>
      <c r="Y2024" s="247"/>
      <c r="Z2024" s="247"/>
      <c r="AA2024" s="247"/>
      <c r="AB2024" s="247"/>
      <c r="AC2024" s="247"/>
    </row>
    <row r="2025">
      <c r="A2025" s="247"/>
      <c r="B2025" s="373"/>
      <c r="C2025" s="373"/>
      <c r="D2025" s="373"/>
      <c r="E2025" s="247"/>
      <c r="F2025" s="247"/>
      <c r="G2025" s="247"/>
      <c r="H2025" s="247"/>
      <c r="I2025" s="247"/>
      <c r="J2025" s="247"/>
      <c r="K2025" s="247"/>
      <c r="L2025" s="247"/>
      <c r="M2025" s="247"/>
      <c r="N2025" s="247"/>
      <c r="O2025" s="247"/>
      <c r="P2025" s="247"/>
      <c r="Q2025" s="247"/>
      <c r="R2025" s="247"/>
      <c r="S2025" s="247"/>
      <c r="T2025" s="247"/>
      <c r="U2025" s="247"/>
      <c r="V2025" s="247"/>
      <c r="W2025" s="247"/>
      <c r="X2025" s="247"/>
      <c r="Y2025" s="247"/>
      <c r="Z2025" s="247"/>
      <c r="AA2025" s="247"/>
      <c r="AB2025" s="247"/>
      <c r="AC2025" s="247"/>
    </row>
    <row r="2026">
      <c r="A2026" s="247"/>
      <c r="B2026" s="373"/>
      <c r="C2026" s="373"/>
      <c r="D2026" s="373"/>
      <c r="E2026" s="247"/>
      <c r="F2026" s="247"/>
      <c r="G2026" s="247"/>
      <c r="H2026" s="247"/>
      <c r="I2026" s="247"/>
      <c r="J2026" s="247"/>
      <c r="K2026" s="247"/>
      <c r="L2026" s="247"/>
      <c r="M2026" s="247"/>
      <c r="N2026" s="247"/>
      <c r="O2026" s="247"/>
      <c r="P2026" s="247"/>
      <c r="Q2026" s="247"/>
      <c r="R2026" s="247"/>
      <c r="S2026" s="247"/>
      <c r="T2026" s="247"/>
      <c r="U2026" s="247"/>
      <c r="V2026" s="247"/>
      <c r="W2026" s="247"/>
      <c r="X2026" s="247"/>
      <c r="Y2026" s="247"/>
      <c r="Z2026" s="247"/>
      <c r="AA2026" s="247"/>
      <c r="AB2026" s="247"/>
      <c r="AC2026" s="247"/>
    </row>
    <row r="2027">
      <c r="A2027" s="247"/>
      <c r="B2027" s="373"/>
      <c r="C2027" s="373"/>
      <c r="D2027" s="373"/>
      <c r="E2027" s="247"/>
      <c r="F2027" s="247"/>
      <c r="G2027" s="247"/>
      <c r="H2027" s="247"/>
      <c r="I2027" s="247"/>
      <c r="J2027" s="247"/>
      <c r="K2027" s="247"/>
      <c r="L2027" s="247"/>
      <c r="M2027" s="247"/>
      <c r="N2027" s="247"/>
      <c r="O2027" s="247"/>
      <c r="P2027" s="247"/>
      <c r="Q2027" s="247"/>
      <c r="R2027" s="247"/>
      <c r="S2027" s="247"/>
      <c r="T2027" s="247"/>
      <c r="U2027" s="247"/>
      <c r="V2027" s="247"/>
      <c r="W2027" s="247"/>
      <c r="X2027" s="247"/>
      <c r="Y2027" s="247"/>
      <c r="Z2027" s="247"/>
      <c r="AA2027" s="247"/>
      <c r="AB2027" s="247"/>
      <c r="AC2027" s="247"/>
    </row>
    <row r="2028">
      <c r="A2028" s="247"/>
      <c r="B2028" s="373"/>
      <c r="C2028" s="373"/>
      <c r="D2028" s="373"/>
      <c r="E2028" s="247"/>
      <c r="F2028" s="247"/>
      <c r="G2028" s="247"/>
      <c r="H2028" s="247"/>
      <c r="I2028" s="247"/>
      <c r="J2028" s="247"/>
      <c r="K2028" s="247"/>
      <c r="L2028" s="247"/>
      <c r="M2028" s="247"/>
      <c r="N2028" s="247"/>
      <c r="O2028" s="247"/>
      <c r="P2028" s="247"/>
      <c r="Q2028" s="247"/>
      <c r="R2028" s="247"/>
      <c r="S2028" s="247"/>
      <c r="T2028" s="247"/>
      <c r="U2028" s="247"/>
      <c r="V2028" s="247"/>
      <c r="W2028" s="247"/>
      <c r="X2028" s="247"/>
      <c r="Y2028" s="247"/>
      <c r="Z2028" s="247"/>
      <c r="AA2028" s="247"/>
      <c r="AB2028" s="247"/>
      <c r="AC2028" s="247"/>
    </row>
    <row r="2029">
      <c r="A2029" s="247"/>
      <c r="B2029" s="373"/>
      <c r="C2029" s="373"/>
      <c r="D2029" s="373"/>
      <c r="E2029" s="247"/>
      <c r="F2029" s="247"/>
      <c r="G2029" s="247"/>
      <c r="H2029" s="247"/>
      <c r="I2029" s="247"/>
      <c r="J2029" s="247"/>
      <c r="K2029" s="247"/>
      <c r="L2029" s="247"/>
      <c r="M2029" s="247"/>
      <c r="N2029" s="247"/>
      <c r="O2029" s="247"/>
      <c r="P2029" s="247"/>
      <c r="Q2029" s="247"/>
      <c r="R2029" s="247"/>
      <c r="S2029" s="247"/>
      <c r="T2029" s="247"/>
      <c r="U2029" s="247"/>
      <c r="V2029" s="247"/>
      <c r="W2029" s="247"/>
      <c r="X2029" s="247"/>
      <c r="Y2029" s="247"/>
      <c r="Z2029" s="247"/>
      <c r="AA2029" s="247"/>
      <c r="AB2029" s="247"/>
      <c r="AC2029" s="247"/>
    </row>
    <row r="2030">
      <c r="A2030" s="247"/>
      <c r="B2030" s="373"/>
      <c r="C2030" s="373"/>
      <c r="D2030" s="373"/>
      <c r="E2030" s="247"/>
      <c r="F2030" s="247"/>
      <c r="G2030" s="247"/>
      <c r="H2030" s="247"/>
      <c r="I2030" s="247"/>
      <c r="J2030" s="247"/>
      <c r="K2030" s="247"/>
      <c r="L2030" s="247"/>
      <c r="M2030" s="247"/>
      <c r="N2030" s="247"/>
      <c r="O2030" s="247"/>
      <c r="P2030" s="247"/>
      <c r="Q2030" s="247"/>
      <c r="R2030" s="247"/>
      <c r="S2030" s="247"/>
      <c r="T2030" s="247"/>
      <c r="U2030" s="247"/>
      <c r="V2030" s="247"/>
      <c r="W2030" s="247"/>
      <c r="X2030" s="247"/>
      <c r="Y2030" s="247"/>
      <c r="Z2030" s="247"/>
      <c r="AA2030" s="247"/>
      <c r="AB2030" s="247"/>
      <c r="AC2030" s="247"/>
    </row>
    <row r="2031">
      <c r="A2031" s="247"/>
      <c r="B2031" s="373"/>
      <c r="C2031" s="373"/>
      <c r="D2031" s="373"/>
      <c r="E2031" s="247"/>
      <c r="F2031" s="247"/>
      <c r="G2031" s="247"/>
      <c r="H2031" s="247"/>
      <c r="I2031" s="247"/>
      <c r="J2031" s="247"/>
      <c r="K2031" s="247"/>
      <c r="L2031" s="247"/>
      <c r="M2031" s="247"/>
      <c r="N2031" s="247"/>
      <c r="O2031" s="247"/>
      <c r="P2031" s="247"/>
      <c r="Q2031" s="247"/>
      <c r="R2031" s="247"/>
      <c r="S2031" s="247"/>
      <c r="T2031" s="247"/>
      <c r="U2031" s="247"/>
      <c r="V2031" s="247"/>
      <c r="W2031" s="247"/>
      <c r="X2031" s="247"/>
      <c r="Y2031" s="247"/>
      <c r="Z2031" s="247"/>
      <c r="AA2031" s="247"/>
      <c r="AB2031" s="247"/>
      <c r="AC2031" s="247"/>
    </row>
    <row r="2032">
      <c r="A2032" s="247"/>
      <c r="B2032" s="373"/>
      <c r="C2032" s="373"/>
      <c r="D2032" s="373"/>
      <c r="E2032" s="247"/>
      <c r="F2032" s="247"/>
      <c r="G2032" s="247"/>
      <c r="H2032" s="247"/>
      <c r="I2032" s="247"/>
      <c r="J2032" s="247"/>
      <c r="K2032" s="247"/>
      <c r="L2032" s="247"/>
      <c r="M2032" s="247"/>
      <c r="N2032" s="247"/>
      <c r="O2032" s="247"/>
      <c r="P2032" s="247"/>
      <c r="Q2032" s="247"/>
      <c r="R2032" s="247"/>
      <c r="S2032" s="247"/>
      <c r="T2032" s="247"/>
      <c r="U2032" s="247"/>
      <c r="V2032" s="247"/>
      <c r="W2032" s="247"/>
      <c r="X2032" s="247"/>
      <c r="Y2032" s="247"/>
      <c r="Z2032" s="247"/>
      <c r="AA2032" s="247"/>
      <c r="AB2032" s="247"/>
      <c r="AC2032" s="247"/>
    </row>
    <row r="2033">
      <c r="A2033" s="247"/>
      <c r="B2033" s="373"/>
      <c r="C2033" s="373"/>
      <c r="D2033" s="373"/>
      <c r="E2033" s="247"/>
      <c r="F2033" s="247"/>
      <c r="G2033" s="247"/>
      <c r="H2033" s="247"/>
      <c r="I2033" s="247"/>
      <c r="J2033" s="247"/>
      <c r="K2033" s="247"/>
      <c r="L2033" s="247"/>
      <c r="M2033" s="247"/>
      <c r="N2033" s="247"/>
      <c r="O2033" s="247"/>
      <c r="P2033" s="247"/>
      <c r="Q2033" s="247"/>
      <c r="R2033" s="247"/>
      <c r="S2033" s="247"/>
      <c r="T2033" s="247"/>
      <c r="U2033" s="247"/>
      <c r="V2033" s="247"/>
      <c r="W2033" s="247"/>
      <c r="X2033" s="247"/>
      <c r="Y2033" s="247"/>
      <c r="Z2033" s="247"/>
      <c r="AA2033" s="247"/>
      <c r="AB2033" s="247"/>
      <c r="AC2033" s="247"/>
    </row>
    <row r="2034">
      <c r="A2034" s="247"/>
      <c r="B2034" s="373"/>
      <c r="C2034" s="373"/>
      <c r="D2034" s="373"/>
      <c r="E2034" s="247"/>
      <c r="F2034" s="247"/>
      <c r="G2034" s="247"/>
      <c r="H2034" s="247"/>
      <c r="I2034" s="247"/>
      <c r="J2034" s="247"/>
      <c r="K2034" s="247"/>
      <c r="L2034" s="247"/>
      <c r="M2034" s="247"/>
      <c r="N2034" s="247"/>
      <c r="O2034" s="247"/>
      <c r="P2034" s="247"/>
      <c r="Q2034" s="247"/>
      <c r="R2034" s="247"/>
      <c r="S2034" s="247"/>
      <c r="T2034" s="247"/>
      <c r="U2034" s="247"/>
      <c r="V2034" s="247"/>
      <c r="W2034" s="247"/>
      <c r="X2034" s="247"/>
      <c r="Y2034" s="247"/>
      <c r="Z2034" s="247"/>
      <c r="AA2034" s="247"/>
      <c r="AB2034" s="247"/>
      <c r="AC2034" s="247"/>
    </row>
    <row r="2035">
      <c r="A2035" s="247"/>
      <c r="B2035" s="373"/>
      <c r="C2035" s="373"/>
      <c r="D2035" s="373"/>
      <c r="E2035" s="247"/>
      <c r="F2035" s="247"/>
      <c r="G2035" s="247"/>
      <c r="H2035" s="247"/>
      <c r="I2035" s="247"/>
      <c r="J2035" s="247"/>
      <c r="K2035" s="247"/>
      <c r="L2035" s="247"/>
      <c r="M2035" s="247"/>
      <c r="N2035" s="247"/>
      <c r="O2035" s="247"/>
      <c r="P2035" s="247"/>
      <c r="Q2035" s="247"/>
      <c r="R2035" s="247"/>
      <c r="S2035" s="247"/>
      <c r="T2035" s="247"/>
      <c r="U2035" s="247"/>
      <c r="V2035" s="247"/>
      <c r="W2035" s="247"/>
      <c r="X2035" s="247"/>
      <c r="Y2035" s="247"/>
      <c r="Z2035" s="247"/>
      <c r="AA2035" s="247"/>
      <c r="AB2035" s="247"/>
      <c r="AC2035" s="247"/>
    </row>
    <row r="2036">
      <c r="A2036" s="247"/>
      <c r="B2036" s="373"/>
      <c r="C2036" s="373"/>
      <c r="D2036" s="373"/>
      <c r="E2036" s="247"/>
      <c r="F2036" s="247"/>
      <c r="G2036" s="247"/>
      <c r="H2036" s="247"/>
      <c r="I2036" s="247"/>
      <c r="J2036" s="247"/>
      <c r="K2036" s="247"/>
      <c r="L2036" s="247"/>
      <c r="M2036" s="247"/>
      <c r="N2036" s="247"/>
      <c r="O2036" s="247"/>
      <c r="P2036" s="247"/>
      <c r="Q2036" s="247"/>
      <c r="R2036" s="247"/>
      <c r="S2036" s="247"/>
      <c r="T2036" s="247"/>
      <c r="U2036" s="247"/>
      <c r="V2036" s="247"/>
      <c r="W2036" s="247"/>
      <c r="X2036" s="247"/>
      <c r="Y2036" s="247"/>
      <c r="Z2036" s="247"/>
      <c r="AA2036" s="247"/>
      <c r="AB2036" s="247"/>
      <c r="AC2036" s="247"/>
    </row>
    <row r="2037">
      <c r="A2037" s="247"/>
      <c r="B2037" s="373"/>
      <c r="C2037" s="373"/>
      <c r="D2037" s="373"/>
      <c r="E2037" s="247"/>
      <c r="F2037" s="247"/>
      <c r="G2037" s="247"/>
      <c r="H2037" s="247"/>
      <c r="I2037" s="247"/>
      <c r="J2037" s="247"/>
      <c r="K2037" s="247"/>
      <c r="L2037" s="247"/>
      <c r="M2037" s="247"/>
      <c r="N2037" s="247"/>
      <c r="O2037" s="247"/>
      <c r="P2037" s="247"/>
      <c r="Q2037" s="247"/>
      <c r="R2037" s="247"/>
      <c r="S2037" s="247"/>
      <c r="T2037" s="247"/>
      <c r="U2037" s="247"/>
      <c r="V2037" s="247"/>
      <c r="W2037" s="247"/>
      <c r="X2037" s="247"/>
      <c r="Y2037" s="247"/>
      <c r="Z2037" s="247"/>
      <c r="AA2037" s="247"/>
      <c r="AB2037" s="247"/>
      <c r="AC2037" s="247"/>
    </row>
    <row r="2038">
      <c r="A2038" s="247"/>
      <c r="B2038" s="373"/>
      <c r="C2038" s="373"/>
      <c r="D2038" s="373"/>
      <c r="E2038" s="247"/>
      <c r="F2038" s="247"/>
      <c r="G2038" s="247"/>
      <c r="H2038" s="247"/>
      <c r="I2038" s="247"/>
      <c r="J2038" s="247"/>
      <c r="K2038" s="247"/>
      <c r="L2038" s="247"/>
      <c r="M2038" s="247"/>
      <c r="N2038" s="247"/>
      <c r="O2038" s="247"/>
      <c r="P2038" s="247"/>
      <c r="Q2038" s="247"/>
      <c r="R2038" s="247"/>
      <c r="S2038" s="247"/>
      <c r="T2038" s="247"/>
      <c r="U2038" s="247"/>
      <c r="V2038" s="247"/>
      <c r="W2038" s="247"/>
      <c r="X2038" s="247"/>
      <c r="Y2038" s="247"/>
      <c r="Z2038" s="247"/>
      <c r="AA2038" s="247"/>
      <c r="AB2038" s="247"/>
      <c r="AC2038" s="247"/>
    </row>
    <row r="2039">
      <c r="A2039" s="247"/>
      <c r="B2039" s="373"/>
      <c r="C2039" s="373"/>
      <c r="D2039" s="373"/>
      <c r="E2039" s="247"/>
      <c r="F2039" s="247"/>
      <c r="G2039" s="247"/>
      <c r="H2039" s="247"/>
      <c r="I2039" s="247"/>
      <c r="J2039" s="247"/>
      <c r="K2039" s="247"/>
      <c r="L2039" s="247"/>
      <c r="M2039" s="247"/>
      <c r="N2039" s="247"/>
      <c r="O2039" s="247"/>
      <c r="P2039" s="247"/>
      <c r="Q2039" s="247"/>
      <c r="R2039" s="247"/>
      <c r="S2039" s="247"/>
      <c r="T2039" s="247"/>
      <c r="U2039" s="247"/>
      <c r="V2039" s="247"/>
      <c r="W2039" s="247"/>
      <c r="X2039" s="247"/>
      <c r="Y2039" s="247"/>
      <c r="Z2039" s="247"/>
      <c r="AA2039" s="247"/>
      <c r="AB2039" s="247"/>
      <c r="AC2039" s="247"/>
    </row>
    <row r="2040">
      <c r="A2040" s="247"/>
      <c r="B2040" s="373"/>
      <c r="C2040" s="373"/>
      <c r="D2040" s="373"/>
      <c r="E2040" s="247"/>
      <c r="F2040" s="247"/>
      <c r="G2040" s="247"/>
      <c r="H2040" s="247"/>
      <c r="I2040" s="247"/>
      <c r="J2040" s="247"/>
      <c r="K2040" s="247"/>
      <c r="L2040" s="247"/>
      <c r="M2040" s="247"/>
      <c r="N2040" s="247"/>
      <c r="O2040" s="247"/>
      <c r="P2040" s="247"/>
      <c r="Q2040" s="247"/>
      <c r="R2040" s="247"/>
      <c r="S2040" s="247"/>
      <c r="T2040" s="247"/>
      <c r="U2040" s="247"/>
      <c r="V2040" s="247"/>
      <c r="W2040" s="247"/>
      <c r="X2040" s="247"/>
      <c r="Y2040" s="247"/>
      <c r="Z2040" s="247"/>
      <c r="AA2040" s="247"/>
      <c r="AB2040" s="247"/>
      <c r="AC2040" s="247"/>
    </row>
    <row r="2041">
      <c r="A2041" s="247"/>
      <c r="B2041" s="373"/>
      <c r="C2041" s="373"/>
      <c r="D2041" s="373"/>
      <c r="E2041" s="247"/>
      <c r="F2041" s="247"/>
      <c r="G2041" s="247"/>
      <c r="H2041" s="247"/>
      <c r="I2041" s="247"/>
      <c r="J2041" s="247"/>
      <c r="K2041" s="247"/>
      <c r="L2041" s="247"/>
      <c r="M2041" s="247"/>
      <c r="N2041" s="247"/>
      <c r="O2041" s="247"/>
      <c r="P2041" s="247"/>
      <c r="Q2041" s="247"/>
      <c r="R2041" s="247"/>
      <c r="S2041" s="247"/>
      <c r="T2041" s="247"/>
      <c r="U2041" s="247"/>
      <c r="V2041" s="247"/>
      <c r="W2041" s="247"/>
      <c r="X2041" s="247"/>
      <c r="Y2041" s="247"/>
      <c r="Z2041" s="247"/>
      <c r="AA2041" s="247"/>
      <c r="AB2041" s="247"/>
      <c r="AC2041" s="247"/>
    </row>
    <row r="2042">
      <c r="A2042" s="247"/>
      <c r="B2042" s="373"/>
      <c r="C2042" s="373"/>
      <c r="D2042" s="373"/>
      <c r="E2042" s="247"/>
      <c r="F2042" s="247"/>
      <c r="G2042" s="247"/>
      <c r="H2042" s="247"/>
      <c r="I2042" s="247"/>
      <c r="J2042" s="247"/>
      <c r="K2042" s="247"/>
      <c r="L2042" s="247"/>
      <c r="M2042" s="247"/>
      <c r="N2042" s="247"/>
      <c r="O2042" s="247"/>
      <c r="P2042" s="247"/>
      <c r="Q2042" s="247"/>
      <c r="R2042" s="247"/>
      <c r="S2042" s="247"/>
      <c r="T2042" s="247"/>
      <c r="U2042" s="247"/>
      <c r="V2042" s="247"/>
      <c r="W2042" s="247"/>
      <c r="X2042" s="247"/>
      <c r="Y2042" s="247"/>
      <c r="Z2042" s="247"/>
      <c r="AA2042" s="247"/>
      <c r="AB2042" s="247"/>
      <c r="AC2042" s="247"/>
    </row>
    <row r="2043">
      <c r="A2043" s="247"/>
      <c r="B2043" s="373"/>
      <c r="C2043" s="373"/>
      <c r="D2043" s="373"/>
      <c r="E2043" s="247"/>
      <c r="F2043" s="247"/>
      <c r="G2043" s="247"/>
      <c r="H2043" s="247"/>
      <c r="I2043" s="247"/>
      <c r="J2043" s="247"/>
      <c r="K2043" s="247"/>
      <c r="L2043" s="247"/>
      <c r="M2043" s="247"/>
      <c r="N2043" s="247"/>
      <c r="O2043" s="247"/>
      <c r="P2043" s="247"/>
      <c r="Q2043" s="247"/>
      <c r="R2043" s="247"/>
      <c r="S2043" s="247"/>
      <c r="T2043" s="247"/>
      <c r="U2043" s="247"/>
      <c r="V2043" s="247"/>
      <c r="W2043" s="247"/>
      <c r="X2043" s="247"/>
      <c r="Y2043" s="247"/>
      <c r="Z2043" s="247"/>
      <c r="AA2043" s="247"/>
      <c r="AB2043" s="247"/>
      <c r="AC2043" s="247"/>
    </row>
    <row r="2044">
      <c r="A2044" s="247"/>
      <c r="B2044" s="373"/>
      <c r="C2044" s="373"/>
      <c r="D2044" s="373"/>
      <c r="E2044" s="247"/>
      <c r="F2044" s="247"/>
      <c r="G2044" s="247"/>
      <c r="H2044" s="247"/>
      <c r="I2044" s="247"/>
      <c r="J2044" s="247"/>
      <c r="K2044" s="247"/>
      <c r="L2044" s="247"/>
      <c r="M2044" s="247"/>
      <c r="N2044" s="247"/>
      <c r="O2044" s="247"/>
      <c r="P2044" s="247"/>
      <c r="Q2044" s="247"/>
      <c r="R2044" s="247"/>
      <c r="S2044" s="247"/>
      <c r="T2044" s="247"/>
      <c r="U2044" s="247"/>
      <c r="V2044" s="247"/>
      <c r="W2044" s="247"/>
      <c r="X2044" s="247"/>
      <c r="Y2044" s="247"/>
      <c r="Z2044" s="247"/>
      <c r="AA2044" s="247"/>
      <c r="AB2044" s="247"/>
      <c r="AC2044" s="247"/>
    </row>
    <row r="2045">
      <c r="A2045" s="247"/>
      <c r="B2045" s="373"/>
      <c r="C2045" s="373"/>
      <c r="D2045" s="373"/>
      <c r="E2045" s="247"/>
      <c r="F2045" s="247"/>
      <c r="G2045" s="247"/>
      <c r="H2045" s="247"/>
      <c r="I2045" s="247"/>
      <c r="J2045" s="247"/>
      <c r="K2045" s="247"/>
      <c r="L2045" s="247"/>
      <c r="M2045" s="247"/>
      <c r="N2045" s="247"/>
      <c r="O2045" s="247"/>
      <c r="P2045" s="247"/>
      <c r="Q2045" s="247"/>
      <c r="R2045" s="247"/>
      <c r="S2045" s="247"/>
      <c r="T2045" s="247"/>
      <c r="U2045" s="247"/>
      <c r="V2045" s="247"/>
      <c r="W2045" s="247"/>
      <c r="X2045" s="247"/>
      <c r="Y2045" s="247"/>
      <c r="Z2045" s="247"/>
      <c r="AA2045" s="247"/>
      <c r="AB2045" s="247"/>
      <c r="AC2045" s="247"/>
    </row>
    <row r="2046">
      <c r="A2046" s="247"/>
      <c r="B2046" s="373"/>
      <c r="C2046" s="373"/>
      <c r="D2046" s="373"/>
      <c r="E2046" s="247"/>
      <c r="F2046" s="247"/>
      <c r="G2046" s="247"/>
      <c r="H2046" s="247"/>
      <c r="I2046" s="247"/>
      <c r="J2046" s="247"/>
      <c r="K2046" s="247"/>
      <c r="L2046" s="247"/>
      <c r="M2046" s="247"/>
      <c r="N2046" s="247"/>
      <c r="O2046" s="247"/>
      <c r="P2046" s="247"/>
      <c r="Q2046" s="247"/>
      <c r="R2046" s="247"/>
      <c r="S2046" s="247"/>
      <c r="T2046" s="247"/>
      <c r="U2046" s="247"/>
      <c r="V2046" s="247"/>
      <c r="W2046" s="247"/>
      <c r="X2046" s="247"/>
      <c r="Y2046" s="247"/>
      <c r="Z2046" s="247"/>
      <c r="AA2046" s="247"/>
      <c r="AB2046" s="247"/>
      <c r="AC2046" s="247"/>
    </row>
    <row r="2047">
      <c r="A2047" s="247"/>
      <c r="B2047" s="373"/>
      <c r="C2047" s="373"/>
      <c r="D2047" s="373"/>
      <c r="E2047" s="247"/>
      <c r="F2047" s="247"/>
      <c r="G2047" s="247"/>
      <c r="H2047" s="247"/>
      <c r="I2047" s="247"/>
      <c r="J2047" s="247"/>
      <c r="K2047" s="247"/>
      <c r="L2047" s="247"/>
      <c r="M2047" s="247"/>
      <c r="N2047" s="247"/>
      <c r="O2047" s="247"/>
      <c r="P2047" s="247"/>
      <c r="Q2047" s="247"/>
      <c r="R2047" s="247"/>
      <c r="S2047" s="247"/>
      <c r="T2047" s="247"/>
      <c r="U2047" s="247"/>
      <c r="V2047" s="247"/>
      <c r="W2047" s="247"/>
      <c r="X2047" s="247"/>
      <c r="Y2047" s="247"/>
      <c r="Z2047" s="247"/>
      <c r="AA2047" s="247"/>
      <c r="AB2047" s="247"/>
      <c r="AC2047" s="247"/>
    </row>
    <row r="2048">
      <c r="A2048" s="247"/>
      <c r="B2048" s="373"/>
      <c r="C2048" s="373"/>
      <c r="D2048" s="373"/>
      <c r="E2048" s="247"/>
      <c r="F2048" s="247"/>
      <c r="G2048" s="247"/>
      <c r="H2048" s="247"/>
      <c r="I2048" s="247"/>
      <c r="J2048" s="247"/>
      <c r="K2048" s="247"/>
      <c r="L2048" s="247"/>
      <c r="M2048" s="247"/>
      <c r="N2048" s="247"/>
      <c r="O2048" s="247"/>
      <c r="P2048" s="247"/>
      <c r="Q2048" s="247"/>
      <c r="R2048" s="247"/>
      <c r="S2048" s="247"/>
      <c r="T2048" s="247"/>
      <c r="U2048" s="247"/>
      <c r="V2048" s="247"/>
      <c r="W2048" s="247"/>
      <c r="X2048" s="247"/>
      <c r="Y2048" s="247"/>
      <c r="Z2048" s="247"/>
      <c r="AA2048" s="247"/>
      <c r="AB2048" s="247"/>
      <c r="AC2048" s="247"/>
    </row>
    <row r="2049">
      <c r="A2049" s="247"/>
      <c r="B2049" s="373"/>
      <c r="C2049" s="373"/>
      <c r="D2049" s="373"/>
      <c r="E2049" s="247"/>
      <c r="F2049" s="247"/>
      <c r="G2049" s="247"/>
      <c r="H2049" s="247"/>
      <c r="I2049" s="247"/>
      <c r="J2049" s="247"/>
      <c r="K2049" s="247"/>
      <c r="L2049" s="247"/>
      <c r="M2049" s="247"/>
      <c r="N2049" s="247"/>
      <c r="O2049" s="247"/>
      <c r="P2049" s="247"/>
      <c r="Q2049" s="247"/>
      <c r="R2049" s="247"/>
      <c r="S2049" s="247"/>
      <c r="T2049" s="247"/>
      <c r="U2049" s="247"/>
      <c r="V2049" s="247"/>
      <c r="W2049" s="247"/>
      <c r="X2049" s="247"/>
      <c r="Y2049" s="247"/>
      <c r="Z2049" s="247"/>
      <c r="AA2049" s="247"/>
      <c r="AB2049" s="247"/>
      <c r="AC2049" s="247"/>
    </row>
    <row r="2050">
      <c r="A2050" s="247"/>
      <c r="B2050" s="373"/>
      <c r="C2050" s="373"/>
      <c r="D2050" s="373"/>
      <c r="E2050" s="247"/>
      <c r="F2050" s="247"/>
      <c r="G2050" s="247"/>
      <c r="H2050" s="247"/>
      <c r="I2050" s="247"/>
      <c r="J2050" s="247"/>
      <c r="K2050" s="247"/>
      <c r="L2050" s="247"/>
      <c r="M2050" s="247"/>
      <c r="N2050" s="247"/>
      <c r="O2050" s="247"/>
      <c r="P2050" s="247"/>
      <c r="Q2050" s="247"/>
      <c r="R2050" s="247"/>
      <c r="S2050" s="247"/>
      <c r="T2050" s="247"/>
      <c r="U2050" s="247"/>
      <c r="V2050" s="247"/>
      <c r="W2050" s="247"/>
      <c r="X2050" s="247"/>
      <c r="Y2050" s="247"/>
      <c r="Z2050" s="247"/>
      <c r="AA2050" s="247"/>
      <c r="AB2050" s="247"/>
      <c r="AC2050" s="247"/>
    </row>
    <row r="2051">
      <c r="A2051" s="247"/>
      <c r="B2051" s="373"/>
      <c r="C2051" s="373"/>
      <c r="D2051" s="373"/>
      <c r="E2051" s="247"/>
      <c r="F2051" s="247"/>
      <c r="G2051" s="247"/>
      <c r="H2051" s="247"/>
      <c r="I2051" s="247"/>
      <c r="J2051" s="247"/>
      <c r="K2051" s="247"/>
      <c r="L2051" s="247"/>
      <c r="M2051" s="247"/>
      <c r="N2051" s="247"/>
      <c r="O2051" s="247"/>
      <c r="P2051" s="247"/>
      <c r="Q2051" s="247"/>
      <c r="R2051" s="247"/>
      <c r="S2051" s="247"/>
      <c r="T2051" s="247"/>
      <c r="U2051" s="247"/>
      <c r="V2051" s="247"/>
      <c r="W2051" s="247"/>
      <c r="X2051" s="247"/>
      <c r="Y2051" s="247"/>
      <c r="Z2051" s="247"/>
      <c r="AA2051" s="247"/>
      <c r="AB2051" s="247"/>
      <c r="AC2051" s="247"/>
    </row>
    <row r="2052">
      <c r="A2052" s="247"/>
      <c r="B2052" s="373"/>
      <c r="C2052" s="373"/>
      <c r="D2052" s="373"/>
      <c r="E2052" s="247"/>
      <c r="F2052" s="247"/>
      <c r="G2052" s="247"/>
      <c r="H2052" s="247"/>
      <c r="I2052" s="247"/>
      <c r="J2052" s="247"/>
      <c r="K2052" s="247"/>
      <c r="L2052" s="247"/>
      <c r="M2052" s="247"/>
      <c r="N2052" s="247"/>
      <c r="O2052" s="247"/>
      <c r="P2052" s="247"/>
      <c r="Q2052" s="247"/>
      <c r="R2052" s="247"/>
      <c r="S2052" s="247"/>
      <c r="T2052" s="247"/>
      <c r="U2052" s="247"/>
      <c r="V2052" s="247"/>
      <c r="W2052" s="247"/>
      <c r="X2052" s="247"/>
      <c r="Y2052" s="247"/>
      <c r="Z2052" s="247"/>
      <c r="AA2052" s="247"/>
      <c r="AB2052" s="247"/>
      <c r="AC2052" s="247"/>
    </row>
    <row r="2053">
      <c r="A2053" s="247"/>
      <c r="B2053" s="373"/>
      <c r="C2053" s="373"/>
      <c r="D2053" s="373"/>
      <c r="E2053" s="247"/>
      <c r="F2053" s="247"/>
      <c r="G2053" s="247"/>
      <c r="H2053" s="247"/>
      <c r="I2053" s="247"/>
      <c r="J2053" s="247"/>
      <c r="K2053" s="247"/>
      <c r="L2053" s="247"/>
      <c r="M2053" s="247"/>
      <c r="N2053" s="247"/>
      <c r="O2053" s="247"/>
      <c r="P2053" s="247"/>
      <c r="Q2053" s="247"/>
      <c r="R2053" s="247"/>
      <c r="S2053" s="247"/>
      <c r="T2053" s="247"/>
      <c r="U2053" s="247"/>
      <c r="V2053" s="247"/>
      <c r="W2053" s="247"/>
      <c r="X2053" s="247"/>
      <c r="Y2053" s="247"/>
      <c r="Z2053" s="247"/>
      <c r="AA2053" s="247"/>
      <c r="AB2053" s="247"/>
      <c r="AC2053" s="247"/>
    </row>
    <row r="2054">
      <c r="A2054" s="247"/>
      <c r="B2054" s="373"/>
      <c r="C2054" s="373"/>
      <c r="D2054" s="373"/>
      <c r="E2054" s="247"/>
      <c r="F2054" s="247"/>
      <c r="G2054" s="247"/>
      <c r="H2054" s="247"/>
      <c r="I2054" s="247"/>
      <c r="J2054" s="247"/>
      <c r="K2054" s="247"/>
      <c r="L2054" s="247"/>
      <c r="M2054" s="247"/>
      <c r="N2054" s="247"/>
      <c r="O2054" s="247"/>
      <c r="P2054" s="247"/>
      <c r="Q2054" s="247"/>
      <c r="R2054" s="247"/>
      <c r="S2054" s="247"/>
      <c r="T2054" s="247"/>
      <c r="U2054" s="247"/>
      <c r="V2054" s="247"/>
      <c r="W2054" s="247"/>
      <c r="X2054" s="247"/>
      <c r="Y2054" s="247"/>
      <c r="Z2054" s="247"/>
      <c r="AA2054" s="247"/>
      <c r="AB2054" s="247"/>
      <c r="AC2054" s="247"/>
    </row>
    <row r="2055">
      <c r="A2055" s="247"/>
      <c r="B2055" s="373"/>
      <c r="C2055" s="373"/>
      <c r="D2055" s="373"/>
      <c r="E2055" s="247"/>
      <c r="F2055" s="247"/>
      <c r="G2055" s="247"/>
      <c r="H2055" s="247"/>
      <c r="I2055" s="247"/>
      <c r="J2055" s="247"/>
      <c r="K2055" s="247"/>
      <c r="L2055" s="247"/>
      <c r="M2055" s="247"/>
      <c r="N2055" s="247"/>
      <c r="O2055" s="247"/>
      <c r="P2055" s="247"/>
      <c r="Q2055" s="247"/>
      <c r="R2055" s="247"/>
      <c r="S2055" s="247"/>
      <c r="T2055" s="247"/>
      <c r="U2055" s="247"/>
      <c r="V2055" s="247"/>
      <c r="W2055" s="247"/>
      <c r="X2055" s="247"/>
      <c r="Y2055" s="247"/>
      <c r="Z2055" s="247"/>
      <c r="AA2055" s="247"/>
      <c r="AB2055" s="247"/>
      <c r="AC2055" s="247"/>
    </row>
    <row r="2056">
      <c r="A2056" s="247"/>
      <c r="B2056" s="373"/>
      <c r="C2056" s="373"/>
      <c r="D2056" s="373"/>
      <c r="E2056" s="247"/>
      <c r="F2056" s="247"/>
      <c r="G2056" s="247"/>
      <c r="H2056" s="247"/>
      <c r="I2056" s="247"/>
      <c r="J2056" s="247"/>
      <c r="K2056" s="247"/>
      <c r="L2056" s="247"/>
      <c r="M2056" s="247"/>
      <c r="N2056" s="247"/>
      <c r="O2056" s="247"/>
      <c r="P2056" s="247"/>
      <c r="Q2056" s="247"/>
      <c r="R2056" s="247"/>
      <c r="S2056" s="247"/>
      <c r="T2056" s="247"/>
      <c r="U2056" s="247"/>
      <c r="V2056" s="247"/>
      <c r="W2056" s="247"/>
      <c r="X2056" s="247"/>
      <c r="Y2056" s="247"/>
      <c r="Z2056" s="247"/>
      <c r="AA2056" s="247"/>
      <c r="AB2056" s="247"/>
      <c r="AC2056" s="247"/>
    </row>
    <row r="2057">
      <c r="A2057" s="247"/>
      <c r="B2057" s="373"/>
      <c r="C2057" s="373"/>
      <c r="D2057" s="373"/>
      <c r="E2057" s="247"/>
      <c r="F2057" s="247"/>
      <c r="G2057" s="247"/>
      <c r="H2057" s="247"/>
      <c r="I2057" s="247"/>
      <c r="J2057" s="247"/>
      <c r="K2057" s="247"/>
      <c r="L2057" s="247"/>
      <c r="M2057" s="247"/>
      <c r="N2057" s="247"/>
      <c r="O2057" s="247"/>
      <c r="P2057" s="247"/>
      <c r="Q2057" s="247"/>
      <c r="R2057" s="247"/>
      <c r="S2057" s="247"/>
      <c r="T2057" s="247"/>
      <c r="U2057" s="247"/>
      <c r="V2057" s="247"/>
      <c r="W2057" s="247"/>
      <c r="X2057" s="247"/>
      <c r="Y2057" s="247"/>
      <c r="Z2057" s="247"/>
      <c r="AA2057" s="247"/>
      <c r="AB2057" s="247"/>
      <c r="AC2057" s="247"/>
    </row>
    <row r="2058">
      <c r="A2058" s="247"/>
      <c r="B2058" s="373"/>
      <c r="C2058" s="373"/>
      <c r="D2058" s="373"/>
      <c r="E2058" s="247"/>
      <c r="F2058" s="247"/>
      <c r="G2058" s="247"/>
      <c r="H2058" s="247"/>
      <c r="I2058" s="247"/>
      <c r="J2058" s="247"/>
      <c r="K2058" s="247"/>
      <c r="L2058" s="247"/>
      <c r="M2058" s="247"/>
      <c r="N2058" s="247"/>
      <c r="O2058" s="247"/>
      <c r="P2058" s="247"/>
      <c r="Q2058" s="247"/>
      <c r="R2058" s="247"/>
      <c r="S2058" s="247"/>
      <c r="T2058" s="247"/>
      <c r="U2058" s="247"/>
      <c r="V2058" s="247"/>
      <c r="W2058" s="247"/>
      <c r="X2058" s="247"/>
      <c r="Y2058" s="247"/>
      <c r="Z2058" s="247"/>
      <c r="AA2058" s="247"/>
      <c r="AB2058" s="247"/>
      <c r="AC2058" s="247"/>
    </row>
    <row r="2059">
      <c r="A2059" s="247"/>
      <c r="B2059" s="373"/>
      <c r="C2059" s="373"/>
      <c r="D2059" s="373"/>
      <c r="E2059" s="247"/>
      <c r="F2059" s="247"/>
      <c r="G2059" s="247"/>
      <c r="H2059" s="247"/>
      <c r="I2059" s="247"/>
      <c r="J2059" s="247"/>
      <c r="K2059" s="247"/>
      <c r="L2059" s="247"/>
      <c r="M2059" s="247"/>
      <c r="N2059" s="247"/>
      <c r="O2059" s="247"/>
      <c r="P2059" s="247"/>
      <c r="Q2059" s="247"/>
      <c r="R2059" s="247"/>
      <c r="S2059" s="247"/>
      <c r="T2059" s="247"/>
      <c r="U2059" s="247"/>
      <c r="V2059" s="247"/>
      <c r="W2059" s="247"/>
      <c r="X2059" s="247"/>
      <c r="Y2059" s="247"/>
      <c r="Z2059" s="247"/>
      <c r="AA2059" s="247"/>
      <c r="AB2059" s="247"/>
      <c r="AC2059" s="247"/>
    </row>
    <row r="2060">
      <c r="A2060" s="247"/>
      <c r="B2060" s="373"/>
      <c r="C2060" s="373"/>
      <c r="D2060" s="373"/>
      <c r="E2060" s="247"/>
      <c r="F2060" s="247"/>
      <c r="G2060" s="247"/>
      <c r="H2060" s="247"/>
      <c r="I2060" s="247"/>
      <c r="J2060" s="247"/>
      <c r="K2060" s="247"/>
      <c r="L2060" s="247"/>
      <c r="M2060" s="247"/>
      <c r="N2060" s="247"/>
      <c r="O2060" s="247"/>
      <c r="P2060" s="247"/>
      <c r="Q2060" s="247"/>
      <c r="R2060" s="247"/>
      <c r="S2060" s="247"/>
      <c r="T2060" s="247"/>
      <c r="U2060" s="247"/>
      <c r="V2060" s="247"/>
      <c r="W2060" s="247"/>
      <c r="X2060" s="247"/>
      <c r="Y2060" s="247"/>
      <c r="Z2060" s="247"/>
      <c r="AA2060" s="247"/>
      <c r="AB2060" s="247"/>
      <c r="AC2060" s="247"/>
    </row>
    <row r="2061">
      <c r="A2061" s="247"/>
      <c r="B2061" s="373"/>
      <c r="C2061" s="373"/>
      <c r="D2061" s="373"/>
      <c r="E2061" s="247"/>
      <c r="F2061" s="247"/>
      <c r="G2061" s="247"/>
      <c r="H2061" s="247"/>
      <c r="I2061" s="247"/>
      <c r="J2061" s="247"/>
      <c r="K2061" s="247"/>
      <c r="L2061" s="247"/>
      <c r="M2061" s="247"/>
      <c r="N2061" s="247"/>
      <c r="O2061" s="247"/>
      <c r="P2061" s="247"/>
      <c r="Q2061" s="247"/>
      <c r="R2061" s="247"/>
      <c r="S2061" s="247"/>
      <c r="T2061" s="247"/>
      <c r="U2061" s="247"/>
      <c r="V2061" s="247"/>
      <c r="W2061" s="247"/>
      <c r="X2061" s="247"/>
      <c r="Y2061" s="247"/>
      <c r="Z2061" s="247"/>
      <c r="AA2061" s="247"/>
      <c r="AB2061" s="247"/>
      <c r="AC2061" s="247"/>
    </row>
    <row r="2062">
      <c r="A2062" s="247"/>
      <c r="B2062" s="373"/>
      <c r="C2062" s="373"/>
      <c r="D2062" s="373"/>
      <c r="E2062" s="247"/>
      <c r="F2062" s="247"/>
      <c r="G2062" s="247"/>
      <c r="H2062" s="247"/>
      <c r="I2062" s="247"/>
      <c r="J2062" s="247"/>
      <c r="K2062" s="247"/>
      <c r="L2062" s="247"/>
      <c r="M2062" s="247"/>
      <c r="N2062" s="247"/>
      <c r="O2062" s="247"/>
      <c r="P2062" s="247"/>
      <c r="Q2062" s="247"/>
      <c r="R2062" s="247"/>
      <c r="S2062" s="247"/>
      <c r="T2062" s="247"/>
      <c r="U2062" s="247"/>
      <c r="V2062" s="247"/>
      <c r="W2062" s="247"/>
      <c r="X2062" s="247"/>
      <c r="Y2062" s="247"/>
      <c r="Z2062" s="247"/>
      <c r="AA2062" s="247"/>
      <c r="AB2062" s="247"/>
      <c r="AC2062" s="247"/>
    </row>
    <row r="2063">
      <c r="A2063" s="247"/>
      <c r="B2063" s="373"/>
      <c r="C2063" s="373"/>
      <c r="D2063" s="373"/>
      <c r="E2063" s="247"/>
      <c r="F2063" s="247"/>
      <c r="G2063" s="247"/>
      <c r="H2063" s="247"/>
      <c r="I2063" s="247"/>
      <c r="J2063" s="247"/>
      <c r="K2063" s="247"/>
      <c r="L2063" s="247"/>
      <c r="M2063" s="247"/>
      <c r="N2063" s="247"/>
      <c r="O2063" s="247"/>
      <c r="P2063" s="247"/>
      <c r="Q2063" s="247"/>
      <c r="R2063" s="247"/>
      <c r="S2063" s="247"/>
      <c r="T2063" s="247"/>
      <c r="U2063" s="247"/>
      <c r="V2063" s="247"/>
      <c r="W2063" s="247"/>
      <c r="X2063" s="247"/>
      <c r="Y2063" s="247"/>
      <c r="Z2063" s="247"/>
      <c r="AA2063" s="247"/>
      <c r="AB2063" s="247"/>
      <c r="AC2063" s="247"/>
    </row>
    <row r="2064">
      <c r="A2064" s="247"/>
      <c r="B2064" s="373"/>
      <c r="C2064" s="373"/>
      <c r="D2064" s="373"/>
      <c r="E2064" s="247"/>
      <c r="F2064" s="247"/>
      <c r="G2064" s="247"/>
      <c r="H2064" s="247"/>
      <c r="I2064" s="247"/>
      <c r="J2064" s="247"/>
      <c r="K2064" s="247"/>
      <c r="L2064" s="247"/>
      <c r="M2064" s="247"/>
      <c r="N2064" s="247"/>
      <c r="O2064" s="247"/>
      <c r="P2064" s="247"/>
      <c r="Q2064" s="247"/>
      <c r="R2064" s="247"/>
      <c r="S2064" s="247"/>
      <c r="T2064" s="247"/>
      <c r="U2064" s="247"/>
      <c r="V2064" s="247"/>
      <c r="W2064" s="247"/>
      <c r="X2064" s="247"/>
      <c r="Y2064" s="247"/>
      <c r="Z2064" s="247"/>
      <c r="AA2064" s="247"/>
      <c r="AB2064" s="247"/>
      <c r="AC2064" s="247"/>
    </row>
    <row r="2065">
      <c r="A2065" s="247"/>
      <c r="B2065" s="373"/>
      <c r="C2065" s="373"/>
      <c r="D2065" s="373"/>
      <c r="E2065" s="247"/>
      <c r="F2065" s="247"/>
      <c r="G2065" s="247"/>
      <c r="H2065" s="247"/>
      <c r="I2065" s="247"/>
      <c r="J2065" s="247"/>
      <c r="K2065" s="247"/>
      <c r="L2065" s="247"/>
      <c r="M2065" s="247"/>
      <c r="N2065" s="247"/>
      <c r="O2065" s="247"/>
      <c r="P2065" s="247"/>
      <c r="Q2065" s="247"/>
      <c r="R2065" s="247"/>
      <c r="S2065" s="247"/>
      <c r="T2065" s="247"/>
      <c r="U2065" s="247"/>
      <c r="V2065" s="247"/>
      <c r="W2065" s="247"/>
      <c r="X2065" s="247"/>
      <c r="Y2065" s="247"/>
      <c r="Z2065" s="247"/>
      <c r="AA2065" s="247"/>
      <c r="AB2065" s="247"/>
      <c r="AC2065" s="247"/>
    </row>
    <row r="2066">
      <c r="A2066" s="247"/>
      <c r="B2066" s="373"/>
      <c r="C2066" s="373"/>
      <c r="D2066" s="373"/>
      <c r="E2066" s="247"/>
      <c r="F2066" s="247"/>
      <c r="G2066" s="247"/>
      <c r="H2066" s="247"/>
      <c r="I2066" s="247"/>
      <c r="J2066" s="247"/>
      <c r="K2066" s="247"/>
      <c r="L2066" s="247"/>
      <c r="M2066" s="247"/>
      <c r="N2066" s="247"/>
      <c r="O2066" s="247"/>
      <c r="P2066" s="247"/>
      <c r="Q2066" s="247"/>
      <c r="R2066" s="247"/>
      <c r="S2066" s="247"/>
      <c r="T2066" s="247"/>
      <c r="U2066" s="247"/>
      <c r="V2066" s="247"/>
      <c r="W2066" s="247"/>
      <c r="X2066" s="247"/>
      <c r="Y2066" s="247"/>
      <c r="Z2066" s="247"/>
      <c r="AA2066" s="247"/>
      <c r="AB2066" s="247"/>
      <c r="AC2066" s="247"/>
    </row>
    <row r="2067">
      <c r="A2067" s="247"/>
      <c r="B2067" s="373"/>
      <c r="C2067" s="373"/>
      <c r="D2067" s="373"/>
      <c r="E2067" s="247"/>
      <c r="F2067" s="247"/>
      <c r="G2067" s="247"/>
      <c r="H2067" s="247"/>
      <c r="I2067" s="247"/>
      <c r="J2067" s="247"/>
      <c r="K2067" s="247"/>
      <c r="L2067" s="247"/>
      <c r="M2067" s="247"/>
      <c r="N2067" s="247"/>
      <c r="O2067" s="247"/>
      <c r="P2067" s="247"/>
      <c r="Q2067" s="247"/>
      <c r="R2067" s="247"/>
      <c r="S2067" s="247"/>
      <c r="T2067" s="247"/>
      <c r="U2067" s="247"/>
      <c r="V2067" s="247"/>
      <c r="W2067" s="247"/>
      <c r="X2067" s="247"/>
      <c r="Y2067" s="247"/>
      <c r="Z2067" s="247"/>
      <c r="AA2067" s="247"/>
      <c r="AB2067" s="247"/>
      <c r="AC2067" s="247"/>
    </row>
    <row r="2068">
      <c r="A2068" s="247"/>
      <c r="B2068" s="373"/>
      <c r="C2068" s="373"/>
      <c r="D2068" s="373"/>
      <c r="E2068" s="247"/>
      <c r="F2068" s="247"/>
      <c r="G2068" s="247"/>
      <c r="H2068" s="247"/>
      <c r="I2068" s="247"/>
      <c r="J2068" s="247"/>
      <c r="K2068" s="247"/>
      <c r="L2068" s="247"/>
      <c r="M2068" s="247"/>
      <c r="N2068" s="247"/>
      <c r="O2068" s="247"/>
      <c r="P2068" s="247"/>
      <c r="Q2068" s="247"/>
      <c r="R2068" s="247"/>
      <c r="S2068" s="247"/>
      <c r="T2068" s="247"/>
      <c r="U2068" s="247"/>
      <c r="V2068" s="247"/>
      <c r="W2068" s="247"/>
      <c r="X2068" s="247"/>
      <c r="Y2068" s="247"/>
      <c r="Z2068" s="247"/>
      <c r="AA2068" s="247"/>
      <c r="AB2068" s="247"/>
      <c r="AC2068" s="247"/>
    </row>
    <row r="2069">
      <c r="A2069" s="247"/>
      <c r="B2069" s="373"/>
      <c r="C2069" s="373"/>
      <c r="D2069" s="373"/>
      <c r="E2069" s="247"/>
      <c r="F2069" s="247"/>
      <c r="G2069" s="247"/>
      <c r="H2069" s="247"/>
      <c r="I2069" s="247"/>
      <c r="J2069" s="247"/>
      <c r="K2069" s="247"/>
      <c r="L2069" s="247"/>
      <c r="M2069" s="247"/>
      <c r="N2069" s="247"/>
      <c r="O2069" s="247"/>
      <c r="P2069" s="247"/>
      <c r="Q2069" s="247"/>
      <c r="R2069" s="247"/>
      <c r="S2069" s="247"/>
      <c r="T2069" s="247"/>
      <c r="U2069" s="247"/>
      <c r="V2069" s="247"/>
      <c r="W2069" s="247"/>
      <c r="X2069" s="247"/>
      <c r="Y2069" s="247"/>
      <c r="Z2069" s="247"/>
      <c r="AA2069" s="247"/>
      <c r="AB2069" s="247"/>
      <c r="AC2069" s="247"/>
    </row>
    <row r="2070">
      <c r="A2070" s="247"/>
      <c r="B2070" s="373"/>
      <c r="C2070" s="373"/>
      <c r="D2070" s="373"/>
      <c r="E2070" s="247"/>
      <c r="F2070" s="247"/>
      <c r="G2070" s="247"/>
      <c r="H2070" s="247"/>
      <c r="I2070" s="247"/>
      <c r="J2070" s="247"/>
      <c r="K2070" s="247"/>
      <c r="L2070" s="247"/>
      <c r="M2070" s="247"/>
      <c r="N2070" s="247"/>
      <c r="O2070" s="247"/>
      <c r="P2070" s="247"/>
      <c r="Q2070" s="247"/>
      <c r="R2070" s="247"/>
      <c r="S2070" s="247"/>
      <c r="T2070" s="247"/>
      <c r="U2070" s="247"/>
      <c r="V2070" s="247"/>
      <c r="W2070" s="247"/>
      <c r="X2070" s="247"/>
      <c r="Y2070" s="247"/>
      <c r="Z2070" s="247"/>
      <c r="AA2070" s="247"/>
      <c r="AB2070" s="247"/>
      <c r="AC2070" s="247"/>
    </row>
    <row r="2071">
      <c r="A2071" s="247"/>
      <c r="B2071" s="373"/>
      <c r="C2071" s="373"/>
      <c r="D2071" s="373"/>
      <c r="E2071" s="247"/>
      <c r="F2071" s="247"/>
      <c r="G2071" s="247"/>
      <c r="H2071" s="247"/>
      <c r="I2071" s="247"/>
      <c r="J2071" s="247"/>
      <c r="K2071" s="247"/>
      <c r="L2071" s="247"/>
      <c r="M2071" s="247"/>
      <c r="N2071" s="247"/>
      <c r="O2071" s="247"/>
      <c r="P2071" s="247"/>
      <c r="Q2071" s="247"/>
      <c r="R2071" s="247"/>
      <c r="S2071" s="247"/>
      <c r="T2071" s="247"/>
      <c r="U2071" s="247"/>
      <c r="V2071" s="247"/>
      <c r="W2071" s="247"/>
      <c r="X2071" s="247"/>
      <c r="Y2071" s="247"/>
      <c r="Z2071" s="247"/>
      <c r="AA2071" s="247"/>
      <c r="AB2071" s="247"/>
      <c r="AC2071" s="247"/>
    </row>
    <row r="2072">
      <c r="A2072" s="247"/>
      <c r="B2072" s="373"/>
      <c r="C2072" s="373"/>
      <c r="D2072" s="373"/>
      <c r="E2072" s="247"/>
      <c r="F2072" s="247"/>
      <c r="G2072" s="247"/>
      <c r="H2072" s="247"/>
      <c r="I2072" s="247"/>
      <c r="J2072" s="247"/>
      <c r="K2072" s="247"/>
      <c r="L2072" s="247"/>
      <c r="M2072" s="247"/>
      <c r="N2072" s="247"/>
      <c r="O2072" s="247"/>
      <c r="P2072" s="247"/>
      <c r="Q2072" s="247"/>
      <c r="R2072" s="247"/>
      <c r="S2072" s="247"/>
      <c r="T2072" s="247"/>
      <c r="U2072" s="247"/>
      <c r="V2072" s="247"/>
      <c r="W2072" s="247"/>
      <c r="X2072" s="247"/>
      <c r="Y2072" s="247"/>
      <c r="Z2072" s="247"/>
      <c r="AA2072" s="247"/>
      <c r="AB2072" s="247"/>
      <c r="AC2072" s="247"/>
    </row>
    <row r="2073">
      <c r="A2073" s="247"/>
      <c r="B2073" s="373"/>
      <c r="C2073" s="373"/>
      <c r="D2073" s="373"/>
      <c r="E2073" s="247"/>
      <c r="F2073" s="247"/>
      <c r="G2073" s="247"/>
      <c r="H2073" s="247"/>
      <c r="I2073" s="247"/>
      <c r="J2073" s="247"/>
      <c r="K2073" s="247"/>
      <c r="L2073" s="247"/>
      <c r="M2073" s="247"/>
      <c r="N2073" s="247"/>
      <c r="O2073" s="247"/>
      <c r="P2073" s="247"/>
      <c r="Q2073" s="247"/>
      <c r="R2073" s="247"/>
      <c r="S2073" s="247"/>
      <c r="T2073" s="247"/>
      <c r="U2073" s="247"/>
      <c r="V2073" s="247"/>
      <c r="W2073" s="247"/>
      <c r="X2073" s="247"/>
      <c r="Y2073" s="247"/>
      <c r="Z2073" s="247"/>
      <c r="AA2073" s="247"/>
      <c r="AB2073" s="247"/>
      <c r="AC2073" s="247"/>
    </row>
    <row r="2074">
      <c r="A2074" s="247"/>
      <c r="B2074" s="373"/>
      <c r="C2074" s="373"/>
      <c r="D2074" s="373"/>
      <c r="E2074" s="247"/>
      <c r="F2074" s="247"/>
      <c r="G2074" s="247"/>
      <c r="H2074" s="247"/>
      <c r="I2074" s="247"/>
      <c r="J2074" s="247"/>
      <c r="K2074" s="247"/>
      <c r="L2074" s="247"/>
      <c r="M2074" s="247"/>
      <c r="N2074" s="247"/>
      <c r="O2074" s="247"/>
      <c r="P2074" s="247"/>
      <c r="Q2074" s="247"/>
      <c r="R2074" s="247"/>
      <c r="S2074" s="247"/>
      <c r="T2074" s="247"/>
      <c r="U2074" s="247"/>
      <c r="V2074" s="247"/>
      <c r="W2074" s="247"/>
      <c r="X2074" s="247"/>
      <c r="Y2074" s="247"/>
      <c r="Z2074" s="247"/>
      <c r="AA2074" s="247"/>
      <c r="AB2074" s="247"/>
      <c r="AC2074" s="247"/>
    </row>
    <row r="2075">
      <c r="A2075" s="247"/>
      <c r="B2075" s="373"/>
      <c r="C2075" s="373"/>
      <c r="D2075" s="373"/>
      <c r="E2075" s="247"/>
      <c r="F2075" s="247"/>
      <c r="G2075" s="247"/>
      <c r="H2075" s="247"/>
      <c r="I2075" s="247"/>
      <c r="J2075" s="247"/>
      <c r="K2075" s="247"/>
      <c r="L2075" s="247"/>
      <c r="M2075" s="247"/>
      <c r="N2075" s="247"/>
      <c r="O2075" s="247"/>
      <c r="P2075" s="247"/>
      <c r="Q2075" s="247"/>
      <c r="R2075" s="247"/>
      <c r="S2075" s="247"/>
      <c r="T2075" s="247"/>
      <c r="U2075" s="247"/>
      <c r="V2075" s="247"/>
      <c r="W2075" s="247"/>
      <c r="X2075" s="247"/>
      <c r="Y2075" s="247"/>
      <c r="Z2075" s="247"/>
      <c r="AA2075" s="247"/>
      <c r="AB2075" s="247"/>
      <c r="AC2075" s="247"/>
    </row>
    <row r="2076">
      <c r="A2076" s="247"/>
      <c r="B2076" s="373"/>
      <c r="C2076" s="373"/>
      <c r="D2076" s="373"/>
      <c r="E2076" s="247"/>
      <c r="F2076" s="247"/>
      <c r="G2076" s="247"/>
      <c r="H2076" s="247"/>
      <c r="I2076" s="247"/>
      <c r="J2076" s="247"/>
      <c r="K2076" s="247"/>
      <c r="L2076" s="247"/>
      <c r="M2076" s="247"/>
      <c r="N2076" s="247"/>
      <c r="O2076" s="247"/>
      <c r="P2076" s="247"/>
      <c r="Q2076" s="247"/>
      <c r="R2076" s="247"/>
      <c r="S2076" s="247"/>
      <c r="T2076" s="247"/>
      <c r="U2076" s="247"/>
      <c r="V2076" s="247"/>
      <c r="W2076" s="247"/>
      <c r="X2076" s="247"/>
      <c r="Y2076" s="247"/>
      <c r="Z2076" s="247"/>
      <c r="AA2076" s="247"/>
      <c r="AB2076" s="247"/>
      <c r="AC2076" s="247"/>
    </row>
    <row r="2077">
      <c r="A2077" s="247"/>
      <c r="B2077" s="373"/>
      <c r="C2077" s="373"/>
      <c r="D2077" s="373"/>
      <c r="E2077" s="247"/>
      <c r="F2077" s="247"/>
      <c r="G2077" s="247"/>
      <c r="H2077" s="247"/>
      <c r="I2077" s="247"/>
      <c r="J2077" s="247"/>
      <c r="K2077" s="247"/>
      <c r="L2077" s="247"/>
      <c r="M2077" s="247"/>
      <c r="N2077" s="247"/>
      <c r="O2077" s="247"/>
      <c r="P2077" s="247"/>
      <c r="Q2077" s="247"/>
      <c r="R2077" s="247"/>
      <c r="S2077" s="247"/>
      <c r="T2077" s="247"/>
      <c r="U2077" s="247"/>
      <c r="V2077" s="247"/>
      <c r="W2077" s="247"/>
      <c r="X2077" s="247"/>
      <c r="Y2077" s="247"/>
      <c r="Z2077" s="247"/>
      <c r="AA2077" s="247"/>
      <c r="AB2077" s="247"/>
      <c r="AC2077" s="247"/>
    </row>
    <row r="2078">
      <c r="A2078" s="247"/>
      <c r="B2078" s="373"/>
      <c r="C2078" s="373"/>
      <c r="D2078" s="373"/>
      <c r="E2078" s="247"/>
      <c r="F2078" s="247"/>
      <c r="G2078" s="247"/>
      <c r="H2078" s="247"/>
      <c r="I2078" s="247"/>
      <c r="J2078" s="247"/>
      <c r="K2078" s="247"/>
      <c r="L2078" s="247"/>
      <c r="M2078" s="247"/>
      <c r="N2078" s="247"/>
      <c r="O2078" s="247"/>
      <c r="P2078" s="247"/>
      <c r="Q2078" s="247"/>
      <c r="R2078" s="247"/>
      <c r="S2078" s="247"/>
      <c r="T2078" s="247"/>
      <c r="U2078" s="247"/>
      <c r="V2078" s="247"/>
      <c r="W2078" s="247"/>
      <c r="X2078" s="247"/>
      <c r="Y2078" s="247"/>
      <c r="Z2078" s="247"/>
      <c r="AA2078" s="247"/>
      <c r="AB2078" s="247"/>
      <c r="AC2078" s="247"/>
    </row>
    <row r="2079">
      <c r="A2079" s="247"/>
      <c r="B2079" s="373"/>
      <c r="C2079" s="373"/>
      <c r="D2079" s="373"/>
      <c r="E2079" s="247"/>
      <c r="F2079" s="247"/>
      <c r="G2079" s="247"/>
      <c r="H2079" s="247"/>
      <c r="I2079" s="247"/>
      <c r="J2079" s="247"/>
      <c r="K2079" s="247"/>
      <c r="L2079" s="247"/>
      <c r="M2079" s="247"/>
      <c r="N2079" s="247"/>
      <c r="O2079" s="247"/>
      <c r="P2079" s="247"/>
      <c r="Q2079" s="247"/>
      <c r="R2079" s="247"/>
      <c r="S2079" s="247"/>
      <c r="T2079" s="247"/>
      <c r="U2079" s="247"/>
      <c r="V2079" s="247"/>
      <c r="W2079" s="247"/>
      <c r="X2079" s="247"/>
      <c r="Y2079" s="247"/>
      <c r="Z2079" s="247"/>
      <c r="AA2079" s="247"/>
      <c r="AB2079" s="247"/>
      <c r="AC2079" s="247"/>
    </row>
    <row r="2080">
      <c r="A2080" s="247"/>
      <c r="B2080" s="373"/>
      <c r="C2080" s="373"/>
      <c r="D2080" s="373"/>
      <c r="E2080" s="247"/>
      <c r="F2080" s="247"/>
      <c r="G2080" s="247"/>
      <c r="H2080" s="247"/>
      <c r="I2080" s="247"/>
      <c r="J2080" s="247"/>
      <c r="K2080" s="247"/>
      <c r="L2080" s="247"/>
      <c r="M2080" s="247"/>
      <c r="N2080" s="247"/>
      <c r="O2080" s="247"/>
      <c r="P2080" s="247"/>
      <c r="Q2080" s="247"/>
      <c r="R2080" s="247"/>
      <c r="S2080" s="247"/>
      <c r="T2080" s="247"/>
      <c r="U2080" s="247"/>
      <c r="V2080" s="247"/>
      <c r="W2080" s="247"/>
      <c r="X2080" s="247"/>
      <c r="Y2080" s="247"/>
      <c r="Z2080" s="247"/>
      <c r="AA2080" s="247"/>
      <c r="AB2080" s="247"/>
      <c r="AC2080" s="247"/>
    </row>
    <row r="2081">
      <c r="A2081" s="247"/>
      <c r="B2081" s="373"/>
      <c r="C2081" s="373"/>
      <c r="D2081" s="373"/>
      <c r="E2081" s="247"/>
      <c r="F2081" s="247"/>
      <c r="G2081" s="247"/>
      <c r="H2081" s="247"/>
      <c r="I2081" s="247"/>
      <c r="J2081" s="247"/>
      <c r="K2081" s="247"/>
      <c r="L2081" s="247"/>
      <c r="M2081" s="247"/>
      <c r="N2081" s="247"/>
      <c r="O2081" s="247"/>
      <c r="P2081" s="247"/>
      <c r="Q2081" s="247"/>
      <c r="R2081" s="247"/>
      <c r="S2081" s="247"/>
      <c r="T2081" s="247"/>
      <c r="U2081" s="247"/>
      <c r="V2081" s="247"/>
      <c r="W2081" s="247"/>
      <c r="X2081" s="247"/>
      <c r="Y2081" s="247"/>
      <c r="Z2081" s="247"/>
      <c r="AA2081" s="247"/>
      <c r="AB2081" s="247"/>
      <c r="AC2081" s="247"/>
    </row>
    <row r="2082">
      <c r="A2082" s="247"/>
      <c r="B2082" s="373"/>
      <c r="C2082" s="373"/>
      <c r="D2082" s="373"/>
      <c r="E2082" s="247"/>
      <c r="F2082" s="247"/>
      <c r="G2082" s="247"/>
      <c r="H2082" s="247"/>
      <c r="I2082" s="247"/>
      <c r="J2082" s="247"/>
      <c r="K2082" s="247"/>
      <c r="L2082" s="247"/>
      <c r="M2082" s="247"/>
      <c r="N2082" s="247"/>
      <c r="O2082" s="247"/>
      <c r="P2082" s="247"/>
      <c r="Q2082" s="247"/>
      <c r="R2082" s="247"/>
      <c r="S2082" s="247"/>
      <c r="T2082" s="247"/>
      <c r="U2082" s="247"/>
      <c r="V2082" s="247"/>
      <c r="W2082" s="247"/>
      <c r="X2082" s="247"/>
      <c r="Y2082" s="247"/>
      <c r="Z2082" s="247"/>
      <c r="AA2082" s="247"/>
      <c r="AB2082" s="247"/>
      <c r="AC2082" s="247"/>
    </row>
    <row r="2083">
      <c r="A2083" s="247"/>
      <c r="B2083" s="373"/>
      <c r="C2083" s="373"/>
      <c r="D2083" s="373"/>
      <c r="E2083" s="247"/>
      <c r="F2083" s="247"/>
      <c r="G2083" s="247"/>
      <c r="H2083" s="247"/>
      <c r="I2083" s="247"/>
      <c r="J2083" s="247"/>
      <c r="K2083" s="247"/>
      <c r="L2083" s="247"/>
      <c r="M2083" s="247"/>
      <c r="N2083" s="247"/>
      <c r="O2083" s="247"/>
      <c r="P2083" s="247"/>
      <c r="Q2083" s="247"/>
      <c r="R2083" s="247"/>
      <c r="S2083" s="247"/>
      <c r="T2083" s="247"/>
      <c r="U2083" s="247"/>
      <c r="V2083" s="247"/>
      <c r="W2083" s="247"/>
      <c r="X2083" s="247"/>
      <c r="Y2083" s="247"/>
      <c r="Z2083" s="247"/>
      <c r="AA2083" s="247"/>
      <c r="AB2083" s="247"/>
      <c r="AC2083" s="247"/>
    </row>
    <row r="2084">
      <c r="A2084" s="247"/>
      <c r="B2084" s="373"/>
      <c r="C2084" s="373"/>
      <c r="D2084" s="373"/>
      <c r="E2084" s="247"/>
      <c r="F2084" s="247"/>
      <c r="G2084" s="247"/>
      <c r="H2084" s="247"/>
      <c r="I2084" s="247"/>
      <c r="J2084" s="247"/>
      <c r="K2084" s="247"/>
      <c r="L2084" s="247"/>
      <c r="M2084" s="247"/>
      <c r="N2084" s="247"/>
      <c r="O2084" s="247"/>
      <c r="P2084" s="247"/>
      <c r="Q2084" s="247"/>
      <c r="R2084" s="247"/>
      <c r="S2084" s="247"/>
      <c r="T2084" s="247"/>
      <c r="U2084" s="247"/>
      <c r="V2084" s="247"/>
      <c r="W2084" s="247"/>
      <c r="X2084" s="247"/>
      <c r="Y2084" s="247"/>
      <c r="Z2084" s="247"/>
      <c r="AA2084" s="247"/>
      <c r="AB2084" s="247"/>
      <c r="AC2084" s="247"/>
    </row>
    <row r="2085">
      <c r="A2085" s="247"/>
      <c r="B2085" s="373"/>
      <c r="C2085" s="373"/>
      <c r="D2085" s="373"/>
      <c r="E2085" s="247"/>
      <c r="F2085" s="247"/>
      <c r="G2085" s="247"/>
      <c r="H2085" s="247"/>
      <c r="I2085" s="247"/>
      <c r="J2085" s="247"/>
      <c r="K2085" s="247"/>
      <c r="L2085" s="247"/>
      <c r="M2085" s="247"/>
      <c r="N2085" s="247"/>
      <c r="O2085" s="247"/>
      <c r="P2085" s="247"/>
      <c r="Q2085" s="247"/>
      <c r="R2085" s="247"/>
      <c r="S2085" s="247"/>
      <c r="T2085" s="247"/>
      <c r="U2085" s="247"/>
      <c r="V2085" s="247"/>
      <c r="W2085" s="247"/>
      <c r="X2085" s="247"/>
      <c r="Y2085" s="247"/>
      <c r="Z2085" s="247"/>
      <c r="AA2085" s="247"/>
      <c r="AB2085" s="247"/>
      <c r="AC2085" s="247"/>
    </row>
    <row r="2086">
      <c r="A2086" s="247"/>
      <c r="B2086" s="373"/>
      <c r="C2086" s="373"/>
      <c r="D2086" s="373"/>
      <c r="E2086" s="247"/>
      <c r="F2086" s="247"/>
      <c r="G2086" s="247"/>
      <c r="H2086" s="247"/>
      <c r="I2086" s="247"/>
      <c r="J2086" s="247"/>
      <c r="K2086" s="247"/>
      <c r="L2086" s="247"/>
      <c r="M2086" s="247"/>
      <c r="N2086" s="247"/>
      <c r="O2086" s="247"/>
      <c r="P2086" s="247"/>
      <c r="Q2086" s="247"/>
      <c r="R2086" s="247"/>
      <c r="S2086" s="247"/>
      <c r="T2086" s="247"/>
      <c r="U2086" s="247"/>
      <c r="V2086" s="247"/>
      <c r="W2086" s="247"/>
      <c r="X2086" s="247"/>
      <c r="Y2086" s="247"/>
      <c r="Z2086" s="247"/>
      <c r="AA2086" s="247"/>
      <c r="AB2086" s="247"/>
      <c r="AC2086" s="247"/>
    </row>
    <row r="2087">
      <c r="A2087" s="247"/>
      <c r="B2087" s="373"/>
      <c r="C2087" s="373"/>
      <c r="D2087" s="373"/>
      <c r="E2087" s="247"/>
      <c r="F2087" s="247"/>
      <c r="G2087" s="247"/>
      <c r="H2087" s="247"/>
      <c r="I2087" s="247"/>
      <c r="J2087" s="247"/>
      <c r="K2087" s="247"/>
      <c r="L2087" s="247"/>
      <c r="M2087" s="247"/>
      <c r="N2087" s="247"/>
      <c r="O2087" s="247"/>
      <c r="P2087" s="247"/>
      <c r="Q2087" s="247"/>
      <c r="R2087" s="247"/>
      <c r="S2087" s="247"/>
      <c r="T2087" s="247"/>
      <c r="U2087" s="247"/>
      <c r="V2087" s="247"/>
      <c r="W2087" s="247"/>
      <c r="X2087" s="247"/>
      <c r="Y2087" s="247"/>
      <c r="Z2087" s="247"/>
      <c r="AA2087" s="247"/>
      <c r="AB2087" s="247"/>
      <c r="AC2087" s="247"/>
    </row>
    <row r="2088">
      <c r="A2088" s="247"/>
      <c r="B2088" s="373"/>
      <c r="C2088" s="373"/>
      <c r="D2088" s="373"/>
      <c r="E2088" s="247"/>
      <c r="F2088" s="247"/>
      <c r="G2088" s="247"/>
      <c r="H2088" s="247"/>
      <c r="I2088" s="247"/>
      <c r="J2088" s="247"/>
      <c r="K2088" s="247"/>
      <c r="L2088" s="247"/>
      <c r="M2088" s="247"/>
      <c r="N2088" s="247"/>
      <c r="O2088" s="247"/>
      <c r="P2088" s="247"/>
      <c r="Q2088" s="247"/>
      <c r="R2088" s="247"/>
      <c r="S2088" s="247"/>
      <c r="T2088" s="247"/>
      <c r="U2088" s="247"/>
      <c r="V2088" s="247"/>
      <c r="W2088" s="247"/>
      <c r="X2088" s="247"/>
      <c r="Y2088" s="247"/>
      <c r="Z2088" s="247"/>
      <c r="AA2088" s="247"/>
      <c r="AB2088" s="247"/>
      <c r="AC2088" s="247"/>
    </row>
    <row r="2089">
      <c r="A2089" s="247"/>
      <c r="B2089" s="373"/>
      <c r="C2089" s="373"/>
      <c r="D2089" s="373"/>
      <c r="E2089" s="247"/>
      <c r="F2089" s="247"/>
      <c r="G2089" s="247"/>
      <c r="H2089" s="247"/>
      <c r="I2089" s="247"/>
      <c r="J2089" s="247"/>
      <c r="K2089" s="247"/>
      <c r="L2089" s="247"/>
      <c r="M2089" s="247"/>
      <c r="N2089" s="247"/>
      <c r="O2089" s="247"/>
      <c r="P2089" s="247"/>
      <c r="Q2089" s="247"/>
      <c r="R2089" s="247"/>
      <c r="S2089" s="247"/>
      <c r="T2089" s="247"/>
      <c r="U2089" s="247"/>
      <c r="V2089" s="247"/>
      <c r="W2089" s="247"/>
      <c r="X2089" s="247"/>
      <c r="Y2089" s="247"/>
      <c r="Z2089" s="247"/>
      <c r="AA2089" s="247"/>
      <c r="AB2089" s="247"/>
      <c r="AC2089" s="247"/>
    </row>
    <row r="2090">
      <c r="A2090" s="247"/>
      <c r="B2090" s="373"/>
      <c r="C2090" s="373"/>
      <c r="D2090" s="373"/>
      <c r="E2090" s="247"/>
      <c r="F2090" s="247"/>
      <c r="G2090" s="247"/>
      <c r="H2090" s="247"/>
      <c r="I2090" s="247"/>
      <c r="J2090" s="247"/>
      <c r="K2090" s="247"/>
      <c r="L2090" s="247"/>
      <c r="M2090" s="247"/>
      <c r="N2090" s="247"/>
      <c r="O2090" s="247"/>
      <c r="P2090" s="247"/>
      <c r="Q2090" s="247"/>
      <c r="R2090" s="247"/>
      <c r="S2090" s="247"/>
      <c r="T2090" s="247"/>
      <c r="U2090" s="247"/>
      <c r="V2090" s="247"/>
      <c r="W2090" s="247"/>
      <c r="X2090" s="247"/>
      <c r="Y2090" s="247"/>
      <c r="Z2090" s="247"/>
      <c r="AA2090" s="247"/>
      <c r="AB2090" s="247"/>
      <c r="AC2090" s="247"/>
    </row>
    <row r="2091">
      <c r="A2091" s="247"/>
      <c r="B2091" s="373"/>
      <c r="C2091" s="373"/>
      <c r="D2091" s="373"/>
      <c r="E2091" s="247"/>
      <c r="F2091" s="247"/>
      <c r="G2091" s="247"/>
      <c r="H2091" s="247"/>
      <c r="I2091" s="247"/>
      <c r="J2091" s="247"/>
      <c r="K2091" s="247"/>
      <c r="L2091" s="247"/>
      <c r="M2091" s="247"/>
      <c r="N2091" s="247"/>
      <c r="O2091" s="247"/>
      <c r="P2091" s="247"/>
      <c r="Q2091" s="247"/>
      <c r="R2091" s="247"/>
      <c r="S2091" s="247"/>
      <c r="T2091" s="247"/>
      <c r="U2091" s="247"/>
      <c r="V2091" s="247"/>
      <c r="W2091" s="247"/>
      <c r="X2091" s="247"/>
      <c r="Y2091" s="247"/>
      <c r="Z2091" s="247"/>
      <c r="AA2091" s="247"/>
      <c r="AB2091" s="247"/>
      <c r="AC2091" s="247"/>
    </row>
    <row r="2092">
      <c r="A2092" s="247"/>
      <c r="B2092" s="373"/>
      <c r="C2092" s="373"/>
      <c r="D2092" s="373"/>
      <c r="E2092" s="247"/>
      <c r="F2092" s="247"/>
      <c r="G2092" s="247"/>
      <c r="H2092" s="247"/>
      <c r="I2092" s="247"/>
      <c r="J2092" s="247"/>
      <c r="K2092" s="247"/>
      <c r="L2092" s="247"/>
      <c r="M2092" s="247"/>
      <c r="N2092" s="247"/>
      <c r="O2092" s="247"/>
      <c r="P2092" s="247"/>
      <c r="Q2092" s="247"/>
      <c r="R2092" s="247"/>
      <c r="S2092" s="247"/>
      <c r="T2092" s="247"/>
      <c r="U2092" s="247"/>
      <c r="V2092" s="247"/>
      <c r="W2092" s="247"/>
      <c r="X2092" s="247"/>
      <c r="Y2092" s="247"/>
      <c r="Z2092" s="247"/>
      <c r="AA2092" s="247"/>
      <c r="AB2092" s="247"/>
      <c r="AC2092" s="247"/>
    </row>
    <row r="2093">
      <c r="A2093" s="247"/>
      <c r="B2093" s="373"/>
      <c r="C2093" s="373"/>
      <c r="D2093" s="373"/>
      <c r="E2093" s="247"/>
      <c r="F2093" s="247"/>
      <c r="G2093" s="247"/>
      <c r="H2093" s="247"/>
      <c r="I2093" s="247"/>
      <c r="J2093" s="247"/>
      <c r="K2093" s="247"/>
      <c r="L2093" s="247"/>
      <c r="M2093" s="247"/>
      <c r="N2093" s="247"/>
      <c r="O2093" s="247"/>
      <c r="P2093" s="247"/>
      <c r="Q2093" s="247"/>
      <c r="R2093" s="247"/>
      <c r="S2093" s="247"/>
      <c r="T2093" s="247"/>
      <c r="U2093" s="247"/>
      <c r="V2093" s="247"/>
      <c r="W2093" s="247"/>
      <c r="X2093" s="247"/>
      <c r="Y2093" s="247"/>
      <c r="Z2093" s="247"/>
      <c r="AA2093" s="247"/>
      <c r="AB2093" s="247"/>
      <c r="AC2093" s="247"/>
    </row>
    <row r="2094">
      <c r="A2094" s="247"/>
      <c r="B2094" s="373"/>
      <c r="C2094" s="373"/>
      <c r="D2094" s="373"/>
      <c r="E2094" s="247"/>
      <c r="F2094" s="247"/>
      <c r="G2094" s="247"/>
      <c r="H2094" s="247"/>
      <c r="I2094" s="247"/>
      <c r="J2094" s="247"/>
      <c r="K2094" s="247"/>
      <c r="L2094" s="247"/>
      <c r="M2094" s="247"/>
      <c r="N2094" s="247"/>
      <c r="O2094" s="247"/>
      <c r="P2094" s="247"/>
      <c r="Q2094" s="247"/>
      <c r="R2094" s="247"/>
      <c r="S2094" s="247"/>
      <c r="T2094" s="247"/>
      <c r="U2094" s="247"/>
      <c r="V2094" s="247"/>
      <c r="W2094" s="247"/>
      <c r="X2094" s="247"/>
      <c r="Y2094" s="247"/>
      <c r="Z2094" s="247"/>
      <c r="AA2094" s="247"/>
      <c r="AB2094" s="247"/>
      <c r="AC2094" s="247"/>
    </row>
    <row r="2095">
      <c r="A2095" s="247"/>
      <c r="B2095" s="373"/>
      <c r="C2095" s="373"/>
      <c r="D2095" s="373"/>
      <c r="E2095" s="247"/>
      <c r="F2095" s="247"/>
      <c r="G2095" s="247"/>
      <c r="H2095" s="247"/>
      <c r="I2095" s="247"/>
      <c r="J2095" s="247"/>
      <c r="K2095" s="247"/>
      <c r="L2095" s="247"/>
      <c r="M2095" s="247"/>
      <c r="N2095" s="247"/>
      <c r="O2095" s="247"/>
      <c r="P2095" s="247"/>
      <c r="Q2095" s="247"/>
      <c r="R2095" s="247"/>
      <c r="S2095" s="247"/>
      <c r="T2095" s="247"/>
      <c r="U2095" s="247"/>
      <c r="V2095" s="247"/>
      <c r="W2095" s="247"/>
      <c r="X2095" s="247"/>
      <c r="Y2095" s="247"/>
      <c r="Z2095" s="247"/>
      <c r="AA2095" s="247"/>
      <c r="AB2095" s="247"/>
      <c r="AC2095" s="247"/>
    </row>
    <row r="2096">
      <c r="A2096" s="247"/>
      <c r="B2096" s="373"/>
      <c r="C2096" s="373"/>
      <c r="D2096" s="373"/>
      <c r="E2096" s="247"/>
      <c r="F2096" s="247"/>
      <c r="G2096" s="247"/>
      <c r="H2096" s="247"/>
      <c r="I2096" s="247"/>
      <c r="J2096" s="247"/>
      <c r="K2096" s="247"/>
      <c r="L2096" s="247"/>
      <c r="M2096" s="247"/>
      <c r="N2096" s="247"/>
      <c r="O2096" s="247"/>
      <c r="P2096" s="247"/>
      <c r="Q2096" s="247"/>
      <c r="R2096" s="247"/>
      <c r="S2096" s="247"/>
      <c r="T2096" s="247"/>
      <c r="U2096" s="247"/>
      <c r="V2096" s="247"/>
      <c r="W2096" s="247"/>
      <c r="X2096" s="247"/>
      <c r="Y2096" s="247"/>
      <c r="Z2096" s="247"/>
      <c r="AA2096" s="247"/>
      <c r="AB2096" s="247"/>
      <c r="AC2096" s="247"/>
    </row>
    <row r="2097">
      <c r="A2097" s="247"/>
      <c r="B2097" s="373"/>
      <c r="C2097" s="373"/>
      <c r="D2097" s="373"/>
      <c r="E2097" s="247"/>
      <c r="F2097" s="247"/>
      <c r="G2097" s="247"/>
      <c r="H2097" s="247"/>
      <c r="I2097" s="247"/>
      <c r="J2097" s="247"/>
      <c r="K2097" s="247"/>
      <c r="L2097" s="247"/>
      <c r="M2097" s="247"/>
      <c r="N2097" s="247"/>
      <c r="O2097" s="247"/>
      <c r="P2097" s="247"/>
      <c r="Q2097" s="247"/>
      <c r="R2097" s="247"/>
      <c r="S2097" s="247"/>
      <c r="T2097" s="247"/>
      <c r="U2097" s="247"/>
      <c r="V2097" s="247"/>
      <c r="W2097" s="247"/>
      <c r="X2097" s="247"/>
      <c r="Y2097" s="247"/>
      <c r="Z2097" s="247"/>
      <c r="AA2097" s="247"/>
      <c r="AB2097" s="247"/>
      <c r="AC2097" s="247"/>
    </row>
    <row r="2098">
      <c r="A2098" s="247"/>
      <c r="B2098" s="373"/>
      <c r="C2098" s="373"/>
      <c r="D2098" s="373"/>
      <c r="E2098" s="247"/>
      <c r="F2098" s="247"/>
      <c r="G2098" s="247"/>
      <c r="H2098" s="247"/>
      <c r="I2098" s="247"/>
      <c r="J2098" s="247"/>
      <c r="K2098" s="247"/>
      <c r="L2098" s="247"/>
      <c r="M2098" s="247"/>
      <c r="N2098" s="247"/>
      <c r="O2098" s="247"/>
      <c r="P2098" s="247"/>
      <c r="Q2098" s="247"/>
      <c r="R2098" s="247"/>
      <c r="S2098" s="247"/>
      <c r="T2098" s="247"/>
      <c r="U2098" s="247"/>
      <c r="V2098" s="247"/>
      <c r="W2098" s="247"/>
      <c r="X2098" s="247"/>
      <c r="Y2098" s="247"/>
      <c r="Z2098" s="247"/>
      <c r="AA2098" s="247"/>
      <c r="AB2098" s="247"/>
      <c r="AC2098" s="247"/>
    </row>
    <row r="2099">
      <c r="A2099" s="247"/>
      <c r="B2099" s="373"/>
      <c r="C2099" s="373"/>
      <c r="D2099" s="373"/>
      <c r="E2099" s="247"/>
      <c r="F2099" s="247"/>
      <c r="G2099" s="247"/>
      <c r="H2099" s="247"/>
      <c r="I2099" s="247"/>
      <c r="J2099" s="247"/>
      <c r="K2099" s="247"/>
      <c r="L2099" s="247"/>
      <c r="M2099" s="247"/>
      <c r="N2099" s="247"/>
      <c r="O2099" s="247"/>
      <c r="P2099" s="247"/>
      <c r="Q2099" s="247"/>
      <c r="R2099" s="247"/>
      <c r="S2099" s="247"/>
      <c r="T2099" s="247"/>
      <c r="U2099" s="247"/>
      <c r="V2099" s="247"/>
      <c r="W2099" s="247"/>
      <c r="X2099" s="247"/>
      <c r="Y2099" s="247"/>
      <c r="Z2099" s="247"/>
      <c r="AA2099" s="247"/>
      <c r="AB2099" s="247"/>
      <c r="AC2099" s="247"/>
    </row>
    <row r="2100">
      <c r="A2100" s="247"/>
      <c r="B2100" s="373"/>
      <c r="C2100" s="373"/>
      <c r="D2100" s="373"/>
      <c r="E2100" s="247"/>
      <c r="F2100" s="247"/>
      <c r="G2100" s="247"/>
      <c r="H2100" s="247"/>
      <c r="I2100" s="247"/>
      <c r="J2100" s="247"/>
      <c r="K2100" s="247"/>
      <c r="L2100" s="247"/>
      <c r="M2100" s="247"/>
      <c r="N2100" s="247"/>
      <c r="O2100" s="247"/>
      <c r="P2100" s="247"/>
      <c r="Q2100" s="247"/>
      <c r="R2100" s="247"/>
      <c r="S2100" s="247"/>
      <c r="T2100" s="247"/>
      <c r="U2100" s="247"/>
      <c r="V2100" s="247"/>
      <c r="W2100" s="247"/>
      <c r="X2100" s="247"/>
      <c r="Y2100" s="247"/>
      <c r="Z2100" s="247"/>
      <c r="AA2100" s="247"/>
      <c r="AB2100" s="247"/>
      <c r="AC2100" s="247"/>
    </row>
    <row r="2101">
      <c r="A2101" s="247"/>
      <c r="B2101" s="373"/>
      <c r="C2101" s="373"/>
      <c r="D2101" s="373"/>
      <c r="E2101" s="247"/>
      <c r="F2101" s="247"/>
      <c r="G2101" s="247"/>
      <c r="H2101" s="247"/>
      <c r="I2101" s="247"/>
      <c r="J2101" s="247"/>
      <c r="K2101" s="247"/>
      <c r="L2101" s="247"/>
      <c r="M2101" s="247"/>
      <c r="N2101" s="247"/>
      <c r="O2101" s="247"/>
      <c r="P2101" s="247"/>
      <c r="Q2101" s="247"/>
      <c r="R2101" s="247"/>
      <c r="S2101" s="247"/>
      <c r="T2101" s="247"/>
      <c r="U2101" s="247"/>
      <c r="V2101" s="247"/>
      <c r="W2101" s="247"/>
      <c r="X2101" s="247"/>
      <c r="Y2101" s="247"/>
      <c r="Z2101" s="247"/>
      <c r="AA2101" s="247"/>
      <c r="AB2101" s="247"/>
      <c r="AC2101" s="247"/>
    </row>
    <row r="2102">
      <c r="A2102" s="247"/>
      <c r="B2102" s="373"/>
      <c r="C2102" s="373"/>
      <c r="D2102" s="373"/>
      <c r="E2102" s="247"/>
      <c r="F2102" s="247"/>
      <c r="G2102" s="247"/>
      <c r="H2102" s="247"/>
      <c r="I2102" s="247"/>
      <c r="J2102" s="247"/>
      <c r="K2102" s="247"/>
      <c r="L2102" s="247"/>
      <c r="M2102" s="247"/>
      <c r="N2102" s="247"/>
      <c r="O2102" s="247"/>
      <c r="P2102" s="247"/>
      <c r="Q2102" s="247"/>
      <c r="R2102" s="247"/>
      <c r="S2102" s="247"/>
      <c r="T2102" s="247"/>
      <c r="U2102" s="247"/>
      <c r="V2102" s="247"/>
      <c r="W2102" s="247"/>
      <c r="X2102" s="247"/>
      <c r="Y2102" s="247"/>
      <c r="Z2102" s="247"/>
      <c r="AA2102" s="247"/>
      <c r="AB2102" s="247"/>
      <c r="AC2102" s="247"/>
    </row>
    <row r="2103">
      <c r="A2103" s="247"/>
      <c r="B2103" s="373"/>
      <c r="C2103" s="373"/>
      <c r="D2103" s="373"/>
      <c r="E2103" s="247"/>
      <c r="F2103" s="247"/>
      <c r="G2103" s="247"/>
      <c r="H2103" s="247"/>
      <c r="I2103" s="247"/>
      <c r="J2103" s="247"/>
      <c r="K2103" s="247"/>
      <c r="L2103" s="247"/>
      <c r="M2103" s="247"/>
      <c r="N2103" s="247"/>
      <c r="O2103" s="247"/>
      <c r="P2103" s="247"/>
      <c r="Q2103" s="247"/>
      <c r="R2103" s="247"/>
      <c r="S2103" s="247"/>
      <c r="T2103" s="247"/>
      <c r="U2103" s="247"/>
      <c r="V2103" s="247"/>
      <c r="W2103" s="247"/>
      <c r="X2103" s="247"/>
      <c r="Y2103" s="247"/>
      <c r="Z2103" s="247"/>
      <c r="AA2103" s="247"/>
      <c r="AB2103" s="247"/>
      <c r="AC2103" s="247"/>
    </row>
    <row r="2104">
      <c r="A2104" s="247"/>
      <c r="B2104" s="373"/>
      <c r="C2104" s="373"/>
      <c r="D2104" s="373"/>
      <c r="E2104" s="247"/>
      <c r="F2104" s="247"/>
      <c r="G2104" s="247"/>
      <c r="H2104" s="247"/>
      <c r="I2104" s="247"/>
      <c r="J2104" s="247"/>
      <c r="K2104" s="247"/>
      <c r="L2104" s="247"/>
      <c r="M2104" s="247"/>
      <c r="N2104" s="247"/>
      <c r="O2104" s="247"/>
      <c r="P2104" s="247"/>
      <c r="Q2104" s="247"/>
      <c r="R2104" s="247"/>
      <c r="S2104" s="247"/>
      <c r="T2104" s="247"/>
      <c r="U2104" s="247"/>
      <c r="V2104" s="247"/>
      <c r="W2104" s="247"/>
      <c r="X2104" s="247"/>
      <c r="Y2104" s="247"/>
      <c r="Z2104" s="247"/>
      <c r="AA2104" s="247"/>
      <c r="AB2104" s="247"/>
      <c r="AC2104" s="247"/>
    </row>
    <row r="2105">
      <c r="A2105" s="247"/>
      <c r="B2105" s="373"/>
      <c r="C2105" s="373"/>
      <c r="D2105" s="373"/>
      <c r="E2105" s="247"/>
      <c r="F2105" s="247"/>
      <c r="G2105" s="247"/>
      <c r="H2105" s="247"/>
      <c r="I2105" s="247"/>
      <c r="J2105" s="247"/>
      <c r="K2105" s="247"/>
      <c r="L2105" s="247"/>
      <c r="M2105" s="247"/>
      <c r="N2105" s="247"/>
      <c r="O2105" s="247"/>
      <c r="P2105" s="247"/>
      <c r="Q2105" s="247"/>
      <c r="R2105" s="247"/>
      <c r="S2105" s="247"/>
      <c r="T2105" s="247"/>
      <c r="U2105" s="247"/>
      <c r="V2105" s="247"/>
      <c r="W2105" s="247"/>
      <c r="X2105" s="247"/>
      <c r="Y2105" s="247"/>
      <c r="Z2105" s="247"/>
      <c r="AA2105" s="247"/>
      <c r="AB2105" s="247"/>
      <c r="AC2105" s="247"/>
    </row>
    <row r="2106">
      <c r="A2106" s="247"/>
      <c r="B2106" s="373"/>
      <c r="C2106" s="373"/>
      <c r="D2106" s="373"/>
      <c r="E2106" s="247"/>
      <c r="F2106" s="247"/>
      <c r="G2106" s="247"/>
      <c r="H2106" s="247"/>
      <c r="I2106" s="247"/>
      <c r="J2106" s="247"/>
      <c r="K2106" s="247"/>
      <c r="L2106" s="247"/>
      <c r="M2106" s="247"/>
      <c r="N2106" s="247"/>
      <c r="O2106" s="247"/>
      <c r="P2106" s="247"/>
      <c r="Q2106" s="247"/>
      <c r="R2106" s="247"/>
      <c r="S2106" s="247"/>
      <c r="T2106" s="247"/>
      <c r="U2106" s="247"/>
      <c r="V2106" s="247"/>
      <c r="W2106" s="247"/>
      <c r="X2106" s="247"/>
      <c r="Y2106" s="247"/>
      <c r="Z2106" s="247"/>
      <c r="AA2106" s="247"/>
      <c r="AB2106" s="247"/>
      <c r="AC2106" s="247"/>
    </row>
    <row r="2107">
      <c r="A2107" s="247"/>
      <c r="B2107" s="373"/>
      <c r="C2107" s="373"/>
      <c r="D2107" s="373"/>
      <c r="E2107" s="247"/>
      <c r="F2107" s="247"/>
      <c r="G2107" s="247"/>
      <c r="H2107" s="247"/>
      <c r="I2107" s="247"/>
      <c r="J2107" s="247"/>
      <c r="K2107" s="247"/>
      <c r="L2107" s="247"/>
      <c r="M2107" s="247"/>
      <c r="N2107" s="247"/>
      <c r="O2107" s="247"/>
      <c r="P2107" s="247"/>
      <c r="Q2107" s="247"/>
      <c r="R2107" s="247"/>
      <c r="S2107" s="247"/>
      <c r="T2107" s="247"/>
      <c r="U2107" s="247"/>
      <c r="V2107" s="247"/>
      <c r="W2107" s="247"/>
      <c r="X2107" s="247"/>
      <c r="Y2107" s="247"/>
      <c r="Z2107" s="247"/>
      <c r="AA2107" s="247"/>
      <c r="AB2107" s="247"/>
      <c r="AC2107" s="247"/>
    </row>
    <row r="2108">
      <c r="A2108" s="247"/>
      <c r="B2108" s="373"/>
      <c r="C2108" s="373"/>
      <c r="D2108" s="373"/>
      <c r="E2108" s="247"/>
      <c r="F2108" s="247"/>
      <c r="G2108" s="247"/>
      <c r="H2108" s="247"/>
      <c r="I2108" s="247"/>
      <c r="J2108" s="247"/>
      <c r="K2108" s="247"/>
      <c r="L2108" s="247"/>
      <c r="M2108" s="247"/>
      <c r="N2108" s="247"/>
      <c r="O2108" s="247"/>
      <c r="P2108" s="247"/>
      <c r="Q2108" s="247"/>
      <c r="R2108" s="247"/>
      <c r="S2108" s="247"/>
      <c r="T2108" s="247"/>
      <c r="U2108" s="247"/>
      <c r="V2108" s="247"/>
      <c r="W2108" s="247"/>
      <c r="X2108" s="247"/>
      <c r="Y2108" s="247"/>
      <c r="Z2108" s="247"/>
      <c r="AA2108" s="247"/>
      <c r="AB2108" s="247"/>
      <c r="AC2108" s="247"/>
    </row>
    <row r="2109">
      <c r="A2109" s="247"/>
      <c r="B2109" s="373"/>
      <c r="C2109" s="373"/>
      <c r="D2109" s="373"/>
      <c r="E2109" s="247"/>
      <c r="F2109" s="247"/>
      <c r="G2109" s="247"/>
      <c r="H2109" s="247"/>
      <c r="I2109" s="247"/>
      <c r="J2109" s="247"/>
      <c r="K2109" s="247"/>
      <c r="L2109" s="247"/>
      <c r="M2109" s="247"/>
      <c r="N2109" s="247"/>
      <c r="O2109" s="247"/>
      <c r="P2109" s="247"/>
      <c r="Q2109" s="247"/>
      <c r="R2109" s="247"/>
      <c r="S2109" s="247"/>
      <c r="T2109" s="247"/>
      <c r="U2109" s="247"/>
      <c r="V2109" s="247"/>
      <c r="W2109" s="247"/>
      <c r="X2109" s="247"/>
      <c r="Y2109" s="247"/>
      <c r="Z2109" s="247"/>
      <c r="AA2109" s="247"/>
      <c r="AB2109" s="247"/>
      <c r="AC2109" s="247"/>
    </row>
    <row r="2110">
      <c r="A2110" s="247"/>
      <c r="B2110" s="373"/>
      <c r="C2110" s="373"/>
      <c r="D2110" s="373"/>
      <c r="E2110" s="247"/>
      <c r="F2110" s="247"/>
      <c r="G2110" s="247"/>
      <c r="H2110" s="247"/>
      <c r="I2110" s="247"/>
      <c r="J2110" s="247"/>
      <c r="K2110" s="247"/>
      <c r="L2110" s="247"/>
      <c r="M2110" s="247"/>
      <c r="N2110" s="247"/>
      <c r="O2110" s="247"/>
      <c r="P2110" s="247"/>
      <c r="Q2110" s="247"/>
      <c r="R2110" s="247"/>
      <c r="S2110" s="247"/>
      <c r="T2110" s="247"/>
      <c r="U2110" s="247"/>
      <c r="V2110" s="247"/>
      <c r="W2110" s="247"/>
      <c r="X2110" s="247"/>
      <c r="Y2110" s="247"/>
      <c r="Z2110" s="247"/>
      <c r="AA2110" s="247"/>
      <c r="AB2110" s="247"/>
      <c r="AC2110" s="247"/>
    </row>
    <row r="2111">
      <c r="A2111" s="247"/>
      <c r="B2111" s="373"/>
      <c r="C2111" s="373"/>
      <c r="D2111" s="373"/>
      <c r="E2111" s="247"/>
      <c r="F2111" s="247"/>
      <c r="G2111" s="247"/>
      <c r="H2111" s="247"/>
      <c r="I2111" s="247"/>
      <c r="J2111" s="247"/>
      <c r="K2111" s="247"/>
      <c r="L2111" s="247"/>
      <c r="M2111" s="247"/>
      <c r="N2111" s="247"/>
      <c r="O2111" s="247"/>
      <c r="P2111" s="247"/>
      <c r="Q2111" s="247"/>
      <c r="R2111" s="247"/>
      <c r="S2111" s="247"/>
      <c r="T2111" s="247"/>
      <c r="U2111" s="247"/>
      <c r="V2111" s="247"/>
      <c r="W2111" s="247"/>
      <c r="X2111" s="247"/>
      <c r="Y2111" s="247"/>
      <c r="Z2111" s="247"/>
      <c r="AA2111" s="247"/>
      <c r="AB2111" s="247"/>
      <c r="AC2111" s="247"/>
    </row>
    <row r="2112">
      <c r="A2112" s="247"/>
      <c r="B2112" s="373"/>
      <c r="C2112" s="373"/>
      <c r="D2112" s="373"/>
      <c r="E2112" s="247"/>
      <c r="F2112" s="247"/>
      <c r="G2112" s="247"/>
      <c r="H2112" s="247"/>
      <c r="I2112" s="247"/>
      <c r="J2112" s="247"/>
      <c r="K2112" s="247"/>
      <c r="L2112" s="247"/>
      <c r="M2112" s="247"/>
      <c r="N2112" s="247"/>
      <c r="O2112" s="247"/>
      <c r="P2112" s="247"/>
      <c r="Q2112" s="247"/>
      <c r="R2112" s="247"/>
      <c r="S2112" s="247"/>
      <c r="T2112" s="247"/>
      <c r="U2112" s="247"/>
      <c r="V2112" s="247"/>
      <c r="W2112" s="247"/>
      <c r="X2112" s="247"/>
      <c r="Y2112" s="247"/>
      <c r="Z2112" s="247"/>
      <c r="AA2112" s="247"/>
      <c r="AB2112" s="247"/>
      <c r="AC2112" s="247"/>
    </row>
    <row r="2113">
      <c r="A2113" s="247"/>
      <c r="B2113" s="373"/>
      <c r="C2113" s="373"/>
      <c r="D2113" s="373"/>
      <c r="E2113" s="247"/>
      <c r="F2113" s="247"/>
      <c r="G2113" s="247"/>
      <c r="H2113" s="247"/>
      <c r="I2113" s="247"/>
      <c r="J2113" s="247"/>
      <c r="K2113" s="247"/>
      <c r="L2113" s="247"/>
      <c r="M2113" s="247"/>
      <c r="N2113" s="247"/>
      <c r="O2113" s="247"/>
      <c r="P2113" s="247"/>
      <c r="Q2113" s="247"/>
      <c r="R2113" s="247"/>
      <c r="S2113" s="247"/>
      <c r="T2113" s="247"/>
      <c r="U2113" s="247"/>
      <c r="V2113" s="247"/>
      <c r="W2113" s="247"/>
      <c r="X2113" s="247"/>
      <c r="Y2113" s="247"/>
      <c r="Z2113" s="247"/>
      <c r="AA2113" s="247"/>
      <c r="AB2113" s="247"/>
      <c r="AC2113" s="247"/>
    </row>
    <row r="2114">
      <c r="A2114" s="247"/>
      <c r="B2114" s="373"/>
      <c r="C2114" s="373"/>
      <c r="D2114" s="373"/>
      <c r="E2114" s="247"/>
      <c r="F2114" s="247"/>
      <c r="G2114" s="247"/>
      <c r="H2114" s="247"/>
      <c r="I2114" s="247"/>
      <c r="J2114" s="247"/>
      <c r="K2114" s="247"/>
      <c r="L2114" s="247"/>
      <c r="M2114" s="247"/>
      <c r="N2114" s="247"/>
      <c r="O2114" s="247"/>
      <c r="P2114" s="247"/>
      <c r="Q2114" s="247"/>
      <c r="R2114" s="247"/>
      <c r="S2114" s="247"/>
      <c r="T2114" s="247"/>
      <c r="U2114" s="247"/>
      <c r="V2114" s="247"/>
      <c r="W2114" s="247"/>
      <c r="X2114" s="247"/>
      <c r="Y2114" s="247"/>
      <c r="Z2114" s="247"/>
      <c r="AA2114" s="247"/>
      <c r="AB2114" s="247"/>
      <c r="AC2114" s="247"/>
    </row>
    <row r="2115">
      <c r="A2115" s="247"/>
      <c r="B2115" s="373"/>
      <c r="C2115" s="373"/>
      <c r="D2115" s="373"/>
      <c r="E2115" s="247"/>
      <c r="F2115" s="247"/>
      <c r="G2115" s="247"/>
      <c r="H2115" s="247"/>
      <c r="I2115" s="247"/>
      <c r="J2115" s="247"/>
      <c r="K2115" s="247"/>
      <c r="L2115" s="247"/>
      <c r="M2115" s="247"/>
      <c r="N2115" s="247"/>
      <c r="O2115" s="247"/>
      <c r="P2115" s="247"/>
      <c r="Q2115" s="247"/>
      <c r="R2115" s="247"/>
      <c r="S2115" s="247"/>
      <c r="T2115" s="247"/>
      <c r="U2115" s="247"/>
      <c r="V2115" s="247"/>
      <c r="W2115" s="247"/>
      <c r="X2115" s="247"/>
      <c r="Y2115" s="247"/>
      <c r="Z2115" s="247"/>
      <c r="AA2115" s="247"/>
      <c r="AB2115" s="247"/>
      <c r="AC2115" s="247"/>
    </row>
    <row r="2116">
      <c r="A2116" s="247"/>
      <c r="B2116" s="373"/>
      <c r="C2116" s="373"/>
      <c r="D2116" s="373"/>
      <c r="E2116" s="247"/>
      <c r="F2116" s="247"/>
      <c r="G2116" s="247"/>
      <c r="H2116" s="247"/>
      <c r="I2116" s="247"/>
      <c r="J2116" s="247"/>
      <c r="K2116" s="247"/>
      <c r="L2116" s="247"/>
      <c r="M2116" s="247"/>
      <c r="N2116" s="247"/>
      <c r="O2116" s="247"/>
      <c r="P2116" s="247"/>
      <c r="Q2116" s="247"/>
      <c r="R2116" s="247"/>
      <c r="S2116" s="247"/>
      <c r="T2116" s="247"/>
      <c r="U2116" s="247"/>
      <c r="V2116" s="247"/>
      <c r="W2116" s="247"/>
      <c r="X2116" s="247"/>
      <c r="Y2116" s="247"/>
      <c r="Z2116" s="247"/>
      <c r="AA2116" s="247"/>
      <c r="AB2116" s="247"/>
      <c r="AC2116" s="247"/>
    </row>
    <row r="2117">
      <c r="A2117" s="247"/>
      <c r="B2117" s="373"/>
      <c r="C2117" s="373"/>
      <c r="D2117" s="373"/>
      <c r="E2117" s="247"/>
      <c r="F2117" s="247"/>
      <c r="G2117" s="247"/>
      <c r="H2117" s="247"/>
      <c r="I2117" s="247"/>
      <c r="J2117" s="247"/>
      <c r="K2117" s="247"/>
      <c r="L2117" s="247"/>
      <c r="M2117" s="247"/>
      <c r="N2117" s="247"/>
      <c r="O2117" s="247"/>
      <c r="P2117" s="247"/>
      <c r="Q2117" s="247"/>
      <c r="R2117" s="247"/>
      <c r="S2117" s="247"/>
      <c r="T2117" s="247"/>
      <c r="U2117" s="247"/>
      <c r="V2117" s="247"/>
      <c r="W2117" s="247"/>
      <c r="X2117" s="247"/>
      <c r="Y2117" s="247"/>
      <c r="Z2117" s="247"/>
      <c r="AA2117" s="247"/>
      <c r="AB2117" s="247"/>
      <c r="AC2117" s="247"/>
    </row>
    <row r="2118">
      <c r="A2118" s="247"/>
      <c r="B2118" s="373"/>
      <c r="C2118" s="373"/>
      <c r="D2118" s="373"/>
      <c r="E2118" s="247"/>
      <c r="F2118" s="247"/>
      <c r="G2118" s="247"/>
      <c r="H2118" s="247"/>
      <c r="I2118" s="247"/>
      <c r="J2118" s="247"/>
      <c r="K2118" s="247"/>
      <c r="L2118" s="247"/>
      <c r="M2118" s="247"/>
      <c r="N2118" s="247"/>
      <c r="O2118" s="247"/>
      <c r="P2118" s="247"/>
      <c r="Q2118" s="247"/>
      <c r="R2118" s="247"/>
      <c r="S2118" s="247"/>
      <c r="T2118" s="247"/>
      <c r="U2118" s="247"/>
      <c r="V2118" s="247"/>
      <c r="W2118" s="247"/>
      <c r="X2118" s="247"/>
      <c r="Y2118" s="247"/>
      <c r="Z2118" s="247"/>
      <c r="AA2118" s="247"/>
      <c r="AB2118" s="247"/>
      <c r="AC2118" s="247"/>
    </row>
    <row r="2119">
      <c r="A2119" s="247"/>
      <c r="B2119" s="373"/>
      <c r="C2119" s="373"/>
      <c r="D2119" s="373"/>
      <c r="E2119" s="247"/>
      <c r="F2119" s="247"/>
      <c r="G2119" s="247"/>
      <c r="H2119" s="247"/>
      <c r="I2119" s="247"/>
      <c r="J2119" s="247"/>
      <c r="K2119" s="247"/>
      <c r="L2119" s="247"/>
      <c r="M2119" s="247"/>
      <c r="N2119" s="247"/>
      <c r="O2119" s="247"/>
      <c r="P2119" s="247"/>
      <c r="Q2119" s="247"/>
      <c r="R2119" s="247"/>
      <c r="S2119" s="247"/>
      <c r="T2119" s="247"/>
      <c r="U2119" s="247"/>
      <c r="V2119" s="247"/>
      <c r="W2119" s="247"/>
      <c r="X2119" s="247"/>
      <c r="Y2119" s="247"/>
      <c r="Z2119" s="247"/>
      <c r="AA2119" s="247"/>
      <c r="AB2119" s="247"/>
      <c r="AC2119" s="247"/>
    </row>
    <row r="2120">
      <c r="A2120" s="247"/>
      <c r="B2120" s="373"/>
      <c r="C2120" s="373"/>
      <c r="D2120" s="373"/>
      <c r="E2120" s="247"/>
      <c r="F2120" s="247"/>
      <c r="G2120" s="247"/>
      <c r="H2120" s="247"/>
      <c r="I2120" s="247"/>
      <c r="J2120" s="247"/>
      <c r="K2120" s="247"/>
      <c r="L2120" s="247"/>
      <c r="M2120" s="247"/>
      <c r="N2120" s="247"/>
      <c r="O2120" s="247"/>
      <c r="P2120" s="247"/>
      <c r="Q2120" s="247"/>
      <c r="R2120" s="247"/>
      <c r="S2120" s="247"/>
      <c r="T2120" s="247"/>
      <c r="U2120" s="247"/>
      <c r="V2120" s="247"/>
      <c r="W2120" s="247"/>
      <c r="X2120" s="247"/>
      <c r="Y2120" s="247"/>
      <c r="Z2120" s="247"/>
      <c r="AA2120" s="247"/>
      <c r="AB2120" s="247"/>
      <c r="AC2120" s="247"/>
    </row>
    <row r="2121">
      <c r="A2121" s="247"/>
      <c r="B2121" s="373"/>
      <c r="C2121" s="373"/>
      <c r="D2121" s="373"/>
      <c r="E2121" s="247"/>
      <c r="F2121" s="247"/>
      <c r="G2121" s="247"/>
      <c r="H2121" s="247"/>
      <c r="I2121" s="247"/>
      <c r="J2121" s="247"/>
      <c r="K2121" s="247"/>
      <c r="L2121" s="247"/>
      <c r="M2121" s="247"/>
      <c r="N2121" s="247"/>
      <c r="O2121" s="247"/>
      <c r="P2121" s="247"/>
      <c r="Q2121" s="247"/>
      <c r="R2121" s="247"/>
      <c r="S2121" s="247"/>
      <c r="T2121" s="247"/>
      <c r="U2121" s="247"/>
      <c r="V2121" s="247"/>
      <c r="W2121" s="247"/>
      <c r="X2121" s="247"/>
      <c r="Y2121" s="247"/>
      <c r="Z2121" s="247"/>
      <c r="AA2121" s="247"/>
      <c r="AB2121" s="247"/>
      <c r="AC2121" s="247"/>
    </row>
    <row r="2122">
      <c r="A2122" s="247"/>
      <c r="B2122" s="373"/>
      <c r="C2122" s="373"/>
      <c r="D2122" s="373"/>
      <c r="E2122" s="247"/>
      <c r="F2122" s="247"/>
      <c r="G2122" s="247"/>
      <c r="H2122" s="247"/>
      <c r="I2122" s="247"/>
      <c r="J2122" s="247"/>
      <c r="K2122" s="247"/>
      <c r="L2122" s="247"/>
      <c r="M2122" s="247"/>
      <c r="N2122" s="247"/>
      <c r="O2122" s="247"/>
      <c r="P2122" s="247"/>
      <c r="Q2122" s="247"/>
      <c r="R2122" s="247"/>
      <c r="S2122" s="247"/>
      <c r="T2122" s="247"/>
      <c r="U2122" s="247"/>
      <c r="V2122" s="247"/>
      <c r="W2122" s="247"/>
      <c r="X2122" s="247"/>
      <c r="Y2122" s="247"/>
      <c r="Z2122" s="247"/>
      <c r="AA2122" s="247"/>
      <c r="AB2122" s="247"/>
      <c r="AC2122" s="247"/>
    </row>
    <row r="2123">
      <c r="A2123" s="247"/>
      <c r="B2123" s="373"/>
      <c r="C2123" s="373"/>
      <c r="D2123" s="373"/>
      <c r="E2123" s="247"/>
      <c r="F2123" s="247"/>
      <c r="G2123" s="247"/>
      <c r="H2123" s="247"/>
      <c r="I2123" s="247"/>
      <c r="J2123" s="247"/>
      <c r="K2123" s="247"/>
      <c r="L2123" s="247"/>
      <c r="M2123" s="247"/>
      <c r="N2123" s="247"/>
      <c r="O2123" s="247"/>
      <c r="P2123" s="247"/>
      <c r="Q2123" s="247"/>
      <c r="R2123" s="247"/>
      <c r="S2123" s="247"/>
      <c r="T2123" s="247"/>
      <c r="U2123" s="247"/>
      <c r="V2123" s="247"/>
      <c r="W2123" s="247"/>
      <c r="X2123" s="247"/>
      <c r="Y2123" s="247"/>
      <c r="Z2123" s="247"/>
      <c r="AA2123" s="247"/>
      <c r="AB2123" s="247"/>
      <c r="AC2123" s="247"/>
    </row>
    <row r="2124">
      <c r="A2124" s="247"/>
      <c r="B2124" s="373"/>
      <c r="C2124" s="373"/>
      <c r="D2124" s="373"/>
      <c r="E2124" s="247"/>
      <c r="F2124" s="247"/>
      <c r="G2124" s="247"/>
      <c r="H2124" s="247"/>
      <c r="I2124" s="247"/>
      <c r="J2124" s="247"/>
      <c r="K2124" s="247"/>
      <c r="L2124" s="247"/>
      <c r="M2124" s="247"/>
      <c r="N2124" s="247"/>
      <c r="O2124" s="247"/>
      <c r="P2124" s="247"/>
      <c r="Q2124" s="247"/>
      <c r="R2124" s="247"/>
      <c r="S2124" s="247"/>
      <c r="T2124" s="247"/>
      <c r="U2124" s="247"/>
      <c r="V2124" s="247"/>
      <c r="W2124" s="247"/>
      <c r="X2124" s="247"/>
      <c r="Y2124" s="247"/>
      <c r="Z2124" s="247"/>
      <c r="AA2124" s="247"/>
      <c r="AB2124" s="247"/>
      <c r="AC2124" s="247"/>
    </row>
    <row r="2125">
      <c r="A2125" s="247"/>
      <c r="B2125" s="373"/>
      <c r="C2125" s="373"/>
      <c r="D2125" s="373"/>
      <c r="E2125" s="247"/>
      <c r="F2125" s="247"/>
      <c r="G2125" s="247"/>
      <c r="H2125" s="247"/>
      <c r="I2125" s="247"/>
      <c r="J2125" s="247"/>
      <c r="K2125" s="247"/>
      <c r="L2125" s="247"/>
      <c r="M2125" s="247"/>
      <c r="N2125" s="247"/>
      <c r="O2125" s="247"/>
      <c r="P2125" s="247"/>
      <c r="Q2125" s="247"/>
      <c r="R2125" s="247"/>
      <c r="S2125" s="247"/>
      <c r="T2125" s="247"/>
      <c r="U2125" s="247"/>
      <c r="V2125" s="247"/>
      <c r="W2125" s="247"/>
      <c r="X2125" s="247"/>
      <c r="Y2125" s="247"/>
      <c r="Z2125" s="247"/>
      <c r="AA2125" s="247"/>
      <c r="AB2125" s="247"/>
      <c r="AC2125" s="247"/>
    </row>
    <row r="2126">
      <c r="A2126" s="247"/>
      <c r="B2126" s="373"/>
      <c r="C2126" s="373"/>
      <c r="D2126" s="373"/>
      <c r="E2126" s="247"/>
      <c r="F2126" s="247"/>
      <c r="G2126" s="247"/>
      <c r="H2126" s="247"/>
      <c r="I2126" s="247"/>
      <c r="J2126" s="247"/>
      <c r="K2126" s="247"/>
      <c r="L2126" s="247"/>
      <c r="M2126" s="247"/>
      <c r="N2126" s="247"/>
      <c r="O2126" s="247"/>
      <c r="P2126" s="247"/>
      <c r="Q2126" s="247"/>
      <c r="R2126" s="247"/>
      <c r="S2126" s="247"/>
      <c r="T2126" s="247"/>
      <c r="U2126" s="247"/>
      <c r="V2126" s="247"/>
      <c r="W2126" s="247"/>
      <c r="X2126" s="247"/>
      <c r="Y2126" s="247"/>
      <c r="Z2126" s="247"/>
      <c r="AA2126" s="247"/>
      <c r="AB2126" s="247"/>
      <c r="AC2126" s="247"/>
    </row>
    <row r="2127">
      <c r="A2127" s="247"/>
      <c r="B2127" s="373"/>
      <c r="C2127" s="373"/>
      <c r="D2127" s="373"/>
      <c r="E2127" s="247"/>
      <c r="F2127" s="247"/>
      <c r="G2127" s="247"/>
      <c r="H2127" s="247"/>
      <c r="I2127" s="247"/>
      <c r="J2127" s="247"/>
      <c r="K2127" s="247"/>
      <c r="L2127" s="247"/>
      <c r="M2127" s="247"/>
      <c r="N2127" s="247"/>
      <c r="O2127" s="247"/>
      <c r="P2127" s="247"/>
      <c r="Q2127" s="247"/>
      <c r="R2127" s="247"/>
      <c r="S2127" s="247"/>
      <c r="T2127" s="247"/>
      <c r="U2127" s="247"/>
      <c r="V2127" s="247"/>
      <c r="W2127" s="247"/>
      <c r="X2127" s="247"/>
      <c r="Y2127" s="247"/>
      <c r="Z2127" s="247"/>
      <c r="AA2127" s="247"/>
      <c r="AB2127" s="247"/>
      <c r="AC2127" s="247"/>
    </row>
    <row r="2128">
      <c r="A2128" s="247"/>
      <c r="B2128" s="373"/>
      <c r="C2128" s="373"/>
      <c r="D2128" s="373"/>
      <c r="E2128" s="247"/>
      <c r="F2128" s="247"/>
      <c r="G2128" s="247"/>
      <c r="H2128" s="247"/>
      <c r="I2128" s="247"/>
      <c r="J2128" s="247"/>
      <c r="K2128" s="247"/>
      <c r="L2128" s="247"/>
      <c r="M2128" s="247"/>
      <c r="N2128" s="247"/>
      <c r="O2128" s="247"/>
      <c r="P2128" s="247"/>
      <c r="Q2128" s="247"/>
      <c r="R2128" s="247"/>
      <c r="S2128" s="247"/>
      <c r="T2128" s="247"/>
      <c r="U2128" s="247"/>
      <c r="V2128" s="247"/>
      <c r="W2128" s="247"/>
      <c r="X2128" s="247"/>
      <c r="Y2128" s="247"/>
      <c r="Z2128" s="247"/>
      <c r="AA2128" s="247"/>
      <c r="AB2128" s="247"/>
      <c r="AC2128" s="247"/>
    </row>
    <row r="2129">
      <c r="A2129" s="247"/>
      <c r="B2129" s="373"/>
      <c r="C2129" s="373"/>
      <c r="D2129" s="373"/>
      <c r="E2129" s="247"/>
      <c r="F2129" s="247"/>
      <c r="G2129" s="247"/>
      <c r="H2129" s="247"/>
      <c r="I2129" s="247"/>
      <c r="J2129" s="247"/>
      <c r="K2129" s="247"/>
      <c r="L2129" s="247"/>
      <c r="M2129" s="247"/>
      <c r="N2129" s="247"/>
      <c r="O2129" s="247"/>
      <c r="P2129" s="247"/>
      <c r="Q2129" s="247"/>
      <c r="R2129" s="247"/>
      <c r="S2129" s="247"/>
      <c r="T2129" s="247"/>
      <c r="U2129" s="247"/>
      <c r="V2129" s="247"/>
      <c r="W2129" s="247"/>
      <c r="X2129" s="247"/>
      <c r="Y2129" s="247"/>
      <c r="Z2129" s="247"/>
      <c r="AA2129" s="247"/>
      <c r="AB2129" s="247"/>
      <c r="AC2129" s="247"/>
    </row>
    <row r="2130">
      <c r="A2130" s="247"/>
      <c r="B2130" s="373"/>
      <c r="C2130" s="373"/>
      <c r="D2130" s="373"/>
      <c r="E2130" s="247"/>
      <c r="F2130" s="247"/>
      <c r="G2130" s="247"/>
      <c r="H2130" s="247"/>
      <c r="I2130" s="247"/>
      <c r="J2130" s="247"/>
      <c r="K2130" s="247"/>
      <c r="L2130" s="247"/>
      <c r="M2130" s="247"/>
      <c r="N2130" s="247"/>
      <c r="O2130" s="247"/>
      <c r="P2130" s="247"/>
      <c r="Q2130" s="247"/>
      <c r="R2130" s="247"/>
      <c r="S2130" s="247"/>
      <c r="T2130" s="247"/>
      <c r="U2130" s="247"/>
      <c r="V2130" s="247"/>
      <c r="W2130" s="247"/>
      <c r="X2130" s="247"/>
      <c r="Y2130" s="247"/>
      <c r="Z2130" s="247"/>
      <c r="AA2130" s="247"/>
      <c r="AB2130" s="247"/>
      <c r="AC2130" s="247"/>
    </row>
    <row r="2131">
      <c r="A2131" s="247"/>
      <c r="B2131" s="373"/>
      <c r="C2131" s="373"/>
      <c r="D2131" s="373"/>
      <c r="E2131" s="247"/>
      <c r="F2131" s="247"/>
      <c r="G2131" s="247"/>
      <c r="H2131" s="247"/>
      <c r="I2131" s="247"/>
      <c r="J2131" s="247"/>
      <c r="K2131" s="247"/>
      <c r="L2131" s="247"/>
      <c r="M2131" s="247"/>
      <c r="N2131" s="247"/>
      <c r="O2131" s="247"/>
      <c r="P2131" s="247"/>
      <c r="Q2131" s="247"/>
      <c r="R2131" s="247"/>
      <c r="S2131" s="247"/>
      <c r="T2131" s="247"/>
      <c r="U2131" s="247"/>
      <c r="V2131" s="247"/>
      <c r="W2131" s="247"/>
      <c r="X2131" s="247"/>
      <c r="Y2131" s="247"/>
      <c r="Z2131" s="247"/>
      <c r="AA2131" s="247"/>
      <c r="AB2131" s="247"/>
      <c r="AC2131" s="247"/>
    </row>
    <row r="2132">
      <c r="A2132" s="247"/>
      <c r="B2132" s="373"/>
      <c r="C2132" s="373"/>
      <c r="D2132" s="373"/>
      <c r="E2132" s="247"/>
      <c r="F2132" s="247"/>
      <c r="G2132" s="247"/>
      <c r="H2132" s="247"/>
      <c r="I2132" s="247"/>
      <c r="J2132" s="247"/>
      <c r="K2132" s="247"/>
      <c r="L2132" s="247"/>
      <c r="M2132" s="247"/>
      <c r="N2132" s="247"/>
      <c r="O2132" s="247"/>
      <c r="P2132" s="247"/>
      <c r="Q2132" s="247"/>
      <c r="R2132" s="247"/>
      <c r="S2132" s="247"/>
      <c r="T2132" s="247"/>
      <c r="U2132" s="247"/>
      <c r="V2132" s="247"/>
      <c r="W2132" s="247"/>
      <c r="X2132" s="247"/>
      <c r="Y2132" s="247"/>
      <c r="Z2132" s="247"/>
      <c r="AA2132" s="247"/>
      <c r="AB2132" s="247"/>
      <c r="AC2132" s="247"/>
    </row>
    <row r="2133">
      <c r="A2133" s="247"/>
      <c r="B2133" s="373"/>
      <c r="C2133" s="373"/>
      <c r="D2133" s="373"/>
      <c r="E2133" s="247"/>
      <c r="F2133" s="247"/>
      <c r="G2133" s="247"/>
      <c r="H2133" s="247"/>
      <c r="I2133" s="247"/>
      <c r="J2133" s="247"/>
      <c r="K2133" s="247"/>
      <c r="L2133" s="247"/>
      <c r="M2133" s="247"/>
      <c r="N2133" s="247"/>
      <c r="O2133" s="247"/>
      <c r="P2133" s="247"/>
      <c r="Q2133" s="247"/>
      <c r="R2133" s="247"/>
      <c r="S2133" s="247"/>
      <c r="T2133" s="247"/>
      <c r="U2133" s="247"/>
      <c r="V2133" s="247"/>
      <c r="W2133" s="247"/>
      <c r="X2133" s="247"/>
      <c r="Y2133" s="247"/>
      <c r="Z2133" s="247"/>
      <c r="AA2133" s="247"/>
      <c r="AB2133" s="247"/>
      <c r="AC2133" s="247"/>
    </row>
    <row r="2134">
      <c r="A2134" s="247"/>
      <c r="B2134" s="373"/>
      <c r="C2134" s="373"/>
      <c r="D2134" s="373"/>
      <c r="E2134" s="247"/>
      <c r="F2134" s="247"/>
      <c r="G2134" s="247"/>
      <c r="H2134" s="247"/>
      <c r="I2134" s="247"/>
      <c r="J2134" s="247"/>
      <c r="K2134" s="247"/>
      <c r="L2134" s="247"/>
      <c r="M2134" s="247"/>
      <c r="N2134" s="247"/>
      <c r="O2134" s="247"/>
      <c r="P2134" s="247"/>
      <c r="Q2134" s="247"/>
      <c r="R2134" s="247"/>
      <c r="S2134" s="247"/>
      <c r="T2134" s="247"/>
      <c r="U2134" s="247"/>
      <c r="V2134" s="247"/>
      <c r="W2134" s="247"/>
      <c r="X2134" s="247"/>
      <c r="Y2134" s="247"/>
      <c r="Z2134" s="247"/>
      <c r="AA2134" s="247"/>
      <c r="AB2134" s="247"/>
      <c r="AC2134" s="247"/>
    </row>
    <row r="2135">
      <c r="A2135" s="247"/>
      <c r="B2135" s="373"/>
      <c r="C2135" s="373"/>
      <c r="D2135" s="373"/>
      <c r="E2135" s="247"/>
      <c r="F2135" s="247"/>
      <c r="G2135" s="247"/>
      <c r="H2135" s="247"/>
      <c r="I2135" s="247"/>
      <c r="J2135" s="247"/>
      <c r="K2135" s="247"/>
      <c r="L2135" s="247"/>
      <c r="M2135" s="247"/>
      <c r="N2135" s="247"/>
      <c r="O2135" s="247"/>
      <c r="P2135" s="247"/>
      <c r="Q2135" s="247"/>
      <c r="R2135" s="247"/>
      <c r="S2135" s="247"/>
      <c r="T2135" s="247"/>
      <c r="U2135" s="247"/>
      <c r="V2135" s="247"/>
      <c r="W2135" s="247"/>
      <c r="X2135" s="247"/>
      <c r="Y2135" s="247"/>
      <c r="Z2135" s="247"/>
      <c r="AA2135" s="247"/>
      <c r="AB2135" s="247"/>
      <c r="AC2135" s="247"/>
    </row>
    <row r="2136">
      <c r="A2136" s="247"/>
      <c r="B2136" s="373"/>
      <c r="C2136" s="373"/>
      <c r="D2136" s="373"/>
      <c r="E2136" s="247"/>
      <c r="F2136" s="247"/>
      <c r="G2136" s="247"/>
      <c r="H2136" s="247"/>
      <c r="I2136" s="247"/>
      <c r="J2136" s="247"/>
      <c r="K2136" s="247"/>
      <c r="L2136" s="247"/>
      <c r="M2136" s="247"/>
      <c r="N2136" s="247"/>
      <c r="O2136" s="247"/>
      <c r="P2136" s="247"/>
      <c r="Q2136" s="247"/>
      <c r="R2136" s="247"/>
      <c r="S2136" s="247"/>
      <c r="T2136" s="247"/>
      <c r="U2136" s="247"/>
      <c r="V2136" s="247"/>
      <c r="W2136" s="247"/>
      <c r="X2136" s="247"/>
      <c r="Y2136" s="247"/>
      <c r="Z2136" s="247"/>
      <c r="AA2136" s="247"/>
      <c r="AB2136" s="247"/>
      <c r="AC2136" s="247"/>
    </row>
    <row r="2137">
      <c r="A2137" s="247"/>
      <c r="B2137" s="373"/>
      <c r="C2137" s="373"/>
      <c r="D2137" s="373"/>
      <c r="E2137" s="247"/>
      <c r="F2137" s="247"/>
      <c r="G2137" s="247"/>
      <c r="H2137" s="247"/>
      <c r="I2137" s="247"/>
      <c r="J2137" s="247"/>
      <c r="K2137" s="247"/>
      <c r="L2137" s="247"/>
      <c r="M2137" s="247"/>
      <c r="N2137" s="247"/>
      <c r="O2137" s="247"/>
      <c r="P2137" s="247"/>
      <c r="Q2137" s="247"/>
      <c r="R2137" s="247"/>
      <c r="S2137" s="247"/>
      <c r="T2137" s="247"/>
      <c r="U2137" s="247"/>
      <c r="V2137" s="247"/>
      <c r="W2137" s="247"/>
      <c r="X2137" s="247"/>
      <c r="Y2137" s="247"/>
      <c r="Z2137" s="247"/>
      <c r="AA2137" s="247"/>
      <c r="AB2137" s="247"/>
      <c r="AC2137" s="247"/>
    </row>
    <row r="2138">
      <c r="A2138" s="247"/>
      <c r="B2138" s="373"/>
      <c r="C2138" s="373"/>
      <c r="D2138" s="373"/>
      <c r="E2138" s="247"/>
      <c r="F2138" s="247"/>
      <c r="G2138" s="247"/>
      <c r="H2138" s="247"/>
      <c r="I2138" s="247"/>
      <c r="J2138" s="247"/>
      <c r="K2138" s="247"/>
      <c r="L2138" s="247"/>
      <c r="M2138" s="247"/>
      <c r="N2138" s="247"/>
      <c r="O2138" s="247"/>
      <c r="P2138" s="247"/>
      <c r="Q2138" s="247"/>
      <c r="R2138" s="247"/>
      <c r="S2138" s="247"/>
      <c r="T2138" s="247"/>
      <c r="U2138" s="247"/>
      <c r="V2138" s="247"/>
      <c r="W2138" s="247"/>
      <c r="X2138" s="247"/>
      <c r="Y2138" s="247"/>
      <c r="Z2138" s="247"/>
      <c r="AA2138" s="247"/>
      <c r="AB2138" s="247"/>
      <c r="AC2138" s="247"/>
    </row>
    <row r="2139">
      <c r="A2139" s="247"/>
      <c r="B2139" s="373"/>
      <c r="C2139" s="373"/>
      <c r="D2139" s="373"/>
      <c r="E2139" s="247"/>
      <c r="F2139" s="247"/>
      <c r="G2139" s="247"/>
      <c r="H2139" s="247"/>
      <c r="I2139" s="247"/>
      <c r="J2139" s="247"/>
      <c r="K2139" s="247"/>
      <c r="L2139" s="247"/>
      <c r="M2139" s="247"/>
      <c r="N2139" s="247"/>
      <c r="O2139" s="247"/>
      <c r="P2139" s="247"/>
      <c r="Q2139" s="247"/>
      <c r="R2139" s="247"/>
      <c r="S2139" s="247"/>
      <c r="T2139" s="247"/>
      <c r="U2139" s="247"/>
      <c r="V2139" s="247"/>
      <c r="W2139" s="247"/>
      <c r="X2139" s="247"/>
      <c r="Y2139" s="247"/>
      <c r="Z2139" s="247"/>
      <c r="AA2139" s="247"/>
      <c r="AB2139" s="247"/>
      <c r="AC2139" s="247"/>
    </row>
    <row r="2140">
      <c r="A2140" s="247"/>
      <c r="B2140" s="373"/>
      <c r="C2140" s="373"/>
      <c r="D2140" s="373"/>
      <c r="E2140" s="247"/>
      <c r="F2140" s="247"/>
      <c r="G2140" s="247"/>
      <c r="H2140" s="247"/>
      <c r="I2140" s="247"/>
      <c r="J2140" s="247"/>
      <c r="K2140" s="247"/>
      <c r="L2140" s="247"/>
      <c r="M2140" s="247"/>
      <c r="N2140" s="247"/>
      <c r="O2140" s="247"/>
      <c r="P2140" s="247"/>
      <c r="Q2140" s="247"/>
      <c r="R2140" s="247"/>
      <c r="S2140" s="247"/>
      <c r="T2140" s="247"/>
      <c r="U2140" s="247"/>
      <c r="V2140" s="247"/>
      <c r="W2140" s="247"/>
      <c r="X2140" s="247"/>
      <c r="Y2140" s="247"/>
      <c r="Z2140" s="247"/>
      <c r="AA2140" s="247"/>
      <c r="AB2140" s="247"/>
      <c r="AC2140" s="247"/>
    </row>
    <row r="2141">
      <c r="A2141" s="247"/>
      <c r="B2141" s="373"/>
      <c r="C2141" s="373"/>
      <c r="D2141" s="373"/>
      <c r="E2141" s="247"/>
      <c r="F2141" s="247"/>
      <c r="G2141" s="247"/>
      <c r="H2141" s="247"/>
      <c r="I2141" s="247"/>
      <c r="J2141" s="247"/>
      <c r="K2141" s="247"/>
      <c r="L2141" s="247"/>
      <c r="M2141" s="247"/>
      <c r="N2141" s="247"/>
      <c r="O2141" s="247"/>
      <c r="P2141" s="247"/>
      <c r="Q2141" s="247"/>
      <c r="R2141" s="247"/>
      <c r="S2141" s="247"/>
      <c r="T2141" s="247"/>
      <c r="U2141" s="247"/>
      <c r="V2141" s="247"/>
      <c r="W2141" s="247"/>
      <c r="X2141" s="247"/>
      <c r="Y2141" s="247"/>
      <c r="Z2141" s="247"/>
      <c r="AA2141" s="247"/>
      <c r="AB2141" s="247"/>
      <c r="AC2141" s="247"/>
    </row>
    <row r="2142">
      <c r="A2142" s="247"/>
      <c r="B2142" s="373"/>
      <c r="C2142" s="373"/>
      <c r="D2142" s="373"/>
      <c r="E2142" s="247"/>
      <c r="F2142" s="247"/>
      <c r="G2142" s="247"/>
      <c r="H2142" s="247"/>
      <c r="I2142" s="247"/>
      <c r="J2142" s="247"/>
      <c r="K2142" s="247"/>
      <c r="L2142" s="247"/>
      <c r="M2142" s="247"/>
      <c r="N2142" s="247"/>
      <c r="O2142" s="247"/>
      <c r="P2142" s="247"/>
      <c r="Q2142" s="247"/>
      <c r="R2142" s="247"/>
      <c r="S2142" s="247"/>
      <c r="T2142" s="247"/>
      <c r="U2142" s="247"/>
      <c r="V2142" s="247"/>
      <c r="W2142" s="247"/>
      <c r="X2142" s="247"/>
      <c r="Y2142" s="247"/>
      <c r="Z2142" s="247"/>
      <c r="AA2142" s="247"/>
      <c r="AB2142" s="247"/>
      <c r="AC2142" s="247"/>
    </row>
    <row r="2143">
      <c r="A2143" s="247"/>
      <c r="B2143" s="373"/>
      <c r="C2143" s="373"/>
      <c r="D2143" s="373"/>
      <c r="E2143" s="247"/>
      <c r="F2143" s="247"/>
      <c r="G2143" s="247"/>
      <c r="H2143" s="247"/>
      <c r="I2143" s="247"/>
      <c r="J2143" s="247"/>
      <c r="K2143" s="247"/>
      <c r="L2143" s="247"/>
      <c r="M2143" s="247"/>
      <c r="N2143" s="247"/>
      <c r="O2143" s="247"/>
      <c r="P2143" s="247"/>
      <c r="Q2143" s="247"/>
      <c r="R2143" s="247"/>
      <c r="S2143" s="247"/>
      <c r="T2143" s="247"/>
      <c r="U2143" s="247"/>
      <c r="V2143" s="247"/>
      <c r="W2143" s="247"/>
      <c r="X2143" s="247"/>
      <c r="Y2143" s="247"/>
      <c r="Z2143" s="247"/>
      <c r="AA2143" s="247"/>
      <c r="AB2143" s="247"/>
      <c r="AC2143" s="247"/>
    </row>
    <row r="2144">
      <c r="A2144" s="247"/>
      <c r="B2144" s="373"/>
      <c r="C2144" s="373"/>
      <c r="D2144" s="373"/>
      <c r="E2144" s="247"/>
      <c r="F2144" s="247"/>
      <c r="G2144" s="247"/>
      <c r="H2144" s="247"/>
      <c r="I2144" s="247"/>
      <c r="J2144" s="247"/>
      <c r="K2144" s="247"/>
      <c r="L2144" s="247"/>
      <c r="M2144" s="247"/>
      <c r="N2144" s="247"/>
      <c r="O2144" s="247"/>
      <c r="P2144" s="247"/>
      <c r="Q2144" s="247"/>
      <c r="R2144" s="247"/>
      <c r="S2144" s="247"/>
      <c r="T2144" s="247"/>
      <c r="U2144" s="247"/>
      <c r="V2144" s="247"/>
      <c r="W2144" s="247"/>
      <c r="X2144" s="247"/>
      <c r="Y2144" s="247"/>
      <c r="Z2144" s="247"/>
      <c r="AA2144" s="247"/>
      <c r="AB2144" s="247"/>
      <c r="AC2144" s="247"/>
    </row>
    <row r="2145">
      <c r="A2145" s="247"/>
      <c r="B2145" s="373"/>
      <c r="C2145" s="373"/>
      <c r="D2145" s="373"/>
      <c r="E2145" s="247"/>
      <c r="F2145" s="247"/>
      <c r="G2145" s="247"/>
      <c r="H2145" s="247"/>
      <c r="I2145" s="247"/>
      <c r="J2145" s="247"/>
      <c r="K2145" s="247"/>
      <c r="L2145" s="247"/>
      <c r="M2145" s="247"/>
      <c r="N2145" s="247"/>
      <c r="O2145" s="247"/>
      <c r="P2145" s="247"/>
      <c r="Q2145" s="247"/>
      <c r="R2145" s="247"/>
      <c r="S2145" s="247"/>
      <c r="T2145" s="247"/>
      <c r="U2145" s="247"/>
      <c r="V2145" s="247"/>
      <c r="W2145" s="247"/>
      <c r="X2145" s="247"/>
      <c r="Y2145" s="247"/>
      <c r="Z2145" s="247"/>
      <c r="AA2145" s="247"/>
      <c r="AB2145" s="247"/>
      <c r="AC2145" s="247"/>
    </row>
    <row r="2146">
      <c r="A2146" s="247"/>
      <c r="B2146" s="373"/>
      <c r="C2146" s="373"/>
      <c r="D2146" s="373"/>
      <c r="E2146" s="247"/>
      <c r="F2146" s="247"/>
      <c r="G2146" s="247"/>
      <c r="H2146" s="247"/>
      <c r="I2146" s="247"/>
      <c r="J2146" s="247"/>
      <c r="K2146" s="247"/>
      <c r="L2146" s="247"/>
      <c r="M2146" s="247"/>
      <c r="N2146" s="247"/>
      <c r="O2146" s="247"/>
      <c r="P2146" s="247"/>
      <c r="Q2146" s="247"/>
      <c r="R2146" s="247"/>
      <c r="S2146" s="247"/>
      <c r="T2146" s="247"/>
      <c r="U2146" s="247"/>
      <c r="V2146" s="247"/>
      <c r="W2146" s="247"/>
      <c r="X2146" s="247"/>
      <c r="Y2146" s="247"/>
      <c r="Z2146" s="247"/>
      <c r="AA2146" s="247"/>
      <c r="AB2146" s="247"/>
      <c r="AC2146" s="247"/>
    </row>
    <row r="2147">
      <c r="A2147" s="247"/>
      <c r="B2147" s="373"/>
      <c r="C2147" s="373"/>
      <c r="D2147" s="373"/>
      <c r="E2147" s="247"/>
      <c r="F2147" s="247"/>
      <c r="G2147" s="247"/>
      <c r="H2147" s="247"/>
      <c r="I2147" s="247"/>
      <c r="J2147" s="247"/>
      <c r="K2147" s="247"/>
      <c r="L2147" s="247"/>
      <c r="M2147" s="247"/>
      <c r="N2147" s="247"/>
      <c r="O2147" s="247"/>
      <c r="P2147" s="247"/>
      <c r="Q2147" s="247"/>
      <c r="R2147" s="247"/>
      <c r="S2147" s="247"/>
      <c r="T2147" s="247"/>
      <c r="U2147" s="247"/>
      <c r="V2147" s="247"/>
      <c r="W2147" s="247"/>
      <c r="X2147" s="247"/>
      <c r="Y2147" s="247"/>
      <c r="Z2147" s="247"/>
      <c r="AA2147" s="247"/>
      <c r="AB2147" s="247"/>
      <c r="AC2147" s="247"/>
    </row>
    <row r="2148">
      <c r="A2148" s="247"/>
      <c r="B2148" s="373"/>
      <c r="C2148" s="373"/>
      <c r="D2148" s="373"/>
      <c r="E2148" s="247"/>
      <c r="F2148" s="247"/>
      <c r="G2148" s="247"/>
      <c r="H2148" s="247"/>
      <c r="I2148" s="247"/>
      <c r="J2148" s="247"/>
      <c r="K2148" s="247"/>
      <c r="L2148" s="247"/>
      <c r="M2148" s="247"/>
      <c r="N2148" s="247"/>
      <c r="O2148" s="247"/>
      <c r="P2148" s="247"/>
      <c r="Q2148" s="247"/>
      <c r="R2148" s="247"/>
      <c r="S2148" s="247"/>
      <c r="T2148" s="247"/>
      <c r="U2148" s="247"/>
      <c r="V2148" s="247"/>
      <c r="W2148" s="247"/>
      <c r="X2148" s="247"/>
      <c r="Y2148" s="247"/>
      <c r="Z2148" s="247"/>
      <c r="AA2148" s="247"/>
      <c r="AB2148" s="247"/>
      <c r="AC2148" s="247"/>
    </row>
    <row r="2149">
      <c r="A2149" s="247"/>
      <c r="B2149" s="373"/>
      <c r="C2149" s="373"/>
      <c r="D2149" s="373"/>
      <c r="E2149" s="247"/>
      <c r="F2149" s="247"/>
      <c r="G2149" s="247"/>
      <c r="H2149" s="247"/>
      <c r="I2149" s="247"/>
      <c r="J2149" s="247"/>
      <c r="K2149" s="247"/>
      <c r="L2149" s="247"/>
      <c r="M2149" s="247"/>
      <c r="N2149" s="247"/>
      <c r="O2149" s="247"/>
      <c r="P2149" s="247"/>
      <c r="Q2149" s="247"/>
      <c r="R2149" s="247"/>
      <c r="S2149" s="247"/>
      <c r="T2149" s="247"/>
      <c r="U2149" s="247"/>
      <c r="V2149" s="247"/>
      <c r="W2149" s="247"/>
      <c r="X2149" s="247"/>
      <c r="Y2149" s="247"/>
      <c r="Z2149" s="247"/>
      <c r="AA2149" s="247"/>
      <c r="AB2149" s="247"/>
      <c r="AC2149" s="247"/>
    </row>
    <row r="2150">
      <c r="A2150" s="247"/>
      <c r="B2150" s="373"/>
      <c r="C2150" s="373"/>
      <c r="D2150" s="373"/>
      <c r="E2150" s="247"/>
      <c r="F2150" s="247"/>
      <c r="G2150" s="247"/>
      <c r="H2150" s="247"/>
      <c r="I2150" s="247"/>
      <c r="J2150" s="247"/>
      <c r="K2150" s="247"/>
      <c r="L2150" s="247"/>
      <c r="M2150" s="247"/>
      <c r="N2150" s="247"/>
      <c r="O2150" s="247"/>
      <c r="P2150" s="247"/>
      <c r="Q2150" s="247"/>
      <c r="R2150" s="247"/>
      <c r="S2150" s="247"/>
      <c r="T2150" s="247"/>
      <c r="U2150" s="247"/>
      <c r="V2150" s="247"/>
      <c r="W2150" s="247"/>
      <c r="X2150" s="247"/>
      <c r="Y2150" s="247"/>
      <c r="Z2150" s="247"/>
      <c r="AA2150" s="247"/>
      <c r="AB2150" s="247"/>
      <c r="AC2150" s="247"/>
    </row>
    <row r="2151">
      <c r="A2151" s="247"/>
      <c r="B2151" s="373"/>
      <c r="C2151" s="373"/>
      <c r="D2151" s="373"/>
      <c r="E2151" s="247"/>
      <c r="F2151" s="247"/>
      <c r="G2151" s="247"/>
      <c r="H2151" s="247"/>
      <c r="I2151" s="247"/>
      <c r="J2151" s="247"/>
      <c r="K2151" s="247"/>
      <c r="L2151" s="247"/>
      <c r="M2151" s="247"/>
      <c r="N2151" s="247"/>
      <c r="O2151" s="247"/>
      <c r="P2151" s="247"/>
      <c r="Q2151" s="247"/>
      <c r="R2151" s="247"/>
      <c r="S2151" s="247"/>
      <c r="T2151" s="247"/>
      <c r="U2151" s="247"/>
      <c r="V2151" s="247"/>
      <c r="W2151" s="247"/>
      <c r="X2151" s="247"/>
      <c r="Y2151" s="247"/>
      <c r="Z2151" s="247"/>
      <c r="AA2151" s="247"/>
      <c r="AB2151" s="247"/>
      <c r="AC2151" s="247"/>
    </row>
    <row r="2152">
      <c r="A2152" s="247"/>
      <c r="B2152" s="373"/>
      <c r="C2152" s="373"/>
      <c r="D2152" s="373"/>
      <c r="E2152" s="247"/>
      <c r="F2152" s="247"/>
      <c r="G2152" s="247"/>
      <c r="H2152" s="247"/>
      <c r="I2152" s="247"/>
      <c r="J2152" s="247"/>
      <c r="K2152" s="247"/>
      <c r="L2152" s="247"/>
      <c r="M2152" s="247"/>
      <c r="N2152" s="247"/>
      <c r="O2152" s="247"/>
      <c r="P2152" s="247"/>
      <c r="Q2152" s="247"/>
      <c r="R2152" s="247"/>
      <c r="S2152" s="247"/>
      <c r="T2152" s="247"/>
      <c r="U2152" s="247"/>
      <c r="V2152" s="247"/>
      <c r="W2152" s="247"/>
      <c r="X2152" s="247"/>
      <c r="Y2152" s="247"/>
      <c r="Z2152" s="247"/>
      <c r="AA2152" s="247"/>
      <c r="AB2152" s="247"/>
      <c r="AC2152" s="247"/>
    </row>
    <row r="2153">
      <c r="A2153" s="247"/>
      <c r="B2153" s="373"/>
      <c r="C2153" s="373"/>
      <c r="D2153" s="373"/>
      <c r="E2153" s="247"/>
      <c r="F2153" s="247"/>
      <c r="G2153" s="247"/>
      <c r="H2153" s="247"/>
      <c r="I2153" s="247"/>
      <c r="J2153" s="247"/>
      <c r="K2153" s="247"/>
      <c r="L2153" s="247"/>
      <c r="M2153" s="247"/>
      <c r="N2153" s="247"/>
      <c r="O2153" s="247"/>
      <c r="P2153" s="247"/>
      <c r="Q2153" s="247"/>
      <c r="R2153" s="247"/>
      <c r="S2153" s="247"/>
      <c r="T2153" s="247"/>
      <c r="U2153" s="247"/>
      <c r="V2153" s="247"/>
      <c r="W2153" s="247"/>
      <c r="X2153" s="247"/>
      <c r="Y2153" s="247"/>
      <c r="Z2153" s="247"/>
      <c r="AA2153" s="247"/>
      <c r="AB2153" s="247"/>
      <c r="AC2153" s="247"/>
    </row>
    <row r="2154">
      <c r="A2154" s="247"/>
      <c r="B2154" s="373"/>
      <c r="C2154" s="373"/>
      <c r="D2154" s="373"/>
      <c r="E2154" s="247"/>
      <c r="F2154" s="247"/>
      <c r="G2154" s="247"/>
      <c r="H2154" s="247"/>
      <c r="I2154" s="247"/>
      <c r="J2154" s="247"/>
      <c r="K2154" s="247"/>
      <c r="L2154" s="247"/>
      <c r="M2154" s="247"/>
      <c r="N2154" s="247"/>
      <c r="O2154" s="247"/>
      <c r="P2154" s="247"/>
      <c r="Q2154" s="247"/>
      <c r="R2154" s="247"/>
      <c r="S2154" s="247"/>
      <c r="T2154" s="247"/>
      <c r="U2154" s="247"/>
      <c r="V2154" s="247"/>
      <c r="W2154" s="247"/>
      <c r="X2154" s="247"/>
      <c r="Y2154" s="247"/>
      <c r="Z2154" s="247"/>
      <c r="AA2154" s="247"/>
      <c r="AB2154" s="247"/>
      <c r="AC2154" s="247"/>
    </row>
    <row r="2155">
      <c r="A2155" s="247"/>
      <c r="B2155" s="373"/>
      <c r="C2155" s="373"/>
      <c r="D2155" s="373"/>
      <c r="E2155" s="247"/>
      <c r="F2155" s="247"/>
      <c r="G2155" s="247"/>
      <c r="H2155" s="247"/>
      <c r="I2155" s="247"/>
      <c r="J2155" s="247"/>
      <c r="K2155" s="247"/>
      <c r="L2155" s="247"/>
      <c r="M2155" s="247"/>
      <c r="N2155" s="247"/>
      <c r="O2155" s="247"/>
      <c r="P2155" s="247"/>
      <c r="Q2155" s="247"/>
      <c r="R2155" s="247"/>
      <c r="S2155" s="247"/>
      <c r="T2155" s="247"/>
      <c r="U2155" s="247"/>
      <c r="V2155" s="247"/>
      <c r="W2155" s="247"/>
      <c r="X2155" s="247"/>
      <c r="Y2155" s="247"/>
      <c r="Z2155" s="247"/>
      <c r="AA2155" s="247"/>
      <c r="AB2155" s="247"/>
      <c r="AC2155" s="247"/>
    </row>
    <row r="2156">
      <c r="A2156" s="247"/>
      <c r="B2156" s="373"/>
      <c r="C2156" s="373"/>
      <c r="D2156" s="373"/>
      <c r="E2156" s="247"/>
      <c r="F2156" s="247"/>
      <c r="G2156" s="247"/>
      <c r="H2156" s="247"/>
      <c r="I2156" s="247"/>
      <c r="J2156" s="247"/>
      <c r="K2156" s="247"/>
      <c r="L2156" s="247"/>
      <c r="M2156" s="247"/>
      <c r="N2156" s="247"/>
      <c r="O2156" s="247"/>
      <c r="P2156" s="247"/>
      <c r="Q2156" s="247"/>
      <c r="R2156" s="247"/>
      <c r="S2156" s="247"/>
      <c r="T2156" s="247"/>
      <c r="U2156" s="247"/>
      <c r="V2156" s="247"/>
      <c r="W2156" s="247"/>
      <c r="X2156" s="247"/>
      <c r="Y2156" s="247"/>
      <c r="Z2156" s="247"/>
      <c r="AA2156" s="247"/>
      <c r="AB2156" s="247"/>
      <c r="AC2156" s="247"/>
    </row>
    <row r="2157">
      <c r="A2157" s="247"/>
      <c r="B2157" s="373"/>
      <c r="C2157" s="373"/>
      <c r="D2157" s="373"/>
      <c r="E2157" s="247"/>
      <c r="F2157" s="247"/>
      <c r="G2157" s="247"/>
      <c r="H2157" s="247"/>
      <c r="I2157" s="247"/>
      <c r="J2157" s="247"/>
      <c r="K2157" s="247"/>
      <c r="L2157" s="247"/>
      <c r="M2157" s="247"/>
      <c r="N2157" s="247"/>
      <c r="O2157" s="247"/>
      <c r="P2157" s="247"/>
      <c r="Q2157" s="247"/>
      <c r="R2157" s="247"/>
      <c r="S2157" s="247"/>
      <c r="T2157" s="247"/>
      <c r="U2157" s="247"/>
      <c r="V2157" s="247"/>
      <c r="W2157" s="247"/>
      <c r="X2157" s="247"/>
      <c r="Y2157" s="247"/>
      <c r="Z2157" s="247"/>
      <c r="AA2157" s="247"/>
      <c r="AB2157" s="247"/>
      <c r="AC2157" s="247"/>
    </row>
    <row r="2158">
      <c r="A2158" s="247"/>
      <c r="B2158" s="373"/>
      <c r="C2158" s="373"/>
      <c r="D2158" s="373"/>
      <c r="E2158" s="247"/>
      <c r="F2158" s="247"/>
      <c r="G2158" s="247"/>
      <c r="H2158" s="247"/>
      <c r="I2158" s="247"/>
      <c r="J2158" s="247"/>
      <c r="K2158" s="247"/>
      <c r="L2158" s="247"/>
      <c r="M2158" s="247"/>
      <c r="N2158" s="247"/>
      <c r="O2158" s="247"/>
      <c r="P2158" s="247"/>
      <c r="Q2158" s="247"/>
      <c r="R2158" s="247"/>
      <c r="S2158" s="247"/>
      <c r="T2158" s="247"/>
      <c r="U2158" s="247"/>
      <c r="V2158" s="247"/>
      <c r="W2158" s="247"/>
      <c r="X2158" s="247"/>
      <c r="Y2158" s="247"/>
      <c r="Z2158" s="247"/>
      <c r="AA2158" s="247"/>
      <c r="AB2158" s="247"/>
      <c r="AC2158" s="247"/>
    </row>
    <row r="2159">
      <c r="A2159" s="247"/>
      <c r="B2159" s="373"/>
      <c r="C2159" s="373"/>
      <c r="D2159" s="373"/>
      <c r="E2159" s="247"/>
      <c r="F2159" s="247"/>
      <c r="G2159" s="247"/>
      <c r="H2159" s="247"/>
      <c r="I2159" s="247"/>
      <c r="J2159" s="247"/>
      <c r="K2159" s="247"/>
      <c r="L2159" s="247"/>
      <c r="M2159" s="247"/>
      <c r="N2159" s="247"/>
      <c r="O2159" s="247"/>
      <c r="P2159" s="247"/>
      <c r="Q2159" s="247"/>
      <c r="R2159" s="247"/>
      <c r="S2159" s="247"/>
      <c r="T2159" s="247"/>
      <c r="U2159" s="247"/>
      <c r="V2159" s="247"/>
      <c r="W2159" s="247"/>
      <c r="X2159" s="247"/>
      <c r="Y2159" s="247"/>
      <c r="Z2159" s="247"/>
      <c r="AA2159" s="247"/>
      <c r="AB2159" s="247"/>
      <c r="AC2159" s="247"/>
    </row>
    <row r="2160">
      <c r="A2160" s="247"/>
      <c r="B2160" s="373"/>
      <c r="C2160" s="373"/>
      <c r="D2160" s="373"/>
      <c r="E2160" s="247"/>
      <c r="F2160" s="247"/>
      <c r="G2160" s="247"/>
      <c r="H2160" s="247"/>
      <c r="I2160" s="247"/>
      <c r="J2160" s="247"/>
      <c r="K2160" s="247"/>
      <c r="L2160" s="247"/>
      <c r="M2160" s="247"/>
      <c r="N2160" s="247"/>
      <c r="O2160" s="247"/>
      <c r="P2160" s="247"/>
      <c r="Q2160" s="247"/>
      <c r="R2160" s="247"/>
      <c r="S2160" s="247"/>
      <c r="T2160" s="247"/>
      <c r="U2160" s="247"/>
      <c r="V2160" s="247"/>
      <c r="W2160" s="247"/>
      <c r="X2160" s="247"/>
      <c r="Y2160" s="247"/>
      <c r="Z2160" s="247"/>
      <c r="AA2160" s="247"/>
      <c r="AB2160" s="247"/>
      <c r="AC2160" s="247"/>
    </row>
    <row r="2161">
      <c r="A2161" s="247"/>
      <c r="B2161" s="373"/>
      <c r="C2161" s="373"/>
      <c r="D2161" s="373"/>
      <c r="E2161" s="247"/>
      <c r="F2161" s="247"/>
      <c r="G2161" s="247"/>
      <c r="H2161" s="247"/>
      <c r="I2161" s="247"/>
      <c r="J2161" s="247"/>
      <c r="K2161" s="247"/>
      <c r="L2161" s="247"/>
      <c r="M2161" s="247"/>
      <c r="N2161" s="247"/>
      <c r="O2161" s="247"/>
      <c r="P2161" s="247"/>
      <c r="Q2161" s="247"/>
      <c r="R2161" s="247"/>
      <c r="S2161" s="247"/>
      <c r="T2161" s="247"/>
      <c r="U2161" s="247"/>
      <c r="V2161" s="247"/>
      <c r="W2161" s="247"/>
      <c r="X2161" s="247"/>
      <c r="Y2161" s="247"/>
      <c r="Z2161" s="247"/>
      <c r="AA2161" s="247"/>
      <c r="AB2161" s="247"/>
      <c r="AC2161" s="247"/>
    </row>
    <row r="2162">
      <c r="A2162" s="247"/>
      <c r="B2162" s="373"/>
      <c r="C2162" s="373"/>
      <c r="D2162" s="373"/>
      <c r="E2162" s="247"/>
      <c r="F2162" s="247"/>
      <c r="G2162" s="247"/>
      <c r="H2162" s="247"/>
      <c r="I2162" s="247"/>
      <c r="J2162" s="247"/>
      <c r="K2162" s="247"/>
      <c r="L2162" s="247"/>
      <c r="M2162" s="247"/>
      <c r="N2162" s="247"/>
      <c r="O2162" s="247"/>
      <c r="P2162" s="247"/>
      <c r="Q2162" s="247"/>
      <c r="R2162" s="247"/>
      <c r="S2162" s="247"/>
      <c r="T2162" s="247"/>
      <c r="U2162" s="247"/>
      <c r="V2162" s="247"/>
      <c r="W2162" s="247"/>
      <c r="X2162" s="247"/>
      <c r="Y2162" s="247"/>
      <c r="Z2162" s="247"/>
      <c r="AA2162" s="247"/>
      <c r="AB2162" s="247"/>
      <c r="AC2162" s="247"/>
    </row>
    <row r="2163">
      <c r="A2163" s="247"/>
      <c r="B2163" s="373"/>
      <c r="C2163" s="373"/>
      <c r="D2163" s="373"/>
      <c r="E2163" s="247"/>
      <c r="F2163" s="247"/>
      <c r="G2163" s="247"/>
      <c r="H2163" s="247"/>
      <c r="I2163" s="247"/>
      <c r="J2163" s="247"/>
      <c r="K2163" s="247"/>
      <c r="L2163" s="247"/>
      <c r="M2163" s="247"/>
      <c r="N2163" s="247"/>
      <c r="O2163" s="247"/>
      <c r="P2163" s="247"/>
      <c r="Q2163" s="247"/>
      <c r="R2163" s="247"/>
      <c r="S2163" s="247"/>
      <c r="T2163" s="247"/>
      <c r="U2163" s="247"/>
      <c r="V2163" s="247"/>
      <c r="W2163" s="247"/>
      <c r="X2163" s="247"/>
      <c r="Y2163" s="247"/>
      <c r="Z2163" s="247"/>
      <c r="AA2163" s="247"/>
      <c r="AB2163" s="247"/>
      <c r="AC2163" s="247"/>
    </row>
    <row r="2164">
      <c r="A2164" s="247"/>
      <c r="B2164" s="373"/>
      <c r="C2164" s="373"/>
      <c r="D2164" s="373"/>
      <c r="E2164" s="247"/>
      <c r="F2164" s="247"/>
      <c r="G2164" s="247"/>
      <c r="H2164" s="247"/>
      <c r="I2164" s="247"/>
      <c r="J2164" s="247"/>
      <c r="K2164" s="247"/>
      <c r="L2164" s="247"/>
      <c r="M2164" s="247"/>
      <c r="N2164" s="247"/>
      <c r="O2164" s="247"/>
      <c r="P2164" s="247"/>
      <c r="Q2164" s="247"/>
      <c r="R2164" s="247"/>
      <c r="S2164" s="247"/>
      <c r="T2164" s="247"/>
      <c r="U2164" s="247"/>
      <c r="V2164" s="247"/>
      <c r="W2164" s="247"/>
      <c r="X2164" s="247"/>
      <c r="Y2164" s="247"/>
      <c r="Z2164" s="247"/>
      <c r="AA2164" s="247"/>
      <c r="AB2164" s="247"/>
      <c r="AC2164" s="247"/>
    </row>
    <row r="2165">
      <c r="A2165" s="247"/>
      <c r="B2165" s="373"/>
      <c r="C2165" s="373"/>
      <c r="D2165" s="373"/>
      <c r="E2165" s="247"/>
      <c r="F2165" s="247"/>
      <c r="G2165" s="247"/>
      <c r="H2165" s="247"/>
      <c r="I2165" s="247"/>
      <c r="J2165" s="247"/>
      <c r="K2165" s="247"/>
      <c r="L2165" s="247"/>
      <c r="M2165" s="247"/>
      <c r="N2165" s="247"/>
      <c r="O2165" s="247"/>
      <c r="P2165" s="247"/>
      <c r="Q2165" s="247"/>
      <c r="R2165" s="247"/>
      <c r="S2165" s="247"/>
      <c r="T2165" s="247"/>
      <c r="U2165" s="247"/>
      <c r="V2165" s="247"/>
      <c r="W2165" s="247"/>
      <c r="X2165" s="247"/>
      <c r="Y2165" s="247"/>
      <c r="Z2165" s="247"/>
      <c r="AA2165" s="247"/>
      <c r="AB2165" s="247"/>
      <c r="AC2165" s="247"/>
    </row>
    <row r="2166">
      <c r="A2166" s="247"/>
      <c r="B2166" s="373"/>
      <c r="C2166" s="373"/>
      <c r="D2166" s="373"/>
      <c r="E2166" s="247"/>
      <c r="F2166" s="247"/>
      <c r="G2166" s="247"/>
      <c r="H2166" s="247"/>
      <c r="I2166" s="247"/>
      <c r="J2166" s="247"/>
      <c r="K2166" s="247"/>
      <c r="L2166" s="247"/>
      <c r="M2166" s="247"/>
      <c r="N2166" s="247"/>
      <c r="O2166" s="247"/>
      <c r="P2166" s="247"/>
      <c r="Q2166" s="247"/>
      <c r="R2166" s="247"/>
      <c r="S2166" s="247"/>
      <c r="T2166" s="247"/>
      <c r="U2166" s="247"/>
      <c r="V2166" s="247"/>
      <c r="W2166" s="247"/>
      <c r="X2166" s="247"/>
      <c r="Y2166" s="247"/>
      <c r="Z2166" s="247"/>
      <c r="AA2166" s="247"/>
      <c r="AB2166" s="247"/>
      <c r="AC2166" s="247"/>
    </row>
    <row r="2167">
      <c r="A2167" s="247"/>
      <c r="B2167" s="373"/>
      <c r="C2167" s="373"/>
      <c r="D2167" s="373"/>
      <c r="E2167" s="247"/>
      <c r="F2167" s="247"/>
      <c r="G2167" s="247"/>
      <c r="H2167" s="247"/>
      <c r="I2167" s="247"/>
      <c r="J2167" s="247"/>
      <c r="K2167" s="247"/>
      <c r="L2167" s="247"/>
      <c r="M2167" s="247"/>
      <c r="N2167" s="247"/>
      <c r="O2167" s="247"/>
      <c r="P2167" s="247"/>
      <c r="Q2167" s="247"/>
      <c r="R2167" s="247"/>
      <c r="S2167" s="247"/>
      <c r="T2167" s="247"/>
      <c r="U2167" s="247"/>
      <c r="V2167" s="247"/>
      <c r="W2167" s="247"/>
      <c r="X2167" s="247"/>
      <c r="Y2167" s="247"/>
      <c r="Z2167" s="247"/>
      <c r="AA2167" s="247"/>
      <c r="AB2167" s="247"/>
      <c r="AC2167" s="247"/>
    </row>
    <row r="2168">
      <c r="A2168" s="247"/>
      <c r="B2168" s="373"/>
      <c r="C2168" s="373"/>
      <c r="D2168" s="373"/>
      <c r="E2168" s="247"/>
      <c r="F2168" s="247"/>
      <c r="G2168" s="247"/>
      <c r="H2168" s="247"/>
      <c r="I2168" s="247"/>
      <c r="J2168" s="247"/>
      <c r="K2168" s="247"/>
      <c r="L2168" s="247"/>
      <c r="M2168" s="247"/>
      <c r="N2168" s="247"/>
      <c r="O2168" s="247"/>
      <c r="P2168" s="247"/>
      <c r="Q2168" s="247"/>
      <c r="R2168" s="247"/>
      <c r="S2168" s="247"/>
      <c r="T2168" s="247"/>
      <c r="U2168" s="247"/>
      <c r="V2168" s="247"/>
      <c r="W2168" s="247"/>
      <c r="X2168" s="247"/>
      <c r="Y2168" s="247"/>
      <c r="Z2168" s="247"/>
      <c r="AA2168" s="247"/>
      <c r="AB2168" s="247"/>
      <c r="AC2168" s="247"/>
    </row>
    <row r="2169">
      <c r="A2169" s="247"/>
      <c r="B2169" s="373"/>
      <c r="C2169" s="373"/>
      <c r="D2169" s="373"/>
      <c r="E2169" s="247"/>
      <c r="F2169" s="247"/>
      <c r="G2169" s="247"/>
      <c r="H2169" s="247"/>
      <c r="I2169" s="247"/>
      <c r="J2169" s="247"/>
      <c r="K2169" s="247"/>
      <c r="L2169" s="247"/>
      <c r="M2169" s="247"/>
      <c r="N2169" s="247"/>
      <c r="O2169" s="247"/>
      <c r="P2169" s="247"/>
      <c r="Q2169" s="247"/>
      <c r="R2169" s="247"/>
      <c r="S2169" s="247"/>
      <c r="T2169" s="247"/>
      <c r="U2169" s="247"/>
      <c r="V2169" s="247"/>
      <c r="W2169" s="247"/>
      <c r="X2169" s="247"/>
      <c r="Y2169" s="247"/>
      <c r="Z2169" s="247"/>
      <c r="AA2169" s="247"/>
      <c r="AB2169" s="247"/>
      <c r="AC2169" s="247"/>
    </row>
    <row r="2170">
      <c r="A2170" s="247"/>
      <c r="B2170" s="373"/>
      <c r="C2170" s="373"/>
      <c r="D2170" s="373"/>
      <c r="E2170" s="247"/>
      <c r="F2170" s="247"/>
      <c r="G2170" s="247"/>
      <c r="H2170" s="247"/>
      <c r="I2170" s="247"/>
      <c r="J2170" s="247"/>
      <c r="K2170" s="247"/>
      <c r="L2170" s="247"/>
      <c r="M2170" s="247"/>
      <c r="N2170" s="247"/>
      <c r="O2170" s="247"/>
      <c r="P2170" s="247"/>
      <c r="Q2170" s="247"/>
      <c r="R2170" s="247"/>
      <c r="S2170" s="247"/>
      <c r="T2170" s="247"/>
      <c r="U2170" s="247"/>
      <c r="V2170" s="247"/>
      <c r="W2170" s="247"/>
      <c r="X2170" s="247"/>
      <c r="Y2170" s="247"/>
      <c r="Z2170" s="247"/>
      <c r="AA2170" s="247"/>
      <c r="AB2170" s="247"/>
      <c r="AC2170" s="247"/>
    </row>
    <row r="2171">
      <c r="A2171" s="247"/>
      <c r="B2171" s="373"/>
      <c r="C2171" s="373"/>
      <c r="D2171" s="373"/>
      <c r="E2171" s="247"/>
      <c r="F2171" s="247"/>
      <c r="G2171" s="247"/>
      <c r="H2171" s="247"/>
      <c r="I2171" s="247"/>
      <c r="J2171" s="247"/>
      <c r="K2171" s="247"/>
      <c r="L2171" s="247"/>
      <c r="M2171" s="247"/>
      <c r="N2171" s="247"/>
      <c r="O2171" s="247"/>
      <c r="P2171" s="247"/>
      <c r="Q2171" s="247"/>
      <c r="R2171" s="247"/>
      <c r="S2171" s="247"/>
      <c r="T2171" s="247"/>
      <c r="U2171" s="247"/>
      <c r="V2171" s="247"/>
      <c r="W2171" s="247"/>
      <c r="X2171" s="247"/>
      <c r="Y2171" s="247"/>
      <c r="Z2171" s="247"/>
      <c r="AA2171" s="247"/>
      <c r="AB2171" s="247"/>
      <c r="AC2171" s="247"/>
    </row>
    <row r="2172">
      <c r="A2172" s="247"/>
      <c r="B2172" s="373"/>
      <c r="C2172" s="373"/>
      <c r="D2172" s="373"/>
      <c r="E2172" s="247"/>
      <c r="F2172" s="247"/>
      <c r="G2172" s="247"/>
      <c r="H2172" s="247"/>
      <c r="I2172" s="247"/>
      <c r="J2172" s="247"/>
      <c r="K2172" s="247"/>
      <c r="L2172" s="247"/>
      <c r="M2172" s="247"/>
      <c r="N2172" s="247"/>
      <c r="O2172" s="247"/>
      <c r="P2172" s="247"/>
      <c r="Q2172" s="247"/>
      <c r="R2172" s="247"/>
      <c r="S2172" s="247"/>
      <c r="T2172" s="247"/>
      <c r="U2172" s="247"/>
      <c r="V2172" s="247"/>
      <c r="W2172" s="247"/>
      <c r="X2172" s="247"/>
      <c r="Y2172" s="247"/>
      <c r="Z2172" s="247"/>
      <c r="AA2172" s="247"/>
      <c r="AB2172" s="247"/>
      <c r="AC2172" s="247"/>
    </row>
    <row r="2173">
      <c r="A2173" s="247"/>
      <c r="B2173" s="373"/>
      <c r="C2173" s="373"/>
      <c r="D2173" s="373"/>
      <c r="E2173" s="247"/>
      <c r="F2173" s="247"/>
      <c r="G2173" s="247"/>
      <c r="H2173" s="247"/>
      <c r="I2173" s="247"/>
      <c r="J2173" s="247"/>
      <c r="K2173" s="247"/>
      <c r="L2173" s="247"/>
      <c r="M2173" s="247"/>
      <c r="N2173" s="247"/>
      <c r="O2173" s="247"/>
      <c r="P2173" s="247"/>
      <c r="Q2173" s="247"/>
      <c r="R2173" s="247"/>
      <c r="S2173" s="247"/>
      <c r="T2173" s="247"/>
      <c r="U2173" s="247"/>
      <c r="V2173" s="247"/>
      <c r="W2173" s="247"/>
      <c r="X2173" s="247"/>
      <c r="Y2173" s="247"/>
      <c r="Z2173" s="247"/>
      <c r="AA2173" s="247"/>
      <c r="AB2173" s="247"/>
      <c r="AC2173" s="247"/>
    </row>
    <row r="2174">
      <c r="A2174" s="247"/>
      <c r="B2174" s="373"/>
      <c r="C2174" s="373"/>
      <c r="D2174" s="373"/>
      <c r="E2174" s="247"/>
      <c r="F2174" s="247"/>
      <c r="G2174" s="247"/>
      <c r="H2174" s="247"/>
      <c r="I2174" s="247"/>
      <c r="J2174" s="247"/>
      <c r="K2174" s="247"/>
      <c r="L2174" s="247"/>
      <c r="M2174" s="247"/>
      <c r="N2174" s="247"/>
      <c r="O2174" s="247"/>
      <c r="P2174" s="247"/>
      <c r="Q2174" s="247"/>
      <c r="R2174" s="247"/>
      <c r="S2174" s="247"/>
      <c r="T2174" s="247"/>
      <c r="U2174" s="247"/>
      <c r="V2174" s="247"/>
      <c r="W2174" s="247"/>
      <c r="X2174" s="247"/>
      <c r="Y2174" s="247"/>
      <c r="Z2174" s="247"/>
      <c r="AA2174" s="247"/>
      <c r="AB2174" s="247"/>
      <c r="AC2174" s="247"/>
    </row>
    <row r="2175">
      <c r="A2175" s="247"/>
      <c r="B2175" s="373"/>
      <c r="C2175" s="373"/>
      <c r="D2175" s="373"/>
      <c r="E2175" s="247"/>
      <c r="F2175" s="247"/>
      <c r="G2175" s="247"/>
      <c r="H2175" s="247"/>
      <c r="I2175" s="247"/>
      <c r="J2175" s="247"/>
      <c r="K2175" s="247"/>
      <c r="L2175" s="247"/>
      <c r="M2175" s="247"/>
      <c r="N2175" s="247"/>
      <c r="O2175" s="247"/>
      <c r="P2175" s="247"/>
      <c r="Q2175" s="247"/>
      <c r="R2175" s="247"/>
      <c r="S2175" s="247"/>
      <c r="T2175" s="247"/>
      <c r="U2175" s="247"/>
      <c r="V2175" s="247"/>
      <c r="W2175" s="247"/>
      <c r="X2175" s="247"/>
      <c r="Y2175" s="247"/>
      <c r="Z2175" s="247"/>
      <c r="AA2175" s="247"/>
      <c r="AB2175" s="247"/>
      <c r="AC2175" s="247"/>
    </row>
    <row r="2176">
      <c r="A2176" s="247"/>
      <c r="B2176" s="373"/>
      <c r="C2176" s="373"/>
      <c r="D2176" s="373"/>
      <c r="E2176" s="247"/>
      <c r="F2176" s="247"/>
      <c r="G2176" s="247"/>
      <c r="H2176" s="247"/>
      <c r="I2176" s="247"/>
      <c r="J2176" s="247"/>
      <c r="K2176" s="247"/>
      <c r="L2176" s="247"/>
      <c r="M2176" s="247"/>
      <c r="N2176" s="247"/>
      <c r="O2176" s="247"/>
      <c r="P2176" s="247"/>
      <c r="Q2176" s="247"/>
      <c r="R2176" s="247"/>
      <c r="S2176" s="247"/>
      <c r="T2176" s="247"/>
      <c r="U2176" s="247"/>
      <c r="V2176" s="247"/>
      <c r="W2176" s="247"/>
      <c r="X2176" s="247"/>
      <c r="Y2176" s="247"/>
      <c r="Z2176" s="247"/>
      <c r="AA2176" s="247"/>
      <c r="AB2176" s="247"/>
      <c r="AC2176" s="247"/>
    </row>
    <row r="2177">
      <c r="A2177" s="247"/>
      <c r="B2177" s="373"/>
      <c r="C2177" s="373"/>
      <c r="D2177" s="373"/>
      <c r="E2177" s="247"/>
      <c r="F2177" s="247"/>
      <c r="G2177" s="247"/>
      <c r="H2177" s="247"/>
      <c r="I2177" s="247"/>
      <c r="J2177" s="247"/>
      <c r="K2177" s="247"/>
      <c r="L2177" s="247"/>
      <c r="M2177" s="247"/>
      <c r="N2177" s="247"/>
      <c r="O2177" s="247"/>
      <c r="P2177" s="247"/>
      <c r="Q2177" s="247"/>
      <c r="R2177" s="247"/>
      <c r="S2177" s="247"/>
      <c r="T2177" s="247"/>
      <c r="U2177" s="247"/>
      <c r="V2177" s="247"/>
      <c r="W2177" s="247"/>
      <c r="X2177" s="247"/>
      <c r="Y2177" s="247"/>
      <c r="Z2177" s="247"/>
      <c r="AA2177" s="247"/>
      <c r="AB2177" s="247"/>
      <c r="AC2177" s="247"/>
    </row>
    <row r="2178">
      <c r="A2178" s="247"/>
      <c r="B2178" s="373"/>
      <c r="C2178" s="373"/>
      <c r="D2178" s="373"/>
      <c r="E2178" s="247"/>
      <c r="F2178" s="247"/>
      <c r="G2178" s="247"/>
      <c r="H2178" s="247"/>
      <c r="I2178" s="247"/>
      <c r="J2178" s="247"/>
      <c r="K2178" s="247"/>
      <c r="L2178" s="247"/>
      <c r="M2178" s="247"/>
      <c r="N2178" s="247"/>
      <c r="O2178" s="247"/>
      <c r="P2178" s="247"/>
      <c r="Q2178" s="247"/>
      <c r="R2178" s="247"/>
      <c r="S2178" s="247"/>
      <c r="T2178" s="247"/>
      <c r="U2178" s="247"/>
      <c r="V2178" s="247"/>
      <c r="W2178" s="247"/>
      <c r="X2178" s="247"/>
      <c r="Y2178" s="247"/>
      <c r="Z2178" s="247"/>
      <c r="AA2178" s="247"/>
      <c r="AB2178" s="247"/>
      <c r="AC2178" s="247"/>
    </row>
    <row r="2179">
      <c r="A2179" s="247"/>
      <c r="B2179" s="373"/>
      <c r="C2179" s="373"/>
      <c r="D2179" s="373"/>
      <c r="E2179" s="247"/>
      <c r="F2179" s="247"/>
      <c r="G2179" s="247"/>
      <c r="H2179" s="247"/>
      <c r="I2179" s="247"/>
      <c r="J2179" s="247"/>
      <c r="K2179" s="247"/>
      <c r="L2179" s="247"/>
      <c r="M2179" s="247"/>
      <c r="N2179" s="247"/>
      <c r="O2179" s="247"/>
      <c r="P2179" s="247"/>
      <c r="Q2179" s="247"/>
      <c r="R2179" s="247"/>
      <c r="S2179" s="247"/>
      <c r="T2179" s="247"/>
      <c r="U2179" s="247"/>
      <c r="V2179" s="247"/>
      <c r="W2179" s="247"/>
      <c r="X2179" s="247"/>
      <c r="Y2179" s="247"/>
      <c r="Z2179" s="247"/>
      <c r="AA2179" s="247"/>
      <c r="AB2179" s="247"/>
      <c r="AC2179" s="247"/>
    </row>
    <row r="2180">
      <c r="A2180" s="247"/>
      <c r="B2180" s="373"/>
      <c r="C2180" s="373"/>
      <c r="D2180" s="373"/>
      <c r="E2180" s="247"/>
      <c r="F2180" s="247"/>
      <c r="G2180" s="247"/>
      <c r="H2180" s="247"/>
      <c r="I2180" s="247"/>
      <c r="J2180" s="247"/>
      <c r="K2180" s="247"/>
      <c r="L2180" s="247"/>
      <c r="M2180" s="247"/>
      <c r="N2180" s="247"/>
      <c r="O2180" s="247"/>
      <c r="P2180" s="247"/>
      <c r="Q2180" s="247"/>
      <c r="R2180" s="247"/>
      <c r="S2180" s="247"/>
      <c r="T2180" s="247"/>
      <c r="U2180" s="247"/>
      <c r="V2180" s="247"/>
      <c r="W2180" s="247"/>
      <c r="X2180" s="247"/>
      <c r="Y2180" s="247"/>
      <c r="Z2180" s="247"/>
      <c r="AA2180" s="247"/>
      <c r="AB2180" s="247"/>
      <c r="AC2180" s="247"/>
    </row>
    <row r="2181">
      <c r="A2181" s="247"/>
      <c r="B2181" s="373"/>
      <c r="C2181" s="373"/>
      <c r="D2181" s="373"/>
      <c r="E2181" s="247"/>
      <c r="F2181" s="247"/>
      <c r="G2181" s="247"/>
      <c r="H2181" s="247"/>
      <c r="I2181" s="247"/>
      <c r="J2181" s="247"/>
      <c r="K2181" s="247"/>
      <c r="L2181" s="247"/>
      <c r="M2181" s="247"/>
      <c r="N2181" s="247"/>
      <c r="O2181" s="247"/>
      <c r="P2181" s="247"/>
      <c r="Q2181" s="247"/>
      <c r="R2181" s="247"/>
      <c r="S2181" s="247"/>
      <c r="T2181" s="247"/>
      <c r="U2181" s="247"/>
      <c r="V2181" s="247"/>
      <c r="W2181" s="247"/>
      <c r="X2181" s="247"/>
      <c r="Y2181" s="247"/>
      <c r="Z2181" s="247"/>
      <c r="AA2181" s="247"/>
      <c r="AB2181" s="247"/>
      <c r="AC2181" s="247"/>
    </row>
    <row r="2182">
      <c r="A2182" s="247"/>
      <c r="B2182" s="373"/>
      <c r="C2182" s="373"/>
      <c r="D2182" s="373"/>
      <c r="E2182" s="247"/>
      <c r="F2182" s="247"/>
      <c r="G2182" s="247"/>
      <c r="H2182" s="247"/>
      <c r="I2182" s="247"/>
      <c r="J2182" s="247"/>
      <c r="K2182" s="247"/>
      <c r="L2182" s="247"/>
      <c r="M2182" s="247"/>
      <c r="N2182" s="247"/>
      <c r="O2182" s="247"/>
      <c r="P2182" s="247"/>
      <c r="Q2182" s="247"/>
      <c r="R2182" s="247"/>
      <c r="S2182" s="247"/>
      <c r="T2182" s="247"/>
      <c r="U2182" s="247"/>
      <c r="V2182" s="247"/>
      <c r="W2182" s="247"/>
      <c r="X2182" s="247"/>
      <c r="Y2182" s="247"/>
      <c r="Z2182" s="247"/>
      <c r="AA2182" s="247"/>
      <c r="AB2182" s="247"/>
      <c r="AC2182" s="247"/>
    </row>
    <row r="2183">
      <c r="A2183" s="247"/>
      <c r="B2183" s="373"/>
      <c r="C2183" s="373"/>
      <c r="D2183" s="373"/>
      <c r="E2183" s="247"/>
      <c r="F2183" s="247"/>
      <c r="G2183" s="247"/>
      <c r="H2183" s="247"/>
      <c r="I2183" s="247"/>
      <c r="J2183" s="247"/>
      <c r="K2183" s="247"/>
      <c r="L2183" s="247"/>
      <c r="M2183" s="247"/>
      <c r="N2183" s="247"/>
      <c r="O2183" s="247"/>
      <c r="P2183" s="247"/>
      <c r="Q2183" s="247"/>
      <c r="R2183" s="247"/>
      <c r="S2183" s="247"/>
      <c r="T2183" s="247"/>
      <c r="U2183" s="247"/>
      <c r="V2183" s="247"/>
      <c r="W2183" s="247"/>
      <c r="X2183" s="247"/>
      <c r="Y2183" s="247"/>
      <c r="Z2183" s="247"/>
      <c r="AA2183" s="247"/>
      <c r="AB2183" s="247"/>
      <c r="AC2183" s="247"/>
    </row>
    <row r="2184">
      <c r="A2184" s="247"/>
      <c r="B2184" s="373"/>
      <c r="C2184" s="373"/>
      <c r="D2184" s="373"/>
      <c r="E2184" s="247"/>
      <c r="F2184" s="247"/>
      <c r="G2184" s="247"/>
      <c r="H2184" s="247"/>
      <c r="I2184" s="247"/>
      <c r="J2184" s="247"/>
      <c r="K2184" s="247"/>
      <c r="L2184" s="247"/>
      <c r="M2184" s="247"/>
      <c r="N2184" s="247"/>
      <c r="O2184" s="247"/>
      <c r="P2184" s="247"/>
      <c r="Q2184" s="247"/>
      <c r="R2184" s="247"/>
      <c r="S2184" s="247"/>
      <c r="T2184" s="247"/>
      <c r="U2184" s="247"/>
      <c r="V2184" s="247"/>
      <c r="W2184" s="247"/>
      <c r="X2184" s="247"/>
      <c r="Y2184" s="247"/>
      <c r="Z2184" s="247"/>
      <c r="AA2184" s="247"/>
      <c r="AB2184" s="247"/>
      <c r="AC2184" s="247"/>
    </row>
    <row r="2185">
      <c r="A2185" s="247"/>
      <c r="B2185" s="373"/>
      <c r="C2185" s="373"/>
      <c r="D2185" s="373"/>
      <c r="E2185" s="247"/>
      <c r="F2185" s="247"/>
      <c r="G2185" s="247"/>
      <c r="H2185" s="247"/>
      <c r="I2185" s="247"/>
      <c r="J2185" s="247"/>
      <c r="K2185" s="247"/>
      <c r="L2185" s="247"/>
      <c r="M2185" s="247"/>
      <c r="N2185" s="247"/>
      <c r="O2185" s="247"/>
      <c r="P2185" s="247"/>
      <c r="Q2185" s="247"/>
      <c r="R2185" s="247"/>
      <c r="S2185" s="247"/>
      <c r="T2185" s="247"/>
      <c r="U2185" s="247"/>
      <c r="V2185" s="247"/>
      <c r="W2185" s="247"/>
      <c r="X2185" s="247"/>
      <c r="Y2185" s="247"/>
      <c r="Z2185" s="247"/>
      <c r="AA2185" s="247"/>
      <c r="AB2185" s="247"/>
      <c r="AC2185" s="247"/>
    </row>
    <row r="2186">
      <c r="A2186" s="247"/>
      <c r="B2186" s="373"/>
      <c r="C2186" s="373"/>
      <c r="D2186" s="373"/>
      <c r="E2186" s="247"/>
      <c r="F2186" s="247"/>
      <c r="G2186" s="247"/>
      <c r="H2186" s="247"/>
      <c r="I2186" s="247"/>
      <c r="J2186" s="247"/>
      <c r="K2186" s="247"/>
      <c r="L2186" s="247"/>
      <c r="M2186" s="247"/>
      <c r="N2186" s="247"/>
      <c r="O2186" s="247"/>
      <c r="P2186" s="247"/>
      <c r="Q2186" s="247"/>
      <c r="R2186" s="247"/>
      <c r="S2186" s="247"/>
      <c r="T2186" s="247"/>
      <c r="U2186" s="247"/>
      <c r="V2186" s="247"/>
      <c r="W2186" s="247"/>
      <c r="X2186" s="247"/>
      <c r="Y2186" s="247"/>
      <c r="Z2186" s="247"/>
      <c r="AA2186" s="247"/>
      <c r="AB2186" s="247"/>
      <c r="AC2186" s="247"/>
    </row>
    <row r="2187">
      <c r="A2187" s="247"/>
      <c r="B2187" s="373"/>
      <c r="C2187" s="373"/>
      <c r="D2187" s="373"/>
      <c r="E2187" s="247"/>
      <c r="F2187" s="247"/>
      <c r="G2187" s="247"/>
      <c r="H2187" s="247"/>
      <c r="I2187" s="247"/>
      <c r="J2187" s="247"/>
      <c r="K2187" s="247"/>
      <c r="L2187" s="247"/>
      <c r="M2187" s="247"/>
      <c r="N2187" s="247"/>
      <c r="O2187" s="247"/>
      <c r="P2187" s="247"/>
      <c r="Q2187" s="247"/>
      <c r="R2187" s="247"/>
      <c r="S2187" s="247"/>
      <c r="T2187" s="247"/>
      <c r="U2187" s="247"/>
      <c r="V2187" s="247"/>
      <c r="W2187" s="247"/>
      <c r="X2187" s="247"/>
      <c r="Y2187" s="247"/>
      <c r="Z2187" s="247"/>
      <c r="AA2187" s="247"/>
      <c r="AB2187" s="247"/>
      <c r="AC2187" s="247"/>
    </row>
    <row r="2188">
      <c r="A2188" s="247"/>
      <c r="B2188" s="373"/>
      <c r="C2188" s="373"/>
      <c r="D2188" s="373"/>
      <c r="E2188" s="247"/>
      <c r="F2188" s="247"/>
      <c r="G2188" s="247"/>
      <c r="H2188" s="247"/>
      <c r="I2188" s="247"/>
      <c r="J2188" s="247"/>
      <c r="K2188" s="247"/>
      <c r="L2188" s="247"/>
      <c r="M2188" s="247"/>
      <c r="N2188" s="247"/>
      <c r="O2188" s="247"/>
      <c r="P2188" s="247"/>
      <c r="Q2188" s="247"/>
      <c r="R2188" s="247"/>
      <c r="S2188" s="247"/>
      <c r="T2188" s="247"/>
      <c r="U2188" s="247"/>
      <c r="V2188" s="247"/>
      <c r="W2188" s="247"/>
      <c r="X2188" s="247"/>
      <c r="Y2188" s="247"/>
      <c r="Z2188" s="247"/>
      <c r="AA2188" s="247"/>
      <c r="AB2188" s="247"/>
      <c r="AC2188" s="247"/>
    </row>
    <row r="2189">
      <c r="A2189" s="247"/>
      <c r="B2189" s="373"/>
      <c r="C2189" s="373"/>
      <c r="D2189" s="373"/>
      <c r="E2189" s="247"/>
      <c r="F2189" s="247"/>
      <c r="G2189" s="247"/>
      <c r="H2189" s="247"/>
      <c r="I2189" s="247"/>
      <c r="J2189" s="247"/>
      <c r="K2189" s="247"/>
      <c r="L2189" s="247"/>
      <c r="M2189" s="247"/>
      <c r="N2189" s="247"/>
      <c r="O2189" s="247"/>
      <c r="P2189" s="247"/>
      <c r="Q2189" s="247"/>
      <c r="R2189" s="247"/>
      <c r="S2189" s="247"/>
      <c r="T2189" s="247"/>
      <c r="U2189" s="247"/>
      <c r="V2189" s="247"/>
      <c r="W2189" s="247"/>
      <c r="X2189" s="247"/>
      <c r="Y2189" s="247"/>
      <c r="Z2189" s="247"/>
      <c r="AA2189" s="247"/>
      <c r="AB2189" s="247"/>
      <c r="AC2189" s="247"/>
    </row>
    <row r="2190">
      <c r="A2190" s="247"/>
      <c r="B2190" s="373"/>
      <c r="C2190" s="373"/>
      <c r="D2190" s="373"/>
      <c r="E2190" s="247"/>
      <c r="F2190" s="247"/>
      <c r="G2190" s="247"/>
      <c r="H2190" s="247"/>
      <c r="I2190" s="247"/>
      <c r="J2190" s="247"/>
      <c r="K2190" s="247"/>
      <c r="L2190" s="247"/>
      <c r="M2190" s="247"/>
      <c r="N2190" s="247"/>
      <c r="O2190" s="247"/>
      <c r="P2190" s="247"/>
      <c r="Q2190" s="247"/>
      <c r="R2190" s="247"/>
      <c r="S2190" s="247"/>
      <c r="T2190" s="247"/>
      <c r="U2190" s="247"/>
      <c r="V2190" s="247"/>
      <c r="W2190" s="247"/>
      <c r="X2190" s="247"/>
      <c r="Y2190" s="247"/>
      <c r="Z2190" s="247"/>
      <c r="AA2190" s="247"/>
      <c r="AB2190" s="247"/>
      <c r="AC2190" s="247"/>
    </row>
    <row r="2191">
      <c r="A2191" s="247"/>
      <c r="B2191" s="373"/>
      <c r="C2191" s="373"/>
      <c r="D2191" s="373"/>
      <c r="E2191" s="247"/>
      <c r="F2191" s="247"/>
      <c r="G2191" s="247"/>
      <c r="H2191" s="247"/>
      <c r="I2191" s="247"/>
      <c r="J2191" s="247"/>
      <c r="K2191" s="247"/>
      <c r="L2191" s="247"/>
      <c r="M2191" s="247"/>
      <c r="N2191" s="247"/>
      <c r="O2191" s="247"/>
      <c r="P2191" s="247"/>
      <c r="Q2191" s="247"/>
      <c r="R2191" s="247"/>
      <c r="S2191" s="247"/>
      <c r="T2191" s="247"/>
      <c r="U2191" s="247"/>
      <c r="V2191" s="247"/>
      <c r="W2191" s="247"/>
      <c r="X2191" s="247"/>
      <c r="Y2191" s="247"/>
      <c r="Z2191" s="247"/>
      <c r="AA2191" s="247"/>
      <c r="AB2191" s="247"/>
      <c r="AC2191" s="247"/>
    </row>
    <row r="2192">
      <c r="A2192" s="247"/>
      <c r="B2192" s="373"/>
      <c r="C2192" s="373"/>
      <c r="D2192" s="373"/>
      <c r="E2192" s="247"/>
      <c r="F2192" s="247"/>
      <c r="G2192" s="247"/>
      <c r="H2192" s="247"/>
      <c r="I2192" s="247"/>
      <c r="J2192" s="247"/>
      <c r="K2192" s="247"/>
      <c r="L2192" s="247"/>
      <c r="M2192" s="247"/>
      <c r="N2192" s="247"/>
      <c r="O2192" s="247"/>
      <c r="P2192" s="247"/>
      <c r="Q2192" s="247"/>
      <c r="R2192" s="247"/>
      <c r="S2192" s="247"/>
      <c r="T2192" s="247"/>
      <c r="U2192" s="247"/>
      <c r="V2192" s="247"/>
      <c r="W2192" s="247"/>
      <c r="X2192" s="247"/>
      <c r="Y2192" s="247"/>
      <c r="Z2192" s="247"/>
      <c r="AA2192" s="247"/>
      <c r="AB2192" s="247"/>
      <c r="AC2192" s="247"/>
    </row>
    <row r="2193">
      <c r="A2193" s="247"/>
      <c r="B2193" s="373"/>
      <c r="C2193" s="373"/>
      <c r="D2193" s="373"/>
      <c r="E2193" s="247"/>
      <c r="F2193" s="247"/>
      <c r="G2193" s="247"/>
      <c r="H2193" s="247"/>
      <c r="I2193" s="247"/>
      <c r="J2193" s="247"/>
      <c r="K2193" s="247"/>
      <c r="L2193" s="247"/>
      <c r="M2193" s="247"/>
      <c r="N2193" s="247"/>
      <c r="O2193" s="247"/>
      <c r="P2193" s="247"/>
      <c r="Q2193" s="247"/>
      <c r="R2193" s="247"/>
      <c r="S2193" s="247"/>
      <c r="T2193" s="247"/>
      <c r="U2193" s="247"/>
      <c r="V2193" s="247"/>
      <c r="W2193" s="247"/>
      <c r="X2193" s="247"/>
      <c r="Y2193" s="247"/>
      <c r="Z2193" s="247"/>
      <c r="AA2193" s="247"/>
      <c r="AB2193" s="247"/>
      <c r="AC2193" s="247"/>
    </row>
    <row r="2194">
      <c r="A2194" s="247"/>
      <c r="B2194" s="373"/>
      <c r="C2194" s="373"/>
      <c r="D2194" s="373"/>
      <c r="E2194" s="247"/>
      <c r="F2194" s="247"/>
      <c r="G2194" s="247"/>
      <c r="H2194" s="247"/>
      <c r="I2194" s="247"/>
      <c r="J2194" s="247"/>
      <c r="K2194" s="247"/>
      <c r="L2194" s="247"/>
      <c r="M2194" s="247"/>
      <c r="N2194" s="247"/>
      <c r="O2194" s="247"/>
      <c r="P2194" s="247"/>
      <c r="Q2194" s="247"/>
      <c r="R2194" s="247"/>
      <c r="S2194" s="247"/>
      <c r="T2194" s="247"/>
      <c r="U2194" s="247"/>
      <c r="V2194" s="247"/>
      <c r="W2194" s="247"/>
      <c r="X2194" s="247"/>
      <c r="Y2194" s="247"/>
      <c r="Z2194" s="247"/>
      <c r="AA2194" s="247"/>
      <c r="AB2194" s="247"/>
      <c r="AC2194" s="247"/>
    </row>
    <row r="2195">
      <c r="A2195" s="247"/>
      <c r="B2195" s="373"/>
      <c r="C2195" s="373"/>
      <c r="D2195" s="373"/>
      <c r="E2195" s="247"/>
      <c r="F2195" s="247"/>
      <c r="G2195" s="247"/>
      <c r="H2195" s="247"/>
      <c r="I2195" s="247"/>
      <c r="J2195" s="247"/>
      <c r="K2195" s="247"/>
      <c r="L2195" s="247"/>
      <c r="M2195" s="247"/>
      <c r="N2195" s="247"/>
      <c r="O2195" s="247"/>
      <c r="P2195" s="247"/>
      <c r="Q2195" s="247"/>
      <c r="R2195" s="247"/>
      <c r="S2195" s="247"/>
      <c r="T2195" s="247"/>
      <c r="U2195" s="247"/>
      <c r="V2195" s="247"/>
      <c r="W2195" s="247"/>
      <c r="X2195" s="247"/>
      <c r="Y2195" s="247"/>
      <c r="Z2195" s="247"/>
      <c r="AA2195" s="247"/>
      <c r="AB2195" s="247"/>
      <c r="AC2195" s="247"/>
    </row>
    <row r="2196">
      <c r="A2196" s="247"/>
      <c r="B2196" s="373"/>
      <c r="C2196" s="373"/>
      <c r="D2196" s="373"/>
      <c r="E2196" s="247"/>
      <c r="F2196" s="247"/>
      <c r="G2196" s="247"/>
      <c r="H2196" s="247"/>
      <c r="I2196" s="247"/>
      <c r="J2196" s="247"/>
      <c r="K2196" s="247"/>
      <c r="L2196" s="247"/>
      <c r="M2196" s="247"/>
      <c r="N2196" s="247"/>
      <c r="O2196" s="247"/>
      <c r="P2196" s="247"/>
      <c r="Q2196" s="247"/>
      <c r="R2196" s="247"/>
      <c r="S2196" s="247"/>
      <c r="T2196" s="247"/>
      <c r="U2196" s="247"/>
      <c r="V2196" s="247"/>
      <c r="W2196" s="247"/>
      <c r="X2196" s="247"/>
      <c r="Y2196" s="247"/>
      <c r="Z2196" s="247"/>
      <c r="AA2196" s="247"/>
      <c r="AB2196" s="247"/>
      <c r="AC2196" s="247"/>
    </row>
    <row r="2197">
      <c r="A2197" s="247"/>
      <c r="B2197" s="373"/>
      <c r="C2197" s="373"/>
      <c r="D2197" s="373"/>
      <c r="E2197" s="247"/>
      <c r="F2197" s="247"/>
      <c r="G2197" s="247"/>
      <c r="H2197" s="247"/>
      <c r="I2197" s="247"/>
      <c r="J2197" s="247"/>
      <c r="K2197" s="247"/>
      <c r="L2197" s="247"/>
      <c r="M2197" s="247"/>
      <c r="N2197" s="247"/>
      <c r="O2197" s="247"/>
      <c r="P2197" s="247"/>
      <c r="Q2197" s="247"/>
      <c r="R2197" s="247"/>
      <c r="S2197" s="247"/>
      <c r="T2197" s="247"/>
      <c r="U2197" s="247"/>
      <c r="V2197" s="247"/>
      <c r="W2197" s="247"/>
      <c r="X2197" s="247"/>
      <c r="Y2197" s="247"/>
      <c r="Z2197" s="247"/>
      <c r="AA2197" s="247"/>
      <c r="AB2197" s="247"/>
      <c r="AC2197" s="247"/>
    </row>
    <row r="2198">
      <c r="A2198" s="247"/>
      <c r="B2198" s="373"/>
      <c r="C2198" s="373"/>
      <c r="D2198" s="373"/>
      <c r="E2198" s="247"/>
      <c r="F2198" s="247"/>
      <c r="G2198" s="247"/>
      <c r="H2198" s="247"/>
      <c r="I2198" s="247"/>
      <c r="J2198" s="247"/>
      <c r="K2198" s="247"/>
      <c r="L2198" s="247"/>
      <c r="M2198" s="247"/>
      <c r="N2198" s="247"/>
      <c r="O2198" s="247"/>
      <c r="P2198" s="247"/>
      <c r="Q2198" s="247"/>
      <c r="R2198" s="247"/>
      <c r="S2198" s="247"/>
      <c r="T2198" s="247"/>
      <c r="U2198" s="247"/>
      <c r="V2198" s="247"/>
      <c r="W2198" s="247"/>
      <c r="X2198" s="247"/>
      <c r="Y2198" s="247"/>
      <c r="Z2198" s="247"/>
      <c r="AA2198" s="247"/>
      <c r="AB2198" s="247"/>
      <c r="AC2198" s="247"/>
    </row>
    <row r="2199">
      <c r="A2199" s="247"/>
      <c r="B2199" s="373"/>
      <c r="C2199" s="373"/>
      <c r="D2199" s="373"/>
      <c r="E2199" s="247"/>
      <c r="F2199" s="247"/>
      <c r="G2199" s="247"/>
      <c r="H2199" s="247"/>
      <c r="I2199" s="247"/>
      <c r="J2199" s="247"/>
      <c r="K2199" s="247"/>
      <c r="L2199" s="247"/>
      <c r="M2199" s="247"/>
      <c r="N2199" s="247"/>
      <c r="O2199" s="247"/>
      <c r="P2199" s="247"/>
      <c r="Q2199" s="247"/>
      <c r="R2199" s="247"/>
      <c r="S2199" s="247"/>
      <c r="T2199" s="247"/>
      <c r="U2199" s="247"/>
      <c r="V2199" s="247"/>
      <c r="W2199" s="247"/>
      <c r="X2199" s="247"/>
      <c r="Y2199" s="247"/>
      <c r="Z2199" s="247"/>
      <c r="AA2199" s="247"/>
      <c r="AB2199" s="247"/>
      <c r="AC2199" s="247"/>
    </row>
    <row r="2200">
      <c r="A2200" s="247"/>
      <c r="B2200" s="373"/>
      <c r="C2200" s="373"/>
      <c r="D2200" s="373"/>
      <c r="E2200" s="247"/>
      <c r="F2200" s="247"/>
      <c r="G2200" s="247"/>
      <c r="H2200" s="247"/>
      <c r="I2200" s="247"/>
      <c r="J2200" s="247"/>
      <c r="K2200" s="247"/>
      <c r="L2200" s="247"/>
      <c r="M2200" s="247"/>
      <c r="N2200" s="247"/>
      <c r="O2200" s="247"/>
      <c r="P2200" s="247"/>
      <c r="Q2200" s="247"/>
      <c r="R2200" s="247"/>
      <c r="S2200" s="247"/>
      <c r="T2200" s="247"/>
      <c r="U2200" s="247"/>
      <c r="V2200" s="247"/>
      <c r="W2200" s="247"/>
      <c r="X2200" s="247"/>
      <c r="Y2200" s="247"/>
      <c r="Z2200" s="247"/>
      <c r="AA2200" s="247"/>
      <c r="AB2200" s="247"/>
      <c r="AC2200" s="247"/>
    </row>
    <row r="2201">
      <c r="A2201" s="247"/>
      <c r="B2201" s="373"/>
      <c r="C2201" s="373"/>
      <c r="D2201" s="373"/>
      <c r="E2201" s="247"/>
      <c r="F2201" s="247"/>
      <c r="G2201" s="247"/>
      <c r="H2201" s="247"/>
      <c r="I2201" s="247"/>
      <c r="J2201" s="247"/>
      <c r="K2201" s="247"/>
      <c r="L2201" s="247"/>
      <c r="M2201" s="247"/>
      <c r="N2201" s="247"/>
      <c r="O2201" s="247"/>
      <c r="P2201" s="247"/>
      <c r="Q2201" s="247"/>
      <c r="R2201" s="247"/>
      <c r="S2201" s="247"/>
      <c r="T2201" s="247"/>
      <c r="U2201" s="247"/>
      <c r="V2201" s="247"/>
      <c r="W2201" s="247"/>
      <c r="X2201" s="247"/>
      <c r="Y2201" s="247"/>
      <c r="Z2201" s="247"/>
      <c r="AA2201" s="247"/>
      <c r="AB2201" s="247"/>
      <c r="AC2201" s="247"/>
    </row>
    <row r="2202">
      <c r="A2202" s="247"/>
      <c r="B2202" s="373"/>
      <c r="C2202" s="373"/>
      <c r="D2202" s="373"/>
      <c r="E2202" s="247"/>
      <c r="F2202" s="247"/>
      <c r="G2202" s="247"/>
      <c r="H2202" s="247"/>
      <c r="I2202" s="247"/>
      <c r="J2202" s="247"/>
      <c r="K2202" s="247"/>
      <c r="L2202" s="247"/>
      <c r="M2202" s="247"/>
      <c r="N2202" s="247"/>
      <c r="O2202" s="247"/>
      <c r="P2202" s="247"/>
      <c r="Q2202" s="247"/>
      <c r="R2202" s="247"/>
      <c r="S2202" s="247"/>
      <c r="T2202" s="247"/>
      <c r="U2202" s="247"/>
      <c r="V2202" s="247"/>
      <c r="W2202" s="247"/>
      <c r="X2202" s="247"/>
      <c r="Y2202" s="247"/>
      <c r="Z2202" s="247"/>
      <c r="AA2202" s="247"/>
      <c r="AB2202" s="247"/>
      <c r="AC2202" s="247"/>
    </row>
    <row r="2203">
      <c r="A2203" s="247"/>
      <c r="B2203" s="373"/>
      <c r="C2203" s="373"/>
      <c r="D2203" s="373"/>
      <c r="E2203" s="247"/>
      <c r="F2203" s="247"/>
      <c r="G2203" s="247"/>
      <c r="H2203" s="247"/>
      <c r="I2203" s="247"/>
      <c r="J2203" s="247"/>
      <c r="K2203" s="247"/>
      <c r="L2203" s="247"/>
      <c r="M2203" s="247"/>
      <c r="N2203" s="247"/>
      <c r="O2203" s="247"/>
      <c r="P2203" s="247"/>
      <c r="Q2203" s="247"/>
      <c r="R2203" s="247"/>
      <c r="S2203" s="247"/>
      <c r="T2203" s="247"/>
      <c r="U2203" s="247"/>
      <c r="V2203" s="247"/>
      <c r="W2203" s="247"/>
      <c r="X2203" s="247"/>
      <c r="Y2203" s="247"/>
      <c r="Z2203" s="247"/>
      <c r="AA2203" s="247"/>
      <c r="AB2203" s="247"/>
      <c r="AC2203" s="247"/>
    </row>
    <row r="2204">
      <c r="A2204" s="247"/>
      <c r="B2204" s="373"/>
      <c r="C2204" s="373"/>
      <c r="D2204" s="373"/>
      <c r="E2204" s="247"/>
      <c r="F2204" s="247"/>
      <c r="G2204" s="247"/>
      <c r="H2204" s="247"/>
      <c r="I2204" s="247"/>
      <c r="J2204" s="247"/>
      <c r="K2204" s="247"/>
      <c r="L2204" s="247"/>
      <c r="M2204" s="247"/>
      <c r="N2204" s="247"/>
      <c r="O2204" s="247"/>
      <c r="P2204" s="247"/>
      <c r="Q2204" s="247"/>
      <c r="R2204" s="247"/>
      <c r="S2204" s="247"/>
      <c r="T2204" s="247"/>
      <c r="U2204" s="247"/>
      <c r="V2204" s="247"/>
      <c r="W2204" s="247"/>
      <c r="X2204" s="247"/>
      <c r="Y2204" s="247"/>
      <c r="Z2204" s="247"/>
      <c r="AA2204" s="247"/>
      <c r="AB2204" s="247"/>
      <c r="AC2204" s="247"/>
    </row>
    <row r="2205">
      <c r="A2205" s="247"/>
      <c r="B2205" s="373"/>
      <c r="C2205" s="373"/>
      <c r="D2205" s="373"/>
      <c r="E2205" s="247"/>
      <c r="F2205" s="247"/>
      <c r="G2205" s="247"/>
      <c r="H2205" s="247"/>
      <c r="I2205" s="247"/>
      <c r="J2205" s="247"/>
      <c r="K2205" s="247"/>
      <c r="L2205" s="247"/>
      <c r="M2205" s="247"/>
      <c r="N2205" s="247"/>
      <c r="O2205" s="247"/>
      <c r="P2205" s="247"/>
      <c r="Q2205" s="247"/>
      <c r="R2205" s="247"/>
      <c r="S2205" s="247"/>
      <c r="T2205" s="247"/>
      <c r="U2205" s="247"/>
      <c r="V2205" s="247"/>
      <c r="W2205" s="247"/>
      <c r="X2205" s="247"/>
      <c r="Y2205" s="247"/>
      <c r="Z2205" s="247"/>
      <c r="AA2205" s="247"/>
      <c r="AB2205" s="247"/>
      <c r="AC2205" s="247"/>
    </row>
    <row r="2206">
      <c r="A2206" s="247"/>
      <c r="B2206" s="373"/>
      <c r="C2206" s="373"/>
      <c r="D2206" s="373"/>
      <c r="E2206" s="247"/>
      <c r="F2206" s="247"/>
      <c r="G2206" s="247"/>
      <c r="H2206" s="247"/>
      <c r="I2206" s="247"/>
      <c r="J2206" s="247"/>
      <c r="K2206" s="247"/>
      <c r="L2206" s="247"/>
      <c r="M2206" s="247"/>
      <c r="N2206" s="247"/>
      <c r="O2206" s="247"/>
      <c r="P2206" s="247"/>
      <c r="Q2206" s="247"/>
      <c r="R2206" s="247"/>
      <c r="S2206" s="247"/>
      <c r="T2206" s="247"/>
      <c r="U2206" s="247"/>
      <c r="V2206" s="247"/>
      <c r="W2206" s="247"/>
      <c r="X2206" s="247"/>
      <c r="Y2206" s="247"/>
      <c r="Z2206" s="247"/>
      <c r="AA2206" s="247"/>
      <c r="AB2206" s="247"/>
      <c r="AC2206" s="247"/>
    </row>
    <row r="2207">
      <c r="A2207" s="247"/>
      <c r="B2207" s="373"/>
      <c r="C2207" s="373"/>
      <c r="D2207" s="373"/>
      <c r="E2207" s="247"/>
      <c r="F2207" s="247"/>
      <c r="G2207" s="247"/>
      <c r="H2207" s="247"/>
      <c r="I2207" s="247"/>
      <c r="J2207" s="247"/>
      <c r="K2207" s="247"/>
      <c r="L2207" s="247"/>
      <c r="M2207" s="247"/>
      <c r="N2207" s="247"/>
      <c r="O2207" s="247"/>
      <c r="P2207" s="247"/>
      <c r="Q2207" s="247"/>
      <c r="R2207" s="247"/>
      <c r="S2207" s="247"/>
      <c r="T2207" s="247"/>
      <c r="U2207" s="247"/>
      <c r="V2207" s="247"/>
      <c r="W2207" s="247"/>
      <c r="X2207" s="247"/>
      <c r="Y2207" s="247"/>
      <c r="Z2207" s="247"/>
      <c r="AA2207" s="247"/>
      <c r="AB2207" s="247"/>
      <c r="AC2207" s="247"/>
    </row>
    <row r="2208">
      <c r="A2208" s="247"/>
      <c r="B2208" s="373"/>
      <c r="C2208" s="373"/>
      <c r="D2208" s="373"/>
      <c r="E2208" s="247"/>
      <c r="F2208" s="247"/>
      <c r="G2208" s="247"/>
      <c r="H2208" s="247"/>
      <c r="I2208" s="247"/>
      <c r="J2208" s="247"/>
      <c r="K2208" s="247"/>
      <c r="L2208" s="247"/>
      <c r="M2208" s="247"/>
      <c r="N2208" s="247"/>
      <c r="O2208" s="247"/>
      <c r="P2208" s="247"/>
      <c r="Q2208" s="247"/>
      <c r="R2208" s="247"/>
      <c r="S2208" s="247"/>
      <c r="T2208" s="247"/>
      <c r="U2208" s="247"/>
      <c r="V2208" s="247"/>
      <c r="W2208" s="247"/>
      <c r="X2208" s="247"/>
      <c r="Y2208" s="247"/>
      <c r="Z2208" s="247"/>
      <c r="AA2208" s="247"/>
      <c r="AB2208" s="247"/>
      <c r="AC2208" s="247"/>
    </row>
    <row r="2209">
      <c r="A2209" s="247"/>
      <c r="B2209" s="373"/>
      <c r="C2209" s="373"/>
      <c r="D2209" s="373"/>
      <c r="E2209" s="247"/>
      <c r="F2209" s="247"/>
      <c r="G2209" s="247"/>
      <c r="H2209" s="247"/>
      <c r="I2209" s="247"/>
      <c r="J2209" s="247"/>
      <c r="K2209" s="247"/>
      <c r="L2209" s="247"/>
      <c r="M2209" s="247"/>
      <c r="N2209" s="247"/>
      <c r="O2209" s="247"/>
      <c r="P2209" s="247"/>
      <c r="Q2209" s="247"/>
      <c r="R2209" s="247"/>
      <c r="S2209" s="247"/>
      <c r="T2209" s="247"/>
      <c r="U2209" s="247"/>
      <c r="V2209" s="247"/>
      <c r="W2209" s="247"/>
      <c r="X2209" s="247"/>
      <c r="Y2209" s="247"/>
      <c r="Z2209" s="247"/>
      <c r="AA2209" s="247"/>
      <c r="AB2209" s="247"/>
      <c r="AC2209" s="247"/>
    </row>
    <row r="2210">
      <c r="A2210" s="247"/>
      <c r="B2210" s="373"/>
      <c r="C2210" s="373"/>
      <c r="D2210" s="373"/>
      <c r="E2210" s="247"/>
      <c r="F2210" s="247"/>
      <c r="G2210" s="247"/>
      <c r="H2210" s="247"/>
      <c r="I2210" s="247"/>
      <c r="J2210" s="247"/>
      <c r="K2210" s="247"/>
      <c r="L2210" s="247"/>
      <c r="M2210" s="247"/>
      <c r="N2210" s="247"/>
      <c r="O2210" s="247"/>
      <c r="P2210" s="247"/>
      <c r="Q2210" s="247"/>
      <c r="R2210" s="247"/>
      <c r="S2210" s="247"/>
      <c r="T2210" s="247"/>
      <c r="U2210" s="247"/>
      <c r="V2210" s="247"/>
      <c r="W2210" s="247"/>
      <c r="X2210" s="247"/>
      <c r="Y2210" s="247"/>
      <c r="Z2210" s="247"/>
      <c r="AA2210" s="247"/>
      <c r="AB2210" s="247"/>
      <c r="AC2210" s="247"/>
    </row>
    <row r="2211">
      <c r="A2211" s="247"/>
      <c r="B2211" s="373"/>
      <c r="C2211" s="373"/>
      <c r="D2211" s="373"/>
      <c r="E2211" s="247"/>
      <c r="F2211" s="247"/>
      <c r="G2211" s="247"/>
      <c r="H2211" s="247"/>
      <c r="I2211" s="247"/>
      <c r="J2211" s="247"/>
      <c r="K2211" s="247"/>
      <c r="L2211" s="247"/>
      <c r="M2211" s="247"/>
      <c r="N2211" s="247"/>
      <c r="O2211" s="247"/>
      <c r="P2211" s="247"/>
      <c r="Q2211" s="247"/>
      <c r="R2211" s="247"/>
      <c r="S2211" s="247"/>
      <c r="T2211" s="247"/>
      <c r="U2211" s="247"/>
      <c r="V2211" s="247"/>
      <c r="W2211" s="247"/>
      <c r="X2211" s="247"/>
      <c r="Y2211" s="247"/>
      <c r="Z2211" s="247"/>
      <c r="AA2211" s="247"/>
      <c r="AB2211" s="247"/>
      <c r="AC2211" s="247"/>
    </row>
    <row r="2212">
      <c r="A2212" s="247"/>
      <c r="B2212" s="373"/>
      <c r="C2212" s="373"/>
      <c r="D2212" s="373"/>
      <c r="E2212" s="247"/>
      <c r="F2212" s="247"/>
      <c r="G2212" s="247"/>
      <c r="H2212" s="247"/>
      <c r="I2212" s="247"/>
      <c r="J2212" s="247"/>
      <c r="K2212" s="247"/>
      <c r="L2212" s="247"/>
      <c r="M2212" s="247"/>
      <c r="N2212" s="247"/>
      <c r="O2212" s="247"/>
      <c r="P2212" s="247"/>
      <c r="Q2212" s="247"/>
      <c r="R2212" s="247"/>
      <c r="S2212" s="247"/>
      <c r="T2212" s="247"/>
      <c r="U2212" s="247"/>
      <c r="V2212" s="247"/>
      <c r="W2212" s="247"/>
      <c r="X2212" s="247"/>
      <c r="Y2212" s="247"/>
      <c r="Z2212" s="247"/>
      <c r="AA2212" s="247"/>
      <c r="AB2212" s="247"/>
      <c r="AC2212" s="247"/>
    </row>
    <row r="2213">
      <c r="A2213" s="247"/>
      <c r="B2213" s="373"/>
      <c r="C2213" s="373"/>
      <c r="D2213" s="373"/>
      <c r="E2213" s="247"/>
      <c r="F2213" s="247"/>
      <c r="G2213" s="247"/>
      <c r="H2213" s="247"/>
      <c r="I2213" s="247"/>
      <c r="J2213" s="247"/>
      <c r="K2213" s="247"/>
      <c r="L2213" s="247"/>
      <c r="M2213" s="247"/>
      <c r="N2213" s="247"/>
      <c r="O2213" s="247"/>
      <c r="P2213" s="247"/>
      <c r="Q2213" s="247"/>
      <c r="R2213" s="247"/>
      <c r="S2213" s="247"/>
      <c r="T2213" s="247"/>
      <c r="U2213" s="247"/>
      <c r="V2213" s="247"/>
      <c r="W2213" s="247"/>
      <c r="X2213" s="247"/>
      <c r="Y2213" s="247"/>
      <c r="Z2213" s="247"/>
      <c r="AA2213" s="247"/>
      <c r="AB2213" s="247"/>
      <c r="AC2213" s="247"/>
    </row>
    <row r="2214">
      <c r="A2214" s="247"/>
      <c r="B2214" s="373"/>
      <c r="C2214" s="373"/>
      <c r="D2214" s="373"/>
      <c r="E2214" s="247"/>
      <c r="F2214" s="247"/>
      <c r="G2214" s="247"/>
      <c r="H2214" s="247"/>
      <c r="I2214" s="247"/>
      <c r="J2214" s="247"/>
      <c r="K2214" s="247"/>
      <c r="L2214" s="247"/>
      <c r="M2214" s="247"/>
      <c r="N2214" s="247"/>
      <c r="O2214" s="247"/>
      <c r="P2214" s="247"/>
      <c r="Q2214" s="247"/>
      <c r="R2214" s="247"/>
      <c r="S2214" s="247"/>
      <c r="T2214" s="247"/>
      <c r="U2214" s="247"/>
      <c r="V2214" s="247"/>
      <c r="W2214" s="247"/>
      <c r="X2214" s="247"/>
      <c r="Y2214" s="247"/>
      <c r="Z2214" s="247"/>
      <c r="AA2214" s="247"/>
      <c r="AB2214" s="247"/>
      <c r="AC2214" s="247"/>
    </row>
    <row r="2215">
      <c r="A2215" s="247"/>
      <c r="B2215" s="373"/>
      <c r="C2215" s="373"/>
      <c r="D2215" s="373"/>
      <c r="E2215" s="247"/>
      <c r="F2215" s="247"/>
      <c r="G2215" s="247"/>
      <c r="H2215" s="247"/>
      <c r="I2215" s="247"/>
      <c r="J2215" s="247"/>
      <c r="K2215" s="247"/>
      <c r="L2215" s="247"/>
      <c r="M2215" s="247"/>
      <c r="N2215" s="247"/>
      <c r="O2215" s="247"/>
      <c r="P2215" s="247"/>
      <c r="Q2215" s="247"/>
      <c r="R2215" s="247"/>
      <c r="S2215" s="247"/>
      <c r="T2215" s="247"/>
      <c r="U2215" s="247"/>
      <c r="V2215" s="247"/>
      <c r="W2215" s="247"/>
      <c r="X2215" s="247"/>
      <c r="Y2215" s="247"/>
      <c r="Z2215" s="247"/>
      <c r="AA2215" s="247"/>
      <c r="AB2215" s="247"/>
      <c r="AC2215" s="247"/>
    </row>
    <row r="2216">
      <c r="A2216" s="247"/>
      <c r="B2216" s="373"/>
      <c r="C2216" s="373"/>
      <c r="D2216" s="373"/>
      <c r="E2216" s="247"/>
      <c r="F2216" s="247"/>
      <c r="G2216" s="247"/>
      <c r="H2216" s="247"/>
      <c r="I2216" s="247"/>
      <c r="J2216" s="247"/>
      <c r="K2216" s="247"/>
      <c r="L2216" s="247"/>
      <c r="M2216" s="247"/>
      <c r="N2216" s="247"/>
      <c r="O2216" s="247"/>
      <c r="P2216" s="247"/>
      <c r="Q2216" s="247"/>
      <c r="R2216" s="247"/>
      <c r="S2216" s="247"/>
      <c r="T2216" s="247"/>
      <c r="U2216" s="247"/>
      <c r="V2216" s="247"/>
      <c r="W2216" s="247"/>
      <c r="X2216" s="247"/>
      <c r="Y2216" s="247"/>
      <c r="Z2216" s="247"/>
      <c r="AA2216" s="247"/>
      <c r="AB2216" s="247"/>
      <c r="AC2216" s="247"/>
    </row>
    <row r="2217">
      <c r="A2217" s="247"/>
      <c r="B2217" s="373"/>
      <c r="C2217" s="373"/>
      <c r="D2217" s="373"/>
      <c r="E2217" s="247"/>
      <c r="F2217" s="247"/>
      <c r="G2217" s="247"/>
      <c r="H2217" s="247"/>
      <c r="I2217" s="247"/>
      <c r="J2217" s="247"/>
      <c r="K2217" s="247"/>
      <c r="L2217" s="247"/>
      <c r="M2217" s="247"/>
      <c r="N2217" s="247"/>
      <c r="O2217" s="247"/>
      <c r="P2217" s="247"/>
      <c r="Q2217" s="247"/>
      <c r="R2217" s="247"/>
      <c r="S2217" s="247"/>
      <c r="T2217" s="247"/>
      <c r="U2217" s="247"/>
      <c r="V2217" s="247"/>
      <c r="W2217" s="247"/>
      <c r="X2217" s="247"/>
      <c r="Y2217" s="247"/>
      <c r="Z2217" s="247"/>
      <c r="AA2217" s="247"/>
      <c r="AB2217" s="247"/>
      <c r="AC2217" s="247"/>
    </row>
    <row r="2218">
      <c r="A2218" s="247"/>
      <c r="B2218" s="373"/>
      <c r="C2218" s="373"/>
      <c r="D2218" s="373"/>
      <c r="E2218" s="247"/>
      <c r="F2218" s="247"/>
      <c r="G2218" s="247"/>
      <c r="H2218" s="247"/>
      <c r="I2218" s="247"/>
      <c r="J2218" s="247"/>
      <c r="K2218" s="247"/>
      <c r="L2218" s="247"/>
      <c r="M2218" s="247"/>
      <c r="N2218" s="247"/>
      <c r="O2218" s="247"/>
      <c r="P2218" s="247"/>
      <c r="Q2218" s="247"/>
      <c r="R2218" s="247"/>
      <c r="S2218" s="247"/>
      <c r="T2218" s="247"/>
      <c r="U2218" s="247"/>
      <c r="V2218" s="247"/>
      <c r="W2218" s="247"/>
      <c r="X2218" s="247"/>
      <c r="Y2218" s="247"/>
      <c r="Z2218" s="247"/>
      <c r="AA2218" s="247"/>
      <c r="AB2218" s="247"/>
      <c r="AC2218" s="247"/>
    </row>
    <row r="2219">
      <c r="A2219" s="247"/>
      <c r="B2219" s="373"/>
      <c r="C2219" s="373"/>
      <c r="D2219" s="373"/>
      <c r="E2219" s="247"/>
      <c r="F2219" s="247"/>
      <c r="G2219" s="247"/>
      <c r="H2219" s="247"/>
      <c r="I2219" s="247"/>
      <c r="J2219" s="247"/>
      <c r="K2219" s="247"/>
      <c r="L2219" s="247"/>
      <c r="M2219" s="247"/>
      <c r="N2219" s="247"/>
      <c r="O2219" s="247"/>
      <c r="P2219" s="247"/>
      <c r="Q2219" s="247"/>
      <c r="R2219" s="247"/>
      <c r="S2219" s="247"/>
      <c r="T2219" s="247"/>
      <c r="U2219" s="247"/>
      <c r="V2219" s="247"/>
      <c r="W2219" s="247"/>
      <c r="X2219" s="247"/>
      <c r="Y2219" s="247"/>
      <c r="Z2219" s="247"/>
      <c r="AA2219" s="247"/>
      <c r="AB2219" s="247"/>
      <c r="AC2219" s="247"/>
    </row>
    <row r="2220">
      <c r="A2220" s="247"/>
      <c r="B2220" s="373"/>
      <c r="C2220" s="373"/>
      <c r="D2220" s="373"/>
      <c r="E2220" s="247"/>
      <c r="F2220" s="247"/>
      <c r="G2220" s="247"/>
      <c r="H2220" s="247"/>
      <c r="I2220" s="247"/>
      <c r="J2220" s="247"/>
      <c r="K2220" s="247"/>
      <c r="L2220" s="247"/>
      <c r="M2220" s="247"/>
      <c r="N2220" s="247"/>
      <c r="O2220" s="247"/>
      <c r="P2220" s="247"/>
      <c r="Q2220" s="247"/>
      <c r="R2220" s="247"/>
      <c r="S2220" s="247"/>
      <c r="T2220" s="247"/>
      <c r="U2220" s="247"/>
      <c r="V2220" s="247"/>
      <c r="W2220" s="247"/>
      <c r="X2220" s="247"/>
      <c r="Y2220" s="247"/>
      <c r="Z2220" s="247"/>
      <c r="AA2220" s="247"/>
      <c r="AB2220" s="247"/>
      <c r="AC2220" s="247"/>
    </row>
    <row r="2221">
      <c r="A2221" s="247"/>
      <c r="B2221" s="373"/>
      <c r="C2221" s="373"/>
      <c r="D2221" s="373"/>
      <c r="E2221" s="247"/>
      <c r="F2221" s="247"/>
      <c r="G2221" s="247"/>
      <c r="H2221" s="247"/>
      <c r="I2221" s="247"/>
      <c r="J2221" s="247"/>
      <c r="K2221" s="247"/>
      <c r="L2221" s="247"/>
      <c r="M2221" s="247"/>
      <c r="N2221" s="247"/>
      <c r="O2221" s="247"/>
      <c r="P2221" s="247"/>
      <c r="Q2221" s="247"/>
      <c r="R2221" s="247"/>
      <c r="S2221" s="247"/>
      <c r="T2221" s="247"/>
      <c r="U2221" s="247"/>
      <c r="V2221" s="247"/>
      <c r="W2221" s="247"/>
      <c r="X2221" s="247"/>
      <c r="Y2221" s="247"/>
      <c r="Z2221" s="247"/>
      <c r="AA2221" s="247"/>
      <c r="AB2221" s="247"/>
      <c r="AC2221" s="247"/>
    </row>
    <row r="2222">
      <c r="A2222" s="247"/>
      <c r="B2222" s="373"/>
      <c r="C2222" s="373"/>
      <c r="D2222" s="373"/>
      <c r="E2222" s="247"/>
      <c r="F2222" s="247"/>
      <c r="G2222" s="247"/>
      <c r="H2222" s="247"/>
      <c r="I2222" s="247"/>
      <c r="J2222" s="247"/>
      <c r="K2222" s="247"/>
      <c r="L2222" s="247"/>
      <c r="M2222" s="247"/>
      <c r="N2222" s="247"/>
      <c r="O2222" s="247"/>
      <c r="P2222" s="247"/>
      <c r="Q2222" s="247"/>
      <c r="R2222" s="247"/>
      <c r="S2222" s="247"/>
      <c r="T2222" s="247"/>
      <c r="U2222" s="247"/>
      <c r="V2222" s="247"/>
      <c r="W2222" s="247"/>
      <c r="X2222" s="247"/>
      <c r="Y2222" s="247"/>
      <c r="Z2222" s="247"/>
      <c r="AA2222" s="247"/>
      <c r="AB2222" s="247"/>
      <c r="AC2222" s="247"/>
    </row>
    <row r="2223">
      <c r="A2223" s="247"/>
      <c r="B2223" s="373"/>
      <c r="C2223" s="373"/>
      <c r="D2223" s="373"/>
      <c r="E2223" s="247"/>
      <c r="F2223" s="247"/>
      <c r="G2223" s="247"/>
      <c r="H2223" s="247"/>
      <c r="I2223" s="247"/>
      <c r="J2223" s="247"/>
      <c r="K2223" s="247"/>
      <c r="L2223" s="247"/>
      <c r="M2223" s="247"/>
      <c r="N2223" s="247"/>
      <c r="O2223" s="247"/>
      <c r="P2223" s="247"/>
      <c r="Q2223" s="247"/>
      <c r="R2223" s="247"/>
      <c r="S2223" s="247"/>
      <c r="T2223" s="247"/>
      <c r="U2223" s="247"/>
      <c r="V2223" s="247"/>
      <c r="W2223" s="247"/>
      <c r="X2223" s="247"/>
      <c r="Y2223" s="247"/>
      <c r="Z2223" s="247"/>
      <c r="AA2223" s="247"/>
      <c r="AB2223" s="247"/>
      <c r="AC2223" s="247"/>
    </row>
    <row r="2224">
      <c r="A2224" s="247"/>
      <c r="B2224" s="373"/>
      <c r="C2224" s="373"/>
      <c r="D2224" s="373"/>
      <c r="E2224" s="247"/>
      <c r="F2224" s="247"/>
      <c r="G2224" s="247"/>
      <c r="H2224" s="247"/>
      <c r="I2224" s="247"/>
      <c r="J2224" s="247"/>
      <c r="K2224" s="247"/>
      <c r="L2224" s="247"/>
      <c r="M2224" s="247"/>
      <c r="N2224" s="247"/>
      <c r="O2224" s="247"/>
      <c r="P2224" s="247"/>
      <c r="Q2224" s="247"/>
      <c r="R2224" s="247"/>
      <c r="S2224" s="247"/>
      <c r="T2224" s="247"/>
      <c r="U2224" s="247"/>
      <c r="V2224" s="247"/>
      <c r="W2224" s="247"/>
      <c r="X2224" s="247"/>
      <c r="Y2224" s="247"/>
      <c r="Z2224" s="247"/>
      <c r="AA2224" s="247"/>
      <c r="AB2224" s="247"/>
      <c r="AC2224" s="247"/>
    </row>
    <row r="2225">
      <c r="A2225" s="247"/>
      <c r="B2225" s="373"/>
      <c r="C2225" s="373"/>
      <c r="D2225" s="373"/>
      <c r="E2225" s="247"/>
      <c r="F2225" s="247"/>
      <c r="G2225" s="247"/>
      <c r="H2225" s="247"/>
      <c r="I2225" s="247"/>
      <c r="J2225" s="247"/>
      <c r="K2225" s="247"/>
      <c r="L2225" s="247"/>
      <c r="M2225" s="247"/>
      <c r="N2225" s="247"/>
      <c r="O2225" s="247"/>
      <c r="P2225" s="247"/>
      <c r="Q2225" s="247"/>
      <c r="R2225" s="247"/>
      <c r="S2225" s="247"/>
      <c r="T2225" s="247"/>
      <c r="U2225" s="247"/>
      <c r="V2225" s="247"/>
      <c r="W2225" s="247"/>
      <c r="X2225" s="247"/>
      <c r="Y2225" s="247"/>
      <c r="Z2225" s="247"/>
      <c r="AA2225" s="247"/>
      <c r="AB2225" s="247"/>
      <c r="AC2225" s="247"/>
    </row>
    <row r="2226">
      <c r="A2226" s="247"/>
      <c r="B2226" s="373"/>
      <c r="C2226" s="373"/>
      <c r="D2226" s="373"/>
      <c r="E2226" s="247"/>
      <c r="F2226" s="247"/>
      <c r="G2226" s="247"/>
      <c r="H2226" s="247"/>
      <c r="I2226" s="247"/>
      <c r="J2226" s="247"/>
      <c r="K2226" s="247"/>
      <c r="L2226" s="247"/>
      <c r="M2226" s="247"/>
      <c r="N2226" s="247"/>
      <c r="O2226" s="247"/>
      <c r="P2226" s="247"/>
      <c r="Q2226" s="247"/>
      <c r="R2226" s="247"/>
      <c r="S2226" s="247"/>
      <c r="T2226" s="247"/>
      <c r="U2226" s="247"/>
      <c r="V2226" s="247"/>
      <c r="W2226" s="247"/>
      <c r="X2226" s="247"/>
      <c r="Y2226" s="247"/>
      <c r="Z2226" s="247"/>
      <c r="AA2226" s="247"/>
      <c r="AB2226" s="247"/>
      <c r="AC2226" s="247"/>
    </row>
    <row r="2227">
      <c r="A2227" s="247"/>
      <c r="B2227" s="373"/>
      <c r="C2227" s="373"/>
      <c r="D2227" s="373"/>
      <c r="E2227" s="247"/>
      <c r="F2227" s="247"/>
      <c r="G2227" s="247"/>
      <c r="H2227" s="247"/>
      <c r="I2227" s="247"/>
      <c r="J2227" s="247"/>
      <c r="K2227" s="247"/>
      <c r="L2227" s="247"/>
      <c r="M2227" s="247"/>
      <c r="N2227" s="247"/>
      <c r="O2227" s="247"/>
      <c r="P2227" s="247"/>
      <c r="Q2227" s="247"/>
      <c r="R2227" s="247"/>
      <c r="S2227" s="247"/>
      <c r="T2227" s="247"/>
      <c r="U2227" s="247"/>
      <c r="V2227" s="247"/>
      <c r="W2227" s="247"/>
      <c r="X2227" s="247"/>
      <c r="Y2227" s="247"/>
      <c r="Z2227" s="247"/>
      <c r="AA2227" s="247"/>
      <c r="AB2227" s="247"/>
      <c r="AC2227" s="247"/>
    </row>
    <row r="2228">
      <c r="A2228" s="247"/>
      <c r="B2228" s="373"/>
      <c r="C2228" s="373"/>
      <c r="D2228" s="373"/>
      <c r="E2228" s="247"/>
      <c r="F2228" s="247"/>
      <c r="G2228" s="247"/>
      <c r="H2228" s="247"/>
      <c r="I2228" s="247"/>
      <c r="J2228" s="247"/>
      <c r="K2228" s="247"/>
      <c r="L2228" s="247"/>
      <c r="M2228" s="247"/>
      <c r="N2228" s="247"/>
      <c r="O2228" s="247"/>
      <c r="P2228" s="247"/>
      <c r="Q2228" s="247"/>
      <c r="R2228" s="247"/>
      <c r="S2228" s="247"/>
      <c r="T2228" s="247"/>
      <c r="U2228" s="247"/>
      <c r="V2228" s="247"/>
      <c r="W2228" s="247"/>
      <c r="X2228" s="247"/>
      <c r="Y2228" s="247"/>
      <c r="Z2228" s="247"/>
      <c r="AA2228" s="247"/>
      <c r="AB2228" s="247"/>
      <c r="AC2228" s="247"/>
    </row>
    <row r="2229">
      <c r="A2229" s="247"/>
      <c r="B2229" s="373"/>
      <c r="C2229" s="373"/>
      <c r="D2229" s="373"/>
      <c r="E2229" s="247"/>
      <c r="F2229" s="247"/>
      <c r="G2229" s="247"/>
      <c r="H2229" s="247"/>
      <c r="I2229" s="247"/>
      <c r="J2229" s="247"/>
      <c r="K2229" s="247"/>
      <c r="L2229" s="247"/>
      <c r="M2229" s="247"/>
      <c r="N2229" s="247"/>
      <c r="O2229" s="247"/>
      <c r="P2229" s="247"/>
      <c r="Q2229" s="247"/>
      <c r="R2229" s="247"/>
      <c r="S2229" s="247"/>
      <c r="T2229" s="247"/>
      <c r="U2229" s="247"/>
      <c r="V2229" s="247"/>
      <c r="W2229" s="247"/>
      <c r="X2229" s="247"/>
      <c r="Y2229" s="247"/>
      <c r="Z2229" s="247"/>
      <c r="AA2229" s="247"/>
      <c r="AB2229" s="247"/>
      <c r="AC2229" s="247"/>
    </row>
    <row r="2230">
      <c r="A2230" s="247"/>
      <c r="B2230" s="373"/>
      <c r="C2230" s="373"/>
      <c r="D2230" s="373"/>
      <c r="E2230" s="247"/>
      <c r="F2230" s="247"/>
      <c r="G2230" s="247"/>
      <c r="H2230" s="247"/>
      <c r="I2230" s="247"/>
      <c r="J2230" s="247"/>
      <c r="K2230" s="247"/>
      <c r="L2230" s="247"/>
      <c r="M2230" s="247"/>
      <c r="N2230" s="247"/>
      <c r="O2230" s="247"/>
      <c r="P2230" s="247"/>
      <c r="Q2230" s="247"/>
      <c r="R2230" s="247"/>
      <c r="S2230" s="247"/>
      <c r="T2230" s="247"/>
      <c r="U2230" s="247"/>
      <c r="V2230" s="247"/>
      <c r="W2230" s="247"/>
      <c r="X2230" s="247"/>
      <c r="Y2230" s="247"/>
      <c r="Z2230" s="247"/>
      <c r="AA2230" s="247"/>
      <c r="AB2230" s="247"/>
      <c r="AC2230" s="247"/>
    </row>
    <row r="2231">
      <c r="A2231" s="247"/>
      <c r="B2231" s="373"/>
      <c r="C2231" s="373"/>
      <c r="D2231" s="373"/>
      <c r="E2231" s="247"/>
      <c r="F2231" s="247"/>
      <c r="G2231" s="247"/>
      <c r="H2231" s="247"/>
      <c r="I2231" s="247"/>
      <c r="J2231" s="247"/>
      <c r="K2231" s="247"/>
      <c r="L2231" s="247"/>
      <c r="M2231" s="247"/>
      <c r="N2231" s="247"/>
      <c r="O2231" s="247"/>
      <c r="P2231" s="247"/>
      <c r="Q2231" s="247"/>
      <c r="R2231" s="247"/>
      <c r="S2231" s="247"/>
      <c r="T2231" s="247"/>
      <c r="U2231" s="247"/>
      <c r="V2231" s="247"/>
      <c r="W2231" s="247"/>
      <c r="X2231" s="247"/>
      <c r="Y2231" s="247"/>
      <c r="Z2231" s="247"/>
      <c r="AA2231" s="247"/>
      <c r="AB2231" s="247"/>
      <c r="AC2231" s="247"/>
    </row>
    <row r="2232">
      <c r="A2232" s="247"/>
      <c r="B2232" s="373"/>
      <c r="C2232" s="373"/>
      <c r="D2232" s="373"/>
      <c r="E2232" s="247"/>
      <c r="F2232" s="247"/>
      <c r="G2232" s="247"/>
      <c r="H2232" s="247"/>
      <c r="I2232" s="247"/>
      <c r="J2232" s="247"/>
      <c r="K2232" s="247"/>
      <c r="L2232" s="247"/>
      <c r="M2232" s="247"/>
      <c r="N2232" s="247"/>
      <c r="O2232" s="247"/>
      <c r="P2232" s="247"/>
      <c r="Q2232" s="247"/>
      <c r="R2232" s="247"/>
      <c r="S2232" s="247"/>
      <c r="T2232" s="247"/>
      <c r="U2232" s="247"/>
      <c r="V2232" s="247"/>
      <c r="W2232" s="247"/>
      <c r="X2232" s="247"/>
      <c r="Y2232" s="247"/>
      <c r="Z2232" s="247"/>
      <c r="AA2232" s="247"/>
      <c r="AB2232" s="247"/>
      <c r="AC2232" s="247"/>
    </row>
    <row r="2233">
      <c r="A2233" s="247"/>
      <c r="B2233" s="373"/>
      <c r="C2233" s="373"/>
      <c r="D2233" s="373"/>
      <c r="E2233" s="247"/>
      <c r="F2233" s="247"/>
      <c r="G2233" s="247"/>
      <c r="H2233" s="247"/>
      <c r="I2233" s="247"/>
      <c r="J2233" s="247"/>
      <c r="K2233" s="247"/>
      <c r="L2233" s="247"/>
      <c r="M2233" s="247"/>
      <c r="N2233" s="247"/>
      <c r="O2233" s="247"/>
      <c r="P2233" s="247"/>
      <c r="Q2233" s="247"/>
      <c r="R2233" s="247"/>
      <c r="S2233" s="247"/>
      <c r="T2233" s="247"/>
      <c r="U2233" s="247"/>
      <c r="V2233" s="247"/>
      <c r="W2233" s="247"/>
      <c r="X2233" s="247"/>
      <c r="Y2233" s="247"/>
      <c r="Z2233" s="247"/>
      <c r="AA2233" s="247"/>
      <c r="AB2233" s="247"/>
      <c r="AC2233" s="247"/>
    </row>
    <row r="2234">
      <c r="A2234" s="247"/>
      <c r="B2234" s="373"/>
      <c r="C2234" s="373"/>
      <c r="D2234" s="373"/>
      <c r="E2234" s="247"/>
      <c r="F2234" s="247"/>
      <c r="G2234" s="247"/>
      <c r="H2234" s="247"/>
      <c r="I2234" s="247"/>
      <c r="J2234" s="247"/>
      <c r="K2234" s="247"/>
      <c r="L2234" s="247"/>
      <c r="M2234" s="247"/>
      <c r="N2234" s="247"/>
      <c r="O2234" s="247"/>
      <c r="P2234" s="247"/>
      <c r="Q2234" s="247"/>
      <c r="R2234" s="247"/>
      <c r="S2234" s="247"/>
      <c r="T2234" s="247"/>
      <c r="U2234" s="247"/>
      <c r="V2234" s="247"/>
      <c r="W2234" s="247"/>
      <c r="X2234" s="247"/>
      <c r="Y2234" s="247"/>
      <c r="Z2234" s="247"/>
      <c r="AA2234" s="247"/>
      <c r="AB2234" s="247"/>
      <c r="AC2234" s="247"/>
    </row>
    <row r="2235">
      <c r="A2235" s="247"/>
      <c r="B2235" s="373"/>
      <c r="C2235" s="373"/>
      <c r="D2235" s="373"/>
      <c r="E2235" s="247"/>
      <c r="F2235" s="247"/>
      <c r="G2235" s="247"/>
      <c r="H2235" s="247"/>
      <c r="I2235" s="247"/>
      <c r="J2235" s="247"/>
      <c r="K2235" s="247"/>
      <c r="L2235" s="247"/>
      <c r="M2235" s="247"/>
      <c r="N2235" s="247"/>
      <c r="O2235" s="247"/>
      <c r="P2235" s="247"/>
      <c r="Q2235" s="247"/>
      <c r="R2235" s="247"/>
      <c r="S2235" s="247"/>
      <c r="T2235" s="247"/>
      <c r="U2235" s="247"/>
      <c r="V2235" s="247"/>
      <c r="W2235" s="247"/>
      <c r="X2235" s="247"/>
      <c r="Y2235" s="247"/>
      <c r="Z2235" s="247"/>
      <c r="AA2235" s="247"/>
      <c r="AB2235" s="247"/>
      <c r="AC2235" s="247"/>
    </row>
    <row r="2236">
      <c r="A2236" s="247"/>
      <c r="B2236" s="373"/>
      <c r="C2236" s="373"/>
      <c r="D2236" s="373"/>
      <c r="E2236" s="247"/>
      <c r="F2236" s="247"/>
      <c r="G2236" s="247"/>
      <c r="H2236" s="247"/>
      <c r="I2236" s="247"/>
      <c r="J2236" s="247"/>
      <c r="K2236" s="247"/>
      <c r="L2236" s="247"/>
      <c r="M2236" s="247"/>
      <c r="N2236" s="247"/>
      <c r="O2236" s="247"/>
      <c r="P2236" s="247"/>
      <c r="Q2236" s="247"/>
      <c r="R2236" s="247"/>
      <c r="S2236" s="247"/>
      <c r="T2236" s="247"/>
      <c r="U2236" s="247"/>
      <c r="V2236" s="247"/>
      <c r="W2236" s="247"/>
      <c r="X2236" s="247"/>
      <c r="Y2236" s="247"/>
      <c r="Z2236" s="247"/>
      <c r="AA2236" s="247"/>
      <c r="AB2236" s="247"/>
      <c r="AC2236" s="247"/>
    </row>
    <row r="2237">
      <c r="A2237" s="247"/>
      <c r="B2237" s="373"/>
      <c r="C2237" s="373"/>
      <c r="D2237" s="373"/>
      <c r="E2237" s="247"/>
      <c r="F2237" s="247"/>
      <c r="G2237" s="247"/>
      <c r="H2237" s="247"/>
      <c r="I2237" s="247"/>
      <c r="J2237" s="247"/>
      <c r="K2237" s="247"/>
      <c r="L2237" s="247"/>
      <c r="M2237" s="247"/>
      <c r="N2237" s="247"/>
      <c r="O2237" s="247"/>
      <c r="P2237" s="247"/>
      <c r="Q2237" s="247"/>
      <c r="R2237" s="247"/>
      <c r="S2237" s="247"/>
      <c r="T2237" s="247"/>
      <c r="U2237" s="247"/>
      <c r="V2237" s="247"/>
      <c r="W2237" s="247"/>
      <c r="X2237" s="247"/>
      <c r="Y2237" s="247"/>
      <c r="Z2237" s="247"/>
      <c r="AA2237" s="247"/>
      <c r="AB2237" s="247"/>
      <c r="AC2237" s="247"/>
    </row>
    <row r="2238">
      <c r="A2238" s="247"/>
      <c r="B2238" s="373"/>
      <c r="C2238" s="373"/>
      <c r="D2238" s="373"/>
      <c r="E2238" s="247"/>
      <c r="F2238" s="247"/>
      <c r="G2238" s="247"/>
      <c r="H2238" s="247"/>
      <c r="I2238" s="247"/>
      <c r="J2238" s="247"/>
      <c r="K2238" s="247"/>
      <c r="L2238" s="247"/>
      <c r="M2238" s="247"/>
      <c r="N2238" s="247"/>
      <c r="O2238" s="247"/>
      <c r="P2238" s="247"/>
      <c r="Q2238" s="247"/>
      <c r="R2238" s="247"/>
      <c r="S2238" s="247"/>
      <c r="T2238" s="247"/>
      <c r="U2238" s="247"/>
      <c r="V2238" s="247"/>
      <c r="W2238" s="247"/>
      <c r="X2238" s="247"/>
      <c r="Y2238" s="247"/>
      <c r="Z2238" s="247"/>
      <c r="AA2238" s="247"/>
      <c r="AB2238" s="247"/>
      <c r="AC2238" s="247"/>
    </row>
    <row r="2239">
      <c r="A2239" s="247"/>
      <c r="B2239" s="373"/>
      <c r="C2239" s="373"/>
      <c r="D2239" s="373"/>
      <c r="E2239" s="247"/>
      <c r="F2239" s="247"/>
      <c r="G2239" s="247"/>
      <c r="H2239" s="247"/>
      <c r="I2239" s="247"/>
      <c r="J2239" s="247"/>
      <c r="K2239" s="247"/>
      <c r="L2239" s="247"/>
      <c r="M2239" s="247"/>
      <c r="N2239" s="247"/>
      <c r="O2239" s="247"/>
      <c r="P2239" s="247"/>
      <c r="Q2239" s="247"/>
      <c r="R2239" s="247"/>
      <c r="S2239" s="247"/>
      <c r="T2239" s="247"/>
      <c r="U2239" s="247"/>
      <c r="V2239" s="247"/>
      <c r="W2239" s="247"/>
      <c r="X2239" s="247"/>
      <c r="Y2239" s="247"/>
      <c r="Z2239" s="247"/>
      <c r="AA2239" s="247"/>
      <c r="AB2239" s="247"/>
      <c r="AC2239" s="247"/>
    </row>
    <row r="2240">
      <c r="A2240" s="247"/>
      <c r="B2240" s="373"/>
      <c r="C2240" s="373"/>
      <c r="D2240" s="373"/>
      <c r="E2240" s="247"/>
      <c r="F2240" s="247"/>
      <c r="G2240" s="247"/>
      <c r="H2240" s="247"/>
      <c r="I2240" s="247"/>
      <c r="J2240" s="247"/>
      <c r="K2240" s="247"/>
      <c r="L2240" s="247"/>
      <c r="M2240" s="247"/>
      <c r="N2240" s="247"/>
      <c r="O2240" s="247"/>
      <c r="P2240" s="247"/>
      <c r="Q2240" s="247"/>
      <c r="R2240" s="247"/>
      <c r="S2240" s="247"/>
      <c r="T2240" s="247"/>
      <c r="U2240" s="247"/>
      <c r="V2240" s="247"/>
      <c r="W2240" s="247"/>
      <c r="X2240" s="247"/>
      <c r="Y2240" s="247"/>
      <c r="Z2240" s="247"/>
      <c r="AA2240" s="247"/>
      <c r="AB2240" s="247"/>
      <c r="AC2240" s="247"/>
    </row>
    <row r="2241">
      <c r="A2241" s="247"/>
      <c r="B2241" s="373"/>
      <c r="C2241" s="373"/>
      <c r="D2241" s="373"/>
      <c r="E2241" s="247"/>
      <c r="F2241" s="247"/>
      <c r="G2241" s="247"/>
      <c r="H2241" s="247"/>
      <c r="I2241" s="247"/>
      <c r="J2241" s="247"/>
      <c r="K2241" s="247"/>
      <c r="L2241" s="247"/>
      <c r="M2241" s="247"/>
      <c r="N2241" s="247"/>
      <c r="O2241" s="247"/>
      <c r="P2241" s="247"/>
      <c r="Q2241" s="247"/>
      <c r="R2241" s="247"/>
      <c r="S2241" s="247"/>
      <c r="T2241" s="247"/>
      <c r="U2241" s="247"/>
      <c r="V2241" s="247"/>
      <c r="W2241" s="247"/>
      <c r="X2241" s="247"/>
      <c r="Y2241" s="247"/>
      <c r="Z2241" s="247"/>
      <c r="AA2241" s="247"/>
      <c r="AB2241" s="247"/>
      <c r="AC2241" s="247"/>
    </row>
    <row r="2242">
      <c r="A2242" s="247"/>
      <c r="B2242" s="373"/>
      <c r="C2242" s="373"/>
      <c r="D2242" s="373"/>
      <c r="E2242" s="247"/>
      <c r="F2242" s="247"/>
      <c r="G2242" s="247"/>
      <c r="H2242" s="247"/>
      <c r="I2242" s="247"/>
      <c r="J2242" s="247"/>
      <c r="K2242" s="247"/>
      <c r="L2242" s="247"/>
      <c r="M2242" s="247"/>
      <c r="N2242" s="247"/>
      <c r="O2242" s="247"/>
      <c r="P2242" s="247"/>
      <c r="Q2242" s="247"/>
      <c r="R2242" s="247"/>
      <c r="S2242" s="247"/>
      <c r="T2242" s="247"/>
      <c r="U2242" s="247"/>
      <c r="V2242" s="247"/>
      <c r="W2242" s="247"/>
      <c r="X2242" s="247"/>
      <c r="Y2242" s="247"/>
      <c r="Z2242" s="247"/>
      <c r="AA2242" s="247"/>
      <c r="AB2242" s="247"/>
      <c r="AC2242" s="247"/>
    </row>
    <row r="2243">
      <c r="A2243" s="247"/>
      <c r="B2243" s="373"/>
      <c r="C2243" s="373"/>
      <c r="D2243" s="373"/>
      <c r="E2243" s="247"/>
      <c r="F2243" s="247"/>
      <c r="G2243" s="247"/>
      <c r="H2243" s="247"/>
      <c r="I2243" s="247"/>
      <c r="J2243" s="247"/>
      <c r="K2243" s="247"/>
      <c r="L2243" s="247"/>
      <c r="M2243" s="247"/>
      <c r="N2243" s="247"/>
      <c r="O2243" s="247"/>
      <c r="P2243" s="247"/>
      <c r="Q2243" s="247"/>
      <c r="R2243" s="247"/>
      <c r="S2243" s="247"/>
      <c r="T2243" s="247"/>
      <c r="U2243" s="247"/>
      <c r="V2243" s="247"/>
      <c r="W2243" s="247"/>
      <c r="X2243" s="247"/>
      <c r="Y2243" s="247"/>
      <c r="Z2243" s="247"/>
      <c r="AA2243" s="247"/>
      <c r="AB2243" s="247"/>
      <c r="AC2243" s="247"/>
    </row>
    <row r="2244">
      <c r="A2244" s="247"/>
      <c r="B2244" s="373"/>
      <c r="C2244" s="373"/>
      <c r="D2244" s="373"/>
      <c r="E2244" s="247"/>
      <c r="F2244" s="247"/>
      <c r="G2244" s="247"/>
      <c r="H2244" s="247"/>
      <c r="I2244" s="247"/>
      <c r="J2244" s="247"/>
      <c r="K2244" s="247"/>
      <c r="L2244" s="247"/>
      <c r="M2244" s="247"/>
      <c r="N2244" s="247"/>
      <c r="O2244" s="247"/>
      <c r="P2244" s="247"/>
      <c r="Q2244" s="247"/>
      <c r="R2244" s="247"/>
      <c r="S2244" s="247"/>
      <c r="T2244" s="247"/>
      <c r="U2244" s="247"/>
      <c r="V2244" s="247"/>
      <c r="W2244" s="247"/>
      <c r="X2244" s="247"/>
      <c r="Y2244" s="247"/>
      <c r="Z2244" s="247"/>
      <c r="AA2244" s="247"/>
      <c r="AB2244" s="247"/>
      <c r="AC2244" s="247"/>
    </row>
    <row r="2245">
      <c r="A2245" s="247"/>
      <c r="B2245" s="373"/>
      <c r="C2245" s="373"/>
      <c r="D2245" s="373"/>
      <c r="E2245" s="247"/>
      <c r="F2245" s="247"/>
      <c r="G2245" s="247"/>
      <c r="H2245" s="247"/>
      <c r="I2245" s="247"/>
      <c r="J2245" s="247"/>
      <c r="K2245" s="247"/>
      <c r="L2245" s="247"/>
      <c r="M2245" s="247"/>
      <c r="N2245" s="247"/>
      <c r="O2245" s="247"/>
      <c r="P2245" s="247"/>
      <c r="Q2245" s="247"/>
      <c r="R2245" s="247"/>
      <c r="S2245" s="247"/>
      <c r="T2245" s="247"/>
      <c r="U2245" s="247"/>
      <c r="V2245" s="247"/>
      <c r="W2245" s="247"/>
      <c r="X2245" s="247"/>
      <c r="Y2245" s="247"/>
      <c r="Z2245" s="247"/>
      <c r="AA2245" s="247"/>
      <c r="AB2245" s="247"/>
      <c r="AC2245" s="247"/>
    </row>
    <row r="2246">
      <c r="A2246" s="247"/>
      <c r="B2246" s="373"/>
      <c r="C2246" s="373"/>
      <c r="D2246" s="373"/>
      <c r="E2246" s="247"/>
      <c r="F2246" s="247"/>
      <c r="G2246" s="247"/>
      <c r="H2246" s="247"/>
      <c r="I2246" s="247"/>
      <c r="J2246" s="247"/>
      <c r="K2246" s="247"/>
      <c r="L2246" s="247"/>
      <c r="M2246" s="247"/>
      <c r="N2246" s="247"/>
      <c r="O2246" s="247"/>
      <c r="P2246" s="247"/>
      <c r="Q2246" s="247"/>
      <c r="R2246" s="247"/>
      <c r="S2246" s="247"/>
      <c r="T2246" s="247"/>
      <c r="U2246" s="247"/>
      <c r="V2246" s="247"/>
      <c r="W2246" s="247"/>
      <c r="X2246" s="247"/>
      <c r="Y2246" s="247"/>
      <c r="Z2246" s="247"/>
      <c r="AA2246" s="247"/>
      <c r="AB2246" s="247"/>
      <c r="AC2246" s="247"/>
    </row>
    <row r="2247">
      <c r="A2247" s="247"/>
      <c r="B2247" s="373"/>
      <c r="C2247" s="373"/>
      <c r="D2247" s="373"/>
      <c r="E2247" s="247"/>
      <c r="F2247" s="247"/>
      <c r="G2247" s="247"/>
      <c r="H2247" s="247"/>
      <c r="I2247" s="247"/>
      <c r="J2247" s="247"/>
      <c r="K2247" s="247"/>
      <c r="L2247" s="247"/>
      <c r="M2247" s="247"/>
      <c r="N2247" s="247"/>
      <c r="O2247" s="247"/>
      <c r="P2247" s="247"/>
      <c r="Q2247" s="247"/>
      <c r="R2247" s="247"/>
      <c r="S2247" s="247"/>
      <c r="T2247" s="247"/>
      <c r="U2247" s="247"/>
      <c r="V2247" s="247"/>
      <c r="W2247" s="247"/>
      <c r="X2247" s="247"/>
      <c r="Y2247" s="247"/>
      <c r="Z2247" s="247"/>
      <c r="AA2247" s="247"/>
      <c r="AB2247" s="247"/>
      <c r="AC2247" s="247"/>
    </row>
    <row r="2248">
      <c r="A2248" s="247"/>
      <c r="B2248" s="373"/>
      <c r="C2248" s="373"/>
      <c r="D2248" s="373"/>
      <c r="E2248" s="247"/>
      <c r="F2248" s="247"/>
      <c r="G2248" s="247"/>
      <c r="H2248" s="247"/>
      <c r="I2248" s="247"/>
      <c r="J2248" s="247"/>
      <c r="K2248" s="247"/>
      <c r="L2248" s="247"/>
      <c r="M2248" s="247"/>
      <c r="N2248" s="247"/>
      <c r="O2248" s="247"/>
      <c r="P2248" s="247"/>
      <c r="Q2248" s="247"/>
      <c r="R2248" s="247"/>
      <c r="S2248" s="247"/>
      <c r="T2248" s="247"/>
      <c r="U2248" s="247"/>
      <c r="V2248" s="247"/>
      <c r="W2248" s="247"/>
      <c r="X2248" s="247"/>
      <c r="Y2248" s="247"/>
      <c r="Z2248" s="247"/>
      <c r="AA2248" s="247"/>
      <c r="AB2248" s="247"/>
      <c r="AC2248" s="247"/>
    </row>
    <row r="2249">
      <c r="A2249" s="247"/>
      <c r="B2249" s="373"/>
      <c r="C2249" s="373"/>
      <c r="D2249" s="373"/>
      <c r="E2249" s="247"/>
      <c r="F2249" s="247"/>
      <c r="G2249" s="247"/>
      <c r="H2249" s="247"/>
      <c r="I2249" s="247"/>
      <c r="J2249" s="247"/>
      <c r="K2249" s="247"/>
      <c r="L2249" s="247"/>
      <c r="M2249" s="247"/>
      <c r="N2249" s="247"/>
      <c r="O2249" s="247"/>
      <c r="P2249" s="247"/>
      <c r="Q2249" s="247"/>
      <c r="R2249" s="247"/>
      <c r="S2249" s="247"/>
      <c r="T2249" s="247"/>
      <c r="U2249" s="247"/>
      <c r="V2249" s="247"/>
      <c r="W2249" s="247"/>
      <c r="X2249" s="247"/>
      <c r="Y2249" s="247"/>
      <c r="Z2249" s="247"/>
      <c r="AA2249" s="247"/>
      <c r="AB2249" s="247"/>
      <c r="AC2249" s="247"/>
    </row>
    <row r="2250">
      <c r="A2250" s="247"/>
      <c r="B2250" s="373"/>
      <c r="C2250" s="373"/>
      <c r="D2250" s="373"/>
      <c r="E2250" s="247"/>
      <c r="F2250" s="247"/>
      <c r="G2250" s="247"/>
      <c r="H2250" s="247"/>
      <c r="I2250" s="247"/>
      <c r="J2250" s="247"/>
      <c r="K2250" s="247"/>
      <c r="L2250" s="247"/>
      <c r="M2250" s="247"/>
      <c r="N2250" s="247"/>
      <c r="O2250" s="247"/>
      <c r="P2250" s="247"/>
      <c r="Q2250" s="247"/>
      <c r="R2250" s="247"/>
      <c r="S2250" s="247"/>
      <c r="T2250" s="247"/>
      <c r="U2250" s="247"/>
      <c r="V2250" s="247"/>
      <c r="W2250" s="247"/>
      <c r="X2250" s="247"/>
      <c r="Y2250" s="247"/>
      <c r="Z2250" s="247"/>
      <c r="AA2250" s="247"/>
      <c r="AB2250" s="247"/>
      <c r="AC2250" s="247"/>
    </row>
    <row r="2251">
      <c r="A2251" s="247"/>
      <c r="B2251" s="373"/>
      <c r="C2251" s="373"/>
      <c r="D2251" s="373"/>
      <c r="E2251" s="247"/>
      <c r="F2251" s="247"/>
      <c r="G2251" s="247"/>
      <c r="H2251" s="247"/>
      <c r="I2251" s="247"/>
      <c r="J2251" s="247"/>
      <c r="K2251" s="247"/>
      <c r="L2251" s="247"/>
      <c r="M2251" s="247"/>
      <c r="N2251" s="247"/>
      <c r="O2251" s="247"/>
      <c r="P2251" s="247"/>
      <c r="Q2251" s="247"/>
      <c r="R2251" s="247"/>
      <c r="S2251" s="247"/>
      <c r="T2251" s="247"/>
      <c r="U2251" s="247"/>
      <c r="V2251" s="247"/>
      <c r="W2251" s="247"/>
      <c r="X2251" s="247"/>
      <c r="Y2251" s="247"/>
      <c r="Z2251" s="247"/>
      <c r="AA2251" s="247"/>
      <c r="AB2251" s="247"/>
      <c r="AC2251" s="247"/>
    </row>
    <row r="2252">
      <c r="A2252" s="247"/>
      <c r="B2252" s="373"/>
      <c r="C2252" s="373"/>
      <c r="D2252" s="373"/>
      <c r="E2252" s="247"/>
      <c r="F2252" s="247"/>
      <c r="G2252" s="247"/>
      <c r="H2252" s="247"/>
      <c r="I2252" s="247"/>
      <c r="J2252" s="247"/>
      <c r="K2252" s="247"/>
      <c r="L2252" s="247"/>
      <c r="M2252" s="247"/>
      <c r="N2252" s="247"/>
      <c r="O2252" s="247"/>
      <c r="P2252" s="247"/>
      <c r="Q2252" s="247"/>
      <c r="R2252" s="247"/>
      <c r="S2252" s="247"/>
      <c r="T2252" s="247"/>
      <c r="U2252" s="247"/>
      <c r="V2252" s="247"/>
      <c r="W2252" s="247"/>
      <c r="X2252" s="247"/>
      <c r="Y2252" s="247"/>
      <c r="Z2252" s="247"/>
      <c r="AA2252" s="247"/>
      <c r="AB2252" s="247"/>
      <c r="AC2252" s="247"/>
    </row>
    <row r="2253">
      <c r="A2253" s="247"/>
      <c r="B2253" s="373"/>
      <c r="C2253" s="373"/>
      <c r="D2253" s="373"/>
      <c r="E2253" s="247"/>
      <c r="F2253" s="247"/>
      <c r="G2253" s="247"/>
      <c r="H2253" s="247"/>
      <c r="I2253" s="247"/>
      <c r="J2253" s="247"/>
      <c r="K2253" s="247"/>
      <c r="L2253" s="247"/>
      <c r="M2253" s="247"/>
      <c r="N2253" s="247"/>
      <c r="O2253" s="247"/>
      <c r="P2253" s="247"/>
      <c r="Q2253" s="247"/>
      <c r="R2253" s="247"/>
      <c r="S2253" s="247"/>
      <c r="T2253" s="247"/>
      <c r="U2253" s="247"/>
      <c r="V2253" s="247"/>
      <c r="W2253" s="247"/>
      <c r="X2253" s="247"/>
      <c r="Y2253" s="247"/>
      <c r="Z2253" s="247"/>
      <c r="AA2253" s="247"/>
      <c r="AB2253" s="247"/>
      <c r="AC2253" s="247"/>
    </row>
    <row r="2254">
      <c r="A2254" s="247"/>
      <c r="B2254" s="373"/>
      <c r="C2254" s="373"/>
      <c r="D2254" s="373"/>
      <c r="E2254" s="247"/>
      <c r="F2254" s="247"/>
      <c r="G2254" s="247"/>
      <c r="H2254" s="247"/>
      <c r="I2254" s="247"/>
      <c r="J2254" s="247"/>
      <c r="K2254" s="247"/>
      <c r="L2254" s="247"/>
      <c r="M2254" s="247"/>
      <c r="N2254" s="247"/>
      <c r="O2254" s="247"/>
      <c r="P2254" s="247"/>
      <c r="Q2254" s="247"/>
      <c r="R2254" s="247"/>
      <c r="S2254" s="247"/>
      <c r="T2254" s="247"/>
      <c r="U2254" s="247"/>
      <c r="V2254" s="247"/>
      <c r="W2254" s="247"/>
      <c r="X2254" s="247"/>
      <c r="Y2254" s="247"/>
      <c r="Z2254" s="247"/>
      <c r="AA2254" s="247"/>
      <c r="AB2254" s="247"/>
      <c r="AC2254" s="247"/>
    </row>
    <row r="2255">
      <c r="A2255" s="247"/>
      <c r="B2255" s="373"/>
      <c r="C2255" s="373"/>
      <c r="D2255" s="373"/>
      <c r="E2255" s="247"/>
      <c r="F2255" s="247"/>
      <c r="G2255" s="247"/>
      <c r="H2255" s="247"/>
      <c r="I2255" s="247"/>
      <c r="J2255" s="247"/>
      <c r="K2255" s="247"/>
      <c r="L2255" s="247"/>
      <c r="M2255" s="247"/>
      <c r="N2255" s="247"/>
      <c r="O2255" s="247"/>
      <c r="P2255" s="247"/>
      <c r="Q2255" s="247"/>
      <c r="R2255" s="247"/>
      <c r="S2255" s="247"/>
      <c r="T2255" s="247"/>
      <c r="U2255" s="247"/>
      <c r="V2255" s="247"/>
      <c r="W2255" s="247"/>
      <c r="X2255" s="247"/>
      <c r="Y2255" s="247"/>
      <c r="Z2255" s="247"/>
      <c r="AA2255" s="247"/>
      <c r="AB2255" s="247"/>
      <c r="AC2255" s="247"/>
    </row>
    <row r="2256">
      <c r="A2256" s="247"/>
      <c r="B2256" s="373"/>
      <c r="C2256" s="373"/>
      <c r="D2256" s="373"/>
      <c r="E2256" s="247"/>
      <c r="F2256" s="247"/>
      <c r="G2256" s="247"/>
      <c r="H2256" s="247"/>
      <c r="I2256" s="247"/>
      <c r="J2256" s="247"/>
      <c r="K2256" s="247"/>
      <c r="L2256" s="247"/>
      <c r="M2256" s="247"/>
      <c r="N2256" s="247"/>
      <c r="O2256" s="247"/>
      <c r="P2256" s="247"/>
      <c r="Q2256" s="247"/>
      <c r="R2256" s="247"/>
      <c r="S2256" s="247"/>
      <c r="T2256" s="247"/>
      <c r="U2256" s="247"/>
      <c r="V2256" s="247"/>
      <c r="W2256" s="247"/>
      <c r="X2256" s="247"/>
      <c r="Y2256" s="247"/>
      <c r="Z2256" s="247"/>
      <c r="AA2256" s="247"/>
      <c r="AB2256" s="247"/>
      <c r="AC2256" s="247"/>
    </row>
    <row r="2257">
      <c r="A2257" s="247"/>
      <c r="B2257" s="373"/>
      <c r="C2257" s="373"/>
      <c r="D2257" s="373"/>
      <c r="E2257" s="247"/>
      <c r="F2257" s="247"/>
      <c r="G2257" s="247"/>
      <c r="H2257" s="247"/>
      <c r="I2257" s="247"/>
      <c r="J2257" s="247"/>
      <c r="K2257" s="247"/>
      <c r="L2257" s="247"/>
      <c r="M2257" s="247"/>
      <c r="N2257" s="247"/>
      <c r="O2257" s="247"/>
      <c r="P2257" s="247"/>
      <c r="Q2257" s="247"/>
      <c r="R2257" s="247"/>
      <c r="S2257" s="247"/>
      <c r="T2257" s="247"/>
      <c r="U2257" s="247"/>
      <c r="V2257" s="247"/>
      <c r="W2257" s="247"/>
      <c r="X2257" s="247"/>
      <c r="Y2257" s="247"/>
      <c r="Z2257" s="247"/>
      <c r="AA2257" s="247"/>
      <c r="AB2257" s="247"/>
      <c r="AC2257" s="247"/>
    </row>
    <row r="2258">
      <c r="A2258" s="247"/>
      <c r="B2258" s="373"/>
      <c r="C2258" s="373"/>
      <c r="D2258" s="373"/>
      <c r="E2258" s="247"/>
      <c r="F2258" s="247"/>
      <c r="G2258" s="247"/>
      <c r="H2258" s="247"/>
      <c r="I2258" s="247"/>
      <c r="J2258" s="247"/>
      <c r="K2258" s="247"/>
      <c r="L2258" s="247"/>
      <c r="M2258" s="247"/>
      <c r="N2258" s="247"/>
      <c r="O2258" s="247"/>
      <c r="P2258" s="247"/>
      <c r="Q2258" s="247"/>
      <c r="R2258" s="247"/>
      <c r="S2258" s="247"/>
      <c r="T2258" s="247"/>
      <c r="U2258" s="247"/>
      <c r="V2258" s="247"/>
      <c r="W2258" s="247"/>
      <c r="X2258" s="247"/>
      <c r="Y2258" s="247"/>
      <c r="Z2258" s="247"/>
      <c r="AA2258" s="247"/>
      <c r="AB2258" s="247"/>
      <c r="AC2258" s="247"/>
    </row>
    <row r="2259">
      <c r="A2259" s="247"/>
      <c r="B2259" s="373"/>
      <c r="C2259" s="373"/>
      <c r="D2259" s="373"/>
      <c r="E2259" s="247"/>
      <c r="F2259" s="247"/>
      <c r="G2259" s="247"/>
      <c r="H2259" s="247"/>
      <c r="I2259" s="247"/>
      <c r="J2259" s="247"/>
      <c r="K2259" s="247"/>
      <c r="L2259" s="247"/>
      <c r="M2259" s="247"/>
      <c r="N2259" s="247"/>
      <c r="O2259" s="247"/>
      <c r="P2259" s="247"/>
      <c r="Q2259" s="247"/>
      <c r="R2259" s="247"/>
      <c r="S2259" s="247"/>
      <c r="T2259" s="247"/>
      <c r="U2259" s="247"/>
      <c r="V2259" s="247"/>
      <c r="W2259" s="247"/>
      <c r="X2259" s="247"/>
      <c r="Y2259" s="247"/>
      <c r="Z2259" s="247"/>
      <c r="AA2259" s="247"/>
      <c r="AB2259" s="247"/>
      <c r="AC2259" s="247"/>
    </row>
    <row r="2260">
      <c r="A2260" s="247"/>
      <c r="B2260" s="373"/>
      <c r="C2260" s="373"/>
      <c r="D2260" s="373"/>
      <c r="E2260" s="247"/>
      <c r="F2260" s="247"/>
      <c r="G2260" s="247"/>
      <c r="H2260" s="247"/>
      <c r="I2260" s="247"/>
      <c r="J2260" s="247"/>
      <c r="K2260" s="247"/>
      <c r="L2260" s="247"/>
      <c r="M2260" s="247"/>
      <c r="N2260" s="247"/>
      <c r="O2260" s="247"/>
      <c r="P2260" s="247"/>
      <c r="Q2260" s="247"/>
      <c r="R2260" s="247"/>
      <c r="S2260" s="247"/>
      <c r="T2260" s="247"/>
      <c r="U2260" s="247"/>
      <c r="V2260" s="247"/>
      <c r="W2260" s="247"/>
      <c r="X2260" s="247"/>
      <c r="Y2260" s="247"/>
      <c r="Z2260" s="247"/>
      <c r="AA2260" s="247"/>
      <c r="AB2260" s="247"/>
      <c r="AC2260" s="247"/>
    </row>
    <row r="2261">
      <c r="A2261" s="247"/>
      <c r="B2261" s="373"/>
      <c r="C2261" s="373"/>
      <c r="D2261" s="373"/>
      <c r="E2261" s="247"/>
      <c r="F2261" s="247"/>
      <c r="G2261" s="247"/>
      <c r="H2261" s="247"/>
      <c r="I2261" s="247"/>
      <c r="J2261" s="247"/>
      <c r="K2261" s="247"/>
      <c r="L2261" s="247"/>
      <c r="M2261" s="247"/>
      <c r="N2261" s="247"/>
      <c r="O2261" s="247"/>
      <c r="P2261" s="247"/>
      <c r="Q2261" s="247"/>
      <c r="R2261" s="247"/>
      <c r="S2261" s="247"/>
      <c r="T2261" s="247"/>
      <c r="U2261" s="247"/>
      <c r="V2261" s="247"/>
      <c r="W2261" s="247"/>
      <c r="X2261" s="247"/>
      <c r="Y2261" s="247"/>
      <c r="Z2261" s="247"/>
      <c r="AA2261" s="247"/>
      <c r="AB2261" s="247"/>
      <c r="AC2261" s="247"/>
    </row>
    <row r="2262">
      <c r="A2262" s="247"/>
      <c r="B2262" s="373"/>
      <c r="C2262" s="373"/>
      <c r="D2262" s="373"/>
      <c r="E2262" s="247"/>
      <c r="F2262" s="247"/>
      <c r="G2262" s="247"/>
      <c r="H2262" s="247"/>
      <c r="I2262" s="247"/>
      <c r="J2262" s="247"/>
      <c r="K2262" s="247"/>
      <c r="L2262" s="247"/>
      <c r="M2262" s="247"/>
      <c r="N2262" s="247"/>
      <c r="O2262" s="247"/>
      <c r="P2262" s="247"/>
      <c r="Q2262" s="247"/>
      <c r="R2262" s="247"/>
      <c r="S2262" s="247"/>
      <c r="T2262" s="247"/>
      <c r="U2262" s="247"/>
      <c r="V2262" s="247"/>
      <c r="W2262" s="247"/>
      <c r="X2262" s="247"/>
      <c r="Y2262" s="247"/>
      <c r="Z2262" s="247"/>
      <c r="AA2262" s="247"/>
      <c r="AB2262" s="247"/>
      <c r="AC2262" s="247"/>
    </row>
    <row r="2263">
      <c r="A2263" s="247"/>
      <c r="B2263" s="373"/>
      <c r="C2263" s="373"/>
      <c r="D2263" s="373"/>
      <c r="E2263" s="247"/>
      <c r="F2263" s="247"/>
      <c r="G2263" s="247"/>
      <c r="H2263" s="247"/>
      <c r="I2263" s="247"/>
      <c r="J2263" s="247"/>
      <c r="K2263" s="247"/>
      <c r="L2263" s="247"/>
      <c r="M2263" s="247"/>
      <c r="N2263" s="247"/>
      <c r="O2263" s="247"/>
      <c r="P2263" s="247"/>
      <c r="Q2263" s="247"/>
      <c r="R2263" s="247"/>
      <c r="S2263" s="247"/>
      <c r="T2263" s="247"/>
      <c r="U2263" s="247"/>
      <c r="V2263" s="247"/>
      <c r="W2263" s="247"/>
      <c r="X2263" s="247"/>
      <c r="Y2263" s="247"/>
      <c r="Z2263" s="247"/>
      <c r="AA2263" s="247"/>
      <c r="AB2263" s="247"/>
      <c r="AC2263" s="247"/>
    </row>
    <row r="2264">
      <c r="A2264" s="247"/>
      <c r="B2264" s="373"/>
      <c r="C2264" s="373"/>
      <c r="D2264" s="373"/>
      <c r="E2264" s="247"/>
      <c r="F2264" s="247"/>
      <c r="G2264" s="247"/>
      <c r="H2264" s="247"/>
      <c r="I2264" s="247"/>
      <c r="J2264" s="247"/>
      <c r="K2264" s="247"/>
      <c r="L2264" s="247"/>
      <c r="M2264" s="247"/>
      <c r="N2264" s="247"/>
      <c r="O2264" s="247"/>
      <c r="P2264" s="247"/>
      <c r="Q2264" s="247"/>
      <c r="R2264" s="247"/>
      <c r="S2264" s="247"/>
      <c r="T2264" s="247"/>
      <c r="U2264" s="247"/>
      <c r="V2264" s="247"/>
      <c r="W2264" s="247"/>
      <c r="X2264" s="247"/>
      <c r="Y2264" s="247"/>
      <c r="Z2264" s="247"/>
      <c r="AA2264" s="247"/>
      <c r="AB2264" s="247"/>
      <c r="AC2264" s="247"/>
    </row>
    <row r="2265">
      <c r="A2265" s="247"/>
      <c r="B2265" s="373"/>
      <c r="C2265" s="373"/>
      <c r="D2265" s="373"/>
      <c r="E2265" s="247"/>
      <c r="F2265" s="247"/>
      <c r="G2265" s="247"/>
      <c r="H2265" s="247"/>
      <c r="I2265" s="247"/>
      <c r="J2265" s="247"/>
      <c r="K2265" s="247"/>
      <c r="L2265" s="247"/>
      <c r="M2265" s="247"/>
      <c r="N2265" s="247"/>
      <c r="O2265" s="247"/>
      <c r="P2265" s="247"/>
      <c r="Q2265" s="247"/>
      <c r="R2265" s="247"/>
      <c r="S2265" s="247"/>
      <c r="T2265" s="247"/>
      <c r="U2265" s="247"/>
      <c r="V2265" s="247"/>
      <c r="W2265" s="247"/>
      <c r="X2265" s="247"/>
      <c r="Y2265" s="247"/>
      <c r="Z2265" s="247"/>
      <c r="AA2265" s="247"/>
      <c r="AB2265" s="247"/>
      <c r="AC2265" s="247"/>
    </row>
    <row r="2266">
      <c r="A2266" s="247"/>
      <c r="B2266" s="373"/>
      <c r="C2266" s="373"/>
      <c r="D2266" s="373"/>
      <c r="E2266" s="247"/>
      <c r="F2266" s="247"/>
      <c r="G2266" s="247"/>
      <c r="H2266" s="247"/>
      <c r="I2266" s="247"/>
      <c r="J2266" s="247"/>
      <c r="K2266" s="247"/>
      <c r="L2266" s="247"/>
      <c r="M2266" s="247"/>
      <c r="N2266" s="247"/>
      <c r="O2266" s="247"/>
      <c r="P2266" s="247"/>
      <c r="Q2266" s="247"/>
      <c r="R2266" s="247"/>
      <c r="S2266" s="247"/>
      <c r="T2266" s="247"/>
      <c r="U2266" s="247"/>
      <c r="V2266" s="247"/>
      <c r="W2266" s="247"/>
      <c r="X2266" s="247"/>
      <c r="Y2266" s="247"/>
      <c r="Z2266" s="247"/>
      <c r="AA2266" s="247"/>
      <c r="AB2266" s="247"/>
      <c r="AC2266" s="247"/>
    </row>
    <row r="2267">
      <c r="A2267" s="247"/>
      <c r="B2267" s="373"/>
      <c r="C2267" s="373"/>
      <c r="D2267" s="373"/>
      <c r="E2267" s="247"/>
      <c r="F2267" s="247"/>
      <c r="G2267" s="247"/>
      <c r="H2267" s="247"/>
      <c r="I2267" s="247"/>
      <c r="J2267" s="247"/>
      <c r="K2267" s="247"/>
      <c r="L2267" s="247"/>
      <c r="M2267" s="247"/>
      <c r="N2267" s="247"/>
      <c r="O2267" s="247"/>
      <c r="P2267" s="247"/>
      <c r="Q2267" s="247"/>
      <c r="R2267" s="247"/>
      <c r="S2267" s="247"/>
      <c r="T2267" s="247"/>
      <c r="U2267" s="247"/>
      <c r="V2267" s="247"/>
      <c r="W2267" s="247"/>
      <c r="X2267" s="247"/>
      <c r="Y2267" s="247"/>
      <c r="Z2267" s="247"/>
      <c r="AA2267" s="247"/>
      <c r="AB2267" s="247"/>
      <c r="AC2267" s="247"/>
    </row>
    <row r="2268">
      <c r="A2268" s="247"/>
      <c r="B2268" s="373"/>
      <c r="C2268" s="373"/>
      <c r="D2268" s="373"/>
      <c r="E2268" s="247"/>
      <c r="F2268" s="247"/>
      <c r="G2268" s="247"/>
      <c r="H2268" s="247"/>
      <c r="I2268" s="247"/>
      <c r="J2268" s="247"/>
      <c r="K2268" s="247"/>
      <c r="L2268" s="247"/>
      <c r="M2268" s="247"/>
      <c r="N2268" s="247"/>
      <c r="O2268" s="247"/>
      <c r="P2268" s="247"/>
      <c r="Q2268" s="247"/>
      <c r="R2268" s="247"/>
      <c r="S2268" s="247"/>
      <c r="T2268" s="247"/>
      <c r="U2268" s="247"/>
      <c r="V2268" s="247"/>
      <c r="W2268" s="247"/>
      <c r="X2268" s="247"/>
      <c r="Y2268" s="247"/>
      <c r="Z2268" s="247"/>
      <c r="AA2268" s="247"/>
      <c r="AB2268" s="247"/>
      <c r="AC2268" s="247"/>
    </row>
    <row r="2269">
      <c r="A2269" s="247"/>
      <c r="B2269" s="373"/>
      <c r="C2269" s="373"/>
      <c r="D2269" s="373"/>
      <c r="E2269" s="247"/>
      <c r="F2269" s="247"/>
      <c r="G2269" s="247"/>
      <c r="H2269" s="247"/>
      <c r="I2269" s="247"/>
      <c r="J2269" s="247"/>
      <c r="K2269" s="247"/>
      <c r="L2269" s="247"/>
      <c r="M2269" s="247"/>
      <c r="N2269" s="247"/>
      <c r="O2269" s="247"/>
      <c r="P2269" s="247"/>
      <c r="Q2269" s="247"/>
      <c r="R2269" s="247"/>
      <c r="S2269" s="247"/>
      <c r="T2269" s="247"/>
      <c r="U2269" s="247"/>
      <c r="V2269" s="247"/>
      <c r="W2269" s="247"/>
      <c r="X2269" s="247"/>
      <c r="Y2269" s="247"/>
      <c r="Z2269" s="247"/>
      <c r="AA2269" s="247"/>
      <c r="AB2269" s="247"/>
      <c r="AC2269" s="247"/>
    </row>
    <row r="2270">
      <c r="A2270" s="247"/>
      <c r="B2270" s="373"/>
      <c r="C2270" s="373"/>
      <c r="D2270" s="373"/>
      <c r="E2270" s="247"/>
      <c r="F2270" s="247"/>
      <c r="G2270" s="247"/>
      <c r="H2270" s="247"/>
      <c r="I2270" s="247"/>
      <c r="J2270" s="247"/>
      <c r="K2270" s="247"/>
      <c r="L2270" s="247"/>
      <c r="M2270" s="247"/>
      <c r="N2270" s="247"/>
      <c r="O2270" s="247"/>
      <c r="P2270" s="247"/>
      <c r="Q2270" s="247"/>
      <c r="R2270" s="247"/>
      <c r="S2270" s="247"/>
      <c r="T2270" s="247"/>
      <c r="U2270" s="247"/>
      <c r="V2270" s="247"/>
      <c r="W2270" s="247"/>
      <c r="X2270" s="247"/>
      <c r="Y2270" s="247"/>
      <c r="Z2270" s="247"/>
      <c r="AA2270" s="247"/>
      <c r="AB2270" s="247"/>
      <c r="AC2270" s="247"/>
    </row>
    <row r="2271">
      <c r="A2271" s="247"/>
      <c r="B2271" s="373"/>
      <c r="C2271" s="373"/>
      <c r="D2271" s="373"/>
      <c r="E2271" s="247"/>
      <c r="F2271" s="247"/>
      <c r="G2271" s="247"/>
      <c r="H2271" s="247"/>
      <c r="I2271" s="247"/>
      <c r="J2271" s="247"/>
      <c r="K2271" s="247"/>
      <c r="L2271" s="247"/>
      <c r="M2271" s="247"/>
      <c r="N2271" s="247"/>
      <c r="O2271" s="247"/>
      <c r="P2271" s="247"/>
      <c r="Q2271" s="247"/>
      <c r="R2271" s="247"/>
      <c r="S2271" s="247"/>
      <c r="T2271" s="247"/>
      <c r="U2271" s="247"/>
      <c r="V2271" s="247"/>
      <c r="W2271" s="247"/>
      <c r="X2271" s="247"/>
      <c r="Y2271" s="247"/>
      <c r="Z2271" s="247"/>
      <c r="AA2271" s="247"/>
      <c r="AB2271" s="247"/>
      <c r="AC2271" s="247"/>
    </row>
    <row r="2272">
      <c r="A2272" s="247"/>
      <c r="B2272" s="373"/>
      <c r="C2272" s="373"/>
      <c r="D2272" s="373"/>
      <c r="E2272" s="247"/>
      <c r="F2272" s="247"/>
      <c r="G2272" s="247"/>
      <c r="H2272" s="247"/>
      <c r="I2272" s="247"/>
      <c r="J2272" s="247"/>
      <c r="K2272" s="247"/>
      <c r="L2272" s="247"/>
      <c r="M2272" s="247"/>
      <c r="N2272" s="247"/>
      <c r="O2272" s="247"/>
      <c r="P2272" s="247"/>
      <c r="Q2272" s="247"/>
      <c r="R2272" s="247"/>
      <c r="S2272" s="247"/>
      <c r="T2272" s="247"/>
      <c r="U2272" s="247"/>
      <c r="V2272" s="247"/>
      <c r="W2272" s="247"/>
      <c r="X2272" s="247"/>
      <c r="Y2272" s="247"/>
      <c r="Z2272" s="247"/>
      <c r="AA2272" s="247"/>
      <c r="AB2272" s="247"/>
      <c r="AC2272" s="247"/>
    </row>
    <row r="2273">
      <c r="A2273" s="247"/>
      <c r="B2273" s="373"/>
      <c r="C2273" s="373"/>
      <c r="D2273" s="373"/>
      <c r="E2273" s="247"/>
      <c r="F2273" s="247"/>
      <c r="G2273" s="247"/>
      <c r="H2273" s="247"/>
      <c r="I2273" s="247"/>
      <c r="J2273" s="247"/>
      <c r="K2273" s="247"/>
      <c r="L2273" s="247"/>
      <c r="M2273" s="247"/>
      <c r="N2273" s="247"/>
      <c r="O2273" s="247"/>
      <c r="P2273" s="247"/>
      <c r="Q2273" s="247"/>
      <c r="R2273" s="247"/>
      <c r="S2273" s="247"/>
      <c r="T2273" s="247"/>
      <c r="U2273" s="247"/>
      <c r="V2273" s="247"/>
      <c r="W2273" s="247"/>
      <c r="X2273" s="247"/>
      <c r="Y2273" s="247"/>
      <c r="Z2273" s="247"/>
      <c r="AA2273" s="247"/>
      <c r="AB2273" s="247"/>
      <c r="AC2273" s="247"/>
    </row>
    <row r="2274">
      <c r="A2274" s="247"/>
      <c r="B2274" s="373"/>
      <c r="C2274" s="373"/>
      <c r="D2274" s="373"/>
      <c r="E2274" s="247"/>
      <c r="F2274" s="247"/>
      <c r="G2274" s="247"/>
      <c r="H2274" s="247"/>
      <c r="I2274" s="247"/>
      <c r="J2274" s="247"/>
      <c r="K2274" s="247"/>
      <c r="L2274" s="247"/>
      <c r="M2274" s="247"/>
      <c r="N2274" s="247"/>
      <c r="O2274" s="247"/>
      <c r="P2274" s="247"/>
      <c r="Q2274" s="247"/>
      <c r="R2274" s="247"/>
      <c r="S2274" s="247"/>
      <c r="T2274" s="247"/>
      <c r="U2274" s="247"/>
      <c r="V2274" s="247"/>
      <c r="W2274" s="247"/>
      <c r="X2274" s="247"/>
      <c r="Y2274" s="247"/>
      <c r="Z2274" s="247"/>
      <c r="AA2274" s="247"/>
      <c r="AB2274" s="247"/>
      <c r="AC2274" s="247"/>
    </row>
    <row r="2275">
      <c r="A2275" s="247"/>
      <c r="B2275" s="373"/>
      <c r="C2275" s="373"/>
      <c r="D2275" s="373"/>
      <c r="E2275" s="247"/>
      <c r="F2275" s="247"/>
      <c r="G2275" s="247"/>
      <c r="H2275" s="247"/>
      <c r="I2275" s="247"/>
      <c r="J2275" s="247"/>
      <c r="K2275" s="247"/>
      <c r="L2275" s="247"/>
      <c r="M2275" s="247"/>
      <c r="N2275" s="247"/>
      <c r="O2275" s="247"/>
      <c r="P2275" s="247"/>
      <c r="Q2275" s="247"/>
      <c r="R2275" s="247"/>
      <c r="S2275" s="247"/>
      <c r="T2275" s="247"/>
      <c r="U2275" s="247"/>
      <c r="V2275" s="247"/>
      <c r="W2275" s="247"/>
      <c r="X2275" s="247"/>
      <c r="Y2275" s="247"/>
      <c r="Z2275" s="247"/>
      <c r="AA2275" s="247"/>
      <c r="AB2275" s="247"/>
      <c r="AC2275" s="247"/>
    </row>
  </sheetData>
  <autoFilter ref="$A$2:$H$1316">
    <filterColumn colId="0">
      <filters>
        <filter val="Week 3/23/26 - 3/29/26"/>
      </filters>
    </filterColumn>
  </autoFilter>
  <dataValidations>
    <dataValidation type="list" allowBlank="1" showErrorMessage="1" sqref="A1071:A1089">
      <formula1>"Week 9/1/25 - 9/7/25"</formula1>
    </dataValidation>
    <dataValidation type="list" allowBlank="1" showErrorMessage="1" sqref="A933:A953">
      <formula1>"Week 10/13/25 - 10/19/25"</formula1>
    </dataValidation>
    <dataValidation type="list" allowBlank="1" showErrorMessage="1" sqref="A207:A258">
      <formula1>"Week 2/23/26 - 3/1/26"</formula1>
    </dataValidation>
    <dataValidation type="list" allowBlank="1" showErrorMessage="1" sqref="A1128:A1146">
      <formula1>"Week 8/11/25 - 8/17/25 "</formula1>
    </dataValidation>
    <dataValidation type="list" allowBlank="1" showErrorMessage="1" sqref="A1158:A1168">
      <formula1>"Week 7/28/25 - 8/3/25"</formula1>
    </dataValidation>
    <dataValidation type="list" allowBlank="1" showErrorMessage="1" sqref="A458:A510">
      <formula1>"Week 1/19/26 - 1/25/26"</formula1>
    </dataValidation>
    <dataValidation type="list" allowBlank="1" showErrorMessage="1" sqref="A954:A973">
      <formula1>"Week 10/6/25 - 10/12/25"</formula1>
    </dataValidation>
    <dataValidation type="list" allowBlank="1" showErrorMessage="1" sqref="A311:A363">
      <formula1>"Week 2/9/26 - 2/15/26"</formula1>
    </dataValidation>
    <dataValidation type="list" allowBlank="1" showErrorMessage="1" sqref="A556:A600">
      <formula1>"Week 1/5/26 - 1/11/26"</formula1>
    </dataValidation>
    <dataValidation type="list" allowBlank="1" showErrorMessage="1" sqref="A259:A310">
      <formula1>"Week 2/16/26 - 2/22/26"</formula1>
    </dataValidation>
    <dataValidation type="list" allowBlank="1" showErrorMessage="1" sqref="A1147:A1157">
      <formula1>"Week 8/4/25 - 8/10/25"</formula1>
    </dataValidation>
    <dataValidation type="list" allowBlank="1" showErrorMessage="1" sqref="A713:A750">
      <formula1>"Week 12/8/25 - 12/14/25"</formula1>
    </dataValidation>
    <dataValidation type="list" allowBlank="1" showErrorMessage="1" sqref="A820:A842">
      <formula1>"Week 11/17/25 - 11/23/25"</formula1>
    </dataValidation>
    <dataValidation type="list" allowBlank="1" showErrorMessage="1" sqref="A1109:A1127">
      <formula1>"Week 8/18/25 - 8/24/25 "</formula1>
    </dataValidation>
    <dataValidation type="list" allowBlank="1" showErrorMessage="1" sqref="A511:A555">
      <formula1>"Week 1/12/26 - 1/18/26"</formula1>
    </dataValidation>
    <dataValidation type="list" allowBlank="1" showErrorMessage="1" sqref="A105:A155">
      <formula1>"Week 3/9/26 - 3/15/26"</formula1>
    </dataValidation>
    <dataValidation type="list" allowBlank="1" showErrorMessage="1" sqref="A601:A638">
      <formula1>"Week 12/29/25 - 1/4/26"</formula1>
    </dataValidation>
    <dataValidation type="list" allowBlank="1" showErrorMessage="1" sqref="A993:A1011">
      <formula1>"Week 9/29/25 - 10/5/25"</formula1>
    </dataValidation>
    <dataValidation type="list" allowBlank="1" showErrorMessage="1" sqref="A751:A787">
      <formula1>"Week 12/1/25 - 12/7/25"</formula1>
    </dataValidation>
    <dataValidation type="list" allowBlank="1" showErrorMessage="1" sqref="A912:A932">
      <formula1>"Week 10/20/25 - 10/26/25"</formula1>
    </dataValidation>
    <dataValidation type="list" allowBlank="1" showErrorMessage="1" sqref="A156:A206">
      <formula1>"Week 3/2/26 - 3/8/26"</formula1>
    </dataValidation>
    <dataValidation type="list" allowBlank="1" showErrorMessage="1" sqref="A843:A865">
      <formula1>"Week 11/10/25 - 11/16/25"</formula1>
    </dataValidation>
    <dataValidation type="list" allowBlank="1" showErrorMessage="1" sqref="A889:A911">
      <formula1>"Week 10/27/25 - 11/2/25"</formula1>
    </dataValidation>
    <dataValidation type="list" allowBlank="1" showErrorMessage="1" sqref="A974:A992 A1012:A1030">
      <formula1>"Week 9/22/25 - 9/28/25"</formula1>
    </dataValidation>
    <dataValidation type="list" allowBlank="1" showErrorMessage="1" sqref="A411:A457">
      <formula1>"Week 1/26/26 - 2/1/26"</formula1>
    </dataValidation>
    <dataValidation type="list" allowBlank="1" showErrorMessage="1" sqref="A3:A53">
      <formula1>"Week 3/23/26 - 3/29/26"</formula1>
    </dataValidation>
    <dataValidation type="list" allowBlank="1" showErrorMessage="1" sqref="A866:A888">
      <formula1>"Week 11/3/25 - 11/9/25"</formula1>
    </dataValidation>
    <dataValidation type="list" allowBlank="1" showErrorMessage="1" sqref="A1051:A1070">
      <formula1>"Week 9/08/25 - 9/14/25"</formula1>
    </dataValidation>
    <dataValidation type="list" allowBlank="1" showErrorMessage="1" sqref="A1090:A1108">
      <formula1>"Week 8/25/25 - 8/31/25"</formula1>
    </dataValidation>
    <dataValidation type="list" allowBlank="1" showErrorMessage="1" sqref="A788:A819">
      <formula1>"Week 11/24/25 - 11/30/25"</formula1>
    </dataValidation>
    <dataValidation type="list" allowBlank="1" showErrorMessage="1" sqref="A1169:A1256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54:A104">
      <formula1>"Week 3/16/26 - 3/22/26"</formula1>
    </dataValidation>
    <dataValidation type="list" allowBlank="1" showErrorMessage="1" sqref="A676:A712">
      <formula1>"Week 12/14/25 - 12/20/25"</formula1>
    </dataValidation>
    <dataValidation type="list" allowBlank="1" showErrorMessage="1" sqref="A1031:A1050">
      <formula1>"Week 9/15/25 - 9/21/25"</formula1>
    </dataValidation>
    <dataValidation type="list" allowBlank="1" showErrorMessage="1" sqref="A1257:A1316">
      <formula1>"Week 3/31/25 - 4/6/25,Week 4/7/25 - 4/13/25,Week 4/14/25 - 4/20/25,Week 4/21/25 - 4/27/25,Week 4/28/25 - 5/4/25,Week 5/5/25 - 5/11/25,Week 5/12/25 - 5/18/25,Week 5/19/25 - 5/25/25,Week 5/26/25 - 6/1/25"</formula1>
    </dataValidation>
    <dataValidation type="list" allowBlank="1" showErrorMessage="1" sqref="A364:A410">
      <formula1>"Week 2/2/26 - 2/8/26"</formula1>
    </dataValidation>
    <dataValidation type="list" allowBlank="1" showErrorMessage="1" sqref="A639:A675">
      <formula1>"Week 12/22/25 - 12/28/25"</formula1>
    </dataValidation>
  </dataValidations>
  <hyperlinks>
    <hyperlink r:id="rId1" location="gid=0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29.25"/>
    <col customWidth="1" min="4" max="4" width="33.13"/>
    <col customWidth="1" min="5" max="6" width="22.38"/>
    <col customWidth="1" min="8" max="8" width="28.13"/>
    <col hidden="1" min="9" max="10" width="12.63"/>
  </cols>
  <sheetData>
    <row r="1">
      <c r="A1" s="374" t="s">
        <v>1186</v>
      </c>
      <c r="B1" s="375"/>
      <c r="C1" s="375"/>
      <c r="D1" s="375"/>
      <c r="E1" s="376"/>
      <c r="F1" s="376"/>
      <c r="G1" s="376"/>
      <c r="H1" s="376"/>
      <c r="I1" s="376"/>
      <c r="J1" s="376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</row>
    <row r="2">
      <c r="A2" s="378" t="s">
        <v>2</v>
      </c>
      <c r="B2" s="379" t="s">
        <v>3</v>
      </c>
      <c r="C2" s="379" t="s">
        <v>392</v>
      </c>
      <c r="D2" s="379" t="s">
        <v>5</v>
      </c>
      <c r="E2" s="378" t="s">
        <v>1187</v>
      </c>
      <c r="F2" s="380" t="s">
        <v>394</v>
      </c>
      <c r="G2" s="381" t="s">
        <v>12</v>
      </c>
      <c r="H2" s="380"/>
      <c r="I2" s="1"/>
      <c r="J2" s="1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</row>
    <row r="3">
      <c r="A3" s="6" t="s">
        <v>241</v>
      </c>
      <c r="B3" s="382" t="s">
        <v>583</v>
      </c>
      <c r="C3" s="382" t="s">
        <v>584</v>
      </c>
      <c r="D3" s="382" t="s">
        <v>585</v>
      </c>
      <c r="E3" s="83">
        <v>0.0</v>
      </c>
      <c r="F3" s="383">
        <v>0.0</v>
      </c>
      <c r="G3" s="12">
        <f t="shared" ref="G3:G333" si="1">E3*250 + F3*250</f>
        <v>0</v>
      </c>
      <c r="H3" s="384" t="str">
        <f t="shared" ref="H3:H333" si="2">E3 &amp; " 5-star Reviews, " &amp; F3 &amp; " Patient Portal Logins"</f>
        <v>0 5-star Reviews, 0 Patient Portal Logins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6" t="s">
        <v>241</v>
      </c>
      <c r="B4" s="382" t="s">
        <v>1188</v>
      </c>
      <c r="C4" s="382" t="s">
        <v>1189</v>
      </c>
      <c r="D4" s="382" t="s">
        <v>1190</v>
      </c>
      <c r="E4" s="83">
        <v>0.0</v>
      </c>
      <c r="F4" s="383">
        <v>0.0</v>
      </c>
      <c r="G4" s="12">
        <f t="shared" si="1"/>
        <v>0</v>
      </c>
      <c r="H4" s="384" t="str">
        <f t="shared" si="2"/>
        <v>0 5-star Reviews, 0 Patient Portal Logins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6" t="s">
        <v>241</v>
      </c>
      <c r="B5" s="382" t="s">
        <v>1191</v>
      </c>
      <c r="C5" s="382" t="s">
        <v>1192</v>
      </c>
      <c r="D5" s="382" t="s">
        <v>1193</v>
      </c>
      <c r="E5" s="83">
        <v>0.0</v>
      </c>
      <c r="F5" s="383">
        <v>0.0</v>
      </c>
      <c r="G5" s="12">
        <f t="shared" si="1"/>
        <v>0</v>
      </c>
      <c r="H5" s="384" t="str">
        <f t="shared" si="2"/>
        <v>0 5-star Reviews, 0 Patient Portal Logins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6" t="s">
        <v>241</v>
      </c>
      <c r="B6" s="382" t="s">
        <v>1194</v>
      </c>
      <c r="C6" s="382" t="s">
        <v>1195</v>
      </c>
      <c r="D6" s="382" t="s">
        <v>1196</v>
      </c>
      <c r="E6" s="83">
        <v>0.0</v>
      </c>
      <c r="F6" s="383">
        <v>0.0</v>
      </c>
      <c r="G6" s="12">
        <f t="shared" si="1"/>
        <v>0</v>
      </c>
      <c r="H6" s="384" t="str">
        <f t="shared" si="2"/>
        <v>0 5-star Reviews, 0 Patient Portal Logins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6" t="s">
        <v>241</v>
      </c>
      <c r="B7" s="382" t="s">
        <v>1197</v>
      </c>
      <c r="C7" s="382" t="s">
        <v>1198</v>
      </c>
      <c r="D7" s="382" t="s">
        <v>1199</v>
      </c>
      <c r="E7" s="83">
        <v>0.0</v>
      </c>
      <c r="F7" s="383">
        <v>0.0</v>
      </c>
      <c r="G7" s="12">
        <f t="shared" si="1"/>
        <v>0</v>
      </c>
      <c r="H7" s="384" t="str">
        <f t="shared" si="2"/>
        <v>0 5-star Reviews, 0 Patient Portal Logins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6" t="s">
        <v>241</v>
      </c>
      <c r="B8" s="382" t="s">
        <v>571</v>
      </c>
      <c r="C8" s="382" t="s">
        <v>1200</v>
      </c>
      <c r="D8" s="382" t="s">
        <v>573</v>
      </c>
      <c r="E8" s="83">
        <v>0.0</v>
      </c>
      <c r="F8" s="383">
        <v>0.0</v>
      </c>
      <c r="G8" s="12">
        <f t="shared" si="1"/>
        <v>0</v>
      </c>
      <c r="H8" s="384" t="str">
        <f t="shared" si="2"/>
        <v>0 5-star Reviews, 0 Patient Portal Logins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6" t="s">
        <v>241</v>
      </c>
      <c r="B9" s="382" t="s">
        <v>395</v>
      </c>
      <c r="C9" s="382" t="s">
        <v>397</v>
      </c>
      <c r="D9" s="382" t="s">
        <v>396</v>
      </c>
      <c r="E9" s="83">
        <v>0.0</v>
      </c>
      <c r="F9" s="383">
        <v>0.0</v>
      </c>
      <c r="G9" s="12">
        <f t="shared" si="1"/>
        <v>0</v>
      </c>
      <c r="H9" s="384" t="str">
        <f t="shared" si="2"/>
        <v>0 5-star Reviews, 0 Patient Portal Logins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6" t="s">
        <v>241</v>
      </c>
      <c r="B10" s="382" t="s">
        <v>580</v>
      </c>
      <c r="C10" s="382" t="s">
        <v>1201</v>
      </c>
      <c r="D10" s="382" t="s">
        <v>582</v>
      </c>
      <c r="E10" s="83">
        <v>0.0</v>
      </c>
      <c r="F10" s="383">
        <v>0.0</v>
      </c>
      <c r="G10" s="12">
        <f t="shared" si="1"/>
        <v>0</v>
      </c>
      <c r="H10" s="384" t="str">
        <f t="shared" si="2"/>
        <v>0 5-star Reviews, 0 Patient Portal Logins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6" t="s">
        <v>241</v>
      </c>
      <c r="B11" s="382" t="s">
        <v>1202</v>
      </c>
      <c r="C11" s="382" t="s">
        <v>1203</v>
      </c>
      <c r="D11" s="382" t="s">
        <v>1204</v>
      </c>
      <c r="E11" s="83">
        <v>0.0</v>
      </c>
      <c r="F11" s="383">
        <v>0.0</v>
      </c>
      <c r="G11" s="12">
        <f t="shared" si="1"/>
        <v>0</v>
      </c>
      <c r="H11" s="384" t="str">
        <f t="shared" si="2"/>
        <v>0 5-star Reviews, 0 Patient Portal Logins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6" t="s">
        <v>241</v>
      </c>
      <c r="B12" s="382" t="s">
        <v>1205</v>
      </c>
      <c r="C12" s="382" t="s">
        <v>1206</v>
      </c>
      <c r="D12" s="382" t="s">
        <v>1207</v>
      </c>
      <c r="E12" s="83">
        <v>0.0</v>
      </c>
      <c r="F12" s="383">
        <v>0.0</v>
      </c>
      <c r="G12" s="12">
        <f t="shared" si="1"/>
        <v>0</v>
      </c>
      <c r="H12" s="384" t="str">
        <f t="shared" si="2"/>
        <v>0 5-star Reviews, 0 Patient Portal Logins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6" t="s">
        <v>241</v>
      </c>
      <c r="B13" s="382" t="s">
        <v>1208</v>
      </c>
      <c r="C13" s="382" t="s">
        <v>1209</v>
      </c>
      <c r="D13" s="382" t="s">
        <v>1210</v>
      </c>
      <c r="E13" s="83">
        <v>0.0</v>
      </c>
      <c r="F13" s="383">
        <v>0.0</v>
      </c>
      <c r="G13" s="12">
        <f t="shared" si="1"/>
        <v>0</v>
      </c>
      <c r="H13" s="384" t="str">
        <f t="shared" si="2"/>
        <v>0 5-star Reviews, 0 Patient Portal Logins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6" t="s">
        <v>241</v>
      </c>
      <c r="B14" s="385" t="s">
        <v>1211</v>
      </c>
      <c r="C14" s="385" t="s">
        <v>1212</v>
      </c>
      <c r="D14" s="385" t="s">
        <v>1213</v>
      </c>
      <c r="E14" s="83">
        <v>0.0</v>
      </c>
      <c r="F14" s="383">
        <v>0.0</v>
      </c>
      <c r="G14" s="12">
        <f t="shared" si="1"/>
        <v>0</v>
      </c>
      <c r="H14" s="384" t="str">
        <f t="shared" si="2"/>
        <v>0 5-star Reviews, 0 Patient Portal Logins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6" t="s">
        <v>241</v>
      </c>
      <c r="B15" s="385" t="s">
        <v>14</v>
      </c>
      <c r="C15" s="385" t="s">
        <v>233</v>
      </c>
      <c r="D15" s="385" t="s">
        <v>16</v>
      </c>
      <c r="E15" s="83">
        <v>0.0</v>
      </c>
      <c r="F15" s="383">
        <v>0.0</v>
      </c>
      <c r="G15" s="12">
        <f t="shared" si="1"/>
        <v>0</v>
      </c>
      <c r="H15" s="384" t="str">
        <f t="shared" si="2"/>
        <v>0 5-star Reviews, 0 Patient Portal Logins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6" t="s">
        <v>241</v>
      </c>
      <c r="B16" s="385" t="s">
        <v>1214</v>
      </c>
      <c r="C16" s="385" t="s">
        <v>1215</v>
      </c>
      <c r="D16" s="385" t="s">
        <v>1216</v>
      </c>
      <c r="E16" s="83">
        <v>0.0</v>
      </c>
      <c r="F16" s="383">
        <v>0.0</v>
      </c>
      <c r="G16" s="12">
        <f t="shared" si="1"/>
        <v>0</v>
      </c>
      <c r="H16" s="384" t="str">
        <f t="shared" si="2"/>
        <v>0 5-star Reviews, 0 Patient Portal Logins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idden="1">
      <c r="A17" s="6" t="s">
        <v>242</v>
      </c>
      <c r="B17" s="382" t="s">
        <v>583</v>
      </c>
      <c r="C17" s="382" t="s">
        <v>584</v>
      </c>
      <c r="D17" s="382" t="s">
        <v>585</v>
      </c>
      <c r="E17" s="83">
        <v>0.0</v>
      </c>
      <c r="F17" s="383">
        <v>0.0</v>
      </c>
      <c r="G17" s="12">
        <f t="shared" si="1"/>
        <v>0</v>
      </c>
      <c r="H17" s="384" t="str">
        <f t="shared" si="2"/>
        <v>0 5-star Reviews, 0 Patient Portal Logins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idden="1">
      <c r="A18" s="6" t="s">
        <v>242</v>
      </c>
      <c r="B18" s="382" t="s">
        <v>1188</v>
      </c>
      <c r="C18" s="382" t="s">
        <v>1189</v>
      </c>
      <c r="D18" s="382" t="s">
        <v>1190</v>
      </c>
      <c r="E18" s="83">
        <v>0.0</v>
      </c>
      <c r="F18" s="383">
        <v>0.0</v>
      </c>
      <c r="G18" s="12">
        <f t="shared" si="1"/>
        <v>0</v>
      </c>
      <c r="H18" s="384" t="str">
        <f t="shared" si="2"/>
        <v>0 5-star Reviews, 0 Patient Portal Logins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idden="1">
      <c r="A19" s="6" t="s">
        <v>242</v>
      </c>
      <c r="B19" s="382" t="s">
        <v>1191</v>
      </c>
      <c r="C19" s="382" t="s">
        <v>1192</v>
      </c>
      <c r="D19" s="382" t="s">
        <v>1193</v>
      </c>
      <c r="E19" s="83">
        <v>0.0</v>
      </c>
      <c r="F19" s="383">
        <v>0.0</v>
      </c>
      <c r="G19" s="12">
        <f t="shared" si="1"/>
        <v>0</v>
      </c>
      <c r="H19" s="384" t="str">
        <f t="shared" si="2"/>
        <v>0 5-star Reviews, 0 Patient Portal Logins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idden="1">
      <c r="A20" s="6" t="s">
        <v>242</v>
      </c>
      <c r="B20" s="382" t="s">
        <v>1194</v>
      </c>
      <c r="C20" s="382" t="s">
        <v>1195</v>
      </c>
      <c r="D20" s="382" t="s">
        <v>1196</v>
      </c>
      <c r="E20" s="83">
        <v>0.0</v>
      </c>
      <c r="F20" s="383">
        <v>0.0</v>
      </c>
      <c r="G20" s="12">
        <f t="shared" si="1"/>
        <v>0</v>
      </c>
      <c r="H20" s="384" t="str">
        <f t="shared" si="2"/>
        <v>0 5-star Reviews, 0 Patient Portal Logins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idden="1">
      <c r="A21" s="6" t="s">
        <v>242</v>
      </c>
      <c r="B21" s="382" t="s">
        <v>1197</v>
      </c>
      <c r="C21" s="382" t="s">
        <v>1198</v>
      </c>
      <c r="D21" s="382" t="s">
        <v>1199</v>
      </c>
      <c r="E21" s="83">
        <v>0.0</v>
      </c>
      <c r="F21" s="383">
        <v>0.0</v>
      </c>
      <c r="G21" s="12">
        <f t="shared" si="1"/>
        <v>0</v>
      </c>
      <c r="H21" s="384" t="str">
        <f t="shared" si="2"/>
        <v>0 5-star Reviews, 0 Patient Portal Logins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idden="1">
      <c r="A22" s="6" t="s">
        <v>242</v>
      </c>
      <c r="B22" s="382" t="s">
        <v>571</v>
      </c>
      <c r="C22" s="382" t="s">
        <v>1200</v>
      </c>
      <c r="D22" s="382" t="s">
        <v>573</v>
      </c>
      <c r="E22" s="83">
        <v>0.0</v>
      </c>
      <c r="F22" s="383">
        <v>0.0</v>
      </c>
      <c r="G22" s="12">
        <f t="shared" si="1"/>
        <v>0</v>
      </c>
      <c r="H22" s="384" t="str">
        <f t="shared" si="2"/>
        <v>0 5-star Reviews, 0 Patient Portal Logins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idden="1">
      <c r="A23" s="6" t="s">
        <v>242</v>
      </c>
      <c r="B23" s="382" t="s">
        <v>395</v>
      </c>
      <c r="C23" s="382" t="s">
        <v>397</v>
      </c>
      <c r="D23" s="382" t="s">
        <v>396</v>
      </c>
      <c r="E23" s="83">
        <v>0.0</v>
      </c>
      <c r="F23" s="383">
        <v>0.0</v>
      </c>
      <c r="G23" s="12">
        <f t="shared" si="1"/>
        <v>0</v>
      </c>
      <c r="H23" s="384" t="str">
        <f t="shared" si="2"/>
        <v>0 5-star Reviews, 0 Patient Portal Logins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idden="1">
      <c r="A24" s="6" t="s">
        <v>242</v>
      </c>
      <c r="B24" s="382" t="s">
        <v>580</v>
      </c>
      <c r="C24" s="382" t="s">
        <v>1201</v>
      </c>
      <c r="D24" s="382" t="s">
        <v>582</v>
      </c>
      <c r="E24" s="83">
        <v>0.0</v>
      </c>
      <c r="F24" s="383">
        <v>0.0</v>
      </c>
      <c r="G24" s="12">
        <f t="shared" si="1"/>
        <v>0</v>
      </c>
      <c r="H24" s="384" t="str">
        <f t="shared" si="2"/>
        <v>0 5-star Reviews, 0 Patient Portal Logins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idden="1">
      <c r="A25" s="6" t="s">
        <v>242</v>
      </c>
      <c r="B25" s="382" t="s">
        <v>1202</v>
      </c>
      <c r="C25" s="382" t="s">
        <v>1203</v>
      </c>
      <c r="D25" s="382" t="s">
        <v>1204</v>
      </c>
      <c r="E25" s="83">
        <v>0.0</v>
      </c>
      <c r="F25" s="383">
        <v>0.0</v>
      </c>
      <c r="G25" s="12">
        <f t="shared" si="1"/>
        <v>0</v>
      </c>
      <c r="H25" s="384" t="str">
        <f t="shared" si="2"/>
        <v>0 5-star Reviews, 0 Patient Portal Logins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idden="1">
      <c r="A26" s="6" t="s">
        <v>242</v>
      </c>
      <c r="B26" s="382" t="s">
        <v>1205</v>
      </c>
      <c r="C26" s="382" t="s">
        <v>1206</v>
      </c>
      <c r="D26" s="382" t="s">
        <v>1207</v>
      </c>
      <c r="E26" s="83">
        <v>0.0</v>
      </c>
      <c r="F26" s="383">
        <v>0.0</v>
      </c>
      <c r="G26" s="12">
        <f t="shared" si="1"/>
        <v>0</v>
      </c>
      <c r="H26" s="384" t="str">
        <f t="shared" si="2"/>
        <v>0 5-star Reviews, 0 Patient Portal Logins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idden="1">
      <c r="A27" s="6" t="s">
        <v>242</v>
      </c>
      <c r="B27" s="382" t="s">
        <v>1208</v>
      </c>
      <c r="C27" s="382" t="s">
        <v>1209</v>
      </c>
      <c r="D27" s="382" t="s">
        <v>1210</v>
      </c>
      <c r="E27" s="83">
        <v>0.0</v>
      </c>
      <c r="F27" s="383">
        <v>0.0</v>
      </c>
      <c r="G27" s="12">
        <f t="shared" si="1"/>
        <v>0</v>
      </c>
      <c r="H27" s="384" t="str">
        <f t="shared" si="2"/>
        <v>0 5-star Reviews, 0 Patient Portal Logins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idden="1">
      <c r="A28" s="6" t="s">
        <v>242</v>
      </c>
      <c r="B28" s="385" t="s">
        <v>1211</v>
      </c>
      <c r="C28" s="385" t="s">
        <v>1212</v>
      </c>
      <c r="D28" s="385" t="s">
        <v>1213</v>
      </c>
      <c r="E28" s="83">
        <v>0.0</v>
      </c>
      <c r="F28" s="383">
        <v>0.0</v>
      </c>
      <c r="G28" s="12">
        <f t="shared" si="1"/>
        <v>0</v>
      </c>
      <c r="H28" s="384" t="str">
        <f t="shared" si="2"/>
        <v>0 5-star Reviews, 0 Patient Portal Logins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idden="1">
      <c r="A29" s="6" t="s">
        <v>242</v>
      </c>
      <c r="B29" s="385" t="s">
        <v>14</v>
      </c>
      <c r="C29" s="385" t="s">
        <v>233</v>
      </c>
      <c r="D29" s="385" t="s">
        <v>16</v>
      </c>
      <c r="E29" s="83">
        <v>0.0</v>
      </c>
      <c r="F29" s="383">
        <v>0.0</v>
      </c>
      <c r="G29" s="12">
        <f t="shared" si="1"/>
        <v>0</v>
      </c>
      <c r="H29" s="384" t="str">
        <f t="shared" si="2"/>
        <v>0 5-star Reviews, 0 Patient Portal Logins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idden="1">
      <c r="A30" s="6" t="s">
        <v>242</v>
      </c>
      <c r="B30" s="385" t="s">
        <v>1214</v>
      </c>
      <c r="C30" s="385" t="s">
        <v>1215</v>
      </c>
      <c r="D30" s="385" t="s">
        <v>1216</v>
      </c>
      <c r="E30" s="83">
        <v>0.0</v>
      </c>
      <c r="F30" s="383">
        <v>0.0</v>
      </c>
      <c r="G30" s="12">
        <f t="shared" si="1"/>
        <v>0</v>
      </c>
      <c r="H30" s="384" t="str">
        <f t="shared" si="2"/>
        <v>0 5-star Reviews, 0 Patient Portal Logins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idden="1">
      <c r="A31" s="6" t="s">
        <v>13</v>
      </c>
      <c r="B31" s="382" t="s">
        <v>583</v>
      </c>
      <c r="C31" s="382" t="s">
        <v>584</v>
      </c>
      <c r="D31" s="382" t="s">
        <v>585</v>
      </c>
      <c r="E31" s="34">
        <v>0.0</v>
      </c>
      <c r="F31" s="386">
        <v>0.0</v>
      </c>
      <c r="G31" s="12">
        <f t="shared" si="1"/>
        <v>0</v>
      </c>
      <c r="H31" s="384" t="str">
        <f t="shared" si="2"/>
        <v>0 5-star Reviews, 0 Patient Portal Logins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idden="1">
      <c r="A32" s="6" t="s">
        <v>13</v>
      </c>
      <c r="B32" s="382" t="s">
        <v>1188</v>
      </c>
      <c r="C32" s="382" t="s">
        <v>1189</v>
      </c>
      <c r="D32" s="382" t="s">
        <v>1190</v>
      </c>
      <c r="E32" s="34">
        <v>0.0</v>
      </c>
      <c r="F32" s="386">
        <v>0.0</v>
      </c>
      <c r="G32" s="12">
        <f t="shared" si="1"/>
        <v>0</v>
      </c>
      <c r="H32" s="384" t="str">
        <f t="shared" si="2"/>
        <v>0 5-star Reviews, 0 Patient Portal Logins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idden="1">
      <c r="A33" s="6" t="s">
        <v>13</v>
      </c>
      <c r="B33" s="382" t="s">
        <v>1191</v>
      </c>
      <c r="C33" s="382" t="s">
        <v>1192</v>
      </c>
      <c r="D33" s="382" t="s">
        <v>1193</v>
      </c>
      <c r="E33" s="34">
        <v>0.0</v>
      </c>
      <c r="F33" s="386">
        <v>0.0</v>
      </c>
      <c r="G33" s="12">
        <f t="shared" si="1"/>
        <v>0</v>
      </c>
      <c r="H33" s="384" t="str">
        <f t="shared" si="2"/>
        <v>0 5-star Reviews, 0 Patient Portal Logins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idden="1">
      <c r="A34" s="6" t="s">
        <v>13</v>
      </c>
      <c r="B34" s="382" t="s">
        <v>1194</v>
      </c>
      <c r="C34" s="382" t="s">
        <v>1195</v>
      </c>
      <c r="D34" s="382" t="s">
        <v>1196</v>
      </c>
      <c r="E34" s="34">
        <v>0.0</v>
      </c>
      <c r="F34" s="386">
        <v>0.0</v>
      </c>
      <c r="G34" s="12">
        <f t="shared" si="1"/>
        <v>0</v>
      </c>
      <c r="H34" s="384" t="str">
        <f t="shared" si="2"/>
        <v>0 5-star Reviews, 0 Patient Portal Logins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idden="1">
      <c r="A35" s="6" t="s">
        <v>13</v>
      </c>
      <c r="B35" s="382" t="s">
        <v>1197</v>
      </c>
      <c r="C35" s="382" t="s">
        <v>1198</v>
      </c>
      <c r="D35" s="382" t="s">
        <v>1199</v>
      </c>
      <c r="E35" s="34">
        <v>0.0</v>
      </c>
      <c r="F35" s="386">
        <v>0.0</v>
      </c>
      <c r="G35" s="12">
        <f t="shared" si="1"/>
        <v>0</v>
      </c>
      <c r="H35" s="384" t="str">
        <f t="shared" si="2"/>
        <v>0 5-star Reviews, 0 Patient Portal Logins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idden="1">
      <c r="A36" s="6" t="s">
        <v>13</v>
      </c>
      <c r="B36" s="382" t="s">
        <v>571</v>
      </c>
      <c r="C36" s="382" t="s">
        <v>1200</v>
      </c>
      <c r="D36" s="382" t="s">
        <v>573</v>
      </c>
      <c r="E36" s="34">
        <v>0.0</v>
      </c>
      <c r="F36" s="386">
        <v>0.0</v>
      </c>
      <c r="G36" s="12">
        <f t="shared" si="1"/>
        <v>0</v>
      </c>
      <c r="H36" s="384" t="str">
        <f t="shared" si="2"/>
        <v>0 5-star Reviews, 0 Patient Portal Logins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idden="1">
      <c r="A37" s="6" t="s">
        <v>13</v>
      </c>
      <c r="B37" s="382" t="s">
        <v>395</v>
      </c>
      <c r="C37" s="382" t="s">
        <v>397</v>
      </c>
      <c r="D37" s="382" t="s">
        <v>396</v>
      </c>
      <c r="E37" s="34">
        <v>0.0</v>
      </c>
      <c r="F37" s="386">
        <v>0.0</v>
      </c>
      <c r="G37" s="12">
        <f t="shared" si="1"/>
        <v>0</v>
      </c>
      <c r="H37" s="384" t="str">
        <f t="shared" si="2"/>
        <v>0 5-star Reviews, 0 Patient Portal Logins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idden="1">
      <c r="A38" s="6" t="s">
        <v>13</v>
      </c>
      <c r="B38" s="382" t="s">
        <v>580</v>
      </c>
      <c r="C38" s="382" t="s">
        <v>1201</v>
      </c>
      <c r="D38" s="382" t="s">
        <v>582</v>
      </c>
      <c r="E38" s="34">
        <v>0.0</v>
      </c>
      <c r="F38" s="386">
        <v>0.0</v>
      </c>
      <c r="G38" s="12">
        <f t="shared" si="1"/>
        <v>0</v>
      </c>
      <c r="H38" s="384" t="str">
        <f t="shared" si="2"/>
        <v>0 5-star Reviews, 0 Patient Portal Logins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idden="1">
      <c r="A39" s="6" t="s">
        <v>13</v>
      </c>
      <c r="B39" s="382" t="s">
        <v>1202</v>
      </c>
      <c r="C39" s="382" t="s">
        <v>1203</v>
      </c>
      <c r="D39" s="382" t="s">
        <v>1204</v>
      </c>
      <c r="E39" s="34">
        <v>0.0</v>
      </c>
      <c r="F39" s="386">
        <v>0.0</v>
      </c>
      <c r="G39" s="12">
        <f t="shared" si="1"/>
        <v>0</v>
      </c>
      <c r="H39" s="384" t="str">
        <f t="shared" si="2"/>
        <v>0 5-star Reviews, 0 Patient Portal Logins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idden="1">
      <c r="A40" s="6" t="s">
        <v>13</v>
      </c>
      <c r="B40" s="382" t="s">
        <v>1205</v>
      </c>
      <c r="C40" s="382" t="s">
        <v>1206</v>
      </c>
      <c r="D40" s="382" t="s">
        <v>1207</v>
      </c>
      <c r="E40" s="34">
        <v>0.0</v>
      </c>
      <c r="F40" s="386">
        <v>0.0</v>
      </c>
      <c r="G40" s="12">
        <f t="shared" si="1"/>
        <v>0</v>
      </c>
      <c r="H40" s="384" t="str">
        <f t="shared" si="2"/>
        <v>0 5-star Reviews, 0 Patient Portal Logins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idden="1">
      <c r="A41" s="6" t="s">
        <v>13</v>
      </c>
      <c r="B41" s="382" t="s">
        <v>1208</v>
      </c>
      <c r="C41" s="382" t="s">
        <v>1209</v>
      </c>
      <c r="D41" s="382" t="s">
        <v>1210</v>
      </c>
      <c r="E41" s="34">
        <v>0.0</v>
      </c>
      <c r="F41" s="386">
        <v>0.0</v>
      </c>
      <c r="G41" s="12">
        <f t="shared" si="1"/>
        <v>0</v>
      </c>
      <c r="H41" s="384" t="str">
        <f t="shared" si="2"/>
        <v>0 5-star Reviews, 0 Patient Portal Logins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idden="1">
      <c r="A42" s="6" t="s">
        <v>13</v>
      </c>
      <c r="B42" s="385" t="s">
        <v>1211</v>
      </c>
      <c r="C42" s="385" t="s">
        <v>1212</v>
      </c>
      <c r="D42" s="385" t="s">
        <v>1213</v>
      </c>
      <c r="E42" s="34">
        <v>0.0</v>
      </c>
      <c r="F42" s="386">
        <v>0.0</v>
      </c>
      <c r="G42" s="12">
        <f t="shared" si="1"/>
        <v>0</v>
      </c>
      <c r="H42" s="384" t="str">
        <f t="shared" si="2"/>
        <v>0 5-star Reviews, 0 Patient Portal Logins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idden="1">
      <c r="A43" s="6" t="s">
        <v>13</v>
      </c>
      <c r="B43" s="385" t="s">
        <v>14</v>
      </c>
      <c r="C43" s="385" t="s">
        <v>233</v>
      </c>
      <c r="D43" s="385" t="s">
        <v>16</v>
      </c>
      <c r="E43" s="34">
        <v>0.0</v>
      </c>
      <c r="F43" s="386">
        <v>0.0</v>
      </c>
      <c r="G43" s="12">
        <f t="shared" si="1"/>
        <v>0</v>
      </c>
      <c r="H43" s="384" t="str">
        <f t="shared" si="2"/>
        <v>0 5-star Reviews, 0 Patient Portal Logins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idden="1">
      <c r="A44" s="6" t="s">
        <v>13</v>
      </c>
      <c r="B44" s="385" t="s">
        <v>1214</v>
      </c>
      <c r="C44" s="385" t="s">
        <v>1215</v>
      </c>
      <c r="D44" s="385" t="s">
        <v>1216</v>
      </c>
      <c r="E44" s="34">
        <v>0.0</v>
      </c>
      <c r="F44" s="386">
        <v>0.0</v>
      </c>
      <c r="G44" s="12">
        <f t="shared" si="1"/>
        <v>0</v>
      </c>
      <c r="H44" s="384" t="str">
        <f t="shared" si="2"/>
        <v>0 5-star Reviews, 0 Patient Portal Logins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idden="1">
      <c r="A45" s="6" t="s">
        <v>203</v>
      </c>
      <c r="B45" s="382" t="s">
        <v>583</v>
      </c>
      <c r="C45" s="382" t="s">
        <v>584</v>
      </c>
      <c r="D45" s="382" t="s">
        <v>585</v>
      </c>
      <c r="E45" s="387"/>
      <c r="F45" s="388"/>
      <c r="G45" s="12">
        <f t="shared" si="1"/>
        <v>0</v>
      </c>
      <c r="H45" s="384" t="str">
        <f t="shared" si="2"/>
        <v> 5-star Reviews,  Patient Portal Logins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idden="1">
      <c r="A46" s="6" t="s">
        <v>203</v>
      </c>
      <c r="B46" s="382" t="s">
        <v>1188</v>
      </c>
      <c r="C46" s="382" t="s">
        <v>1189</v>
      </c>
      <c r="D46" s="382" t="s">
        <v>1190</v>
      </c>
      <c r="E46" s="389"/>
      <c r="F46" s="388"/>
      <c r="G46" s="12">
        <f t="shared" si="1"/>
        <v>0</v>
      </c>
      <c r="H46" s="384" t="str">
        <f t="shared" si="2"/>
        <v> 5-star Reviews,  Patient Portal Logins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idden="1">
      <c r="A47" s="6" t="s">
        <v>203</v>
      </c>
      <c r="B47" s="382" t="s">
        <v>1191</v>
      </c>
      <c r="C47" s="382" t="s">
        <v>1192</v>
      </c>
      <c r="D47" s="382" t="s">
        <v>1193</v>
      </c>
      <c r="E47" s="389"/>
      <c r="F47" s="388"/>
      <c r="G47" s="12">
        <f t="shared" si="1"/>
        <v>0</v>
      </c>
      <c r="H47" s="384" t="str">
        <f t="shared" si="2"/>
        <v> 5-star Reviews,  Patient Portal Logins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idden="1">
      <c r="A48" s="6" t="s">
        <v>203</v>
      </c>
      <c r="B48" s="382" t="s">
        <v>1194</v>
      </c>
      <c r="C48" s="382" t="s">
        <v>1195</v>
      </c>
      <c r="D48" s="382" t="s">
        <v>1196</v>
      </c>
      <c r="E48" s="389"/>
      <c r="F48" s="388"/>
      <c r="G48" s="12">
        <f t="shared" si="1"/>
        <v>0</v>
      </c>
      <c r="H48" s="384" t="str">
        <f t="shared" si="2"/>
        <v> 5-star Reviews,  Patient Portal Logins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idden="1">
      <c r="A49" s="6" t="s">
        <v>203</v>
      </c>
      <c r="B49" s="382" t="s">
        <v>1197</v>
      </c>
      <c r="C49" s="382" t="s">
        <v>1198</v>
      </c>
      <c r="D49" s="382" t="s">
        <v>1199</v>
      </c>
      <c r="E49" s="389"/>
      <c r="F49" s="388"/>
      <c r="G49" s="12">
        <f t="shared" si="1"/>
        <v>0</v>
      </c>
      <c r="H49" s="384" t="str">
        <f t="shared" si="2"/>
        <v> 5-star Reviews,  Patient Portal Logins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idden="1">
      <c r="A50" s="6" t="s">
        <v>203</v>
      </c>
      <c r="B50" s="382" t="s">
        <v>571</v>
      </c>
      <c r="C50" s="382" t="s">
        <v>1200</v>
      </c>
      <c r="D50" s="382" t="s">
        <v>573</v>
      </c>
      <c r="E50" s="390"/>
      <c r="F50" s="388"/>
      <c r="G50" s="12">
        <f t="shared" si="1"/>
        <v>0</v>
      </c>
      <c r="H50" s="384" t="str">
        <f t="shared" si="2"/>
        <v> 5-star Reviews,  Patient Portal Logins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idden="1">
      <c r="A51" s="6" t="s">
        <v>203</v>
      </c>
      <c r="B51" s="382" t="s">
        <v>395</v>
      </c>
      <c r="C51" s="382" t="s">
        <v>397</v>
      </c>
      <c r="D51" s="382" t="s">
        <v>396</v>
      </c>
      <c r="E51" s="390"/>
      <c r="F51" s="388"/>
      <c r="G51" s="12">
        <f t="shared" si="1"/>
        <v>0</v>
      </c>
      <c r="H51" s="384" t="str">
        <f t="shared" si="2"/>
        <v> 5-star Reviews,  Patient Portal Logins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idden="1">
      <c r="A52" s="6" t="s">
        <v>203</v>
      </c>
      <c r="B52" s="382" t="s">
        <v>580</v>
      </c>
      <c r="C52" s="382" t="s">
        <v>1201</v>
      </c>
      <c r="D52" s="382" t="s">
        <v>582</v>
      </c>
      <c r="E52" s="76"/>
      <c r="F52" s="76"/>
      <c r="G52" s="12">
        <f t="shared" si="1"/>
        <v>0</v>
      </c>
      <c r="H52" s="384" t="str">
        <f t="shared" si="2"/>
        <v> 5-star Reviews,  Patient Portal Logins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idden="1">
      <c r="A53" s="6" t="s">
        <v>203</v>
      </c>
      <c r="B53" s="382" t="s">
        <v>1202</v>
      </c>
      <c r="C53" s="382" t="s">
        <v>1203</v>
      </c>
      <c r="D53" s="382" t="s">
        <v>1204</v>
      </c>
      <c r="E53" s="389"/>
      <c r="F53" s="388"/>
      <c r="G53" s="12">
        <f t="shared" si="1"/>
        <v>0</v>
      </c>
      <c r="H53" s="384" t="str">
        <f t="shared" si="2"/>
        <v> 5-star Reviews,  Patient Portal Logins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idden="1">
      <c r="A54" s="6" t="s">
        <v>203</v>
      </c>
      <c r="B54" s="382" t="s">
        <v>1205</v>
      </c>
      <c r="C54" s="382" t="s">
        <v>1206</v>
      </c>
      <c r="D54" s="382" t="s">
        <v>1207</v>
      </c>
      <c r="E54" s="76"/>
      <c r="F54" s="76"/>
      <c r="G54" s="12">
        <f t="shared" si="1"/>
        <v>0</v>
      </c>
      <c r="H54" s="384" t="str">
        <f t="shared" si="2"/>
        <v> 5-star Reviews,  Patient Portal Logins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idden="1">
      <c r="A55" s="6" t="s">
        <v>203</v>
      </c>
      <c r="B55" s="382" t="s">
        <v>1208</v>
      </c>
      <c r="C55" s="382" t="s">
        <v>1209</v>
      </c>
      <c r="D55" s="382" t="s">
        <v>1210</v>
      </c>
      <c r="E55" s="390"/>
      <c r="F55" s="388"/>
      <c r="G55" s="12">
        <f t="shared" si="1"/>
        <v>0</v>
      </c>
      <c r="H55" s="384" t="str">
        <f t="shared" si="2"/>
        <v> 5-star Reviews,  Patient Portal Logins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idden="1">
      <c r="A56" s="6" t="s">
        <v>203</v>
      </c>
      <c r="B56" s="385" t="s">
        <v>1211</v>
      </c>
      <c r="C56" s="385" t="s">
        <v>1212</v>
      </c>
      <c r="D56" s="385" t="s">
        <v>1213</v>
      </c>
      <c r="E56" s="391">
        <v>1.0</v>
      </c>
      <c r="F56" s="38"/>
      <c r="G56" s="12">
        <f t="shared" si="1"/>
        <v>250</v>
      </c>
      <c r="H56" s="384" t="str">
        <f t="shared" si="2"/>
        <v>1 5-star Reviews,  Patient Portal Logins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idden="1">
      <c r="A57" s="6" t="s">
        <v>203</v>
      </c>
      <c r="B57" s="385" t="s">
        <v>14</v>
      </c>
      <c r="C57" s="385" t="s">
        <v>233</v>
      </c>
      <c r="D57" s="385" t="s">
        <v>16</v>
      </c>
      <c r="E57" s="389"/>
      <c r="F57" s="388"/>
      <c r="G57" s="12">
        <f t="shared" si="1"/>
        <v>0</v>
      </c>
      <c r="H57" s="384" t="str">
        <f t="shared" si="2"/>
        <v> 5-star Reviews,  Patient Portal Logins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idden="1">
      <c r="A58" s="6" t="s">
        <v>203</v>
      </c>
      <c r="B58" s="385" t="s">
        <v>1214</v>
      </c>
      <c r="C58" s="385" t="s">
        <v>1215</v>
      </c>
      <c r="D58" s="385" t="s">
        <v>1216</v>
      </c>
      <c r="E58" s="392"/>
      <c r="F58" s="393"/>
      <c r="G58" s="12">
        <f t="shared" si="1"/>
        <v>0</v>
      </c>
      <c r="H58" s="384" t="str">
        <f t="shared" si="2"/>
        <v> 5-star Reviews,  Patient Portal Logins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idden="1">
      <c r="A59" s="54" t="s">
        <v>204</v>
      </c>
      <c r="B59" s="394" t="s">
        <v>583</v>
      </c>
      <c r="C59" s="394" t="s">
        <v>584</v>
      </c>
      <c r="D59" s="394" t="s">
        <v>585</v>
      </c>
      <c r="E59" s="391">
        <v>1.0</v>
      </c>
      <c r="F59" s="388"/>
      <c r="G59" s="12">
        <f t="shared" si="1"/>
        <v>250</v>
      </c>
      <c r="H59" s="384" t="str">
        <f t="shared" si="2"/>
        <v>1 5-star Reviews,  Patient Portal Logins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idden="1">
      <c r="A60" s="6" t="s">
        <v>204</v>
      </c>
      <c r="B60" s="382" t="s">
        <v>1188</v>
      </c>
      <c r="C60" s="382" t="s">
        <v>1189</v>
      </c>
      <c r="D60" s="382" t="s">
        <v>1190</v>
      </c>
      <c r="E60" s="389"/>
      <c r="F60" s="388"/>
      <c r="G60" s="12">
        <f t="shared" si="1"/>
        <v>0</v>
      </c>
      <c r="H60" s="384" t="str">
        <f t="shared" si="2"/>
        <v> 5-star Reviews,  Patient Portal Logins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idden="1">
      <c r="A61" s="6" t="s">
        <v>204</v>
      </c>
      <c r="B61" s="382" t="s">
        <v>1191</v>
      </c>
      <c r="C61" s="382" t="s">
        <v>1192</v>
      </c>
      <c r="D61" s="382" t="s">
        <v>1193</v>
      </c>
      <c r="E61" s="389"/>
      <c r="F61" s="388"/>
      <c r="G61" s="12">
        <f t="shared" si="1"/>
        <v>0</v>
      </c>
      <c r="H61" s="384" t="str">
        <f t="shared" si="2"/>
        <v> 5-star Reviews,  Patient Portal Logins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idden="1">
      <c r="A62" s="6" t="s">
        <v>204</v>
      </c>
      <c r="B62" s="382" t="s">
        <v>1194</v>
      </c>
      <c r="C62" s="382" t="s">
        <v>1195</v>
      </c>
      <c r="D62" s="382" t="s">
        <v>1196</v>
      </c>
      <c r="E62" s="389"/>
      <c r="F62" s="388"/>
      <c r="G62" s="12">
        <f t="shared" si="1"/>
        <v>0</v>
      </c>
      <c r="H62" s="384" t="str">
        <f t="shared" si="2"/>
        <v> 5-star Reviews,  Patient Portal Logins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idden="1">
      <c r="A63" s="6" t="s">
        <v>204</v>
      </c>
      <c r="B63" s="382" t="s">
        <v>1197</v>
      </c>
      <c r="C63" s="382" t="s">
        <v>1198</v>
      </c>
      <c r="D63" s="382" t="s">
        <v>1199</v>
      </c>
      <c r="E63" s="389"/>
      <c r="F63" s="388"/>
      <c r="G63" s="12">
        <f t="shared" si="1"/>
        <v>0</v>
      </c>
      <c r="H63" s="384" t="str">
        <f t="shared" si="2"/>
        <v> 5-star Reviews,  Patient Portal Logins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idden="1">
      <c r="A64" s="6" t="s">
        <v>204</v>
      </c>
      <c r="B64" s="382" t="s">
        <v>571</v>
      </c>
      <c r="C64" s="382" t="s">
        <v>1200</v>
      </c>
      <c r="D64" s="382" t="s">
        <v>573</v>
      </c>
      <c r="E64" s="390"/>
      <c r="F64" s="388"/>
      <c r="G64" s="12">
        <f t="shared" si="1"/>
        <v>0</v>
      </c>
      <c r="H64" s="384" t="str">
        <f t="shared" si="2"/>
        <v> 5-star Reviews,  Patient Portal Logins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 hidden="1">
      <c r="A65" s="6" t="s">
        <v>204</v>
      </c>
      <c r="B65" s="382" t="s">
        <v>395</v>
      </c>
      <c r="C65" s="382" t="s">
        <v>397</v>
      </c>
      <c r="D65" s="382" t="s">
        <v>396</v>
      </c>
      <c r="E65" s="390"/>
      <c r="F65" s="388"/>
      <c r="G65" s="12">
        <f t="shared" si="1"/>
        <v>0</v>
      </c>
      <c r="H65" s="384" t="str">
        <f t="shared" si="2"/>
        <v> 5-star Reviews,  Patient Portal Logins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 hidden="1">
      <c r="A66" s="6" t="s">
        <v>204</v>
      </c>
      <c r="B66" s="382" t="s">
        <v>580</v>
      </c>
      <c r="C66" s="382" t="s">
        <v>1201</v>
      </c>
      <c r="D66" s="382" t="s">
        <v>582</v>
      </c>
      <c r="E66" s="365"/>
      <c r="F66" s="365"/>
      <c r="G66" s="12">
        <f t="shared" si="1"/>
        <v>0</v>
      </c>
      <c r="H66" s="384" t="str">
        <f t="shared" si="2"/>
        <v> 5-star Reviews,  Patient Portal Logins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idden="1">
      <c r="A67" s="6" t="s">
        <v>204</v>
      </c>
      <c r="B67" s="382" t="s">
        <v>1202</v>
      </c>
      <c r="C67" s="382" t="s">
        <v>1203</v>
      </c>
      <c r="D67" s="382" t="s">
        <v>1204</v>
      </c>
      <c r="E67" s="389"/>
      <c r="F67" s="388"/>
      <c r="G67" s="12">
        <f t="shared" si="1"/>
        <v>0</v>
      </c>
      <c r="H67" s="384" t="str">
        <f t="shared" si="2"/>
        <v> 5-star Reviews,  Patient Portal Logins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idden="1">
      <c r="A68" s="6" t="s">
        <v>204</v>
      </c>
      <c r="B68" s="382" t="s">
        <v>1205</v>
      </c>
      <c r="C68" s="382" t="s">
        <v>1206</v>
      </c>
      <c r="D68" s="382" t="s">
        <v>1207</v>
      </c>
      <c r="E68" s="76"/>
      <c r="F68" s="76"/>
      <c r="G68" s="12">
        <f t="shared" si="1"/>
        <v>0</v>
      </c>
      <c r="H68" s="384" t="str">
        <f t="shared" si="2"/>
        <v> 5-star Reviews,  Patient Portal Logins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idden="1">
      <c r="A69" s="6" t="s">
        <v>204</v>
      </c>
      <c r="B69" s="382" t="s">
        <v>1208</v>
      </c>
      <c r="C69" s="382" t="s">
        <v>1209</v>
      </c>
      <c r="D69" s="382" t="s">
        <v>1210</v>
      </c>
      <c r="E69" s="390"/>
      <c r="F69" s="388"/>
      <c r="G69" s="12">
        <f t="shared" si="1"/>
        <v>0</v>
      </c>
      <c r="H69" s="384" t="str">
        <f t="shared" si="2"/>
        <v> 5-star Reviews,  Patient Portal Logins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idden="1">
      <c r="A70" s="6" t="s">
        <v>204</v>
      </c>
      <c r="B70" s="385" t="s">
        <v>1211</v>
      </c>
      <c r="C70" s="385" t="s">
        <v>1212</v>
      </c>
      <c r="D70" s="385" t="s">
        <v>1213</v>
      </c>
      <c r="E70" s="391">
        <v>2.0</v>
      </c>
      <c r="F70" s="315"/>
      <c r="G70" s="12">
        <f t="shared" si="1"/>
        <v>500</v>
      </c>
      <c r="H70" s="384" t="str">
        <f t="shared" si="2"/>
        <v>2 5-star Reviews,  Patient Portal Logins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idden="1">
      <c r="A71" s="6" t="s">
        <v>204</v>
      </c>
      <c r="B71" s="385" t="s">
        <v>14</v>
      </c>
      <c r="C71" s="385" t="s">
        <v>233</v>
      </c>
      <c r="D71" s="385" t="s">
        <v>16</v>
      </c>
      <c r="E71" s="389"/>
      <c r="F71" s="388"/>
      <c r="G71" s="12">
        <f t="shared" si="1"/>
        <v>0</v>
      </c>
      <c r="H71" s="384" t="str">
        <f t="shared" si="2"/>
        <v> 5-star Reviews,  Patient Portal Logins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idden="1">
      <c r="A72" s="6" t="s">
        <v>204</v>
      </c>
      <c r="B72" s="385" t="s">
        <v>1214</v>
      </c>
      <c r="C72" s="385" t="s">
        <v>1215</v>
      </c>
      <c r="D72" s="385" t="s">
        <v>1216</v>
      </c>
      <c r="E72" s="392"/>
      <c r="F72" s="393"/>
      <c r="G72" s="12">
        <f t="shared" si="1"/>
        <v>0</v>
      </c>
      <c r="H72" s="384" t="str">
        <f t="shared" si="2"/>
        <v> 5-star Reviews,  Patient Portal Logins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idden="1">
      <c r="A73" s="6" t="s">
        <v>205</v>
      </c>
      <c r="B73" s="382" t="s">
        <v>1188</v>
      </c>
      <c r="C73" s="382" t="s">
        <v>1189</v>
      </c>
      <c r="D73" s="382" t="s">
        <v>1190</v>
      </c>
      <c r="E73" s="389"/>
      <c r="F73" s="388"/>
      <c r="G73" s="12">
        <f t="shared" si="1"/>
        <v>0</v>
      </c>
      <c r="H73" s="384" t="str">
        <f t="shared" si="2"/>
        <v> 5-star Reviews,  Patient Portal Logins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idden="1">
      <c r="A74" s="6" t="s">
        <v>205</v>
      </c>
      <c r="B74" s="382" t="s">
        <v>1191</v>
      </c>
      <c r="C74" s="382" t="s">
        <v>1192</v>
      </c>
      <c r="D74" s="382" t="s">
        <v>1193</v>
      </c>
      <c r="E74" s="389"/>
      <c r="F74" s="388"/>
      <c r="G74" s="12">
        <f t="shared" si="1"/>
        <v>0</v>
      </c>
      <c r="H74" s="384" t="str">
        <f t="shared" si="2"/>
        <v> 5-star Reviews,  Patient Portal Logins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idden="1">
      <c r="A75" s="6" t="s">
        <v>205</v>
      </c>
      <c r="B75" s="382" t="s">
        <v>1194</v>
      </c>
      <c r="C75" s="382" t="s">
        <v>1195</v>
      </c>
      <c r="D75" s="382" t="s">
        <v>1196</v>
      </c>
      <c r="E75" s="389"/>
      <c r="F75" s="388"/>
      <c r="G75" s="12">
        <f t="shared" si="1"/>
        <v>0</v>
      </c>
      <c r="H75" s="384" t="str">
        <f t="shared" si="2"/>
        <v> 5-star Reviews,  Patient Portal Logins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idden="1">
      <c r="A76" s="6" t="s">
        <v>205</v>
      </c>
      <c r="B76" s="382" t="s">
        <v>1197</v>
      </c>
      <c r="C76" s="382" t="s">
        <v>1198</v>
      </c>
      <c r="D76" s="382" t="s">
        <v>1199</v>
      </c>
      <c r="E76" s="389"/>
      <c r="F76" s="388"/>
      <c r="G76" s="12">
        <f t="shared" si="1"/>
        <v>0</v>
      </c>
      <c r="H76" s="384" t="str">
        <f t="shared" si="2"/>
        <v> 5-star Reviews,  Patient Portal Logins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idden="1">
      <c r="A77" s="6" t="s">
        <v>205</v>
      </c>
      <c r="B77" s="382" t="s">
        <v>571</v>
      </c>
      <c r="C77" s="382" t="s">
        <v>1200</v>
      </c>
      <c r="D77" s="382" t="s">
        <v>573</v>
      </c>
      <c r="E77" s="390"/>
      <c r="F77" s="388"/>
      <c r="G77" s="12">
        <f t="shared" si="1"/>
        <v>0</v>
      </c>
      <c r="H77" s="384" t="str">
        <f t="shared" si="2"/>
        <v> 5-star Reviews,  Patient Portal Logins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idden="1">
      <c r="A78" s="6" t="s">
        <v>205</v>
      </c>
      <c r="B78" s="382" t="s">
        <v>395</v>
      </c>
      <c r="C78" s="382" t="s">
        <v>397</v>
      </c>
      <c r="D78" s="382" t="s">
        <v>396</v>
      </c>
      <c r="E78" s="390"/>
      <c r="F78" s="388"/>
      <c r="G78" s="12">
        <f t="shared" si="1"/>
        <v>0</v>
      </c>
      <c r="H78" s="384" t="str">
        <f t="shared" si="2"/>
        <v> 5-star Reviews,  Patient Portal Logins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idden="1">
      <c r="A79" s="6" t="s">
        <v>205</v>
      </c>
      <c r="B79" s="382" t="s">
        <v>580</v>
      </c>
      <c r="C79" s="382" t="s">
        <v>1201</v>
      </c>
      <c r="D79" s="382" t="s">
        <v>582</v>
      </c>
      <c r="E79" s="391">
        <v>1.0</v>
      </c>
      <c r="F79" s="395">
        <v>0.0</v>
      </c>
      <c r="G79" s="12">
        <f t="shared" si="1"/>
        <v>250</v>
      </c>
      <c r="H79" s="384" t="str">
        <f t="shared" si="2"/>
        <v>1 5-star Reviews, 0 Patient Portal Logins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idden="1">
      <c r="A80" s="6" t="s">
        <v>205</v>
      </c>
      <c r="B80" s="382" t="s">
        <v>1202</v>
      </c>
      <c r="C80" s="382" t="s">
        <v>1203</v>
      </c>
      <c r="D80" s="382" t="s">
        <v>1204</v>
      </c>
      <c r="E80" s="390"/>
      <c r="F80" s="388"/>
      <c r="G80" s="12">
        <f t="shared" si="1"/>
        <v>0</v>
      </c>
      <c r="H80" s="384" t="str">
        <f t="shared" si="2"/>
        <v> 5-star Reviews,  Patient Portal Logins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idden="1">
      <c r="A81" s="6" t="s">
        <v>205</v>
      </c>
      <c r="B81" s="382" t="s">
        <v>1205</v>
      </c>
      <c r="C81" s="382" t="s">
        <v>1206</v>
      </c>
      <c r="D81" s="382" t="s">
        <v>1207</v>
      </c>
      <c r="E81" s="35"/>
      <c r="F81" s="38"/>
      <c r="G81" s="12">
        <f t="shared" si="1"/>
        <v>0</v>
      </c>
      <c r="H81" s="384" t="str">
        <f t="shared" si="2"/>
        <v> 5-star Reviews,  Patient Portal Logins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idden="1">
      <c r="A82" s="6" t="s">
        <v>205</v>
      </c>
      <c r="B82" s="382" t="s">
        <v>1208</v>
      </c>
      <c r="C82" s="382" t="s">
        <v>1209</v>
      </c>
      <c r="D82" s="382" t="s">
        <v>1210</v>
      </c>
      <c r="E82" s="390"/>
      <c r="F82" s="388"/>
      <c r="G82" s="12">
        <f t="shared" si="1"/>
        <v>0</v>
      </c>
      <c r="H82" s="384" t="str">
        <f t="shared" si="2"/>
        <v> 5-star Reviews,  Patient Portal Logins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idden="1">
      <c r="A83" s="6" t="s">
        <v>205</v>
      </c>
      <c r="B83" s="385" t="s">
        <v>1211</v>
      </c>
      <c r="C83" s="385" t="s">
        <v>1212</v>
      </c>
      <c r="D83" s="385" t="s">
        <v>1213</v>
      </c>
      <c r="E83" s="391">
        <v>3.0</v>
      </c>
      <c r="F83" s="395">
        <v>0.0</v>
      </c>
      <c r="G83" s="12">
        <f t="shared" si="1"/>
        <v>750</v>
      </c>
      <c r="H83" s="384" t="str">
        <f t="shared" si="2"/>
        <v>3 5-star Reviews, 0 Patient Portal Logins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idden="1">
      <c r="A84" s="6" t="s">
        <v>205</v>
      </c>
      <c r="B84" s="385" t="s">
        <v>14</v>
      </c>
      <c r="C84" s="385" t="s">
        <v>233</v>
      </c>
      <c r="D84" s="385" t="s">
        <v>16</v>
      </c>
      <c r="E84" s="389"/>
      <c r="F84" s="388"/>
      <c r="G84" s="12">
        <f t="shared" si="1"/>
        <v>0</v>
      </c>
      <c r="H84" s="384" t="str">
        <f t="shared" si="2"/>
        <v> 5-star Reviews,  Patient Portal Logins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idden="1">
      <c r="A85" s="6" t="s">
        <v>205</v>
      </c>
      <c r="B85" s="385" t="s">
        <v>1214</v>
      </c>
      <c r="C85" s="385" t="s">
        <v>1215</v>
      </c>
      <c r="D85" s="385" t="s">
        <v>1216</v>
      </c>
      <c r="E85" s="392"/>
      <c r="F85" s="393"/>
      <c r="G85" s="12">
        <f t="shared" si="1"/>
        <v>0</v>
      </c>
      <c r="H85" s="384" t="str">
        <f t="shared" si="2"/>
        <v> 5-star Reviews,  Patient Portal Logins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idden="1">
      <c r="A86" s="6" t="s">
        <v>243</v>
      </c>
      <c r="B86" s="382" t="s">
        <v>1188</v>
      </c>
      <c r="C86" s="382" t="s">
        <v>1189</v>
      </c>
      <c r="D86" s="382" t="s">
        <v>1190</v>
      </c>
      <c r="E86" s="389"/>
      <c r="F86" s="388"/>
      <c r="G86" s="12">
        <f t="shared" si="1"/>
        <v>0</v>
      </c>
      <c r="H86" s="384" t="str">
        <f t="shared" si="2"/>
        <v> 5-star Reviews,  Patient Portal Logins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idden="1">
      <c r="A87" s="6" t="s">
        <v>243</v>
      </c>
      <c r="B87" s="382" t="s">
        <v>1191</v>
      </c>
      <c r="C87" s="382" t="s">
        <v>1192</v>
      </c>
      <c r="D87" s="382" t="s">
        <v>1193</v>
      </c>
      <c r="E87" s="389"/>
      <c r="F87" s="388"/>
      <c r="G87" s="12">
        <f t="shared" si="1"/>
        <v>0</v>
      </c>
      <c r="H87" s="384" t="str">
        <f t="shared" si="2"/>
        <v> 5-star Reviews,  Patient Portal Logins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idden="1">
      <c r="A88" s="6" t="s">
        <v>243</v>
      </c>
      <c r="B88" s="382" t="s">
        <v>1194</v>
      </c>
      <c r="C88" s="382" t="s">
        <v>1195</v>
      </c>
      <c r="D88" s="382" t="s">
        <v>1196</v>
      </c>
      <c r="E88" s="389"/>
      <c r="F88" s="388"/>
      <c r="G88" s="12">
        <f t="shared" si="1"/>
        <v>0</v>
      </c>
      <c r="H88" s="384" t="str">
        <f t="shared" si="2"/>
        <v> 5-star Reviews,  Patient Portal Logins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idden="1">
      <c r="A89" s="6" t="s">
        <v>243</v>
      </c>
      <c r="B89" s="382" t="s">
        <v>1197</v>
      </c>
      <c r="C89" s="382" t="s">
        <v>1198</v>
      </c>
      <c r="D89" s="382" t="s">
        <v>1199</v>
      </c>
      <c r="E89" s="389"/>
      <c r="F89" s="388"/>
      <c r="G89" s="12">
        <f t="shared" si="1"/>
        <v>0</v>
      </c>
      <c r="H89" s="384" t="str">
        <f t="shared" si="2"/>
        <v> 5-star Reviews,  Patient Portal Logins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idden="1">
      <c r="A90" s="6" t="s">
        <v>243</v>
      </c>
      <c r="B90" s="382" t="s">
        <v>571</v>
      </c>
      <c r="C90" s="382" t="s">
        <v>1200</v>
      </c>
      <c r="D90" s="382" t="s">
        <v>573</v>
      </c>
      <c r="E90" s="390"/>
      <c r="F90" s="388"/>
      <c r="G90" s="12">
        <f t="shared" si="1"/>
        <v>0</v>
      </c>
      <c r="H90" s="384" t="str">
        <f t="shared" si="2"/>
        <v> 5-star Reviews,  Patient Portal Logins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idden="1">
      <c r="A91" s="6" t="s">
        <v>243</v>
      </c>
      <c r="B91" s="382" t="s">
        <v>395</v>
      </c>
      <c r="C91" s="382" t="s">
        <v>397</v>
      </c>
      <c r="D91" s="382" t="s">
        <v>396</v>
      </c>
      <c r="E91" s="390"/>
      <c r="F91" s="388"/>
      <c r="G91" s="12">
        <f t="shared" si="1"/>
        <v>0</v>
      </c>
      <c r="H91" s="384" t="str">
        <f t="shared" si="2"/>
        <v> 5-star Reviews,  Patient Portal Logins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idden="1">
      <c r="A92" s="6" t="s">
        <v>243</v>
      </c>
      <c r="B92" s="382" t="s">
        <v>580</v>
      </c>
      <c r="C92" s="382" t="s">
        <v>1201</v>
      </c>
      <c r="D92" s="382" t="s">
        <v>582</v>
      </c>
      <c r="E92" s="390"/>
      <c r="F92" s="388"/>
      <c r="G92" s="12">
        <f t="shared" si="1"/>
        <v>0</v>
      </c>
      <c r="H92" s="384" t="str">
        <f t="shared" si="2"/>
        <v> 5-star Reviews,  Patient Portal Logins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idden="1">
      <c r="A93" s="6" t="s">
        <v>243</v>
      </c>
      <c r="B93" s="382" t="s">
        <v>1202</v>
      </c>
      <c r="C93" s="382" t="s">
        <v>1203</v>
      </c>
      <c r="D93" s="382" t="s">
        <v>1204</v>
      </c>
      <c r="E93" s="390"/>
      <c r="F93" s="388"/>
      <c r="G93" s="12">
        <f t="shared" si="1"/>
        <v>0</v>
      </c>
      <c r="H93" s="384" t="str">
        <f t="shared" si="2"/>
        <v> 5-star Reviews,  Patient Portal Logins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idden="1">
      <c r="A94" s="6" t="s">
        <v>243</v>
      </c>
      <c r="B94" s="382" t="s">
        <v>1205</v>
      </c>
      <c r="C94" s="382" t="s">
        <v>1206</v>
      </c>
      <c r="D94" s="382" t="s">
        <v>1207</v>
      </c>
      <c r="E94" s="387"/>
      <c r="F94" s="315"/>
      <c r="G94" s="12">
        <f t="shared" si="1"/>
        <v>0</v>
      </c>
      <c r="H94" s="384" t="str">
        <f t="shared" si="2"/>
        <v> 5-star Reviews,  Patient Portal Logins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idden="1">
      <c r="A95" s="6" t="s">
        <v>243</v>
      </c>
      <c r="B95" s="382" t="s">
        <v>1208</v>
      </c>
      <c r="C95" s="382" t="s">
        <v>1209</v>
      </c>
      <c r="D95" s="382" t="s">
        <v>1210</v>
      </c>
      <c r="E95" s="390"/>
      <c r="F95" s="388"/>
      <c r="G95" s="12">
        <f t="shared" si="1"/>
        <v>0</v>
      </c>
      <c r="H95" s="384" t="str">
        <f t="shared" si="2"/>
        <v> 5-star Reviews,  Patient Portal Logins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idden="1">
      <c r="A96" s="6" t="s">
        <v>243</v>
      </c>
      <c r="B96" s="385" t="s">
        <v>1211</v>
      </c>
      <c r="C96" s="385" t="s">
        <v>1212</v>
      </c>
      <c r="D96" s="385" t="s">
        <v>1213</v>
      </c>
      <c r="E96" s="391">
        <v>3.0</v>
      </c>
      <c r="F96" s="307">
        <v>0.0</v>
      </c>
      <c r="G96" s="12">
        <f t="shared" si="1"/>
        <v>750</v>
      </c>
      <c r="H96" s="384" t="str">
        <f t="shared" si="2"/>
        <v>3 5-star Reviews, 0 Patient Portal Logins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idden="1">
      <c r="A97" s="6" t="s">
        <v>243</v>
      </c>
      <c r="B97" s="385" t="s">
        <v>14</v>
      </c>
      <c r="C97" s="385" t="s">
        <v>233</v>
      </c>
      <c r="D97" s="385" t="s">
        <v>16</v>
      </c>
      <c r="E97" s="389"/>
      <c r="F97" s="388"/>
      <c r="G97" s="12">
        <f t="shared" si="1"/>
        <v>0</v>
      </c>
      <c r="H97" s="384" t="str">
        <f t="shared" si="2"/>
        <v> 5-star Reviews,  Patient Portal Logins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idden="1">
      <c r="A98" s="6" t="s">
        <v>243</v>
      </c>
      <c r="B98" s="385" t="s">
        <v>1214</v>
      </c>
      <c r="C98" s="385" t="s">
        <v>1215</v>
      </c>
      <c r="D98" s="385" t="s">
        <v>1216</v>
      </c>
      <c r="E98" s="392"/>
      <c r="F98" s="393"/>
      <c r="G98" s="12">
        <f t="shared" si="1"/>
        <v>0</v>
      </c>
      <c r="H98" s="384" t="str">
        <f t="shared" si="2"/>
        <v> 5-star Reviews,  Patient Portal Logins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idden="1">
      <c r="A99" s="6" t="s">
        <v>244</v>
      </c>
      <c r="B99" s="382" t="s">
        <v>1188</v>
      </c>
      <c r="C99" s="382" t="s">
        <v>1189</v>
      </c>
      <c r="D99" s="382" t="s">
        <v>1190</v>
      </c>
      <c r="E99" s="389"/>
      <c r="F99" s="388"/>
      <c r="G99" s="12">
        <f t="shared" si="1"/>
        <v>0</v>
      </c>
      <c r="H99" s="384" t="str">
        <f t="shared" si="2"/>
        <v> 5-star Reviews,  Patient Portal Logins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idden="1">
      <c r="A100" s="6" t="s">
        <v>244</v>
      </c>
      <c r="B100" s="382" t="s">
        <v>1191</v>
      </c>
      <c r="C100" s="382" t="s">
        <v>1192</v>
      </c>
      <c r="D100" s="382" t="s">
        <v>1193</v>
      </c>
      <c r="E100" s="389"/>
      <c r="F100" s="388"/>
      <c r="G100" s="12">
        <f t="shared" si="1"/>
        <v>0</v>
      </c>
      <c r="H100" s="384" t="str">
        <f t="shared" si="2"/>
        <v> 5-star Reviews,  Patient Portal Logins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idden="1">
      <c r="A101" s="6" t="s">
        <v>244</v>
      </c>
      <c r="B101" s="382" t="s">
        <v>1194</v>
      </c>
      <c r="C101" s="382" t="s">
        <v>1195</v>
      </c>
      <c r="D101" s="382" t="s">
        <v>1196</v>
      </c>
      <c r="E101" s="389"/>
      <c r="F101" s="388"/>
      <c r="G101" s="12">
        <f t="shared" si="1"/>
        <v>0</v>
      </c>
      <c r="H101" s="384" t="str">
        <f t="shared" si="2"/>
        <v> 5-star Reviews,  Patient Portal Logins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idden="1">
      <c r="A102" s="6" t="s">
        <v>244</v>
      </c>
      <c r="B102" s="382" t="s">
        <v>1197</v>
      </c>
      <c r="C102" s="382" t="s">
        <v>1198</v>
      </c>
      <c r="D102" s="382" t="s">
        <v>1199</v>
      </c>
      <c r="E102" s="389"/>
      <c r="F102" s="388"/>
      <c r="G102" s="12">
        <f t="shared" si="1"/>
        <v>0</v>
      </c>
      <c r="H102" s="384" t="str">
        <f t="shared" si="2"/>
        <v> 5-star Reviews,  Patient Portal Logins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idden="1">
      <c r="A103" s="6" t="s">
        <v>244</v>
      </c>
      <c r="B103" s="382" t="s">
        <v>571</v>
      </c>
      <c r="C103" s="382" t="s">
        <v>1200</v>
      </c>
      <c r="D103" s="382" t="s">
        <v>573</v>
      </c>
      <c r="E103" s="390"/>
      <c r="F103" s="388"/>
      <c r="G103" s="12">
        <f t="shared" si="1"/>
        <v>0</v>
      </c>
      <c r="H103" s="384" t="str">
        <f t="shared" si="2"/>
        <v> 5-star Reviews,  Patient Portal Logins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idden="1">
      <c r="A104" s="6" t="s">
        <v>244</v>
      </c>
      <c r="B104" s="382" t="s">
        <v>395</v>
      </c>
      <c r="C104" s="382" t="s">
        <v>397</v>
      </c>
      <c r="D104" s="382" t="s">
        <v>396</v>
      </c>
      <c r="E104" s="390"/>
      <c r="F104" s="388"/>
      <c r="G104" s="12">
        <f t="shared" si="1"/>
        <v>0</v>
      </c>
      <c r="H104" s="384" t="str">
        <f t="shared" si="2"/>
        <v> 5-star Reviews,  Patient Portal Logins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idden="1">
      <c r="A105" s="6" t="s">
        <v>244</v>
      </c>
      <c r="B105" s="382" t="s">
        <v>580</v>
      </c>
      <c r="C105" s="382" t="s">
        <v>1201</v>
      </c>
      <c r="D105" s="382" t="s">
        <v>582</v>
      </c>
      <c r="E105" s="390"/>
      <c r="F105" s="388"/>
      <c r="G105" s="12">
        <f t="shared" si="1"/>
        <v>0</v>
      </c>
      <c r="H105" s="384" t="str">
        <f t="shared" si="2"/>
        <v> 5-star Reviews,  Patient Portal Logins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idden="1">
      <c r="A106" s="6" t="s">
        <v>244</v>
      </c>
      <c r="B106" s="382" t="s">
        <v>1202</v>
      </c>
      <c r="C106" s="382" t="s">
        <v>1203</v>
      </c>
      <c r="D106" s="382" t="s">
        <v>1204</v>
      </c>
      <c r="E106" s="390"/>
      <c r="F106" s="388"/>
      <c r="G106" s="12">
        <f t="shared" si="1"/>
        <v>0</v>
      </c>
      <c r="H106" s="384" t="str">
        <f t="shared" si="2"/>
        <v> 5-star Reviews,  Patient Portal Logins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idden="1">
      <c r="A107" s="6" t="s">
        <v>244</v>
      </c>
      <c r="B107" s="382" t="s">
        <v>1205</v>
      </c>
      <c r="C107" s="382" t="s">
        <v>1206</v>
      </c>
      <c r="D107" s="382" t="s">
        <v>1207</v>
      </c>
      <c r="E107" s="391">
        <v>0.0</v>
      </c>
      <c r="F107" s="395">
        <v>0.0</v>
      </c>
      <c r="G107" s="12">
        <f t="shared" si="1"/>
        <v>0</v>
      </c>
      <c r="H107" s="384" t="str">
        <f t="shared" si="2"/>
        <v>0 5-star Reviews, 0 Patient Portal Logins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idden="1">
      <c r="A108" s="6" t="s">
        <v>244</v>
      </c>
      <c r="B108" s="382" t="s">
        <v>1208</v>
      </c>
      <c r="C108" s="382" t="s">
        <v>1209</v>
      </c>
      <c r="D108" s="382" t="s">
        <v>1210</v>
      </c>
      <c r="E108" s="390"/>
      <c r="F108" s="388"/>
      <c r="G108" s="12">
        <f t="shared" si="1"/>
        <v>0</v>
      </c>
      <c r="H108" s="384" t="str">
        <f t="shared" si="2"/>
        <v> 5-star Reviews,  Patient Portal Logins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idden="1">
      <c r="A109" s="6" t="s">
        <v>244</v>
      </c>
      <c r="B109" s="385" t="s">
        <v>1211</v>
      </c>
      <c r="C109" s="385" t="s">
        <v>1212</v>
      </c>
      <c r="D109" s="385" t="s">
        <v>1213</v>
      </c>
      <c r="E109" s="391">
        <v>1.0</v>
      </c>
      <c r="F109" s="395">
        <v>0.0</v>
      </c>
      <c r="G109" s="12">
        <f t="shared" si="1"/>
        <v>250</v>
      </c>
      <c r="H109" s="384" t="str">
        <f t="shared" si="2"/>
        <v>1 5-star Reviews, 0 Patient Portal Logins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idden="1">
      <c r="A110" s="6" t="s">
        <v>244</v>
      </c>
      <c r="B110" s="385" t="s">
        <v>14</v>
      </c>
      <c r="C110" s="385" t="s">
        <v>233</v>
      </c>
      <c r="D110" s="385" t="s">
        <v>16</v>
      </c>
      <c r="E110" s="389"/>
      <c r="F110" s="388"/>
      <c r="G110" s="12">
        <f t="shared" si="1"/>
        <v>0</v>
      </c>
      <c r="H110" s="384" t="str">
        <f t="shared" si="2"/>
        <v> 5-star Reviews,  Patient Portal Logins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idden="1">
      <c r="A111" s="6" t="s">
        <v>244</v>
      </c>
      <c r="B111" s="385" t="s">
        <v>1214</v>
      </c>
      <c r="C111" s="385" t="s">
        <v>1215</v>
      </c>
      <c r="D111" s="385" t="s">
        <v>1216</v>
      </c>
      <c r="E111" s="392"/>
      <c r="F111" s="393"/>
      <c r="G111" s="12">
        <f t="shared" si="1"/>
        <v>0</v>
      </c>
      <c r="H111" s="384" t="str">
        <f t="shared" si="2"/>
        <v> 5-star Reviews,  Patient Portal Logins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idden="1">
      <c r="A112" s="6" t="s">
        <v>248</v>
      </c>
      <c r="B112" s="382" t="s">
        <v>1188</v>
      </c>
      <c r="C112" s="382" t="s">
        <v>1189</v>
      </c>
      <c r="D112" s="382" t="s">
        <v>1190</v>
      </c>
      <c r="E112" s="389"/>
      <c r="F112" s="388"/>
      <c r="G112" s="12">
        <f t="shared" si="1"/>
        <v>0</v>
      </c>
      <c r="H112" s="384" t="str">
        <f t="shared" si="2"/>
        <v> 5-star Reviews,  Patient Portal Logins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 hidden="1">
      <c r="A113" s="6" t="s">
        <v>248</v>
      </c>
      <c r="B113" s="382" t="s">
        <v>1191</v>
      </c>
      <c r="C113" s="382" t="s">
        <v>1192</v>
      </c>
      <c r="D113" s="382" t="s">
        <v>1193</v>
      </c>
      <c r="E113" s="389"/>
      <c r="F113" s="388"/>
      <c r="G113" s="12">
        <f t="shared" si="1"/>
        <v>0</v>
      </c>
      <c r="H113" s="384" t="str">
        <f t="shared" si="2"/>
        <v> 5-star Reviews,  Patient Portal Logins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 hidden="1">
      <c r="A114" s="6" t="s">
        <v>248</v>
      </c>
      <c r="B114" s="382" t="s">
        <v>1194</v>
      </c>
      <c r="C114" s="382" t="s">
        <v>1195</v>
      </c>
      <c r="D114" s="382" t="s">
        <v>1196</v>
      </c>
      <c r="E114" s="389"/>
      <c r="F114" s="388"/>
      <c r="G114" s="12">
        <f t="shared" si="1"/>
        <v>0</v>
      </c>
      <c r="H114" s="384" t="str">
        <f t="shared" si="2"/>
        <v> 5-star Reviews,  Patient Portal Logins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 hidden="1">
      <c r="A115" s="6" t="s">
        <v>248</v>
      </c>
      <c r="B115" s="382" t="s">
        <v>1197</v>
      </c>
      <c r="C115" s="382" t="s">
        <v>1198</v>
      </c>
      <c r="D115" s="382" t="s">
        <v>1199</v>
      </c>
      <c r="E115" s="389"/>
      <c r="F115" s="388"/>
      <c r="G115" s="12">
        <f t="shared" si="1"/>
        <v>0</v>
      </c>
      <c r="H115" s="384" t="str">
        <f t="shared" si="2"/>
        <v> 5-star Reviews,  Patient Portal Logins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 hidden="1">
      <c r="A116" s="6" t="s">
        <v>248</v>
      </c>
      <c r="B116" s="382" t="s">
        <v>571</v>
      </c>
      <c r="C116" s="382" t="s">
        <v>1200</v>
      </c>
      <c r="D116" s="382" t="s">
        <v>573</v>
      </c>
      <c r="E116" s="396"/>
      <c r="F116" s="388"/>
      <c r="G116" s="12">
        <f t="shared" si="1"/>
        <v>0</v>
      </c>
      <c r="H116" s="384" t="str">
        <f t="shared" si="2"/>
        <v> 5-star Reviews,  Patient Portal Logins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idden="1">
      <c r="A117" s="6" t="s">
        <v>248</v>
      </c>
      <c r="B117" s="382" t="s">
        <v>395</v>
      </c>
      <c r="C117" s="382" t="s">
        <v>397</v>
      </c>
      <c r="D117" s="382" t="s">
        <v>396</v>
      </c>
      <c r="E117" s="390"/>
      <c r="F117" s="388"/>
      <c r="G117" s="12">
        <f t="shared" si="1"/>
        <v>0</v>
      </c>
      <c r="H117" s="384" t="str">
        <f t="shared" si="2"/>
        <v> 5-star Reviews,  Patient Portal Logins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 hidden="1">
      <c r="A118" s="6" t="s">
        <v>248</v>
      </c>
      <c r="B118" s="382" t="s">
        <v>580</v>
      </c>
      <c r="C118" s="382" t="s">
        <v>1201</v>
      </c>
      <c r="D118" s="382" t="s">
        <v>582</v>
      </c>
      <c r="E118" s="390"/>
      <c r="F118" s="388"/>
      <c r="G118" s="12">
        <f t="shared" si="1"/>
        <v>0</v>
      </c>
      <c r="H118" s="384" t="str">
        <f t="shared" si="2"/>
        <v> 5-star Reviews,  Patient Portal Logins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hidden="1">
      <c r="A119" s="6" t="s">
        <v>248</v>
      </c>
      <c r="B119" s="382" t="s">
        <v>1202</v>
      </c>
      <c r="C119" s="382" t="s">
        <v>1203</v>
      </c>
      <c r="D119" s="382" t="s">
        <v>1204</v>
      </c>
      <c r="E119" s="390"/>
      <c r="F119" s="388"/>
      <c r="G119" s="12">
        <f t="shared" si="1"/>
        <v>0</v>
      </c>
      <c r="H119" s="384" t="str">
        <f t="shared" si="2"/>
        <v> 5-star Reviews,  Patient Portal Logins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 hidden="1">
      <c r="A120" s="6" t="s">
        <v>248</v>
      </c>
      <c r="B120" s="382" t="s">
        <v>1205</v>
      </c>
      <c r="C120" s="382" t="s">
        <v>1206</v>
      </c>
      <c r="D120" s="382" t="s">
        <v>1207</v>
      </c>
      <c r="E120" s="390"/>
      <c r="F120" s="388"/>
      <c r="G120" s="12">
        <f t="shared" si="1"/>
        <v>0</v>
      </c>
      <c r="H120" s="384" t="str">
        <f t="shared" si="2"/>
        <v> 5-star Reviews,  Patient Portal Logins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 hidden="1">
      <c r="A121" s="6" t="s">
        <v>248</v>
      </c>
      <c r="B121" s="382" t="s">
        <v>1208</v>
      </c>
      <c r="C121" s="382" t="s">
        <v>1209</v>
      </c>
      <c r="D121" s="382" t="s">
        <v>1210</v>
      </c>
      <c r="E121" s="390"/>
      <c r="F121" s="388"/>
      <c r="G121" s="12">
        <f t="shared" si="1"/>
        <v>0</v>
      </c>
      <c r="H121" s="384" t="str">
        <f t="shared" si="2"/>
        <v> 5-star Reviews,  Patient Portal Logins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 hidden="1">
      <c r="A122" s="6" t="s">
        <v>248</v>
      </c>
      <c r="B122" s="385" t="s">
        <v>1211</v>
      </c>
      <c r="C122" s="385" t="s">
        <v>1212</v>
      </c>
      <c r="D122" s="385" t="s">
        <v>1213</v>
      </c>
      <c r="E122" s="391">
        <v>4.0</v>
      </c>
      <c r="F122" s="388"/>
      <c r="G122" s="12">
        <f t="shared" si="1"/>
        <v>1000</v>
      </c>
      <c r="H122" s="384" t="str">
        <f t="shared" si="2"/>
        <v>4 5-star Reviews,  Patient Portal Logins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 hidden="1">
      <c r="A123" s="6" t="s">
        <v>248</v>
      </c>
      <c r="B123" s="385" t="s">
        <v>14</v>
      </c>
      <c r="C123" s="385" t="s">
        <v>233</v>
      </c>
      <c r="D123" s="385" t="s">
        <v>16</v>
      </c>
      <c r="E123" s="389"/>
      <c r="F123" s="388"/>
      <c r="G123" s="12">
        <f t="shared" si="1"/>
        <v>0</v>
      </c>
      <c r="H123" s="384" t="str">
        <f t="shared" si="2"/>
        <v> 5-star Reviews,  Patient Portal Logins</v>
      </c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idden="1">
      <c r="A124" s="6" t="s">
        <v>248</v>
      </c>
      <c r="B124" s="385" t="s">
        <v>1214</v>
      </c>
      <c r="C124" s="385" t="s">
        <v>1215</v>
      </c>
      <c r="D124" s="385" t="s">
        <v>1216</v>
      </c>
      <c r="E124" s="392"/>
      <c r="F124" s="393"/>
      <c r="G124" s="12">
        <f t="shared" si="1"/>
        <v>0</v>
      </c>
      <c r="H124" s="384" t="str">
        <f t="shared" si="2"/>
        <v> 5-star Reviews,  Patient Portal Logins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idden="1">
      <c r="A125" s="6" t="s">
        <v>249</v>
      </c>
      <c r="B125" s="382" t="s">
        <v>1188</v>
      </c>
      <c r="C125" s="382" t="s">
        <v>1189</v>
      </c>
      <c r="D125" s="382" t="s">
        <v>1190</v>
      </c>
      <c r="E125" s="389"/>
      <c r="F125" s="388"/>
      <c r="G125" s="12">
        <f t="shared" si="1"/>
        <v>0</v>
      </c>
      <c r="H125" s="384" t="str">
        <f t="shared" si="2"/>
        <v> 5-star Reviews,  Patient Portal Logins</v>
      </c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idden="1">
      <c r="A126" s="6" t="s">
        <v>249</v>
      </c>
      <c r="B126" s="382" t="s">
        <v>1191</v>
      </c>
      <c r="C126" s="382" t="s">
        <v>1192</v>
      </c>
      <c r="D126" s="382" t="s">
        <v>1193</v>
      </c>
      <c r="E126" s="389"/>
      <c r="F126" s="388"/>
      <c r="G126" s="12">
        <f t="shared" si="1"/>
        <v>0</v>
      </c>
      <c r="H126" s="384" t="str">
        <f t="shared" si="2"/>
        <v> 5-star Reviews,  Patient Portal Logins</v>
      </c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idden="1">
      <c r="A127" s="6" t="s">
        <v>249</v>
      </c>
      <c r="B127" s="382" t="s">
        <v>1194</v>
      </c>
      <c r="C127" s="382" t="s">
        <v>1195</v>
      </c>
      <c r="D127" s="382" t="s">
        <v>1196</v>
      </c>
      <c r="E127" s="389"/>
      <c r="F127" s="388"/>
      <c r="G127" s="12">
        <f t="shared" si="1"/>
        <v>0</v>
      </c>
      <c r="H127" s="384" t="str">
        <f t="shared" si="2"/>
        <v> 5-star Reviews,  Patient Portal Logins</v>
      </c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idden="1">
      <c r="A128" s="6" t="s">
        <v>249</v>
      </c>
      <c r="B128" s="382" t="s">
        <v>1197</v>
      </c>
      <c r="C128" s="382" t="s">
        <v>1198</v>
      </c>
      <c r="D128" s="382" t="s">
        <v>1199</v>
      </c>
      <c r="E128" s="389"/>
      <c r="F128" s="388"/>
      <c r="G128" s="12">
        <f t="shared" si="1"/>
        <v>0</v>
      </c>
      <c r="H128" s="384" t="str">
        <f t="shared" si="2"/>
        <v> 5-star Reviews,  Patient Portal Logins</v>
      </c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idden="1">
      <c r="A129" s="6" t="s">
        <v>249</v>
      </c>
      <c r="B129" s="382" t="s">
        <v>571</v>
      </c>
      <c r="C129" s="382" t="s">
        <v>1200</v>
      </c>
      <c r="D129" s="382" t="s">
        <v>573</v>
      </c>
      <c r="E129" s="391">
        <v>1.0</v>
      </c>
      <c r="F129" s="388"/>
      <c r="G129" s="12">
        <f t="shared" si="1"/>
        <v>250</v>
      </c>
      <c r="H129" s="384" t="str">
        <f t="shared" si="2"/>
        <v>1 5-star Reviews,  Patient Portal Logins</v>
      </c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idden="1">
      <c r="A130" s="6" t="s">
        <v>249</v>
      </c>
      <c r="B130" s="382" t="s">
        <v>395</v>
      </c>
      <c r="C130" s="382" t="s">
        <v>397</v>
      </c>
      <c r="D130" s="382" t="s">
        <v>396</v>
      </c>
      <c r="E130" s="389"/>
      <c r="F130" s="388"/>
      <c r="G130" s="12">
        <f t="shared" si="1"/>
        <v>0</v>
      </c>
      <c r="H130" s="384" t="str">
        <f t="shared" si="2"/>
        <v> 5-star Reviews,  Patient Portal Logins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idden="1">
      <c r="A131" s="6" t="s">
        <v>249</v>
      </c>
      <c r="B131" s="382" t="s">
        <v>580</v>
      </c>
      <c r="C131" s="382" t="s">
        <v>1201</v>
      </c>
      <c r="D131" s="382" t="s">
        <v>582</v>
      </c>
      <c r="E131" s="389"/>
      <c r="F131" s="388"/>
      <c r="G131" s="12">
        <f t="shared" si="1"/>
        <v>0</v>
      </c>
      <c r="H131" s="384" t="str">
        <f t="shared" si="2"/>
        <v> 5-star Reviews,  Patient Portal Logins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idden="1">
      <c r="A132" s="6" t="s">
        <v>249</v>
      </c>
      <c r="B132" s="382" t="s">
        <v>1202</v>
      </c>
      <c r="C132" s="382" t="s">
        <v>1203</v>
      </c>
      <c r="D132" s="382" t="s">
        <v>1204</v>
      </c>
      <c r="E132" s="389"/>
      <c r="F132" s="388"/>
      <c r="G132" s="12">
        <f t="shared" si="1"/>
        <v>0</v>
      </c>
      <c r="H132" s="384" t="str">
        <f t="shared" si="2"/>
        <v> 5-star Reviews,  Patient Portal Logins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idden="1">
      <c r="A133" s="6" t="s">
        <v>249</v>
      </c>
      <c r="B133" s="382" t="s">
        <v>1205</v>
      </c>
      <c r="C133" s="382" t="s">
        <v>1206</v>
      </c>
      <c r="D133" s="382" t="s">
        <v>1207</v>
      </c>
      <c r="E133" s="389"/>
      <c r="F133" s="388"/>
      <c r="G133" s="12">
        <f t="shared" si="1"/>
        <v>0</v>
      </c>
      <c r="H133" s="384" t="str">
        <f t="shared" si="2"/>
        <v> 5-star Reviews,  Patient Portal Logins</v>
      </c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idden="1">
      <c r="A134" s="6" t="s">
        <v>249</v>
      </c>
      <c r="B134" s="382" t="s">
        <v>1208</v>
      </c>
      <c r="C134" s="382" t="s">
        <v>1209</v>
      </c>
      <c r="D134" s="382" t="s">
        <v>1210</v>
      </c>
      <c r="E134" s="389"/>
      <c r="F134" s="388"/>
      <c r="G134" s="12">
        <f t="shared" si="1"/>
        <v>0</v>
      </c>
      <c r="H134" s="384" t="str">
        <f t="shared" si="2"/>
        <v> 5-star Reviews,  Patient Portal Logins</v>
      </c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idden="1">
      <c r="A135" s="6" t="s">
        <v>249</v>
      </c>
      <c r="B135" s="385" t="s">
        <v>1211</v>
      </c>
      <c r="C135" s="385" t="s">
        <v>1212</v>
      </c>
      <c r="D135" s="385" t="s">
        <v>1213</v>
      </c>
      <c r="E135" s="397">
        <v>2.0</v>
      </c>
      <c r="F135" s="388"/>
      <c r="G135" s="12">
        <f t="shared" si="1"/>
        <v>500</v>
      </c>
      <c r="H135" s="384" t="str">
        <f t="shared" si="2"/>
        <v>2 5-star Reviews,  Patient Portal Logins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idden="1">
      <c r="A136" s="6" t="s">
        <v>249</v>
      </c>
      <c r="B136" s="385" t="s">
        <v>14</v>
      </c>
      <c r="C136" s="385" t="s">
        <v>233</v>
      </c>
      <c r="D136" s="385" t="s">
        <v>16</v>
      </c>
      <c r="E136" s="389"/>
      <c r="F136" s="388"/>
      <c r="G136" s="12">
        <f t="shared" si="1"/>
        <v>0</v>
      </c>
      <c r="H136" s="384" t="str">
        <f t="shared" si="2"/>
        <v> 5-star Reviews,  Patient Portal Logins</v>
      </c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idden="1">
      <c r="A137" s="6" t="s">
        <v>249</v>
      </c>
      <c r="B137" s="385" t="s">
        <v>1214</v>
      </c>
      <c r="C137" s="385" t="s">
        <v>1215</v>
      </c>
      <c r="D137" s="385" t="s">
        <v>1216</v>
      </c>
      <c r="E137" s="392"/>
      <c r="F137" s="393"/>
      <c r="G137" s="12">
        <f t="shared" si="1"/>
        <v>0</v>
      </c>
      <c r="H137" s="384" t="str">
        <f t="shared" si="2"/>
        <v> 5-star Reviews,  Patient Portal Logins</v>
      </c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idden="1">
      <c r="A138" s="6" t="s">
        <v>250</v>
      </c>
      <c r="B138" s="382" t="s">
        <v>1188</v>
      </c>
      <c r="C138" s="382" t="s">
        <v>1189</v>
      </c>
      <c r="D138" s="382" t="s">
        <v>1190</v>
      </c>
      <c r="E138" s="398"/>
      <c r="F138" s="399"/>
      <c r="G138" s="12">
        <f t="shared" si="1"/>
        <v>0</v>
      </c>
      <c r="H138" s="384" t="str">
        <f t="shared" si="2"/>
        <v> 5-star Reviews,  Patient Portal Logins</v>
      </c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idden="1">
      <c r="A139" s="6" t="s">
        <v>250</v>
      </c>
      <c r="B139" s="382" t="s">
        <v>1191</v>
      </c>
      <c r="C139" s="382" t="s">
        <v>1192</v>
      </c>
      <c r="D139" s="382" t="s">
        <v>1193</v>
      </c>
      <c r="E139" s="389"/>
      <c r="F139" s="388"/>
      <c r="G139" s="12">
        <f t="shared" si="1"/>
        <v>0</v>
      </c>
      <c r="H139" s="384" t="str">
        <f t="shared" si="2"/>
        <v> 5-star Reviews,  Patient Portal Logins</v>
      </c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idden="1">
      <c r="A140" s="6" t="s">
        <v>250</v>
      </c>
      <c r="B140" s="382" t="s">
        <v>1194</v>
      </c>
      <c r="C140" s="382" t="s">
        <v>1195</v>
      </c>
      <c r="D140" s="382" t="s">
        <v>1196</v>
      </c>
      <c r="E140" s="389"/>
      <c r="F140" s="388"/>
      <c r="G140" s="12">
        <f t="shared" si="1"/>
        <v>0</v>
      </c>
      <c r="H140" s="384" t="str">
        <f t="shared" si="2"/>
        <v> 5-star Reviews,  Patient Portal Logins</v>
      </c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idden="1">
      <c r="A141" s="6" t="s">
        <v>250</v>
      </c>
      <c r="B141" s="382" t="s">
        <v>1197</v>
      </c>
      <c r="C141" s="382" t="s">
        <v>1198</v>
      </c>
      <c r="D141" s="382" t="s">
        <v>1199</v>
      </c>
      <c r="E141" s="389"/>
      <c r="F141" s="388"/>
      <c r="G141" s="12">
        <f t="shared" si="1"/>
        <v>0</v>
      </c>
      <c r="H141" s="384" t="str">
        <f t="shared" si="2"/>
        <v> 5-star Reviews,  Patient Portal Logins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idden="1">
      <c r="A142" s="6" t="s">
        <v>250</v>
      </c>
      <c r="B142" s="382" t="s">
        <v>571</v>
      </c>
      <c r="C142" s="382" t="s">
        <v>1200</v>
      </c>
      <c r="D142" s="382" t="s">
        <v>573</v>
      </c>
      <c r="E142" s="389"/>
      <c r="F142" s="388"/>
      <c r="G142" s="12">
        <f t="shared" si="1"/>
        <v>0</v>
      </c>
      <c r="H142" s="384" t="str">
        <f t="shared" si="2"/>
        <v> 5-star Reviews,  Patient Portal Logins</v>
      </c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idden="1">
      <c r="A143" s="6" t="s">
        <v>250</v>
      </c>
      <c r="B143" s="382" t="s">
        <v>395</v>
      </c>
      <c r="C143" s="382" t="s">
        <v>397</v>
      </c>
      <c r="D143" s="382" t="s">
        <v>396</v>
      </c>
      <c r="E143" s="398"/>
      <c r="F143" s="399"/>
      <c r="G143" s="12">
        <f t="shared" si="1"/>
        <v>0</v>
      </c>
      <c r="H143" s="384" t="str">
        <f t="shared" si="2"/>
        <v> 5-star Reviews,  Patient Portal Logins</v>
      </c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idden="1">
      <c r="A144" s="6" t="s">
        <v>250</v>
      </c>
      <c r="B144" s="382" t="s">
        <v>580</v>
      </c>
      <c r="C144" s="382" t="s">
        <v>1201</v>
      </c>
      <c r="D144" s="382" t="s">
        <v>582</v>
      </c>
      <c r="E144" s="398"/>
      <c r="F144" s="399"/>
      <c r="G144" s="12">
        <f t="shared" si="1"/>
        <v>0</v>
      </c>
      <c r="H144" s="384" t="str">
        <f t="shared" si="2"/>
        <v> 5-star Reviews,  Patient Portal Logins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idden="1">
      <c r="A145" s="6" t="s">
        <v>250</v>
      </c>
      <c r="B145" s="382" t="s">
        <v>1202</v>
      </c>
      <c r="C145" s="382" t="s">
        <v>1203</v>
      </c>
      <c r="D145" s="382" t="s">
        <v>1204</v>
      </c>
      <c r="E145" s="389"/>
      <c r="F145" s="388"/>
      <c r="G145" s="12">
        <f t="shared" si="1"/>
        <v>0</v>
      </c>
      <c r="H145" s="384" t="str">
        <f t="shared" si="2"/>
        <v> 5-star Reviews,  Patient Portal Logins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idden="1">
      <c r="A146" s="6" t="s">
        <v>250</v>
      </c>
      <c r="B146" s="382" t="s">
        <v>1205</v>
      </c>
      <c r="C146" s="382" t="s">
        <v>1206</v>
      </c>
      <c r="D146" s="382" t="s">
        <v>1207</v>
      </c>
      <c r="E146" s="389"/>
      <c r="F146" s="388"/>
      <c r="G146" s="12">
        <f t="shared" si="1"/>
        <v>0</v>
      </c>
      <c r="H146" s="384" t="str">
        <f t="shared" si="2"/>
        <v> 5-star Reviews,  Patient Portal Logins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idden="1">
      <c r="A147" s="6" t="s">
        <v>250</v>
      </c>
      <c r="B147" s="382" t="s">
        <v>1208</v>
      </c>
      <c r="C147" s="382" t="s">
        <v>1209</v>
      </c>
      <c r="D147" s="382" t="s">
        <v>1210</v>
      </c>
      <c r="E147" s="389"/>
      <c r="F147" s="388"/>
      <c r="G147" s="12">
        <f t="shared" si="1"/>
        <v>0</v>
      </c>
      <c r="H147" s="384" t="str">
        <f t="shared" si="2"/>
        <v> 5-star Reviews,  Patient Portal Logins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idden="1">
      <c r="A148" s="6" t="s">
        <v>250</v>
      </c>
      <c r="B148" s="385" t="s">
        <v>1211</v>
      </c>
      <c r="C148" s="385" t="s">
        <v>1212</v>
      </c>
      <c r="D148" s="385" t="s">
        <v>1213</v>
      </c>
      <c r="E148" s="391">
        <v>1.0</v>
      </c>
      <c r="F148" s="399"/>
      <c r="G148" s="12">
        <f t="shared" si="1"/>
        <v>250</v>
      </c>
      <c r="H148" s="384" t="str">
        <f t="shared" si="2"/>
        <v>1 5-star Reviews,  Patient Portal Logins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idden="1">
      <c r="A149" s="6" t="s">
        <v>250</v>
      </c>
      <c r="B149" s="385" t="s">
        <v>14</v>
      </c>
      <c r="C149" s="385" t="s">
        <v>233</v>
      </c>
      <c r="D149" s="385" t="s">
        <v>16</v>
      </c>
      <c r="E149" s="389"/>
      <c r="F149" s="388"/>
      <c r="G149" s="12">
        <f t="shared" si="1"/>
        <v>0</v>
      </c>
      <c r="H149" s="384" t="str">
        <f t="shared" si="2"/>
        <v> 5-star Reviews,  Patient Portal Logins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idden="1">
      <c r="A150" s="6" t="s">
        <v>250</v>
      </c>
      <c r="B150" s="385" t="s">
        <v>1214</v>
      </c>
      <c r="C150" s="385" t="s">
        <v>1215</v>
      </c>
      <c r="D150" s="385" t="s">
        <v>1216</v>
      </c>
      <c r="E150" s="400"/>
      <c r="F150" s="401"/>
      <c r="G150" s="12">
        <f t="shared" si="1"/>
        <v>0</v>
      </c>
      <c r="H150" s="384" t="str">
        <f t="shared" si="2"/>
        <v> 5-star Reviews,  Patient Portal Logins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idden="1">
      <c r="A151" s="6" t="s">
        <v>254</v>
      </c>
      <c r="B151" s="382" t="s">
        <v>1188</v>
      </c>
      <c r="C151" s="382" t="s">
        <v>1189</v>
      </c>
      <c r="D151" s="382" t="s">
        <v>1190</v>
      </c>
      <c r="E151" s="402">
        <v>1.0</v>
      </c>
      <c r="F151" s="403">
        <v>1.0</v>
      </c>
      <c r="G151" s="12">
        <f t="shared" si="1"/>
        <v>500</v>
      </c>
      <c r="H151" s="384" t="str">
        <f t="shared" si="2"/>
        <v>1 5-star Reviews, 1 Patient Portal Logins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idden="1">
      <c r="A152" s="6" t="s">
        <v>254</v>
      </c>
      <c r="B152" s="382" t="s">
        <v>1191</v>
      </c>
      <c r="C152" s="382" t="s">
        <v>1192</v>
      </c>
      <c r="D152" s="382" t="s">
        <v>1193</v>
      </c>
      <c r="E152" s="389"/>
      <c r="F152" s="388"/>
      <c r="G152" s="12">
        <f t="shared" si="1"/>
        <v>0</v>
      </c>
      <c r="H152" s="384" t="str">
        <f t="shared" si="2"/>
        <v> 5-star Reviews,  Patient Portal Logins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idden="1">
      <c r="A153" s="6" t="s">
        <v>254</v>
      </c>
      <c r="B153" s="382" t="s">
        <v>1194</v>
      </c>
      <c r="C153" s="382" t="s">
        <v>1195</v>
      </c>
      <c r="D153" s="382" t="s">
        <v>1196</v>
      </c>
      <c r="E153" s="389"/>
      <c r="F153" s="388"/>
      <c r="G153" s="12">
        <f t="shared" si="1"/>
        <v>0</v>
      </c>
      <c r="H153" s="384" t="str">
        <f t="shared" si="2"/>
        <v> 5-star Reviews,  Patient Portal Logins</v>
      </c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idden="1">
      <c r="A154" s="6" t="s">
        <v>254</v>
      </c>
      <c r="B154" s="382" t="s">
        <v>1197</v>
      </c>
      <c r="C154" s="382" t="s">
        <v>1198</v>
      </c>
      <c r="D154" s="382" t="s">
        <v>1199</v>
      </c>
      <c r="E154" s="389"/>
      <c r="F154" s="388"/>
      <c r="G154" s="12">
        <f t="shared" si="1"/>
        <v>0</v>
      </c>
      <c r="H154" s="384" t="str">
        <f t="shared" si="2"/>
        <v> 5-star Reviews,  Patient Portal Logins</v>
      </c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idden="1">
      <c r="A155" s="6" t="s">
        <v>254</v>
      </c>
      <c r="B155" s="382" t="s">
        <v>571</v>
      </c>
      <c r="C155" s="382" t="s">
        <v>1200</v>
      </c>
      <c r="D155" s="382" t="s">
        <v>573</v>
      </c>
      <c r="E155" s="389"/>
      <c r="F155" s="388"/>
      <c r="G155" s="12">
        <f t="shared" si="1"/>
        <v>0</v>
      </c>
      <c r="H155" s="384" t="str">
        <f t="shared" si="2"/>
        <v> 5-star Reviews,  Patient Portal Logins</v>
      </c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idden="1">
      <c r="A156" s="6" t="s">
        <v>254</v>
      </c>
      <c r="B156" s="382" t="s">
        <v>395</v>
      </c>
      <c r="C156" s="382" t="s">
        <v>397</v>
      </c>
      <c r="D156" s="382" t="s">
        <v>396</v>
      </c>
      <c r="E156" s="402">
        <v>0.0</v>
      </c>
      <c r="F156" s="403">
        <v>7.0</v>
      </c>
      <c r="G156" s="12">
        <f t="shared" si="1"/>
        <v>1750</v>
      </c>
      <c r="H156" s="384" t="str">
        <f t="shared" si="2"/>
        <v>0 5-star Reviews, 7 Patient Portal Logins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idden="1">
      <c r="A157" s="6" t="s">
        <v>254</v>
      </c>
      <c r="B157" s="382" t="s">
        <v>580</v>
      </c>
      <c r="C157" s="382" t="s">
        <v>1201</v>
      </c>
      <c r="D157" s="382" t="s">
        <v>582</v>
      </c>
      <c r="E157" s="402">
        <v>0.0</v>
      </c>
      <c r="F157" s="403">
        <v>5.0</v>
      </c>
      <c r="G157" s="12">
        <f t="shared" si="1"/>
        <v>1250</v>
      </c>
      <c r="H157" s="384" t="str">
        <f t="shared" si="2"/>
        <v>0 5-star Reviews, 5 Patient Portal Logins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idden="1">
      <c r="A158" s="6" t="s">
        <v>254</v>
      </c>
      <c r="B158" s="382" t="s">
        <v>1202</v>
      </c>
      <c r="C158" s="382" t="s">
        <v>1203</v>
      </c>
      <c r="D158" s="382" t="s">
        <v>1204</v>
      </c>
      <c r="E158" s="389"/>
      <c r="F158" s="388"/>
      <c r="G158" s="12">
        <f t="shared" si="1"/>
        <v>0</v>
      </c>
      <c r="H158" s="384" t="str">
        <f t="shared" si="2"/>
        <v> 5-star Reviews,  Patient Portal Logins</v>
      </c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idden="1">
      <c r="A159" s="6" t="s">
        <v>254</v>
      </c>
      <c r="B159" s="382" t="s">
        <v>1205</v>
      </c>
      <c r="C159" s="382" t="s">
        <v>1206</v>
      </c>
      <c r="D159" s="382" t="s">
        <v>1207</v>
      </c>
      <c r="E159" s="404"/>
      <c r="F159" s="405"/>
      <c r="G159" s="12">
        <f t="shared" si="1"/>
        <v>0</v>
      </c>
      <c r="H159" s="384" t="str">
        <f t="shared" si="2"/>
        <v> 5-star Reviews,  Patient Portal Logins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idden="1">
      <c r="A160" s="6" t="s">
        <v>254</v>
      </c>
      <c r="B160" s="382" t="s">
        <v>1208</v>
      </c>
      <c r="C160" s="382" t="s">
        <v>1209</v>
      </c>
      <c r="D160" s="382" t="s">
        <v>1210</v>
      </c>
      <c r="E160" s="389"/>
      <c r="F160" s="388"/>
      <c r="G160" s="12">
        <f t="shared" si="1"/>
        <v>0</v>
      </c>
      <c r="H160" s="384" t="str">
        <f t="shared" si="2"/>
        <v> 5-star Reviews,  Patient Portal Logins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idden="1">
      <c r="A161" s="6" t="s">
        <v>254</v>
      </c>
      <c r="B161" s="385" t="s">
        <v>1211</v>
      </c>
      <c r="C161" s="385" t="s">
        <v>1212</v>
      </c>
      <c r="D161" s="385" t="s">
        <v>1213</v>
      </c>
      <c r="E161" s="402">
        <v>1.0</v>
      </c>
      <c r="F161" s="403">
        <v>2.0</v>
      </c>
      <c r="G161" s="12">
        <f t="shared" si="1"/>
        <v>750</v>
      </c>
      <c r="H161" s="384" t="str">
        <f t="shared" si="2"/>
        <v>1 5-star Reviews, 2 Patient Portal Logins</v>
      </c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idden="1">
      <c r="A162" s="6" t="s">
        <v>254</v>
      </c>
      <c r="B162" s="385" t="s">
        <v>14</v>
      </c>
      <c r="C162" s="385" t="s">
        <v>233</v>
      </c>
      <c r="D162" s="385" t="s">
        <v>16</v>
      </c>
      <c r="E162" s="406"/>
      <c r="F162" s="405"/>
      <c r="G162" s="12">
        <f t="shared" si="1"/>
        <v>0</v>
      </c>
      <c r="H162" s="384" t="str">
        <f t="shared" si="2"/>
        <v> 5-star Reviews,  Patient Portal Logins</v>
      </c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idden="1">
      <c r="A163" s="6" t="s">
        <v>254</v>
      </c>
      <c r="B163" s="385" t="s">
        <v>1214</v>
      </c>
      <c r="C163" s="385" t="s">
        <v>1215</v>
      </c>
      <c r="D163" s="385" t="s">
        <v>1216</v>
      </c>
      <c r="E163" s="407">
        <v>1.0</v>
      </c>
      <c r="F163" s="408">
        <v>0.0</v>
      </c>
      <c r="G163" s="12">
        <f t="shared" si="1"/>
        <v>250</v>
      </c>
      <c r="H163" s="384" t="str">
        <f t="shared" si="2"/>
        <v>1 5-star Reviews, 0 Patient Portal Logins</v>
      </c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idden="1">
      <c r="A164" s="6" t="s">
        <v>261</v>
      </c>
      <c r="B164" s="394" t="s">
        <v>1188</v>
      </c>
      <c r="C164" s="394" t="s">
        <v>1189</v>
      </c>
      <c r="D164" s="394" t="s">
        <v>1190</v>
      </c>
      <c r="E164" s="409">
        <v>0.0</v>
      </c>
      <c r="F164" s="364">
        <v>2.0</v>
      </c>
      <c r="G164" s="12">
        <f t="shared" si="1"/>
        <v>500</v>
      </c>
      <c r="H164" s="384" t="str">
        <f t="shared" si="2"/>
        <v>0 5-star Reviews, 2 Patient Portal Logins</v>
      </c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idden="1">
      <c r="A165" s="6" t="s">
        <v>261</v>
      </c>
      <c r="B165" s="382" t="s">
        <v>1191</v>
      </c>
      <c r="C165" s="382" t="s">
        <v>1192</v>
      </c>
      <c r="D165" s="382" t="s">
        <v>1193</v>
      </c>
      <c r="E165" s="129"/>
      <c r="F165" s="129"/>
      <c r="G165" s="12">
        <f t="shared" si="1"/>
        <v>0</v>
      </c>
      <c r="H165" s="384" t="str">
        <f t="shared" si="2"/>
        <v> 5-star Reviews,  Patient Portal Logins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idden="1">
      <c r="A166" s="6" t="s">
        <v>261</v>
      </c>
      <c r="B166" s="382" t="s">
        <v>1194</v>
      </c>
      <c r="C166" s="382" t="s">
        <v>1195</v>
      </c>
      <c r="D166" s="382" t="s">
        <v>1196</v>
      </c>
      <c r="E166" s="76"/>
      <c r="F166" s="76"/>
      <c r="G166" s="12">
        <f t="shared" si="1"/>
        <v>0</v>
      </c>
      <c r="H166" s="384" t="str">
        <f t="shared" si="2"/>
        <v> 5-star Reviews,  Patient Portal Logins</v>
      </c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idden="1">
      <c r="A167" s="6" t="s">
        <v>261</v>
      </c>
      <c r="B167" s="382" t="s">
        <v>1197</v>
      </c>
      <c r="C167" s="382" t="s">
        <v>1198</v>
      </c>
      <c r="D167" s="382" t="s">
        <v>1199</v>
      </c>
      <c r="E167" s="76"/>
      <c r="F167" s="76"/>
      <c r="G167" s="12">
        <f t="shared" si="1"/>
        <v>0</v>
      </c>
      <c r="H167" s="384" t="str">
        <f t="shared" si="2"/>
        <v> 5-star Reviews,  Patient Portal Logins</v>
      </c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idden="1">
      <c r="A168" s="6" t="s">
        <v>261</v>
      </c>
      <c r="B168" s="382" t="s">
        <v>571</v>
      </c>
      <c r="C168" s="382" t="s">
        <v>1200</v>
      </c>
      <c r="D168" s="382" t="s">
        <v>573</v>
      </c>
      <c r="E168" s="129"/>
      <c r="F168" s="129"/>
      <c r="G168" s="12">
        <f t="shared" si="1"/>
        <v>0</v>
      </c>
      <c r="H168" s="384" t="str">
        <f t="shared" si="2"/>
        <v> 5-star Reviews,  Patient Portal Logins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idden="1">
      <c r="A169" s="6" t="s">
        <v>261</v>
      </c>
      <c r="B169" s="382" t="s">
        <v>395</v>
      </c>
      <c r="C169" s="382" t="s">
        <v>397</v>
      </c>
      <c r="D169" s="382" t="s">
        <v>396</v>
      </c>
      <c r="E169" s="409">
        <v>0.0</v>
      </c>
      <c r="F169" s="364">
        <v>2.0</v>
      </c>
      <c r="G169" s="12">
        <f t="shared" si="1"/>
        <v>500</v>
      </c>
      <c r="H169" s="384" t="str">
        <f t="shared" si="2"/>
        <v>0 5-star Reviews, 2 Patient Portal Logins</v>
      </c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idden="1">
      <c r="A170" s="6" t="s">
        <v>261</v>
      </c>
      <c r="B170" s="382" t="s">
        <v>580</v>
      </c>
      <c r="C170" s="382" t="s">
        <v>1201</v>
      </c>
      <c r="D170" s="382" t="s">
        <v>582</v>
      </c>
      <c r="E170" s="409">
        <v>0.0</v>
      </c>
      <c r="F170" s="364">
        <v>4.0</v>
      </c>
      <c r="G170" s="12">
        <f t="shared" si="1"/>
        <v>1000</v>
      </c>
      <c r="H170" s="384" t="str">
        <f t="shared" si="2"/>
        <v>0 5-star Reviews, 4 Patient Portal Logins</v>
      </c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idden="1">
      <c r="A171" s="6" t="s">
        <v>261</v>
      </c>
      <c r="B171" s="382" t="s">
        <v>1202</v>
      </c>
      <c r="C171" s="382" t="s">
        <v>1203</v>
      </c>
      <c r="D171" s="382" t="s">
        <v>1204</v>
      </c>
      <c r="E171" s="76"/>
      <c r="F171" s="76"/>
      <c r="G171" s="12">
        <f t="shared" si="1"/>
        <v>0</v>
      </c>
      <c r="H171" s="384" t="str">
        <f t="shared" si="2"/>
        <v> 5-star Reviews,  Patient Portal Logins</v>
      </c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idden="1">
      <c r="A172" s="6" t="s">
        <v>261</v>
      </c>
      <c r="B172" s="382" t="s">
        <v>1205</v>
      </c>
      <c r="C172" s="382" t="s">
        <v>1206</v>
      </c>
      <c r="D172" s="382" t="s">
        <v>1207</v>
      </c>
      <c r="E172" s="409">
        <v>0.0</v>
      </c>
      <c r="F172" s="364">
        <v>0.0</v>
      </c>
      <c r="G172" s="12">
        <f t="shared" si="1"/>
        <v>0</v>
      </c>
      <c r="H172" s="384" t="str">
        <f t="shared" si="2"/>
        <v>0 5-star Reviews, 0 Patient Portal Logins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idden="1">
      <c r="A173" s="6" t="s">
        <v>261</v>
      </c>
      <c r="B173" s="382" t="s">
        <v>1208</v>
      </c>
      <c r="C173" s="382" t="s">
        <v>1209</v>
      </c>
      <c r="D173" s="382" t="s">
        <v>1210</v>
      </c>
      <c r="E173" s="129"/>
      <c r="F173" s="129"/>
      <c r="G173" s="12">
        <f t="shared" si="1"/>
        <v>0</v>
      </c>
      <c r="H173" s="384" t="str">
        <f t="shared" si="2"/>
        <v> 5-star Reviews,  Patient Portal Logins</v>
      </c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idden="1">
      <c r="A174" s="6" t="s">
        <v>261</v>
      </c>
      <c r="B174" s="385" t="s">
        <v>1211</v>
      </c>
      <c r="C174" s="385" t="s">
        <v>1212</v>
      </c>
      <c r="D174" s="385" t="s">
        <v>1213</v>
      </c>
      <c r="E174" s="409">
        <v>3.0</v>
      </c>
      <c r="F174" s="364">
        <v>0.0</v>
      </c>
      <c r="G174" s="12">
        <f t="shared" si="1"/>
        <v>750</v>
      </c>
      <c r="H174" s="384" t="str">
        <f t="shared" si="2"/>
        <v>3 5-star Reviews, 0 Patient Portal Logins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idden="1">
      <c r="A175" s="6" t="s">
        <v>261</v>
      </c>
      <c r="B175" s="385" t="s">
        <v>14</v>
      </c>
      <c r="C175" s="385" t="s">
        <v>233</v>
      </c>
      <c r="D175" s="385" t="s">
        <v>16</v>
      </c>
      <c r="E175" s="364">
        <v>0.0</v>
      </c>
      <c r="F175" s="364">
        <v>4.0</v>
      </c>
      <c r="G175" s="12">
        <f t="shared" si="1"/>
        <v>1000</v>
      </c>
      <c r="H175" s="384" t="str">
        <f t="shared" si="2"/>
        <v>0 5-star Reviews, 4 Patient Portal Logins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idden="1">
      <c r="A176" s="6" t="s">
        <v>261</v>
      </c>
      <c r="B176" s="385" t="s">
        <v>1214</v>
      </c>
      <c r="C176" s="385" t="s">
        <v>1215</v>
      </c>
      <c r="D176" s="385" t="s">
        <v>1216</v>
      </c>
      <c r="E176" s="409">
        <v>1.0</v>
      </c>
      <c r="F176" s="364">
        <v>0.0</v>
      </c>
      <c r="G176" s="12">
        <f t="shared" si="1"/>
        <v>250</v>
      </c>
      <c r="H176" s="384" t="str">
        <f t="shared" si="2"/>
        <v>1 5-star Reviews, 0 Patient Portal Logins</v>
      </c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idden="1">
      <c r="A177" s="6" t="s">
        <v>265</v>
      </c>
      <c r="B177" s="382" t="s">
        <v>1191</v>
      </c>
      <c r="C177" s="382" t="s">
        <v>1192</v>
      </c>
      <c r="D177" s="382" t="s">
        <v>1193</v>
      </c>
      <c r="E177" s="410">
        <v>0.0</v>
      </c>
      <c r="F177" s="128">
        <v>0.0</v>
      </c>
      <c r="G177" s="12">
        <f t="shared" si="1"/>
        <v>0</v>
      </c>
      <c r="H177" s="384" t="str">
        <f t="shared" si="2"/>
        <v>0 5-star Reviews, 0 Patient Portal Logins</v>
      </c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idden="1">
      <c r="A178" s="6" t="s">
        <v>265</v>
      </c>
      <c r="B178" s="382" t="s">
        <v>1194</v>
      </c>
      <c r="C178" s="382" t="s">
        <v>1195</v>
      </c>
      <c r="D178" s="382" t="s">
        <v>1196</v>
      </c>
      <c r="E178" s="368"/>
      <c r="F178" s="368"/>
      <c r="G178" s="12">
        <f t="shared" si="1"/>
        <v>0</v>
      </c>
      <c r="H178" s="384" t="str">
        <f t="shared" si="2"/>
        <v> 5-star Reviews,  Patient Portal Logins</v>
      </c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idden="1">
      <c r="A179" s="6" t="s">
        <v>265</v>
      </c>
      <c r="B179" s="382" t="s">
        <v>1197</v>
      </c>
      <c r="C179" s="382" t="s">
        <v>1198</v>
      </c>
      <c r="D179" s="382" t="s">
        <v>1199</v>
      </c>
      <c r="E179" s="368"/>
      <c r="F179" s="368"/>
      <c r="G179" s="12">
        <f t="shared" si="1"/>
        <v>0</v>
      </c>
      <c r="H179" s="384" t="str">
        <f t="shared" si="2"/>
        <v> 5-star Reviews,  Patient Portal Logins</v>
      </c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idden="1">
      <c r="A180" s="6" t="s">
        <v>265</v>
      </c>
      <c r="B180" s="382" t="s">
        <v>571</v>
      </c>
      <c r="C180" s="382" t="s">
        <v>1200</v>
      </c>
      <c r="D180" s="382" t="s">
        <v>573</v>
      </c>
      <c r="E180" s="410">
        <v>0.0</v>
      </c>
      <c r="F180" s="128">
        <v>1.0</v>
      </c>
      <c r="G180" s="12">
        <f t="shared" si="1"/>
        <v>250</v>
      </c>
      <c r="H180" s="384" t="str">
        <f t="shared" si="2"/>
        <v>0 5-star Reviews, 1 Patient Portal Logins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idden="1">
      <c r="A181" s="6" t="s">
        <v>265</v>
      </c>
      <c r="B181" s="382" t="s">
        <v>395</v>
      </c>
      <c r="C181" s="382" t="s">
        <v>397</v>
      </c>
      <c r="D181" s="382" t="s">
        <v>396</v>
      </c>
      <c r="E181" s="368"/>
      <c r="F181" s="368"/>
      <c r="G181" s="12">
        <f t="shared" si="1"/>
        <v>0</v>
      </c>
      <c r="H181" s="384" t="str">
        <f t="shared" si="2"/>
        <v> 5-star Reviews,  Patient Portal Logins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idden="1">
      <c r="A182" s="6" t="s">
        <v>265</v>
      </c>
      <c r="B182" s="382" t="s">
        <v>580</v>
      </c>
      <c r="C182" s="382" t="s">
        <v>1201</v>
      </c>
      <c r="D182" s="382" t="s">
        <v>582</v>
      </c>
      <c r="E182" s="368"/>
      <c r="F182" s="368"/>
      <c r="G182" s="12">
        <f t="shared" si="1"/>
        <v>0</v>
      </c>
      <c r="H182" s="384" t="str">
        <f t="shared" si="2"/>
        <v> 5-star Reviews,  Patient Portal Logins</v>
      </c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idden="1">
      <c r="A183" s="6" t="s">
        <v>265</v>
      </c>
      <c r="B183" s="382" t="s">
        <v>1202</v>
      </c>
      <c r="C183" s="382" t="s">
        <v>1203</v>
      </c>
      <c r="D183" s="382" t="s">
        <v>1204</v>
      </c>
      <c r="E183" s="368"/>
      <c r="F183" s="368"/>
      <c r="G183" s="12">
        <f t="shared" si="1"/>
        <v>0</v>
      </c>
      <c r="H183" s="384" t="str">
        <f t="shared" si="2"/>
        <v> 5-star Reviews,  Patient Portal Logins</v>
      </c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idden="1">
      <c r="A184" s="6" t="s">
        <v>265</v>
      </c>
      <c r="B184" s="382" t="s">
        <v>1205</v>
      </c>
      <c r="C184" s="382" t="s">
        <v>1206</v>
      </c>
      <c r="D184" s="382" t="s">
        <v>1207</v>
      </c>
      <c r="E184" s="410">
        <v>0.0</v>
      </c>
      <c r="F184" s="128">
        <v>0.0</v>
      </c>
      <c r="G184" s="12">
        <f t="shared" si="1"/>
        <v>0</v>
      </c>
      <c r="H184" s="384" t="str">
        <f t="shared" si="2"/>
        <v>0 5-star Reviews, 0 Patient Portal Logins</v>
      </c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idden="1">
      <c r="A185" s="6" t="s">
        <v>265</v>
      </c>
      <c r="B185" s="382" t="s">
        <v>1208</v>
      </c>
      <c r="C185" s="382" t="s">
        <v>1209</v>
      </c>
      <c r="D185" s="382" t="s">
        <v>1210</v>
      </c>
      <c r="E185" s="410">
        <v>0.0</v>
      </c>
      <c r="F185" s="128">
        <v>0.0</v>
      </c>
      <c r="G185" s="12">
        <f t="shared" si="1"/>
        <v>0</v>
      </c>
      <c r="H185" s="384" t="str">
        <f t="shared" si="2"/>
        <v>0 5-star Reviews, 0 Patient Portal Logins</v>
      </c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idden="1">
      <c r="A186" s="6" t="s">
        <v>265</v>
      </c>
      <c r="B186" s="385" t="s">
        <v>1211</v>
      </c>
      <c r="C186" s="385" t="s">
        <v>1212</v>
      </c>
      <c r="D186" s="385" t="s">
        <v>1213</v>
      </c>
      <c r="E186" s="410">
        <v>0.0</v>
      </c>
      <c r="F186" s="128">
        <v>0.0</v>
      </c>
      <c r="G186" s="12">
        <f t="shared" si="1"/>
        <v>0</v>
      </c>
      <c r="H186" s="384" t="str">
        <f t="shared" si="2"/>
        <v>0 5-star Reviews, 0 Patient Portal Logins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idden="1">
      <c r="A187" s="6" t="s">
        <v>265</v>
      </c>
      <c r="B187" s="385" t="s">
        <v>14</v>
      </c>
      <c r="C187" s="385" t="s">
        <v>233</v>
      </c>
      <c r="D187" s="385" t="s">
        <v>16</v>
      </c>
      <c r="E187" s="410">
        <v>0.0</v>
      </c>
      <c r="F187" s="128">
        <v>3.0</v>
      </c>
      <c r="G187" s="12">
        <f t="shared" si="1"/>
        <v>750</v>
      </c>
      <c r="H187" s="384" t="str">
        <f t="shared" si="2"/>
        <v>0 5-star Reviews, 3 Patient Portal Logins</v>
      </c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idden="1">
      <c r="A188" s="6" t="s">
        <v>265</v>
      </c>
      <c r="B188" s="385" t="s">
        <v>1214</v>
      </c>
      <c r="C188" s="385" t="s">
        <v>1215</v>
      </c>
      <c r="D188" s="385" t="s">
        <v>1216</v>
      </c>
      <c r="E188" s="368"/>
      <c r="F188" s="368"/>
      <c r="G188" s="12">
        <f t="shared" si="1"/>
        <v>0</v>
      </c>
      <c r="H188" s="384" t="str">
        <f t="shared" si="2"/>
        <v> 5-star Reviews,  Patient Portal Logins</v>
      </c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idden="1">
      <c r="A189" s="411" t="s">
        <v>266</v>
      </c>
      <c r="B189" s="382" t="s">
        <v>1191</v>
      </c>
      <c r="C189" s="382" t="s">
        <v>1192</v>
      </c>
      <c r="D189" s="382" t="s">
        <v>1193</v>
      </c>
      <c r="E189" s="412">
        <v>0.0</v>
      </c>
      <c r="F189" s="325">
        <v>0.0</v>
      </c>
      <c r="G189" s="12">
        <f t="shared" si="1"/>
        <v>0</v>
      </c>
      <c r="H189" s="384" t="str">
        <f t="shared" si="2"/>
        <v>0 5-star Reviews, 0 Patient Portal Logins</v>
      </c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idden="1">
      <c r="A190" s="411" t="s">
        <v>300</v>
      </c>
      <c r="B190" s="382" t="s">
        <v>580</v>
      </c>
      <c r="C190" s="382" t="s">
        <v>1201</v>
      </c>
      <c r="D190" s="382" t="s">
        <v>582</v>
      </c>
      <c r="E190" s="368"/>
      <c r="F190" s="368"/>
      <c r="G190" s="12">
        <f t="shared" si="1"/>
        <v>0</v>
      </c>
      <c r="H190" s="384" t="str">
        <f t="shared" si="2"/>
        <v> 5-star Reviews,  Patient Portal Logins</v>
      </c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idden="1">
      <c r="A191" s="411" t="s">
        <v>266</v>
      </c>
      <c r="B191" s="394" t="s">
        <v>1194</v>
      </c>
      <c r="C191" s="394" t="s">
        <v>1195</v>
      </c>
      <c r="D191" s="394" t="s">
        <v>1196</v>
      </c>
      <c r="E191" s="409"/>
      <c r="F191" s="364"/>
      <c r="G191" s="12">
        <f t="shared" si="1"/>
        <v>0</v>
      </c>
      <c r="H191" s="384" t="str">
        <f t="shared" si="2"/>
        <v> 5-star Reviews,  Patient Portal Logins</v>
      </c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idden="1">
      <c r="A192" s="411" t="s">
        <v>266</v>
      </c>
      <c r="B192" s="394" t="s">
        <v>1197</v>
      </c>
      <c r="C192" s="394" t="s">
        <v>1198</v>
      </c>
      <c r="D192" s="394" t="s">
        <v>1199</v>
      </c>
      <c r="E192" s="409"/>
      <c r="F192" s="364"/>
      <c r="G192" s="12">
        <f t="shared" si="1"/>
        <v>0</v>
      </c>
      <c r="H192" s="384" t="str">
        <f t="shared" si="2"/>
        <v> 5-star Reviews,  Patient Portal Logins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idden="1">
      <c r="A193" s="411" t="s">
        <v>266</v>
      </c>
      <c r="B193" s="394" t="s">
        <v>571</v>
      </c>
      <c r="C193" s="394" t="s">
        <v>1200</v>
      </c>
      <c r="D193" s="394" t="s">
        <v>573</v>
      </c>
      <c r="E193" s="413">
        <v>1.0</v>
      </c>
      <c r="F193" s="364">
        <v>0.0</v>
      </c>
      <c r="G193" s="12">
        <f t="shared" si="1"/>
        <v>250</v>
      </c>
      <c r="H193" s="384" t="str">
        <f t="shared" si="2"/>
        <v>1 5-star Reviews, 0 Patient Portal Logins</v>
      </c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idden="1">
      <c r="A194" s="411" t="s">
        <v>266</v>
      </c>
      <c r="B194" s="394" t="s">
        <v>395</v>
      </c>
      <c r="C194" s="394" t="s">
        <v>397</v>
      </c>
      <c r="D194" s="394" t="s">
        <v>396</v>
      </c>
      <c r="E194" s="409"/>
      <c r="F194" s="364"/>
      <c r="G194" s="12">
        <f t="shared" si="1"/>
        <v>0</v>
      </c>
      <c r="H194" s="384" t="str">
        <f t="shared" si="2"/>
        <v> 5-star Reviews,  Patient Portal Logins</v>
      </c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idden="1">
      <c r="A195" s="411" t="s">
        <v>266</v>
      </c>
      <c r="B195" s="394" t="s">
        <v>580</v>
      </c>
      <c r="C195" s="394" t="s">
        <v>1201</v>
      </c>
      <c r="D195" s="394" t="s">
        <v>582</v>
      </c>
      <c r="E195" s="409"/>
      <c r="F195" s="364"/>
      <c r="G195" s="12">
        <f t="shared" si="1"/>
        <v>0</v>
      </c>
      <c r="H195" s="384" t="str">
        <f t="shared" si="2"/>
        <v> 5-star Reviews,  Patient Portal Logins</v>
      </c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idden="1">
      <c r="A196" s="411" t="s">
        <v>266</v>
      </c>
      <c r="B196" s="382" t="s">
        <v>1202</v>
      </c>
      <c r="C196" s="382" t="s">
        <v>1203</v>
      </c>
      <c r="D196" s="382" t="s">
        <v>1204</v>
      </c>
      <c r="E196" s="414"/>
      <c r="F196" s="414"/>
      <c r="G196" s="12">
        <f t="shared" si="1"/>
        <v>0</v>
      </c>
      <c r="H196" s="384" t="str">
        <f t="shared" si="2"/>
        <v> 5-star Reviews,  Patient Portal Logins</v>
      </c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idden="1">
      <c r="A197" s="411" t="s">
        <v>266</v>
      </c>
      <c r="B197" s="382" t="s">
        <v>1205</v>
      </c>
      <c r="C197" s="382" t="s">
        <v>1206</v>
      </c>
      <c r="D197" s="382" t="s">
        <v>1207</v>
      </c>
      <c r="E197" s="409">
        <v>0.0</v>
      </c>
      <c r="F197" s="364">
        <v>0.0</v>
      </c>
      <c r="G197" s="12">
        <f t="shared" si="1"/>
        <v>0</v>
      </c>
      <c r="H197" s="384" t="str">
        <f t="shared" si="2"/>
        <v>0 5-star Reviews, 0 Patient Portal Logins</v>
      </c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idden="1">
      <c r="A198" s="411" t="s">
        <v>266</v>
      </c>
      <c r="B198" s="382" t="s">
        <v>1208</v>
      </c>
      <c r="C198" s="382" t="s">
        <v>1209</v>
      </c>
      <c r="D198" s="382" t="s">
        <v>1210</v>
      </c>
      <c r="E198" s="409">
        <v>0.0</v>
      </c>
      <c r="F198" s="364">
        <v>0.0</v>
      </c>
      <c r="G198" s="12">
        <f t="shared" si="1"/>
        <v>0</v>
      </c>
      <c r="H198" s="384" t="str">
        <f t="shared" si="2"/>
        <v>0 5-star Reviews, 0 Patient Portal Logins</v>
      </c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idden="1">
      <c r="A199" s="411" t="s">
        <v>266</v>
      </c>
      <c r="B199" s="385" t="s">
        <v>1211</v>
      </c>
      <c r="C199" s="385" t="s">
        <v>1212</v>
      </c>
      <c r="D199" s="385" t="s">
        <v>1213</v>
      </c>
      <c r="E199" s="409">
        <v>0.0</v>
      </c>
      <c r="F199" s="364">
        <v>0.0</v>
      </c>
      <c r="G199" s="12">
        <f t="shared" si="1"/>
        <v>0</v>
      </c>
      <c r="H199" s="384" t="str">
        <f t="shared" si="2"/>
        <v>0 5-star Reviews, 0 Patient Portal Logins</v>
      </c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idden="1">
      <c r="A200" s="411" t="s">
        <v>266</v>
      </c>
      <c r="B200" s="385" t="s">
        <v>14</v>
      </c>
      <c r="C200" s="385" t="s">
        <v>233</v>
      </c>
      <c r="D200" s="385" t="s">
        <v>16</v>
      </c>
      <c r="E200" s="409">
        <v>0.0</v>
      </c>
      <c r="F200" s="364">
        <v>4.0</v>
      </c>
      <c r="G200" s="12">
        <f t="shared" si="1"/>
        <v>1000</v>
      </c>
      <c r="H200" s="384" t="str">
        <f t="shared" si="2"/>
        <v>0 5-star Reviews, 4 Patient Portal Logins</v>
      </c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idden="1">
      <c r="A201" s="411" t="s">
        <v>266</v>
      </c>
      <c r="B201" s="385" t="s">
        <v>1214</v>
      </c>
      <c r="C201" s="385" t="s">
        <v>1215</v>
      </c>
      <c r="D201" s="385" t="s">
        <v>1216</v>
      </c>
      <c r="E201" s="414"/>
      <c r="F201" s="415"/>
      <c r="G201" s="12">
        <f t="shared" si="1"/>
        <v>0</v>
      </c>
      <c r="H201" s="384" t="str">
        <f t="shared" si="2"/>
        <v> 5-star Reviews,  Patient Portal Logins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idden="1">
      <c r="A202" s="411" t="s">
        <v>270</v>
      </c>
      <c r="B202" s="394" t="s">
        <v>1194</v>
      </c>
      <c r="C202" s="394" t="s">
        <v>1195</v>
      </c>
      <c r="D202" s="394" t="s">
        <v>1196</v>
      </c>
      <c r="E202" s="409">
        <v>0.0</v>
      </c>
      <c r="F202" s="364">
        <v>0.0</v>
      </c>
      <c r="G202" s="12">
        <f t="shared" si="1"/>
        <v>0</v>
      </c>
      <c r="H202" s="384" t="str">
        <f t="shared" si="2"/>
        <v>0 5-star Reviews, 0 Patient Portal Logins</v>
      </c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</row>
    <row r="203" hidden="1">
      <c r="A203" s="411" t="s">
        <v>270</v>
      </c>
      <c r="B203" s="394" t="s">
        <v>1197</v>
      </c>
      <c r="C203" s="394" t="s">
        <v>1198</v>
      </c>
      <c r="D203" s="394" t="s">
        <v>1199</v>
      </c>
      <c r="E203" s="409">
        <v>0.0</v>
      </c>
      <c r="F203" s="364">
        <v>0.0</v>
      </c>
      <c r="G203" s="12">
        <f t="shared" si="1"/>
        <v>0</v>
      </c>
      <c r="H203" s="384" t="str">
        <f t="shared" si="2"/>
        <v>0 5-star Reviews, 0 Patient Portal Logins</v>
      </c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</row>
    <row r="204" hidden="1">
      <c r="A204" s="411" t="s">
        <v>270</v>
      </c>
      <c r="B204" s="394" t="s">
        <v>571</v>
      </c>
      <c r="C204" s="394" t="s">
        <v>1200</v>
      </c>
      <c r="D204" s="394" t="s">
        <v>573</v>
      </c>
      <c r="E204" s="409">
        <v>0.0</v>
      </c>
      <c r="F204" s="364">
        <v>1.0</v>
      </c>
      <c r="G204" s="12">
        <f t="shared" si="1"/>
        <v>250</v>
      </c>
      <c r="H204" s="384" t="str">
        <f t="shared" si="2"/>
        <v>0 5-star Reviews, 1 Patient Portal Logins</v>
      </c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</row>
    <row r="205" hidden="1">
      <c r="A205" s="411" t="s">
        <v>270</v>
      </c>
      <c r="B205" s="394" t="s">
        <v>395</v>
      </c>
      <c r="C205" s="394" t="s">
        <v>397</v>
      </c>
      <c r="D205" s="394" t="s">
        <v>396</v>
      </c>
      <c r="E205" s="409">
        <v>0.0</v>
      </c>
      <c r="F205" s="364">
        <v>4.0</v>
      </c>
      <c r="G205" s="12">
        <f t="shared" si="1"/>
        <v>1000</v>
      </c>
      <c r="H205" s="384" t="str">
        <f t="shared" si="2"/>
        <v>0 5-star Reviews, 4 Patient Portal Logins</v>
      </c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</row>
    <row r="206" hidden="1">
      <c r="A206" s="411" t="s">
        <v>270</v>
      </c>
      <c r="B206" s="394" t="s">
        <v>580</v>
      </c>
      <c r="C206" s="394" t="s">
        <v>1201</v>
      </c>
      <c r="D206" s="394" t="s">
        <v>582</v>
      </c>
      <c r="E206" s="409">
        <v>0.0</v>
      </c>
      <c r="F206" s="364">
        <v>5.0</v>
      </c>
      <c r="G206" s="12">
        <f t="shared" si="1"/>
        <v>1250</v>
      </c>
      <c r="H206" s="384" t="str">
        <f t="shared" si="2"/>
        <v>0 5-star Reviews, 5 Patient Portal Logins</v>
      </c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</row>
    <row r="207" hidden="1">
      <c r="A207" s="411" t="s">
        <v>270</v>
      </c>
      <c r="B207" s="382" t="s">
        <v>1202</v>
      </c>
      <c r="C207" s="382" t="s">
        <v>1203</v>
      </c>
      <c r="D207" s="382" t="s">
        <v>1204</v>
      </c>
      <c r="E207" s="414"/>
      <c r="F207" s="414"/>
      <c r="G207" s="12">
        <f t="shared" si="1"/>
        <v>0</v>
      </c>
      <c r="H207" s="384" t="str">
        <f t="shared" si="2"/>
        <v> 5-star Reviews,  Patient Portal Logins</v>
      </c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</row>
    <row r="208" hidden="1">
      <c r="A208" s="411" t="s">
        <v>270</v>
      </c>
      <c r="B208" s="382" t="s">
        <v>1205</v>
      </c>
      <c r="C208" s="382" t="s">
        <v>1206</v>
      </c>
      <c r="D208" s="382" t="s">
        <v>1207</v>
      </c>
      <c r="E208" s="409">
        <v>0.0</v>
      </c>
      <c r="F208" s="364">
        <v>0.0</v>
      </c>
      <c r="G208" s="12">
        <f t="shared" si="1"/>
        <v>0</v>
      </c>
      <c r="H208" s="384" t="str">
        <f t="shared" si="2"/>
        <v>0 5-star Reviews, 0 Patient Portal Logins</v>
      </c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</row>
    <row r="209" hidden="1">
      <c r="A209" s="411" t="s">
        <v>270</v>
      </c>
      <c r="B209" s="382" t="s">
        <v>1208</v>
      </c>
      <c r="C209" s="382" t="s">
        <v>1209</v>
      </c>
      <c r="D209" s="382" t="s">
        <v>1210</v>
      </c>
      <c r="E209" s="409">
        <v>0.0</v>
      </c>
      <c r="F209" s="364">
        <v>0.0</v>
      </c>
      <c r="G209" s="12">
        <f t="shared" si="1"/>
        <v>0</v>
      </c>
      <c r="H209" s="384" t="str">
        <f t="shared" si="2"/>
        <v>0 5-star Reviews, 0 Patient Portal Logins</v>
      </c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</row>
    <row r="210" hidden="1">
      <c r="A210" s="411" t="s">
        <v>270</v>
      </c>
      <c r="B210" s="385" t="s">
        <v>1211</v>
      </c>
      <c r="C210" s="385" t="s">
        <v>1212</v>
      </c>
      <c r="D210" s="385" t="s">
        <v>1213</v>
      </c>
      <c r="E210" s="409">
        <v>0.0</v>
      </c>
      <c r="F210" s="364">
        <v>0.0</v>
      </c>
      <c r="G210" s="12">
        <f t="shared" si="1"/>
        <v>0</v>
      </c>
      <c r="H210" s="384" t="str">
        <f t="shared" si="2"/>
        <v>0 5-star Reviews, 0 Patient Portal Logins</v>
      </c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</row>
    <row r="211" hidden="1">
      <c r="A211" s="411" t="s">
        <v>270</v>
      </c>
      <c r="B211" s="385" t="s">
        <v>14</v>
      </c>
      <c r="C211" s="385" t="s">
        <v>233</v>
      </c>
      <c r="D211" s="385" t="s">
        <v>16</v>
      </c>
      <c r="E211" s="409">
        <v>0.0</v>
      </c>
      <c r="F211" s="364">
        <v>1.0</v>
      </c>
      <c r="G211" s="12">
        <f t="shared" si="1"/>
        <v>250</v>
      </c>
      <c r="H211" s="384" t="str">
        <f t="shared" si="2"/>
        <v>0 5-star Reviews, 1 Patient Portal Logins</v>
      </c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</row>
    <row r="212" hidden="1">
      <c r="A212" s="411" t="s">
        <v>270</v>
      </c>
      <c r="B212" s="385" t="s">
        <v>1214</v>
      </c>
      <c r="C212" s="385" t="s">
        <v>1215</v>
      </c>
      <c r="D212" s="385" t="s">
        <v>1216</v>
      </c>
      <c r="E212" s="414"/>
      <c r="F212" s="415"/>
      <c r="G212" s="12">
        <f t="shared" si="1"/>
        <v>0</v>
      </c>
      <c r="H212" s="384" t="str">
        <f t="shared" si="2"/>
        <v> 5-star Reviews,  Patient Portal Logins</v>
      </c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</row>
    <row r="213" hidden="1">
      <c r="A213" s="411" t="s">
        <v>297</v>
      </c>
      <c r="B213" s="394" t="s">
        <v>395</v>
      </c>
      <c r="C213" s="394" t="s">
        <v>397</v>
      </c>
      <c r="D213" s="394" t="s">
        <v>396</v>
      </c>
      <c r="E213" s="409">
        <v>0.0</v>
      </c>
      <c r="F213" s="364">
        <v>1.0</v>
      </c>
      <c r="G213" s="12">
        <f t="shared" si="1"/>
        <v>250</v>
      </c>
      <c r="H213" s="384" t="str">
        <f t="shared" si="2"/>
        <v>0 5-star Reviews, 1 Patient Portal Logins</v>
      </c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</row>
    <row r="214" hidden="1">
      <c r="A214" s="411" t="s">
        <v>297</v>
      </c>
      <c r="B214" s="394" t="s">
        <v>580</v>
      </c>
      <c r="C214" s="394" t="s">
        <v>1201</v>
      </c>
      <c r="D214" s="394" t="s">
        <v>582</v>
      </c>
      <c r="E214" s="409">
        <v>0.0</v>
      </c>
      <c r="F214" s="364">
        <v>2.0</v>
      </c>
      <c r="G214" s="12">
        <f t="shared" si="1"/>
        <v>500</v>
      </c>
      <c r="H214" s="384" t="str">
        <f t="shared" si="2"/>
        <v>0 5-star Reviews, 2 Patient Portal Logins</v>
      </c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</row>
    <row r="215" hidden="1">
      <c r="A215" s="411" t="s">
        <v>297</v>
      </c>
      <c r="B215" s="382" t="s">
        <v>1202</v>
      </c>
      <c r="C215" s="382" t="s">
        <v>1203</v>
      </c>
      <c r="D215" s="382" t="s">
        <v>1204</v>
      </c>
      <c r="E215" s="409">
        <v>0.0</v>
      </c>
      <c r="F215" s="364">
        <v>1.0</v>
      </c>
      <c r="G215" s="12">
        <f t="shared" si="1"/>
        <v>250</v>
      </c>
      <c r="H215" s="384" t="str">
        <f t="shared" si="2"/>
        <v>0 5-star Reviews, 1 Patient Portal Logins</v>
      </c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</row>
    <row r="216" hidden="1">
      <c r="A216" s="411" t="s">
        <v>297</v>
      </c>
      <c r="B216" s="382" t="s">
        <v>1188</v>
      </c>
      <c r="C216" s="382" t="s">
        <v>1189</v>
      </c>
      <c r="D216" s="382" t="s">
        <v>1190</v>
      </c>
      <c r="E216" s="416">
        <v>0.0</v>
      </c>
      <c r="F216" s="417">
        <v>0.0</v>
      </c>
      <c r="G216" s="12">
        <f t="shared" si="1"/>
        <v>0</v>
      </c>
      <c r="H216" s="384" t="str">
        <f t="shared" si="2"/>
        <v>0 5-star Reviews, 0 Patient Portal Logins</v>
      </c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</row>
    <row r="217" hidden="1">
      <c r="A217" s="411" t="s">
        <v>297</v>
      </c>
      <c r="B217" s="382" t="s">
        <v>1217</v>
      </c>
      <c r="C217" s="382" t="s">
        <v>1218</v>
      </c>
      <c r="D217" s="382" t="s">
        <v>1219</v>
      </c>
      <c r="E217" s="416">
        <v>0.0</v>
      </c>
      <c r="F217" s="417">
        <v>0.0</v>
      </c>
      <c r="G217" s="12">
        <f t="shared" si="1"/>
        <v>0</v>
      </c>
      <c r="H217" s="384" t="str">
        <f t="shared" si="2"/>
        <v>0 5-star Reviews, 0 Patient Portal Logins</v>
      </c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</row>
    <row r="218" hidden="1">
      <c r="A218" s="411" t="s">
        <v>297</v>
      </c>
      <c r="B218" s="382" t="s">
        <v>1220</v>
      </c>
      <c r="C218" s="382" t="s">
        <v>1221</v>
      </c>
      <c r="D218" s="382" t="s">
        <v>1222</v>
      </c>
      <c r="E218" s="416">
        <v>0.0</v>
      </c>
      <c r="F218" s="417">
        <v>0.0</v>
      </c>
      <c r="G218" s="12">
        <f t="shared" si="1"/>
        <v>0</v>
      </c>
      <c r="H218" s="384" t="str">
        <f t="shared" si="2"/>
        <v>0 5-star Reviews, 0 Patient Portal Logins</v>
      </c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</row>
    <row r="219" hidden="1">
      <c r="A219" s="411" t="s">
        <v>297</v>
      </c>
      <c r="B219" s="382" t="s">
        <v>1223</v>
      </c>
      <c r="C219" s="382" t="s">
        <v>1224</v>
      </c>
      <c r="D219" s="382" t="s">
        <v>1225</v>
      </c>
      <c r="E219" s="6"/>
      <c r="F219" s="6"/>
      <c r="G219" s="12">
        <f t="shared" si="1"/>
        <v>0</v>
      </c>
      <c r="H219" s="384" t="str">
        <f t="shared" si="2"/>
        <v> 5-star Reviews,  Patient Portal Logins</v>
      </c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</row>
    <row r="220" hidden="1">
      <c r="A220" s="411" t="s">
        <v>297</v>
      </c>
      <c r="B220" s="382" t="s">
        <v>1226</v>
      </c>
      <c r="C220" s="382" t="s">
        <v>1227</v>
      </c>
      <c r="D220" s="382" t="s">
        <v>1228</v>
      </c>
      <c r="E220" s="416">
        <v>0.0</v>
      </c>
      <c r="F220" s="417">
        <v>0.0</v>
      </c>
      <c r="G220" s="12">
        <f t="shared" si="1"/>
        <v>0</v>
      </c>
      <c r="H220" s="384" t="str">
        <f t="shared" si="2"/>
        <v>0 5-star Reviews, 0 Patient Portal Logins</v>
      </c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</row>
    <row r="221" hidden="1">
      <c r="A221" s="411" t="s">
        <v>297</v>
      </c>
      <c r="B221" s="382" t="s">
        <v>1205</v>
      </c>
      <c r="C221" s="382" t="s">
        <v>1206</v>
      </c>
      <c r="D221" s="382" t="s">
        <v>1207</v>
      </c>
      <c r="E221" s="416">
        <v>1.0</v>
      </c>
      <c r="F221" s="417">
        <v>0.0</v>
      </c>
      <c r="G221" s="12">
        <f t="shared" si="1"/>
        <v>250</v>
      </c>
      <c r="H221" s="384" t="str">
        <f t="shared" si="2"/>
        <v>1 5-star Reviews, 0 Patient Portal Logins</v>
      </c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</row>
    <row r="222" hidden="1">
      <c r="A222" s="411" t="s">
        <v>297</v>
      </c>
      <c r="B222" s="382" t="s">
        <v>1191</v>
      </c>
      <c r="C222" s="382" t="s">
        <v>1192</v>
      </c>
      <c r="D222" s="382" t="s">
        <v>1193</v>
      </c>
      <c r="E222" s="416">
        <v>0.0</v>
      </c>
      <c r="F222" s="417">
        <v>0.0</v>
      </c>
      <c r="G222" s="12">
        <f t="shared" si="1"/>
        <v>0</v>
      </c>
      <c r="H222" s="384" t="str">
        <f t="shared" si="2"/>
        <v>0 5-star Reviews, 0 Patient Portal Logins</v>
      </c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</row>
    <row r="223" hidden="1">
      <c r="A223" s="411" t="s">
        <v>297</v>
      </c>
      <c r="B223" s="382" t="s">
        <v>1208</v>
      </c>
      <c r="C223" s="382" t="s">
        <v>1209</v>
      </c>
      <c r="D223" s="382" t="s">
        <v>1210</v>
      </c>
      <c r="E223" s="409">
        <v>1.0</v>
      </c>
      <c r="F223" s="417">
        <v>0.0</v>
      </c>
      <c r="G223" s="12">
        <f t="shared" si="1"/>
        <v>250</v>
      </c>
      <c r="H223" s="384" t="str">
        <f t="shared" si="2"/>
        <v>1 5-star Reviews, 0 Patient Portal Logins</v>
      </c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</row>
    <row r="224" hidden="1">
      <c r="A224" s="411" t="s">
        <v>297</v>
      </c>
      <c r="B224" s="385" t="s">
        <v>1229</v>
      </c>
      <c r="C224" s="385" t="s">
        <v>1230</v>
      </c>
      <c r="D224" s="385" t="s">
        <v>1231</v>
      </c>
      <c r="E224" s="6"/>
      <c r="F224" s="6"/>
      <c r="G224" s="12">
        <f t="shared" si="1"/>
        <v>0</v>
      </c>
      <c r="H224" s="384" t="str">
        <f t="shared" si="2"/>
        <v> 5-star Reviews,  Patient Portal Logins</v>
      </c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</row>
    <row r="225" hidden="1">
      <c r="A225" s="411" t="s">
        <v>297</v>
      </c>
      <c r="B225" s="385" t="s">
        <v>1211</v>
      </c>
      <c r="C225" s="385" t="s">
        <v>1212</v>
      </c>
      <c r="D225" s="385" t="s">
        <v>1213</v>
      </c>
      <c r="E225" s="409">
        <v>1.0</v>
      </c>
      <c r="F225" s="417">
        <v>0.0</v>
      </c>
      <c r="G225" s="12">
        <f t="shared" si="1"/>
        <v>250</v>
      </c>
      <c r="H225" s="384" t="str">
        <f t="shared" si="2"/>
        <v>1 5-star Reviews, 0 Patient Portal Logins</v>
      </c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</row>
    <row r="226" hidden="1">
      <c r="A226" s="411" t="s">
        <v>297</v>
      </c>
      <c r="B226" s="385" t="s">
        <v>571</v>
      </c>
      <c r="C226" s="385" t="s">
        <v>1200</v>
      </c>
      <c r="D226" s="385" t="s">
        <v>573</v>
      </c>
      <c r="E226" s="416">
        <v>0.0</v>
      </c>
      <c r="F226" s="417">
        <v>0.0</v>
      </c>
      <c r="G226" s="12">
        <f t="shared" si="1"/>
        <v>0</v>
      </c>
      <c r="H226" s="384" t="str">
        <f t="shared" si="2"/>
        <v>0 5-star Reviews, 0 Patient Portal Logins</v>
      </c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</row>
    <row r="227" hidden="1">
      <c r="A227" s="411" t="s">
        <v>297</v>
      </c>
      <c r="B227" s="385" t="s">
        <v>14</v>
      </c>
      <c r="C227" s="385" t="s">
        <v>233</v>
      </c>
      <c r="D227" s="385" t="s">
        <v>16</v>
      </c>
      <c r="E227" s="409">
        <v>0.0</v>
      </c>
      <c r="F227" s="364">
        <v>6.0</v>
      </c>
      <c r="G227" s="12">
        <f t="shared" si="1"/>
        <v>1500</v>
      </c>
      <c r="H227" s="384" t="str">
        <f t="shared" si="2"/>
        <v>0 5-star Reviews, 6 Patient Portal Logins</v>
      </c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</row>
    <row r="228" hidden="1">
      <c r="A228" s="411" t="s">
        <v>297</v>
      </c>
      <c r="B228" s="385" t="s">
        <v>1197</v>
      </c>
      <c r="C228" s="385" t="s">
        <v>1198</v>
      </c>
      <c r="D228" s="385" t="s">
        <v>1199</v>
      </c>
      <c r="E228" s="416">
        <v>0.0</v>
      </c>
      <c r="F228" s="417">
        <v>0.0</v>
      </c>
      <c r="G228" s="12">
        <f t="shared" si="1"/>
        <v>0</v>
      </c>
      <c r="H228" s="384" t="str">
        <f t="shared" si="2"/>
        <v>0 5-star Reviews, 0 Patient Portal Logins</v>
      </c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</row>
    <row r="229" hidden="1">
      <c r="A229" s="411" t="s">
        <v>297</v>
      </c>
      <c r="B229" s="418" t="s">
        <v>574</v>
      </c>
      <c r="C229" s="418" t="s">
        <v>575</v>
      </c>
      <c r="D229" s="418" t="s">
        <v>576</v>
      </c>
      <c r="E229" s="416">
        <v>0.0</v>
      </c>
      <c r="F229" s="417">
        <v>0.0</v>
      </c>
      <c r="G229" s="12">
        <f t="shared" si="1"/>
        <v>0</v>
      </c>
      <c r="H229" s="384" t="str">
        <f t="shared" si="2"/>
        <v>0 5-star Reviews, 0 Patient Portal Logins</v>
      </c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</row>
    <row r="230" hidden="1">
      <c r="A230" s="411" t="s">
        <v>297</v>
      </c>
      <c r="B230" s="385" t="s">
        <v>1194</v>
      </c>
      <c r="C230" s="385" t="s">
        <v>1195</v>
      </c>
      <c r="D230" s="385" t="s">
        <v>1196</v>
      </c>
      <c r="E230" s="416">
        <v>0.0</v>
      </c>
      <c r="F230" s="417">
        <v>0.0</v>
      </c>
      <c r="G230" s="12">
        <f t="shared" si="1"/>
        <v>0</v>
      </c>
      <c r="H230" s="384" t="str">
        <f t="shared" si="2"/>
        <v>0 5-star Reviews, 0 Patient Portal Logins</v>
      </c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</row>
    <row r="231" hidden="1">
      <c r="A231" s="411" t="s">
        <v>297</v>
      </c>
      <c r="B231" s="385" t="s">
        <v>1232</v>
      </c>
      <c r="C231" s="385" t="s">
        <v>1233</v>
      </c>
      <c r="D231" s="385" t="s">
        <v>1234</v>
      </c>
      <c r="E231" s="416">
        <v>0.0</v>
      </c>
      <c r="F231" s="417">
        <v>0.0</v>
      </c>
      <c r="G231" s="12">
        <f t="shared" si="1"/>
        <v>0</v>
      </c>
      <c r="H231" s="384" t="str">
        <f t="shared" si="2"/>
        <v>0 5-star Reviews, 0 Patient Portal Logins</v>
      </c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</row>
    <row r="232" hidden="1">
      <c r="A232" s="411" t="s">
        <v>297</v>
      </c>
      <c r="B232" s="385" t="s">
        <v>1214</v>
      </c>
      <c r="C232" s="385" t="s">
        <v>1215</v>
      </c>
      <c r="D232" s="385" t="s">
        <v>1216</v>
      </c>
      <c r="E232" s="409">
        <v>2.0</v>
      </c>
      <c r="F232" s="417">
        <v>0.0</v>
      </c>
      <c r="G232" s="12">
        <f t="shared" si="1"/>
        <v>500</v>
      </c>
      <c r="H232" s="384" t="str">
        <f t="shared" si="2"/>
        <v>2 5-star Reviews, 0 Patient Portal Logins</v>
      </c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</row>
    <row r="233" hidden="1">
      <c r="A233" s="411" t="s">
        <v>298</v>
      </c>
      <c r="B233" s="394" t="s">
        <v>395</v>
      </c>
      <c r="C233" s="394" t="s">
        <v>397</v>
      </c>
      <c r="D233" s="394" t="s">
        <v>396</v>
      </c>
      <c r="E233" s="409">
        <v>0.0</v>
      </c>
      <c r="F233" s="364">
        <v>0.0</v>
      </c>
      <c r="G233" s="12">
        <f t="shared" si="1"/>
        <v>0</v>
      </c>
      <c r="H233" s="384" t="str">
        <f t="shared" si="2"/>
        <v>0 5-star Reviews, 0 Patient Portal Logins</v>
      </c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idden="1">
      <c r="A234" s="411" t="s">
        <v>298</v>
      </c>
      <c r="B234" s="394" t="s">
        <v>580</v>
      </c>
      <c r="C234" s="394" t="s">
        <v>1201</v>
      </c>
      <c r="D234" s="394" t="s">
        <v>582</v>
      </c>
      <c r="E234" s="409">
        <v>0.0</v>
      </c>
      <c r="F234" s="364">
        <v>0.0</v>
      </c>
      <c r="G234" s="12">
        <f t="shared" si="1"/>
        <v>0</v>
      </c>
      <c r="H234" s="384" t="str">
        <f t="shared" si="2"/>
        <v>0 5-star Reviews, 0 Patient Portal Logins</v>
      </c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idden="1">
      <c r="A235" s="411" t="s">
        <v>298</v>
      </c>
      <c r="B235" s="382" t="s">
        <v>1202</v>
      </c>
      <c r="C235" s="382" t="s">
        <v>1203</v>
      </c>
      <c r="D235" s="382" t="s">
        <v>1204</v>
      </c>
      <c r="E235" s="409">
        <v>0.0</v>
      </c>
      <c r="F235" s="364">
        <v>0.0</v>
      </c>
      <c r="G235" s="12">
        <f t="shared" si="1"/>
        <v>0</v>
      </c>
      <c r="H235" s="384" t="str">
        <f t="shared" si="2"/>
        <v>0 5-star Reviews, 0 Patient Portal Logins</v>
      </c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idden="1">
      <c r="A236" s="411" t="s">
        <v>298</v>
      </c>
      <c r="B236" s="382" t="s">
        <v>1188</v>
      </c>
      <c r="C236" s="382" t="s">
        <v>1189</v>
      </c>
      <c r="D236" s="382" t="s">
        <v>1190</v>
      </c>
      <c r="E236" s="409">
        <v>0.0</v>
      </c>
      <c r="F236" s="364">
        <v>0.0</v>
      </c>
      <c r="G236" s="12">
        <f t="shared" si="1"/>
        <v>0</v>
      </c>
      <c r="H236" s="384" t="str">
        <f t="shared" si="2"/>
        <v>0 5-star Reviews, 0 Patient Portal Logins</v>
      </c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idden="1">
      <c r="A237" s="411" t="s">
        <v>298</v>
      </c>
      <c r="B237" s="382" t="s">
        <v>1217</v>
      </c>
      <c r="C237" s="382" t="s">
        <v>1218</v>
      </c>
      <c r="D237" s="382" t="s">
        <v>1219</v>
      </c>
      <c r="E237" s="409">
        <v>0.0</v>
      </c>
      <c r="F237" s="364">
        <v>0.0</v>
      </c>
      <c r="G237" s="12">
        <f t="shared" si="1"/>
        <v>0</v>
      </c>
      <c r="H237" s="384" t="str">
        <f t="shared" si="2"/>
        <v>0 5-star Reviews, 0 Patient Portal Logins</v>
      </c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idden="1">
      <c r="A238" s="411" t="s">
        <v>298</v>
      </c>
      <c r="B238" s="382" t="s">
        <v>1220</v>
      </c>
      <c r="C238" s="382" t="s">
        <v>1221</v>
      </c>
      <c r="D238" s="382" t="s">
        <v>1222</v>
      </c>
      <c r="E238" s="409">
        <v>0.0</v>
      </c>
      <c r="F238" s="364">
        <v>0.0</v>
      </c>
      <c r="G238" s="12">
        <f t="shared" si="1"/>
        <v>0</v>
      </c>
      <c r="H238" s="384" t="str">
        <f t="shared" si="2"/>
        <v>0 5-star Reviews, 0 Patient Portal Logins</v>
      </c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idden="1">
      <c r="A239" s="411" t="s">
        <v>298</v>
      </c>
      <c r="B239" s="382" t="s">
        <v>1223</v>
      </c>
      <c r="C239" s="382" t="s">
        <v>1224</v>
      </c>
      <c r="D239" s="382" t="s">
        <v>1225</v>
      </c>
      <c r="E239" s="76"/>
      <c r="F239" s="76"/>
      <c r="G239" s="12">
        <f t="shared" si="1"/>
        <v>0</v>
      </c>
      <c r="H239" s="384" t="str">
        <f t="shared" si="2"/>
        <v> 5-star Reviews,  Patient Portal Logins</v>
      </c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idden="1">
      <c r="A240" s="411" t="s">
        <v>298</v>
      </c>
      <c r="B240" s="382" t="s">
        <v>1226</v>
      </c>
      <c r="C240" s="382" t="s">
        <v>1227</v>
      </c>
      <c r="D240" s="382" t="s">
        <v>1228</v>
      </c>
      <c r="E240" s="409">
        <v>0.0</v>
      </c>
      <c r="F240" s="364">
        <v>0.0</v>
      </c>
      <c r="G240" s="12">
        <f t="shared" si="1"/>
        <v>0</v>
      </c>
      <c r="H240" s="384" t="str">
        <f t="shared" si="2"/>
        <v>0 5-star Reviews, 0 Patient Portal Logins</v>
      </c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idden="1">
      <c r="A241" s="411" t="s">
        <v>298</v>
      </c>
      <c r="B241" s="382" t="s">
        <v>1205</v>
      </c>
      <c r="C241" s="382" t="s">
        <v>1206</v>
      </c>
      <c r="D241" s="382" t="s">
        <v>1207</v>
      </c>
      <c r="E241" s="409">
        <v>0.0</v>
      </c>
      <c r="F241" s="364">
        <v>0.0</v>
      </c>
      <c r="G241" s="12">
        <f t="shared" si="1"/>
        <v>0</v>
      </c>
      <c r="H241" s="384" t="str">
        <f t="shared" si="2"/>
        <v>0 5-star Reviews, 0 Patient Portal Logins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idden="1">
      <c r="A242" s="411" t="s">
        <v>298</v>
      </c>
      <c r="B242" s="382" t="s">
        <v>1191</v>
      </c>
      <c r="C242" s="382" t="s">
        <v>1192</v>
      </c>
      <c r="D242" s="382" t="s">
        <v>1193</v>
      </c>
      <c r="E242" s="409">
        <v>0.0</v>
      </c>
      <c r="F242" s="364">
        <v>0.0</v>
      </c>
      <c r="G242" s="12">
        <f t="shared" si="1"/>
        <v>0</v>
      </c>
      <c r="H242" s="384" t="str">
        <f t="shared" si="2"/>
        <v>0 5-star Reviews, 0 Patient Portal Logins</v>
      </c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idden="1">
      <c r="A243" s="411" t="s">
        <v>298</v>
      </c>
      <c r="B243" s="382" t="s">
        <v>1208</v>
      </c>
      <c r="C243" s="382" t="s">
        <v>1209</v>
      </c>
      <c r="D243" s="382" t="s">
        <v>1210</v>
      </c>
      <c r="E243" s="409">
        <v>0.0</v>
      </c>
      <c r="F243" s="364">
        <v>0.0</v>
      </c>
      <c r="G243" s="12">
        <f t="shared" si="1"/>
        <v>0</v>
      </c>
      <c r="H243" s="384" t="str">
        <f t="shared" si="2"/>
        <v>0 5-star Reviews, 0 Patient Portal Logins</v>
      </c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idden="1">
      <c r="A244" s="411" t="s">
        <v>298</v>
      </c>
      <c r="B244" s="385" t="s">
        <v>1229</v>
      </c>
      <c r="C244" s="385" t="s">
        <v>1230</v>
      </c>
      <c r="D244" s="385" t="s">
        <v>1231</v>
      </c>
      <c r="E244" s="76"/>
      <c r="F244" s="76"/>
      <c r="G244" s="12">
        <f t="shared" si="1"/>
        <v>0</v>
      </c>
      <c r="H244" s="384" t="str">
        <f t="shared" si="2"/>
        <v> 5-star Reviews,  Patient Portal Logins</v>
      </c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idden="1">
      <c r="A245" s="411" t="s">
        <v>298</v>
      </c>
      <c r="B245" s="385" t="s">
        <v>1211</v>
      </c>
      <c r="C245" s="385" t="s">
        <v>1212</v>
      </c>
      <c r="D245" s="385" t="s">
        <v>1213</v>
      </c>
      <c r="E245" s="409">
        <v>1.0</v>
      </c>
      <c r="F245" s="364">
        <v>0.0</v>
      </c>
      <c r="G245" s="12">
        <f t="shared" si="1"/>
        <v>250</v>
      </c>
      <c r="H245" s="384" t="str">
        <f t="shared" si="2"/>
        <v>1 5-star Reviews, 0 Patient Portal Logins</v>
      </c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idden="1">
      <c r="A246" s="411" t="s">
        <v>298</v>
      </c>
      <c r="B246" s="385" t="s">
        <v>571</v>
      </c>
      <c r="C246" s="385" t="s">
        <v>1200</v>
      </c>
      <c r="D246" s="385" t="s">
        <v>573</v>
      </c>
      <c r="E246" s="409">
        <v>0.0</v>
      </c>
      <c r="F246" s="364">
        <v>0.0</v>
      </c>
      <c r="G246" s="12">
        <f t="shared" si="1"/>
        <v>0</v>
      </c>
      <c r="H246" s="384" t="str">
        <f t="shared" si="2"/>
        <v>0 5-star Reviews, 0 Patient Portal Logins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idden="1">
      <c r="A247" s="411" t="s">
        <v>298</v>
      </c>
      <c r="B247" s="385" t="s">
        <v>14</v>
      </c>
      <c r="C247" s="385" t="s">
        <v>233</v>
      </c>
      <c r="D247" s="385" t="s">
        <v>16</v>
      </c>
      <c r="E247" s="409">
        <v>1.0</v>
      </c>
      <c r="F247" s="364">
        <v>2.0</v>
      </c>
      <c r="G247" s="12">
        <f t="shared" si="1"/>
        <v>750</v>
      </c>
      <c r="H247" s="384" t="str">
        <f t="shared" si="2"/>
        <v>1 5-star Reviews, 2 Patient Portal Logins</v>
      </c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idden="1">
      <c r="A248" s="411" t="s">
        <v>298</v>
      </c>
      <c r="B248" s="385" t="s">
        <v>1197</v>
      </c>
      <c r="C248" s="385" t="s">
        <v>1198</v>
      </c>
      <c r="D248" s="385" t="s">
        <v>1199</v>
      </c>
      <c r="E248" s="409">
        <v>0.0</v>
      </c>
      <c r="F248" s="364">
        <v>0.0</v>
      </c>
      <c r="G248" s="12">
        <f t="shared" si="1"/>
        <v>0</v>
      </c>
      <c r="H248" s="384" t="str">
        <f t="shared" si="2"/>
        <v>0 5-star Reviews, 0 Patient Portal Logins</v>
      </c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idden="1">
      <c r="A249" s="411" t="s">
        <v>298</v>
      </c>
      <c r="B249" s="418" t="s">
        <v>574</v>
      </c>
      <c r="C249" s="418" t="s">
        <v>575</v>
      </c>
      <c r="D249" s="418" t="s">
        <v>576</v>
      </c>
      <c r="E249" s="409">
        <v>0.0</v>
      </c>
      <c r="F249" s="364">
        <v>0.0</v>
      </c>
      <c r="G249" s="12">
        <f t="shared" si="1"/>
        <v>0</v>
      </c>
      <c r="H249" s="384" t="str">
        <f t="shared" si="2"/>
        <v>0 5-star Reviews, 0 Patient Portal Logins</v>
      </c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idden="1">
      <c r="A250" s="411" t="s">
        <v>298</v>
      </c>
      <c r="B250" s="385" t="s">
        <v>1194</v>
      </c>
      <c r="C250" s="385" t="s">
        <v>1195</v>
      </c>
      <c r="D250" s="385" t="s">
        <v>1196</v>
      </c>
      <c r="E250" s="365"/>
      <c r="F250" s="365"/>
      <c r="G250" s="12">
        <f t="shared" si="1"/>
        <v>0</v>
      </c>
      <c r="H250" s="384" t="str">
        <f t="shared" si="2"/>
        <v> 5-star Reviews,  Patient Portal Logins</v>
      </c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idden="1">
      <c r="A251" s="411" t="s">
        <v>298</v>
      </c>
      <c r="B251" s="385" t="s">
        <v>1232</v>
      </c>
      <c r="C251" s="385" t="s">
        <v>1233</v>
      </c>
      <c r="D251" s="385" t="s">
        <v>1234</v>
      </c>
      <c r="E251" s="365"/>
      <c r="F251" s="365"/>
      <c r="G251" s="12">
        <f t="shared" si="1"/>
        <v>0</v>
      </c>
      <c r="H251" s="384" t="str">
        <f t="shared" si="2"/>
        <v> 5-star Reviews,  Patient Portal Logins</v>
      </c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idden="1">
      <c r="A252" s="411" t="s">
        <v>298</v>
      </c>
      <c r="B252" s="385" t="s">
        <v>1214</v>
      </c>
      <c r="C252" s="385" t="s">
        <v>1215</v>
      </c>
      <c r="D252" s="385" t="s">
        <v>1216</v>
      </c>
      <c r="E252" s="365"/>
      <c r="F252" s="365"/>
      <c r="G252" s="12">
        <f t="shared" si="1"/>
        <v>0</v>
      </c>
      <c r="H252" s="384" t="str">
        <f t="shared" si="2"/>
        <v> 5-star Reviews,  Patient Portal Logins</v>
      </c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idden="1">
      <c r="A253" s="411" t="s">
        <v>299</v>
      </c>
      <c r="B253" s="382" t="s">
        <v>1202</v>
      </c>
      <c r="C253" s="382" t="s">
        <v>1203</v>
      </c>
      <c r="D253" s="382" t="s">
        <v>1204</v>
      </c>
      <c r="E253" s="409">
        <v>0.0</v>
      </c>
      <c r="F253" s="364">
        <v>0.0</v>
      </c>
      <c r="G253" s="12">
        <f t="shared" si="1"/>
        <v>0</v>
      </c>
      <c r="H253" s="384" t="str">
        <f t="shared" si="2"/>
        <v>0 5-star Reviews, 0 Patient Portal Logins</v>
      </c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idden="1">
      <c r="A254" s="411" t="s">
        <v>299</v>
      </c>
      <c r="B254" s="382" t="s">
        <v>1188</v>
      </c>
      <c r="C254" s="382" t="s">
        <v>1189</v>
      </c>
      <c r="D254" s="382" t="s">
        <v>1190</v>
      </c>
      <c r="E254" s="409">
        <v>0.0</v>
      </c>
      <c r="F254" s="364">
        <v>1.0</v>
      </c>
      <c r="G254" s="12">
        <f t="shared" si="1"/>
        <v>250</v>
      </c>
      <c r="H254" s="384" t="str">
        <f t="shared" si="2"/>
        <v>0 5-star Reviews, 1 Patient Portal Logins</v>
      </c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idden="1">
      <c r="A255" s="411" t="s">
        <v>299</v>
      </c>
      <c r="B255" s="382" t="s">
        <v>1217</v>
      </c>
      <c r="C255" s="382" t="s">
        <v>1218</v>
      </c>
      <c r="D255" s="382" t="s">
        <v>1219</v>
      </c>
      <c r="E255" s="409">
        <v>0.0</v>
      </c>
      <c r="F255" s="364">
        <v>3.0</v>
      </c>
      <c r="G255" s="12">
        <f t="shared" si="1"/>
        <v>750</v>
      </c>
      <c r="H255" s="384" t="str">
        <f t="shared" si="2"/>
        <v>0 5-star Reviews, 3 Patient Portal Logins</v>
      </c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idden="1">
      <c r="A256" s="411" t="s">
        <v>299</v>
      </c>
      <c r="B256" s="382" t="s">
        <v>1220</v>
      </c>
      <c r="C256" s="382" t="s">
        <v>1221</v>
      </c>
      <c r="D256" s="382" t="s">
        <v>1222</v>
      </c>
      <c r="E256" s="409">
        <v>0.0</v>
      </c>
      <c r="F256" s="364">
        <v>0.0</v>
      </c>
      <c r="G256" s="12">
        <f t="shared" si="1"/>
        <v>0</v>
      </c>
      <c r="H256" s="384" t="str">
        <f t="shared" si="2"/>
        <v>0 5-star Reviews, 0 Patient Portal Logins</v>
      </c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idden="1">
      <c r="A257" s="411" t="s">
        <v>299</v>
      </c>
      <c r="B257" s="382" t="s">
        <v>1223</v>
      </c>
      <c r="C257" s="382" t="s">
        <v>1224</v>
      </c>
      <c r="D257" s="382" t="s">
        <v>1225</v>
      </c>
      <c r="E257" s="368"/>
      <c r="F257" s="368"/>
      <c r="G257" s="12">
        <f t="shared" si="1"/>
        <v>0</v>
      </c>
      <c r="H257" s="384" t="str">
        <f t="shared" si="2"/>
        <v> 5-star Reviews,  Patient Portal Logins</v>
      </c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idden="1">
      <c r="A258" s="411" t="s">
        <v>299</v>
      </c>
      <c r="B258" s="382" t="s">
        <v>1226</v>
      </c>
      <c r="C258" s="382" t="s">
        <v>1227</v>
      </c>
      <c r="D258" s="382" t="s">
        <v>1228</v>
      </c>
      <c r="E258" s="409">
        <v>0.0</v>
      </c>
      <c r="F258" s="364">
        <v>0.0</v>
      </c>
      <c r="G258" s="12">
        <f t="shared" si="1"/>
        <v>0</v>
      </c>
      <c r="H258" s="384" t="str">
        <f t="shared" si="2"/>
        <v>0 5-star Reviews, 0 Patient Portal Logins</v>
      </c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idden="1">
      <c r="A259" s="411" t="s">
        <v>299</v>
      </c>
      <c r="B259" s="382" t="s">
        <v>1205</v>
      </c>
      <c r="C259" s="382" t="s">
        <v>1206</v>
      </c>
      <c r="D259" s="382" t="s">
        <v>1207</v>
      </c>
      <c r="E259" s="409">
        <v>0.0</v>
      </c>
      <c r="F259" s="364">
        <v>0.0</v>
      </c>
      <c r="G259" s="12">
        <f t="shared" si="1"/>
        <v>0</v>
      </c>
      <c r="H259" s="384" t="str">
        <f t="shared" si="2"/>
        <v>0 5-star Reviews, 0 Patient Portal Logins</v>
      </c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idden="1">
      <c r="A260" s="411" t="s">
        <v>299</v>
      </c>
      <c r="B260" s="382" t="s">
        <v>1191</v>
      </c>
      <c r="C260" s="382" t="s">
        <v>1192</v>
      </c>
      <c r="D260" s="382" t="s">
        <v>1193</v>
      </c>
      <c r="E260" s="409">
        <v>0.0</v>
      </c>
      <c r="F260" s="364">
        <v>3.0</v>
      </c>
      <c r="G260" s="12">
        <f t="shared" si="1"/>
        <v>750</v>
      </c>
      <c r="H260" s="384" t="str">
        <f t="shared" si="2"/>
        <v>0 5-star Reviews, 3 Patient Portal Logins</v>
      </c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idden="1">
      <c r="A261" s="411" t="s">
        <v>299</v>
      </c>
      <c r="B261" s="382" t="s">
        <v>1208</v>
      </c>
      <c r="C261" s="382" t="s">
        <v>1209</v>
      </c>
      <c r="D261" s="382" t="s">
        <v>1210</v>
      </c>
      <c r="E261" s="409">
        <v>0.0</v>
      </c>
      <c r="F261" s="364">
        <v>0.0</v>
      </c>
      <c r="G261" s="12">
        <f t="shared" si="1"/>
        <v>0</v>
      </c>
      <c r="H261" s="384" t="str">
        <f t="shared" si="2"/>
        <v>0 5-star Reviews, 0 Patient Portal Logins</v>
      </c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idden="1">
      <c r="A262" s="411" t="s">
        <v>299</v>
      </c>
      <c r="B262" s="385" t="s">
        <v>1229</v>
      </c>
      <c r="C262" s="385" t="s">
        <v>1230</v>
      </c>
      <c r="D262" s="385" t="s">
        <v>1231</v>
      </c>
      <c r="E262" s="129"/>
      <c r="F262" s="365"/>
      <c r="G262" s="12">
        <f t="shared" si="1"/>
        <v>0</v>
      </c>
      <c r="H262" s="384" t="str">
        <f t="shared" si="2"/>
        <v> 5-star Reviews,  Patient Portal Logins</v>
      </c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idden="1">
      <c r="A263" s="411" t="s">
        <v>299</v>
      </c>
      <c r="B263" s="385" t="s">
        <v>1211</v>
      </c>
      <c r="C263" s="385" t="s">
        <v>1212</v>
      </c>
      <c r="D263" s="385" t="s">
        <v>1213</v>
      </c>
      <c r="E263" s="409">
        <v>0.0</v>
      </c>
      <c r="F263" s="364">
        <v>3.0</v>
      </c>
      <c r="G263" s="12">
        <f t="shared" si="1"/>
        <v>750</v>
      </c>
      <c r="H263" s="384" t="str">
        <f t="shared" si="2"/>
        <v>0 5-star Reviews, 3 Patient Portal Logins</v>
      </c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idden="1">
      <c r="A264" s="411" t="s">
        <v>299</v>
      </c>
      <c r="B264" s="385" t="s">
        <v>571</v>
      </c>
      <c r="C264" s="385" t="s">
        <v>1200</v>
      </c>
      <c r="D264" s="385" t="s">
        <v>573</v>
      </c>
      <c r="E264" s="409">
        <v>0.0</v>
      </c>
      <c r="F264" s="366">
        <v>1.0</v>
      </c>
      <c r="G264" s="12">
        <f t="shared" si="1"/>
        <v>250</v>
      </c>
      <c r="H264" s="384" t="str">
        <f t="shared" si="2"/>
        <v>0 5-star Reviews, 1 Patient Portal Logins</v>
      </c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idden="1">
      <c r="A265" s="411" t="s">
        <v>299</v>
      </c>
      <c r="B265" s="385" t="s">
        <v>14</v>
      </c>
      <c r="C265" s="385" t="s">
        <v>233</v>
      </c>
      <c r="D265" s="385" t="s">
        <v>16</v>
      </c>
      <c r="E265" s="409">
        <v>0.0</v>
      </c>
      <c r="F265" s="364">
        <v>7.0</v>
      </c>
      <c r="G265" s="12">
        <f t="shared" si="1"/>
        <v>1750</v>
      </c>
      <c r="H265" s="384" t="str">
        <f t="shared" si="2"/>
        <v>0 5-star Reviews, 7 Patient Portal Logins</v>
      </c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idden="1">
      <c r="A266" s="411" t="s">
        <v>299</v>
      </c>
      <c r="B266" s="385" t="s">
        <v>1197</v>
      </c>
      <c r="C266" s="385" t="s">
        <v>1198</v>
      </c>
      <c r="D266" s="385" t="s">
        <v>1199</v>
      </c>
      <c r="E266" s="409">
        <v>0.0</v>
      </c>
      <c r="F266" s="364">
        <v>0.0</v>
      </c>
      <c r="G266" s="12">
        <f t="shared" si="1"/>
        <v>0</v>
      </c>
      <c r="H266" s="384" t="str">
        <f t="shared" si="2"/>
        <v>0 5-star Reviews, 0 Patient Portal Logins</v>
      </c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idden="1">
      <c r="A267" s="411" t="s">
        <v>299</v>
      </c>
      <c r="B267" s="385" t="s">
        <v>1194</v>
      </c>
      <c r="C267" s="385" t="s">
        <v>1195</v>
      </c>
      <c r="D267" s="385" t="s">
        <v>1196</v>
      </c>
      <c r="E267" s="409">
        <v>0.0</v>
      </c>
      <c r="F267" s="364">
        <v>0.0</v>
      </c>
      <c r="G267" s="12">
        <f t="shared" si="1"/>
        <v>0</v>
      </c>
      <c r="H267" s="384" t="str">
        <f t="shared" si="2"/>
        <v>0 5-star Reviews, 0 Patient Portal Logins</v>
      </c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idden="1">
      <c r="A268" s="411" t="s">
        <v>299</v>
      </c>
      <c r="B268" s="385" t="s">
        <v>1232</v>
      </c>
      <c r="C268" s="385" t="s">
        <v>1233</v>
      </c>
      <c r="D268" s="385" t="s">
        <v>1234</v>
      </c>
      <c r="E268" s="409">
        <v>0.0</v>
      </c>
      <c r="F268" s="364">
        <v>0.0</v>
      </c>
      <c r="G268" s="12">
        <f t="shared" si="1"/>
        <v>0</v>
      </c>
      <c r="H268" s="384" t="str">
        <f t="shared" si="2"/>
        <v>0 5-star Reviews, 0 Patient Portal Logins</v>
      </c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idden="1">
      <c r="A269" s="411" t="s">
        <v>299</v>
      </c>
      <c r="B269" s="385" t="s">
        <v>1214</v>
      </c>
      <c r="C269" s="385" t="s">
        <v>1215</v>
      </c>
      <c r="D269" s="385" t="s">
        <v>1216</v>
      </c>
      <c r="E269" s="409">
        <v>0.0</v>
      </c>
      <c r="F269" s="364">
        <v>0.0</v>
      </c>
      <c r="G269" s="12">
        <f t="shared" si="1"/>
        <v>0</v>
      </c>
      <c r="H269" s="384" t="str">
        <f t="shared" si="2"/>
        <v>0 5-star Reviews, 0 Patient Portal Logins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idden="1">
      <c r="A270" s="411" t="s">
        <v>300</v>
      </c>
      <c r="B270" s="394" t="s">
        <v>580</v>
      </c>
      <c r="C270" s="394" t="s">
        <v>1201</v>
      </c>
      <c r="D270" s="394" t="s">
        <v>582</v>
      </c>
      <c r="E270" s="419"/>
      <c r="F270" s="419"/>
      <c r="G270" s="12">
        <f t="shared" si="1"/>
        <v>0</v>
      </c>
      <c r="H270" s="384" t="str">
        <f t="shared" si="2"/>
        <v> 5-star Reviews,  Patient Portal Logins</v>
      </c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idden="1">
      <c r="A271" s="411" t="s">
        <v>300</v>
      </c>
      <c r="B271" s="394" t="s">
        <v>1202</v>
      </c>
      <c r="C271" s="394" t="s">
        <v>1203</v>
      </c>
      <c r="D271" s="394" t="s">
        <v>1204</v>
      </c>
      <c r="E271" s="419"/>
      <c r="F271" s="419"/>
      <c r="G271" s="12">
        <f t="shared" si="1"/>
        <v>0</v>
      </c>
      <c r="H271" s="384" t="str">
        <f t="shared" si="2"/>
        <v> 5-star Reviews,  Patient Portal Logins</v>
      </c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idden="1">
      <c r="A272" s="411" t="s">
        <v>300</v>
      </c>
      <c r="B272" s="394" t="s">
        <v>1188</v>
      </c>
      <c r="C272" s="394" t="s">
        <v>1189</v>
      </c>
      <c r="D272" s="394" t="s">
        <v>1190</v>
      </c>
      <c r="E272" s="419"/>
      <c r="F272" s="419"/>
      <c r="G272" s="12">
        <f t="shared" si="1"/>
        <v>0</v>
      </c>
      <c r="H272" s="384" t="str">
        <f t="shared" si="2"/>
        <v> 5-star Reviews,  Patient Portal Logins</v>
      </c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idden="1">
      <c r="A273" s="411" t="s">
        <v>300</v>
      </c>
      <c r="B273" s="394" t="s">
        <v>1217</v>
      </c>
      <c r="C273" s="394" t="s">
        <v>1218</v>
      </c>
      <c r="D273" s="394" t="s">
        <v>1219</v>
      </c>
      <c r="E273" s="409">
        <v>0.0</v>
      </c>
      <c r="F273" s="364">
        <v>2.0</v>
      </c>
      <c r="G273" s="12">
        <f t="shared" si="1"/>
        <v>500</v>
      </c>
      <c r="H273" s="384" t="str">
        <f t="shared" si="2"/>
        <v>0 5-star Reviews, 2 Patient Portal Logins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idden="1">
      <c r="A274" s="411" t="s">
        <v>300</v>
      </c>
      <c r="B274" s="394" t="s">
        <v>1220</v>
      </c>
      <c r="C274" s="394" t="s">
        <v>1221</v>
      </c>
      <c r="D274" s="394" t="s">
        <v>1222</v>
      </c>
      <c r="E274" s="420">
        <v>0.0</v>
      </c>
      <c r="F274" s="127">
        <v>0.0</v>
      </c>
      <c r="G274" s="12">
        <f t="shared" si="1"/>
        <v>0</v>
      </c>
      <c r="H274" s="384" t="str">
        <f t="shared" si="2"/>
        <v>0 5-star Reviews, 0 Patient Portal Logins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idden="1">
      <c r="A275" s="411" t="s">
        <v>300</v>
      </c>
      <c r="B275" s="394" t="s">
        <v>1223</v>
      </c>
      <c r="C275" s="394" t="s">
        <v>1224</v>
      </c>
      <c r="D275" s="394" t="s">
        <v>1225</v>
      </c>
      <c r="E275" s="419"/>
      <c r="F275" s="419"/>
      <c r="G275" s="12">
        <f t="shared" si="1"/>
        <v>0</v>
      </c>
      <c r="H275" s="384" t="str">
        <f t="shared" si="2"/>
        <v> 5-star Reviews,  Patient Portal Logins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idden="1">
      <c r="A276" s="411" t="s">
        <v>300</v>
      </c>
      <c r="B276" s="394" t="s">
        <v>1226</v>
      </c>
      <c r="C276" s="394" t="s">
        <v>1227</v>
      </c>
      <c r="D276" s="394" t="s">
        <v>1228</v>
      </c>
      <c r="E276" s="420">
        <v>0.0</v>
      </c>
      <c r="F276" s="127">
        <v>0.0</v>
      </c>
      <c r="G276" s="12">
        <f t="shared" si="1"/>
        <v>0</v>
      </c>
      <c r="H276" s="384" t="str">
        <f t="shared" si="2"/>
        <v>0 5-star Reviews, 0 Patient Portal Logins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idden="1">
      <c r="A277" s="411" t="s">
        <v>300</v>
      </c>
      <c r="B277" s="382" t="s">
        <v>1205</v>
      </c>
      <c r="C277" s="382" t="s">
        <v>1206</v>
      </c>
      <c r="D277" s="382" t="s">
        <v>1207</v>
      </c>
      <c r="E277" s="420">
        <v>0.0</v>
      </c>
      <c r="F277" s="127">
        <v>0.0</v>
      </c>
      <c r="G277" s="12">
        <f t="shared" si="1"/>
        <v>0</v>
      </c>
      <c r="H277" s="384" t="str">
        <f t="shared" si="2"/>
        <v>0 5-star Reviews, 0 Patient Portal Logins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idden="1">
      <c r="A278" s="411" t="s">
        <v>300</v>
      </c>
      <c r="B278" s="382" t="s">
        <v>1191</v>
      </c>
      <c r="C278" s="382" t="s">
        <v>1192</v>
      </c>
      <c r="D278" s="382" t="s">
        <v>1193</v>
      </c>
      <c r="E278" s="420">
        <v>0.0</v>
      </c>
      <c r="F278" s="364">
        <v>2.0</v>
      </c>
      <c r="G278" s="12">
        <f t="shared" si="1"/>
        <v>500</v>
      </c>
      <c r="H278" s="384" t="str">
        <f t="shared" si="2"/>
        <v>0 5-star Reviews, 2 Patient Portal Logins</v>
      </c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idden="1">
      <c r="A279" s="411" t="s">
        <v>300</v>
      </c>
      <c r="B279" s="382" t="s">
        <v>1208</v>
      </c>
      <c r="C279" s="382" t="s">
        <v>1209</v>
      </c>
      <c r="D279" s="382" t="s">
        <v>1210</v>
      </c>
      <c r="E279" s="420">
        <v>0.0</v>
      </c>
      <c r="F279" s="127">
        <v>0.0</v>
      </c>
      <c r="G279" s="12">
        <f t="shared" si="1"/>
        <v>0</v>
      </c>
      <c r="H279" s="384" t="str">
        <f t="shared" si="2"/>
        <v>0 5-star Reviews, 0 Patient Portal Logins</v>
      </c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idden="1">
      <c r="A280" s="411" t="s">
        <v>300</v>
      </c>
      <c r="B280" s="385" t="s">
        <v>1229</v>
      </c>
      <c r="C280" s="385" t="s">
        <v>1230</v>
      </c>
      <c r="D280" s="385" t="s">
        <v>1231</v>
      </c>
      <c r="E280" s="420">
        <v>0.0</v>
      </c>
      <c r="F280" s="364">
        <v>19.0</v>
      </c>
      <c r="G280" s="12">
        <f t="shared" si="1"/>
        <v>4750</v>
      </c>
      <c r="H280" s="384" t="str">
        <f t="shared" si="2"/>
        <v>0 5-star Reviews, 19 Patient Portal Logins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idden="1">
      <c r="A281" s="411" t="s">
        <v>300</v>
      </c>
      <c r="B281" s="385" t="s">
        <v>1211</v>
      </c>
      <c r="C281" s="385" t="s">
        <v>1212</v>
      </c>
      <c r="D281" s="385" t="s">
        <v>1213</v>
      </c>
      <c r="E281" s="420">
        <v>0.0</v>
      </c>
      <c r="F281" s="127">
        <v>0.0</v>
      </c>
      <c r="G281" s="12">
        <f t="shared" si="1"/>
        <v>0</v>
      </c>
      <c r="H281" s="384" t="str">
        <f t="shared" si="2"/>
        <v>0 5-star Reviews, 0 Patient Portal Logins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idden="1">
      <c r="A282" s="411" t="s">
        <v>300</v>
      </c>
      <c r="B282" s="385" t="s">
        <v>571</v>
      </c>
      <c r="C282" s="385" t="s">
        <v>1200</v>
      </c>
      <c r="D282" s="385" t="s">
        <v>573</v>
      </c>
      <c r="E282" s="420">
        <v>0.0</v>
      </c>
      <c r="F282" s="127">
        <v>0.0</v>
      </c>
      <c r="G282" s="12">
        <f t="shared" si="1"/>
        <v>0</v>
      </c>
      <c r="H282" s="384" t="str">
        <f t="shared" si="2"/>
        <v>0 5-star Reviews, 0 Patient Portal Logins</v>
      </c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idden="1">
      <c r="A283" s="411" t="s">
        <v>300</v>
      </c>
      <c r="B283" s="385" t="s">
        <v>14</v>
      </c>
      <c r="C283" s="385" t="s">
        <v>233</v>
      </c>
      <c r="D283" s="385" t="s">
        <v>16</v>
      </c>
      <c r="E283" s="420">
        <v>0.0</v>
      </c>
      <c r="F283" s="127">
        <v>0.0</v>
      </c>
      <c r="G283" s="12">
        <f t="shared" si="1"/>
        <v>0</v>
      </c>
      <c r="H283" s="384" t="str">
        <f t="shared" si="2"/>
        <v>0 5-star Reviews, 0 Patient Portal Logins</v>
      </c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idden="1">
      <c r="A284" s="411" t="s">
        <v>300</v>
      </c>
      <c r="B284" s="385" t="s">
        <v>1197</v>
      </c>
      <c r="C284" s="385" t="s">
        <v>1198</v>
      </c>
      <c r="D284" s="385" t="s">
        <v>1199</v>
      </c>
      <c r="E284" s="420">
        <v>0.0</v>
      </c>
      <c r="F284" s="127">
        <v>0.0</v>
      </c>
      <c r="G284" s="12">
        <f t="shared" si="1"/>
        <v>0</v>
      </c>
      <c r="H284" s="384" t="str">
        <f t="shared" si="2"/>
        <v>0 5-star Reviews, 0 Patient Portal Logins</v>
      </c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idden="1">
      <c r="A285" s="411" t="s">
        <v>300</v>
      </c>
      <c r="B285" s="385" t="s">
        <v>1194</v>
      </c>
      <c r="C285" s="385" t="s">
        <v>1195</v>
      </c>
      <c r="D285" s="385" t="s">
        <v>1196</v>
      </c>
      <c r="E285" s="420">
        <v>0.0</v>
      </c>
      <c r="F285" s="127">
        <v>0.0</v>
      </c>
      <c r="G285" s="12">
        <f t="shared" si="1"/>
        <v>0</v>
      </c>
      <c r="H285" s="384" t="str">
        <f t="shared" si="2"/>
        <v>0 5-star Reviews, 0 Patient Portal Logins</v>
      </c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idden="1">
      <c r="A286" s="411" t="s">
        <v>300</v>
      </c>
      <c r="B286" s="385" t="s">
        <v>1232</v>
      </c>
      <c r="C286" s="385" t="s">
        <v>1233</v>
      </c>
      <c r="D286" s="385" t="s">
        <v>1234</v>
      </c>
      <c r="E286" s="420">
        <v>0.0</v>
      </c>
      <c r="F286" s="127">
        <v>0.0</v>
      </c>
      <c r="G286" s="12">
        <f t="shared" si="1"/>
        <v>0</v>
      </c>
      <c r="H286" s="384" t="str">
        <f t="shared" si="2"/>
        <v>0 5-star Reviews, 0 Patient Portal Logins</v>
      </c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idden="1">
      <c r="A287" s="411" t="s">
        <v>300</v>
      </c>
      <c r="B287" s="385" t="s">
        <v>1214</v>
      </c>
      <c r="C287" s="385" t="s">
        <v>1215</v>
      </c>
      <c r="D287" s="385" t="s">
        <v>1216</v>
      </c>
      <c r="E287" s="409">
        <v>2.0</v>
      </c>
      <c r="F287" s="127">
        <v>0.0</v>
      </c>
      <c r="G287" s="12">
        <f t="shared" si="1"/>
        <v>500</v>
      </c>
      <c r="H287" s="384" t="str">
        <f t="shared" si="2"/>
        <v>2 5-star Reviews, 0 Patient Portal Logins</v>
      </c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idden="1">
      <c r="A288" s="421" t="s">
        <v>301</v>
      </c>
      <c r="B288" s="394" t="s">
        <v>1223</v>
      </c>
      <c r="C288" s="394" t="s">
        <v>1224</v>
      </c>
      <c r="D288" s="394" t="s">
        <v>1225</v>
      </c>
      <c r="E288" s="413"/>
      <c r="F288" s="366"/>
      <c r="G288" s="12">
        <f t="shared" si="1"/>
        <v>0</v>
      </c>
      <c r="H288" s="384" t="str">
        <f t="shared" si="2"/>
        <v> 5-star Reviews,  Patient Portal Logins</v>
      </c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idden="1">
      <c r="A289" s="421" t="s">
        <v>301</v>
      </c>
      <c r="B289" s="394" t="s">
        <v>1226</v>
      </c>
      <c r="C289" s="394" t="s">
        <v>1227</v>
      </c>
      <c r="D289" s="394" t="s">
        <v>1228</v>
      </c>
      <c r="E289" s="413">
        <v>0.0</v>
      </c>
      <c r="F289" s="366">
        <v>0.0</v>
      </c>
      <c r="G289" s="12">
        <f t="shared" si="1"/>
        <v>0</v>
      </c>
      <c r="H289" s="384" t="str">
        <f t="shared" si="2"/>
        <v>0 5-star Reviews, 0 Patient Portal Logins</v>
      </c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idden="1">
      <c r="A290" s="421" t="s">
        <v>301</v>
      </c>
      <c r="B290" s="382" t="s">
        <v>1205</v>
      </c>
      <c r="C290" s="382" t="s">
        <v>1206</v>
      </c>
      <c r="D290" s="382" t="s">
        <v>1207</v>
      </c>
      <c r="E290" s="409">
        <v>1.0</v>
      </c>
      <c r="F290" s="364">
        <v>25.0</v>
      </c>
      <c r="G290" s="12">
        <f t="shared" si="1"/>
        <v>6500</v>
      </c>
      <c r="H290" s="384" t="str">
        <f t="shared" si="2"/>
        <v>1 5-star Reviews, 25 Patient Portal Logins</v>
      </c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idden="1">
      <c r="A291" s="421" t="s">
        <v>301</v>
      </c>
      <c r="B291" s="382" t="s">
        <v>1191</v>
      </c>
      <c r="C291" s="382" t="s">
        <v>1192</v>
      </c>
      <c r="D291" s="382" t="s">
        <v>1193</v>
      </c>
      <c r="E291" s="413">
        <v>0.0</v>
      </c>
      <c r="F291" s="364">
        <v>0.0</v>
      </c>
      <c r="G291" s="12">
        <f t="shared" si="1"/>
        <v>0</v>
      </c>
      <c r="H291" s="384" t="str">
        <f t="shared" si="2"/>
        <v>0 5-star Reviews, 0 Patient Portal Logins</v>
      </c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idden="1">
      <c r="A292" s="421" t="s">
        <v>301</v>
      </c>
      <c r="B292" s="382" t="s">
        <v>1208</v>
      </c>
      <c r="C292" s="382" t="s">
        <v>1209</v>
      </c>
      <c r="D292" s="382" t="s">
        <v>1210</v>
      </c>
      <c r="E292" s="413">
        <v>0.0</v>
      </c>
      <c r="F292" s="364">
        <v>0.0</v>
      </c>
      <c r="G292" s="12">
        <f t="shared" si="1"/>
        <v>0</v>
      </c>
      <c r="H292" s="384" t="str">
        <f t="shared" si="2"/>
        <v>0 5-star Reviews, 0 Patient Portal Logins</v>
      </c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idden="1">
      <c r="A293" s="421" t="s">
        <v>301</v>
      </c>
      <c r="B293" s="385" t="s">
        <v>1229</v>
      </c>
      <c r="C293" s="385" t="s">
        <v>1230</v>
      </c>
      <c r="D293" s="385" t="s">
        <v>1231</v>
      </c>
      <c r="E293" s="409">
        <v>1.0</v>
      </c>
      <c r="F293" s="364">
        <v>23.0</v>
      </c>
      <c r="G293" s="12">
        <f t="shared" si="1"/>
        <v>6000</v>
      </c>
      <c r="H293" s="384" t="str">
        <f t="shared" si="2"/>
        <v>1 5-star Reviews, 23 Patient Portal Logins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idden="1">
      <c r="A294" s="421" t="s">
        <v>301</v>
      </c>
      <c r="B294" s="385" t="s">
        <v>1211</v>
      </c>
      <c r="C294" s="385" t="s">
        <v>1212</v>
      </c>
      <c r="D294" s="385" t="s">
        <v>1213</v>
      </c>
      <c r="E294" s="413">
        <v>0.0</v>
      </c>
      <c r="F294" s="364">
        <v>0.0</v>
      </c>
      <c r="G294" s="12">
        <f t="shared" si="1"/>
        <v>0</v>
      </c>
      <c r="H294" s="384" t="str">
        <f t="shared" si="2"/>
        <v>0 5-star Reviews, 0 Patient Portal Logins</v>
      </c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idden="1">
      <c r="A295" s="421" t="s">
        <v>301</v>
      </c>
      <c r="B295" s="385" t="s">
        <v>571</v>
      </c>
      <c r="C295" s="385" t="s">
        <v>1200</v>
      </c>
      <c r="D295" s="385" t="s">
        <v>573</v>
      </c>
      <c r="E295" s="413">
        <v>0.0</v>
      </c>
      <c r="F295" s="364">
        <v>0.0</v>
      </c>
      <c r="G295" s="12">
        <f t="shared" si="1"/>
        <v>0</v>
      </c>
      <c r="H295" s="384" t="str">
        <f t="shared" si="2"/>
        <v>0 5-star Reviews, 0 Patient Portal Logins</v>
      </c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idden="1">
      <c r="A296" s="421" t="s">
        <v>301</v>
      </c>
      <c r="B296" s="385" t="s">
        <v>14</v>
      </c>
      <c r="C296" s="385" t="s">
        <v>233</v>
      </c>
      <c r="D296" s="385" t="s">
        <v>16</v>
      </c>
      <c r="E296" s="409">
        <v>0.0</v>
      </c>
      <c r="F296" s="364">
        <v>1.0</v>
      </c>
      <c r="G296" s="12">
        <f t="shared" si="1"/>
        <v>250</v>
      </c>
      <c r="H296" s="384" t="str">
        <f t="shared" si="2"/>
        <v>0 5-star Reviews, 1 Patient Portal Logins</v>
      </c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idden="1">
      <c r="A297" s="421" t="s">
        <v>301</v>
      </c>
      <c r="B297" s="385" t="s">
        <v>1197</v>
      </c>
      <c r="C297" s="385" t="s">
        <v>1198</v>
      </c>
      <c r="D297" s="385" t="s">
        <v>1199</v>
      </c>
      <c r="E297" s="413">
        <v>0.0</v>
      </c>
      <c r="F297" s="364">
        <v>0.0</v>
      </c>
      <c r="G297" s="12">
        <f t="shared" si="1"/>
        <v>0</v>
      </c>
      <c r="H297" s="384" t="str">
        <f t="shared" si="2"/>
        <v>0 5-star Reviews, 0 Patient Portal Logins</v>
      </c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idden="1">
      <c r="A298" s="421" t="s">
        <v>301</v>
      </c>
      <c r="B298" s="385" t="s">
        <v>1194</v>
      </c>
      <c r="C298" s="385" t="s">
        <v>1195</v>
      </c>
      <c r="D298" s="385" t="s">
        <v>1196</v>
      </c>
      <c r="E298" s="409">
        <v>0.0</v>
      </c>
      <c r="F298" s="364">
        <v>1.0</v>
      </c>
      <c r="G298" s="12">
        <f t="shared" si="1"/>
        <v>250</v>
      </c>
      <c r="H298" s="384" t="str">
        <f t="shared" si="2"/>
        <v>0 5-star Reviews, 1 Patient Portal Logins</v>
      </c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idden="1">
      <c r="A299" s="421" t="s">
        <v>301</v>
      </c>
      <c r="B299" s="385" t="s">
        <v>1232</v>
      </c>
      <c r="C299" s="385" t="s">
        <v>1233</v>
      </c>
      <c r="D299" s="385" t="s">
        <v>1234</v>
      </c>
      <c r="E299" s="413">
        <v>0.0</v>
      </c>
      <c r="F299" s="364">
        <v>0.0</v>
      </c>
      <c r="G299" s="12">
        <f t="shared" si="1"/>
        <v>0</v>
      </c>
      <c r="H299" s="384" t="str">
        <f t="shared" si="2"/>
        <v>0 5-star Reviews, 0 Patient Portal Logins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idden="1">
      <c r="A300" s="421" t="s">
        <v>301</v>
      </c>
      <c r="B300" s="385" t="s">
        <v>1214</v>
      </c>
      <c r="C300" s="385" t="s">
        <v>1215</v>
      </c>
      <c r="D300" s="385" t="s">
        <v>1216</v>
      </c>
      <c r="E300" s="413">
        <v>0.0</v>
      </c>
      <c r="F300" s="364">
        <v>0.0</v>
      </c>
      <c r="G300" s="12">
        <f t="shared" si="1"/>
        <v>0</v>
      </c>
      <c r="H300" s="384" t="str">
        <f t="shared" si="2"/>
        <v>0 5-star Reviews, 0 Patient Portal Logins</v>
      </c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idden="1">
      <c r="A301" s="421" t="s">
        <v>302</v>
      </c>
      <c r="B301" s="422" t="s">
        <v>1205</v>
      </c>
      <c r="C301" s="422" t="s">
        <v>1206</v>
      </c>
      <c r="D301" s="422" t="s">
        <v>1207</v>
      </c>
      <c r="E301" s="423">
        <v>0.0</v>
      </c>
      <c r="F301" s="424">
        <v>0.0</v>
      </c>
      <c r="G301" s="425">
        <f t="shared" si="1"/>
        <v>0</v>
      </c>
      <c r="H301" s="426" t="str">
        <f t="shared" si="2"/>
        <v>0 5-star Reviews, 0 Patient Portal Logins</v>
      </c>
      <c r="I301" s="427"/>
      <c r="J301" s="427"/>
      <c r="K301" s="427"/>
      <c r="L301" s="427"/>
      <c r="M301" s="427"/>
      <c r="N301" s="427"/>
      <c r="O301" s="427"/>
      <c r="P301" s="427"/>
      <c r="Q301" s="427"/>
      <c r="R301" s="427"/>
      <c r="S301" s="427"/>
      <c r="T301" s="427"/>
      <c r="U301" s="427"/>
      <c r="V301" s="427"/>
      <c r="W301" s="427"/>
      <c r="X301" s="427"/>
      <c r="Y301" s="427"/>
      <c r="Z301" s="427"/>
      <c r="AA301" s="427"/>
      <c r="AB301" s="427"/>
    </row>
    <row r="302" hidden="1">
      <c r="A302" s="421" t="s">
        <v>302</v>
      </c>
      <c r="B302" s="422" t="s">
        <v>1191</v>
      </c>
      <c r="C302" s="422" t="s">
        <v>1192</v>
      </c>
      <c r="D302" s="422" t="s">
        <v>1193</v>
      </c>
      <c r="E302" s="423">
        <v>0.0</v>
      </c>
      <c r="F302" s="424">
        <v>2.0</v>
      </c>
      <c r="G302" s="425">
        <f t="shared" si="1"/>
        <v>500</v>
      </c>
      <c r="H302" s="426" t="str">
        <f t="shared" si="2"/>
        <v>0 5-star Reviews, 2 Patient Portal Logins</v>
      </c>
      <c r="I302" s="427"/>
      <c r="J302" s="427"/>
      <c r="K302" s="427"/>
      <c r="L302" s="427"/>
      <c r="M302" s="427"/>
      <c r="N302" s="427"/>
      <c r="O302" s="427"/>
      <c r="P302" s="427"/>
      <c r="Q302" s="427"/>
      <c r="R302" s="427"/>
      <c r="S302" s="427"/>
      <c r="T302" s="427"/>
      <c r="U302" s="427"/>
      <c r="V302" s="427"/>
      <c r="W302" s="427"/>
      <c r="X302" s="427"/>
      <c r="Y302" s="427"/>
      <c r="Z302" s="427"/>
      <c r="AA302" s="427"/>
      <c r="AB302" s="427"/>
    </row>
    <row r="303" hidden="1">
      <c r="A303" s="421" t="s">
        <v>302</v>
      </c>
      <c r="B303" s="422" t="s">
        <v>1208</v>
      </c>
      <c r="C303" s="422" t="s">
        <v>1209</v>
      </c>
      <c r="D303" s="422" t="s">
        <v>1210</v>
      </c>
      <c r="E303" s="424">
        <v>0.0</v>
      </c>
      <c r="F303" s="424">
        <v>0.0</v>
      </c>
      <c r="G303" s="425">
        <f t="shared" si="1"/>
        <v>0</v>
      </c>
      <c r="H303" s="426" t="str">
        <f t="shared" si="2"/>
        <v>0 5-star Reviews, 0 Patient Portal Logins</v>
      </c>
      <c r="I303" s="427"/>
      <c r="J303" s="427"/>
      <c r="K303" s="427"/>
      <c r="L303" s="427"/>
      <c r="M303" s="427"/>
      <c r="N303" s="427"/>
      <c r="O303" s="427"/>
      <c r="P303" s="427"/>
      <c r="Q303" s="427"/>
      <c r="R303" s="427"/>
      <c r="S303" s="427"/>
      <c r="T303" s="427"/>
      <c r="U303" s="427"/>
      <c r="V303" s="427"/>
      <c r="W303" s="427"/>
      <c r="X303" s="427"/>
      <c r="Y303" s="427"/>
      <c r="Z303" s="427"/>
      <c r="AA303" s="427"/>
      <c r="AB303" s="427"/>
    </row>
    <row r="304" hidden="1">
      <c r="A304" s="421" t="s">
        <v>302</v>
      </c>
      <c r="B304" s="428" t="s">
        <v>1229</v>
      </c>
      <c r="C304" s="428" t="s">
        <v>1230</v>
      </c>
      <c r="D304" s="428" t="s">
        <v>1231</v>
      </c>
      <c r="E304" s="424">
        <v>0.0</v>
      </c>
      <c r="F304" s="424">
        <v>22.0</v>
      </c>
      <c r="G304" s="425">
        <f t="shared" si="1"/>
        <v>5500</v>
      </c>
      <c r="H304" s="426" t="str">
        <f t="shared" si="2"/>
        <v>0 5-star Reviews, 22 Patient Portal Logins</v>
      </c>
      <c r="I304" s="427"/>
      <c r="J304" s="427"/>
      <c r="K304" s="427"/>
      <c r="L304" s="427"/>
      <c r="M304" s="427"/>
      <c r="N304" s="427"/>
      <c r="O304" s="427"/>
      <c r="P304" s="427"/>
      <c r="Q304" s="427"/>
      <c r="R304" s="427"/>
      <c r="S304" s="427"/>
      <c r="T304" s="427"/>
      <c r="U304" s="427"/>
      <c r="V304" s="427"/>
      <c r="W304" s="427"/>
      <c r="X304" s="427"/>
      <c r="Y304" s="427"/>
      <c r="Z304" s="427"/>
      <c r="AA304" s="427"/>
      <c r="AB304" s="427"/>
    </row>
    <row r="305" hidden="1">
      <c r="A305" s="421" t="s">
        <v>302</v>
      </c>
      <c r="B305" s="428" t="s">
        <v>1211</v>
      </c>
      <c r="C305" s="428" t="s">
        <v>1212</v>
      </c>
      <c r="D305" s="428" t="s">
        <v>1213</v>
      </c>
      <c r="E305" s="424">
        <v>1.0</v>
      </c>
      <c r="F305" s="424">
        <v>1.0</v>
      </c>
      <c r="G305" s="425">
        <f t="shared" si="1"/>
        <v>500</v>
      </c>
      <c r="H305" s="426" t="str">
        <f t="shared" si="2"/>
        <v>1 5-star Reviews, 1 Patient Portal Logins</v>
      </c>
      <c r="I305" s="427"/>
      <c r="J305" s="427"/>
      <c r="K305" s="427"/>
      <c r="L305" s="427"/>
      <c r="M305" s="427"/>
      <c r="N305" s="427"/>
      <c r="O305" s="427"/>
      <c r="P305" s="427"/>
      <c r="Q305" s="427"/>
      <c r="R305" s="427"/>
      <c r="S305" s="427"/>
      <c r="T305" s="427"/>
      <c r="U305" s="427"/>
      <c r="V305" s="427"/>
      <c r="W305" s="427"/>
      <c r="X305" s="427"/>
      <c r="Y305" s="427"/>
      <c r="Z305" s="427"/>
      <c r="AA305" s="427"/>
      <c r="AB305" s="427"/>
    </row>
    <row r="306" hidden="1">
      <c r="A306" s="421" t="s">
        <v>302</v>
      </c>
      <c r="B306" s="428" t="s">
        <v>571</v>
      </c>
      <c r="C306" s="428" t="s">
        <v>1200</v>
      </c>
      <c r="D306" s="428" t="s">
        <v>573</v>
      </c>
      <c r="E306" s="424">
        <v>0.0</v>
      </c>
      <c r="F306" s="424">
        <v>0.0</v>
      </c>
      <c r="G306" s="425">
        <f t="shared" si="1"/>
        <v>0</v>
      </c>
      <c r="H306" s="426" t="str">
        <f t="shared" si="2"/>
        <v>0 5-star Reviews, 0 Patient Portal Logins</v>
      </c>
      <c r="I306" s="427"/>
      <c r="J306" s="427"/>
      <c r="K306" s="427"/>
      <c r="L306" s="427"/>
      <c r="M306" s="427"/>
      <c r="N306" s="427"/>
      <c r="O306" s="427"/>
      <c r="P306" s="427"/>
      <c r="Q306" s="427"/>
      <c r="R306" s="427"/>
      <c r="S306" s="427"/>
      <c r="T306" s="427"/>
      <c r="U306" s="427"/>
      <c r="V306" s="427"/>
      <c r="W306" s="427"/>
      <c r="X306" s="427"/>
      <c r="Y306" s="427"/>
      <c r="Z306" s="427"/>
      <c r="AA306" s="427"/>
      <c r="AB306" s="427"/>
    </row>
    <row r="307" hidden="1">
      <c r="A307" s="421" t="s">
        <v>302</v>
      </c>
      <c r="B307" s="428" t="s">
        <v>14</v>
      </c>
      <c r="C307" s="428" t="s">
        <v>233</v>
      </c>
      <c r="D307" s="428" t="s">
        <v>16</v>
      </c>
      <c r="E307" s="423">
        <v>0.0</v>
      </c>
      <c r="F307" s="424">
        <v>3.0</v>
      </c>
      <c r="G307" s="425">
        <f t="shared" si="1"/>
        <v>750</v>
      </c>
      <c r="H307" s="426" t="str">
        <f t="shared" si="2"/>
        <v>0 5-star Reviews, 3 Patient Portal Logins</v>
      </c>
      <c r="I307" s="427"/>
      <c r="J307" s="427"/>
      <c r="K307" s="427"/>
      <c r="L307" s="427"/>
      <c r="M307" s="427"/>
      <c r="N307" s="427"/>
      <c r="O307" s="427"/>
      <c r="P307" s="427"/>
      <c r="Q307" s="427"/>
      <c r="R307" s="427"/>
      <c r="S307" s="427"/>
      <c r="T307" s="427"/>
      <c r="U307" s="427"/>
      <c r="V307" s="427"/>
      <c r="W307" s="427"/>
      <c r="X307" s="427"/>
      <c r="Y307" s="427"/>
      <c r="Z307" s="427"/>
      <c r="AA307" s="427"/>
      <c r="AB307" s="427"/>
    </row>
    <row r="308" hidden="1">
      <c r="A308" s="421" t="s">
        <v>302</v>
      </c>
      <c r="B308" s="428" t="s">
        <v>1197</v>
      </c>
      <c r="C308" s="428" t="s">
        <v>1198</v>
      </c>
      <c r="D308" s="428" t="s">
        <v>1199</v>
      </c>
      <c r="E308" s="423">
        <v>0.0</v>
      </c>
      <c r="F308" s="423">
        <v>0.0</v>
      </c>
      <c r="G308" s="425">
        <f t="shared" si="1"/>
        <v>0</v>
      </c>
      <c r="H308" s="426" t="str">
        <f t="shared" si="2"/>
        <v>0 5-star Reviews, 0 Patient Portal Logins</v>
      </c>
      <c r="I308" s="427"/>
      <c r="J308" s="427"/>
      <c r="K308" s="427"/>
      <c r="L308" s="427"/>
      <c r="M308" s="427"/>
      <c r="N308" s="427"/>
      <c r="O308" s="427"/>
      <c r="P308" s="427"/>
      <c r="Q308" s="427"/>
      <c r="R308" s="427"/>
      <c r="S308" s="427"/>
      <c r="T308" s="427"/>
      <c r="U308" s="427"/>
      <c r="V308" s="427"/>
      <c r="W308" s="427"/>
      <c r="X308" s="427"/>
      <c r="Y308" s="427"/>
      <c r="Z308" s="427"/>
      <c r="AA308" s="427"/>
      <c r="AB308" s="427"/>
    </row>
    <row r="309" hidden="1">
      <c r="A309" s="421" t="s">
        <v>302</v>
      </c>
      <c r="B309" s="428" t="s">
        <v>1194</v>
      </c>
      <c r="C309" s="428" t="s">
        <v>1195</v>
      </c>
      <c r="D309" s="428" t="s">
        <v>1196</v>
      </c>
      <c r="E309" s="424">
        <v>0.0</v>
      </c>
      <c r="F309" s="424">
        <v>1.0</v>
      </c>
      <c r="G309" s="425">
        <f t="shared" si="1"/>
        <v>250</v>
      </c>
      <c r="H309" s="426" t="str">
        <f t="shared" si="2"/>
        <v>0 5-star Reviews, 1 Patient Portal Logins</v>
      </c>
      <c r="I309" s="427"/>
      <c r="J309" s="427"/>
      <c r="K309" s="427"/>
      <c r="L309" s="427"/>
      <c r="M309" s="427"/>
      <c r="N309" s="427"/>
      <c r="O309" s="427"/>
      <c r="P309" s="427"/>
      <c r="Q309" s="427"/>
      <c r="R309" s="427"/>
      <c r="S309" s="427"/>
      <c r="T309" s="427"/>
      <c r="U309" s="427"/>
      <c r="V309" s="427"/>
      <c r="W309" s="427"/>
      <c r="X309" s="427"/>
      <c r="Y309" s="427"/>
      <c r="Z309" s="427"/>
      <c r="AA309" s="427"/>
      <c r="AB309" s="427"/>
    </row>
    <row r="310" hidden="1">
      <c r="A310" s="421" t="s">
        <v>302</v>
      </c>
      <c r="B310" s="428" t="s">
        <v>1232</v>
      </c>
      <c r="C310" s="428" t="s">
        <v>1233</v>
      </c>
      <c r="D310" s="428" t="s">
        <v>1234</v>
      </c>
      <c r="E310" s="423">
        <v>0.0</v>
      </c>
      <c r="F310" s="424">
        <v>0.0</v>
      </c>
      <c r="G310" s="425">
        <f t="shared" si="1"/>
        <v>0</v>
      </c>
      <c r="H310" s="426" t="str">
        <f t="shared" si="2"/>
        <v>0 5-star Reviews, 0 Patient Portal Logins</v>
      </c>
      <c r="I310" s="427"/>
      <c r="J310" s="427"/>
      <c r="K310" s="427"/>
      <c r="L310" s="427"/>
      <c r="M310" s="427"/>
      <c r="N310" s="427"/>
      <c r="O310" s="427"/>
      <c r="P310" s="427"/>
      <c r="Q310" s="427"/>
      <c r="R310" s="427"/>
      <c r="S310" s="427"/>
      <c r="T310" s="427"/>
      <c r="U310" s="427"/>
      <c r="V310" s="427"/>
      <c r="W310" s="427"/>
      <c r="X310" s="427"/>
      <c r="Y310" s="427"/>
      <c r="Z310" s="427"/>
      <c r="AA310" s="427"/>
      <c r="AB310" s="427"/>
    </row>
    <row r="311" hidden="1">
      <c r="A311" s="421" t="s">
        <v>302</v>
      </c>
      <c r="B311" s="428" t="s">
        <v>1214</v>
      </c>
      <c r="C311" s="428" t="s">
        <v>1215</v>
      </c>
      <c r="D311" s="428" t="s">
        <v>1216</v>
      </c>
      <c r="E311" s="423">
        <v>0.0</v>
      </c>
      <c r="F311" s="423">
        <v>0.0</v>
      </c>
      <c r="G311" s="425">
        <f t="shared" si="1"/>
        <v>0</v>
      </c>
      <c r="H311" s="426" t="str">
        <f t="shared" si="2"/>
        <v>0 5-star Reviews, 0 Patient Portal Logins</v>
      </c>
      <c r="I311" s="427"/>
      <c r="J311" s="427"/>
      <c r="K311" s="427"/>
      <c r="L311" s="427"/>
      <c r="M311" s="427"/>
      <c r="N311" s="427"/>
      <c r="O311" s="427"/>
      <c r="P311" s="427"/>
      <c r="Q311" s="427"/>
      <c r="R311" s="427"/>
      <c r="S311" s="427"/>
      <c r="T311" s="427"/>
      <c r="U311" s="427"/>
      <c r="V311" s="427"/>
      <c r="W311" s="427"/>
      <c r="X311" s="427"/>
      <c r="Y311" s="427"/>
      <c r="Z311" s="427"/>
      <c r="AA311" s="427"/>
      <c r="AB311" s="427"/>
    </row>
    <row r="312" hidden="1">
      <c r="A312" s="429" t="s">
        <v>306</v>
      </c>
      <c r="B312" s="422" t="s">
        <v>1205</v>
      </c>
      <c r="C312" s="422" t="s">
        <v>1206</v>
      </c>
      <c r="D312" s="422" t="s">
        <v>1207</v>
      </c>
      <c r="E312" s="423">
        <v>0.0</v>
      </c>
      <c r="F312" s="424">
        <v>3.0</v>
      </c>
      <c r="G312" s="425">
        <f t="shared" si="1"/>
        <v>750</v>
      </c>
      <c r="H312" s="426" t="str">
        <f t="shared" si="2"/>
        <v>0 5-star Reviews, 3 Patient Portal Logins</v>
      </c>
      <c r="I312" s="427"/>
      <c r="J312" s="427"/>
      <c r="K312" s="427"/>
      <c r="L312" s="427"/>
      <c r="M312" s="427"/>
      <c r="N312" s="427"/>
      <c r="O312" s="427"/>
      <c r="P312" s="427"/>
      <c r="Q312" s="427"/>
      <c r="R312" s="427"/>
      <c r="S312" s="427"/>
      <c r="T312" s="427"/>
      <c r="U312" s="427"/>
      <c r="V312" s="427"/>
      <c r="W312" s="427"/>
      <c r="X312" s="427"/>
      <c r="Y312" s="427"/>
      <c r="Z312" s="427"/>
      <c r="AA312" s="427"/>
      <c r="AB312" s="427"/>
    </row>
    <row r="313" hidden="1">
      <c r="A313" s="429" t="s">
        <v>306</v>
      </c>
      <c r="B313" s="422" t="s">
        <v>1191</v>
      </c>
      <c r="C313" s="422" t="s">
        <v>1192</v>
      </c>
      <c r="D313" s="422" t="s">
        <v>1193</v>
      </c>
      <c r="E313" s="423">
        <v>0.0</v>
      </c>
      <c r="F313" s="424">
        <v>2.0</v>
      </c>
      <c r="G313" s="425">
        <f t="shared" si="1"/>
        <v>500</v>
      </c>
      <c r="H313" s="426" t="str">
        <f t="shared" si="2"/>
        <v>0 5-star Reviews, 2 Patient Portal Logins</v>
      </c>
      <c r="I313" s="427"/>
      <c r="J313" s="427"/>
      <c r="K313" s="427"/>
      <c r="L313" s="427"/>
      <c r="M313" s="427"/>
      <c r="N313" s="427"/>
      <c r="O313" s="427"/>
      <c r="P313" s="427"/>
      <c r="Q313" s="427"/>
      <c r="R313" s="427"/>
      <c r="S313" s="427"/>
      <c r="T313" s="427"/>
      <c r="U313" s="427"/>
      <c r="V313" s="427"/>
      <c r="W313" s="427"/>
      <c r="X313" s="427"/>
      <c r="Y313" s="427"/>
      <c r="Z313" s="427"/>
      <c r="AA313" s="427"/>
      <c r="AB313" s="427"/>
    </row>
    <row r="314" hidden="1">
      <c r="A314" s="429" t="s">
        <v>306</v>
      </c>
      <c r="B314" s="422" t="s">
        <v>1208</v>
      </c>
      <c r="C314" s="422" t="s">
        <v>1209</v>
      </c>
      <c r="D314" s="422" t="s">
        <v>1210</v>
      </c>
      <c r="E314" s="424">
        <v>0.0</v>
      </c>
      <c r="F314" s="424">
        <v>2.0</v>
      </c>
      <c r="G314" s="425">
        <f t="shared" si="1"/>
        <v>500</v>
      </c>
      <c r="H314" s="426" t="str">
        <f t="shared" si="2"/>
        <v>0 5-star Reviews, 2 Patient Portal Logins</v>
      </c>
      <c r="I314" s="427"/>
      <c r="J314" s="427"/>
      <c r="K314" s="427"/>
      <c r="L314" s="427"/>
      <c r="M314" s="427"/>
      <c r="N314" s="427"/>
      <c r="O314" s="427"/>
      <c r="P314" s="427"/>
      <c r="Q314" s="427"/>
      <c r="R314" s="427"/>
      <c r="S314" s="427"/>
      <c r="T314" s="427"/>
      <c r="U314" s="427"/>
      <c r="V314" s="427"/>
      <c r="W314" s="427"/>
      <c r="X314" s="427"/>
      <c r="Y314" s="427"/>
      <c r="Z314" s="427"/>
      <c r="AA314" s="427"/>
      <c r="AB314" s="427"/>
    </row>
    <row r="315" hidden="1">
      <c r="A315" s="429" t="s">
        <v>306</v>
      </c>
      <c r="B315" s="428" t="s">
        <v>1229</v>
      </c>
      <c r="C315" s="428" t="s">
        <v>1230</v>
      </c>
      <c r="D315" s="428" t="s">
        <v>1231</v>
      </c>
      <c r="E315" s="424">
        <v>2.0</v>
      </c>
      <c r="F315" s="424">
        <v>19.0</v>
      </c>
      <c r="G315" s="425">
        <f t="shared" si="1"/>
        <v>5250</v>
      </c>
      <c r="H315" s="426" t="str">
        <f t="shared" si="2"/>
        <v>2 5-star Reviews, 19 Patient Portal Logins</v>
      </c>
      <c r="I315" s="427"/>
      <c r="J315" s="427"/>
      <c r="K315" s="427"/>
      <c r="L315" s="427"/>
      <c r="M315" s="427"/>
      <c r="N315" s="427"/>
      <c r="O315" s="427"/>
      <c r="P315" s="427"/>
      <c r="Q315" s="427"/>
      <c r="R315" s="427"/>
      <c r="S315" s="427"/>
      <c r="T315" s="427"/>
      <c r="U315" s="427"/>
      <c r="V315" s="427"/>
      <c r="W315" s="427"/>
      <c r="X315" s="427"/>
      <c r="Y315" s="427"/>
      <c r="Z315" s="427"/>
      <c r="AA315" s="427"/>
      <c r="AB315" s="427"/>
    </row>
    <row r="316" hidden="1">
      <c r="A316" s="429" t="s">
        <v>306</v>
      </c>
      <c r="B316" s="428" t="s">
        <v>1211</v>
      </c>
      <c r="C316" s="428" t="s">
        <v>1212</v>
      </c>
      <c r="D316" s="428" t="s">
        <v>1213</v>
      </c>
      <c r="E316" s="424">
        <v>0.0</v>
      </c>
      <c r="F316" s="424">
        <v>4.0</v>
      </c>
      <c r="G316" s="425">
        <f t="shared" si="1"/>
        <v>1000</v>
      </c>
      <c r="H316" s="426" t="str">
        <f t="shared" si="2"/>
        <v>0 5-star Reviews, 4 Patient Portal Logins</v>
      </c>
      <c r="I316" s="427"/>
      <c r="J316" s="427"/>
      <c r="K316" s="427"/>
      <c r="L316" s="427"/>
      <c r="M316" s="427"/>
      <c r="N316" s="427"/>
      <c r="O316" s="427"/>
      <c r="P316" s="427"/>
      <c r="Q316" s="427"/>
      <c r="R316" s="427"/>
      <c r="S316" s="427"/>
      <c r="T316" s="427"/>
      <c r="U316" s="427"/>
      <c r="V316" s="427"/>
      <c r="W316" s="427"/>
      <c r="X316" s="427"/>
      <c r="Y316" s="427"/>
      <c r="Z316" s="427"/>
      <c r="AA316" s="427"/>
      <c r="AB316" s="427"/>
    </row>
    <row r="317" hidden="1">
      <c r="A317" s="429" t="s">
        <v>306</v>
      </c>
      <c r="B317" s="428" t="s">
        <v>571</v>
      </c>
      <c r="C317" s="428" t="s">
        <v>1200</v>
      </c>
      <c r="D317" s="428" t="s">
        <v>573</v>
      </c>
      <c r="E317" s="424">
        <v>0.0</v>
      </c>
      <c r="F317" s="424">
        <v>4.0</v>
      </c>
      <c r="G317" s="425">
        <f t="shared" si="1"/>
        <v>1000</v>
      </c>
      <c r="H317" s="426" t="str">
        <f t="shared" si="2"/>
        <v>0 5-star Reviews, 4 Patient Portal Logins</v>
      </c>
      <c r="I317" s="427"/>
      <c r="J317" s="427"/>
      <c r="K317" s="427"/>
      <c r="L317" s="427"/>
      <c r="M317" s="427"/>
      <c r="N317" s="427"/>
      <c r="O317" s="427"/>
      <c r="P317" s="427"/>
      <c r="Q317" s="427"/>
      <c r="R317" s="427"/>
      <c r="S317" s="427"/>
      <c r="T317" s="427"/>
      <c r="U317" s="427"/>
      <c r="V317" s="427"/>
      <c r="W317" s="427"/>
      <c r="X317" s="427"/>
      <c r="Y317" s="427"/>
      <c r="Z317" s="427"/>
      <c r="AA317" s="427"/>
      <c r="AB317" s="427"/>
    </row>
    <row r="318" hidden="1">
      <c r="A318" s="429" t="s">
        <v>306</v>
      </c>
      <c r="B318" s="428" t="s">
        <v>14</v>
      </c>
      <c r="C318" s="428" t="s">
        <v>233</v>
      </c>
      <c r="D318" s="428" t="s">
        <v>16</v>
      </c>
      <c r="E318" s="423">
        <v>0.0</v>
      </c>
      <c r="F318" s="424">
        <v>3.0</v>
      </c>
      <c r="G318" s="425">
        <f t="shared" si="1"/>
        <v>750</v>
      </c>
      <c r="H318" s="426" t="str">
        <f t="shared" si="2"/>
        <v>0 5-star Reviews, 3 Patient Portal Logins</v>
      </c>
      <c r="I318" s="427"/>
      <c r="J318" s="427"/>
      <c r="K318" s="427"/>
      <c r="L318" s="427"/>
      <c r="M318" s="427"/>
      <c r="N318" s="427"/>
      <c r="O318" s="427"/>
      <c r="P318" s="427"/>
      <c r="Q318" s="427"/>
      <c r="R318" s="427"/>
      <c r="S318" s="427"/>
      <c r="T318" s="427"/>
      <c r="U318" s="427"/>
      <c r="V318" s="427"/>
      <c r="W318" s="427"/>
      <c r="X318" s="427"/>
      <c r="Y318" s="427"/>
      <c r="Z318" s="427"/>
      <c r="AA318" s="427"/>
      <c r="AB318" s="427"/>
    </row>
    <row r="319" hidden="1">
      <c r="A319" s="429" t="s">
        <v>306</v>
      </c>
      <c r="B319" s="428" t="s">
        <v>1197</v>
      </c>
      <c r="C319" s="428" t="s">
        <v>1198</v>
      </c>
      <c r="D319" s="428" t="s">
        <v>1199</v>
      </c>
      <c r="E319" s="423">
        <v>0.0</v>
      </c>
      <c r="F319" s="423">
        <v>3.0</v>
      </c>
      <c r="G319" s="425">
        <f t="shared" si="1"/>
        <v>750</v>
      </c>
      <c r="H319" s="426" t="str">
        <f t="shared" si="2"/>
        <v>0 5-star Reviews, 3 Patient Portal Logins</v>
      </c>
      <c r="I319" s="427"/>
      <c r="J319" s="427"/>
      <c r="K319" s="427"/>
      <c r="L319" s="427"/>
      <c r="M319" s="427"/>
      <c r="N319" s="427"/>
      <c r="O319" s="427"/>
      <c r="P319" s="427"/>
      <c r="Q319" s="427"/>
      <c r="R319" s="427"/>
      <c r="S319" s="427"/>
      <c r="T319" s="427"/>
      <c r="U319" s="427"/>
      <c r="V319" s="427"/>
      <c r="W319" s="427"/>
      <c r="X319" s="427"/>
      <c r="Y319" s="427"/>
      <c r="Z319" s="427"/>
      <c r="AA319" s="427"/>
      <c r="AB319" s="427"/>
    </row>
    <row r="320" hidden="1">
      <c r="A320" s="429" t="s">
        <v>306</v>
      </c>
      <c r="B320" s="428" t="s">
        <v>1194</v>
      </c>
      <c r="C320" s="428" t="s">
        <v>1195</v>
      </c>
      <c r="D320" s="428" t="s">
        <v>1196</v>
      </c>
      <c r="E320" s="424">
        <v>0.0</v>
      </c>
      <c r="F320" s="424">
        <v>3.0</v>
      </c>
      <c r="G320" s="425">
        <f t="shared" si="1"/>
        <v>750</v>
      </c>
      <c r="H320" s="426" t="str">
        <f t="shared" si="2"/>
        <v>0 5-star Reviews, 3 Patient Portal Logins</v>
      </c>
      <c r="I320" s="427"/>
      <c r="J320" s="427"/>
      <c r="K320" s="427"/>
      <c r="L320" s="427"/>
      <c r="M320" s="427"/>
      <c r="N320" s="427"/>
      <c r="O320" s="427"/>
      <c r="P320" s="427"/>
      <c r="Q320" s="427"/>
      <c r="R320" s="427"/>
      <c r="S320" s="427"/>
      <c r="T320" s="427"/>
      <c r="U320" s="427"/>
      <c r="V320" s="427"/>
      <c r="W320" s="427"/>
      <c r="X320" s="427"/>
      <c r="Y320" s="427"/>
      <c r="Z320" s="427"/>
      <c r="AA320" s="427"/>
      <c r="AB320" s="427"/>
    </row>
    <row r="321" hidden="1">
      <c r="A321" s="429" t="s">
        <v>306</v>
      </c>
      <c r="B321" s="428" t="s">
        <v>1232</v>
      </c>
      <c r="C321" s="428" t="s">
        <v>1233</v>
      </c>
      <c r="D321" s="428" t="s">
        <v>1234</v>
      </c>
      <c r="E321" s="423">
        <v>0.0</v>
      </c>
      <c r="F321" s="424">
        <v>3.0</v>
      </c>
      <c r="G321" s="425">
        <f t="shared" si="1"/>
        <v>750</v>
      </c>
      <c r="H321" s="426" t="str">
        <f t="shared" si="2"/>
        <v>0 5-star Reviews, 3 Patient Portal Logins</v>
      </c>
      <c r="I321" s="427"/>
      <c r="J321" s="427"/>
      <c r="K321" s="427"/>
      <c r="L321" s="427"/>
      <c r="M321" s="427"/>
      <c r="N321" s="427"/>
      <c r="O321" s="427"/>
      <c r="P321" s="427"/>
      <c r="Q321" s="427"/>
      <c r="R321" s="427"/>
      <c r="S321" s="427"/>
      <c r="T321" s="427"/>
      <c r="U321" s="427"/>
      <c r="V321" s="427"/>
      <c r="W321" s="427"/>
      <c r="X321" s="427"/>
      <c r="Y321" s="427"/>
      <c r="Z321" s="427"/>
      <c r="AA321" s="427"/>
      <c r="AB321" s="427"/>
    </row>
    <row r="322" hidden="1">
      <c r="A322" s="429" t="s">
        <v>306</v>
      </c>
      <c r="B322" s="428" t="s">
        <v>1214</v>
      </c>
      <c r="C322" s="428" t="s">
        <v>1215</v>
      </c>
      <c r="D322" s="428" t="s">
        <v>1216</v>
      </c>
      <c r="E322" s="423">
        <v>0.0</v>
      </c>
      <c r="F322" s="423">
        <v>3.0</v>
      </c>
      <c r="G322" s="425">
        <f t="shared" si="1"/>
        <v>750</v>
      </c>
      <c r="H322" s="426" t="str">
        <f t="shared" si="2"/>
        <v>0 5-star Reviews, 3 Patient Portal Logins</v>
      </c>
      <c r="I322" s="427"/>
      <c r="J322" s="427"/>
      <c r="K322" s="427"/>
      <c r="L322" s="427"/>
      <c r="M322" s="427"/>
      <c r="N322" s="427"/>
      <c r="O322" s="427"/>
      <c r="P322" s="427"/>
      <c r="Q322" s="427"/>
      <c r="R322" s="427"/>
      <c r="S322" s="427"/>
      <c r="T322" s="427"/>
      <c r="U322" s="427"/>
      <c r="V322" s="427"/>
      <c r="W322" s="427"/>
      <c r="X322" s="427"/>
      <c r="Y322" s="427"/>
      <c r="Z322" s="427"/>
      <c r="AA322" s="427"/>
      <c r="AB322" s="427"/>
    </row>
    <row r="323" hidden="1">
      <c r="A323" s="411" t="s">
        <v>307</v>
      </c>
      <c r="B323" s="7" t="s">
        <v>1205</v>
      </c>
      <c r="C323" s="7" t="s">
        <v>1206</v>
      </c>
      <c r="D323" s="7" t="s">
        <v>1207</v>
      </c>
      <c r="E323" s="430"/>
      <c r="F323" s="430">
        <v>2.0</v>
      </c>
      <c r="G323" s="431">
        <f t="shared" si="1"/>
        <v>500</v>
      </c>
      <c r="H323" s="432" t="str">
        <f t="shared" si="2"/>
        <v> 5-star Reviews, 2 Patient Portal Logins</v>
      </c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</row>
    <row r="324" hidden="1">
      <c r="A324" s="411" t="s">
        <v>307</v>
      </c>
      <c r="B324" s="7" t="s">
        <v>1191</v>
      </c>
      <c r="C324" s="7" t="s">
        <v>1192</v>
      </c>
      <c r="D324" s="7" t="s">
        <v>1193</v>
      </c>
      <c r="E324" s="430"/>
      <c r="F324" s="430">
        <v>2.0</v>
      </c>
      <c r="G324" s="431">
        <f t="shared" si="1"/>
        <v>500</v>
      </c>
      <c r="H324" s="432" t="str">
        <f t="shared" si="2"/>
        <v> 5-star Reviews, 2 Patient Portal Logins</v>
      </c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</row>
    <row r="325" hidden="1">
      <c r="A325" s="411" t="s">
        <v>307</v>
      </c>
      <c r="B325" s="7" t="s">
        <v>1208</v>
      </c>
      <c r="C325" s="7" t="s">
        <v>1209</v>
      </c>
      <c r="D325" s="7" t="s">
        <v>1210</v>
      </c>
      <c r="E325" s="430">
        <v>4.0</v>
      </c>
      <c r="F325" s="430">
        <v>1.0</v>
      </c>
      <c r="G325" s="431">
        <f t="shared" si="1"/>
        <v>1250</v>
      </c>
      <c r="H325" s="432" t="str">
        <f t="shared" si="2"/>
        <v>4 5-star Reviews, 1 Patient Portal Logins</v>
      </c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</row>
    <row r="326" hidden="1">
      <c r="A326" s="411" t="s">
        <v>307</v>
      </c>
      <c r="B326" s="433" t="s">
        <v>1229</v>
      </c>
      <c r="C326" s="433" t="s">
        <v>1230</v>
      </c>
      <c r="D326" s="433" t="s">
        <v>1231</v>
      </c>
      <c r="E326" s="434">
        <v>18.0</v>
      </c>
      <c r="F326" s="434">
        <v>1.0</v>
      </c>
      <c r="G326" s="431">
        <f t="shared" si="1"/>
        <v>4750</v>
      </c>
      <c r="H326" s="432" t="str">
        <f t="shared" si="2"/>
        <v>18 5-star Reviews, 1 Patient Portal Logins</v>
      </c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  <c r="AA326" s="247"/>
      <c r="AB326" s="247"/>
    </row>
    <row r="327" hidden="1">
      <c r="A327" s="411" t="s">
        <v>307</v>
      </c>
      <c r="B327" s="433" t="s">
        <v>1211</v>
      </c>
      <c r="C327" s="433" t="s">
        <v>1212</v>
      </c>
      <c r="D327" s="433" t="s">
        <v>1213</v>
      </c>
      <c r="E327" s="434">
        <v>2.0</v>
      </c>
      <c r="F327" s="434">
        <v>1.0</v>
      </c>
      <c r="G327" s="431">
        <f t="shared" si="1"/>
        <v>750</v>
      </c>
      <c r="H327" s="432" t="str">
        <f t="shared" si="2"/>
        <v>2 5-star Reviews, 1 Patient Portal Logins</v>
      </c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  <c r="AA327" s="247"/>
      <c r="AB327" s="247"/>
    </row>
    <row r="328" hidden="1">
      <c r="A328" s="411" t="s">
        <v>307</v>
      </c>
      <c r="B328" s="433" t="s">
        <v>571</v>
      </c>
      <c r="C328" s="433" t="s">
        <v>1200</v>
      </c>
      <c r="D328" s="433" t="s">
        <v>573</v>
      </c>
      <c r="E328" s="434">
        <v>2.0</v>
      </c>
      <c r="F328" s="434">
        <v>2.0</v>
      </c>
      <c r="G328" s="431">
        <f t="shared" si="1"/>
        <v>1000</v>
      </c>
      <c r="H328" s="432" t="str">
        <f t="shared" si="2"/>
        <v>2 5-star Reviews, 2 Patient Portal Logins</v>
      </c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  <c r="AA328" s="247"/>
      <c r="AB328" s="247"/>
    </row>
    <row r="329" hidden="1">
      <c r="A329" s="411" t="s">
        <v>307</v>
      </c>
      <c r="B329" s="433" t="s">
        <v>14</v>
      </c>
      <c r="C329" s="433" t="s">
        <v>233</v>
      </c>
      <c r="D329" s="433" t="s">
        <v>16</v>
      </c>
      <c r="E329" s="435"/>
      <c r="F329" s="434">
        <v>4.0</v>
      </c>
      <c r="G329" s="431">
        <f t="shared" si="1"/>
        <v>1000</v>
      </c>
      <c r="H329" s="432" t="str">
        <f t="shared" si="2"/>
        <v> 5-star Reviews, 4 Patient Portal Logins</v>
      </c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  <c r="AA329" s="247"/>
      <c r="AB329" s="247"/>
    </row>
    <row r="330" hidden="1">
      <c r="A330" s="411" t="s">
        <v>307</v>
      </c>
      <c r="B330" s="433" t="s">
        <v>1197</v>
      </c>
      <c r="C330" s="433" t="s">
        <v>1198</v>
      </c>
      <c r="D330" s="433" t="s">
        <v>1199</v>
      </c>
      <c r="E330" s="435"/>
      <c r="F330" s="435"/>
      <c r="G330" s="431">
        <f t="shared" si="1"/>
        <v>0</v>
      </c>
      <c r="H330" s="432" t="str">
        <f t="shared" si="2"/>
        <v> 5-star Reviews,  Patient Portal Logins</v>
      </c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  <c r="AA330" s="247"/>
      <c r="AB330" s="247"/>
    </row>
    <row r="331" hidden="1">
      <c r="A331" s="411" t="s">
        <v>307</v>
      </c>
      <c r="B331" s="433" t="s">
        <v>1194</v>
      </c>
      <c r="C331" s="433" t="s">
        <v>1195</v>
      </c>
      <c r="D331" s="433" t="s">
        <v>1196</v>
      </c>
      <c r="E331" s="434">
        <v>2.0</v>
      </c>
      <c r="F331" s="434">
        <v>2.0</v>
      </c>
      <c r="G331" s="431">
        <f t="shared" si="1"/>
        <v>1000</v>
      </c>
      <c r="H331" s="432" t="str">
        <f t="shared" si="2"/>
        <v>2 5-star Reviews, 2 Patient Portal Logins</v>
      </c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  <c r="AA331" s="247"/>
      <c r="AB331" s="247"/>
    </row>
    <row r="332" hidden="1">
      <c r="A332" s="411" t="s">
        <v>307</v>
      </c>
      <c r="B332" s="433" t="s">
        <v>1232</v>
      </c>
      <c r="C332" s="433" t="s">
        <v>1233</v>
      </c>
      <c r="D332" s="433" t="s">
        <v>1234</v>
      </c>
      <c r="E332" s="435"/>
      <c r="F332" s="434">
        <v>1.0</v>
      </c>
      <c r="G332" s="431">
        <f t="shared" si="1"/>
        <v>250</v>
      </c>
      <c r="H332" s="432" t="str">
        <f t="shared" si="2"/>
        <v> 5-star Reviews, 1 Patient Portal Logins</v>
      </c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  <c r="AA332" s="247"/>
      <c r="AB332" s="247"/>
    </row>
    <row r="333" hidden="1">
      <c r="A333" s="436" t="s">
        <v>307</v>
      </c>
      <c r="B333" s="437" t="s">
        <v>1214</v>
      </c>
      <c r="C333" s="437" t="s">
        <v>1215</v>
      </c>
      <c r="D333" s="437" t="s">
        <v>1216</v>
      </c>
      <c r="E333" s="438"/>
      <c r="F333" s="438"/>
      <c r="G333" s="439">
        <f t="shared" si="1"/>
        <v>0</v>
      </c>
      <c r="H333" s="440" t="str">
        <f t="shared" si="2"/>
        <v> 5-star Reviews,  Patient Portal Logins</v>
      </c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  <c r="AA333" s="247"/>
      <c r="AB333" s="247"/>
    </row>
    <row r="334">
      <c r="A334" s="247"/>
      <c r="B334" s="441"/>
      <c r="C334" s="441"/>
      <c r="D334" s="441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  <c r="AA334" s="247"/>
      <c r="AB334" s="247"/>
    </row>
    <row r="335">
      <c r="A335" s="247"/>
      <c r="B335" s="441"/>
      <c r="C335" s="441"/>
      <c r="D335" s="441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  <c r="AA335" s="247"/>
      <c r="AB335" s="247"/>
    </row>
    <row r="336">
      <c r="A336" s="247"/>
      <c r="B336" s="441"/>
      <c r="C336" s="441"/>
      <c r="D336" s="441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  <c r="AA336" s="247"/>
      <c r="AB336" s="247"/>
    </row>
    <row r="337">
      <c r="A337" s="247"/>
      <c r="B337" s="441"/>
      <c r="C337" s="441"/>
      <c r="D337" s="441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  <c r="AA337" s="247"/>
      <c r="AB337" s="247"/>
    </row>
    <row r="338">
      <c r="A338" s="247"/>
      <c r="B338" s="441"/>
      <c r="C338" s="441"/>
      <c r="D338" s="441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  <c r="AA338" s="247"/>
      <c r="AB338" s="247"/>
    </row>
    <row r="339">
      <c r="A339" s="247"/>
      <c r="B339" s="441"/>
      <c r="C339" s="441"/>
      <c r="D339" s="441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  <c r="AA339" s="247"/>
      <c r="AB339" s="247"/>
    </row>
    <row r="340">
      <c r="A340" s="247"/>
      <c r="B340" s="441"/>
      <c r="C340" s="441"/>
      <c r="D340" s="441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  <c r="AA340" s="247"/>
      <c r="AB340" s="247"/>
    </row>
    <row r="341">
      <c r="A341" s="247"/>
      <c r="B341" s="441"/>
      <c r="C341" s="441"/>
      <c r="D341" s="441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  <c r="AA341" s="247"/>
      <c r="AB341" s="247"/>
    </row>
    <row r="342">
      <c r="A342" s="247"/>
      <c r="B342" s="441"/>
      <c r="C342" s="441"/>
      <c r="D342" s="441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  <c r="AA342" s="247"/>
      <c r="AB342" s="247"/>
    </row>
    <row r="343">
      <c r="A343" s="247"/>
      <c r="B343" s="441"/>
      <c r="C343" s="441"/>
      <c r="D343" s="441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  <c r="AA343" s="247"/>
      <c r="AB343" s="247"/>
    </row>
    <row r="344">
      <c r="A344" s="247"/>
      <c r="B344" s="441"/>
      <c r="C344" s="441"/>
      <c r="D344" s="441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  <c r="AA344" s="247"/>
      <c r="AB344" s="247"/>
    </row>
    <row r="345">
      <c r="A345" s="247"/>
      <c r="B345" s="441"/>
      <c r="C345" s="441"/>
      <c r="D345" s="441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  <c r="AA345" s="247"/>
      <c r="AB345" s="247"/>
    </row>
    <row r="346">
      <c r="A346" s="247"/>
      <c r="B346" s="441"/>
      <c r="C346" s="441"/>
      <c r="D346" s="441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  <c r="AA346" s="247"/>
      <c r="AB346" s="247"/>
    </row>
    <row r="347">
      <c r="A347" s="247"/>
      <c r="B347" s="441"/>
      <c r="C347" s="441"/>
      <c r="D347" s="441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  <c r="AA347" s="247"/>
      <c r="AB347" s="247"/>
    </row>
    <row r="348">
      <c r="A348" s="247"/>
      <c r="B348" s="441"/>
      <c r="C348" s="441"/>
      <c r="D348" s="441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  <c r="AA348" s="247"/>
      <c r="AB348" s="247"/>
    </row>
    <row r="349">
      <c r="A349" s="247"/>
      <c r="B349" s="441"/>
      <c r="C349" s="441"/>
      <c r="D349" s="441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  <c r="AA349" s="247"/>
      <c r="AB349" s="247"/>
    </row>
    <row r="350">
      <c r="A350" s="247"/>
      <c r="B350" s="441"/>
      <c r="C350" s="441"/>
      <c r="D350" s="441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  <c r="AA350" s="247"/>
      <c r="AB350" s="247"/>
    </row>
    <row r="351">
      <c r="A351" s="247"/>
      <c r="B351" s="441"/>
      <c r="C351" s="441"/>
      <c r="D351" s="441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  <c r="AA351" s="247"/>
      <c r="AB351" s="247"/>
    </row>
    <row r="352">
      <c r="A352" s="247"/>
      <c r="B352" s="441"/>
      <c r="C352" s="441"/>
      <c r="D352" s="441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  <c r="AA352" s="247"/>
      <c r="AB352" s="247"/>
    </row>
    <row r="353">
      <c r="A353" s="247"/>
      <c r="B353" s="441"/>
      <c r="C353" s="441"/>
      <c r="D353" s="441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  <c r="AA353" s="247"/>
      <c r="AB353" s="247"/>
    </row>
    <row r="354">
      <c r="A354" s="247"/>
      <c r="B354" s="441"/>
      <c r="C354" s="441"/>
      <c r="D354" s="441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  <c r="AA354" s="247"/>
      <c r="AB354" s="247"/>
    </row>
    <row r="355">
      <c r="A355" s="247"/>
      <c r="B355" s="441"/>
      <c r="C355" s="441"/>
      <c r="D355" s="441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  <c r="AA355" s="247"/>
      <c r="AB355" s="247"/>
    </row>
    <row r="356">
      <c r="A356" s="247"/>
      <c r="B356" s="441"/>
      <c r="C356" s="441"/>
      <c r="D356" s="441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  <c r="AA356" s="247"/>
      <c r="AB356" s="247"/>
    </row>
    <row r="357">
      <c r="A357" s="247"/>
      <c r="B357" s="441"/>
      <c r="C357" s="441"/>
      <c r="D357" s="441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  <c r="AA357" s="247"/>
      <c r="AB357" s="247"/>
    </row>
    <row r="358">
      <c r="A358" s="247"/>
      <c r="B358" s="441"/>
      <c r="C358" s="441"/>
      <c r="D358" s="441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  <c r="AA358" s="247"/>
      <c r="AB358" s="247"/>
    </row>
    <row r="359">
      <c r="A359" s="247"/>
      <c r="B359" s="441"/>
      <c r="C359" s="441"/>
      <c r="D359" s="441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  <c r="AA359" s="247"/>
      <c r="AB359" s="247"/>
    </row>
    <row r="360">
      <c r="A360" s="247"/>
      <c r="B360" s="441"/>
      <c r="C360" s="441"/>
      <c r="D360" s="441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  <c r="AA360" s="247"/>
      <c r="AB360" s="247"/>
    </row>
    <row r="361">
      <c r="A361" s="247"/>
      <c r="B361" s="441"/>
      <c r="C361" s="441"/>
      <c r="D361" s="441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  <c r="AA361" s="247"/>
      <c r="AB361" s="247"/>
    </row>
    <row r="362">
      <c r="A362" s="247"/>
      <c r="B362" s="441"/>
      <c r="C362" s="441"/>
      <c r="D362" s="441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  <c r="AA362" s="247"/>
      <c r="AB362" s="247"/>
    </row>
    <row r="363">
      <c r="A363" s="247"/>
      <c r="B363" s="441"/>
      <c r="C363" s="441"/>
      <c r="D363" s="441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  <c r="AA363" s="247"/>
      <c r="AB363" s="247"/>
    </row>
    <row r="364">
      <c r="A364" s="247"/>
      <c r="B364" s="441"/>
      <c r="C364" s="441"/>
      <c r="D364" s="441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  <c r="AA364" s="247"/>
      <c r="AB364" s="247"/>
    </row>
    <row r="365">
      <c r="A365" s="247"/>
      <c r="B365" s="441"/>
      <c r="C365" s="441"/>
      <c r="D365" s="441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  <c r="AA365" s="247"/>
      <c r="AB365" s="247"/>
    </row>
    <row r="366">
      <c r="A366" s="247"/>
      <c r="B366" s="441"/>
      <c r="C366" s="441"/>
      <c r="D366" s="441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  <c r="AA366" s="247"/>
      <c r="AB366" s="247"/>
    </row>
    <row r="367">
      <c r="A367" s="247"/>
      <c r="B367" s="441"/>
      <c r="C367" s="441"/>
      <c r="D367" s="441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  <c r="AA367" s="247"/>
      <c r="AB367" s="247"/>
    </row>
    <row r="368">
      <c r="A368" s="247"/>
      <c r="B368" s="441"/>
      <c r="C368" s="441"/>
      <c r="D368" s="441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  <c r="AA368" s="247"/>
      <c r="AB368" s="247"/>
    </row>
    <row r="369">
      <c r="A369" s="247"/>
      <c r="B369" s="441"/>
      <c r="C369" s="441"/>
      <c r="D369" s="441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  <c r="AA369" s="247"/>
      <c r="AB369" s="247"/>
    </row>
    <row r="370">
      <c r="A370" s="247"/>
      <c r="B370" s="441"/>
      <c r="C370" s="441"/>
      <c r="D370" s="441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  <c r="AA370" s="247"/>
      <c r="AB370" s="247"/>
    </row>
    <row r="371">
      <c r="A371" s="247"/>
      <c r="B371" s="441"/>
      <c r="C371" s="441"/>
      <c r="D371" s="441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  <c r="AA371" s="247"/>
      <c r="AB371" s="247"/>
    </row>
    <row r="372">
      <c r="A372" s="247"/>
      <c r="B372" s="441"/>
      <c r="C372" s="441"/>
      <c r="D372" s="441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  <c r="AA372" s="247"/>
      <c r="AB372" s="247"/>
    </row>
    <row r="373">
      <c r="A373" s="247"/>
      <c r="B373" s="441"/>
      <c r="C373" s="441"/>
      <c r="D373" s="441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  <c r="AA373" s="247"/>
      <c r="AB373" s="247"/>
    </row>
    <row r="374">
      <c r="A374" s="247"/>
      <c r="B374" s="441"/>
      <c r="C374" s="441"/>
      <c r="D374" s="441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  <c r="AA374" s="247"/>
      <c r="AB374" s="247"/>
    </row>
    <row r="375">
      <c r="A375" s="247"/>
      <c r="B375" s="441"/>
      <c r="C375" s="441"/>
      <c r="D375" s="441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  <c r="AA375" s="247"/>
      <c r="AB375" s="247"/>
    </row>
    <row r="376">
      <c r="A376" s="247"/>
      <c r="B376" s="441"/>
      <c r="C376" s="441"/>
      <c r="D376" s="441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  <c r="AA376" s="247"/>
      <c r="AB376" s="247"/>
    </row>
    <row r="377">
      <c r="A377" s="247"/>
      <c r="B377" s="441"/>
      <c r="C377" s="441"/>
      <c r="D377" s="441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  <c r="AA377" s="247"/>
      <c r="AB377" s="247"/>
    </row>
    <row r="378">
      <c r="A378" s="247"/>
      <c r="B378" s="441"/>
      <c r="C378" s="441"/>
      <c r="D378" s="441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  <c r="AA378" s="247"/>
      <c r="AB378" s="247"/>
    </row>
    <row r="379">
      <c r="A379" s="247"/>
      <c r="B379" s="441"/>
      <c r="C379" s="441"/>
      <c r="D379" s="441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  <c r="AA379" s="247"/>
      <c r="AB379" s="247"/>
    </row>
    <row r="380">
      <c r="A380" s="247"/>
      <c r="B380" s="441"/>
      <c r="C380" s="441"/>
      <c r="D380" s="441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  <c r="AA380" s="247"/>
      <c r="AB380" s="247"/>
    </row>
    <row r="381">
      <c r="A381" s="247"/>
      <c r="B381" s="441"/>
      <c r="C381" s="441"/>
      <c r="D381" s="441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  <c r="AA381" s="247"/>
      <c r="AB381" s="247"/>
    </row>
    <row r="382">
      <c r="A382" s="247"/>
      <c r="B382" s="441"/>
      <c r="C382" s="441"/>
      <c r="D382" s="441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  <c r="AA382" s="247"/>
      <c r="AB382" s="247"/>
    </row>
    <row r="383">
      <c r="A383" s="247"/>
      <c r="B383" s="441"/>
      <c r="C383" s="441"/>
      <c r="D383" s="441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  <c r="AA383" s="247"/>
      <c r="AB383" s="247"/>
    </row>
    <row r="384">
      <c r="A384" s="247"/>
      <c r="B384" s="441"/>
      <c r="C384" s="441"/>
      <c r="D384" s="441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  <c r="AA384" s="247"/>
      <c r="AB384" s="247"/>
    </row>
    <row r="385">
      <c r="A385" s="247"/>
      <c r="B385" s="441"/>
      <c r="C385" s="441"/>
      <c r="D385" s="441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  <c r="AA385" s="247"/>
      <c r="AB385" s="247"/>
    </row>
    <row r="386">
      <c r="A386" s="247"/>
      <c r="B386" s="441"/>
      <c r="C386" s="441"/>
      <c r="D386" s="441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  <c r="AA386" s="247"/>
      <c r="AB386" s="247"/>
    </row>
    <row r="387">
      <c r="A387" s="247"/>
      <c r="B387" s="441"/>
      <c r="C387" s="441"/>
      <c r="D387" s="441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  <c r="AA387" s="247"/>
      <c r="AB387" s="247"/>
    </row>
    <row r="388">
      <c r="A388" s="247"/>
      <c r="B388" s="441"/>
      <c r="C388" s="441"/>
      <c r="D388" s="441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  <c r="AA388" s="247"/>
      <c r="AB388" s="247"/>
    </row>
    <row r="389">
      <c r="A389" s="247"/>
      <c r="B389" s="441"/>
      <c r="C389" s="441"/>
      <c r="D389" s="441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  <c r="AA389" s="247"/>
      <c r="AB389" s="247"/>
    </row>
    <row r="390">
      <c r="A390" s="247"/>
      <c r="B390" s="441"/>
      <c r="C390" s="441"/>
      <c r="D390" s="441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  <c r="AA390" s="247"/>
      <c r="AB390" s="247"/>
    </row>
    <row r="391">
      <c r="A391" s="247"/>
      <c r="B391" s="441"/>
      <c r="C391" s="441"/>
      <c r="D391" s="441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  <c r="AA391" s="247"/>
      <c r="AB391" s="247"/>
    </row>
    <row r="392">
      <c r="A392" s="247"/>
      <c r="B392" s="441"/>
      <c r="C392" s="441"/>
      <c r="D392" s="441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  <c r="AA392" s="247"/>
      <c r="AB392" s="247"/>
    </row>
    <row r="393">
      <c r="A393" s="247"/>
      <c r="B393" s="441"/>
      <c r="C393" s="441"/>
      <c r="D393" s="441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  <c r="AA393" s="247"/>
      <c r="AB393" s="247"/>
    </row>
    <row r="394">
      <c r="A394" s="247"/>
      <c r="B394" s="441"/>
      <c r="C394" s="441"/>
      <c r="D394" s="441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  <c r="AA394" s="247"/>
      <c r="AB394" s="247"/>
    </row>
    <row r="395">
      <c r="A395" s="247"/>
      <c r="B395" s="441"/>
      <c r="C395" s="441"/>
      <c r="D395" s="441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  <c r="AA395" s="247"/>
      <c r="AB395" s="247"/>
    </row>
    <row r="396">
      <c r="A396" s="247"/>
      <c r="B396" s="441"/>
      <c r="C396" s="441"/>
      <c r="D396" s="441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  <c r="AA396" s="247"/>
      <c r="AB396" s="247"/>
    </row>
    <row r="397">
      <c r="A397" s="247"/>
      <c r="B397" s="441"/>
      <c r="C397" s="441"/>
      <c r="D397" s="441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  <c r="AA397" s="247"/>
      <c r="AB397" s="247"/>
    </row>
    <row r="398">
      <c r="A398" s="247"/>
      <c r="B398" s="441"/>
      <c r="C398" s="441"/>
      <c r="D398" s="441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  <c r="AA398" s="247"/>
      <c r="AB398" s="247"/>
    </row>
    <row r="399">
      <c r="A399" s="247"/>
      <c r="B399" s="441"/>
      <c r="C399" s="441"/>
      <c r="D399" s="441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  <c r="AA399" s="247"/>
      <c r="AB399" s="247"/>
    </row>
    <row r="400">
      <c r="A400" s="247"/>
      <c r="B400" s="441"/>
      <c r="C400" s="441"/>
      <c r="D400" s="441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  <c r="AA400" s="247"/>
      <c r="AB400" s="247"/>
    </row>
    <row r="401">
      <c r="A401" s="247"/>
      <c r="B401" s="441"/>
      <c r="C401" s="441"/>
      <c r="D401" s="441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  <c r="AA401" s="247"/>
      <c r="AB401" s="247"/>
    </row>
    <row r="402">
      <c r="A402" s="247"/>
      <c r="B402" s="441"/>
      <c r="C402" s="441"/>
      <c r="D402" s="441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  <c r="AA402" s="247"/>
      <c r="AB402" s="247"/>
    </row>
    <row r="403">
      <c r="A403" s="247"/>
      <c r="B403" s="441"/>
      <c r="C403" s="441"/>
      <c r="D403" s="441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  <c r="AA403" s="247"/>
      <c r="AB403" s="247"/>
    </row>
    <row r="404">
      <c r="A404" s="247"/>
      <c r="B404" s="441"/>
      <c r="C404" s="441"/>
      <c r="D404" s="441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  <c r="AA404" s="247"/>
      <c r="AB404" s="247"/>
    </row>
    <row r="405">
      <c r="A405" s="247"/>
      <c r="B405" s="441"/>
      <c r="C405" s="441"/>
      <c r="D405" s="441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  <c r="AA405" s="247"/>
      <c r="AB405" s="247"/>
    </row>
    <row r="406">
      <c r="A406" s="247"/>
      <c r="B406" s="441"/>
      <c r="C406" s="441"/>
      <c r="D406" s="441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  <c r="AA406" s="247"/>
      <c r="AB406" s="247"/>
    </row>
    <row r="407">
      <c r="A407" s="247"/>
      <c r="B407" s="441"/>
      <c r="C407" s="441"/>
      <c r="D407" s="441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  <c r="AA407" s="247"/>
      <c r="AB407" s="247"/>
    </row>
    <row r="408">
      <c r="A408" s="247"/>
      <c r="B408" s="441"/>
      <c r="C408" s="441"/>
      <c r="D408" s="441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  <c r="AA408" s="247"/>
      <c r="AB408" s="247"/>
    </row>
    <row r="409">
      <c r="A409" s="247"/>
      <c r="B409" s="441"/>
      <c r="C409" s="441"/>
      <c r="D409" s="441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  <c r="AA409" s="247"/>
      <c r="AB409" s="247"/>
    </row>
    <row r="410">
      <c r="A410" s="247"/>
      <c r="B410" s="441"/>
      <c r="C410" s="441"/>
      <c r="D410" s="441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  <c r="AA410" s="247"/>
      <c r="AB410" s="247"/>
    </row>
    <row r="411">
      <c r="A411" s="247"/>
      <c r="B411" s="441"/>
      <c r="C411" s="441"/>
      <c r="D411" s="441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  <c r="AA411" s="247"/>
      <c r="AB411" s="247"/>
    </row>
    <row r="412">
      <c r="A412" s="247"/>
      <c r="B412" s="441"/>
      <c r="C412" s="441"/>
      <c r="D412" s="441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  <c r="AA412" s="247"/>
      <c r="AB412" s="247"/>
    </row>
    <row r="413">
      <c r="A413" s="247"/>
      <c r="B413" s="441"/>
      <c r="C413" s="441"/>
      <c r="D413" s="441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  <c r="AA413" s="247"/>
      <c r="AB413" s="247"/>
    </row>
    <row r="414">
      <c r="A414" s="247"/>
      <c r="B414" s="441"/>
      <c r="C414" s="441"/>
      <c r="D414" s="441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  <c r="AA414" s="247"/>
      <c r="AB414" s="247"/>
    </row>
    <row r="415">
      <c r="A415" s="247"/>
      <c r="B415" s="441"/>
      <c r="C415" s="441"/>
      <c r="D415" s="441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  <c r="AA415" s="247"/>
      <c r="AB415" s="247"/>
    </row>
    <row r="416">
      <c r="A416" s="247"/>
      <c r="B416" s="441"/>
      <c r="C416" s="441"/>
      <c r="D416" s="441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  <c r="AA416" s="247"/>
      <c r="AB416" s="247"/>
    </row>
    <row r="417">
      <c r="A417" s="247"/>
      <c r="B417" s="441"/>
      <c r="C417" s="441"/>
      <c r="D417" s="441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  <c r="AA417" s="247"/>
      <c r="AB417" s="247"/>
    </row>
    <row r="418">
      <c r="A418" s="247"/>
      <c r="B418" s="441"/>
      <c r="C418" s="441"/>
      <c r="D418" s="441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  <c r="AA418" s="247"/>
      <c r="AB418" s="247"/>
    </row>
    <row r="419">
      <c r="A419" s="247"/>
      <c r="B419" s="441"/>
      <c r="C419" s="441"/>
      <c r="D419" s="441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  <c r="AA419" s="247"/>
      <c r="AB419" s="247"/>
    </row>
    <row r="420">
      <c r="A420" s="247"/>
      <c r="B420" s="441"/>
      <c r="C420" s="441"/>
      <c r="D420" s="441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  <c r="AA420" s="247"/>
      <c r="AB420" s="247"/>
    </row>
    <row r="421">
      <c r="A421" s="247"/>
      <c r="B421" s="441"/>
      <c r="C421" s="441"/>
      <c r="D421" s="441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  <c r="AA421" s="247"/>
      <c r="AB421" s="247"/>
    </row>
    <row r="422">
      <c r="A422" s="247"/>
      <c r="B422" s="441"/>
      <c r="C422" s="441"/>
      <c r="D422" s="441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  <c r="AA422" s="247"/>
      <c r="AB422" s="247"/>
    </row>
    <row r="423">
      <c r="A423" s="247"/>
      <c r="B423" s="441"/>
      <c r="C423" s="441"/>
      <c r="D423" s="441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  <c r="AA423" s="247"/>
      <c r="AB423" s="247"/>
    </row>
    <row r="424">
      <c r="A424" s="247"/>
      <c r="B424" s="441"/>
      <c r="C424" s="441"/>
      <c r="D424" s="441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  <c r="AA424" s="247"/>
      <c r="AB424" s="247"/>
    </row>
    <row r="425">
      <c r="A425" s="247"/>
      <c r="B425" s="441"/>
      <c r="C425" s="441"/>
      <c r="D425" s="441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  <c r="AA425" s="247"/>
      <c r="AB425" s="247"/>
    </row>
    <row r="426">
      <c r="A426" s="247"/>
      <c r="B426" s="441"/>
      <c r="C426" s="441"/>
      <c r="D426" s="441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  <c r="AA426" s="247"/>
      <c r="AB426" s="247"/>
    </row>
    <row r="427">
      <c r="A427" s="247"/>
      <c r="B427" s="441"/>
      <c r="C427" s="441"/>
      <c r="D427" s="441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  <c r="AA427" s="247"/>
      <c r="AB427" s="247"/>
    </row>
    <row r="428">
      <c r="A428" s="247"/>
      <c r="B428" s="441"/>
      <c r="C428" s="441"/>
      <c r="D428" s="441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  <c r="AA428" s="247"/>
      <c r="AB428" s="247"/>
    </row>
    <row r="429">
      <c r="A429" s="247"/>
      <c r="B429" s="441"/>
      <c r="C429" s="441"/>
      <c r="D429" s="441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  <c r="AA429" s="247"/>
      <c r="AB429" s="247"/>
    </row>
    <row r="430">
      <c r="A430" s="247"/>
      <c r="B430" s="441"/>
      <c r="C430" s="441"/>
      <c r="D430" s="441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  <c r="AA430" s="247"/>
      <c r="AB430" s="247"/>
    </row>
    <row r="431">
      <c r="A431" s="247"/>
      <c r="B431" s="441"/>
      <c r="C431" s="441"/>
      <c r="D431" s="441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  <c r="AA431" s="247"/>
      <c r="AB431" s="247"/>
    </row>
    <row r="432">
      <c r="A432" s="247"/>
      <c r="B432" s="441"/>
      <c r="C432" s="441"/>
      <c r="D432" s="441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  <c r="AA432" s="247"/>
      <c r="AB432" s="247"/>
    </row>
    <row r="433">
      <c r="A433" s="247"/>
      <c r="B433" s="441"/>
      <c r="C433" s="441"/>
      <c r="D433" s="441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  <c r="AA433" s="247"/>
      <c r="AB433" s="247"/>
    </row>
    <row r="434">
      <c r="A434" s="247"/>
      <c r="B434" s="441"/>
      <c r="C434" s="441"/>
      <c r="D434" s="441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  <c r="AA434" s="247"/>
      <c r="AB434" s="247"/>
    </row>
    <row r="435">
      <c r="A435" s="247"/>
      <c r="B435" s="441"/>
      <c r="C435" s="441"/>
      <c r="D435" s="441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  <c r="AA435" s="247"/>
      <c r="AB435" s="247"/>
    </row>
    <row r="436">
      <c r="A436" s="247"/>
      <c r="B436" s="441"/>
      <c r="C436" s="441"/>
      <c r="D436" s="441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  <c r="AA436" s="247"/>
      <c r="AB436" s="247"/>
    </row>
    <row r="437">
      <c r="A437" s="247"/>
      <c r="B437" s="441"/>
      <c r="C437" s="441"/>
      <c r="D437" s="441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  <c r="AA437" s="247"/>
      <c r="AB437" s="247"/>
    </row>
    <row r="438">
      <c r="A438" s="247"/>
      <c r="B438" s="441"/>
      <c r="C438" s="441"/>
      <c r="D438" s="441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  <c r="AA438" s="247"/>
      <c r="AB438" s="247"/>
    </row>
    <row r="439">
      <c r="A439" s="247"/>
      <c r="B439" s="441"/>
      <c r="C439" s="441"/>
      <c r="D439" s="441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  <c r="AA439" s="247"/>
      <c r="AB439" s="247"/>
    </row>
    <row r="440">
      <c r="A440" s="247"/>
      <c r="B440" s="441"/>
      <c r="C440" s="441"/>
      <c r="D440" s="441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  <c r="AA440" s="247"/>
      <c r="AB440" s="247"/>
    </row>
    <row r="441">
      <c r="A441" s="247"/>
      <c r="B441" s="441"/>
      <c r="C441" s="441"/>
      <c r="D441" s="441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  <c r="AA441" s="247"/>
      <c r="AB441" s="247"/>
    </row>
    <row r="442">
      <c r="A442" s="247"/>
      <c r="B442" s="441"/>
      <c r="C442" s="441"/>
      <c r="D442" s="441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  <c r="AA442" s="247"/>
      <c r="AB442" s="247"/>
    </row>
    <row r="443">
      <c r="A443" s="247"/>
      <c r="B443" s="441"/>
      <c r="C443" s="441"/>
      <c r="D443" s="441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  <c r="AA443" s="247"/>
      <c r="AB443" s="247"/>
    </row>
    <row r="444">
      <c r="A444" s="247"/>
      <c r="B444" s="441"/>
      <c r="C444" s="441"/>
      <c r="D444" s="441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  <c r="AA444" s="247"/>
      <c r="AB444" s="247"/>
    </row>
    <row r="445">
      <c r="A445" s="247"/>
      <c r="B445" s="441"/>
      <c r="C445" s="441"/>
      <c r="D445" s="441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  <c r="AA445" s="247"/>
      <c r="AB445" s="247"/>
    </row>
    <row r="446">
      <c r="A446" s="247"/>
      <c r="B446" s="441"/>
      <c r="C446" s="441"/>
      <c r="D446" s="441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  <c r="AA446" s="247"/>
      <c r="AB446" s="247"/>
    </row>
    <row r="447">
      <c r="A447" s="247"/>
      <c r="B447" s="441"/>
      <c r="C447" s="441"/>
      <c r="D447" s="441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  <c r="AA447" s="247"/>
      <c r="AB447" s="247"/>
    </row>
    <row r="448">
      <c r="A448" s="247"/>
      <c r="B448" s="441"/>
      <c r="C448" s="441"/>
      <c r="D448" s="441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  <c r="AA448" s="247"/>
      <c r="AB448" s="247"/>
    </row>
    <row r="449">
      <c r="A449" s="247"/>
      <c r="B449" s="441"/>
      <c r="C449" s="441"/>
      <c r="D449" s="441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  <c r="AA449" s="247"/>
      <c r="AB449" s="247"/>
    </row>
    <row r="450">
      <c r="A450" s="247"/>
      <c r="B450" s="441"/>
      <c r="C450" s="441"/>
      <c r="D450" s="441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  <c r="AA450" s="247"/>
      <c r="AB450" s="247"/>
    </row>
    <row r="451">
      <c r="A451" s="247"/>
      <c r="B451" s="441"/>
      <c r="C451" s="441"/>
      <c r="D451" s="441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  <c r="AA451" s="247"/>
      <c r="AB451" s="247"/>
    </row>
    <row r="452">
      <c r="A452" s="247"/>
      <c r="B452" s="441"/>
      <c r="C452" s="441"/>
      <c r="D452" s="441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  <c r="AA452" s="247"/>
      <c r="AB452" s="247"/>
    </row>
    <row r="453">
      <c r="A453" s="247"/>
      <c r="B453" s="441"/>
      <c r="C453" s="441"/>
      <c r="D453" s="441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  <c r="AA453" s="247"/>
      <c r="AB453" s="247"/>
    </row>
    <row r="454">
      <c r="A454" s="247"/>
      <c r="B454" s="441"/>
      <c r="C454" s="441"/>
      <c r="D454" s="441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  <c r="AA454" s="247"/>
      <c r="AB454" s="247"/>
    </row>
    <row r="455">
      <c r="A455" s="247"/>
      <c r="B455" s="441"/>
      <c r="C455" s="441"/>
      <c r="D455" s="441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  <c r="AA455" s="247"/>
      <c r="AB455" s="247"/>
    </row>
    <row r="456">
      <c r="A456" s="247"/>
      <c r="B456" s="441"/>
      <c r="C456" s="441"/>
      <c r="D456" s="441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  <c r="AA456" s="247"/>
      <c r="AB456" s="247"/>
    </row>
    <row r="457">
      <c r="A457" s="247"/>
      <c r="B457" s="441"/>
      <c r="C457" s="441"/>
      <c r="D457" s="441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  <c r="AA457" s="247"/>
      <c r="AB457" s="247"/>
    </row>
    <row r="458">
      <c r="A458" s="247"/>
      <c r="B458" s="441"/>
      <c r="C458" s="441"/>
      <c r="D458" s="441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  <c r="AA458" s="247"/>
      <c r="AB458" s="247"/>
    </row>
    <row r="459">
      <c r="A459" s="247"/>
      <c r="B459" s="441"/>
      <c r="C459" s="441"/>
      <c r="D459" s="441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  <c r="AA459" s="247"/>
      <c r="AB459" s="247"/>
    </row>
    <row r="460">
      <c r="A460" s="247"/>
      <c r="B460" s="441"/>
      <c r="C460" s="441"/>
      <c r="D460" s="441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  <c r="AA460" s="247"/>
      <c r="AB460" s="247"/>
    </row>
    <row r="461">
      <c r="A461" s="247"/>
      <c r="B461" s="441"/>
      <c r="C461" s="441"/>
      <c r="D461" s="441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  <c r="AA461" s="247"/>
      <c r="AB461" s="247"/>
    </row>
    <row r="462">
      <c r="A462" s="247"/>
      <c r="B462" s="441"/>
      <c r="C462" s="441"/>
      <c r="D462" s="441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  <c r="AA462" s="247"/>
      <c r="AB462" s="247"/>
    </row>
    <row r="463">
      <c r="A463" s="247"/>
      <c r="B463" s="441"/>
      <c r="C463" s="441"/>
      <c r="D463" s="441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  <c r="AA463" s="247"/>
      <c r="AB463" s="247"/>
    </row>
    <row r="464">
      <c r="A464" s="247"/>
      <c r="B464" s="441"/>
      <c r="C464" s="441"/>
      <c r="D464" s="441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  <c r="AA464" s="247"/>
      <c r="AB464" s="247"/>
    </row>
    <row r="465">
      <c r="A465" s="247"/>
      <c r="B465" s="441"/>
      <c r="C465" s="441"/>
      <c r="D465" s="441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  <c r="AA465" s="247"/>
      <c r="AB465" s="247"/>
    </row>
    <row r="466">
      <c r="A466" s="247"/>
      <c r="B466" s="441"/>
      <c r="C466" s="441"/>
      <c r="D466" s="441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  <c r="AA466" s="247"/>
      <c r="AB466" s="247"/>
    </row>
    <row r="467">
      <c r="A467" s="247"/>
      <c r="B467" s="441"/>
      <c r="C467" s="441"/>
      <c r="D467" s="441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  <c r="AA467" s="247"/>
      <c r="AB467" s="247"/>
    </row>
    <row r="468">
      <c r="A468" s="247"/>
      <c r="B468" s="441"/>
      <c r="C468" s="441"/>
      <c r="D468" s="441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  <c r="AA468" s="247"/>
      <c r="AB468" s="247"/>
    </row>
    <row r="469">
      <c r="A469" s="247"/>
      <c r="B469" s="441"/>
      <c r="C469" s="441"/>
      <c r="D469" s="441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  <c r="AA469" s="247"/>
      <c r="AB469" s="247"/>
    </row>
    <row r="470">
      <c r="A470" s="247"/>
      <c r="B470" s="441"/>
      <c r="C470" s="441"/>
      <c r="D470" s="441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  <c r="AA470" s="247"/>
      <c r="AB470" s="247"/>
    </row>
    <row r="471">
      <c r="A471" s="247"/>
      <c r="B471" s="441"/>
      <c r="C471" s="441"/>
      <c r="D471" s="441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  <c r="AA471" s="247"/>
      <c r="AB471" s="247"/>
    </row>
    <row r="472">
      <c r="A472" s="247"/>
      <c r="B472" s="441"/>
      <c r="C472" s="441"/>
      <c r="D472" s="441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  <c r="AA472" s="247"/>
      <c r="AB472" s="247"/>
    </row>
    <row r="473">
      <c r="A473" s="247"/>
      <c r="B473" s="441"/>
      <c r="C473" s="441"/>
      <c r="D473" s="441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  <c r="AA473" s="247"/>
      <c r="AB473" s="247"/>
    </row>
    <row r="474">
      <c r="A474" s="247"/>
      <c r="B474" s="441"/>
      <c r="C474" s="441"/>
      <c r="D474" s="441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  <c r="AA474" s="247"/>
      <c r="AB474" s="247"/>
    </row>
    <row r="475">
      <c r="A475" s="247"/>
      <c r="B475" s="441"/>
      <c r="C475" s="441"/>
      <c r="D475" s="441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  <c r="AA475" s="247"/>
      <c r="AB475" s="247"/>
    </row>
    <row r="476">
      <c r="A476" s="247"/>
      <c r="B476" s="441"/>
      <c r="C476" s="441"/>
      <c r="D476" s="441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  <c r="AA476" s="247"/>
      <c r="AB476" s="247"/>
    </row>
    <row r="477">
      <c r="A477" s="247"/>
      <c r="B477" s="441"/>
      <c r="C477" s="441"/>
      <c r="D477" s="441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  <c r="AA477" s="247"/>
      <c r="AB477" s="247"/>
    </row>
    <row r="478">
      <c r="A478" s="247"/>
      <c r="B478" s="441"/>
      <c r="C478" s="441"/>
      <c r="D478" s="441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  <c r="AA478" s="247"/>
      <c r="AB478" s="247"/>
    </row>
    <row r="479">
      <c r="A479" s="247"/>
      <c r="B479" s="441"/>
      <c r="C479" s="441"/>
      <c r="D479" s="441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  <c r="AA479" s="247"/>
      <c r="AB479" s="247"/>
    </row>
    <row r="480">
      <c r="A480" s="247"/>
      <c r="B480" s="441"/>
      <c r="C480" s="441"/>
      <c r="D480" s="441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  <c r="AA480" s="247"/>
      <c r="AB480" s="247"/>
    </row>
    <row r="481">
      <c r="A481" s="247"/>
      <c r="B481" s="441"/>
      <c r="C481" s="441"/>
      <c r="D481" s="441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  <c r="AA481" s="247"/>
      <c r="AB481" s="247"/>
    </row>
    <row r="482">
      <c r="A482" s="247"/>
      <c r="B482" s="441"/>
      <c r="C482" s="441"/>
      <c r="D482" s="441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  <c r="AA482" s="247"/>
      <c r="AB482" s="247"/>
    </row>
    <row r="483">
      <c r="A483" s="247"/>
      <c r="B483" s="441"/>
      <c r="C483" s="441"/>
      <c r="D483" s="441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  <c r="AA483" s="247"/>
      <c r="AB483" s="247"/>
    </row>
    <row r="484">
      <c r="A484" s="247"/>
      <c r="B484" s="441"/>
      <c r="C484" s="441"/>
      <c r="D484" s="441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  <c r="AA484" s="247"/>
      <c r="AB484" s="247"/>
    </row>
    <row r="485">
      <c r="A485" s="247"/>
      <c r="B485" s="441"/>
      <c r="C485" s="441"/>
      <c r="D485" s="441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  <c r="AA485" s="247"/>
      <c r="AB485" s="247"/>
    </row>
    <row r="486">
      <c r="A486" s="247"/>
      <c r="B486" s="441"/>
      <c r="C486" s="441"/>
      <c r="D486" s="441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  <c r="AA486" s="247"/>
      <c r="AB486" s="247"/>
    </row>
    <row r="487">
      <c r="A487" s="247"/>
      <c r="B487" s="441"/>
      <c r="C487" s="441"/>
      <c r="D487" s="441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  <c r="AA487" s="247"/>
      <c r="AB487" s="247"/>
    </row>
    <row r="488">
      <c r="A488" s="247"/>
      <c r="B488" s="441"/>
      <c r="C488" s="441"/>
      <c r="D488" s="441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  <c r="AA488" s="247"/>
      <c r="AB488" s="247"/>
    </row>
    <row r="489">
      <c r="A489" s="247"/>
      <c r="B489" s="441"/>
      <c r="C489" s="441"/>
      <c r="D489" s="441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  <c r="AA489" s="247"/>
      <c r="AB489" s="247"/>
    </row>
    <row r="490">
      <c r="A490" s="247"/>
      <c r="B490" s="441"/>
      <c r="C490" s="441"/>
      <c r="D490" s="441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  <c r="AA490" s="247"/>
      <c r="AB490" s="247"/>
    </row>
    <row r="491">
      <c r="A491" s="247"/>
      <c r="B491" s="441"/>
      <c r="C491" s="441"/>
      <c r="D491" s="441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  <c r="AA491" s="247"/>
      <c r="AB491" s="247"/>
    </row>
    <row r="492">
      <c r="A492" s="247"/>
      <c r="B492" s="441"/>
      <c r="C492" s="441"/>
      <c r="D492" s="441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  <c r="AA492" s="247"/>
      <c r="AB492" s="247"/>
    </row>
    <row r="493">
      <c r="A493" s="247"/>
      <c r="B493" s="441"/>
      <c r="C493" s="441"/>
      <c r="D493" s="441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  <c r="AA493" s="247"/>
      <c r="AB493" s="247"/>
    </row>
    <row r="494">
      <c r="A494" s="247"/>
      <c r="B494" s="441"/>
      <c r="C494" s="441"/>
      <c r="D494" s="441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  <c r="AA494" s="247"/>
      <c r="AB494" s="247"/>
    </row>
    <row r="495">
      <c r="A495" s="247"/>
      <c r="B495" s="441"/>
      <c r="C495" s="441"/>
      <c r="D495" s="441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  <c r="AA495" s="247"/>
      <c r="AB495" s="247"/>
    </row>
    <row r="496">
      <c r="A496" s="247"/>
      <c r="B496" s="441"/>
      <c r="C496" s="441"/>
      <c r="D496" s="441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  <c r="AA496" s="247"/>
      <c r="AB496" s="247"/>
    </row>
    <row r="497">
      <c r="A497" s="247"/>
      <c r="B497" s="441"/>
      <c r="C497" s="441"/>
      <c r="D497" s="441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  <c r="AA497" s="247"/>
      <c r="AB497" s="247"/>
    </row>
    <row r="498">
      <c r="A498" s="247"/>
      <c r="B498" s="441"/>
      <c r="C498" s="441"/>
      <c r="D498" s="441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  <c r="AA498" s="247"/>
      <c r="AB498" s="247"/>
    </row>
    <row r="499">
      <c r="A499" s="247"/>
      <c r="B499" s="441"/>
      <c r="C499" s="441"/>
      <c r="D499" s="441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  <c r="AA499" s="247"/>
      <c r="AB499" s="247"/>
    </row>
    <row r="500">
      <c r="A500" s="247"/>
      <c r="B500" s="441"/>
      <c r="C500" s="441"/>
      <c r="D500" s="441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  <c r="AA500" s="247"/>
      <c r="AB500" s="247"/>
    </row>
    <row r="501">
      <c r="A501" s="247"/>
      <c r="B501" s="441"/>
      <c r="C501" s="441"/>
      <c r="D501" s="441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  <c r="AA501" s="247"/>
      <c r="AB501" s="247"/>
    </row>
    <row r="502">
      <c r="A502" s="247"/>
      <c r="B502" s="441"/>
      <c r="C502" s="441"/>
      <c r="D502" s="441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  <c r="AA502" s="247"/>
      <c r="AB502" s="247"/>
    </row>
    <row r="503">
      <c r="A503" s="247"/>
      <c r="B503" s="441"/>
      <c r="C503" s="441"/>
      <c r="D503" s="441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  <c r="AA503" s="247"/>
      <c r="AB503" s="247"/>
    </row>
    <row r="504">
      <c r="A504" s="247"/>
      <c r="B504" s="441"/>
      <c r="C504" s="441"/>
      <c r="D504" s="441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  <c r="AA504" s="247"/>
      <c r="AB504" s="247"/>
    </row>
    <row r="505">
      <c r="A505" s="247"/>
      <c r="B505" s="441"/>
      <c r="C505" s="441"/>
      <c r="D505" s="441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  <c r="AA505" s="247"/>
      <c r="AB505" s="247"/>
    </row>
    <row r="506">
      <c r="A506" s="247"/>
      <c r="B506" s="441"/>
      <c r="C506" s="441"/>
      <c r="D506" s="441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  <c r="AA506" s="247"/>
      <c r="AB506" s="247"/>
    </row>
    <row r="507">
      <c r="A507" s="247"/>
      <c r="B507" s="441"/>
      <c r="C507" s="441"/>
      <c r="D507" s="441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  <c r="AA507" s="247"/>
      <c r="AB507" s="247"/>
    </row>
    <row r="508">
      <c r="A508" s="247"/>
      <c r="B508" s="441"/>
      <c r="C508" s="441"/>
      <c r="D508" s="441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  <c r="AA508" s="247"/>
      <c r="AB508" s="247"/>
    </row>
    <row r="509">
      <c r="A509" s="247"/>
      <c r="B509" s="441"/>
      <c r="C509" s="441"/>
      <c r="D509" s="441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  <c r="AA509" s="247"/>
      <c r="AB509" s="247"/>
    </row>
    <row r="510">
      <c r="A510" s="247"/>
      <c r="B510" s="441"/>
      <c r="C510" s="441"/>
      <c r="D510" s="441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  <c r="AA510" s="247"/>
      <c r="AB510" s="247"/>
    </row>
    <row r="511">
      <c r="A511" s="247"/>
      <c r="B511" s="441"/>
      <c r="C511" s="441"/>
      <c r="D511" s="441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  <c r="AA511" s="247"/>
      <c r="AB511" s="247"/>
    </row>
    <row r="512">
      <c r="A512" s="247"/>
      <c r="B512" s="441"/>
      <c r="C512" s="441"/>
      <c r="D512" s="441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  <c r="AA512" s="247"/>
      <c r="AB512" s="247"/>
    </row>
    <row r="513">
      <c r="A513" s="247"/>
      <c r="B513" s="441"/>
      <c r="C513" s="441"/>
      <c r="D513" s="441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  <c r="AA513" s="247"/>
      <c r="AB513" s="247"/>
    </row>
    <row r="514">
      <c r="A514" s="247"/>
      <c r="B514" s="441"/>
      <c r="C514" s="441"/>
      <c r="D514" s="441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  <c r="AA514" s="247"/>
      <c r="AB514" s="247"/>
    </row>
    <row r="515">
      <c r="A515" s="247"/>
      <c r="B515" s="441"/>
      <c r="C515" s="441"/>
      <c r="D515" s="441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  <c r="AA515" s="247"/>
      <c r="AB515" s="247"/>
    </row>
    <row r="516">
      <c r="A516" s="247"/>
      <c r="B516" s="441"/>
      <c r="C516" s="441"/>
      <c r="D516" s="441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  <c r="AA516" s="247"/>
      <c r="AB516" s="247"/>
    </row>
    <row r="517">
      <c r="A517" s="247"/>
      <c r="B517" s="441"/>
      <c r="C517" s="441"/>
      <c r="D517" s="441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  <c r="AA517" s="247"/>
      <c r="AB517" s="247"/>
    </row>
    <row r="518">
      <c r="A518" s="247"/>
      <c r="B518" s="441"/>
      <c r="C518" s="441"/>
      <c r="D518" s="441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  <c r="AA518" s="247"/>
      <c r="AB518" s="247"/>
    </row>
    <row r="519">
      <c r="A519" s="247"/>
      <c r="B519" s="441"/>
      <c r="C519" s="441"/>
      <c r="D519" s="441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  <c r="AA519" s="247"/>
      <c r="AB519" s="247"/>
    </row>
    <row r="520">
      <c r="A520" s="247"/>
      <c r="B520" s="441"/>
      <c r="C520" s="441"/>
      <c r="D520" s="441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  <c r="AA520" s="247"/>
      <c r="AB520" s="247"/>
    </row>
    <row r="521">
      <c r="A521" s="247"/>
      <c r="B521" s="441"/>
      <c r="C521" s="441"/>
      <c r="D521" s="441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  <c r="AA521" s="247"/>
      <c r="AB521" s="247"/>
    </row>
    <row r="522">
      <c r="A522" s="247"/>
      <c r="B522" s="441"/>
      <c r="C522" s="441"/>
      <c r="D522" s="441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  <c r="AA522" s="247"/>
      <c r="AB522" s="247"/>
    </row>
    <row r="523">
      <c r="A523" s="247"/>
      <c r="B523" s="441"/>
      <c r="C523" s="441"/>
      <c r="D523" s="441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  <c r="AA523" s="247"/>
      <c r="AB523" s="247"/>
    </row>
    <row r="524">
      <c r="A524" s="247"/>
      <c r="B524" s="441"/>
      <c r="C524" s="441"/>
      <c r="D524" s="441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  <c r="AA524" s="247"/>
      <c r="AB524" s="247"/>
    </row>
    <row r="525">
      <c r="A525" s="247"/>
      <c r="B525" s="441"/>
      <c r="C525" s="441"/>
      <c r="D525" s="441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  <c r="AA525" s="247"/>
      <c r="AB525" s="247"/>
    </row>
    <row r="526">
      <c r="A526" s="247"/>
      <c r="B526" s="441"/>
      <c r="C526" s="441"/>
      <c r="D526" s="441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  <c r="AA526" s="247"/>
      <c r="AB526" s="247"/>
    </row>
    <row r="527">
      <c r="A527" s="247"/>
      <c r="B527" s="441"/>
      <c r="C527" s="441"/>
      <c r="D527" s="441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  <c r="AA527" s="247"/>
      <c r="AB527" s="247"/>
    </row>
    <row r="528">
      <c r="A528" s="247"/>
      <c r="B528" s="441"/>
      <c r="C528" s="441"/>
      <c r="D528" s="441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  <c r="AA528" s="247"/>
      <c r="AB528" s="247"/>
    </row>
    <row r="529">
      <c r="A529" s="247"/>
      <c r="B529" s="441"/>
      <c r="C529" s="441"/>
      <c r="D529" s="441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  <c r="AA529" s="247"/>
      <c r="AB529" s="247"/>
    </row>
    <row r="530">
      <c r="A530" s="247"/>
      <c r="B530" s="441"/>
      <c r="C530" s="441"/>
      <c r="D530" s="441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  <c r="AA530" s="247"/>
      <c r="AB530" s="247"/>
    </row>
    <row r="531">
      <c r="A531" s="247"/>
      <c r="B531" s="441"/>
      <c r="C531" s="441"/>
      <c r="D531" s="441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  <c r="AA531" s="247"/>
      <c r="AB531" s="247"/>
    </row>
    <row r="532">
      <c r="A532" s="247"/>
      <c r="B532" s="441"/>
      <c r="C532" s="441"/>
      <c r="D532" s="441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  <c r="AA532" s="247"/>
      <c r="AB532" s="247"/>
    </row>
    <row r="533">
      <c r="A533" s="247"/>
      <c r="B533" s="441"/>
      <c r="C533" s="441"/>
      <c r="D533" s="441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  <c r="AA533" s="247"/>
      <c r="AB533" s="247"/>
    </row>
    <row r="534">
      <c r="A534" s="247"/>
      <c r="B534" s="441"/>
      <c r="C534" s="441"/>
      <c r="D534" s="441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  <c r="AA534" s="247"/>
      <c r="AB534" s="247"/>
    </row>
    <row r="535">
      <c r="A535" s="247"/>
      <c r="B535" s="441"/>
      <c r="C535" s="441"/>
      <c r="D535" s="441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  <c r="AA535" s="247"/>
      <c r="AB535" s="247"/>
    </row>
    <row r="536">
      <c r="A536" s="247"/>
      <c r="B536" s="441"/>
      <c r="C536" s="441"/>
      <c r="D536" s="441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  <c r="AA536" s="247"/>
      <c r="AB536" s="247"/>
    </row>
    <row r="537">
      <c r="A537" s="247"/>
      <c r="B537" s="441"/>
      <c r="C537" s="441"/>
      <c r="D537" s="441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  <c r="AA537" s="247"/>
      <c r="AB537" s="247"/>
    </row>
    <row r="538">
      <c r="A538" s="247"/>
      <c r="B538" s="441"/>
      <c r="C538" s="441"/>
      <c r="D538" s="441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  <c r="AA538" s="247"/>
      <c r="AB538" s="247"/>
    </row>
    <row r="539">
      <c r="A539" s="247"/>
      <c r="B539" s="441"/>
      <c r="C539" s="441"/>
      <c r="D539" s="441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  <c r="AA539" s="247"/>
      <c r="AB539" s="247"/>
    </row>
    <row r="540">
      <c r="A540" s="247"/>
      <c r="B540" s="441"/>
      <c r="C540" s="441"/>
      <c r="D540" s="441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  <c r="AA540" s="247"/>
      <c r="AB540" s="247"/>
    </row>
    <row r="541">
      <c r="A541" s="247"/>
      <c r="B541" s="441"/>
      <c r="C541" s="441"/>
      <c r="D541" s="441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  <c r="AA541" s="247"/>
      <c r="AB541" s="247"/>
    </row>
    <row r="542">
      <c r="A542" s="247"/>
      <c r="B542" s="441"/>
      <c r="C542" s="441"/>
      <c r="D542" s="441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  <c r="AA542" s="247"/>
      <c r="AB542" s="247"/>
    </row>
    <row r="543">
      <c r="A543" s="247"/>
      <c r="B543" s="441"/>
      <c r="C543" s="441"/>
      <c r="D543" s="441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  <c r="AA543" s="247"/>
      <c r="AB543" s="247"/>
    </row>
    <row r="544">
      <c r="A544" s="247"/>
      <c r="B544" s="441"/>
      <c r="C544" s="441"/>
      <c r="D544" s="441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  <c r="AA544" s="247"/>
      <c r="AB544" s="247"/>
    </row>
    <row r="545">
      <c r="A545" s="247"/>
      <c r="B545" s="441"/>
      <c r="C545" s="441"/>
      <c r="D545" s="441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  <c r="AA545" s="247"/>
      <c r="AB545" s="247"/>
    </row>
    <row r="546">
      <c r="A546" s="247"/>
      <c r="B546" s="441"/>
      <c r="C546" s="441"/>
      <c r="D546" s="441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  <c r="AA546" s="247"/>
      <c r="AB546" s="247"/>
    </row>
    <row r="547">
      <c r="A547" s="247"/>
      <c r="B547" s="441"/>
      <c r="C547" s="441"/>
      <c r="D547" s="441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  <c r="AA547" s="247"/>
      <c r="AB547" s="247"/>
    </row>
    <row r="548">
      <c r="A548" s="247"/>
      <c r="B548" s="441"/>
      <c r="C548" s="441"/>
      <c r="D548" s="441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  <c r="AA548" s="247"/>
      <c r="AB548" s="247"/>
    </row>
    <row r="549">
      <c r="A549" s="247"/>
      <c r="B549" s="441"/>
      <c r="C549" s="441"/>
      <c r="D549" s="441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  <c r="AA549" s="247"/>
      <c r="AB549" s="247"/>
    </row>
    <row r="550">
      <c r="A550" s="247"/>
      <c r="B550" s="441"/>
      <c r="C550" s="441"/>
      <c r="D550" s="441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  <c r="AA550" s="247"/>
      <c r="AB550" s="247"/>
    </row>
    <row r="551">
      <c r="A551" s="247"/>
      <c r="B551" s="441"/>
      <c r="C551" s="441"/>
      <c r="D551" s="441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  <c r="AA551" s="247"/>
      <c r="AB551" s="247"/>
    </row>
    <row r="552">
      <c r="A552" s="247"/>
      <c r="B552" s="441"/>
      <c r="C552" s="441"/>
      <c r="D552" s="441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  <c r="AA552" s="247"/>
      <c r="AB552" s="247"/>
    </row>
    <row r="553">
      <c r="A553" s="247"/>
      <c r="B553" s="441"/>
      <c r="C553" s="441"/>
      <c r="D553" s="441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  <c r="AA553" s="247"/>
      <c r="AB553" s="247"/>
    </row>
    <row r="554">
      <c r="A554" s="247"/>
      <c r="B554" s="441"/>
      <c r="C554" s="441"/>
      <c r="D554" s="441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  <c r="AA554" s="247"/>
      <c r="AB554" s="247"/>
    </row>
    <row r="555">
      <c r="A555" s="247"/>
      <c r="B555" s="441"/>
      <c r="C555" s="441"/>
      <c r="D555" s="441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  <c r="AA555" s="247"/>
      <c r="AB555" s="247"/>
    </row>
    <row r="556">
      <c r="A556" s="247"/>
      <c r="B556" s="441"/>
      <c r="C556" s="441"/>
      <c r="D556" s="441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  <c r="AA556" s="247"/>
      <c r="AB556" s="247"/>
    </row>
    <row r="557">
      <c r="A557" s="247"/>
      <c r="B557" s="441"/>
      <c r="C557" s="441"/>
      <c r="D557" s="441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  <c r="AA557" s="247"/>
      <c r="AB557" s="247"/>
    </row>
    <row r="558">
      <c r="A558" s="247"/>
      <c r="B558" s="441"/>
      <c r="C558" s="441"/>
      <c r="D558" s="441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  <c r="AA558" s="247"/>
      <c r="AB558" s="247"/>
    </row>
    <row r="559">
      <c r="A559" s="247"/>
      <c r="B559" s="441"/>
      <c r="C559" s="441"/>
      <c r="D559" s="441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  <c r="AA559" s="247"/>
      <c r="AB559" s="247"/>
    </row>
    <row r="560">
      <c r="A560" s="247"/>
      <c r="B560" s="441"/>
      <c r="C560" s="441"/>
      <c r="D560" s="441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  <c r="AA560" s="247"/>
      <c r="AB560" s="247"/>
    </row>
    <row r="561">
      <c r="A561" s="247"/>
      <c r="B561" s="441"/>
      <c r="C561" s="441"/>
      <c r="D561" s="441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  <c r="AA561" s="247"/>
      <c r="AB561" s="247"/>
    </row>
    <row r="562">
      <c r="A562" s="247"/>
      <c r="B562" s="441"/>
      <c r="C562" s="441"/>
      <c r="D562" s="441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  <c r="AA562" s="247"/>
      <c r="AB562" s="247"/>
    </row>
    <row r="563">
      <c r="A563" s="247"/>
      <c r="B563" s="441"/>
      <c r="C563" s="441"/>
      <c r="D563" s="441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  <c r="AA563" s="247"/>
      <c r="AB563" s="247"/>
    </row>
    <row r="564">
      <c r="A564" s="247"/>
      <c r="B564" s="441"/>
      <c r="C564" s="441"/>
      <c r="D564" s="441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  <c r="AA564" s="247"/>
      <c r="AB564" s="247"/>
    </row>
    <row r="565">
      <c r="A565" s="247"/>
      <c r="B565" s="441"/>
      <c r="C565" s="441"/>
      <c r="D565" s="441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  <c r="AA565" s="247"/>
      <c r="AB565" s="247"/>
    </row>
    <row r="566">
      <c r="A566" s="247"/>
      <c r="B566" s="441"/>
      <c r="C566" s="441"/>
      <c r="D566" s="441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  <c r="AA566" s="247"/>
      <c r="AB566" s="247"/>
    </row>
    <row r="567">
      <c r="A567" s="247"/>
      <c r="B567" s="441"/>
      <c r="C567" s="441"/>
      <c r="D567" s="441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  <c r="AA567" s="247"/>
      <c r="AB567" s="247"/>
    </row>
    <row r="568">
      <c r="A568" s="247"/>
      <c r="B568" s="441"/>
      <c r="C568" s="441"/>
      <c r="D568" s="441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  <c r="AA568" s="247"/>
      <c r="AB568" s="247"/>
    </row>
    <row r="569">
      <c r="A569" s="247"/>
      <c r="B569" s="441"/>
      <c r="C569" s="441"/>
      <c r="D569" s="441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  <c r="AA569" s="247"/>
      <c r="AB569" s="247"/>
    </row>
    <row r="570">
      <c r="A570" s="247"/>
      <c r="B570" s="441"/>
      <c r="C570" s="441"/>
      <c r="D570" s="441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  <c r="AA570" s="247"/>
      <c r="AB570" s="247"/>
    </row>
    <row r="571">
      <c r="A571" s="247"/>
      <c r="B571" s="441"/>
      <c r="C571" s="441"/>
      <c r="D571" s="441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  <c r="AA571" s="247"/>
      <c r="AB571" s="247"/>
    </row>
    <row r="572">
      <c r="A572" s="247"/>
      <c r="B572" s="441"/>
      <c r="C572" s="441"/>
      <c r="D572" s="441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  <c r="AA572" s="247"/>
      <c r="AB572" s="247"/>
    </row>
    <row r="573">
      <c r="A573" s="247"/>
      <c r="B573" s="441"/>
      <c r="C573" s="441"/>
      <c r="D573" s="441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  <c r="AA573" s="247"/>
      <c r="AB573" s="247"/>
    </row>
    <row r="574">
      <c r="A574" s="247"/>
      <c r="B574" s="441"/>
      <c r="C574" s="441"/>
      <c r="D574" s="441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  <c r="AA574" s="247"/>
      <c r="AB574" s="247"/>
    </row>
    <row r="575">
      <c r="A575" s="247"/>
      <c r="B575" s="441"/>
      <c r="C575" s="441"/>
      <c r="D575" s="441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  <c r="AA575" s="247"/>
      <c r="AB575" s="247"/>
    </row>
    <row r="576">
      <c r="A576" s="247"/>
      <c r="B576" s="441"/>
      <c r="C576" s="441"/>
      <c r="D576" s="441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  <c r="AA576" s="247"/>
      <c r="AB576" s="247"/>
    </row>
    <row r="577">
      <c r="A577" s="247"/>
      <c r="B577" s="441"/>
      <c r="C577" s="441"/>
      <c r="D577" s="441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  <c r="AA577" s="247"/>
      <c r="AB577" s="247"/>
    </row>
    <row r="578">
      <c r="A578" s="247"/>
      <c r="B578" s="441"/>
      <c r="C578" s="441"/>
      <c r="D578" s="441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  <c r="AA578" s="247"/>
      <c r="AB578" s="247"/>
    </row>
    <row r="579">
      <c r="A579" s="247"/>
      <c r="B579" s="441"/>
      <c r="C579" s="441"/>
      <c r="D579" s="441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  <c r="AA579" s="247"/>
      <c r="AB579" s="247"/>
    </row>
    <row r="580">
      <c r="A580" s="247"/>
      <c r="B580" s="441"/>
      <c r="C580" s="441"/>
      <c r="D580" s="441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  <c r="AA580" s="247"/>
      <c r="AB580" s="247"/>
    </row>
    <row r="581">
      <c r="A581" s="247"/>
      <c r="B581" s="441"/>
      <c r="C581" s="441"/>
      <c r="D581" s="441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  <c r="AA581" s="247"/>
      <c r="AB581" s="247"/>
    </row>
    <row r="582">
      <c r="A582" s="247"/>
      <c r="B582" s="441"/>
      <c r="C582" s="441"/>
      <c r="D582" s="441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  <c r="AA582" s="247"/>
      <c r="AB582" s="247"/>
    </row>
    <row r="583">
      <c r="A583" s="247"/>
      <c r="B583" s="441"/>
      <c r="C583" s="441"/>
      <c r="D583" s="441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  <c r="AA583" s="247"/>
      <c r="AB583" s="247"/>
    </row>
    <row r="584">
      <c r="A584" s="247"/>
      <c r="B584" s="441"/>
      <c r="C584" s="441"/>
      <c r="D584" s="441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  <c r="AA584" s="247"/>
      <c r="AB584" s="247"/>
    </row>
    <row r="585">
      <c r="A585" s="247"/>
      <c r="B585" s="441"/>
      <c r="C585" s="441"/>
      <c r="D585" s="441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  <c r="AA585" s="247"/>
      <c r="AB585" s="247"/>
    </row>
    <row r="586">
      <c r="A586" s="247"/>
      <c r="B586" s="441"/>
      <c r="C586" s="441"/>
      <c r="D586" s="441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  <c r="AA586" s="247"/>
      <c r="AB586" s="247"/>
    </row>
    <row r="587">
      <c r="A587" s="247"/>
      <c r="B587" s="441"/>
      <c r="C587" s="441"/>
      <c r="D587" s="441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  <c r="AA587" s="247"/>
      <c r="AB587" s="247"/>
    </row>
    <row r="588">
      <c r="A588" s="247"/>
      <c r="B588" s="441"/>
      <c r="C588" s="441"/>
      <c r="D588" s="441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  <c r="AA588" s="247"/>
      <c r="AB588" s="247"/>
    </row>
    <row r="589">
      <c r="A589" s="247"/>
      <c r="B589" s="441"/>
      <c r="C589" s="441"/>
      <c r="D589" s="441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  <c r="AA589" s="247"/>
      <c r="AB589" s="247"/>
    </row>
    <row r="590">
      <c r="A590" s="247"/>
      <c r="B590" s="441"/>
      <c r="C590" s="441"/>
      <c r="D590" s="441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  <c r="AA590" s="247"/>
      <c r="AB590" s="247"/>
    </row>
    <row r="591">
      <c r="A591" s="247"/>
      <c r="B591" s="441"/>
      <c r="C591" s="441"/>
      <c r="D591" s="441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  <c r="AA591" s="247"/>
      <c r="AB591" s="247"/>
    </row>
    <row r="592">
      <c r="A592" s="247"/>
      <c r="B592" s="441"/>
      <c r="C592" s="441"/>
      <c r="D592" s="441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  <c r="AA592" s="247"/>
      <c r="AB592" s="247"/>
    </row>
    <row r="593">
      <c r="A593" s="247"/>
      <c r="B593" s="441"/>
      <c r="C593" s="441"/>
      <c r="D593" s="441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  <c r="AA593" s="247"/>
      <c r="AB593" s="247"/>
    </row>
    <row r="594">
      <c r="A594" s="247"/>
      <c r="B594" s="441"/>
      <c r="C594" s="441"/>
      <c r="D594" s="441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  <c r="AA594" s="247"/>
      <c r="AB594" s="247"/>
    </row>
    <row r="595">
      <c r="A595" s="247"/>
      <c r="B595" s="441"/>
      <c r="C595" s="441"/>
      <c r="D595" s="441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  <c r="AA595" s="247"/>
      <c r="AB595" s="247"/>
    </row>
    <row r="596">
      <c r="A596" s="247"/>
      <c r="B596" s="441"/>
      <c r="C596" s="441"/>
      <c r="D596" s="441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  <c r="AA596" s="247"/>
      <c r="AB596" s="247"/>
    </row>
    <row r="597">
      <c r="A597" s="247"/>
      <c r="B597" s="441"/>
      <c r="C597" s="441"/>
      <c r="D597" s="441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  <c r="AA597" s="247"/>
      <c r="AB597" s="247"/>
    </row>
    <row r="598">
      <c r="A598" s="247"/>
      <c r="B598" s="441"/>
      <c r="C598" s="441"/>
      <c r="D598" s="441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  <c r="AA598" s="247"/>
      <c r="AB598" s="247"/>
    </row>
    <row r="599">
      <c r="A599" s="247"/>
      <c r="B599" s="441"/>
      <c r="C599" s="441"/>
      <c r="D599" s="441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  <c r="AA599" s="247"/>
      <c r="AB599" s="247"/>
    </row>
    <row r="600">
      <c r="A600" s="247"/>
      <c r="B600" s="441"/>
      <c r="C600" s="441"/>
      <c r="D600" s="441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  <c r="AA600" s="247"/>
      <c r="AB600" s="247"/>
    </row>
    <row r="601">
      <c r="A601" s="247"/>
      <c r="B601" s="441"/>
      <c r="C601" s="441"/>
      <c r="D601" s="441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  <c r="AA601" s="247"/>
      <c r="AB601" s="247"/>
    </row>
    <row r="602">
      <c r="A602" s="247"/>
      <c r="B602" s="441"/>
      <c r="C602" s="441"/>
      <c r="D602" s="441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  <c r="AA602" s="247"/>
      <c r="AB602" s="247"/>
    </row>
    <row r="603">
      <c r="A603" s="247"/>
      <c r="B603" s="441"/>
      <c r="C603" s="441"/>
      <c r="D603" s="441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  <c r="AA603" s="247"/>
      <c r="AB603" s="247"/>
    </row>
    <row r="604">
      <c r="A604" s="247"/>
      <c r="B604" s="441"/>
      <c r="C604" s="441"/>
      <c r="D604" s="441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  <c r="AA604" s="247"/>
      <c r="AB604" s="247"/>
    </row>
    <row r="605">
      <c r="A605" s="247"/>
      <c r="B605" s="441"/>
      <c r="C605" s="441"/>
      <c r="D605" s="441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  <c r="AA605" s="247"/>
      <c r="AB605" s="247"/>
    </row>
    <row r="606">
      <c r="A606" s="247"/>
      <c r="B606" s="441"/>
      <c r="C606" s="441"/>
      <c r="D606" s="441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  <c r="AA606" s="247"/>
      <c r="AB606" s="247"/>
    </row>
    <row r="607">
      <c r="A607" s="247"/>
      <c r="B607" s="441"/>
      <c r="C607" s="441"/>
      <c r="D607" s="441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  <c r="AA607" s="247"/>
      <c r="AB607" s="247"/>
    </row>
    <row r="608">
      <c r="A608" s="247"/>
      <c r="B608" s="441"/>
      <c r="C608" s="441"/>
      <c r="D608" s="441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  <c r="AA608" s="247"/>
      <c r="AB608" s="247"/>
    </row>
    <row r="609">
      <c r="A609" s="247"/>
      <c r="B609" s="441"/>
      <c r="C609" s="441"/>
      <c r="D609" s="441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  <c r="AA609" s="247"/>
      <c r="AB609" s="247"/>
    </row>
    <row r="610">
      <c r="A610" s="247"/>
      <c r="B610" s="441"/>
      <c r="C610" s="441"/>
      <c r="D610" s="441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  <c r="AA610" s="247"/>
      <c r="AB610" s="247"/>
    </row>
    <row r="611">
      <c r="A611" s="247"/>
      <c r="B611" s="441"/>
      <c r="C611" s="441"/>
      <c r="D611" s="441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  <c r="AA611" s="247"/>
      <c r="AB611" s="247"/>
    </row>
    <row r="612">
      <c r="A612" s="247"/>
      <c r="B612" s="441"/>
      <c r="C612" s="441"/>
      <c r="D612" s="441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  <c r="AA612" s="247"/>
      <c r="AB612" s="247"/>
    </row>
    <row r="613">
      <c r="A613" s="247"/>
      <c r="B613" s="441"/>
      <c r="C613" s="441"/>
      <c r="D613" s="441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  <c r="AA613" s="247"/>
      <c r="AB613" s="247"/>
    </row>
    <row r="614">
      <c r="A614" s="247"/>
      <c r="B614" s="441"/>
      <c r="C614" s="441"/>
      <c r="D614" s="441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  <c r="AA614" s="247"/>
      <c r="AB614" s="247"/>
    </row>
    <row r="615">
      <c r="A615" s="247"/>
      <c r="B615" s="441"/>
      <c r="C615" s="441"/>
      <c r="D615" s="441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  <c r="AA615" s="247"/>
      <c r="AB615" s="247"/>
    </row>
    <row r="616">
      <c r="A616" s="247"/>
      <c r="B616" s="441"/>
      <c r="C616" s="441"/>
      <c r="D616" s="441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  <c r="AA616" s="247"/>
      <c r="AB616" s="247"/>
    </row>
    <row r="617">
      <c r="A617" s="247"/>
      <c r="B617" s="441"/>
      <c r="C617" s="441"/>
      <c r="D617" s="441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  <c r="AA617" s="247"/>
      <c r="AB617" s="247"/>
    </row>
    <row r="618">
      <c r="A618" s="247"/>
      <c r="B618" s="441"/>
      <c r="C618" s="441"/>
      <c r="D618" s="441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  <c r="AA618" s="247"/>
      <c r="AB618" s="247"/>
    </row>
    <row r="619">
      <c r="A619" s="247"/>
      <c r="B619" s="441"/>
      <c r="C619" s="441"/>
      <c r="D619" s="441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  <c r="AA619" s="247"/>
      <c r="AB619" s="247"/>
    </row>
    <row r="620">
      <c r="A620" s="247"/>
      <c r="B620" s="441"/>
      <c r="C620" s="441"/>
      <c r="D620" s="441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  <c r="AA620" s="247"/>
      <c r="AB620" s="247"/>
    </row>
    <row r="621">
      <c r="A621" s="247"/>
      <c r="B621" s="441"/>
      <c r="C621" s="441"/>
      <c r="D621" s="441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  <c r="AA621" s="247"/>
      <c r="AB621" s="247"/>
    </row>
    <row r="622">
      <c r="A622" s="247"/>
      <c r="B622" s="441"/>
      <c r="C622" s="441"/>
      <c r="D622" s="441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  <c r="AA622" s="247"/>
      <c r="AB622" s="247"/>
    </row>
    <row r="623">
      <c r="A623" s="247"/>
      <c r="B623" s="441"/>
      <c r="C623" s="441"/>
      <c r="D623" s="441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  <c r="AA623" s="247"/>
      <c r="AB623" s="247"/>
    </row>
    <row r="624">
      <c r="A624" s="247"/>
      <c r="B624" s="441"/>
      <c r="C624" s="441"/>
      <c r="D624" s="441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  <c r="AA624" s="247"/>
      <c r="AB624" s="247"/>
    </row>
    <row r="625">
      <c r="A625" s="247"/>
      <c r="B625" s="441"/>
      <c r="C625" s="441"/>
      <c r="D625" s="441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  <c r="AA625" s="247"/>
      <c r="AB625" s="247"/>
    </row>
    <row r="626">
      <c r="A626" s="247"/>
      <c r="B626" s="441"/>
      <c r="C626" s="441"/>
      <c r="D626" s="441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  <c r="AA626" s="247"/>
      <c r="AB626" s="247"/>
    </row>
    <row r="627">
      <c r="A627" s="247"/>
      <c r="B627" s="441"/>
      <c r="C627" s="441"/>
      <c r="D627" s="441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  <c r="AA627" s="247"/>
      <c r="AB627" s="247"/>
    </row>
    <row r="628">
      <c r="A628" s="247"/>
      <c r="B628" s="441"/>
      <c r="C628" s="441"/>
      <c r="D628" s="441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  <c r="AA628" s="247"/>
      <c r="AB628" s="247"/>
    </row>
    <row r="629">
      <c r="A629" s="247"/>
      <c r="B629" s="441"/>
      <c r="C629" s="441"/>
      <c r="D629" s="441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  <c r="AA629" s="247"/>
      <c r="AB629" s="247"/>
    </row>
    <row r="630">
      <c r="A630" s="247"/>
      <c r="B630" s="441"/>
      <c r="C630" s="441"/>
      <c r="D630" s="441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  <c r="AA630" s="247"/>
      <c r="AB630" s="247"/>
    </row>
    <row r="631">
      <c r="A631" s="247"/>
      <c r="B631" s="441"/>
      <c r="C631" s="441"/>
      <c r="D631" s="441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  <c r="AA631" s="247"/>
      <c r="AB631" s="247"/>
    </row>
    <row r="632">
      <c r="A632" s="247"/>
      <c r="B632" s="441"/>
      <c r="C632" s="441"/>
      <c r="D632" s="441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  <c r="AA632" s="247"/>
      <c r="AB632" s="247"/>
    </row>
    <row r="633">
      <c r="A633" s="247"/>
      <c r="B633" s="441"/>
      <c r="C633" s="441"/>
      <c r="D633" s="441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  <c r="AA633" s="247"/>
      <c r="AB633" s="247"/>
    </row>
    <row r="634">
      <c r="A634" s="247"/>
      <c r="B634" s="441"/>
      <c r="C634" s="441"/>
      <c r="D634" s="441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  <c r="AA634" s="247"/>
      <c r="AB634" s="247"/>
    </row>
    <row r="635">
      <c r="A635" s="247"/>
      <c r="B635" s="441"/>
      <c r="C635" s="441"/>
      <c r="D635" s="441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  <c r="AA635" s="247"/>
      <c r="AB635" s="247"/>
    </row>
    <row r="636">
      <c r="A636" s="247"/>
      <c r="B636" s="441"/>
      <c r="C636" s="441"/>
      <c r="D636" s="441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  <c r="AA636" s="247"/>
      <c r="AB636" s="247"/>
    </row>
    <row r="637">
      <c r="A637" s="247"/>
      <c r="B637" s="441"/>
      <c r="C637" s="441"/>
      <c r="D637" s="441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  <c r="AA637" s="247"/>
      <c r="AB637" s="247"/>
    </row>
    <row r="638">
      <c r="A638" s="247"/>
      <c r="B638" s="441"/>
      <c r="C638" s="441"/>
      <c r="D638" s="441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  <c r="AA638" s="247"/>
      <c r="AB638" s="247"/>
    </row>
    <row r="639">
      <c r="A639" s="247"/>
      <c r="B639" s="441"/>
      <c r="C639" s="441"/>
      <c r="D639" s="441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  <c r="AA639" s="247"/>
      <c r="AB639" s="247"/>
    </row>
    <row r="640">
      <c r="A640" s="247"/>
      <c r="B640" s="441"/>
      <c r="C640" s="441"/>
      <c r="D640" s="441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  <c r="AA640" s="247"/>
      <c r="AB640" s="247"/>
    </row>
    <row r="641">
      <c r="A641" s="247"/>
      <c r="B641" s="441"/>
      <c r="C641" s="441"/>
      <c r="D641" s="441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  <c r="AA641" s="247"/>
      <c r="AB641" s="247"/>
    </row>
    <row r="642">
      <c r="A642" s="247"/>
      <c r="B642" s="441"/>
      <c r="C642" s="441"/>
      <c r="D642" s="441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  <c r="AA642" s="247"/>
      <c r="AB642" s="247"/>
    </row>
    <row r="643">
      <c r="A643" s="247"/>
      <c r="B643" s="441"/>
      <c r="C643" s="441"/>
      <c r="D643" s="441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  <c r="AA643" s="247"/>
      <c r="AB643" s="247"/>
    </row>
    <row r="644">
      <c r="A644" s="247"/>
      <c r="B644" s="441"/>
      <c r="C644" s="441"/>
      <c r="D644" s="441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  <c r="AA644" s="247"/>
      <c r="AB644" s="247"/>
    </row>
    <row r="645">
      <c r="A645" s="247"/>
      <c r="B645" s="441"/>
      <c r="C645" s="441"/>
      <c r="D645" s="441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  <c r="AA645" s="247"/>
      <c r="AB645" s="247"/>
    </row>
    <row r="646">
      <c r="A646" s="247"/>
      <c r="B646" s="441"/>
      <c r="C646" s="441"/>
      <c r="D646" s="441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  <c r="AA646" s="247"/>
      <c r="AB646" s="247"/>
    </row>
    <row r="647">
      <c r="A647" s="247"/>
      <c r="B647" s="441"/>
      <c r="C647" s="441"/>
      <c r="D647" s="441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  <c r="AA647" s="247"/>
      <c r="AB647" s="247"/>
    </row>
    <row r="648">
      <c r="A648" s="247"/>
      <c r="B648" s="441"/>
      <c r="C648" s="441"/>
      <c r="D648" s="441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  <c r="AA648" s="247"/>
      <c r="AB648" s="247"/>
    </row>
    <row r="649">
      <c r="A649" s="247"/>
      <c r="B649" s="441"/>
      <c r="C649" s="441"/>
      <c r="D649" s="441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  <c r="AA649" s="247"/>
      <c r="AB649" s="247"/>
    </row>
    <row r="650">
      <c r="A650" s="247"/>
      <c r="B650" s="441"/>
      <c r="C650" s="441"/>
      <c r="D650" s="441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  <c r="AA650" s="247"/>
      <c r="AB650" s="247"/>
    </row>
    <row r="651">
      <c r="A651" s="247"/>
      <c r="B651" s="441"/>
      <c r="C651" s="441"/>
      <c r="D651" s="441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  <c r="AA651" s="247"/>
      <c r="AB651" s="247"/>
    </row>
    <row r="652">
      <c r="A652" s="247"/>
      <c r="B652" s="441"/>
      <c r="C652" s="441"/>
      <c r="D652" s="441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  <c r="AA652" s="247"/>
      <c r="AB652" s="247"/>
    </row>
    <row r="653">
      <c r="A653" s="247"/>
      <c r="B653" s="441"/>
      <c r="C653" s="441"/>
      <c r="D653" s="441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  <c r="AA653" s="247"/>
      <c r="AB653" s="247"/>
    </row>
    <row r="654">
      <c r="A654" s="247"/>
      <c r="B654" s="441"/>
      <c r="C654" s="441"/>
      <c r="D654" s="441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  <c r="AA654" s="247"/>
      <c r="AB654" s="247"/>
    </row>
    <row r="655">
      <c r="A655" s="247"/>
      <c r="B655" s="441"/>
      <c r="C655" s="441"/>
      <c r="D655" s="441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  <c r="AA655" s="247"/>
      <c r="AB655" s="247"/>
    </row>
    <row r="656">
      <c r="A656" s="247"/>
      <c r="B656" s="441"/>
      <c r="C656" s="441"/>
      <c r="D656" s="441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  <c r="AA656" s="247"/>
      <c r="AB656" s="247"/>
    </row>
    <row r="657">
      <c r="A657" s="247"/>
      <c r="B657" s="441"/>
      <c r="C657" s="441"/>
      <c r="D657" s="441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  <c r="AA657" s="247"/>
      <c r="AB657" s="247"/>
    </row>
    <row r="658">
      <c r="A658" s="247"/>
      <c r="B658" s="441"/>
      <c r="C658" s="441"/>
      <c r="D658" s="441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  <c r="AA658" s="247"/>
      <c r="AB658" s="247"/>
    </row>
    <row r="659">
      <c r="A659" s="247"/>
      <c r="B659" s="441"/>
      <c r="C659" s="441"/>
      <c r="D659" s="441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  <c r="AA659" s="247"/>
      <c r="AB659" s="247"/>
    </row>
    <row r="660">
      <c r="A660" s="247"/>
      <c r="B660" s="441"/>
      <c r="C660" s="441"/>
      <c r="D660" s="441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  <c r="AA660" s="247"/>
      <c r="AB660" s="247"/>
    </row>
    <row r="661">
      <c r="A661" s="247"/>
      <c r="B661" s="441"/>
      <c r="C661" s="441"/>
      <c r="D661" s="441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  <c r="AA661" s="247"/>
      <c r="AB661" s="247"/>
    </row>
    <row r="662">
      <c r="A662" s="247"/>
      <c r="B662" s="441"/>
      <c r="C662" s="441"/>
      <c r="D662" s="441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  <c r="AA662" s="247"/>
      <c r="AB662" s="247"/>
    </row>
    <row r="663">
      <c r="A663" s="247"/>
      <c r="B663" s="441"/>
      <c r="C663" s="441"/>
      <c r="D663" s="441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  <c r="AA663" s="247"/>
      <c r="AB663" s="247"/>
    </row>
    <row r="664">
      <c r="A664" s="247"/>
      <c r="B664" s="441"/>
      <c r="C664" s="441"/>
      <c r="D664" s="441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  <c r="AA664" s="247"/>
      <c r="AB664" s="247"/>
    </row>
    <row r="665">
      <c r="A665" s="247"/>
      <c r="B665" s="441"/>
      <c r="C665" s="441"/>
      <c r="D665" s="441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  <c r="AA665" s="247"/>
      <c r="AB665" s="247"/>
    </row>
    <row r="666">
      <c r="A666" s="247"/>
      <c r="B666" s="441"/>
      <c r="C666" s="441"/>
      <c r="D666" s="441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  <c r="AA666" s="247"/>
      <c r="AB666" s="247"/>
    </row>
    <row r="667">
      <c r="A667" s="247"/>
      <c r="B667" s="441"/>
      <c r="C667" s="441"/>
      <c r="D667" s="441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  <c r="AA667" s="247"/>
      <c r="AB667" s="247"/>
    </row>
    <row r="668">
      <c r="A668" s="247"/>
      <c r="B668" s="441"/>
      <c r="C668" s="441"/>
      <c r="D668" s="441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  <c r="AA668" s="247"/>
      <c r="AB668" s="247"/>
    </row>
    <row r="669">
      <c r="A669" s="247"/>
      <c r="B669" s="441"/>
      <c r="C669" s="441"/>
      <c r="D669" s="441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  <c r="AA669" s="247"/>
      <c r="AB669" s="247"/>
    </row>
    <row r="670">
      <c r="A670" s="247"/>
      <c r="B670" s="441"/>
      <c r="C670" s="441"/>
      <c r="D670" s="441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  <c r="AA670" s="247"/>
      <c r="AB670" s="247"/>
    </row>
    <row r="671">
      <c r="A671" s="247"/>
      <c r="B671" s="441"/>
      <c r="C671" s="441"/>
      <c r="D671" s="441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  <c r="AA671" s="247"/>
      <c r="AB671" s="247"/>
    </row>
    <row r="672">
      <c r="A672" s="247"/>
      <c r="B672" s="441"/>
      <c r="C672" s="441"/>
      <c r="D672" s="441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  <c r="AA672" s="247"/>
      <c r="AB672" s="247"/>
    </row>
    <row r="673">
      <c r="A673" s="247"/>
      <c r="B673" s="441"/>
      <c r="C673" s="441"/>
      <c r="D673" s="441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  <c r="AA673" s="247"/>
      <c r="AB673" s="247"/>
    </row>
    <row r="674">
      <c r="A674" s="247"/>
      <c r="B674" s="441"/>
      <c r="C674" s="441"/>
      <c r="D674" s="441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  <c r="AA674" s="247"/>
      <c r="AB674" s="247"/>
    </row>
    <row r="675">
      <c r="A675" s="247"/>
      <c r="B675" s="441"/>
      <c r="C675" s="441"/>
      <c r="D675" s="441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  <c r="AA675" s="247"/>
      <c r="AB675" s="247"/>
    </row>
    <row r="676">
      <c r="A676" s="247"/>
      <c r="B676" s="441"/>
      <c r="C676" s="441"/>
      <c r="D676" s="441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  <c r="AA676" s="247"/>
      <c r="AB676" s="247"/>
    </row>
    <row r="677">
      <c r="A677" s="247"/>
      <c r="B677" s="441"/>
      <c r="C677" s="441"/>
      <c r="D677" s="441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  <c r="AA677" s="247"/>
      <c r="AB677" s="247"/>
    </row>
    <row r="678">
      <c r="A678" s="247"/>
      <c r="B678" s="441"/>
      <c r="C678" s="441"/>
      <c r="D678" s="441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  <c r="AA678" s="247"/>
      <c r="AB678" s="247"/>
    </row>
    <row r="679">
      <c r="A679" s="247"/>
      <c r="B679" s="441"/>
      <c r="C679" s="441"/>
      <c r="D679" s="441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  <c r="AA679" s="247"/>
      <c r="AB679" s="247"/>
    </row>
    <row r="680">
      <c r="A680" s="247"/>
      <c r="B680" s="441"/>
      <c r="C680" s="441"/>
      <c r="D680" s="441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  <c r="AA680" s="247"/>
      <c r="AB680" s="247"/>
    </row>
    <row r="681">
      <c r="A681" s="247"/>
      <c r="B681" s="441"/>
      <c r="C681" s="441"/>
      <c r="D681" s="441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  <c r="AA681" s="247"/>
      <c r="AB681" s="247"/>
    </row>
    <row r="682">
      <c r="A682" s="247"/>
      <c r="B682" s="441"/>
      <c r="C682" s="441"/>
      <c r="D682" s="441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  <c r="AA682" s="247"/>
      <c r="AB682" s="247"/>
    </row>
    <row r="683">
      <c r="A683" s="247"/>
      <c r="B683" s="441"/>
      <c r="C683" s="441"/>
      <c r="D683" s="441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  <c r="AA683" s="247"/>
      <c r="AB683" s="247"/>
    </row>
    <row r="684">
      <c r="A684" s="247"/>
      <c r="B684" s="441"/>
      <c r="C684" s="441"/>
      <c r="D684" s="441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  <c r="AA684" s="247"/>
      <c r="AB684" s="247"/>
    </row>
    <row r="685">
      <c r="A685" s="247"/>
      <c r="B685" s="441"/>
      <c r="C685" s="441"/>
      <c r="D685" s="441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  <c r="AA685" s="247"/>
      <c r="AB685" s="247"/>
    </row>
    <row r="686">
      <c r="A686" s="247"/>
      <c r="B686" s="441"/>
      <c r="C686" s="441"/>
      <c r="D686" s="441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  <c r="AA686" s="247"/>
      <c r="AB686" s="247"/>
    </row>
    <row r="687">
      <c r="A687" s="247"/>
      <c r="B687" s="441"/>
      <c r="C687" s="441"/>
      <c r="D687" s="441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  <c r="AA687" s="247"/>
      <c r="AB687" s="247"/>
    </row>
    <row r="688">
      <c r="A688" s="247"/>
      <c r="B688" s="441"/>
      <c r="C688" s="441"/>
      <c r="D688" s="441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  <c r="AA688" s="247"/>
      <c r="AB688" s="247"/>
    </row>
    <row r="689">
      <c r="A689" s="247"/>
      <c r="B689" s="441"/>
      <c r="C689" s="441"/>
      <c r="D689" s="441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  <c r="AA689" s="247"/>
      <c r="AB689" s="247"/>
    </row>
    <row r="690">
      <c r="A690" s="247"/>
      <c r="B690" s="441"/>
      <c r="C690" s="441"/>
      <c r="D690" s="441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  <c r="AA690" s="247"/>
      <c r="AB690" s="247"/>
    </row>
    <row r="691">
      <c r="A691" s="247"/>
      <c r="B691" s="441"/>
      <c r="C691" s="441"/>
      <c r="D691" s="441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  <c r="AA691" s="247"/>
      <c r="AB691" s="247"/>
    </row>
    <row r="692">
      <c r="A692" s="247"/>
      <c r="B692" s="441"/>
      <c r="C692" s="441"/>
      <c r="D692" s="441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  <c r="AA692" s="247"/>
      <c r="AB692" s="247"/>
    </row>
    <row r="693">
      <c r="A693" s="247"/>
      <c r="B693" s="441"/>
      <c r="C693" s="441"/>
      <c r="D693" s="441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  <c r="AA693" s="247"/>
      <c r="AB693" s="247"/>
    </row>
    <row r="694">
      <c r="A694" s="247"/>
      <c r="B694" s="441"/>
      <c r="C694" s="441"/>
      <c r="D694" s="441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  <c r="AA694" s="247"/>
      <c r="AB694" s="247"/>
    </row>
    <row r="695">
      <c r="A695" s="247"/>
      <c r="B695" s="441"/>
      <c r="C695" s="441"/>
      <c r="D695" s="441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  <c r="AA695" s="247"/>
      <c r="AB695" s="247"/>
    </row>
    <row r="696">
      <c r="A696" s="247"/>
      <c r="B696" s="441"/>
      <c r="C696" s="441"/>
      <c r="D696" s="441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  <c r="AA696" s="247"/>
      <c r="AB696" s="247"/>
    </row>
    <row r="697">
      <c r="A697" s="247"/>
      <c r="B697" s="441"/>
      <c r="C697" s="441"/>
      <c r="D697" s="441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  <c r="AA697" s="247"/>
      <c r="AB697" s="247"/>
    </row>
    <row r="698">
      <c r="A698" s="247"/>
      <c r="B698" s="441"/>
      <c r="C698" s="441"/>
      <c r="D698" s="441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  <c r="AA698" s="247"/>
      <c r="AB698" s="247"/>
    </row>
    <row r="699">
      <c r="A699" s="247"/>
      <c r="B699" s="441"/>
      <c r="C699" s="441"/>
      <c r="D699" s="441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  <c r="AA699" s="247"/>
      <c r="AB699" s="247"/>
    </row>
    <row r="700">
      <c r="A700" s="247"/>
      <c r="B700" s="441"/>
      <c r="C700" s="441"/>
      <c r="D700" s="441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  <c r="AA700" s="247"/>
      <c r="AB700" s="247"/>
    </row>
    <row r="701">
      <c r="A701" s="247"/>
      <c r="B701" s="441"/>
      <c r="C701" s="441"/>
      <c r="D701" s="441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  <c r="AA701" s="247"/>
      <c r="AB701" s="247"/>
    </row>
    <row r="702">
      <c r="A702" s="247"/>
      <c r="B702" s="441"/>
      <c r="C702" s="441"/>
      <c r="D702" s="441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  <c r="AA702" s="247"/>
      <c r="AB702" s="247"/>
    </row>
    <row r="703">
      <c r="A703" s="247"/>
      <c r="B703" s="441"/>
      <c r="C703" s="441"/>
      <c r="D703" s="441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  <c r="AA703" s="247"/>
      <c r="AB703" s="247"/>
    </row>
    <row r="704">
      <c r="A704" s="247"/>
      <c r="B704" s="441"/>
      <c r="C704" s="441"/>
      <c r="D704" s="441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  <c r="AA704" s="247"/>
      <c r="AB704" s="247"/>
    </row>
    <row r="705">
      <c r="A705" s="247"/>
      <c r="B705" s="441"/>
      <c r="C705" s="441"/>
      <c r="D705" s="441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  <c r="AA705" s="247"/>
      <c r="AB705" s="247"/>
    </row>
    <row r="706">
      <c r="A706" s="247"/>
      <c r="B706" s="441"/>
      <c r="C706" s="441"/>
      <c r="D706" s="441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  <c r="AA706" s="247"/>
      <c r="AB706" s="247"/>
    </row>
    <row r="707">
      <c r="A707" s="247"/>
      <c r="B707" s="441"/>
      <c r="C707" s="441"/>
      <c r="D707" s="441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  <c r="AA707" s="247"/>
      <c r="AB707" s="247"/>
    </row>
    <row r="708">
      <c r="A708" s="247"/>
      <c r="B708" s="441"/>
      <c r="C708" s="441"/>
      <c r="D708" s="441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  <c r="AA708" s="247"/>
      <c r="AB708" s="247"/>
    </row>
    <row r="709">
      <c r="A709" s="247"/>
      <c r="B709" s="441"/>
      <c r="C709" s="441"/>
      <c r="D709" s="441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  <c r="AA709" s="247"/>
      <c r="AB709" s="247"/>
    </row>
    <row r="710">
      <c r="A710" s="247"/>
      <c r="B710" s="441"/>
      <c r="C710" s="441"/>
      <c r="D710" s="441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  <c r="AA710" s="247"/>
      <c r="AB710" s="247"/>
    </row>
    <row r="711">
      <c r="A711" s="247"/>
      <c r="B711" s="441"/>
      <c r="C711" s="441"/>
      <c r="D711" s="441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  <c r="AA711" s="247"/>
      <c r="AB711" s="247"/>
    </row>
    <row r="712">
      <c r="A712" s="247"/>
      <c r="B712" s="441"/>
      <c r="C712" s="441"/>
      <c r="D712" s="441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  <c r="AA712" s="247"/>
      <c r="AB712" s="247"/>
    </row>
    <row r="713">
      <c r="A713" s="247"/>
      <c r="B713" s="441"/>
      <c r="C713" s="441"/>
      <c r="D713" s="441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  <c r="AA713" s="247"/>
      <c r="AB713" s="247"/>
    </row>
    <row r="714">
      <c r="A714" s="247"/>
      <c r="B714" s="441"/>
      <c r="C714" s="441"/>
      <c r="D714" s="441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  <c r="AA714" s="247"/>
      <c r="AB714" s="247"/>
    </row>
    <row r="715">
      <c r="A715" s="247"/>
      <c r="B715" s="441"/>
      <c r="C715" s="441"/>
      <c r="D715" s="441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  <c r="AA715" s="247"/>
      <c r="AB715" s="247"/>
    </row>
    <row r="716">
      <c r="A716" s="247"/>
      <c r="B716" s="441"/>
      <c r="C716" s="441"/>
      <c r="D716" s="441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  <c r="AA716" s="247"/>
      <c r="AB716" s="247"/>
    </row>
    <row r="717">
      <c r="A717" s="247"/>
      <c r="B717" s="441"/>
      <c r="C717" s="441"/>
      <c r="D717" s="441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  <c r="AA717" s="247"/>
      <c r="AB717" s="247"/>
    </row>
    <row r="718">
      <c r="A718" s="247"/>
      <c r="B718" s="441"/>
      <c r="C718" s="441"/>
      <c r="D718" s="441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  <c r="AA718" s="247"/>
      <c r="AB718" s="247"/>
    </row>
    <row r="719">
      <c r="A719" s="247"/>
      <c r="B719" s="441"/>
      <c r="C719" s="441"/>
      <c r="D719" s="441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  <c r="AA719" s="247"/>
      <c r="AB719" s="247"/>
    </row>
    <row r="720">
      <c r="A720" s="247"/>
      <c r="B720" s="441"/>
      <c r="C720" s="441"/>
      <c r="D720" s="441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  <c r="AA720" s="247"/>
      <c r="AB720" s="247"/>
    </row>
    <row r="721">
      <c r="A721" s="247"/>
      <c r="B721" s="441"/>
      <c r="C721" s="441"/>
      <c r="D721" s="441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  <c r="AA721" s="247"/>
      <c r="AB721" s="247"/>
    </row>
    <row r="722">
      <c r="A722" s="247"/>
      <c r="B722" s="441"/>
      <c r="C722" s="441"/>
      <c r="D722" s="441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  <c r="AA722" s="247"/>
      <c r="AB722" s="247"/>
    </row>
    <row r="723">
      <c r="A723" s="247"/>
      <c r="B723" s="441"/>
      <c r="C723" s="441"/>
      <c r="D723" s="441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  <c r="AA723" s="247"/>
      <c r="AB723" s="247"/>
    </row>
    <row r="724">
      <c r="A724" s="247"/>
      <c r="B724" s="441"/>
      <c r="C724" s="441"/>
      <c r="D724" s="441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  <c r="AA724" s="247"/>
      <c r="AB724" s="247"/>
    </row>
    <row r="725">
      <c r="A725" s="247"/>
      <c r="B725" s="441"/>
      <c r="C725" s="441"/>
      <c r="D725" s="441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  <c r="AA725" s="247"/>
      <c r="AB725" s="247"/>
    </row>
    <row r="726">
      <c r="A726" s="247"/>
      <c r="B726" s="441"/>
      <c r="C726" s="441"/>
      <c r="D726" s="441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  <c r="AA726" s="247"/>
      <c r="AB726" s="247"/>
    </row>
    <row r="727">
      <c r="A727" s="247"/>
      <c r="B727" s="441"/>
      <c r="C727" s="441"/>
      <c r="D727" s="441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  <c r="AA727" s="247"/>
      <c r="AB727" s="247"/>
    </row>
    <row r="728">
      <c r="A728" s="247"/>
      <c r="B728" s="441"/>
      <c r="C728" s="441"/>
      <c r="D728" s="441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  <c r="AA728" s="247"/>
      <c r="AB728" s="247"/>
    </row>
    <row r="729">
      <c r="A729" s="247"/>
      <c r="B729" s="441"/>
      <c r="C729" s="441"/>
      <c r="D729" s="441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  <c r="AA729" s="247"/>
      <c r="AB729" s="247"/>
    </row>
    <row r="730">
      <c r="A730" s="247"/>
      <c r="B730" s="441"/>
      <c r="C730" s="441"/>
      <c r="D730" s="441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  <c r="AA730" s="247"/>
      <c r="AB730" s="247"/>
    </row>
    <row r="731">
      <c r="A731" s="247"/>
      <c r="B731" s="441"/>
      <c r="C731" s="441"/>
      <c r="D731" s="441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  <c r="AA731" s="247"/>
      <c r="AB731" s="247"/>
    </row>
    <row r="732">
      <c r="A732" s="247"/>
      <c r="B732" s="441"/>
      <c r="C732" s="441"/>
      <c r="D732" s="441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  <c r="AA732" s="247"/>
      <c r="AB732" s="247"/>
    </row>
    <row r="733">
      <c r="A733" s="247"/>
      <c r="B733" s="441"/>
      <c r="C733" s="441"/>
      <c r="D733" s="441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  <c r="AA733" s="247"/>
      <c r="AB733" s="247"/>
    </row>
    <row r="734">
      <c r="A734" s="247"/>
      <c r="B734" s="441"/>
      <c r="C734" s="441"/>
      <c r="D734" s="441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  <c r="AA734" s="247"/>
      <c r="AB734" s="247"/>
    </row>
    <row r="735">
      <c r="A735" s="247"/>
      <c r="B735" s="441"/>
      <c r="C735" s="441"/>
      <c r="D735" s="441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  <c r="AA735" s="247"/>
      <c r="AB735" s="247"/>
    </row>
    <row r="736">
      <c r="A736" s="247"/>
      <c r="B736" s="441"/>
      <c r="C736" s="441"/>
      <c r="D736" s="441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  <c r="AA736" s="247"/>
      <c r="AB736" s="247"/>
    </row>
    <row r="737">
      <c r="A737" s="247"/>
      <c r="B737" s="441"/>
      <c r="C737" s="441"/>
      <c r="D737" s="441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  <c r="AA737" s="247"/>
      <c r="AB737" s="247"/>
    </row>
    <row r="738">
      <c r="A738" s="247"/>
      <c r="B738" s="441"/>
      <c r="C738" s="441"/>
      <c r="D738" s="441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  <c r="AA738" s="247"/>
      <c r="AB738" s="247"/>
    </row>
    <row r="739">
      <c r="A739" s="247"/>
      <c r="B739" s="441"/>
      <c r="C739" s="441"/>
      <c r="D739" s="441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  <c r="AA739" s="247"/>
      <c r="AB739" s="247"/>
    </row>
    <row r="740">
      <c r="A740" s="247"/>
      <c r="B740" s="441"/>
      <c r="C740" s="441"/>
      <c r="D740" s="441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  <c r="AA740" s="247"/>
      <c r="AB740" s="247"/>
    </row>
    <row r="741">
      <c r="A741" s="247"/>
      <c r="B741" s="441"/>
      <c r="C741" s="441"/>
      <c r="D741" s="441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  <c r="AA741" s="247"/>
      <c r="AB741" s="247"/>
    </row>
    <row r="742">
      <c r="A742" s="247"/>
      <c r="B742" s="441"/>
      <c r="C742" s="441"/>
      <c r="D742" s="441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  <c r="AA742" s="247"/>
      <c r="AB742" s="247"/>
    </row>
    <row r="743">
      <c r="A743" s="247"/>
      <c r="B743" s="441"/>
      <c r="C743" s="441"/>
      <c r="D743" s="441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  <c r="AA743" s="247"/>
      <c r="AB743" s="247"/>
    </row>
    <row r="744">
      <c r="A744" s="247"/>
      <c r="B744" s="441"/>
      <c r="C744" s="441"/>
      <c r="D744" s="441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  <c r="AA744" s="247"/>
      <c r="AB744" s="247"/>
    </row>
    <row r="745">
      <c r="A745" s="247"/>
      <c r="B745" s="441"/>
      <c r="C745" s="441"/>
      <c r="D745" s="441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  <c r="AA745" s="247"/>
      <c r="AB745" s="247"/>
    </row>
    <row r="746">
      <c r="A746" s="247"/>
      <c r="B746" s="441"/>
      <c r="C746" s="441"/>
      <c r="D746" s="441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  <c r="AA746" s="247"/>
      <c r="AB746" s="247"/>
    </row>
    <row r="747">
      <c r="A747" s="247"/>
      <c r="B747" s="441"/>
      <c r="C747" s="441"/>
      <c r="D747" s="441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  <c r="AA747" s="247"/>
      <c r="AB747" s="247"/>
    </row>
    <row r="748">
      <c r="A748" s="247"/>
      <c r="B748" s="441"/>
      <c r="C748" s="441"/>
      <c r="D748" s="441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  <c r="AA748" s="247"/>
      <c r="AB748" s="247"/>
    </row>
    <row r="749">
      <c r="A749" s="247"/>
      <c r="B749" s="441"/>
      <c r="C749" s="441"/>
      <c r="D749" s="441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  <c r="AA749" s="247"/>
      <c r="AB749" s="247"/>
    </row>
    <row r="750">
      <c r="A750" s="247"/>
      <c r="B750" s="441"/>
      <c r="C750" s="441"/>
      <c r="D750" s="441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  <c r="AA750" s="247"/>
      <c r="AB750" s="247"/>
    </row>
    <row r="751">
      <c r="A751" s="247"/>
      <c r="B751" s="441"/>
      <c r="C751" s="441"/>
      <c r="D751" s="441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  <c r="AA751" s="247"/>
      <c r="AB751" s="247"/>
    </row>
    <row r="752">
      <c r="A752" s="247"/>
      <c r="B752" s="441"/>
      <c r="C752" s="441"/>
      <c r="D752" s="441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  <c r="AA752" s="247"/>
      <c r="AB752" s="247"/>
    </row>
    <row r="753">
      <c r="A753" s="247"/>
      <c r="B753" s="441"/>
      <c r="C753" s="441"/>
      <c r="D753" s="441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  <c r="AA753" s="247"/>
      <c r="AB753" s="247"/>
    </row>
    <row r="754">
      <c r="A754" s="247"/>
      <c r="B754" s="441"/>
      <c r="C754" s="441"/>
      <c r="D754" s="441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  <c r="AA754" s="247"/>
      <c r="AB754" s="247"/>
    </row>
    <row r="755">
      <c r="A755" s="247"/>
      <c r="B755" s="441"/>
      <c r="C755" s="441"/>
      <c r="D755" s="441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  <c r="AA755" s="247"/>
      <c r="AB755" s="247"/>
    </row>
    <row r="756">
      <c r="A756" s="247"/>
      <c r="B756" s="441"/>
      <c r="C756" s="441"/>
      <c r="D756" s="441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  <c r="AA756" s="247"/>
      <c r="AB756" s="247"/>
    </row>
    <row r="757">
      <c r="A757" s="247"/>
      <c r="B757" s="441"/>
      <c r="C757" s="441"/>
      <c r="D757" s="441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  <c r="AA757" s="247"/>
      <c r="AB757" s="247"/>
    </row>
    <row r="758">
      <c r="A758" s="247"/>
      <c r="B758" s="441"/>
      <c r="C758" s="441"/>
      <c r="D758" s="441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  <c r="AA758" s="247"/>
      <c r="AB758" s="247"/>
    </row>
    <row r="759">
      <c r="A759" s="247"/>
      <c r="B759" s="441"/>
      <c r="C759" s="441"/>
      <c r="D759" s="441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  <c r="AA759" s="247"/>
      <c r="AB759" s="247"/>
    </row>
    <row r="760">
      <c r="A760" s="247"/>
      <c r="B760" s="441"/>
      <c r="C760" s="441"/>
      <c r="D760" s="441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  <c r="AA760" s="247"/>
      <c r="AB760" s="247"/>
    </row>
    <row r="761">
      <c r="A761" s="247"/>
      <c r="B761" s="441"/>
      <c r="C761" s="441"/>
      <c r="D761" s="441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  <c r="AA761" s="247"/>
      <c r="AB761" s="247"/>
    </row>
    <row r="762">
      <c r="A762" s="247"/>
      <c r="B762" s="441"/>
      <c r="C762" s="441"/>
      <c r="D762" s="441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  <c r="AA762" s="247"/>
      <c r="AB762" s="247"/>
    </row>
    <row r="763">
      <c r="A763" s="247"/>
      <c r="B763" s="441"/>
      <c r="C763" s="441"/>
      <c r="D763" s="441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  <c r="AA763" s="247"/>
      <c r="AB763" s="247"/>
    </row>
    <row r="764">
      <c r="A764" s="247"/>
      <c r="B764" s="441"/>
      <c r="C764" s="441"/>
      <c r="D764" s="441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  <c r="AA764" s="247"/>
      <c r="AB764" s="247"/>
    </row>
    <row r="765">
      <c r="A765" s="247"/>
      <c r="B765" s="441"/>
      <c r="C765" s="441"/>
      <c r="D765" s="441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  <c r="AA765" s="247"/>
      <c r="AB765" s="247"/>
    </row>
    <row r="766">
      <c r="A766" s="247"/>
      <c r="B766" s="441"/>
      <c r="C766" s="441"/>
      <c r="D766" s="441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  <c r="AA766" s="247"/>
      <c r="AB766" s="247"/>
    </row>
    <row r="767">
      <c r="A767" s="247"/>
      <c r="B767" s="441"/>
      <c r="C767" s="441"/>
      <c r="D767" s="441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  <c r="AA767" s="247"/>
      <c r="AB767" s="247"/>
    </row>
    <row r="768">
      <c r="A768" s="247"/>
      <c r="B768" s="441"/>
      <c r="C768" s="441"/>
      <c r="D768" s="441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  <c r="AA768" s="247"/>
      <c r="AB768" s="247"/>
    </row>
    <row r="769">
      <c r="A769" s="247"/>
      <c r="B769" s="441"/>
      <c r="C769" s="441"/>
      <c r="D769" s="441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  <c r="AA769" s="247"/>
      <c r="AB769" s="247"/>
    </row>
    <row r="770">
      <c r="A770" s="247"/>
      <c r="B770" s="441"/>
      <c r="C770" s="441"/>
      <c r="D770" s="441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  <c r="AA770" s="247"/>
      <c r="AB770" s="247"/>
    </row>
    <row r="771">
      <c r="A771" s="247"/>
      <c r="B771" s="441"/>
      <c r="C771" s="441"/>
      <c r="D771" s="441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  <c r="AA771" s="247"/>
      <c r="AB771" s="247"/>
    </row>
    <row r="772">
      <c r="A772" s="247"/>
      <c r="B772" s="441"/>
      <c r="C772" s="441"/>
      <c r="D772" s="441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  <c r="AA772" s="247"/>
      <c r="AB772" s="247"/>
    </row>
    <row r="773">
      <c r="A773" s="247"/>
      <c r="B773" s="441"/>
      <c r="C773" s="441"/>
      <c r="D773" s="441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  <c r="AA773" s="247"/>
      <c r="AB773" s="247"/>
    </row>
    <row r="774">
      <c r="A774" s="247"/>
      <c r="B774" s="441"/>
      <c r="C774" s="441"/>
      <c r="D774" s="441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  <c r="AA774" s="247"/>
      <c r="AB774" s="247"/>
    </row>
    <row r="775">
      <c r="A775" s="247"/>
      <c r="B775" s="441"/>
      <c r="C775" s="441"/>
      <c r="D775" s="441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  <c r="AA775" s="247"/>
      <c r="AB775" s="247"/>
    </row>
    <row r="776">
      <c r="A776" s="247"/>
      <c r="B776" s="441"/>
      <c r="C776" s="441"/>
      <c r="D776" s="441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  <c r="AA776" s="247"/>
      <c r="AB776" s="247"/>
    </row>
    <row r="777">
      <c r="A777" s="247"/>
      <c r="B777" s="441"/>
      <c r="C777" s="441"/>
      <c r="D777" s="441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  <c r="AA777" s="247"/>
      <c r="AB777" s="247"/>
    </row>
    <row r="778">
      <c r="A778" s="247"/>
      <c r="B778" s="441"/>
      <c r="C778" s="441"/>
      <c r="D778" s="441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  <c r="AA778" s="247"/>
      <c r="AB778" s="247"/>
    </row>
    <row r="779">
      <c r="A779" s="247"/>
      <c r="B779" s="441"/>
      <c r="C779" s="441"/>
      <c r="D779" s="441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  <c r="AA779" s="247"/>
      <c r="AB779" s="247"/>
    </row>
    <row r="780">
      <c r="A780" s="247"/>
      <c r="B780" s="441"/>
      <c r="C780" s="441"/>
      <c r="D780" s="441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  <c r="AA780" s="247"/>
      <c r="AB780" s="247"/>
    </row>
    <row r="781">
      <c r="A781" s="247"/>
      <c r="B781" s="441"/>
      <c r="C781" s="441"/>
      <c r="D781" s="441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  <c r="AA781" s="247"/>
      <c r="AB781" s="247"/>
    </row>
    <row r="782">
      <c r="A782" s="247"/>
      <c r="B782" s="441"/>
      <c r="C782" s="441"/>
      <c r="D782" s="441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  <c r="AA782" s="247"/>
      <c r="AB782" s="247"/>
    </row>
    <row r="783">
      <c r="A783" s="247"/>
      <c r="B783" s="441"/>
      <c r="C783" s="441"/>
      <c r="D783" s="441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  <c r="AA783" s="247"/>
      <c r="AB783" s="247"/>
    </row>
    <row r="784">
      <c r="A784" s="247"/>
      <c r="B784" s="441"/>
      <c r="C784" s="441"/>
      <c r="D784" s="441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  <c r="AA784" s="247"/>
      <c r="AB784" s="247"/>
    </row>
    <row r="785">
      <c r="A785" s="247"/>
      <c r="B785" s="441"/>
      <c r="C785" s="441"/>
      <c r="D785" s="441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  <c r="AA785" s="247"/>
      <c r="AB785" s="247"/>
    </row>
    <row r="786">
      <c r="A786" s="247"/>
      <c r="B786" s="441"/>
      <c r="C786" s="441"/>
      <c r="D786" s="441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  <c r="AA786" s="247"/>
      <c r="AB786" s="247"/>
    </row>
    <row r="787">
      <c r="A787" s="247"/>
      <c r="B787" s="441"/>
      <c r="C787" s="441"/>
      <c r="D787" s="441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  <c r="AA787" s="247"/>
      <c r="AB787" s="247"/>
    </row>
    <row r="788">
      <c r="A788" s="247"/>
      <c r="B788" s="441"/>
      <c r="C788" s="441"/>
      <c r="D788" s="441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  <c r="AA788" s="247"/>
      <c r="AB788" s="247"/>
    </row>
    <row r="789">
      <c r="A789" s="247"/>
      <c r="B789" s="441"/>
      <c r="C789" s="441"/>
      <c r="D789" s="441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  <c r="AA789" s="247"/>
      <c r="AB789" s="247"/>
    </row>
    <row r="790">
      <c r="A790" s="247"/>
      <c r="B790" s="441"/>
      <c r="C790" s="441"/>
      <c r="D790" s="441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  <c r="AA790" s="247"/>
      <c r="AB790" s="247"/>
    </row>
    <row r="791">
      <c r="A791" s="247"/>
      <c r="B791" s="441"/>
      <c r="C791" s="441"/>
      <c r="D791" s="441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  <c r="AA791" s="247"/>
      <c r="AB791" s="247"/>
    </row>
    <row r="792">
      <c r="A792" s="247"/>
      <c r="B792" s="441"/>
      <c r="C792" s="441"/>
      <c r="D792" s="441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  <c r="AA792" s="247"/>
      <c r="AB792" s="247"/>
    </row>
    <row r="793">
      <c r="A793" s="247"/>
      <c r="B793" s="441"/>
      <c r="C793" s="441"/>
      <c r="D793" s="441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  <c r="AA793" s="247"/>
      <c r="AB793" s="247"/>
    </row>
    <row r="794">
      <c r="A794" s="247"/>
      <c r="B794" s="441"/>
      <c r="C794" s="441"/>
      <c r="D794" s="441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  <c r="AA794" s="247"/>
      <c r="AB794" s="247"/>
    </row>
    <row r="795">
      <c r="A795" s="247"/>
      <c r="B795" s="441"/>
      <c r="C795" s="441"/>
      <c r="D795" s="441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  <c r="AA795" s="247"/>
      <c r="AB795" s="247"/>
    </row>
    <row r="796">
      <c r="A796" s="247"/>
      <c r="B796" s="441"/>
      <c r="C796" s="441"/>
      <c r="D796" s="441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  <c r="AA796" s="247"/>
      <c r="AB796" s="247"/>
    </row>
    <row r="797">
      <c r="A797" s="247"/>
      <c r="B797" s="441"/>
      <c r="C797" s="441"/>
      <c r="D797" s="441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  <c r="AA797" s="247"/>
      <c r="AB797" s="247"/>
    </row>
    <row r="798">
      <c r="A798" s="247"/>
      <c r="B798" s="441"/>
      <c r="C798" s="441"/>
      <c r="D798" s="441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  <c r="AA798" s="247"/>
      <c r="AB798" s="247"/>
    </row>
    <row r="799">
      <c r="A799" s="247"/>
      <c r="B799" s="441"/>
      <c r="C799" s="441"/>
      <c r="D799" s="441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  <c r="AA799" s="247"/>
      <c r="AB799" s="247"/>
    </row>
    <row r="800">
      <c r="A800" s="247"/>
      <c r="B800" s="441"/>
      <c r="C800" s="441"/>
      <c r="D800" s="441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  <c r="AA800" s="247"/>
      <c r="AB800" s="247"/>
    </row>
    <row r="801">
      <c r="A801" s="247"/>
      <c r="B801" s="441"/>
      <c r="C801" s="441"/>
      <c r="D801" s="441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  <c r="AA801" s="247"/>
      <c r="AB801" s="247"/>
    </row>
    <row r="802">
      <c r="A802" s="247"/>
      <c r="B802" s="441"/>
      <c r="C802" s="441"/>
      <c r="D802" s="441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  <c r="AA802" s="247"/>
      <c r="AB802" s="247"/>
    </row>
    <row r="803">
      <c r="A803" s="247"/>
      <c r="B803" s="441"/>
      <c r="C803" s="441"/>
      <c r="D803" s="441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  <c r="AA803" s="247"/>
      <c r="AB803" s="247"/>
    </row>
    <row r="804">
      <c r="A804" s="247"/>
      <c r="B804" s="441"/>
      <c r="C804" s="441"/>
      <c r="D804" s="441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  <c r="AA804" s="247"/>
      <c r="AB804" s="247"/>
    </row>
    <row r="805">
      <c r="A805" s="247"/>
      <c r="B805" s="441"/>
      <c r="C805" s="441"/>
      <c r="D805" s="441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  <c r="AA805" s="247"/>
      <c r="AB805" s="247"/>
    </row>
    <row r="806">
      <c r="A806" s="247"/>
      <c r="B806" s="441"/>
      <c r="C806" s="441"/>
      <c r="D806" s="441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  <c r="AA806" s="247"/>
      <c r="AB806" s="247"/>
    </row>
    <row r="807">
      <c r="A807" s="247"/>
      <c r="B807" s="441"/>
      <c r="C807" s="441"/>
      <c r="D807" s="441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  <c r="AA807" s="247"/>
      <c r="AB807" s="247"/>
    </row>
    <row r="808">
      <c r="A808" s="247"/>
      <c r="B808" s="441"/>
      <c r="C808" s="441"/>
      <c r="D808" s="441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  <c r="AA808" s="247"/>
      <c r="AB808" s="247"/>
    </row>
    <row r="809">
      <c r="A809" s="247"/>
      <c r="B809" s="441"/>
      <c r="C809" s="441"/>
      <c r="D809" s="441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  <c r="AA809" s="247"/>
      <c r="AB809" s="247"/>
    </row>
    <row r="810">
      <c r="A810" s="247"/>
      <c r="B810" s="441"/>
      <c r="C810" s="441"/>
      <c r="D810" s="441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  <c r="AA810" s="247"/>
      <c r="AB810" s="247"/>
    </row>
    <row r="811">
      <c r="A811" s="247"/>
      <c r="B811" s="441"/>
      <c r="C811" s="441"/>
      <c r="D811" s="441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  <c r="AA811" s="247"/>
      <c r="AB811" s="247"/>
    </row>
    <row r="812">
      <c r="A812" s="247"/>
      <c r="B812" s="441"/>
      <c r="C812" s="441"/>
      <c r="D812" s="441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  <c r="AA812" s="247"/>
      <c r="AB812" s="247"/>
    </row>
    <row r="813">
      <c r="A813" s="247"/>
      <c r="B813" s="441"/>
      <c r="C813" s="441"/>
      <c r="D813" s="441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  <c r="AA813" s="247"/>
      <c r="AB813" s="247"/>
    </row>
    <row r="814">
      <c r="A814" s="247"/>
      <c r="B814" s="441"/>
      <c r="C814" s="441"/>
      <c r="D814" s="441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  <c r="AA814" s="247"/>
      <c r="AB814" s="247"/>
    </row>
    <row r="815">
      <c r="A815" s="247"/>
      <c r="B815" s="441"/>
      <c r="C815" s="441"/>
      <c r="D815" s="441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  <c r="AA815" s="247"/>
      <c r="AB815" s="247"/>
    </row>
    <row r="816">
      <c r="A816" s="247"/>
      <c r="B816" s="441"/>
      <c r="C816" s="441"/>
      <c r="D816" s="441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  <c r="AA816" s="247"/>
      <c r="AB816" s="247"/>
    </row>
    <row r="817">
      <c r="A817" s="247"/>
      <c r="B817" s="441"/>
      <c r="C817" s="441"/>
      <c r="D817" s="441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  <c r="AA817" s="247"/>
      <c r="AB817" s="247"/>
    </row>
    <row r="818">
      <c r="A818" s="247"/>
      <c r="B818" s="441"/>
      <c r="C818" s="441"/>
      <c r="D818" s="441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  <c r="AA818" s="247"/>
      <c r="AB818" s="247"/>
    </row>
    <row r="819">
      <c r="A819" s="247"/>
      <c r="B819" s="441"/>
      <c r="C819" s="441"/>
      <c r="D819" s="441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  <c r="AA819" s="247"/>
      <c r="AB819" s="247"/>
    </row>
    <row r="820">
      <c r="A820" s="247"/>
      <c r="B820" s="441"/>
      <c r="C820" s="441"/>
      <c r="D820" s="441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  <c r="AA820" s="247"/>
      <c r="AB820" s="247"/>
    </row>
    <row r="821">
      <c r="A821" s="247"/>
      <c r="B821" s="441"/>
      <c r="C821" s="441"/>
      <c r="D821" s="441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  <c r="AA821" s="247"/>
      <c r="AB821" s="247"/>
    </row>
    <row r="822">
      <c r="A822" s="247"/>
      <c r="B822" s="441"/>
      <c r="C822" s="441"/>
      <c r="D822" s="441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  <c r="AA822" s="247"/>
      <c r="AB822" s="247"/>
    </row>
    <row r="823">
      <c r="A823" s="247"/>
      <c r="B823" s="441"/>
      <c r="C823" s="441"/>
      <c r="D823" s="441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  <c r="AA823" s="247"/>
      <c r="AB823" s="247"/>
    </row>
    <row r="824">
      <c r="A824" s="247"/>
      <c r="B824" s="441"/>
      <c r="C824" s="441"/>
      <c r="D824" s="441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  <c r="AA824" s="247"/>
      <c r="AB824" s="247"/>
    </row>
    <row r="825">
      <c r="A825" s="247"/>
      <c r="B825" s="441"/>
      <c r="C825" s="441"/>
      <c r="D825" s="441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  <c r="AA825" s="247"/>
      <c r="AB825" s="247"/>
    </row>
    <row r="826">
      <c r="A826" s="247"/>
      <c r="B826" s="441"/>
      <c r="C826" s="441"/>
      <c r="D826" s="441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  <c r="AA826" s="247"/>
      <c r="AB826" s="247"/>
    </row>
    <row r="827">
      <c r="A827" s="247"/>
      <c r="B827" s="441"/>
      <c r="C827" s="441"/>
      <c r="D827" s="441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  <c r="AA827" s="247"/>
      <c r="AB827" s="247"/>
    </row>
    <row r="828">
      <c r="A828" s="247"/>
      <c r="B828" s="441"/>
      <c r="C828" s="441"/>
      <c r="D828" s="441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  <c r="AA828" s="247"/>
      <c r="AB828" s="247"/>
    </row>
    <row r="829">
      <c r="A829" s="247"/>
      <c r="B829" s="441"/>
      <c r="C829" s="441"/>
      <c r="D829" s="441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  <c r="AA829" s="247"/>
      <c r="AB829" s="247"/>
    </row>
    <row r="830">
      <c r="A830" s="247"/>
      <c r="B830" s="441"/>
      <c r="C830" s="441"/>
      <c r="D830" s="441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  <c r="AA830" s="247"/>
      <c r="AB830" s="247"/>
    </row>
    <row r="831">
      <c r="A831" s="247"/>
      <c r="B831" s="441"/>
      <c r="C831" s="441"/>
      <c r="D831" s="441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  <c r="AA831" s="247"/>
      <c r="AB831" s="247"/>
    </row>
    <row r="832">
      <c r="A832" s="247"/>
      <c r="B832" s="441"/>
      <c r="C832" s="441"/>
      <c r="D832" s="441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  <c r="AA832" s="247"/>
      <c r="AB832" s="247"/>
    </row>
    <row r="833">
      <c r="A833" s="247"/>
      <c r="B833" s="441"/>
      <c r="C833" s="441"/>
      <c r="D833" s="441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  <c r="AA833" s="247"/>
      <c r="AB833" s="247"/>
    </row>
    <row r="834">
      <c r="A834" s="247"/>
      <c r="B834" s="441"/>
      <c r="C834" s="441"/>
      <c r="D834" s="441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  <c r="AA834" s="247"/>
      <c r="AB834" s="247"/>
    </row>
    <row r="835">
      <c r="A835" s="247"/>
      <c r="B835" s="441"/>
      <c r="C835" s="441"/>
      <c r="D835" s="441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  <c r="AA835" s="247"/>
      <c r="AB835" s="247"/>
    </row>
    <row r="836">
      <c r="A836" s="247"/>
      <c r="B836" s="441"/>
      <c r="C836" s="441"/>
      <c r="D836" s="441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  <c r="AA836" s="247"/>
      <c r="AB836" s="247"/>
    </row>
    <row r="837">
      <c r="A837" s="247"/>
      <c r="B837" s="441"/>
      <c r="C837" s="441"/>
      <c r="D837" s="441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  <c r="AA837" s="247"/>
      <c r="AB837" s="247"/>
    </row>
    <row r="838">
      <c r="A838" s="247"/>
      <c r="B838" s="441"/>
      <c r="C838" s="441"/>
      <c r="D838" s="441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  <c r="AA838" s="247"/>
      <c r="AB838" s="247"/>
    </row>
    <row r="839">
      <c r="A839" s="247"/>
      <c r="B839" s="441"/>
      <c r="C839" s="441"/>
      <c r="D839" s="441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  <c r="AA839" s="247"/>
      <c r="AB839" s="247"/>
    </row>
    <row r="840">
      <c r="A840" s="247"/>
      <c r="B840" s="441"/>
      <c r="C840" s="441"/>
      <c r="D840" s="441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  <c r="AA840" s="247"/>
      <c r="AB840" s="247"/>
    </row>
    <row r="841">
      <c r="A841" s="247"/>
      <c r="B841" s="441"/>
      <c r="C841" s="441"/>
      <c r="D841" s="441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  <c r="AA841" s="247"/>
      <c r="AB841" s="247"/>
    </row>
    <row r="842">
      <c r="A842" s="247"/>
      <c r="B842" s="441"/>
      <c r="C842" s="441"/>
      <c r="D842" s="441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  <c r="AA842" s="247"/>
      <c r="AB842" s="247"/>
    </row>
    <row r="843">
      <c r="A843" s="247"/>
      <c r="B843" s="441"/>
      <c r="C843" s="441"/>
      <c r="D843" s="441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  <c r="AA843" s="247"/>
      <c r="AB843" s="247"/>
    </row>
    <row r="844">
      <c r="A844" s="247"/>
      <c r="B844" s="441"/>
      <c r="C844" s="441"/>
      <c r="D844" s="441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  <c r="AA844" s="247"/>
      <c r="AB844" s="247"/>
    </row>
    <row r="845">
      <c r="A845" s="247"/>
      <c r="B845" s="441"/>
      <c r="C845" s="441"/>
      <c r="D845" s="441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  <c r="AA845" s="247"/>
      <c r="AB845" s="247"/>
    </row>
    <row r="846">
      <c r="A846" s="247"/>
      <c r="B846" s="441"/>
      <c r="C846" s="441"/>
      <c r="D846" s="441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  <c r="AA846" s="247"/>
      <c r="AB846" s="247"/>
    </row>
    <row r="847">
      <c r="A847" s="247"/>
      <c r="B847" s="441"/>
      <c r="C847" s="441"/>
      <c r="D847" s="441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  <c r="AA847" s="247"/>
      <c r="AB847" s="247"/>
    </row>
    <row r="848">
      <c r="A848" s="247"/>
      <c r="B848" s="441"/>
      <c r="C848" s="441"/>
      <c r="D848" s="441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  <c r="AA848" s="247"/>
      <c r="AB848" s="247"/>
    </row>
    <row r="849">
      <c r="A849" s="247"/>
      <c r="B849" s="441"/>
      <c r="C849" s="441"/>
      <c r="D849" s="441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  <c r="AA849" s="247"/>
      <c r="AB849" s="247"/>
    </row>
    <row r="850">
      <c r="A850" s="247"/>
      <c r="B850" s="441"/>
      <c r="C850" s="441"/>
      <c r="D850" s="441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  <c r="AA850" s="247"/>
      <c r="AB850" s="247"/>
    </row>
    <row r="851">
      <c r="A851" s="247"/>
      <c r="B851" s="441"/>
      <c r="C851" s="441"/>
      <c r="D851" s="441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  <c r="AA851" s="247"/>
      <c r="AB851" s="247"/>
    </row>
    <row r="852">
      <c r="A852" s="247"/>
      <c r="B852" s="441"/>
      <c r="C852" s="441"/>
      <c r="D852" s="441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  <c r="AA852" s="247"/>
      <c r="AB852" s="247"/>
    </row>
    <row r="853">
      <c r="A853" s="247"/>
      <c r="B853" s="441"/>
      <c r="C853" s="441"/>
      <c r="D853" s="441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  <c r="AA853" s="247"/>
      <c r="AB853" s="247"/>
    </row>
    <row r="854">
      <c r="A854" s="247"/>
      <c r="B854" s="441"/>
      <c r="C854" s="441"/>
      <c r="D854" s="441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  <c r="AA854" s="247"/>
      <c r="AB854" s="247"/>
    </row>
    <row r="855">
      <c r="A855" s="247"/>
      <c r="B855" s="441"/>
      <c r="C855" s="441"/>
      <c r="D855" s="441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  <c r="AA855" s="247"/>
      <c r="AB855" s="247"/>
    </row>
    <row r="856">
      <c r="A856" s="247"/>
      <c r="B856" s="441"/>
      <c r="C856" s="441"/>
      <c r="D856" s="441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  <c r="AA856" s="247"/>
      <c r="AB856" s="247"/>
    </row>
    <row r="857">
      <c r="A857" s="247"/>
      <c r="B857" s="441"/>
      <c r="C857" s="441"/>
      <c r="D857" s="441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  <c r="AA857" s="247"/>
      <c r="AB857" s="247"/>
    </row>
    <row r="858">
      <c r="A858" s="247"/>
      <c r="B858" s="441"/>
      <c r="C858" s="441"/>
      <c r="D858" s="441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  <c r="AA858" s="247"/>
      <c r="AB858" s="247"/>
    </row>
    <row r="859">
      <c r="A859" s="247"/>
      <c r="B859" s="441"/>
      <c r="C859" s="441"/>
      <c r="D859" s="441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  <c r="AA859" s="247"/>
      <c r="AB859" s="247"/>
    </row>
    <row r="860">
      <c r="A860" s="247"/>
      <c r="B860" s="441"/>
      <c r="C860" s="441"/>
      <c r="D860" s="441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  <c r="AA860" s="247"/>
      <c r="AB860" s="247"/>
    </row>
    <row r="861">
      <c r="A861" s="247"/>
      <c r="B861" s="441"/>
      <c r="C861" s="441"/>
      <c r="D861" s="441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  <c r="AA861" s="247"/>
      <c r="AB861" s="247"/>
    </row>
    <row r="862">
      <c r="A862" s="247"/>
      <c r="B862" s="441"/>
      <c r="C862" s="441"/>
      <c r="D862" s="441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  <c r="AA862" s="247"/>
      <c r="AB862" s="247"/>
    </row>
    <row r="863">
      <c r="A863" s="247"/>
      <c r="B863" s="441"/>
      <c r="C863" s="441"/>
      <c r="D863" s="441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  <c r="AA863" s="247"/>
      <c r="AB863" s="247"/>
    </row>
    <row r="864">
      <c r="A864" s="247"/>
      <c r="B864" s="441"/>
      <c r="C864" s="441"/>
      <c r="D864" s="441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  <c r="AA864" s="247"/>
      <c r="AB864" s="247"/>
    </row>
    <row r="865">
      <c r="A865" s="247"/>
      <c r="B865" s="441"/>
      <c r="C865" s="441"/>
      <c r="D865" s="441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  <c r="AA865" s="247"/>
      <c r="AB865" s="247"/>
    </row>
    <row r="866">
      <c r="A866" s="247"/>
      <c r="B866" s="441"/>
      <c r="C866" s="441"/>
      <c r="D866" s="441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  <c r="AA866" s="247"/>
      <c r="AB866" s="247"/>
    </row>
    <row r="867">
      <c r="A867" s="247"/>
      <c r="B867" s="441"/>
      <c r="C867" s="441"/>
      <c r="D867" s="441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  <c r="AA867" s="247"/>
      <c r="AB867" s="247"/>
    </row>
    <row r="868">
      <c r="A868" s="247"/>
      <c r="B868" s="441"/>
      <c r="C868" s="441"/>
      <c r="D868" s="441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  <c r="AA868" s="247"/>
      <c r="AB868" s="247"/>
    </row>
    <row r="869">
      <c r="A869" s="247"/>
      <c r="B869" s="441"/>
      <c r="C869" s="441"/>
      <c r="D869" s="441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  <c r="AA869" s="247"/>
      <c r="AB869" s="247"/>
    </row>
    <row r="870">
      <c r="A870" s="247"/>
      <c r="B870" s="441"/>
      <c r="C870" s="441"/>
      <c r="D870" s="441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  <c r="AA870" s="247"/>
      <c r="AB870" s="247"/>
    </row>
    <row r="871">
      <c r="A871" s="247"/>
      <c r="B871" s="441"/>
      <c r="C871" s="441"/>
      <c r="D871" s="441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  <c r="AA871" s="247"/>
      <c r="AB871" s="247"/>
    </row>
    <row r="872">
      <c r="A872" s="247"/>
      <c r="B872" s="441"/>
      <c r="C872" s="441"/>
      <c r="D872" s="441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  <c r="AA872" s="247"/>
      <c r="AB872" s="247"/>
    </row>
    <row r="873">
      <c r="A873" s="247"/>
      <c r="B873" s="441"/>
      <c r="C873" s="441"/>
      <c r="D873" s="441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  <c r="AA873" s="247"/>
      <c r="AB873" s="247"/>
    </row>
    <row r="874">
      <c r="A874" s="247"/>
      <c r="B874" s="441"/>
      <c r="C874" s="441"/>
      <c r="D874" s="441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  <c r="AA874" s="247"/>
      <c r="AB874" s="247"/>
    </row>
    <row r="875">
      <c r="A875" s="247"/>
      <c r="B875" s="441"/>
      <c r="C875" s="441"/>
      <c r="D875" s="441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  <c r="AA875" s="247"/>
      <c r="AB875" s="247"/>
    </row>
    <row r="876">
      <c r="A876" s="247"/>
      <c r="B876" s="441"/>
      <c r="C876" s="441"/>
      <c r="D876" s="441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  <c r="AA876" s="247"/>
      <c r="AB876" s="247"/>
    </row>
    <row r="877">
      <c r="A877" s="247"/>
      <c r="B877" s="441"/>
      <c r="C877" s="441"/>
      <c r="D877" s="441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  <c r="AA877" s="247"/>
      <c r="AB877" s="247"/>
    </row>
    <row r="878">
      <c r="A878" s="247"/>
      <c r="B878" s="441"/>
      <c r="C878" s="441"/>
      <c r="D878" s="441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  <c r="AA878" s="247"/>
      <c r="AB878" s="247"/>
    </row>
    <row r="879">
      <c r="A879" s="247"/>
      <c r="B879" s="441"/>
      <c r="C879" s="441"/>
      <c r="D879" s="441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  <c r="AA879" s="247"/>
      <c r="AB879" s="247"/>
    </row>
    <row r="880">
      <c r="A880" s="247"/>
      <c r="B880" s="441"/>
      <c r="C880" s="441"/>
      <c r="D880" s="441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  <c r="AA880" s="247"/>
      <c r="AB880" s="247"/>
    </row>
    <row r="881">
      <c r="A881" s="247"/>
      <c r="B881" s="441"/>
      <c r="C881" s="441"/>
      <c r="D881" s="441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  <c r="AA881" s="247"/>
      <c r="AB881" s="247"/>
    </row>
    <row r="882">
      <c r="A882" s="247"/>
      <c r="B882" s="441"/>
      <c r="C882" s="441"/>
      <c r="D882" s="441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  <c r="AA882" s="247"/>
      <c r="AB882" s="247"/>
    </row>
    <row r="883">
      <c r="A883" s="247"/>
      <c r="B883" s="441"/>
      <c r="C883" s="441"/>
      <c r="D883" s="441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  <c r="AA883" s="247"/>
      <c r="AB883" s="247"/>
    </row>
    <row r="884">
      <c r="A884" s="247"/>
      <c r="B884" s="441"/>
      <c r="C884" s="441"/>
      <c r="D884" s="441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  <c r="AA884" s="247"/>
      <c r="AB884" s="247"/>
    </row>
    <row r="885">
      <c r="A885" s="247"/>
      <c r="B885" s="441"/>
      <c r="C885" s="441"/>
      <c r="D885" s="441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  <c r="AA885" s="247"/>
      <c r="AB885" s="247"/>
    </row>
    <row r="886">
      <c r="A886" s="247"/>
      <c r="B886" s="441"/>
      <c r="C886" s="441"/>
      <c r="D886" s="441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  <c r="AA886" s="247"/>
      <c r="AB886" s="247"/>
    </row>
    <row r="887">
      <c r="A887" s="247"/>
      <c r="B887" s="441"/>
      <c r="C887" s="441"/>
      <c r="D887" s="441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  <c r="AA887" s="247"/>
      <c r="AB887" s="247"/>
    </row>
    <row r="888">
      <c r="A888" s="247"/>
      <c r="B888" s="441"/>
      <c r="C888" s="441"/>
      <c r="D888" s="441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  <c r="AA888" s="247"/>
      <c r="AB888" s="247"/>
    </row>
    <row r="889">
      <c r="A889" s="247"/>
      <c r="B889" s="441"/>
      <c r="C889" s="441"/>
      <c r="D889" s="441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  <c r="AA889" s="247"/>
      <c r="AB889" s="247"/>
    </row>
    <row r="890">
      <c r="A890" s="247"/>
      <c r="B890" s="441"/>
      <c r="C890" s="441"/>
      <c r="D890" s="441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  <c r="AA890" s="247"/>
      <c r="AB890" s="247"/>
    </row>
    <row r="891">
      <c r="A891" s="247"/>
      <c r="B891" s="441"/>
      <c r="C891" s="441"/>
      <c r="D891" s="441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  <c r="AA891" s="247"/>
      <c r="AB891" s="247"/>
    </row>
    <row r="892">
      <c r="A892" s="247"/>
      <c r="B892" s="441"/>
      <c r="C892" s="441"/>
      <c r="D892" s="441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  <c r="AA892" s="247"/>
      <c r="AB892" s="247"/>
    </row>
    <row r="893">
      <c r="A893" s="247"/>
      <c r="B893" s="441"/>
      <c r="C893" s="441"/>
      <c r="D893" s="441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  <c r="AA893" s="247"/>
      <c r="AB893" s="247"/>
    </row>
    <row r="894">
      <c r="A894" s="247"/>
      <c r="B894" s="441"/>
      <c r="C894" s="441"/>
      <c r="D894" s="441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  <c r="AA894" s="247"/>
      <c r="AB894" s="247"/>
    </row>
    <row r="895">
      <c r="A895" s="247"/>
      <c r="B895" s="441"/>
      <c r="C895" s="441"/>
      <c r="D895" s="441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  <c r="AA895" s="247"/>
      <c r="AB895" s="247"/>
    </row>
    <row r="896">
      <c r="A896" s="247"/>
      <c r="B896" s="441"/>
      <c r="C896" s="441"/>
      <c r="D896" s="441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  <c r="AA896" s="247"/>
      <c r="AB896" s="247"/>
    </row>
    <row r="897">
      <c r="A897" s="247"/>
      <c r="B897" s="441"/>
      <c r="C897" s="441"/>
      <c r="D897" s="441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  <c r="AA897" s="247"/>
      <c r="AB897" s="247"/>
    </row>
    <row r="898">
      <c r="A898" s="247"/>
      <c r="B898" s="441"/>
      <c r="C898" s="441"/>
      <c r="D898" s="441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  <c r="AA898" s="247"/>
      <c r="AB898" s="247"/>
    </row>
    <row r="899">
      <c r="A899" s="247"/>
      <c r="B899" s="441"/>
      <c r="C899" s="441"/>
      <c r="D899" s="441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  <c r="AA899" s="247"/>
      <c r="AB899" s="247"/>
    </row>
    <row r="900">
      <c r="A900" s="247"/>
      <c r="B900" s="441"/>
      <c r="C900" s="441"/>
      <c r="D900" s="441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  <c r="AA900" s="247"/>
      <c r="AB900" s="247"/>
    </row>
    <row r="901">
      <c r="A901" s="247"/>
      <c r="B901" s="441"/>
      <c r="C901" s="441"/>
      <c r="D901" s="441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  <c r="AA901" s="247"/>
      <c r="AB901" s="247"/>
    </row>
    <row r="902">
      <c r="A902" s="247"/>
      <c r="B902" s="441"/>
      <c r="C902" s="441"/>
      <c r="D902" s="441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  <c r="AA902" s="247"/>
      <c r="AB902" s="247"/>
    </row>
    <row r="903">
      <c r="A903" s="247"/>
      <c r="B903" s="441"/>
      <c r="C903" s="441"/>
      <c r="D903" s="441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  <c r="AA903" s="247"/>
      <c r="AB903" s="247"/>
    </row>
    <row r="904">
      <c r="A904" s="247"/>
      <c r="B904" s="441"/>
      <c r="C904" s="441"/>
      <c r="D904" s="441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  <c r="AA904" s="247"/>
      <c r="AB904" s="247"/>
    </row>
    <row r="905">
      <c r="A905" s="247"/>
      <c r="B905" s="441"/>
      <c r="C905" s="441"/>
      <c r="D905" s="441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  <c r="AA905" s="247"/>
      <c r="AB905" s="247"/>
    </row>
    <row r="906">
      <c r="A906" s="247"/>
      <c r="B906" s="441"/>
      <c r="C906" s="441"/>
      <c r="D906" s="441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  <c r="AA906" s="247"/>
      <c r="AB906" s="247"/>
    </row>
    <row r="907">
      <c r="A907" s="247"/>
      <c r="B907" s="441"/>
      <c r="C907" s="441"/>
      <c r="D907" s="441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  <c r="AA907" s="247"/>
      <c r="AB907" s="247"/>
    </row>
    <row r="908">
      <c r="A908" s="247"/>
      <c r="B908" s="441"/>
      <c r="C908" s="441"/>
      <c r="D908" s="441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  <c r="AA908" s="247"/>
      <c r="AB908" s="247"/>
    </row>
    <row r="909">
      <c r="A909" s="247"/>
      <c r="B909" s="441"/>
      <c r="C909" s="441"/>
      <c r="D909" s="441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  <c r="AA909" s="247"/>
      <c r="AB909" s="247"/>
    </row>
    <row r="910">
      <c r="A910" s="247"/>
      <c r="B910" s="441"/>
      <c r="C910" s="441"/>
      <c r="D910" s="441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  <c r="AA910" s="247"/>
      <c r="AB910" s="247"/>
    </row>
    <row r="911">
      <c r="A911" s="247"/>
      <c r="B911" s="441"/>
      <c r="C911" s="441"/>
      <c r="D911" s="441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  <c r="AA911" s="247"/>
      <c r="AB911" s="247"/>
    </row>
    <row r="912">
      <c r="A912" s="247"/>
      <c r="B912" s="441"/>
      <c r="C912" s="441"/>
      <c r="D912" s="441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  <c r="AA912" s="247"/>
      <c r="AB912" s="247"/>
    </row>
    <row r="913">
      <c r="A913" s="247"/>
      <c r="B913" s="441"/>
      <c r="C913" s="441"/>
      <c r="D913" s="441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  <c r="AA913" s="247"/>
      <c r="AB913" s="247"/>
    </row>
    <row r="914">
      <c r="A914" s="247"/>
      <c r="B914" s="441"/>
      <c r="C914" s="441"/>
      <c r="D914" s="441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  <c r="AA914" s="247"/>
      <c r="AB914" s="247"/>
    </row>
    <row r="915">
      <c r="A915" s="247"/>
      <c r="B915" s="441"/>
      <c r="C915" s="441"/>
      <c r="D915" s="441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  <c r="AA915" s="247"/>
      <c r="AB915" s="247"/>
    </row>
    <row r="916">
      <c r="A916" s="247"/>
      <c r="B916" s="441"/>
      <c r="C916" s="441"/>
      <c r="D916" s="441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  <c r="AA916" s="247"/>
      <c r="AB916" s="247"/>
    </row>
    <row r="917">
      <c r="A917" s="247"/>
      <c r="B917" s="441"/>
      <c r="C917" s="441"/>
      <c r="D917" s="441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  <c r="AA917" s="247"/>
      <c r="AB917" s="247"/>
    </row>
    <row r="918">
      <c r="A918" s="247"/>
      <c r="B918" s="441"/>
      <c r="C918" s="441"/>
      <c r="D918" s="441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  <c r="AA918" s="247"/>
      <c r="AB918" s="247"/>
    </row>
    <row r="919">
      <c r="A919" s="247"/>
      <c r="B919" s="441"/>
      <c r="C919" s="441"/>
      <c r="D919" s="441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  <c r="AA919" s="247"/>
      <c r="AB919" s="247"/>
    </row>
    <row r="920">
      <c r="A920" s="247"/>
      <c r="B920" s="441"/>
      <c r="C920" s="441"/>
      <c r="D920" s="441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  <c r="AA920" s="247"/>
      <c r="AB920" s="247"/>
    </row>
    <row r="921">
      <c r="A921" s="247"/>
      <c r="B921" s="441"/>
      <c r="C921" s="441"/>
      <c r="D921" s="441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  <c r="AA921" s="247"/>
      <c r="AB921" s="247"/>
    </row>
    <row r="922">
      <c r="A922" s="247"/>
      <c r="B922" s="441"/>
      <c r="C922" s="441"/>
      <c r="D922" s="441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  <c r="AA922" s="247"/>
      <c r="AB922" s="247"/>
    </row>
    <row r="923">
      <c r="A923" s="247"/>
      <c r="B923" s="441"/>
      <c r="C923" s="441"/>
      <c r="D923" s="441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  <c r="AA923" s="247"/>
      <c r="AB923" s="247"/>
    </row>
    <row r="924">
      <c r="A924" s="247"/>
      <c r="B924" s="441"/>
      <c r="C924" s="441"/>
      <c r="D924" s="441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  <c r="AA924" s="247"/>
      <c r="AB924" s="247"/>
    </row>
    <row r="925">
      <c r="A925" s="247"/>
      <c r="B925" s="441"/>
      <c r="C925" s="441"/>
      <c r="D925" s="441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  <c r="AA925" s="247"/>
      <c r="AB925" s="247"/>
    </row>
    <row r="926">
      <c r="A926" s="247"/>
      <c r="B926" s="441"/>
      <c r="C926" s="441"/>
      <c r="D926" s="441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  <c r="AA926" s="247"/>
      <c r="AB926" s="247"/>
    </row>
    <row r="927">
      <c r="A927" s="247"/>
      <c r="B927" s="441"/>
      <c r="C927" s="441"/>
      <c r="D927" s="441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  <c r="AA927" s="247"/>
      <c r="AB927" s="247"/>
    </row>
    <row r="928">
      <c r="A928" s="247"/>
      <c r="B928" s="441"/>
      <c r="C928" s="441"/>
      <c r="D928" s="441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  <c r="AA928" s="247"/>
      <c r="AB928" s="247"/>
    </row>
    <row r="929">
      <c r="A929" s="247"/>
      <c r="B929" s="441"/>
      <c r="C929" s="441"/>
      <c r="D929" s="441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  <c r="AA929" s="247"/>
      <c r="AB929" s="247"/>
    </row>
    <row r="930">
      <c r="A930" s="247"/>
      <c r="B930" s="441"/>
      <c r="C930" s="441"/>
      <c r="D930" s="441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  <c r="AA930" s="247"/>
      <c r="AB930" s="247"/>
    </row>
    <row r="931">
      <c r="A931" s="247"/>
      <c r="B931" s="441"/>
      <c r="C931" s="441"/>
      <c r="D931" s="441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  <c r="AA931" s="247"/>
      <c r="AB931" s="247"/>
    </row>
    <row r="932">
      <c r="A932" s="247"/>
      <c r="B932" s="441"/>
      <c r="C932" s="441"/>
      <c r="D932" s="441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  <c r="AA932" s="247"/>
      <c r="AB932" s="247"/>
    </row>
    <row r="933">
      <c r="A933" s="247"/>
      <c r="B933" s="441"/>
      <c r="C933" s="441"/>
      <c r="D933" s="441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  <c r="AA933" s="247"/>
      <c r="AB933" s="247"/>
    </row>
    <row r="934">
      <c r="A934" s="247"/>
      <c r="B934" s="441"/>
      <c r="C934" s="441"/>
      <c r="D934" s="441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  <c r="AA934" s="247"/>
      <c r="AB934" s="247"/>
    </row>
    <row r="935">
      <c r="A935" s="247"/>
      <c r="B935" s="441"/>
      <c r="C935" s="441"/>
      <c r="D935" s="441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  <c r="AA935" s="247"/>
      <c r="AB935" s="247"/>
    </row>
    <row r="936">
      <c r="A936" s="247"/>
      <c r="B936" s="441"/>
      <c r="C936" s="441"/>
      <c r="D936" s="441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  <c r="AA936" s="247"/>
      <c r="AB936" s="247"/>
    </row>
    <row r="937">
      <c r="A937" s="247"/>
      <c r="B937" s="441"/>
      <c r="C937" s="441"/>
      <c r="D937" s="441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  <c r="AA937" s="247"/>
      <c r="AB937" s="247"/>
    </row>
    <row r="938">
      <c r="A938" s="247"/>
      <c r="B938" s="441"/>
      <c r="C938" s="441"/>
      <c r="D938" s="441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  <c r="AA938" s="247"/>
      <c r="AB938" s="247"/>
    </row>
    <row r="939">
      <c r="A939" s="247"/>
      <c r="B939" s="441"/>
      <c r="C939" s="441"/>
      <c r="D939" s="441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  <c r="AA939" s="247"/>
      <c r="AB939" s="247"/>
    </row>
    <row r="940">
      <c r="A940" s="247"/>
      <c r="B940" s="441"/>
      <c r="C940" s="441"/>
      <c r="D940" s="441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  <c r="AA940" s="247"/>
      <c r="AB940" s="247"/>
    </row>
    <row r="941">
      <c r="A941" s="247"/>
      <c r="B941" s="441"/>
      <c r="C941" s="441"/>
      <c r="D941" s="441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  <c r="AA941" s="247"/>
      <c r="AB941" s="247"/>
    </row>
    <row r="942">
      <c r="A942" s="247"/>
      <c r="B942" s="441"/>
      <c r="C942" s="441"/>
      <c r="D942" s="441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  <c r="AA942" s="247"/>
      <c r="AB942" s="247"/>
    </row>
    <row r="943">
      <c r="A943" s="247"/>
      <c r="B943" s="441"/>
      <c r="C943" s="441"/>
      <c r="D943" s="441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  <c r="AA943" s="247"/>
      <c r="AB943" s="247"/>
    </row>
    <row r="944">
      <c r="A944" s="247"/>
      <c r="B944" s="441"/>
      <c r="C944" s="441"/>
      <c r="D944" s="441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  <c r="AA944" s="247"/>
      <c r="AB944" s="247"/>
    </row>
    <row r="945">
      <c r="A945" s="247"/>
      <c r="B945" s="441"/>
      <c r="C945" s="441"/>
      <c r="D945" s="441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  <c r="AA945" s="247"/>
      <c r="AB945" s="247"/>
    </row>
    <row r="946">
      <c r="A946" s="247"/>
      <c r="B946" s="441"/>
      <c r="C946" s="441"/>
      <c r="D946" s="441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  <c r="AA946" s="247"/>
      <c r="AB946" s="247"/>
    </row>
    <row r="947">
      <c r="A947" s="247"/>
      <c r="B947" s="441"/>
      <c r="C947" s="441"/>
      <c r="D947" s="441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  <c r="AA947" s="247"/>
      <c r="AB947" s="247"/>
    </row>
    <row r="948">
      <c r="A948" s="247"/>
      <c r="B948" s="441"/>
      <c r="C948" s="441"/>
      <c r="D948" s="441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  <c r="AA948" s="247"/>
      <c r="AB948" s="247"/>
    </row>
    <row r="949">
      <c r="A949" s="247"/>
      <c r="B949" s="441"/>
      <c r="C949" s="441"/>
      <c r="D949" s="441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  <c r="AA949" s="247"/>
      <c r="AB949" s="247"/>
    </row>
    <row r="950">
      <c r="A950" s="247"/>
      <c r="B950" s="441"/>
      <c r="C950" s="441"/>
      <c r="D950" s="441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  <c r="AA950" s="247"/>
      <c r="AB950" s="247"/>
    </row>
    <row r="951">
      <c r="A951" s="247"/>
      <c r="B951" s="441"/>
      <c r="C951" s="441"/>
      <c r="D951" s="441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  <c r="AA951" s="247"/>
      <c r="AB951" s="247"/>
    </row>
    <row r="952">
      <c r="A952" s="247"/>
      <c r="B952" s="441"/>
      <c r="C952" s="441"/>
      <c r="D952" s="441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  <c r="AA952" s="247"/>
      <c r="AB952" s="247"/>
    </row>
    <row r="953">
      <c r="A953" s="247"/>
      <c r="B953" s="441"/>
      <c r="C953" s="441"/>
      <c r="D953" s="441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  <c r="AA953" s="247"/>
      <c r="AB953" s="247"/>
    </row>
    <row r="954">
      <c r="A954" s="247"/>
      <c r="B954" s="441"/>
      <c r="C954" s="441"/>
      <c r="D954" s="441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  <c r="AA954" s="247"/>
      <c r="AB954" s="247"/>
    </row>
    <row r="955">
      <c r="A955" s="247"/>
      <c r="B955" s="441"/>
      <c r="C955" s="441"/>
      <c r="D955" s="441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  <c r="AA955" s="247"/>
      <c r="AB955" s="247"/>
    </row>
    <row r="956">
      <c r="A956" s="247"/>
      <c r="B956" s="441"/>
      <c r="C956" s="441"/>
      <c r="D956" s="441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  <c r="AA956" s="247"/>
      <c r="AB956" s="247"/>
    </row>
    <row r="957">
      <c r="A957" s="247"/>
      <c r="B957" s="441"/>
      <c r="C957" s="441"/>
      <c r="D957" s="441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  <c r="AA957" s="247"/>
      <c r="AB957" s="247"/>
    </row>
    <row r="958">
      <c r="A958" s="247"/>
      <c r="B958" s="441"/>
      <c r="C958" s="441"/>
      <c r="D958" s="441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  <c r="AA958" s="247"/>
      <c r="AB958" s="247"/>
    </row>
    <row r="959">
      <c r="A959" s="247"/>
      <c r="B959" s="441"/>
      <c r="C959" s="441"/>
      <c r="D959" s="441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  <c r="AA959" s="247"/>
      <c r="AB959" s="247"/>
    </row>
    <row r="960">
      <c r="A960" s="247"/>
      <c r="B960" s="441"/>
      <c r="C960" s="441"/>
      <c r="D960" s="441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  <c r="AA960" s="247"/>
      <c r="AB960" s="247"/>
    </row>
    <row r="961">
      <c r="A961" s="247"/>
      <c r="B961" s="441"/>
      <c r="C961" s="441"/>
      <c r="D961" s="441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  <c r="AA961" s="247"/>
      <c r="AB961" s="247"/>
    </row>
    <row r="962">
      <c r="A962" s="247"/>
      <c r="B962" s="441"/>
      <c r="C962" s="441"/>
      <c r="D962" s="441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  <c r="AA962" s="247"/>
      <c r="AB962" s="247"/>
    </row>
    <row r="963">
      <c r="A963" s="247"/>
      <c r="B963" s="441"/>
      <c r="C963" s="441"/>
      <c r="D963" s="441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  <c r="AA963" s="247"/>
      <c r="AB963" s="247"/>
    </row>
    <row r="964">
      <c r="A964" s="247"/>
      <c r="B964" s="441"/>
      <c r="C964" s="441"/>
      <c r="D964" s="441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  <c r="AA964" s="247"/>
      <c r="AB964" s="247"/>
    </row>
    <row r="965">
      <c r="A965" s="247"/>
      <c r="B965" s="441"/>
      <c r="C965" s="441"/>
      <c r="D965" s="441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  <c r="AA965" s="247"/>
      <c r="AB965" s="247"/>
    </row>
    <row r="966">
      <c r="A966" s="247"/>
      <c r="B966" s="441"/>
      <c r="C966" s="441"/>
      <c r="D966" s="441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  <c r="AA966" s="247"/>
      <c r="AB966" s="247"/>
    </row>
    <row r="967">
      <c r="A967" s="247"/>
      <c r="B967" s="441"/>
      <c r="C967" s="441"/>
      <c r="D967" s="441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  <c r="AA967" s="247"/>
      <c r="AB967" s="247"/>
    </row>
    <row r="968">
      <c r="A968" s="247"/>
      <c r="B968" s="441"/>
      <c r="C968" s="441"/>
      <c r="D968" s="441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  <c r="AA968" s="247"/>
      <c r="AB968" s="247"/>
    </row>
    <row r="969">
      <c r="A969" s="247"/>
      <c r="B969" s="441"/>
      <c r="C969" s="441"/>
      <c r="D969" s="441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  <c r="AA969" s="247"/>
      <c r="AB969" s="247"/>
    </row>
    <row r="970">
      <c r="A970" s="247"/>
      <c r="B970" s="441"/>
      <c r="C970" s="441"/>
      <c r="D970" s="441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  <c r="AA970" s="247"/>
      <c r="AB970" s="247"/>
    </row>
    <row r="971">
      <c r="A971" s="247"/>
      <c r="B971" s="441"/>
      <c r="C971" s="441"/>
      <c r="D971" s="441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  <c r="AA971" s="247"/>
      <c r="AB971" s="247"/>
    </row>
    <row r="972">
      <c r="A972" s="247"/>
      <c r="B972" s="441"/>
      <c r="C972" s="441"/>
      <c r="D972" s="441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  <c r="AA972" s="247"/>
      <c r="AB972" s="247"/>
    </row>
    <row r="973">
      <c r="A973" s="247"/>
      <c r="B973" s="441"/>
      <c r="C973" s="441"/>
      <c r="D973" s="441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  <c r="AA973" s="247"/>
      <c r="AB973" s="247"/>
    </row>
    <row r="974">
      <c r="A974" s="247"/>
      <c r="B974" s="441"/>
      <c r="C974" s="441"/>
      <c r="D974" s="441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  <c r="AA974" s="247"/>
      <c r="AB974" s="247"/>
    </row>
    <row r="975">
      <c r="A975" s="247"/>
      <c r="B975" s="441"/>
      <c r="C975" s="441"/>
      <c r="D975" s="441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  <c r="AA975" s="247"/>
      <c r="AB975" s="247"/>
    </row>
    <row r="976">
      <c r="A976" s="247"/>
      <c r="B976" s="441"/>
      <c r="C976" s="441"/>
      <c r="D976" s="441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  <c r="AA976" s="247"/>
      <c r="AB976" s="247"/>
    </row>
    <row r="977">
      <c r="A977" s="247"/>
      <c r="B977" s="441"/>
      <c r="C977" s="441"/>
      <c r="D977" s="441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  <c r="AA977" s="247"/>
      <c r="AB977" s="247"/>
    </row>
    <row r="978">
      <c r="A978" s="247"/>
      <c r="B978" s="441"/>
      <c r="C978" s="441"/>
      <c r="D978" s="441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  <c r="AA978" s="247"/>
      <c r="AB978" s="247"/>
    </row>
    <row r="979">
      <c r="A979" s="247"/>
      <c r="B979" s="441"/>
      <c r="C979" s="441"/>
      <c r="D979" s="441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  <c r="AA979" s="247"/>
      <c r="AB979" s="247"/>
    </row>
    <row r="980">
      <c r="A980" s="247"/>
      <c r="B980" s="441"/>
      <c r="C980" s="441"/>
      <c r="D980" s="441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  <c r="AA980" s="247"/>
      <c r="AB980" s="247"/>
    </row>
    <row r="981">
      <c r="A981" s="247"/>
      <c r="B981" s="441"/>
      <c r="C981" s="441"/>
      <c r="D981" s="441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  <c r="AA981" s="247"/>
      <c r="AB981" s="247"/>
    </row>
    <row r="982">
      <c r="A982" s="247"/>
      <c r="B982" s="441"/>
      <c r="C982" s="441"/>
      <c r="D982" s="441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  <c r="AA982" s="247"/>
      <c r="AB982" s="247"/>
    </row>
    <row r="983">
      <c r="A983" s="247"/>
      <c r="B983" s="441"/>
      <c r="C983" s="441"/>
      <c r="D983" s="441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  <c r="AA983" s="247"/>
      <c r="AB983" s="247"/>
    </row>
    <row r="984">
      <c r="A984" s="247"/>
      <c r="B984" s="441"/>
      <c r="C984" s="441"/>
      <c r="D984" s="441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  <c r="AA984" s="247"/>
      <c r="AB984" s="247"/>
    </row>
    <row r="985">
      <c r="A985" s="247"/>
      <c r="B985" s="441"/>
      <c r="C985" s="441"/>
      <c r="D985" s="441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  <c r="AA985" s="247"/>
      <c r="AB985" s="247"/>
    </row>
    <row r="986">
      <c r="A986" s="247"/>
      <c r="B986" s="441"/>
      <c r="C986" s="441"/>
      <c r="D986" s="441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  <c r="AA986" s="247"/>
      <c r="AB986" s="247"/>
    </row>
    <row r="987">
      <c r="A987" s="247"/>
      <c r="B987" s="441"/>
      <c r="C987" s="441"/>
      <c r="D987" s="441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  <c r="AA987" s="247"/>
      <c r="AB987" s="247"/>
    </row>
    <row r="988">
      <c r="A988" s="247"/>
      <c r="B988" s="441"/>
      <c r="C988" s="441"/>
      <c r="D988" s="441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  <c r="AA988" s="247"/>
      <c r="AB988" s="247"/>
    </row>
    <row r="989">
      <c r="A989" s="247"/>
      <c r="B989" s="441"/>
      <c r="C989" s="441"/>
      <c r="D989" s="441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  <c r="AA989" s="247"/>
      <c r="AB989" s="247"/>
    </row>
    <row r="990">
      <c r="A990" s="247"/>
      <c r="B990" s="441"/>
      <c r="C990" s="441"/>
      <c r="D990" s="441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  <c r="AA990" s="247"/>
      <c r="AB990" s="247"/>
    </row>
    <row r="991">
      <c r="A991" s="247"/>
      <c r="B991" s="441"/>
      <c r="C991" s="441"/>
      <c r="D991" s="441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  <c r="AA991" s="247"/>
      <c r="AB991" s="247"/>
    </row>
    <row r="992">
      <c r="A992" s="247"/>
      <c r="B992" s="441"/>
      <c r="C992" s="441"/>
      <c r="D992" s="441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  <c r="AA992" s="247"/>
      <c r="AB992" s="247"/>
    </row>
    <row r="993">
      <c r="A993" s="247"/>
      <c r="B993" s="441"/>
      <c r="C993" s="441"/>
      <c r="D993" s="441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  <c r="AA993" s="247"/>
      <c r="AB993" s="247"/>
    </row>
    <row r="994">
      <c r="A994" s="247"/>
      <c r="B994" s="441"/>
      <c r="C994" s="441"/>
      <c r="D994" s="441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  <c r="AA994" s="247"/>
      <c r="AB994" s="247"/>
    </row>
    <row r="995">
      <c r="A995" s="247"/>
      <c r="B995" s="441"/>
      <c r="C995" s="441"/>
      <c r="D995" s="441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  <c r="AA995" s="247"/>
      <c r="AB995" s="247"/>
    </row>
    <row r="996">
      <c r="A996" s="247"/>
      <c r="B996" s="441"/>
      <c r="C996" s="441"/>
      <c r="D996" s="441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  <c r="AA996" s="247"/>
      <c r="AB996" s="247"/>
    </row>
    <row r="997">
      <c r="A997" s="247"/>
      <c r="B997" s="441"/>
      <c r="C997" s="441"/>
      <c r="D997" s="441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  <c r="AA997" s="247"/>
      <c r="AB997" s="247"/>
    </row>
    <row r="998">
      <c r="A998" s="247"/>
      <c r="B998" s="441"/>
      <c r="C998" s="441"/>
      <c r="D998" s="441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  <c r="AA998" s="247"/>
      <c r="AB998" s="247"/>
    </row>
    <row r="999">
      <c r="A999" s="247"/>
      <c r="B999" s="441"/>
      <c r="C999" s="441"/>
      <c r="D999" s="441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  <c r="AA999" s="247"/>
      <c r="AB999" s="247"/>
    </row>
    <row r="1000">
      <c r="A1000" s="247"/>
      <c r="B1000" s="441"/>
      <c r="C1000" s="441"/>
      <c r="D1000" s="441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  <c r="AA1000" s="247"/>
      <c r="AB1000" s="247"/>
    </row>
    <row r="1001">
      <c r="A1001" s="247"/>
      <c r="B1001" s="441"/>
      <c r="C1001" s="441"/>
      <c r="D1001" s="441"/>
      <c r="E1001" s="247"/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  <c r="V1001" s="247"/>
      <c r="W1001" s="247"/>
      <c r="X1001" s="247"/>
      <c r="Y1001" s="247"/>
      <c r="Z1001" s="247"/>
      <c r="AA1001" s="247"/>
      <c r="AB1001" s="247"/>
    </row>
    <row r="1002">
      <c r="A1002" s="247"/>
      <c r="B1002" s="441"/>
      <c r="C1002" s="441"/>
      <c r="D1002" s="441"/>
      <c r="E1002" s="247"/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  <c r="V1002" s="247"/>
      <c r="W1002" s="247"/>
      <c r="X1002" s="247"/>
      <c r="Y1002" s="247"/>
      <c r="Z1002" s="247"/>
      <c r="AA1002" s="247"/>
      <c r="AB1002" s="247"/>
    </row>
    <row r="1003">
      <c r="A1003" s="247"/>
      <c r="B1003" s="441"/>
      <c r="C1003" s="441"/>
      <c r="D1003" s="441"/>
      <c r="E1003" s="247"/>
      <c r="F1003" s="247"/>
      <c r="G1003" s="247"/>
      <c r="H1003" s="247"/>
      <c r="I1003" s="247"/>
      <c r="J1003" s="247"/>
      <c r="K1003" s="247"/>
      <c r="L1003" s="247"/>
      <c r="M1003" s="247"/>
      <c r="N1003" s="247"/>
      <c r="O1003" s="247"/>
      <c r="P1003" s="247"/>
      <c r="Q1003" s="247"/>
      <c r="R1003" s="247"/>
      <c r="S1003" s="247"/>
      <c r="T1003" s="247"/>
      <c r="U1003" s="247"/>
      <c r="V1003" s="247"/>
      <c r="W1003" s="247"/>
      <c r="X1003" s="247"/>
      <c r="Y1003" s="247"/>
      <c r="Z1003" s="247"/>
      <c r="AA1003" s="247"/>
      <c r="AB1003" s="247"/>
    </row>
    <row r="1004">
      <c r="A1004" s="247"/>
      <c r="B1004" s="441"/>
      <c r="C1004" s="441"/>
      <c r="D1004" s="441"/>
      <c r="E1004" s="247"/>
      <c r="F1004" s="247"/>
      <c r="G1004" s="247"/>
      <c r="H1004" s="247"/>
      <c r="I1004" s="247"/>
      <c r="J1004" s="247"/>
      <c r="K1004" s="247"/>
      <c r="L1004" s="247"/>
      <c r="M1004" s="247"/>
      <c r="N1004" s="247"/>
      <c r="O1004" s="247"/>
      <c r="P1004" s="247"/>
      <c r="Q1004" s="247"/>
      <c r="R1004" s="247"/>
      <c r="S1004" s="247"/>
      <c r="T1004" s="247"/>
      <c r="U1004" s="247"/>
      <c r="V1004" s="247"/>
      <c r="W1004" s="247"/>
      <c r="X1004" s="247"/>
      <c r="Y1004" s="247"/>
      <c r="Z1004" s="247"/>
      <c r="AA1004" s="247"/>
      <c r="AB1004" s="247"/>
    </row>
    <row r="1005">
      <c r="A1005" s="247"/>
      <c r="B1005" s="441"/>
      <c r="C1005" s="441"/>
      <c r="D1005" s="441"/>
      <c r="E1005" s="247"/>
      <c r="F1005" s="247"/>
      <c r="G1005" s="247"/>
      <c r="H1005" s="247"/>
      <c r="I1005" s="247"/>
      <c r="J1005" s="247"/>
      <c r="K1005" s="247"/>
      <c r="L1005" s="247"/>
      <c r="M1005" s="247"/>
      <c r="N1005" s="247"/>
      <c r="O1005" s="247"/>
      <c r="P1005" s="247"/>
      <c r="Q1005" s="247"/>
      <c r="R1005" s="247"/>
      <c r="S1005" s="247"/>
      <c r="T1005" s="247"/>
      <c r="U1005" s="247"/>
      <c r="V1005" s="247"/>
      <c r="W1005" s="247"/>
      <c r="X1005" s="247"/>
      <c r="Y1005" s="247"/>
      <c r="Z1005" s="247"/>
      <c r="AA1005" s="247"/>
      <c r="AB1005" s="247"/>
    </row>
    <row r="1006">
      <c r="A1006" s="247"/>
      <c r="B1006" s="441"/>
      <c r="C1006" s="441"/>
      <c r="D1006" s="441"/>
      <c r="E1006" s="247"/>
      <c r="F1006" s="247"/>
      <c r="G1006" s="247"/>
      <c r="H1006" s="247"/>
      <c r="I1006" s="247"/>
      <c r="J1006" s="247"/>
      <c r="K1006" s="247"/>
      <c r="L1006" s="247"/>
      <c r="M1006" s="247"/>
      <c r="N1006" s="247"/>
      <c r="O1006" s="247"/>
      <c r="P1006" s="247"/>
      <c r="Q1006" s="247"/>
      <c r="R1006" s="247"/>
      <c r="S1006" s="247"/>
      <c r="T1006" s="247"/>
      <c r="U1006" s="247"/>
      <c r="V1006" s="247"/>
      <c r="W1006" s="247"/>
      <c r="X1006" s="247"/>
      <c r="Y1006" s="247"/>
      <c r="Z1006" s="247"/>
      <c r="AA1006" s="247"/>
      <c r="AB1006" s="247"/>
    </row>
    <row r="1007">
      <c r="A1007" s="247"/>
      <c r="B1007" s="441"/>
      <c r="C1007" s="441"/>
      <c r="D1007" s="441"/>
      <c r="E1007" s="247"/>
      <c r="F1007" s="247"/>
      <c r="G1007" s="247"/>
      <c r="H1007" s="247"/>
      <c r="I1007" s="247"/>
      <c r="J1007" s="247"/>
      <c r="K1007" s="247"/>
      <c r="L1007" s="247"/>
      <c r="M1007" s="247"/>
      <c r="N1007" s="247"/>
      <c r="O1007" s="247"/>
      <c r="P1007" s="247"/>
      <c r="Q1007" s="247"/>
      <c r="R1007" s="247"/>
      <c r="S1007" s="247"/>
      <c r="T1007" s="247"/>
      <c r="U1007" s="247"/>
      <c r="V1007" s="247"/>
      <c r="W1007" s="247"/>
      <c r="X1007" s="247"/>
      <c r="Y1007" s="247"/>
      <c r="Z1007" s="247"/>
      <c r="AA1007" s="247"/>
      <c r="AB1007" s="247"/>
    </row>
    <row r="1008">
      <c r="A1008" s="247"/>
      <c r="B1008" s="441"/>
      <c r="C1008" s="441"/>
      <c r="D1008" s="441"/>
      <c r="E1008" s="247"/>
      <c r="F1008" s="247"/>
      <c r="G1008" s="247"/>
      <c r="H1008" s="247"/>
      <c r="I1008" s="247"/>
      <c r="J1008" s="247"/>
      <c r="K1008" s="247"/>
      <c r="L1008" s="247"/>
      <c r="M1008" s="247"/>
      <c r="N1008" s="247"/>
      <c r="O1008" s="247"/>
      <c r="P1008" s="247"/>
      <c r="Q1008" s="247"/>
      <c r="R1008" s="247"/>
      <c r="S1008" s="247"/>
      <c r="T1008" s="247"/>
      <c r="U1008" s="247"/>
      <c r="V1008" s="247"/>
      <c r="W1008" s="247"/>
      <c r="X1008" s="247"/>
      <c r="Y1008" s="247"/>
      <c r="Z1008" s="247"/>
      <c r="AA1008" s="247"/>
      <c r="AB1008" s="247"/>
    </row>
    <row r="1009">
      <c r="A1009" s="247"/>
      <c r="B1009" s="441"/>
      <c r="C1009" s="441"/>
      <c r="D1009" s="441"/>
      <c r="E1009" s="247"/>
      <c r="F1009" s="247"/>
      <c r="G1009" s="247"/>
      <c r="H1009" s="247"/>
      <c r="I1009" s="247"/>
      <c r="J1009" s="247"/>
      <c r="K1009" s="247"/>
      <c r="L1009" s="247"/>
      <c r="M1009" s="247"/>
      <c r="N1009" s="247"/>
      <c r="O1009" s="247"/>
      <c r="P1009" s="247"/>
      <c r="Q1009" s="247"/>
      <c r="R1009" s="247"/>
      <c r="S1009" s="247"/>
      <c r="T1009" s="247"/>
      <c r="U1009" s="247"/>
      <c r="V1009" s="247"/>
      <c r="W1009" s="247"/>
      <c r="X1009" s="247"/>
      <c r="Y1009" s="247"/>
      <c r="Z1009" s="247"/>
      <c r="AA1009" s="247"/>
      <c r="AB1009" s="247"/>
    </row>
    <row r="1010">
      <c r="A1010" s="247"/>
      <c r="B1010" s="441"/>
      <c r="C1010" s="441"/>
      <c r="D1010" s="441"/>
      <c r="E1010" s="247"/>
      <c r="F1010" s="247"/>
      <c r="G1010" s="247"/>
      <c r="H1010" s="247"/>
      <c r="I1010" s="247"/>
      <c r="J1010" s="247"/>
      <c r="K1010" s="247"/>
      <c r="L1010" s="247"/>
      <c r="M1010" s="247"/>
      <c r="N1010" s="247"/>
      <c r="O1010" s="247"/>
      <c r="P1010" s="247"/>
      <c r="Q1010" s="247"/>
      <c r="R1010" s="247"/>
      <c r="S1010" s="247"/>
      <c r="T1010" s="247"/>
      <c r="U1010" s="247"/>
      <c r="V1010" s="247"/>
      <c r="W1010" s="247"/>
      <c r="X1010" s="247"/>
      <c r="Y1010" s="247"/>
      <c r="Z1010" s="247"/>
      <c r="AA1010" s="247"/>
      <c r="AB1010" s="247"/>
    </row>
    <row r="1011">
      <c r="A1011" s="247"/>
      <c r="B1011" s="441"/>
      <c r="C1011" s="441"/>
      <c r="D1011" s="441"/>
      <c r="E1011" s="247"/>
      <c r="F1011" s="247"/>
      <c r="G1011" s="247"/>
      <c r="H1011" s="247"/>
      <c r="I1011" s="247"/>
      <c r="J1011" s="247"/>
      <c r="K1011" s="247"/>
      <c r="L1011" s="247"/>
      <c r="M1011" s="247"/>
      <c r="N1011" s="247"/>
      <c r="O1011" s="247"/>
      <c r="P1011" s="247"/>
      <c r="Q1011" s="247"/>
      <c r="R1011" s="247"/>
      <c r="S1011" s="247"/>
      <c r="T1011" s="247"/>
      <c r="U1011" s="247"/>
      <c r="V1011" s="247"/>
      <c r="W1011" s="247"/>
      <c r="X1011" s="247"/>
      <c r="Y1011" s="247"/>
      <c r="Z1011" s="247"/>
      <c r="AA1011" s="247"/>
      <c r="AB1011" s="247"/>
    </row>
    <row r="1012">
      <c r="A1012" s="247"/>
      <c r="B1012" s="441"/>
      <c r="C1012" s="441"/>
      <c r="D1012" s="441"/>
      <c r="E1012" s="247"/>
      <c r="F1012" s="247"/>
      <c r="G1012" s="247"/>
      <c r="H1012" s="247"/>
      <c r="I1012" s="247"/>
      <c r="J1012" s="247"/>
      <c r="K1012" s="247"/>
      <c r="L1012" s="247"/>
      <c r="M1012" s="247"/>
      <c r="N1012" s="247"/>
      <c r="O1012" s="247"/>
      <c r="P1012" s="247"/>
      <c r="Q1012" s="247"/>
      <c r="R1012" s="247"/>
      <c r="S1012" s="247"/>
      <c r="T1012" s="247"/>
      <c r="U1012" s="247"/>
      <c r="V1012" s="247"/>
      <c r="W1012" s="247"/>
      <c r="X1012" s="247"/>
      <c r="Y1012" s="247"/>
      <c r="Z1012" s="247"/>
      <c r="AA1012" s="247"/>
      <c r="AB1012" s="247"/>
    </row>
    <row r="1013">
      <c r="A1013" s="247"/>
      <c r="B1013" s="441"/>
      <c r="C1013" s="441"/>
      <c r="D1013" s="441"/>
      <c r="E1013" s="247"/>
      <c r="F1013" s="247"/>
      <c r="G1013" s="247"/>
      <c r="H1013" s="247"/>
      <c r="I1013" s="247"/>
      <c r="J1013" s="247"/>
      <c r="K1013" s="247"/>
      <c r="L1013" s="247"/>
      <c r="M1013" s="247"/>
      <c r="N1013" s="247"/>
      <c r="O1013" s="247"/>
      <c r="P1013" s="247"/>
      <c r="Q1013" s="247"/>
      <c r="R1013" s="247"/>
      <c r="S1013" s="247"/>
      <c r="T1013" s="247"/>
      <c r="U1013" s="247"/>
      <c r="V1013" s="247"/>
      <c r="W1013" s="247"/>
      <c r="X1013" s="247"/>
      <c r="Y1013" s="247"/>
      <c r="Z1013" s="247"/>
      <c r="AA1013" s="247"/>
      <c r="AB1013" s="247"/>
    </row>
    <row r="1014">
      <c r="A1014" s="247"/>
      <c r="B1014" s="441"/>
      <c r="C1014" s="441"/>
      <c r="D1014" s="441"/>
      <c r="E1014" s="247"/>
      <c r="F1014" s="247"/>
      <c r="G1014" s="247"/>
      <c r="H1014" s="247"/>
      <c r="I1014" s="247"/>
      <c r="J1014" s="247"/>
      <c r="K1014" s="247"/>
      <c r="L1014" s="247"/>
      <c r="M1014" s="247"/>
      <c r="N1014" s="247"/>
      <c r="O1014" s="247"/>
      <c r="P1014" s="247"/>
      <c r="Q1014" s="247"/>
      <c r="R1014" s="247"/>
      <c r="S1014" s="247"/>
      <c r="T1014" s="247"/>
      <c r="U1014" s="247"/>
      <c r="V1014" s="247"/>
      <c r="W1014" s="247"/>
      <c r="X1014" s="247"/>
      <c r="Y1014" s="247"/>
      <c r="Z1014" s="247"/>
      <c r="AA1014" s="247"/>
      <c r="AB1014" s="247"/>
    </row>
    <row r="1015">
      <c r="A1015" s="247"/>
      <c r="B1015" s="441"/>
      <c r="C1015" s="441"/>
      <c r="D1015" s="441"/>
      <c r="E1015" s="247"/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  <c r="Y1015" s="247"/>
      <c r="Z1015" s="247"/>
      <c r="AA1015" s="247"/>
      <c r="AB1015" s="247"/>
    </row>
    <row r="1016">
      <c r="A1016" s="247"/>
      <c r="B1016" s="441"/>
      <c r="C1016" s="441"/>
      <c r="D1016" s="441"/>
      <c r="E1016" s="247"/>
      <c r="F1016" s="247"/>
      <c r="G1016" s="247"/>
      <c r="H1016" s="247"/>
      <c r="I1016" s="247"/>
      <c r="J1016" s="247"/>
      <c r="K1016" s="247"/>
      <c r="L1016" s="247"/>
      <c r="M1016" s="247"/>
      <c r="N1016" s="247"/>
      <c r="O1016" s="247"/>
      <c r="P1016" s="247"/>
      <c r="Q1016" s="247"/>
      <c r="R1016" s="247"/>
      <c r="S1016" s="247"/>
      <c r="T1016" s="247"/>
      <c r="U1016" s="247"/>
      <c r="V1016" s="247"/>
      <c r="W1016" s="247"/>
      <c r="X1016" s="247"/>
      <c r="Y1016" s="247"/>
      <c r="Z1016" s="247"/>
      <c r="AA1016" s="247"/>
      <c r="AB1016" s="247"/>
    </row>
    <row r="1017">
      <c r="A1017" s="247"/>
      <c r="B1017" s="441"/>
      <c r="C1017" s="441"/>
      <c r="D1017" s="441"/>
      <c r="E1017" s="247"/>
      <c r="F1017" s="247"/>
      <c r="G1017" s="247"/>
      <c r="H1017" s="247"/>
      <c r="I1017" s="247"/>
      <c r="J1017" s="247"/>
      <c r="K1017" s="247"/>
      <c r="L1017" s="247"/>
      <c r="M1017" s="247"/>
      <c r="N1017" s="247"/>
      <c r="O1017" s="247"/>
      <c r="P1017" s="247"/>
      <c r="Q1017" s="247"/>
      <c r="R1017" s="247"/>
      <c r="S1017" s="247"/>
      <c r="T1017" s="247"/>
      <c r="U1017" s="247"/>
      <c r="V1017" s="247"/>
      <c r="W1017" s="247"/>
      <c r="X1017" s="247"/>
      <c r="Y1017" s="247"/>
      <c r="Z1017" s="247"/>
      <c r="AA1017" s="247"/>
      <c r="AB1017" s="247"/>
    </row>
    <row r="1018">
      <c r="A1018" s="247"/>
      <c r="B1018" s="441"/>
      <c r="C1018" s="441"/>
      <c r="D1018" s="441"/>
      <c r="E1018" s="247"/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  <c r="Y1018" s="247"/>
      <c r="Z1018" s="247"/>
      <c r="AA1018" s="247"/>
      <c r="AB1018" s="247"/>
    </row>
    <row r="1019">
      <c r="A1019" s="247"/>
      <c r="B1019" s="441"/>
      <c r="C1019" s="441"/>
      <c r="D1019" s="441"/>
      <c r="E1019" s="247"/>
      <c r="F1019" s="247"/>
      <c r="G1019" s="247"/>
      <c r="H1019" s="247"/>
      <c r="I1019" s="247"/>
      <c r="J1019" s="247"/>
      <c r="K1019" s="247"/>
      <c r="L1019" s="247"/>
      <c r="M1019" s="247"/>
      <c r="N1019" s="247"/>
      <c r="O1019" s="247"/>
      <c r="P1019" s="247"/>
      <c r="Q1019" s="247"/>
      <c r="R1019" s="247"/>
      <c r="S1019" s="247"/>
      <c r="T1019" s="247"/>
      <c r="U1019" s="247"/>
      <c r="V1019" s="247"/>
      <c r="W1019" s="247"/>
      <c r="X1019" s="247"/>
      <c r="Y1019" s="247"/>
      <c r="Z1019" s="247"/>
      <c r="AA1019" s="247"/>
      <c r="AB1019" s="247"/>
    </row>
    <row r="1020">
      <c r="A1020" s="247"/>
      <c r="B1020" s="441"/>
      <c r="C1020" s="441"/>
      <c r="D1020" s="441"/>
      <c r="E1020" s="247"/>
      <c r="F1020" s="247"/>
      <c r="G1020" s="247"/>
      <c r="H1020" s="247"/>
      <c r="I1020" s="247"/>
      <c r="J1020" s="247"/>
      <c r="K1020" s="247"/>
      <c r="L1020" s="247"/>
      <c r="M1020" s="247"/>
      <c r="N1020" s="247"/>
      <c r="O1020" s="247"/>
      <c r="P1020" s="247"/>
      <c r="Q1020" s="247"/>
      <c r="R1020" s="247"/>
      <c r="S1020" s="247"/>
      <c r="T1020" s="247"/>
      <c r="U1020" s="247"/>
      <c r="V1020" s="247"/>
      <c r="W1020" s="247"/>
      <c r="X1020" s="247"/>
      <c r="Y1020" s="247"/>
      <c r="Z1020" s="247"/>
      <c r="AA1020" s="247"/>
      <c r="AB1020" s="247"/>
    </row>
    <row r="1021">
      <c r="A1021" s="247"/>
      <c r="B1021" s="441"/>
      <c r="C1021" s="441"/>
      <c r="D1021" s="441"/>
      <c r="E1021" s="247"/>
      <c r="F1021" s="247"/>
      <c r="G1021" s="247"/>
      <c r="H1021" s="247"/>
      <c r="I1021" s="247"/>
      <c r="J1021" s="247"/>
      <c r="K1021" s="247"/>
      <c r="L1021" s="247"/>
      <c r="M1021" s="247"/>
      <c r="N1021" s="247"/>
      <c r="O1021" s="247"/>
      <c r="P1021" s="247"/>
      <c r="Q1021" s="247"/>
      <c r="R1021" s="247"/>
      <c r="S1021" s="247"/>
      <c r="T1021" s="247"/>
      <c r="U1021" s="247"/>
      <c r="V1021" s="247"/>
      <c r="W1021" s="247"/>
      <c r="X1021" s="247"/>
      <c r="Y1021" s="247"/>
      <c r="Z1021" s="247"/>
      <c r="AA1021" s="247"/>
      <c r="AB1021" s="247"/>
    </row>
    <row r="1022">
      <c r="A1022" s="247"/>
      <c r="B1022" s="441"/>
      <c r="C1022" s="441"/>
      <c r="D1022" s="441"/>
      <c r="E1022" s="247"/>
      <c r="F1022" s="247"/>
      <c r="G1022" s="247"/>
      <c r="H1022" s="247"/>
      <c r="I1022" s="247"/>
      <c r="J1022" s="247"/>
      <c r="K1022" s="247"/>
      <c r="L1022" s="247"/>
      <c r="M1022" s="247"/>
      <c r="N1022" s="247"/>
      <c r="O1022" s="247"/>
      <c r="P1022" s="247"/>
      <c r="Q1022" s="247"/>
      <c r="R1022" s="247"/>
      <c r="S1022" s="247"/>
      <c r="T1022" s="247"/>
      <c r="U1022" s="247"/>
      <c r="V1022" s="247"/>
      <c r="W1022" s="247"/>
      <c r="X1022" s="247"/>
      <c r="Y1022" s="247"/>
      <c r="Z1022" s="247"/>
      <c r="AA1022" s="247"/>
      <c r="AB1022" s="247"/>
    </row>
    <row r="1023">
      <c r="A1023" s="247"/>
      <c r="B1023" s="441"/>
      <c r="C1023" s="441"/>
      <c r="D1023" s="441"/>
      <c r="E1023" s="247"/>
      <c r="F1023" s="247"/>
      <c r="G1023" s="247"/>
      <c r="H1023" s="247"/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  <c r="S1023" s="247"/>
      <c r="T1023" s="247"/>
      <c r="U1023" s="247"/>
      <c r="V1023" s="247"/>
      <c r="W1023" s="247"/>
      <c r="X1023" s="247"/>
      <c r="Y1023" s="247"/>
      <c r="Z1023" s="247"/>
      <c r="AA1023" s="247"/>
      <c r="AB1023" s="247"/>
    </row>
    <row r="1024">
      <c r="A1024" s="247"/>
      <c r="B1024" s="441"/>
      <c r="C1024" s="441"/>
      <c r="D1024" s="441"/>
      <c r="E1024" s="247"/>
      <c r="F1024" s="247"/>
      <c r="G1024" s="247"/>
      <c r="H1024" s="247"/>
      <c r="I1024" s="247"/>
      <c r="J1024" s="247"/>
      <c r="K1024" s="247"/>
      <c r="L1024" s="247"/>
      <c r="M1024" s="247"/>
      <c r="N1024" s="247"/>
      <c r="O1024" s="247"/>
      <c r="P1024" s="247"/>
      <c r="Q1024" s="247"/>
      <c r="R1024" s="247"/>
      <c r="S1024" s="247"/>
      <c r="T1024" s="247"/>
      <c r="U1024" s="247"/>
      <c r="V1024" s="247"/>
      <c r="W1024" s="247"/>
      <c r="X1024" s="247"/>
      <c r="Y1024" s="247"/>
      <c r="Z1024" s="247"/>
      <c r="AA1024" s="247"/>
      <c r="AB1024" s="247"/>
    </row>
    <row r="1025">
      <c r="A1025" s="247"/>
      <c r="B1025" s="441"/>
      <c r="C1025" s="441"/>
      <c r="D1025" s="441"/>
      <c r="E1025" s="247"/>
      <c r="F1025" s="247"/>
      <c r="G1025" s="247"/>
      <c r="H1025" s="247"/>
      <c r="I1025" s="247"/>
      <c r="J1025" s="247"/>
      <c r="K1025" s="247"/>
      <c r="L1025" s="247"/>
      <c r="M1025" s="247"/>
      <c r="N1025" s="247"/>
      <c r="O1025" s="247"/>
      <c r="P1025" s="247"/>
      <c r="Q1025" s="247"/>
      <c r="R1025" s="247"/>
      <c r="S1025" s="247"/>
      <c r="T1025" s="247"/>
      <c r="U1025" s="247"/>
      <c r="V1025" s="247"/>
      <c r="W1025" s="247"/>
      <c r="X1025" s="247"/>
      <c r="Y1025" s="247"/>
      <c r="Z1025" s="247"/>
      <c r="AA1025" s="247"/>
      <c r="AB1025" s="247"/>
    </row>
    <row r="1026">
      <c r="A1026" s="247"/>
      <c r="B1026" s="441"/>
      <c r="C1026" s="441"/>
      <c r="D1026" s="441"/>
      <c r="E1026" s="247"/>
      <c r="F1026" s="247"/>
      <c r="G1026" s="247"/>
      <c r="H1026" s="247"/>
      <c r="I1026" s="247"/>
      <c r="J1026" s="247"/>
      <c r="K1026" s="247"/>
      <c r="L1026" s="247"/>
      <c r="M1026" s="247"/>
      <c r="N1026" s="247"/>
      <c r="O1026" s="247"/>
      <c r="P1026" s="247"/>
      <c r="Q1026" s="247"/>
      <c r="R1026" s="247"/>
      <c r="S1026" s="247"/>
      <c r="T1026" s="247"/>
      <c r="U1026" s="247"/>
      <c r="V1026" s="247"/>
      <c r="W1026" s="247"/>
      <c r="X1026" s="247"/>
      <c r="Y1026" s="247"/>
      <c r="Z1026" s="247"/>
      <c r="AA1026" s="247"/>
      <c r="AB1026" s="247"/>
    </row>
    <row r="1027">
      <c r="A1027" s="247"/>
      <c r="B1027" s="441"/>
      <c r="C1027" s="441"/>
      <c r="D1027" s="441"/>
      <c r="E1027" s="247"/>
      <c r="F1027" s="247"/>
      <c r="G1027" s="247"/>
      <c r="H1027" s="247"/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  <c r="S1027" s="247"/>
      <c r="T1027" s="247"/>
      <c r="U1027" s="247"/>
      <c r="V1027" s="247"/>
      <c r="W1027" s="247"/>
      <c r="X1027" s="247"/>
      <c r="Y1027" s="247"/>
      <c r="Z1027" s="247"/>
      <c r="AA1027" s="247"/>
      <c r="AB1027" s="247"/>
    </row>
    <row r="1028">
      <c r="A1028" s="247"/>
      <c r="B1028" s="441"/>
      <c r="C1028" s="441"/>
      <c r="D1028" s="441"/>
      <c r="E1028" s="247"/>
      <c r="F1028" s="247"/>
      <c r="G1028" s="247"/>
      <c r="H1028" s="247"/>
      <c r="I1028" s="247"/>
      <c r="J1028" s="247"/>
      <c r="K1028" s="247"/>
      <c r="L1028" s="247"/>
      <c r="M1028" s="247"/>
      <c r="N1028" s="247"/>
      <c r="O1028" s="247"/>
      <c r="P1028" s="247"/>
      <c r="Q1028" s="247"/>
      <c r="R1028" s="247"/>
      <c r="S1028" s="247"/>
      <c r="T1028" s="247"/>
      <c r="U1028" s="247"/>
      <c r="V1028" s="247"/>
      <c r="W1028" s="247"/>
      <c r="X1028" s="247"/>
      <c r="Y1028" s="247"/>
      <c r="Z1028" s="247"/>
      <c r="AA1028" s="247"/>
      <c r="AB1028" s="247"/>
    </row>
    <row r="1029">
      <c r="A1029" s="247"/>
      <c r="B1029" s="441"/>
      <c r="C1029" s="441"/>
      <c r="D1029" s="441"/>
      <c r="E1029" s="247"/>
      <c r="F1029" s="247"/>
      <c r="G1029" s="247"/>
      <c r="H1029" s="247"/>
      <c r="I1029" s="247"/>
      <c r="J1029" s="247"/>
      <c r="K1029" s="247"/>
      <c r="L1029" s="247"/>
      <c r="M1029" s="247"/>
      <c r="N1029" s="247"/>
      <c r="O1029" s="247"/>
      <c r="P1029" s="247"/>
      <c r="Q1029" s="247"/>
      <c r="R1029" s="247"/>
      <c r="S1029" s="247"/>
      <c r="T1029" s="247"/>
      <c r="U1029" s="247"/>
      <c r="V1029" s="247"/>
      <c r="W1029" s="247"/>
      <c r="X1029" s="247"/>
      <c r="Y1029" s="247"/>
      <c r="Z1029" s="247"/>
      <c r="AA1029" s="247"/>
      <c r="AB1029" s="247"/>
    </row>
    <row r="1030">
      <c r="A1030" s="247"/>
      <c r="B1030" s="441"/>
      <c r="C1030" s="441"/>
      <c r="D1030" s="441"/>
      <c r="E1030" s="247"/>
      <c r="F1030" s="247"/>
      <c r="G1030" s="247"/>
      <c r="H1030" s="247"/>
      <c r="I1030" s="247"/>
      <c r="J1030" s="247"/>
      <c r="K1030" s="247"/>
      <c r="L1030" s="247"/>
      <c r="M1030" s="247"/>
      <c r="N1030" s="247"/>
      <c r="O1030" s="247"/>
      <c r="P1030" s="247"/>
      <c r="Q1030" s="247"/>
      <c r="R1030" s="247"/>
      <c r="S1030" s="247"/>
      <c r="T1030" s="247"/>
      <c r="U1030" s="247"/>
      <c r="V1030" s="247"/>
      <c r="W1030" s="247"/>
      <c r="X1030" s="247"/>
      <c r="Y1030" s="247"/>
      <c r="Z1030" s="247"/>
      <c r="AA1030" s="247"/>
      <c r="AB1030" s="247"/>
    </row>
    <row r="1031">
      <c r="A1031" s="247"/>
      <c r="B1031" s="441"/>
      <c r="C1031" s="441"/>
      <c r="D1031" s="441"/>
      <c r="E1031" s="247"/>
      <c r="F1031" s="247"/>
      <c r="G1031" s="247"/>
      <c r="H1031" s="247"/>
      <c r="I1031" s="247"/>
      <c r="J1031" s="247"/>
      <c r="K1031" s="247"/>
      <c r="L1031" s="247"/>
      <c r="M1031" s="247"/>
      <c r="N1031" s="247"/>
      <c r="O1031" s="247"/>
      <c r="P1031" s="247"/>
      <c r="Q1031" s="247"/>
      <c r="R1031" s="247"/>
      <c r="S1031" s="247"/>
      <c r="T1031" s="247"/>
      <c r="U1031" s="247"/>
      <c r="V1031" s="247"/>
      <c r="W1031" s="247"/>
      <c r="X1031" s="247"/>
      <c r="Y1031" s="247"/>
      <c r="Z1031" s="247"/>
      <c r="AA1031" s="247"/>
      <c r="AB1031" s="247"/>
    </row>
    <row r="1032">
      <c r="A1032" s="247"/>
      <c r="B1032" s="441"/>
      <c r="C1032" s="441"/>
      <c r="D1032" s="441"/>
      <c r="E1032" s="247"/>
      <c r="F1032" s="247"/>
      <c r="G1032" s="247"/>
      <c r="H1032" s="247"/>
      <c r="I1032" s="247"/>
      <c r="J1032" s="247"/>
      <c r="K1032" s="247"/>
      <c r="L1032" s="247"/>
      <c r="M1032" s="247"/>
      <c r="N1032" s="247"/>
      <c r="O1032" s="247"/>
      <c r="P1032" s="247"/>
      <c r="Q1032" s="247"/>
      <c r="R1032" s="247"/>
      <c r="S1032" s="247"/>
      <c r="T1032" s="247"/>
      <c r="U1032" s="247"/>
      <c r="V1032" s="247"/>
      <c r="W1032" s="247"/>
      <c r="X1032" s="247"/>
      <c r="Y1032" s="247"/>
      <c r="Z1032" s="247"/>
      <c r="AA1032" s="247"/>
      <c r="AB1032" s="247"/>
    </row>
    <row r="1033">
      <c r="A1033" s="247"/>
      <c r="B1033" s="441"/>
      <c r="C1033" s="441"/>
      <c r="D1033" s="441"/>
      <c r="E1033" s="247"/>
      <c r="F1033" s="247"/>
      <c r="G1033" s="247"/>
      <c r="H1033" s="247"/>
      <c r="I1033" s="247"/>
      <c r="J1033" s="247"/>
      <c r="K1033" s="247"/>
      <c r="L1033" s="247"/>
      <c r="M1033" s="247"/>
      <c r="N1033" s="247"/>
      <c r="O1033" s="247"/>
      <c r="P1033" s="247"/>
      <c r="Q1033" s="247"/>
      <c r="R1033" s="247"/>
      <c r="S1033" s="247"/>
      <c r="T1033" s="247"/>
      <c r="U1033" s="247"/>
      <c r="V1033" s="247"/>
      <c r="W1033" s="247"/>
      <c r="X1033" s="247"/>
      <c r="Y1033" s="247"/>
      <c r="Z1033" s="247"/>
      <c r="AA1033" s="247"/>
      <c r="AB1033" s="247"/>
    </row>
    <row r="1034">
      <c r="A1034" s="247"/>
      <c r="B1034" s="441"/>
      <c r="C1034" s="441"/>
      <c r="D1034" s="441"/>
      <c r="E1034" s="247"/>
      <c r="F1034" s="247"/>
      <c r="G1034" s="247"/>
      <c r="H1034" s="247"/>
      <c r="I1034" s="247"/>
      <c r="J1034" s="247"/>
      <c r="K1034" s="247"/>
      <c r="L1034" s="247"/>
      <c r="M1034" s="247"/>
      <c r="N1034" s="247"/>
      <c r="O1034" s="247"/>
      <c r="P1034" s="247"/>
      <c r="Q1034" s="247"/>
      <c r="R1034" s="247"/>
      <c r="S1034" s="247"/>
      <c r="T1034" s="247"/>
      <c r="U1034" s="247"/>
      <c r="V1034" s="247"/>
      <c r="W1034" s="247"/>
      <c r="X1034" s="247"/>
      <c r="Y1034" s="247"/>
      <c r="Z1034" s="247"/>
      <c r="AA1034" s="247"/>
      <c r="AB1034" s="247"/>
    </row>
    <row r="1035">
      <c r="A1035" s="247"/>
      <c r="B1035" s="441"/>
      <c r="C1035" s="441"/>
      <c r="D1035" s="441"/>
      <c r="E1035" s="247"/>
      <c r="F1035" s="247"/>
      <c r="G1035" s="247"/>
      <c r="H1035" s="247"/>
      <c r="I1035" s="247"/>
      <c r="J1035" s="247"/>
      <c r="K1035" s="247"/>
      <c r="L1035" s="247"/>
      <c r="M1035" s="247"/>
      <c r="N1035" s="247"/>
      <c r="O1035" s="247"/>
      <c r="P1035" s="247"/>
      <c r="Q1035" s="247"/>
      <c r="R1035" s="247"/>
      <c r="S1035" s="247"/>
      <c r="T1035" s="247"/>
      <c r="U1035" s="247"/>
      <c r="V1035" s="247"/>
      <c r="W1035" s="247"/>
      <c r="X1035" s="247"/>
      <c r="Y1035" s="247"/>
      <c r="Z1035" s="247"/>
      <c r="AA1035" s="247"/>
      <c r="AB1035" s="247"/>
    </row>
    <row r="1036">
      <c r="A1036" s="247"/>
      <c r="B1036" s="441"/>
      <c r="C1036" s="441"/>
      <c r="D1036" s="441"/>
      <c r="E1036" s="247"/>
      <c r="F1036" s="247"/>
      <c r="G1036" s="247"/>
      <c r="H1036" s="247"/>
      <c r="I1036" s="247"/>
      <c r="J1036" s="247"/>
      <c r="K1036" s="247"/>
      <c r="L1036" s="247"/>
      <c r="M1036" s="247"/>
      <c r="N1036" s="247"/>
      <c r="O1036" s="247"/>
      <c r="P1036" s="247"/>
      <c r="Q1036" s="247"/>
      <c r="R1036" s="247"/>
      <c r="S1036" s="247"/>
      <c r="T1036" s="247"/>
      <c r="U1036" s="247"/>
      <c r="V1036" s="247"/>
      <c r="W1036" s="247"/>
      <c r="X1036" s="247"/>
      <c r="Y1036" s="247"/>
      <c r="Z1036" s="247"/>
      <c r="AA1036" s="247"/>
      <c r="AB1036" s="247"/>
    </row>
    <row r="1037">
      <c r="A1037" s="247"/>
      <c r="B1037" s="441"/>
      <c r="C1037" s="441"/>
      <c r="D1037" s="441"/>
      <c r="E1037" s="247"/>
      <c r="F1037" s="247"/>
      <c r="G1037" s="247"/>
      <c r="H1037" s="247"/>
      <c r="I1037" s="247"/>
      <c r="J1037" s="247"/>
      <c r="K1037" s="247"/>
      <c r="L1037" s="247"/>
      <c r="M1037" s="247"/>
      <c r="N1037" s="247"/>
      <c r="O1037" s="247"/>
      <c r="P1037" s="247"/>
      <c r="Q1037" s="247"/>
      <c r="R1037" s="247"/>
      <c r="S1037" s="247"/>
      <c r="T1037" s="247"/>
      <c r="U1037" s="247"/>
      <c r="V1037" s="247"/>
      <c r="W1037" s="247"/>
      <c r="X1037" s="247"/>
      <c r="Y1037" s="247"/>
      <c r="Z1037" s="247"/>
      <c r="AA1037" s="247"/>
      <c r="AB1037" s="247"/>
    </row>
    <row r="1038">
      <c r="A1038" s="247"/>
      <c r="B1038" s="441"/>
      <c r="C1038" s="441"/>
      <c r="D1038" s="441"/>
      <c r="E1038" s="247"/>
      <c r="F1038" s="247"/>
      <c r="G1038" s="247"/>
      <c r="H1038" s="247"/>
      <c r="I1038" s="247"/>
      <c r="J1038" s="247"/>
      <c r="K1038" s="247"/>
      <c r="L1038" s="247"/>
      <c r="M1038" s="247"/>
      <c r="N1038" s="247"/>
      <c r="O1038" s="247"/>
      <c r="P1038" s="247"/>
      <c r="Q1038" s="247"/>
      <c r="R1038" s="247"/>
      <c r="S1038" s="247"/>
      <c r="T1038" s="247"/>
      <c r="U1038" s="247"/>
      <c r="V1038" s="247"/>
      <c r="W1038" s="247"/>
      <c r="X1038" s="247"/>
      <c r="Y1038" s="247"/>
      <c r="Z1038" s="247"/>
      <c r="AA1038" s="247"/>
      <c r="AB1038" s="247"/>
    </row>
    <row r="1039">
      <c r="A1039" s="247"/>
      <c r="B1039" s="441"/>
      <c r="C1039" s="441"/>
      <c r="D1039" s="441"/>
      <c r="E1039" s="247"/>
      <c r="F1039" s="247"/>
      <c r="G1039" s="247"/>
      <c r="H1039" s="247"/>
      <c r="I1039" s="247"/>
      <c r="J1039" s="247"/>
      <c r="K1039" s="247"/>
      <c r="L1039" s="247"/>
      <c r="M1039" s="247"/>
      <c r="N1039" s="247"/>
      <c r="O1039" s="247"/>
      <c r="P1039" s="247"/>
      <c r="Q1039" s="247"/>
      <c r="R1039" s="247"/>
      <c r="S1039" s="247"/>
      <c r="T1039" s="247"/>
      <c r="U1039" s="247"/>
      <c r="V1039" s="247"/>
      <c r="W1039" s="247"/>
      <c r="X1039" s="247"/>
      <c r="Y1039" s="247"/>
      <c r="Z1039" s="247"/>
      <c r="AA1039" s="247"/>
      <c r="AB1039" s="247"/>
    </row>
    <row r="1040">
      <c r="A1040" s="247"/>
      <c r="B1040" s="441"/>
      <c r="C1040" s="441"/>
      <c r="D1040" s="441"/>
      <c r="E1040" s="247"/>
      <c r="F1040" s="247"/>
      <c r="G1040" s="247"/>
      <c r="H1040" s="247"/>
      <c r="I1040" s="247"/>
      <c r="J1040" s="247"/>
      <c r="K1040" s="247"/>
      <c r="L1040" s="247"/>
      <c r="M1040" s="247"/>
      <c r="N1040" s="247"/>
      <c r="O1040" s="247"/>
      <c r="P1040" s="247"/>
      <c r="Q1040" s="247"/>
      <c r="R1040" s="247"/>
      <c r="S1040" s="247"/>
      <c r="T1040" s="247"/>
      <c r="U1040" s="247"/>
      <c r="V1040" s="247"/>
      <c r="W1040" s="247"/>
      <c r="X1040" s="247"/>
      <c r="Y1040" s="247"/>
      <c r="Z1040" s="247"/>
      <c r="AA1040" s="247"/>
      <c r="AB1040" s="247"/>
    </row>
    <row r="1041">
      <c r="A1041" s="247"/>
      <c r="B1041" s="441"/>
      <c r="C1041" s="441"/>
      <c r="D1041" s="441"/>
      <c r="E1041" s="247"/>
      <c r="F1041" s="247"/>
      <c r="G1041" s="247"/>
      <c r="H1041" s="247"/>
      <c r="I1041" s="247"/>
      <c r="J1041" s="247"/>
      <c r="K1041" s="247"/>
      <c r="L1041" s="247"/>
      <c r="M1041" s="247"/>
      <c r="N1041" s="247"/>
      <c r="O1041" s="247"/>
      <c r="P1041" s="247"/>
      <c r="Q1041" s="247"/>
      <c r="R1041" s="247"/>
      <c r="S1041" s="247"/>
      <c r="T1041" s="247"/>
      <c r="U1041" s="247"/>
      <c r="V1041" s="247"/>
      <c r="W1041" s="247"/>
      <c r="X1041" s="247"/>
      <c r="Y1041" s="247"/>
      <c r="Z1041" s="247"/>
      <c r="AA1041" s="247"/>
      <c r="AB1041" s="247"/>
    </row>
    <row r="1042">
      <c r="A1042" s="247"/>
      <c r="B1042" s="441"/>
      <c r="C1042" s="441"/>
      <c r="D1042" s="441"/>
      <c r="E1042" s="247"/>
      <c r="F1042" s="247"/>
      <c r="G1042" s="247"/>
      <c r="H1042" s="247"/>
      <c r="I1042" s="247"/>
      <c r="J1042" s="247"/>
      <c r="K1042" s="247"/>
      <c r="L1042" s="247"/>
      <c r="M1042" s="247"/>
      <c r="N1042" s="247"/>
      <c r="O1042" s="247"/>
      <c r="P1042" s="247"/>
      <c r="Q1042" s="247"/>
      <c r="R1042" s="247"/>
      <c r="S1042" s="247"/>
      <c r="T1042" s="247"/>
      <c r="U1042" s="247"/>
      <c r="V1042" s="247"/>
      <c r="W1042" s="247"/>
      <c r="X1042" s="247"/>
      <c r="Y1042" s="247"/>
      <c r="Z1042" s="247"/>
      <c r="AA1042" s="247"/>
      <c r="AB1042" s="247"/>
    </row>
    <row r="1043">
      <c r="A1043" s="247"/>
      <c r="B1043" s="441"/>
      <c r="C1043" s="441"/>
      <c r="D1043" s="441"/>
      <c r="E1043" s="247"/>
      <c r="F1043" s="247"/>
      <c r="G1043" s="247"/>
      <c r="H1043" s="247"/>
      <c r="I1043" s="247"/>
      <c r="J1043" s="247"/>
      <c r="K1043" s="247"/>
      <c r="L1043" s="247"/>
      <c r="M1043" s="247"/>
      <c r="N1043" s="247"/>
      <c r="O1043" s="247"/>
      <c r="P1043" s="247"/>
      <c r="Q1043" s="247"/>
      <c r="R1043" s="247"/>
      <c r="S1043" s="247"/>
      <c r="T1043" s="247"/>
      <c r="U1043" s="247"/>
      <c r="V1043" s="247"/>
      <c r="W1043" s="247"/>
      <c r="X1043" s="247"/>
      <c r="Y1043" s="247"/>
      <c r="Z1043" s="247"/>
      <c r="AA1043" s="247"/>
      <c r="AB1043" s="247"/>
    </row>
    <row r="1044">
      <c r="A1044" s="247"/>
      <c r="B1044" s="441"/>
      <c r="C1044" s="441"/>
      <c r="D1044" s="441"/>
      <c r="E1044" s="247"/>
      <c r="F1044" s="247"/>
      <c r="G1044" s="247"/>
      <c r="H1044" s="247"/>
      <c r="I1044" s="247"/>
      <c r="J1044" s="247"/>
      <c r="K1044" s="247"/>
      <c r="L1044" s="247"/>
      <c r="M1044" s="247"/>
      <c r="N1044" s="247"/>
      <c r="O1044" s="247"/>
      <c r="P1044" s="247"/>
      <c r="Q1044" s="247"/>
      <c r="R1044" s="247"/>
      <c r="S1044" s="247"/>
      <c r="T1044" s="247"/>
      <c r="U1044" s="247"/>
      <c r="V1044" s="247"/>
      <c r="W1044" s="247"/>
      <c r="X1044" s="247"/>
      <c r="Y1044" s="247"/>
      <c r="Z1044" s="247"/>
      <c r="AA1044" s="247"/>
      <c r="AB1044" s="247"/>
    </row>
    <row r="1045">
      <c r="A1045" s="247"/>
      <c r="B1045" s="441"/>
      <c r="C1045" s="441"/>
      <c r="D1045" s="441"/>
      <c r="E1045" s="247"/>
      <c r="F1045" s="247"/>
      <c r="G1045" s="247"/>
      <c r="H1045" s="247"/>
      <c r="I1045" s="247"/>
      <c r="J1045" s="247"/>
      <c r="K1045" s="247"/>
      <c r="L1045" s="247"/>
      <c r="M1045" s="247"/>
      <c r="N1045" s="247"/>
      <c r="O1045" s="247"/>
      <c r="P1045" s="247"/>
      <c r="Q1045" s="247"/>
      <c r="R1045" s="247"/>
      <c r="S1045" s="247"/>
      <c r="T1045" s="247"/>
      <c r="U1045" s="247"/>
      <c r="V1045" s="247"/>
      <c r="W1045" s="247"/>
      <c r="X1045" s="247"/>
      <c r="Y1045" s="247"/>
      <c r="Z1045" s="247"/>
      <c r="AA1045" s="247"/>
      <c r="AB1045" s="247"/>
    </row>
    <row r="1046">
      <c r="A1046" s="247"/>
      <c r="B1046" s="441"/>
      <c r="C1046" s="441"/>
      <c r="D1046" s="441"/>
      <c r="E1046" s="247"/>
      <c r="F1046" s="247"/>
      <c r="G1046" s="247"/>
      <c r="H1046" s="247"/>
      <c r="I1046" s="247"/>
      <c r="J1046" s="247"/>
      <c r="K1046" s="247"/>
      <c r="L1046" s="247"/>
      <c r="M1046" s="247"/>
      <c r="N1046" s="247"/>
      <c r="O1046" s="247"/>
      <c r="P1046" s="247"/>
      <c r="Q1046" s="247"/>
      <c r="R1046" s="247"/>
      <c r="S1046" s="247"/>
      <c r="T1046" s="247"/>
      <c r="U1046" s="247"/>
      <c r="V1046" s="247"/>
      <c r="W1046" s="247"/>
      <c r="X1046" s="247"/>
      <c r="Y1046" s="247"/>
      <c r="Z1046" s="247"/>
      <c r="AA1046" s="247"/>
      <c r="AB1046" s="247"/>
    </row>
    <row r="1047">
      <c r="A1047" s="247"/>
      <c r="B1047" s="441"/>
      <c r="C1047" s="441"/>
      <c r="D1047" s="441"/>
      <c r="E1047" s="247"/>
      <c r="F1047" s="247"/>
      <c r="G1047" s="247"/>
      <c r="H1047" s="247"/>
      <c r="I1047" s="247"/>
      <c r="J1047" s="247"/>
      <c r="K1047" s="247"/>
      <c r="L1047" s="247"/>
      <c r="M1047" s="247"/>
      <c r="N1047" s="247"/>
      <c r="O1047" s="247"/>
      <c r="P1047" s="247"/>
      <c r="Q1047" s="247"/>
      <c r="R1047" s="247"/>
      <c r="S1047" s="247"/>
      <c r="T1047" s="247"/>
      <c r="U1047" s="247"/>
      <c r="V1047" s="247"/>
      <c r="W1047" s="247"/>
      <c r="X1047" s="247"/>
      <c r="Y1047" s="247"/>
      <c r="Z1047" s="247"/>
      <c r="AA1047" s="247"/>
      <c r="AB1047" s="247"/>
    </row>
    <row r="1048">
      <c r="A1048" s="247"/>
      <c r="B1048" s="441"/>
      <c r="C1048" s="441"/>
      <c r="D1048" s="441"/>
      <c r="E1048" s="247"/>
      <c r="F1048" s="247"/>
      <c r="G1048" s="247"/>
      <c r="H1048" s="247"/>
      <c r="I1048" s="247"/>
      <c r="J1048" s="247"/>
      <c r="K1048" s="247"/>
      <c r="L1048" s="247"/>
      <c r="M1048" s="247"/>
      <c r="N1048" s="247"/>
      <c r="O1048" s="247"/>
      <c r="P1048" s="247"/>
      <c r="Q1048" s="247"/>
      <c r="R1048" s="247"/>
      <c r="S1048" s="247"/>
      <c r="T1048" s="247"/>
      <c r="U1048" s="247"/>
      <c r="V1048" s="247"/>
      <c r="W1048" s="247"/>
      <c r="X1048" s="247"/>
      <c r="Y1048" s="247"/>
      <c r="Z1048" s="247"/>
      <c r="AA1048" s="247"/>
      <c r="AB1048" s="247"/>
    </row>
    <row r="1049">
      <c r="A1049" s="247"/>
      <c r="B1049" s="441"/>
      <c r="C1049" s="441"/>
      <c r="D1049" s="441"/>
      <c r="E1049" s="247"/>
      <c r="F1049" s="247"/>
      <c r="G1049" s="247"/>
      <c r="H1049" s="247"/>
      <c r="I1049" s="247"/>
      <c r="J1049" s="247"/>
      <c r="K1049" s="247"/>
      <c r="L1049" s="247"/>
      <c r="M1049" s="247"/>
      <c r="N1049" s="247"/>
      <c r="O1049" s="247"/>
      <c r="P1049" s="247"/>
      <c r="Q1049" s="247"/>
      <c r="R1049" s="247"/>
      <c r="S1049" s="247"/>
      <c r="T1049" s="247"/>
      <c r="U1049" s="247"/>
      <c r="V1049" s="247"/>
      <c r="W1049" s="247"/>
      <c r="X1049" s="247"/>
      <c r="Y1049" s="247"/>
      <c r="Z1049" s="247"/>
      <c r="AA1049" s="247"/>
      <c r="AB1049" s="247"/>
    </row>
    <row r="1050">
      <c r="A1050" s="247"/>
      <c r="B1050" s="441"/>
      <c r="C1050" s="441"/>
      <c r="D1050" s="441"/>
      <c r="E1050" s="247"/>
      <c r="F1050" s="247"/>
      <c r="G1050" s="247"/>
      <c r="H1050" s="247"/>
      <c r="I1050" s="247"/>
      <c r="J1050" s="247"/>
      <c r="K1050" s="247"/>
      <c r="L1050" s="247"/>
      <c r="M1050" s="247"/>
      <c r="N1050" s="247"/>
      <c r="O1050" s="247"/>
      <c r="P1050" s="247"/>
      <c r="Q1050" s="247"/>
      <c r="R1050" s="247"/>
      <c r="S1050" s="247"/>
      <c r="T1050" s="247"/>
      <c r="U1050" s="247"/>
      <c r="V1050" s="247"/>
      <c r="W1050" s="247"/>
      <c r="X1050" s="247"/>
      <c r="Y1050" s="247"/>
      <c r="Z1050" s="247"/>
      <c r="AA1050" s="247"/>
      <c r="AB1050" s="247"/>
    </row>
    <row r="1051">
      <c r="A1051" s="247"/>
      <c r="B1051" s="441"/>
      <c r="C1051" s="441"/>
      <c r="D1051" s="441"/>
      <c r="E1051" s="247"/>
      <c r="F1051" s="247"/>
      <c r="G1051" s="247"/>
      <c r="H1051" s="247"/>
      <c r="I1051" s="247"/>
      <c r="J1051" s="247"/>
      <c r="K1051" s="247"/>
      <c r="L1051" s="247"/>
      <c r="M1051" s="247"/>
      <c r="N1051" s="247"/>
      <c r="O1051" s="247"/>
      <c r="P1051" s="247"/>
      <c r="Q1051" s="247"/>
      <c r="R1051" s="247"/>
      <c r="S1051" s="247"/>
      <c r="T1051" s="247"/>
      <c r="U1051" s="247"/>
      <c r="V1051" s="247"/>
      <c r="W1051" s="247"/>
      <c r="X1051" s="247"/>
      <c r="Y1051" s="247"/>
      <c r="Z1051" s="247"/>
      <c r="AA1051" s="247"/>
      <c r="AB1051" s="247"/>
    </row>
    <row r="1052">
      <c r="A1052" s="247"/>
      <c r="B1052" s="441"/>
      <c r="C1052" s="441"/>
      <c r="D1052" s="441"/>
      <c r="E1052" s="247"/>
      <c r="F1052" s="247"/>
      <c r="G1052" s="247"/>
      <c r="H1052" s="247"/>
      <c r="I1052" s="247"/>
      <c r="J1052" s="247"/>
      <c r="K1052" s="247"/>
      <c r="L1052" s="247"/>
      <c r="M1052" s="247"/>
      <c r="N1052" s="247"/>
      <c r="O1052" s="247"/>
      <c r="P1052" s="247"/>
      <c r="Q1052" s="247"/>
      <c r="R1052" s="247"/>
      <c r="S1052" s="247"/>
      <c r="T1052" s="247"/>
      <c r="U1052" s="247"/>
      <c r="V1052" s="247"/>
      <c r="W1052" s="247"/>
      <c r="X1052" s="247"/>
      <c r="Y1052" s="247"/>
      <c r="Z1052" s="247"/>
      <c r="AA1052" s="247"/>
      <c r="AB1052" s="247"/>
    </row>
    <row r="1053">
      <c r="A1053" s="247"/>
      <c r="B1053" s="441"/>
      <c r="C1053" s="441"/>
      <c r="D1053" s="441"/>
      <c r="E1053" s="247"/>
      <c r="F1053" s="247"/>
      <c r="G1053" s="247"/>
      <c r="H1053" s="247"/>
      <c r="I1053" s="247"/>
      <c r="J1053" s="247"/>
      <c r="K1053" s="247"/>
      <c r="L1053" s="247"/>
      <c r="M1053" s="247"/>
      <c r="N1053" s="247"/>
      <c r="O1053" s="247"/>
      <c r="P1053" s="247"/>
      <c r="Q1053" s="247"/>
      <c r="R1053" s="247"/>
      <c r="S1053" s="247"/>
      <c r="T1053" s="247"/>
      <c r="U1053" s="247"/>
      <c r="V1053" s="247"/>
      <c r="W1053" s="247"/>
      <c r="X1053" s="247"/>
      <c r="Y1053" s="247"/>
      <c r="Z1053" s="247"/>
      <c r="AA1053" s="247"/>
      <c r="AB1053" s="247"/>
    </row>
    <row r="1054">
      <c r="A1054" s="247"/>
      <c r="B1054" s="441"/>
      <c r="C1054" s="441"/>
      <c r="D1054" s="441"/>
      <c r="E1054" s="247"/>
      <c r="F1054" s="247"/>
      <c r="G1054" s="247"/>
      <c r="H1054" s="247"/>
      <c r="I1054" s="247"/>
      <c r="J1054" s="247"/>
      <c r="K1054" s="247"/>
      <c r="L1054" s="247"/>
      <c r="M1054" s="247"/>
      <c r="N1054" s="247"/>
      <c r="O1054" s="247"/>
      <c r="P1054" s="247"/>
      <c r="Q1054" s="247"/>
      <c r="R1054" s="247"/>
      <c r="S1054" s="247"/>
      <c r="T1054" s="247"/>
      <c r="U1054" s="247"/>
      <c r="V1054" s="247"/>
      <c r="W1054" s="247"/>
      <c r="X1054" s="247"/>
      <c r="Y1054" s="247"/>
      <c r="Z1054" s="247"/>
      <c r="AA1054" s="247"/>
      <c r="AB1054" s="247"/>
    </row>
    <row r="1055">
      <c r="A1055" s="247"/>
      <c r="B1055" s="441"/>
      <c r="C1055" s="441"/>
      <c r="D1055" s="441"/>
      <c r="E1055" s="247"/>
      <c r="F1055" s="247"/>
      <c r="G1055" s="247"/>
      <c r="H1055" s="247"/>
      <c r="I1055" s="247"/>
      <c r="J1055" s="247"/>
      <c r="K1055" s="247"/>
      <c r="L1055" s="247"/>
      <c r="M1055" s="247"/>
      <c r="N1055" s="247"/>
      <c r="O1055" s="247"/>
      <c r="P1055" s="247"/>
      <c r="Q1055" s="247"/>
      <c r="R1055" s="247"/>
      <c r="S1055" s="247"/>
      <c r="T1055" s="247"/>
      <c r="U1055" s="247"/>
      <c r="V1055" s="247"/>
      <c r="W1055" s="247"/>
      <c r="X1055" s="247"/>
      <c r="Y1055" s="247"/>
      <c r="Z1055" s="247"/>
      <c r="AA1055" s="247"/>
      <c r="AB1055" s="247"/>
    </row>
    <row r="1056">
      <c r="A1056" s="247"/>
      <c r="B1056" s="441"/>
      <c r="C1056" s="441"/>
      <c r="D1056" s="441"/>
      <c r="E1056" s="247"/>
      <c r="F1056" s="247"/>
      <c r="G1056" s="247"/>
      <c r="H1056" s="247"/>
      <c r="I1056" s="247"/>
      <c r="J1056" s="247"/>
      <c r="K1056" s="247"/>
      <c r="L1056" s="247"/>
      <c r="M1056" s="247"/>
      <c r="N1056" s="247"/>
      <c r="O1056" s="247"/>
      <c r="P1056" s="247"/>
      <c r="Q1056" s="247"/>
      <c r="R1056" s="247"/>
      <c r="S1056" s="247"/>
      <c r="T1056" s="247"/>
      <c r="U1056" s="247"/>
      <c r="V1056" s="247"/>
      <c r="W1056" s="247"/>
      <c r="X1056" s="247"/>
      <c r="Y1056" s="247"/>
      <c r="Z1056" s="247"/>
      <c r="AA1056" s="247"/>
      <c r="AB1056" s="247"/>
    </row>
    <row r="1057">
      <c r="A1057" s="247"/>
      <c r="B1057" s="441"/>
      <c r="C1057" s="441"/>
      <c r="D1057" s="441"/>
      <c r="E1057" s="247"/>
      <c r="F1057" s="247"/>
      <c r="G1057" s="247"/>
      <c r="H1057" s="247"/>
      <c r="I1057" s="247"/>
      <c r="J1057" s="247"/>
      <c r="K1057" s="247"/>
      <c r="L1057" s="247"/>
      <c r="M1057" s="247"/>
      <c r="N1057" s="247"/>
      <c r="O1057" s="247"/>
      <c r="P1057" s="247"/>
      <c r="Q1057" s="247"/>
      <c r="R1057" s="247"/>
      <c r="S1057" s="247"/>
      <c r="T1057" s="247"/>
      <c r="U1057" s="247"/>
      <c r="V1057" s="247"/>
      <c r="W1057" s="247"/>
      <c r="X1057" s="247"/>
      <c r="Y1057" s="247"/>
      <c r="Z1057" s="247"/>
      <c r="AA1057" s="247"/>
      <c r="AB1057" s="247"/>
    </row>
    <row r="1058">
      <c r="A1058" s="247"/>
      <c r="B1058" s="441"/>
      <c r="C1058" s="441"/>
      <c r="D1058" s="441"/>
      <c r="E1058" s="247"/>
      <c r="F1058" s="247"/>
      <c r="G1058" s="247"/>
      <c r="H1058" s="247"/>
      <c r="I1058" s="247"/>
      <c r="J1058" s="247"/>
      <c r="K1058" s="247"/>
      <c r="L1058" s="247"/>
      <c r="M1058" s="247"/>
      <c r="N1058" s="247"/>
      <c r="O1058" s="247"/>
      <c r="P1058" s="247"/>
      <c r="Q1058" s="247"/>
      <c r="R1058" s="247"/>
      <c r="S1058" s="247"/>
      <c r="T1058" s="247"/>
      <c r="U1058" s="247"/>
      <c r="V1058" s="247"/>
      <c r="W1058" s="247"/>
      <c r="X1058" s="247"/>
      <c r="Y1058" s="247"/>
      <c r="Z1058" s="247"/>
      <c r="AA1058" s="247"/>
      <c r="AB1058" s="247"/>
    </row>
    <row r="1059">
      <c r="A1059" s="247"/>
      <c r="B1059" s="441"/>
      <c r="C1059" s="441"/>
      <c r="D1059" s="441"/>
      <c r="E1059" s="247"/>
      <c r="F1059" s="247"/>
      <c r="G1059" s="247"/>
      <c r="H1059" s="247"/>
      <c r="I1059" s="247"/>
      <c r="J1059" s="247"/>
      <c r="K1059" s="247"/>
      <c r="L1059" s="247"/>
      <c r="M1059" s="247"/>
      <c r="N1059" s="247"/>
      <c r="O1059" s="247"/>
      <c r="P1059" s="247"/>
      <c r="Q1059" s="247"/>
      <c r="R1059" s="247"/>
      <c r="S1059" s="247"/>
      <c r="T1059" s="247"/>
      <c r="U1059" s="247"/>
      <c r="V1059" s="247"/>
      <c r="W1059" s="247"/>
      <c r="X1059" s="247"/>
      <c r="Y1059" s="247"/>
      <c r="Z1059" s="247"/>
      <c r="AA1059" s="247"/>
      <c r="AB1059" s="247"/>
    </row>
    <row r="1060">
      <c r="A1060" s="247"/>
      <c r="B1060" s="441"/>
      <c r="C1060" s="441"/>
      <c r="D1060" s="441"/>
      <c r="E1060" s="247"/>
      <c r="F1060" s="247"/>
      <c r="G1060" s="247"/>
      <c r="H1060" s="247"/>
      <c r="I1060" s="247"/>
      <c r="J1060" s="247"/>
      <c r="K1060" s="247"/>
      <c r="L1060" s="247"/>
      <c r="M1060" s="247"/>
      <c r="N1060" s="247"/>
      <c r="O1060" s="247"/>
      <c r="P1060" s="247"/>
      <c r="Q1060" s="247"/>
      <c r="R1060" s="247"/>
      <c r="S1060" s="247"/>
      <c r="T1060" s="247"/>
      <c r="U1060" s="247"/>
      <c r="V1060" s="247"/>
      <c r="W1060" s="247"/>
      <c r="X1060" s="247"/>
      <c r="Y1060" s="247"/>
      <c r="Z1060" s="247"/>
      <c r="AA1060" s="247"/>
      <c r="AB1060" s="247"/>
    </row>
    <row r="1061">
      <c r="A1061" s="247"/>
      <c r="B1061" s="441"/>
      <c r="C1061" s="441"/>
      <c r="D1061" s="441"/>
      <c r="E1061" s="247"/>
      <c r="F1061" s="247"/>
      <c r="G1061" s="247"/>
      <c r="H1061" s="247"/>
      <c r="I1061" s="247"/>
      <c r="J1061" s="247"/>
      <c r="K1061" s="247"/>
      <c r="L1061" s="247"/>
      <c r="M1061" s="247"/>
      <c r="N1061" s="247"/>
      <c r="O1061" s="247"/>
      <c r="P1061" s="247"/>
      <c r="Q1061" s="247"/>
      <c r="R1061" s="247"/>
      <c r="S1061" s="247"/>
      <c r="T1061" s="247"/>
      <c r="U1061" s="247"/>
      <c r="V1061" s="247"/>
      <c r="W1061" s="247"/>
      <c r="X1061" s="247"/>
      <c r="Y1061" s="247"/>
      <c r="Z1061" s="247"/>
      <c r="AA1061" s="247"/>
      <c r="AB1061" s="247"/>
    </row>
    <row r="1062">
      <c r="A1062" s="247"/>
      <c r="B1062" s="441"/>
      <c r="C1062" s="441"/>
      <c r="D1062" s="441"/>
      <c r="E1062" s="247"/>
      <c r="F1062" s="247"/>
      <c r="G1062" s="247"/>
      <c r="H1062" s="247"/>
      <c r="I1062" s="247"/>
      <c r="J1062" s="247"/>
      <c r="K1062" s="247"/>
      <c r="L1062" s="247"/>
      <c r="M1062" s="247"/>
      <c r="N1062" s="247"/>
      <c r="O1062" s="247"/>
      <c r="P1062" s="247"/>
      <c r="Q1062" s="247"/>
      <c r="R1062" s="247"/>
      <c r="S1062" s="247"/>
      <c r="T1062" s="247"/>
      <c r="U1062" s="247"/>
      <c r="V1062" s="247"/>
      <c r="W1062" s="247"/>
      <c r="X1062" s="247"/>
      <c r="Y1062" s="247"/>
      <c r="Z1062" s="247"/>
      <c r="AA1062" s="247"/>
      <c r="AB1062" s="247"/>
    </row>
    <row r="1063">
      <c r="A1063" s="247"/>
      <c r="B1063" s="441"/>
      <c r="C1063" s="441"/>
      <c r="D1063" s="441"/>
      <c r="E1063" s="247"/>
      <c r="F1063" s="247"/>
      <c r="G1063" s="247"/>
      <c r="H1063" s="247"/>
      <c r="I1063" s="247"/>
      <c r="J1063" s="247"/>
      <c r="K1063" s="247"/>
      <c r="L1063" s="247"/>
      <c r="M1063" s="247"/>
      <c r="N1063" s="247"/>
      <c r="O1063" s="247"/>
      <c r="P1063" s="247"/>
      <c r="Q1063" s="247"/>
      <c r="R1063" s="247"/>
      <c r="S1063" s="247"/>
      <c r="T1063" s="247"/>
      <c r="U1063" s="247"/>
      <c r="V1063" s="247"/>
      <c r="W1063" s="247"/>
      <c r="X1063" s="247"/>
      <c r="Y1063" s="247"/>
      <c r="Z1063" s="247"/>
      <c r="AA1063" s="247"/>
      <c r="AB1063" s="247"/>
    </row>
    <row r="1064">
      <c r="A1064" s="247"/>
      <c r="B1064" s="441"/>
      <c r="C1064" s="441"/>
      <c r="D1064" s="441"/>
      <c r="E1064" s="247"/>
      <c r="F1064" s="247"/>
      <c r="G1064" s="247"/>
      <c r="H1064" s="247"/>
      <c r="I1064" s="247"/>
      <c r="J1064" s="247"/>
      <c r="K1064" s="247"/>
      <c r="L1064" s="247"/>
      <c r="M1064" s="247"/>
      <c r="N1064" s="247"/>
      <c r="O1064" s="247"/>
      <c r="P1064" s="247"/>
      <c r="Q1064" s="247"/>
      <c r="R1064" s="247"/>
      <c r="S1064" s="247"/>
      <c r="T1064" s="247"/>
      <c r="U1064" s="247"/>
      <c r="V1064" s="247"/>
      <c r="W1064" s="247"/>
      <c r="X1064" s="247"/>
      <c r="Y1064" s="247"/>
      <c r="Z1064" s="247"/>
      <c r="AA1064" s="247"/>
      <c r="AB1064" s="247"/>
    </row>
    <row r="1065">
      <c r="A1065" s="247"/>
      <c r="B1065" s="441"/>
      <c r="C1065" s="441"/>
      <c r="D1065" s="441"/>
      <c r="E1065" s="247"/>
      <c r="F1065" s="247"/>
      <c r="G1065" s="247"/>
      <c r="H1065" s="247"/>
      <c r="I1065" s="247"/>
      <c r="J1065" s="247"/>
      <c r="K1065" s="247"/>
      <c r="L1065" s="247"/>
      <c r="M1065" s="247"/>
      <c r="N1065" s="247"/>
      <c r="O1065" s="247"/>
      <c r="P1065" s="247"/>
      <c r="Q1065" s="247"/>
      <c r="R1065" s="247"/>
      <c r="S1065" s="247"/>
      <c r="T1065" s="247"/>
      <c r="U1065" s="247"/>
      <c r="V1065" s="247"/>
      <c r="W1065" s="247"/>
      <c r="X1065" s="247"/>
      <c r="Y1065" s="247"/>
      <c r="Z1065" s="247"/>
      <c r="AA1065" s="247"/>
      <c r="AB1065" s="247"/>
    </row>
    <row r="1066">
      <c r="A1066" s="247"/>
      <c r="B1066" s="441"/>
      <c r="C1066" s="441"/>
      <c r="D1066" s="441"/>
      <c r="E1066" s="247"/>
      <c r="F1066" s="247"/>
      <c r="G1066" s="247"/>
      <c r="H1066" s="247"/>
      <c r="I1066" s="247"/>
      <c r="J1066" s="247"/>
      <c r="K1066" s="247"/>
      <c r="L1066" s="247"/>
      <c r="M1066" s="247"/>
      <c r="N1066" s="247"/>
      <c r="O1066" s="247"/>
      <c r="P1066" s="247"/>
      <c r="Q1066" s="247"/>
      <c r="R1066" s="247"/>
      <c r="S1066" s="247"/>
      <c r="T1066" s="247"/>
      <c r="U1066" s="247"/>
      <c r="V1066" s="247"/>
      <c r="W1066" s="247"/>
      <c r="X1066" s="247"/>
      <c r="Y1066" s="247"/>
      <c r="Z1066" s="247"/>
      <c r="AA1066" s="247"/>
      <c r="AB1066" s="247"/>
    </row>
    <row r="1067">
      <c r="A1067" s="247"/>
      <c r="B1067" s="441"/>
      <c r="C1067" s="441"/>
      <c r="D1067" s="441"/>
      <c r="E1067" s="247"/>
      <c r="F1067" s="247"/>
      <c r="G1067" s="247"/>
      <c r="H1067" s="247"/>
      <c r="I1067" s="247"/>
      <c r="J1067" s="247"/>
      <c r="K1067" s="247"/>
      <c r="L1067" s="247"/>
      <c r="M1067" s="247"/>
      <c r="N1067" s="247"/>
      <c r="O1067" s="247"/>
      <c r="P1067" s="247"/>
      <c r="Q1067" s="247"/>
      <c r="R1067" s="247"/>
      <c r="S1067" s="247"/>
      <c r="T1067" s="247"/>
      <c r="U1067" s="247"/>
      <c r="V1067" s="247"/>
      <c r="W1067" s="247"/>
      <c r="X1067" s="247"/>
      <c r="Y1067" s="247"/>
      <c r="Z1067" s="247"/>
      <c r="AA1067" s="247"/>
      <c r="AB1067" s="247"/>
    </row>
    <row r="1068">
      <c r="A1068" s="247"/>
      <c r="B1068" s="441"/>
      <c r="C1068" s="441"/>
      <c r="D1068" s="441"/>
      <c r="E1068" s="247"/>
      <c r="F1068" s="247"/>
      <c r="G1068" s="247"/>
      <c r="H1068" s="247"/>
      <c r="I1068" s="247"/>
      <c r="J1068" s="247"/>
      <c r="K1068" s="247"/>
      <c r="L1068" s="247"/>
      <c r="M1068" s="247"/>
      <c r="N1068" s="247"/>
      <c r="O1068" s="247"/>
      <c r="P1068" s="247"/>
      <c r="Q1068" s="247"/>
      <c r="R1068" s="247"/>
      <c r="S1068" s="247"/>
      <c r="T1068" s="247"/>
      <c r="U1068" s="247"/>
      <c r="V1068" s="247"/>
      <c r="W1068" s="247"/>
      <c r="X1068" s="247"/>
      <c r="Y1068" s="247"/>
      <c r="Z1068" s="247"/>
      <c r="AA1068" s="247"/>
      <c r="AB1068" s="247"/>
    </row>
    <row r="1069">
      <c r="A1069" s="247"/>
      <c r="B1069" s="441"/>
      <c r="C1069" s="441"/>
      <c r="D1069" s="441"/>
      <c r="E1069" s="247"/>
      <c r="F1069" s="247"/>
      <c r="G1069" s="247"/>
      <c r="H1069" s="247"/>
      <c r="I1069" s="247"/>
      <c r="J1069" s="247"/>
      <c r="K1069" s="247"/>
      <c r="L1069" s="247"/>
      <c r="M1069" s="247"/>
      <c r="N1069" s="247"/>
      <c r="O1069" s="247"/>
      <c r="P1069" s="247"/>
      <c r="Q1069" s="247"/>
      <c r="R1069" s="247"/>
      <c r="S1069" s="247"/>
      <c r="T1069" s="247"/>
      <c r="U1069" s="247"/>
      <c r="V1069" s="247"/>
      <c r="W1069" s="247"/>
      <c r="X1069" s="247"/>
      <c r="Y1069" s="247"/>
      <c r="Z1069" s="247"/>
      <c r="AA1069" s="247"/>
      <c r="AB1069" s="247"/>
    </row>
    <row r="1070">
      <c r="A1070" s="247"/>
      <c r="B1070" s="441"/>
      <c r="C1070" s="441"/>
      <c r="D1070" s="441"/>
      <c r="E1070" s="247"/>
      <c r="F1070" s="247"/>
      <c r="G1070" s="247"/>
      <c r="H1070" s="247"/>
      <c r="I1070" s="247"/>
      <c r="J1070" s="247"/>
      <c r="K1070" s="247"/>
      <c r="L1070" s="247"/>
      <c r="M1070" s="247"/>
      <c r="N1070" s="247"/>
      <c r="O1070" s="247"/>
      <c r="P1070" s="247"/>
      <c r="Q1070" s="247"/>
      <c r="R1070" s="247"/>
      <c r="S1070" s="247"/>
      <c r="T1070" s="247"/>
      <c r="U1070" s="247"/>
      <c r="V1070" s="247"/>
      <c r="W1070" s="247"/>
      <c r="X1070" s="247"/>
      <c r="Y1070" s="247"/>
      <c r="Z1070" s="247"/>
      <c r="AA1070" s="247"/>
      <c r="AB1070" s="247"/>
    </row>
    <row r="1071">
      <c r="A1071" s="247"/>
      <c r="B1071" s="441"/>
      <c r="C1071" s="441"/>
      <c r="D1071" s="441"/>
      <c r="E1071" s="247"/>
      <c r="F1071" s="247"/>
      <c r="G1071" s="247"/>
      <c r="H1071" s="247"/>
      <c r="I1071" s="247"/>
      <c r="J1071" s="247"/>
      <c r="K1071" s="247"/>
      <c r="L1071" s="247"/>
      <c r="M1071" s="247"/>
      <c r="N1071" s="247"/>
      <c r="O1071" s="247"/>
      <c r="P1071" s="247"/>
      <c r="Q1071" s="247"/>
      <c r="R1071" s="247"/>
      <c r="S1071" s="247"/>
      <c r="T1071" s="247"/>
      <c r="U1071" s="247"/>
      <c r="V1071" s="247"/>
      <c r="W1071" s="247"/>
      <c r="X1071" s="247"/>
      <c r="Y1071" s="247"/>
      <c r="Z1071" s="247"/>
      <c r="AA1071" s="247"/>
      <c r="AB1071" s="247"/>
    </row>
    <row r="1072">
      <c r="A1072" s="247"/>
      <c r="B1072" s="441"/>
      <c r="C1072" s="441"/>
      <c r="D1072" s="441"/>
      <c r="E1072" s="247"/>
      <c r="F1072" s="247"/>
      <c r="G1072" s="247"/>
      <c r="H1072" s="247"/>
      <c r="I1072" s="247"/>
      <c r="J1072" s="247"/>
      <c r="K1072" s="247"/>
      <c r="L1072" s="247"/>
      <c r="M1072" s="247"/>
      <c r="N1072" s="247"/>
      <c r="O1072" s="247"/>
      <c r="P1072" s="247"/>
      <c r="Q1072" s="247"/>
      <c r="R1072" s="247"/>
      <c r="S1072" s="247"/>
      <c r="T1072" s="247"/>
      <c r="U1072" s="247"/>
      <c r="V1072" s="247"/>
      <c r="W1072" s="247"/>
      <c r="X1072" s="247"/>
      <c r="Y1072" s="247"/>
      <c r="Z1072" s="247"/>
      <c r="AA1072" s="247"/>
      <c r="AB1072" s="247"/>
    </row>
    <row r="1073">
      <c r="A1073" s="247"/>
      <c r="B1073" s="441"/>
      <c r="C1073" s="441"/>
      <c r="D1073" s="441"/>
      <c r="E1073" s="247"/>
      <c r="F1073" s="247"/>
      <c r="G1073" s="247"/>
      <c r="H1073" s="247"/>
      <c r="I1073" s="247"/>
      <c r="J1073" s="247"/>
      <c r="K1073" s="247"/>
      <c r="L1073" s="247"/>
      <c r="M1073" s="247"/>
      <c r="N1073" s="247"/>
      <c r="O1073" s="247"/>
      <c r="P1073" s="247"/>
      <c r="Q1073" s="247"/>
      <c r="R1073" s="247"/>
      <c r="S1073" s="247"/>
      <c r="T1073" s="247"/>
      <c r="U1073" s="247"/>
      <c r="V1073" s="247"/>
      <c r="W1073" s="247"/>
      <c r="X1073" s="247"/>
      <c r="Y1073" s="247"/>
      <c r="Z1073" s="247"/>
      <c r="AA1073" s="247"/>
      <c r="AB1073" s="247"/>
    </row>
    <row r="1074">
      <c r="A1074" s="247"/>
      <c r="B1074" s="441"/>
      <c r="C1074" s="441"/>
      <c r="D1074" s="441"/>
      <c r="E1074" s="247"/>
      <c r="F1074" s="247"/>
      <c r="G1074" s="247"/>
      <c r="H1074" s="247"/>
      <c r="I1074" s="247"/>
      <c r="J1074" s="247"/>
      <c r="K1074" s="247"/>
      <c r="L1074" s="247"/>
      <c r="M1074" s="247"/>
      <c r="N1074" s="247"/>
      <c r="O1074" s="247"/>
      <c r="P1074" s="247"/>
      <c r="Q1074" s="247"/>
      <c r="R1074" s="247"/>
      <c r="S1074" s="247"/>
      <c r="T1074" s="247"/>
      <c r="U1074" s="247"/>
      <c r="V1074" s="247"/>
      <c r="W1074" s="247"/>
      <c r="X1074" s="247"/>
      <c r="Y1074" s="247"/>
      <c r="Z1074" s="247"/>
      <c r="AA1074" s="247"/>
      <c r="AB1074" s="247"/>
    </row>
    <row r="1075">
      <c r="A1075" s="247"/>
      <c r="B1075" s="441"/>
      <c r="C1075" s="441"/>
      <c r="D1075" s="441"/>
      <c r="E1075" s="247"/>
      <c r="F1075" s="247"/>
      <c r="G1075" s="247"/>
      <c r="H1075" s="247"/>
      <c r="I1075" s="247"/>
      <c r="J1075" s="247"/>
      <c r="K1075" s="247"/>
      <c r="L1075" s="247"/>
      <c r="M1075" s="247"/>
      <c r="N1075" s="247"/>
      <c r="O1075" s="247"/>
      <c r="P1075" s="247"/>
      <c r="Q1075" s="247"/>
      <c r="R1075" s="247"/>
      <c r="S1075" s="247"/>
      <c r="T1075" s="247"/>
      <c r="U1075" s="247"/>
      <c r="V1075" s="247"/>
      <c r="W1075" s="247"/>
      <c r="X1075" s="247"/>
      <c r="Y1075" s="247"/>
      <c r="Z1075" s="247"/>
      <c r="AA1075" s="247"/>
      <c r="AB1075" s="247"/>
    </row>
    <row r="1076">
      <c r="A1076" s="247"/>
      <c r="B1076" s="441"/>
      <c r="C1076" s="441"/>
      <c r="D1076" s="441"/>
      <c r="E1076" s="247"/>
      <c r="F1076" s="247"/>
      <c r="G1076" s="247"/>
      <c r="H1076" s="247"/>
      <c r="I1076" s="247"/>
      <c r="J1076" s="247"/>
      <c r="K1076" s="247"/>
      <c r="L1076" s="247"/>
      <c r="M1076" s="247"/>
      <c r="N1076" s="247"/>
      <c r="O1076" s="247"/>
      <c r="P1076" s="247"/>
      <c r="Q1076" s="247"/>
      <c r="R1076" s="247"/>
      <c r="S1076" s="247"/>
      <c r="T1076" s="247"/>
      <c r="U1076" s="247"/>
      <c r="V1076" s="247"/>
      <c r="W1076" s="247"/>
      <c r="X1076" s="247"/>
      <c r="Y1076" s="247"/>
      <c r="Z1076" s="247"/>
      <c r="AA1076" s="247"/>
      <c r="AB1076" s="247"/>
    </row>
    <row r="1077">
      <c r="A1077" s="247"/>
      <c r="B1077" s="441"/>
      <c r="C1077" s="441"/>
      <c r="D1077" s="441"/>
      <c r="E1077" s="247"/>
      <c r="F1077" s="247"/>
      <c r="G1077" s="247"/>
      <c r="H1077" s="247"/>
      <c r="I1077" s="247"/>
      <c r="J1077" s="247"/>
      <c r="K1077" s="247"/>
      <c r="L1077" s="247"/>
      <c r="M1077" s="247"/>
      <c r="N1077" s="247"/>
      <c r="O1077" s="247"/>
      <c r="P1077" s="247"/>
      <c r="Q1077" s="247"/>
      <c r="R1077" s="247"/>
      <c r="S1077" s="247"/>
      <c r="T1077" s="247"/>
      <c r="U1077" s="247"/>
      <c r="V1077" s="247"/>
      <c r="W1077" s="247"/>
      <c r="X1077" s="247"/>
      <c r="Y1077" s="247"/>
      <c r="Z1077" s="247"/>
      <c r="AA1077" s="247"/>
      <c r="AB1077" s="247"/>
    </row>
    <row r="1078">
      <c r="A1078" s="247"/>
      <c r="B1078" s="441"/>
      <c r="C1078" s="441"/>
      <c r="D1078" s="441"/>
      <c r="E1078" s="247"/>
      <c r="F1078" s="247"/>
      <c r="G1078" s="247"/>
      <c r="H1078" s="247"/>
      <c r="I1078" s="247"/>
      <c r="J1078" s="247"/>
      <c r="K1078" s="247"/>
      <c r="L1078" s="247"/>
      <c r="M1078" s="247"/>
      <c r="N1078" s="247"/>
      <c r="O1078" s="247"/>
      <c r="P1078" s="247"/>
      <c r="Q1078" s="247"/>
      <c r="R1078" s="247"/>
      <c r="S1078" s="247"/>
      <c r="T1078" s="247"/>
      <c r="U1078" s="247"/>
      <c r="V1078" s="247"/>
      <c r="W1078" s="247"/>
      <c r="X1078" s="247"/>
      <c r="Y1078" s="247"/>
      <c r="Z1078" s="247"/>
      <c r="AA1078" s="247"/>
      <c r="AB1078" s="247"/>
    </row>
    <row r="1079">
      <c r="A1079" s="247"/>
      <c r="B1079" s="441"/>
      <c r="C1079" s="441"/>
      <c r="D1079" s="441"/>
      <c r="E1079" s="247"/>
      <c r="F1079" s="247"/>
      <c r="G1079" s="247"/>
      <c r="H1079" s="247"/>
      <c r="I1079" s="247"/>
      <c r="J1079" s="247"/>
      <c r="K1079" s="247"/>
      <c r="L1079" s="247"/>
      <c r="M1079" s="247"/>
      <c r="N1079" s="247"/>
      <c r="O1079" s="247"/>
      <c r="P1079" s="247"/>
      <c r="Q1079" s="247"/>
      <c r="R1079" s="247"/>
      <c r="S1079" s="247"/>
      <c r="T1079" s="247"/>
      <c r="U1079" s="247"/>
      <c r="V1079" s="247"/>
      <c r="W1079" s="247"/>
      <c r="X1079" s="247"/>
      <c r="Y1079" s="247"/>
      <c r="Z1079" s="247"/>
      <c r="AA1079" s="247"/>
      <c r="AB1079" s="247"/>
    </row>
    <row r="1080">
      <c r="A1080" s="247"/>
      <c r="B1080" s="441"/>
      <c r="C1080" s="441"/>
      <c r="D1080" s="441"/>
      <c r="E1080" s="247"/>
      <c r="F1080" s="247"/>
      <c r="G1080" s="247"/>
      <c r="H1080" s="247"/>
      <c r="I1080" s="247"/>
      <c r="J1080" s="247"/>
      <c r="K1080" s="247"/>
      <c r="L1080" s="247"/>
      <c r="M1080" s="247"/>
      <c r="N1080" s="247"/>
      <c r="O1080" s="247"/>
      <c r="P1080" s="247"/>
      <c r="Q1080" s="247"/>
      <c r="R1080" s="247"/>
      <c r="S1080" s="247"/>
      <c r="T1080" s="247"/>
      <c r="U1080" s="247"/>
      <c r="V1080" s="247"/>
      <c r="W1080" s="247"/>
      <c r="X1080" s="247"/>
      <c r="Y1080" s="247"/>
      <c r="Z1080" s="247"/>
      <c r="AA1080" s="247"/>
      <c r="AB1080" s="247"/>
    </row>
    <row r="1081">
      <c r="A1081" s="247"/>
      <c r="B1081" s="441"/>
      <c r="C1081" s="441"/>
      <c r="D1081" s="441"/>
      <c r="E1081" s="247"/>
      <c r="F1081" s="247"/>
      <c r="G1081" s="247"/>
      <c r="H1081" s="247"/>
      <c r="I1081" s="247"/>
      <c r="J1081" s="247"/>
      <c r="K1081" s="247"/>
      <c r="L1081" s="247"/>
      <c r="M1081" s="247"/>
      <c r="N1081" s="247"/>
      <c r="O1081" s="247"/>
      <c r="P1081" s="247"/>
      <c r="Q1081" s="247"/>
      <c r="R1081" s="247"/>
      <c r="S1081" s="247"/>
      <c r="T1081" s="247"/>
      <c r="U1081" s="247"/>
      <c r="V1081" s="247"/>
      <c r="W1081" s="247"/>
      <c r="X1081" s="247"/>
      <c r="Y1081" s="247"/>
      <c r="Z1081" s="247"/>
      <c r="AA1081" s="247"/>
      <c r="AB1081" s="247"/>
    </row>
    <row r="1082">
      <c r="A1082" s="247"/>
      <c r="B1082" s="441"/>
      <c r="C1082" s="441"/>
      <c r="D1082" s="441"/>
      <c r="E1082" s="247"/>
      <c r="F1082" s="247"/>
      <c r="G1082" s="247"/>
      <c r="H1082" s="247"/>
      <c r="I1082" s="247"/>
      <c r="J1082" s="247"/>
      <c r="K1082" s="247"/>
      <c r="L1082" s="247"/>
      <c r="M1082" s="247"/>
      <c r="N1082" s="247"/>
      <c r="O1082" s="247"/>
      <c r="P1082" s="247"/>
      <c r="Q1082" s="247"/>
      <c r="R1082" s="247"/>
      <c r="S1082" s="247"/>
      <c r="T1082" s="247"/>
      <c r="U1082" s="247"/>
      <c r="V1082" s="247"/>
      <c r="W1082" s="247"/>
      <c r="X1082" s="247"/>
      <c r="Y1082" s="247"/>
      <c r="Z1082" s="247"/>
      <c r="AA1082" s="247"/>
      <c r="AB1082" s="247"/>
    </row>
    <row r="1083">
      <c r="A1083" s="247"/>
      <c r="B1083" s="441"/>
      <c r="C1083" s="441"/>
      <c r="D1083" s="441"/>
      <c r="E1083" s="247"/>
      <c r="F1083" s="247"/>
      <c r="G1083" s="247"/>
      <c r="H1083" s="247"/>
      <c r="I1083" s="247"/>
      <c r="J1083" s="247"/>
      <c r="K1083" s="247"/>
      <c r="L1083" s="247"/>
      <c r="M1083" s="247"/>
      <c r="N1083" s="247"/>
      <c r="O1083" s="247"/>
      <c r="P1083" s="247"/>
      <c r="Q1083" s="247"/>
      <c r="R1083" s="247"/>
      <c r="S1083" s="247"/>
      <c r="T1083" s="247"/>
      <c r="U1083" s="247"/>
      <c r="V1083" s="247"/>
      <c r="W1083" s="247"/>
      <c r="X1083" s="247"/>
      <c r="Y1083" s="247"/>
      <c r="Z1083" s="247"/>
      <c r="AA1083" s="247"/>
      <c r="AB1083" s="247"/>
    </row>
    <row r="1084">
      <c r="A1084" s="247"/>
      <c r="B1084" s="441"/>
      <c r="C1084" s="441"/>
      <c r="D1084" s="441"/>
      <c r="E1084" s="247"/>
      <c r="F1084" s="247"/>
      <c r="G1084" s="247"/>
      <c r="H1084" s="247"/>
      <c r="I1084" s="247"/>
      <c r="J1084" s="247"/>
      <c r="K1084" s="247"/>
      <c r="L1084" s="247"/>
      <c r="M1084" s="247"/>
      <c r="N1084" s="247"/>
      <c r="O1084" s="247"/>
      <c r="P1084" s="247"/>
      <c r="Q1084" s="247"/>
      <c r="R1084" s="247"/>
      <c r="S1084" s="247"/>
      <c r="T1084" s="247"/>
      <c r="U1084" s="247"/>
      <c r="V1084" s="247"/>
      <c r="W1084" s="247"/>
      <c r="X1084" s="247"/>
      <c r="Y1084" s="247"/>
      <c r="Z1084" s="247"/>
      <c r="AA1084" s="247"/>
      <c r="AB1084" s="247"/>
    </row>
    <row r="1085">
      <c r="A1085" s="247"/>
      <c r="B1085" s="441"/>
      <c r="C1085" s="441"/>
      <c r="D1085" s="441"/>
      <c r="E1085" s="247"/>
      <c r="F1085" s="247"/>
      <c r="G1085" s="247"/>
      <c r="H1085" s="247"/>
      <c r="I1085" s="247"/>
      <c r="J1085" s="247"/>
      <c r="K1085" s="247"/>
      <c r="L1085" s="247"/>
      <c r="M1085" s="247"/>
      <c r="N1085" s="247"/>
      <c r="O1085" s="247"/>
      <c r="P1085" s="247"/>
      <c r="Q1085" s="247"/>
      <c r="R1085" s="247"/>
      <c r="S1085" s="247"/>
      <c r="T1085" s="247"/>
      <c r="U1085" s="247"/>
      <c r="V1085" s="247"/>
      <c r="W1085" s="247"/>
      <c r="X1085" s="247"/>
      <c r="Y1085" s="247"/>
      <c r="Z1085" s="247"/>
      <c r="AA1085" s="247"/>
      <c r="AB1085" s="247"/>
    </row>
    <row r="1086">
      <c r="A1086" s="247"/>
      <c r="B1086" s="441"/>
      <c r="C1086" s="441"/>
      <c r="D1086" s="441"/>
      <c r="E1086" s="247"/>
      <c r="F1086" s="247"/>
      <c r="G1086" s="247"/>
      <c r="H1086" s="247"/>
      <c r="I1086" s="247"/>
      <c r="J1086" s="247"/>
      <c r="K1086" s="247"/>
      <c r="L1086" s="247"/>
      <c r="M1086" s="247"/>
      <c r="N1086" s="247"/>
      <c r="O1086" s="247"/>
      <c r="P1086" s="247"/>
      <c r="Q1086" s="247"/>
      <c r="R1086" s="247"/>
      <c r="S1086" s="247"/>
      <c r="T1086" s="247"/>
      <c r="U1086" s="247"/>
      <c r="V1086" s="247"/>
      <c r="W1086" s="247"/>
      <c r="X1086" s="247"/>
      <c r="Y1086" s="247"/>
      <c r="Z1086" s="247"/>
      <c r="AA1086" s="247"/>
      <c r="AB1086" s="247"/>
    </row>
    <row r="1087">
      <c r="A1087" s="247"/>
      <c r="B1087" s="441"/>
      <c r="C1087" s="441"/>
      <c r="D1087" s="441"/>
      <c r="E1087" s="247"/>
      <c r="F1087" s="247"/>
      <c r="G1087" s="247"/>
      <c r="H1087" s="247"/>
      <c r="I1087" s="247"/>
      <c r="J1087" s="247"/>
      <c r="K1087" s="247"/>
      <c r="L1087" s="247"/>
      <c r="M1087" s="247"/>
      <c r="N1087" s="247"/>
      <c r="O1087" s="247"/>
      <c r="P1087" s="247"/>
      <c r="Q1087" s="247"/>
      <c r="R1087" s="247"/>
      <c r="S1087" s="247"/>
      <c r="T1087" s="247"/>
      <c r="U1087" s="247"/>
      <c r="V1087" s="247"/>
      <c r="W1087" s="247"/>
      <c r="X1087" s="247"/>
      <c r="Y1087" s="247"/>
      <c r="Z1087" s="247"/>
      <c r="AA1087" s="247"/>
      <c r="AB1087" s="247"/>
    </row>
    <row r="1088">
      <c r="A1088" s="247"/>
      <c r="B1088" s="441"/>
      <c r="C1088" s="441"/>
      <c r="D1088" s="441"/>
      <c r="E1088" s="247"/>
      <c r="F1088" s="247"/>
      <c r="G1088" s="247"/>
      <c r="H1088" s="247"/>
      <c r="I1088" s="247"/>
      <c r="J1088" s="247"/>
      <c r="K1088" s="247"/>
      <c r="L1088" s="247"/>
      <c r="M1088" s="247"/>
      <c r="N1088" s="247"/>
      <c r="O1088" s="247"/>
      <c r="P1088" s="247"/>
      <c r="Q1088" s="247"/>
      <c r="R1088" s="247"/>
      <c r="S1088" s="247"/>
      <c r="T1088" s="247"/>
      <c r="U1088" s="247"/>
      <c r="V1088" s="247"/>
      <c r="W1088" s="247"/>
      <c r="X1088" s="247"/>
      <c r="Y1088" s="247"/>
      <c r="Z1088" s="247"/>
      <c r="AA1088" s="247"/>
      <c r="AB1088" s="247"/>
    </row>
    <row r="1089">
      <c r="A1089" s="247"/>
      <c r="B1089" s="441"/>
      <c r="C1089" s="441"/>
      <c r="D1089" s="441"/>
      <c r="E1089" s="247"/>
      <c r="F1089" s="247"/>
      <c r="G1089" s="247"/>
      <c r="H1089" s="247"/>
      <c r="I1089" s="247"/>
      <c r="J1089" s="247"/>
      <c r="K1089" s="247"/>
      <c r="L1089" s="247"/>
      <c r="M1089" s="247"/>
      <c r="N1089" s="247"/>
      <c r="O1089" s="247"/>
      <c r="P1089" s="247"/>
      <c r="Q1089" s="247"/>
      <c r="R1089" s="247"/>
      <c r="S1089" s="247"/>
      <c r="T1089" s="247"/>
      <c r="U1089" s="247"/>
      <c r="V1089" s="247"/>
      <c r="W1089" s="247"/>
      <c r="X1089" s="247"/>
      <c r="Y1089" s="247"/>
      <c r="Z1089" s="247"/>
      <c r="AA1089" s="247"/>
      <c r="AB1089" s="247"/>
    </row>
    <row r="1090">
      <c r="A1090" s="247"/>
      <c r="B1090" s="441"/>
      <c r="C1090" s="441"/>
      <c r="D1090" s="441"/>
      <c r="E1090" s="247"/>
      <c r="F1090" s="247"/>
      <c r="G1090" s="247"/>
      <c r="H1090" s="247"/>
      <c r="I1090" s="247"/>
      <c r="J1090" s="247"/>
      <c r="K1090" s="247"/>
      <c r="L1090" s="247"/>
      <c r="M1090" s="247"/>
      <c r="N1090" s="247"/>
      <c r="O1090" s="247"/>
      <c r="P1090" s="247"/>
      <c r="Q1090" s="247"/>
      <c r="R1090" s="247"/>
      <c r="S1090" s="247"/>
      <c r="T1090" s="247"/>
      <c r="U1090" s="247"/>
      <c r="V1090" s="247"/>
      <c r="W1090" s="247"/>
      <c r="X1090" s="247"/>
      <c r="Y1090" s="247"/>
      <c r="Z1090" s="247"/>
      <c r="AA1090" s="247"/>
      <c r="AB1090" s="247"/>
    </row>
    <row r="1091">
      <c r="A1091" s="247"/>
      <c r="B1091" s="441"/>
      <c r="C1091" s="441"/>
      <c r="D1091" s="441"/>
      <c r="E1091" s="247"/>
      <c r="F1091" s="247"/>
      <c r="G1091" s="247"/>
      <c r="H1091" s="247"/>
      <c r="I1091" s="247"/>
      <c r="J1091" s="247"/>
      <c r="K1091" s="247"/>
      <c r="L1091" s="247"/>
      <c r="M1091" s="247"/>
      <c r="N1091" s="247"/>
      <c r="O1091" s="247"/>
      <c r="P1091" s="247"/>
      <c r="Q1091" s="247"/>
      <c r="R1091" s="247"/>
      <c r="S1091" s="247"/>
      <c r="T1091" s="247"/>
      <c r="U1091" s="247"/>
      <c r="V1091" s="247"/>
      <c r="W1091" s="247"/>
      <c r="X1091" s="247"/>
      <c r="Y1091" s="247"/>
      <c r="Z1091" s="247"/>
      <c r="AA1091" s="247"/>
      <c r="AB1091" s="247"/>
    </row>
    <row r="1092">
      <c r="A1092" s="247"/>
      <c r="B1092" s="441"/>
      <c r="C1092" s="441"/>
      <c r="D1092" s="441"/>
      <c r="E1092" s="247"/>
      <c r="F1092" s="247"/>
      <c r="G1092" s="247"/>
      <c r="H1092" s="247"/>
      <c r="I1092" s="247"/>
      <c r="J1092" s="247"/>
      <c r="K1092" s="247"/>
      <c r="L1092" s="247"/>
      <c r="M1092" s="247"/>
      <c r="N1092" s="247"/>
      <c r="O1092" s="247"/>
      <c r="P1092" s="247"/>
      <c r="Q1092" s="247"/>
      <c r="R1092" s="247"/>
      <c r="S1092" s="247"/>
      <c r="T1092" s="247"/>
      <c r="U1092" s="247"/>
      <c r="V1092" s="247"/>
      <c r="W1092" s="247"/>
      <c r="X1092" s="247"/>
      <c r="Y1092" s="247"/>
      <c r="Z1092" s="247"/>
      <c r="AA1092" s="247"/>
      <c r="AB1092" s="247"/>
    </row>
    <row r="1093">
      <c r="A1093" s="247"/>
      <c r="B1093" s="441"/>
      <c r="C1093" s="441"/>
      <c r="D1093" s="441"/>
      <c r="E1093" s="247"/>
      <c r="F1093" s="247"/>
      <c r="G1093" s="247"/>
      <c r="H1093" s="247"/>
      <c r="I1093" s="247"/>
      <c r="J1093" s="247"/>
      <c r="K1093" s="247"/>
      <c r="L1093" s="247"/>
      <c r="M1093" s="247"/>
      <c r="N1093" s="247"/>
      <c r="O1093" s="247"/>
      <c r="P1093" s="247"/>
      <c r="Q1093" s="247"/>
      <c r="R1093" s="247"/>
      <c r="S1093" s="247"/>
      <c r="T1093" s="247"/>
      <c r="U1093" s="247"/>
      <c r="V1093" s="247"/>
      <c r="W1093" s="247"/>
      <c r="X1093" s="247"/>
      <c r="Y1093" s="247"/>
      <c r="Z1093" s="247"/>
      <c r="AA1093" s="247"/>
      <c r="AB1093" s="247"/>
    </row>
    <row r="1094">
      <c r="A1094" s="247"/>
      <c r="B1094" s="441"/>
      <c r="C1094" s="441"/>
      <c r="D1094" s="441"/>
      <c r="E1094" s="247"/>
      <c r="F1094" s="247"/>
      <c r="G1094" s="247"/>
      <c r="H1094" s="247"/>
      <c r="I1094" s="247"/>
      <c r="J1094" s="247"/>
      <c r="K1094" s="247"/>
      <c r="L1094" s="247"/>
      <c r="M1094" s="247"/>
      <c r="N1094" s="247"/>
      <c r="O1094" s="247"/>
      <c r="P1094" s="247"/>
      <c r="Q1094" s="247"/>
      <c r="R1094" s="247"/>
      <c r="S1094" s="247"/>
      <c r="T1094" s="247"/>
      <c r="U1094" s="247"/>
      <c r="V1094" s="247"/>
      <c r="W1094" s="247"/>
      <c r="X1094" s="247"/>
      <c r="Y1094" s="247"/>
      <c r="Z1094" s="247"/>
      <c r="AA1094" s="247"/>
      <c r="AB1094" s="247"/>
    </row>
    <row r="1095">
      <c r="A1095" s="247"/>
      <c r="B1095" s="441"/>
      <c r="C1095" s="441"/>
      <c r="D1095" s="441"/>
      <c r="E1095" s="247"/>
      <c r="F1095" s="247"/>
      <c r="G1095" s="247"/>
      <c r="H1095" s="247"/>
      <c r="I1095" s="247"/>
      <c r="J1095" s="247"/>
      <c r="K1095" s="247"/>
      <c r="L1095" s="247"/>
      <c r="M1095" s="247"/>
      <c r="N1095" s="247"/>
      <c r="O1095" s="247"/>
      <c r="P1095" s="247"/>
      <c r="Q1095" s="247"/>
      <c r="R1095" s="247"/>
      <c r="S1095" s="247"/>
      <c r="T1095" s="247"/>
      <c r="U1095" s="247"/>
      <c r="V1095" s="247"/>
      <c r="W1095" s="247"/>
      <c r="X1095" s="247"/>
      <c r="Y1095" s="247"/>
      <c r="Z1095" s="247"/>
      <c r="AA1095" s="247"/>
      <c r="AB1095" s="247"/>
    </row>
    <row r="1096">
      <c r="A1096" s="247"/>
      <c r="B1096" s="441"/>
      <c r="C1096" s="441"/>
      <c r="D1096" s="441"/>
      <c r="E1096" s="247"/>
      <c r="F1096" s="247"/>
      <c r="G1096" s="247"/>
      <c r="H1096" s="247"/>
      <c r="I1096" s="247"/>
      <c r="J1096" s="247"/>
      <c r="K1096" s="247"/>
      <c r="L1096" s="247"/>
      <c r="M1096" s="247"/>
      <c r="N1096" s="247"/>
      <c r="O1096" s="247"/>
      <c r="P1096" s="247"/>
      <c r="Q1096" s="247"/>
      <c r="R1096" s="247"/>
      <c r="S1096" s="247"/>
      <c r="T1096" s="247"/>
      <c r="U1096" s="247"/>
      <c r="V1096" s="247"/>
      <c r="W1096" s="247"/>
      <c r="X1096" s="247"/>
      <c r="Y1096" s="247"/>
      <c r="Z1096" s="247"/>
      <c r="AA1096" s="247"/>
      <c r="AB1096" s="247"/>
    </row>
    <row r="1097">
      <c r="A1097" s="247"/>
      <c r="B1097" s="441"/>
      <c r="C1097" s="441"/>
      <c r="D1097" s="441"/>
      <c r="E1097" s="247"/>
      <c r="F1097" s="247"/>
      <c r="G1097" s="247"/>
      <c r="H1097" s="247"/>
      <c r="I1097" s="247"/>
      <c r="J1097" s="247"/>
      <c r="K1097" s="247"/>
      <c r="L1097" s="247"/>
      <c r="M1097" s="247"/>
      <c r="N1097" s="247"/>
      <c r="O1097" s="247"/>
      <c r="P1097" s="247"/>
      <c r="Q1097" s="247"/>
      <c r="R1097" s="247"/>
      <c r="S1097" s="247"/>
      <c r="T1097" s="247"/>
      <c r="U1097" s="247"/>
      <c r="V1097" s="247"/>
      <c r="W1097" s="247"/>
      <c r="X1097" s="247"/>
      <c r="Y1097" s="247"/>
      <c r="Z1097" s="247"/>
      <c r="AA1097" s="247"/>
      <c r="AB1097" s="247"/>
    </row>
    <row r="1098">
      <c r="A1098" s="247"/>
      <c r="B1098" s="441"/>
      <c r="C1098" s="441"/>
      <c r="D1098" s="441"/>
      <c r="E1098" s="247"/>
      <c r="F1098" s="247"/>
      <c r="G1098" s="247"/>
      <c r="H1098" s="247"/>
      <c r="I1098" s="247"/>
      <c r="J1098" s="247"/>
      <c r="K1098" s="247"/>
      <c r="L1098" s="247"/>
      <c r="M1098" s="247"/>
      <c r="N1098" s="247"/>
      <c r="O1098" s="247"/>
      <c r="P1098" s="247"/>
      <c r="Q1098" s="247"/>
      <c r="R1098" s="247"/>
      <c r="S1098" s="247"/>
      <c r="T1098" s="247"/>
      <c r="U1098" s="247"/>
      <c r="V1098" s="247"/>
      <c r="W1098" s="247"/>
      <c r="X1098" s="247"/>
      <c r="Y1098" s="247"/>
      <c r="Z1098" s="247"/>
      <c r="AA1098" s="247"/>
      <c r="AB1098" s="247"/>
    </row>
    <row r="1099">
      <c r="A1099" s="247"/>
      <c r="B1099" s="441"/>
      <c r="C1099" s="441"/>
      <c r="D1099" s="441"/>
      <c r="E1099" s="247"/>
      <c r="F1099" s="247"/>
      <c r="G1099" s="247"/>
      <c r="H1099" s="247"/>
      <c r="I1099" s="247"/>
      <c r="J1099" s="247"/>
      <c r="K1099" s="247"/>
      <c r="L1099" s="247"/>
      <c r="M1099" s="247"/>
      <c r="N1099" s="247"/>
      <c r="O1099" s="247"/>
      <c r="P1099" s="247"/>
      <c r="Q1099" s="247"/>
      <c r="R1099" s="247"/>
      <c r="S1099" s="247"/>
      <c r="T1099" s="247"/>
      <c r="U1099" s="247"/>
      <c r="V1099" s="247"/>
      <c r="W1099" s="247"/>
      <c r="X1099" s="247"/>
      <c r="Y1099" s="247"/>
      <c r="Z1099" s="247"/>
      <c r="AA1099" s="247"/>
      <c r="AB1099" s="247"/>
    </row>
    <row r="1100">
      <c r="A1100" s="247"/>
      <c r="B1100" s="441"/>
      <c r="C1100" s="441"/>
      <c r="D1100" s="441"/>
      <c r="E1100" s="247"/>
      <c r="F1100" s="247"/>
      <c r="G1100" s="247"/>
      <c r="H1100" s="247"/>
      <c r="I1100" s="247"/>
      <c r="J1100" s="247"/>
      <c r="K1100" s="247"/>
      <c r="L1100" s="247"/>
      <c r="M1100" s="247"/>
      <c r="N1100" s="247"/>
      <c r="O1100" s="247"/>
      <c r="P1100" s="247"/>
      <c r="Q1100" s="247"/>
      <c r="R1100" s="247"/>
      <c r="S1100" s="247"/>
      <c r="T1100" s="247"/>
      <c r="U1100" s="247"/>
      <c r="V1100" s="247"/>
      <c r="W1100" s="247"/>
      <c r="X1100" s="247"/>
      <c r="Y1100" s="247"/>
      <c r="Z1100" s="247"/>
      <c r="AA1100" s="247"/>
      <c r="AB1100" s="247"/>
    </row>
    <row r="1101">
      <c r="A1101" s="247"/>
      <c r="B1101" s="441"/>
      <c r="C1101" s="441"/>
      <c r="D1101" s="441"/>
      <c r="E1101" s="247"/>
      <c r="F1101" s="247"/>
      <c r="G1101" s="247"/>
      <c r="H1101" s="247"/>
      <c r="I1101" s="247"/>
      <c r="J1101" s="247"/>
      <c r="K1101" s="247"/>
      <c r="L1101" s="247"/>
      <c r="M1101" s="247"/>
      <c r="N1101" s="247"/>
      <c r="O1101" s="247"/>
      <c r="P1101" s="247"/>
      <c r="Q1101" s="247"/>
      <c r="R1101" s="247"/>
      <c r="S1101" s="247"/>
      <c r="T1101" s="247"/>
      <c r="U1101" s="247"/>
      <c r="V1101" s="247"/>
      <c r="W1101" s="247"/>
      <c r="X1101" s="247"/>
      <c r="Y1101" s="247"/>
      <c r="Z1101" s="247"/>
      <c r="AA1101" s="247"/>
      <c r="AB1101" s="247"/>
    </row>
    <row r="1102">
      <c r="A1102" s="247"/>
      <c r="B1102" s="441"/>
      <c r="C1102" s="441"/>
      <c r="D1102" s="441"/>
      <c r="E1102" s="247"/>
      <c r="F1102" s="247"/>
      <c r="G1102" s="247"/>
      <c r="H1102" s="247"/>
      <c r="I1102" s="247"/>
      <c r="J1102" s="247"/>
      <c r="K1102" s="247"/>
      <c r="L1102" s="247"/>
      <c r="M1102" s="247"/>
      <c r="N1102" s="247"/>
      <c r="O1102" s="247"/>
      <c r="P1102" s="247"/>
      <c r="Q1102" s="247"/>
      <c r="R1102" s="247"/>
      <c r="S1102" s="247"/>
      <c r="T1102" s="247"/>
      <c r="U1102" s="247"/>
      <c r="V1102" s="247"/>
      <c r="W1102" s="247"/>
      <c r="X1102" s="247"/>
      <c r="Y1102" s="247"/>
      <c r="Z1102" s="247"/>
      <c r="AA1102" s="247"/>
      <c r="AB1102" s="247"/>
    </row>
    <row r="1103">
      <c r="A1103" s="247"/>
      <c r="B1103" s="441"/>
      <c r="C1103" s="441"/>
      <c r="D1103" s="441"/>
      <c r="E1103" s="247"/>
      <c r="F1103" s="247"/>
      <c r="G1103" s="247"/>
      <c r="H1103" s="247"/>
      <c r="I1103" s="247"/>
      <c r="J1103" s="247"/>
      <c r="K1103" s="247"/>
      <c r="L1103" s="247"/>
      <c r="M1103" s="247"/>
      <c r="N1103" s="247"/>
      <c r="O1103" s="247"/>
      <c r="P1103" s="247"/>
      <c r="Q1103" s="247"/>
      <c r="R1103" s="247"/>
      <c r="S1103" s="247"/>
      <c r="T1103" s="247"/>
      <c r="U1103" s="247"/>
      <c r="V1103" s="247"/>
      <c r="W1103" s="247"/>
      <c r="X1103" s="247"/>
      <c r="Y1103" s="247"/>
      <c r="Z1103" s="247"/>
      <c r="AA1103" s="247"/>
      <c r="AB1103" s="247"/>
    </row>
    <row r="1104">
      <c r="A1104" s="247"/>
      <c r="B1104" s="441"/>
      <c r="C1104" s="441"/>
      <c r="D1104" s="441"/>
      <c r="E1104" s="247"/>
      <c r="F1104" s="247"/>
      <c r="G1104" s="247"/>
      <c r="H1104" s="247"/>
      <c r="I1104" s="247"/>
      <c r="J1104" s="247"/>
      <c r="K1104" s="247"/>
      <c r="L1104" s="247"/>
      <c r="M1104" s="247"/>
      <c r="N1104" s="247"/>
      <c r="O1104" s="247"/>
      <c r="P1104" s="247"/>
      <c r="Q1104" s="247"/>
      <c r="R1104" s="247"/>
      <c r="S1104" s="247"/>
      <c r="T1104" s="247"/>
      <c r="U1104" s="247"/>
      <c r="V1104" s="247"/>
      <c r="W1104" s="247"/>
      <c r="X1104" s="247"/>
      <c r="Y1104" s="247"/>
      <c r="Z1104" s="247"/>
      <c r="AA1104" s="247"/>
      <c r="AB1104" s="247"/>
    </row>
    <row r="1105">
      <c r="A1105" s="247"/>
      <c r="B1105" s="441"/>
      <c r="C1105" s="441"/>
      <c r="D1105" s="441"/>
      <c r="E1105" s="247"/>
      <c r="F1105" s="247"/>
      <c r="G1105" s="247"/>
      <c r="H1105" s="247"/>
      <c r="I1105" s="247"/>
      <c r="J1105" s="247"/>
      <c r="K1105" s="247"/>
      <c r="L1105" s="247"/>
      <c r="M1105" s="247"/>
      <c r="N1105" s="247"/>
      <c r="O1105" s="247"/>
      <c r="P1105" s="247"/>
      <c r="Q1105" s="247"/>
      <c r="R1105" s="247"/>
      <c r="S1105" s="247"/>
      <c r="T1105" s="247"/>
      <c r="U1105" s="247"/>
      <c r="V1105" s="247"/>
      <c r="W1105" s="247"/>
      <c r="X1105" s="247"/>
      <c r="Y1105" s="247"/>
      <c r="Z1105" s="247"/>
      <c r="AA1105" s="247"/>
      <c r="AB1105" s="247"/>
    </row>
    <row r="1106">
      <c r="A1106" s="247"/>
      <c r="B1106" s="441"/>
      <c r="C1106" s="441"/>
      <c r="D1106" s="441"/>
      <c r="E1106" s="247"/>
      <c r="F1106" s="247"/>
      <c r="G1106" s="247"/>
      <c r="H1106" s="247"/>
      <c r="I1106" s="247"/>
      <c r="J1106" s="247"/>
      <c r="K1106" s="247"/>
      <c r="L1106" s="247"/>
      <c r="M1106" s="247"/>
      <c r="N1106" s="247"/>
      <c r="O1106" s="247"/>
      <c r="P1106" s="247"/>
      <c r="Q1106" s="247"/>
      <c r="R1106" s="247"/>
      <c r="S1106" s="247"/>
      <c r="T1106" s="247"/>
      <c r="U1106" s="247"/>
      <c r="V1106" s="247"/>
      <c r="W1106" s="247"/>
      <c r="X1106" s="247"/>
      <c r="Y1106" s="247"/>
      <c r="Z1106" s="247"/>
      <c r="AA1106" s="247"/>
      <c r="AB1106" s="247"/>
    </row>
    <row r="1107">
      <c r="A1107" s="247"/>
      <c r="B1107" s="441"/>
      <c r="C1107" s="441"/>
      <c r="D1107" s="441"/>
      <c r="E1107" s="247"/>
      <c r="F1107" s="247"/>
      <c r="G1107" s="247"/>
      <c r="H1107" s="247"/>
      <c r="I1107" s="247"/>
      <c r="J1107" s="247"/>
      <c r="K1107" s="247"/>
      <c r="L1107" s="247"/>
      <c r="M1107" s="247"/>
      <c r="N1107" s="247"/>
      <c r="O1107" s="247"/>
      <c r="P1107" s="247"/>
      <c r="Q1107" s="247"/>
      <c r="R1107" s="247"/>
      <c r="S1107" s="247"/>
      <c r="T1107" s="247"/>
      <c r="U1107" s="247"/>
      <c r="V1107" s="247"/>
      <c r="W1107" s="247"/>
      <c r="X1107" s="247"/>
      <c r="Y1107" s="247"/>
      <c r="Z1107" s="247"/>
      <c r="AA1107" s="247"/>
      <c r="AB1107" s="247"/>
    </row>
    <row r="1108">
      <c r="A1108" s="247"/>
      <c r="B1108" s="441"/>
      <c r="C1108" s="441"/>
      <c r="D1108" s="441"/>
      <c r="E1108" s="247"/>
      <c r="F1108" s="247"/>
      <c r="G1108" s="247"/>
      <c r="H1108" s="247"/>
      <c r="I1108" s="247"/>
      <c r="J1108" s="247"/>
      <c r="K1108" s="247"/>
      <c r="L1108" s="247"/>
      <c r="M1108" s="247"/>
      <c r="N1108" s="247"/>
      <c r="O1108" s="247"/>
      <c r="P1108" s="247"/>
      <c r="Q1108" s="247"/>
      <c r="R1108" s="247"/>
      <c r="S1108" s="247"/>
      <c r="T1108" s="247"/>
      <c r="U1108" s="247"/>
      <c r="V1108" s="247"/>
      <c r="W1108" s="247"/>
      <c r="X1108" s="247"/>
      <c r="Y1108" s="247"/>
      <c r="Z1108" s="247"/>
      <c r="AA1108" s="247"/>
      <c r="AB1108" s="247"/>
    </row>
    <row r="1109">
      <c r="A1109" s="247"/>
      <c r="B1109" s="441"/>
      <c r="C1109" s="441"/>
      <c r="D1109" s="441"/>
      <c r="E1109" s="247"/>
      <c r="F1109" s="247"/>
      <c r="G1109" s="247"/>
      <c r="H1109" s="247"/>
      <c r="I1109" s="247"/>
      <c r="J1109" s="247"/>
      <c r="K1109" s="247"/>
      <c r="L1109" s="247"/>
      <c r="M1109" s="247"/>
      <c r="N1109" s="247"/>
      <c r="O1109" s="247"/>
      <c r="P1109" s="247"/>
      <c r="Q1109" s="247"/>
      <c r="R1109" s="247"/>
      <c r="S1109" s="247"/>
      <c r="T1109" s="247"/>
      <c r="U1109" s="247"/>
      <c r="V1109" s="247"/>
      <c r="W1109" s="247"/>
      <c r="X1109" s="247"/>
      <c r="Y1109" s="247"/>
      <c r="Z1109" s="247"/>
      <c r="AA1109" s="247"/>
      <c r="AB1109" s="247"/>
    </row>
    <row r="1110">
      <c r="A1110" s="247"/>
      <c r="B1110" s="441"/>
      <c r="C1110" s="441"/>
      <c r="D1110" s="441"/>
      <c r="E1110" s="247"/>
      <c r="F1110" s="247"/>
      <c r="G1110" s="247"/>
      <c r="H1110" s="247"/>
      <c r="I1110" s="247"/>
      <c r="J1110" s="247"/>
      <c r="K1110" s="247"/>
      <c r="L1110" s="247"/>
      <c r="M1110" s="247"/>
      <c r="N1110" s="247"/>
      <c r="O1110" s="247"/>
      <c r="P1110" s="247"/>
      <c r="Q1110" s="247"/>
      <c r="R1110" s="247"/>
      <c r="S1110" s="247"/>
      <c r="T1110" s="247"/>
      <c r="U1110" s="247"/>
      <c r="V1110" s="247"/>
      <c r="W1110" s="247"/>
      <c r="X1110" s="247"/>
      <c r="Y1110" s="247"/>
      <c r="Z1110" s="247"/>
      <c r="AA1110" s="247"/>
      <c r="AB1110" s="247"/>
    </row>
    <row r="1111">
      <c r="A1111" s="247"/>
      <c r="B1111" s="441"/>
      <c r="C1111" s="441"/>
      <c r="D1111" s="441"/>
      <c r="E1111" s="247"/>
      <c r="F1111" s="247"/>
      <c r="G1111" s="247"/>
      <c r="H1111" s="247"/>
      <c r="I1111" s="247"/>
      <c r="J1111" s="247"/>
      <c r="K1111" s="247"/>
      <c r="L1111" s="247"/>
      <c r="M1111" s="247"/>
      <c r="N1111" s="247"/>
      <c r="O1111" s="247"/>
      <c r="P1111" s="247"/>
      <c r="Q1111" s="247"/>
      <c r="R1111" s="247"/>
      <c r="S1111" s="247"/>
      <c r="T1111" s="247"/>
      <c r="U1111" s="247"/>
      <c r="V1111" s="247"/>
      <c r="W1111" s="247"/>
      <c r="X1111" s="247"/>
      <c r="Y1111" s="247"/>
      <c r="Z1111" s="247"/>
      <c r="AA1111" s="247"/>
      <c r="AB1111" s="247"/>
    </row>
    <row r="1112">
      <c r="A1112" s="247"/>
      <c r="B1112" s="441"/>
      <c r="C1112" s="441"/>
      <c r="D1112" s="441"/>
      <c r="E1112" s="247"/>
      <c r="F1112" s="247"/>
      <c r="G1112" s="247"/>
      <c r="H1112" s="247"/>
      <c r="I1112" s="247"/>
      <c r="J1112" s="247"/>
      <c r="K1112" s="247"/>
      <c r="L1112" s="247"/>
      <c r="M1112" s="247"/>
      <c r="N1112" s="247"/>
      <c r="O1112" s="247"/>
      <c r="P1112" s="247"/>
      <c r="Q1112" s="247"/>
      <c r="R1112" s="247"/>
      <c r="S1112" s="247"/>
      <c r="T1112" s="247"/>
      <c r="U1112" s="247"/>
      <c r="V1112" s="247"/>
      <c r="W1112" s="247"/>
      <c r="X1112" s="247"/>
      <c r="Y1112" s="247"/>
      <c r="Z1112" s="247"/>
      <c r="AA1112" s="247"/>
      <c r="AB1112" s="247"/>
    </row>
    <row r="1113">
      <c r="A1113" s="247"/>
      <c r="B1113" s="441"/>
      <c r="C1113" s="441"/>
      <c r="D1113" s="441"/>
      <c r="E1113" s="247"/>
      <c r="F1113" s="247"/>
      <c r="G1113" s="247"/>
      <c r="H1113" s="247"/>
      <c r="I1113" s="247"/>
      <c r="J1113" s="247"/>
      <c r="K1113" s="247"/>
      <c r="L1113" s="247"/>
      <c r="M1113" s="247"/>
      <c r="N1113" s="247"/>
      <c r="O1113" s="247"/>
      <c r="P1113" s="247"/>
      <c r="Q1113" s="247"/>
      <c r="R1113" s="247"/>
      <c r="S1113" s="247"/>
      <c r="T1113" s="247"/>
      <c r="U1113" s="247"/>
      <c r="V1113" s="247"/>
      <c r="W1113" s="247"/>
      <c r="X1113" s="247"/>
      <c r="Y1113" s="247"/>
      <c r="Z1113" s="247"/>
      <c r="AA1113" s="247"/>
      <c r="AB1113" s="247"/>
    </row>
    <row r="1114">
      <c r="A1114" s="247"/>
      <c r="B1114" s="441"/>
      <c r="C1114" s="441"/>
      <c r="D1114" s="441"/>
      <c r="E1114" s="247"/>
      <c r="F1114" s="247"/>
      <c r="G1114" s="247"/>
      <c r="H1114" s="247"/>
      <c r="I1114" s="247"/>
      <c r="J1114" s="247"/>
      <c r="K1114" s="247"/>
      <c r="L1114" s="247"/>
      <c r="M1114" s="247"/>
      <c r="N1114" s="247"/>
      <c r="O1114" s="247"/>
      <c r="P1114" s="247"/>
      <c r="Q1114" s="247"/>
      <c r="R1114" s="247"/>
      <c r="S1114" s="247"/>
      <c r="T1114" s="247"/>
      <c r="U1114" s="247"/>
      <c r="V1114" s="247"/>
      <c r="W1114" s="247"/>
      <c r="X1114" s="247"/>
      <c r="Y1114" s="247"/>
      <c r="Z1114" s="247"/>
      <c r="AA1114" s="247"/>
      <c r="AB1114" s="247"/>
    </row>
    <row r="1115">
      <c r="A1115" s="247"/>
      <c r="B1115" s="441"/>
      <c r="C1115" s="441"/>
      <c r="D1115" s="441"/>
      <c r="E1115" s="247"/>
      <c r="F1115" s="247"/>
      <c r="G1115" s="247"/>
      <c r="H1115" s="247"/>
      <c r="I1115" s="247"/>
      <c r="J1115" s="247"/>
      <c r="K1115" s="247"/>
      <c r="L1115" s="247"/>
      <c r="M1115" s="247"/>
      <c r="N1115" s="247"/>
      <c r="O1115" s="247"/>
      <c r="P1115" s="247"/>
      <c r="Q1115" s="247"/>
      <c r="R1115" s="247"/>
      <c r="S1115" s="247"/>
      <c r="T1115" s="247"/>
      <c r="U1115" s="247"/>
      <c r="V1115" s="247"/>
      <c r="W1115" s="247"/>
      <c r="X1115" s="247"/>
      <c r="Y1115" s="247"/>
      <c r="Z1115" s="247"/>
      <c r="AA1115" s="247"/>
      <c r="AB1115" s="247"/>
    </row>
    <row r="1116">
      <c r="A1116" s="247"/>
      <c r="B1116" s="441"/>
      <c r="C1116" s="441"/>
      <c r="D1116" s="441"/>
      <c r="E1116" s="247"/>
      <c r="F1116" s="247"/>
      <c r="G1116" s="247"/>
      <c r="H1116" s="247"/>
      <c r="I1116" s="247"/>
      <c r="J1116" s="247"/>
      <c r="K1116" s="247"/>
      <c r="L1116" s="247"/>
      <c r="M1116" s="247"/>
      <c r="N1116" s="247"/>
      <c r="O1116" s="247"/>
      <c r="P1116" s="247"/>
      <c r="Q1116" s="247"/>
      <c r="R1116" s="247"/>
      <c r="S1116" s="247"/>
      <c r="T1116" s="247"/>
      <c r="U1116" s="247"/>
      <c r="V1116" s="247"/>
      <c r="W1116" s="247"/>
      <c r="X1116" s="247"/>
      <c r="Y1116" s="247"/>
      <c r="Z1116" s="247"/>
      <c r="AA1116" s="247"/>
      <c r="AB1116" s="247"/>
    </row>
    <row r="1117">
      <c r="A1117" s="247"/>
      <c r="B1117" s="441"/>
      <c r="C1117" s="441"/>
      <c r="D1117" s="441"/>
      <c r="E1117" s="247"/>
      <c r="F1117" s="247"/>
      <c r="G1117" s="247"/>
      <c r="H1117" s="247"/>
      <c r="I1117" s="247"/>
      <c r="J1117" s="247"/>
      <c r="K1117" s="247"/>
      <c r="L1117" s="247"/>
      <c r="M1117" s="247"/>
      <c r="N1117" s="247"/>
      <c r="O1117" s="247"/>
      <c r="P1117" s="247"/>
      <c r="Q1117" s="247"/>
      <c r="R1117" s="247"/>
      <c r="S1117" s="247"/>
      <c r="T1117" s="247"/>
      <c r="U1117" s="247"/>
      <c r="V1117" s="247"/>
      <c r="W1117" s="247"/>
      <c r="X1117" s="247"/>
      <c r="Y1117" s="247"/>
      <c r="Z1117" s="247"/>
      <c r="AA1117" s="247"/>
      <c r="AB1117" s="247"/>
    </row>
    <row r="1118">
      <c r="A1118" s="247"/>
      <c r="B1118" s="441"/>
      <c r="C1118" s="441"/>
      <c r="D1118" s="441"/>
      <c r="E1118" s="247"/>
      <c r="F1118" s="247"/>
      <c r="G1118" s="247"/>
      <c r="H1118" s="247"/>
      <c r="I1118" s="247"/>
      <c r="J1118" s="247"/>
      <c r="K1118" s="247"/>
      <c r="L1118" s="247"/>
      <c r="M1118" s="247"/>
      <c r="N1118" s="247"/>
      <c r="O1118" s="247"/>
      <c r="P1118" s="247"/>
      <c r="Q1118" s="247"/>
      <c r="R1118" s="247"/>
      <c r="S1118" s="247"/>
      <c r="T1118" s="247"/>
      <c r="U1118" s="247"/>
      <c r="V1118" s="247"/>
      <c r="W1118" s="247"/>
      <c r="X1118" s="247"/>
      <c r="Y1118" s="247"/>
      <c r="Z1118" s="247"/>
      <c r="AA1118" s="247"/>
      <c r="AB1118" s="247"/>
    </row>
    <row r="1119">
      <c r="A1119" s="247"/>
      <c r="B1119" s="441"/>
      <c r="C1119" s="441"/>
      <c r="D1119" s="441"/>
      <c r="E1119" s="247"/>
      <c r="F1119" s="247"/>
      <c r="G1119" s="247"/>
      <c r="H1119" s="247"/>
      <c r="I1119" s="247"/>
      <c r="J1119" s="247"/>
      <c r="K1119" s="247"/>
      <c r="L1119" s="247"/>
      <c r="M1119" s="247"/>
      <c r="N1119" s="247"/>
      <c r="O1119" s="247"/>
      <c r="P1119" s="247"/>
      <c r="Q1119" s="247"/>
      <c r="R1119" s="247"/>
      <c r="S1119" s="247"/>
      <c r="T1119" s="247"/>
      <c r="U1119" s="247"/>
      <c r="V1119" s="247"/>
      <c r="W1119" s="247"/>
      <c r="X1119" s="247"/>
      <c r="Y1119" s="247"/>
      <c r="Z1119" s="247"/>
      <c r="AA1119" s="247"/>
      <c r="AB1119" s="247"/>
    </row>
    <row r="1120">
      <c r="A1120" s="247"/>
      <c r="B1120" s="441"/>
      <c r="C1120" s="441"/>
      <c r="D1120" s="441"/>
      <c r="E1120" s="247"/>
      <c r="F1120" s="247"/>
      <c r="G1120" s="247"/>
      <c r="H1120" s="247"/>
      <c r="I1120" s="247"/>
      <c r="J1120" s="247"/>
      <c r="K1120" s="247"/>
      <c r="L1120" s="247"/>
      <c r="M1120" s="247"/>
      <c r="N1120" s="247"/>
      <c r="O1120" s="247"/>
      <c r="P1120" s="247"/>
      <c r="Q1120" s="247"/>
      <c r="R1120" s="247"/>
      <c r="S1120" s="247"/>
      <c r="T1120" s="247"/>
      <c r="U1120" s="247"/>
      <c r="V1120" s="247"/>
      <c r="W1120" s="247"/>
      <c r="X1120" s="247"/>
      <c r="Y1120" s="247"/>
      <c r="Z1120" s="247"/>
      <c r="AA1120" s="247"/>
      <c r="AB1120" s="247"/>
    </row>
    <row r="1121">
      <c r="A1121" s="247"/>
      <c r="B1121" s="441"/>
      <c r="C1121" s="441"/>
      <c r="D1121" s="441"/>
      <c r="E1121" s="247"/>
      <c r="F1121" s="247"/>
      <c r="G1121" s="247"/>
      <c r="H1121" s="247"/>
      <c r="I1121" s="247"/>
      <c r="J1121" s="247"/>
      <c r="K1121" s="247"/>
      <c r="L1121" s="247"/>
      <c r="M1121" s="247"/>
      <c r="N1121" s="247"/>
      <c r="O1121" s="247"/>
      <c r="P1121" s="247"/>
      <c r="Q1121" s="247"/>
      <c r="R1121" s="247"/>
      <c r="S1121" s="247"/>
      <c r="T1121" s="247"/>
      <c r="U1121" s="247"/>
      <c r="V1121" s="247"/>
      <c r="W1121" s="247"/>
      <c r="X1121" s="247"/>
      <c r="Y1121" s="247"/>
      <c r="Z1121" s="247"/>
      <c r="AA1121" s="247"/>
      <c r="AB1121" s="247"/>
    </row>
    <row r="1122">
      <c r="A1122" s="247"/>
      <c r="B1122" s="441"/>
      <c r="C1122" s="441"/>
      <c r="D1122" s="441"/>
      <c r="E1122" s="247"/>
      <c r="F1122" s="247"/>
      <c r="G1122" s="247"/>
      <c r="H1122" s="247"/>
      <c r="I1122" s="247"/>
      <c r="J1122" s="247"/>
      <c r="K1122" s="247"/>
      <c r="L1122" s="247"/>
      <c r="M1122" s="247"/>
      <c r="N1122" s="247"/>
      <c r="O1122" s="247"/>
      <c r="P1122" s="247"/>
      <c r="Q1122" s="247"/>
      <c r="R1122" s="247"/>
      <c r="S1122" s="247"/>
      <c r="T1122" s="247"/>
      <c r="U1122" s="247"/>
      <c r="V1122" s="247"/>
      <c r="W1122" s="247"/>
      <c r="X1122" s="247"/>
      <c r="Y1122" s="247"/>
      <c r="Z1122" s="247"/>
      <c r="AA1122" s="247"/>
      <c r="AB1122" s="247"/>
    </row>
    <row r="1123">
      <c r="A1123" s="247"/>
      <c r="B1123" s="441"/>
      <c r="C1123" s="441"/>
      <c r="D1123" s="441"/>
      <c r="E1123" s="247"/>
      <c r="F1123" s="247"/>
      <c r="G1123" s="247"/>
      <c r="H1123" s="247"/>
      <c r="I1123" s="247"/>
      <c r="J1123" s="247"/>
      <c r="K1123" s="247"/>
      <c r="L1123" s="247"/>
      <c r="M1123" s="247"/>
      <c r="N1123" s="247"/>
      <c r="O1123" s="247"/>
      <c r="P1123" s="247"/>
      <c r="Q1123" s="247"/>
      <c r="R1123" s="247"/>
      <c r="S1123" s="247"/>
      <c r="T1123" s="247"/>
      <c r="U1123" s="247"/>
      <c r="V1123" s="247"/>
      <c r="W1123" s="247"/>
      <c r="X1123" s="247"/>
      <c r="Y1123" s="247"/>
      <c r="Z1123" s="247"/>
      <c r="AA1123" s="247"/>
      <c r="AB1123" s="247"/>
    </row>
    <row r="1124">
      <c r="A1124" s="247"/>
      <c r="B1124" s="441"/>
      <c r="C1124" s="441"/>
      <c r="D1124" s="441"/>
      <c r="E1124" s="247"/>
      <c r="F1124" s="247"/>
      <c r="G1124" s="247"/>
      <c r="H1124" s="247"/>
      <c r="I1124" s="247"/>
      <c r="J1124" s="247"/>
      <c r="K1124" s="247"/>
      <c r="L1124" s="247"/>
      <c r="M1124" s="247"/>
      <c r="N1124" s="247"/>
      <c r="O1124" s="247"/>
      <c r="P1124" s="247"/>
      <c r="Q1124" s="247"/>
      <c r="R1124" s="247"/>
      <c r="S1124" s="247"/>
      <c r="T1124" s="247"/>
      <c r="U1124" s="247"/>
      <c r="V1124" s="247"/>
      <c r="W1124" s="247"/>
      <c r="X1124" s="247"/>
      <c r="Y1124" s="247"/>
      <c r="Z1124" s="247"/>
      <c r="AA1124" s="247"/>
      <c r="AB1124" s="247"/>
    </row>
    <row r="1125">
      <c r="A1125" s="247"/>
      <c r="B1125" s="441"/>
      <c r="C1125" s="441"/>
      <c r="D1125" s="441"/>
      <c r="E1125" s="247"/>
      <c r="F1125" s="247"/>
      <c r="G1125" s="247"/>
      <c r="H1125" s="247"/>
      <c r="I1125" s="247"/>
      <c r="J1125" s="247"/>
      <c r="K1125" s="247"/>
      <c r="L1125" s="247"/>
      <c r="M1125" s="247"/>
      <c r="N1125" s="247"/>
      <c r="O1125" s="247"/>
      <c r="P1125" s="247"/>
      <c r="Q1125" s="247"/>
      <c r="R1125" s="247"/>
      <c r="S1125" s="247"/>
      <c r="T1125" s="247"/>
      <c r="U1125" s="247"/>
      <c r="V1125" s="247"/>
      <c r="W1125" s="247"/>
      <c r="X1125" s="247"/>
      <c r="Y1125" s="247"/>
      <c r="Z1125" s="247"/>
      <c r="AA1125" s="247"/>
      <c r="AB1125" s="247"/>
    </row>
    <row r="1126">
      <c r="A1126" s="247"/>
      <c r="B1126" s="441"/>
      <c r="C1126" s="441"/>
      <c r="D1126" s="441"/>
      <c r="E1126" s="247"/>
      <c r="F1126" s="247"/>
      <c r="G1126" s="247"/>
      <c r="H1126" s="247"/>
      <c r="I1126" s="247"/>
      <c r="J1126" s="247"/>
      <c r="K1126" s="247"/>
      <c r="L1126" s="247"/>
      <c r="M1126" s="247"/>
      <c r="N1126" s="247"/>
      <c r="O1126" s="247"/>
      <c r="P1126" s="247"/>
      <c r="Q1126" s="247"/>
      <c r="R1126" s="247"/>
      <c r="S1126" s="247"/>
      <c r="T1126" s="247"/>
      <c r="U1126" s="247"/>
      <c r="V1126" s="247"/>
      <c r="W1126" s="247"/>
      <c r="X1126" s="247"/>
      <c r="Y1126" s="247"/>
      <c r="Z1126" s="247"/>
      <c r="AA1126" s="247"/>
      <c r="AB1126" s="247"/>
    </row>
    <row r="1127">
      <c r="A1127" s="247"/>
      <c r="B1127" s="441"/>
      <c r="C1127" s="441"/>
      <c r="D1127" s="441"/>
      <c r="E1127" s="247"/>
      <c r="F1127" s="247"/>
      <c r="G1127" s="247"/>
      <c r="H1127" s="247"/>
      <c r="I1127" s="247"/>
      <c r="J1127" s="247"/>
      <c r="K1127" s="247"/>
      <c r="L1127" s="247"/>
      <c r="M1127" s="247"/>
      <c r="N1127" s="247"/>
      <c r="O1127" s="247"/>
      <c r="P1127" s="247"/>
      <c r="Q1127" s="247"/>
      <c r="R1127" s="247"/>
      <c r="S1127" s="247"/>
      <c r="T1127" s="247"/>
      <c r="U1127" s="247"/>
      <c r="V1127" s="247"/>
      <c r="W1127" s="247"/>
      <c r="X1127" s="247"/>
      <c r="Y1127" s="247"/>
      <c r="Z1127" s="247"/>
      <c r="AA1127" s="247"/>
      <c r="AB1127" s="247"/>
    </row>
    <row r="1128">
      <c r="A1128" s="247"/>
      <c r="B1128" s="441"/>
      <c r="C1128" s="441"/>
      <c r="D1128" s="441"/>
      <c r="E1128" s="247"/>
      <c r="F1128" s="247"/>
      <c r="G1128" s="247"/>
      <c r="H1128" s="247"/>
      <c r="I1128" s="247"/>
      <c r="J1128" s="247"/>
      <c r="K1128" s="247"/>
      <c r="L1128" s="247"/>
      <c r="M1128" s="247"/>
      <c r="N1128" s="247"/>
      <c r="O1128" s="247"/>
      <c r="P1128" s="247"/>
      <c r="Q1128" s="247"/>
      <c r="R1128" s="247"/>
      <c r="S1128" s="247"/>
      <c r="T1128" s="247"/>
      <c r="U1128" s="247"/>
      <c r="V1128" s="247"/>
      <c r="W1128" s="247"/>
      <c r="X1128" s="247"/>
      <c r="Y1128" s="247"/>
      <c r="Z1128" s="247"/>
      <c r="AA1128" s="247"/>
      <c r="AB1128" s="247"/>
    </row>
    <row r="1129">
      <c r="A1129" s="247"/>
      <c r="B1129" s="441"/>
      <c r="C1129" s="441"/>
      <c r="D1129" s="441"/>
      <c r="E1129" s="247"/>
      <c r="F1129" s="247"/>
      <c r="G1129" s="247"/>
      <c r="H1129" s="247"/>
      <c r="I1129" s="247"/>
      <c r="J1129" s="247"/>
      <c r="K1129" s="247"/>
      <c r="L1129" s="247"/>
      <c r="M1129" s="247"/>
      <c r="N1129" s="247"/>
      <c r="O1129" s="247"/>
      <c r="P1129" s="247"/>
      <c r="Q1129" s="247"/>
      <c r="R1129" s="247"/>
      <c r="S1129" s="247"/>
      <c r="T1129" s="247"/>
      <c r="U1129" s="247"/>
      <c r="V1129" s="247"/>
      <c r="W1129" s="247"/>
      <c r="X1129" s="247"/>
      <c r="Y1129" s="247"/>
      <c r="Z1129" s="247"/>
      <c r="AA1129" s="247"/>
      <c r="AB1129" s="247"/>
    </row>
    <row r="1130">
      <c r="A1130" s="247"/>
      <c r="B1130" s="441"/>
      <c r="C1130" s="441"/>
      <c r="D1130" s="441"/>
      <c r="E1130" s="247"/>
      <c r="F1130" s="247"/>
      <c r="G1130" s="247"/>
      <c r="H1130" s="247"/>
      <c r="I1130" s="247"/>
      <c r="J1130" s="247"/>
      <c r="K1130" s="247"/>
      <c r="L1130" s="247"/>
      <c r="M1130" s="247"/>
      <c r="N1130" s="247"/>
      <c r="O1130" s="247"/>
      <c r="P1130" s="247"/>
      <c r="Q1130" s="247"/>
      <c r="R1130" s="247"/>
      <c r="S1130" s="247"/>
      <c r="T1130" s="247"/>
      <c r="U1130" s="247"/>
      <c r="V1130" s="247"/>
      <c r="W1130" s="247"/>
      <c r="X1130" s="247"/>
      <c r="Y1130" s="247"/>
      <c r="Z1130" s="247"/>
      <c r="AA1130" s="247"/>
      <c r="AB1130" s="247"/>
    </row>
    <row r="1131">
      <c r="A1131" s="247"/>
      <c r="B1131" s="441"/>
      <c r="C1131" s="441"/>
      <c r="D1131" s="441"/>
      <c r="E1131" s="247"/>
      <c r="F1131" s="247"/>
      <c r="G1131" s="247"/>
      <c r="H1131" s="247"/>
      <c r="I1131" s="247"/>
      <c r="J1131" s="247"/>
      <c r="K1131" s="247"/>
      <c r="L1131" s="247"/>
      <c r="M1131" s="247"/>
      <c r="N1131" s="247"/>
      <c r="O1131" s="247"/>
      <c r="P1131" s="247"/>
      <c r="Q1131" s="247"/>
      <c r="R1131" s="247"/>
      <c r="S1131" s="247"/>
      <c r="T1131" s="247"/>
      <c r="U1131" s="247"/>
      <c r="V1131" s="247"/>
      <c r="W1131" s="247"/>
      <c r="X1131" s="247"/>
      <c r="Y1131" s="247"/>
      <c r="Z1131" s="247"/>
      <c r="AA1131" s="247"/>
      <c r="AB1131" s="247"/>
    </row>
    <row r="1132">
      <c r="A1132" s="247"/>
      <c r="B1132" s="441"/>
      <c r="C1132" s="441"/>
      <c r="D1132" s="441"/>
      <c r="E1132" s="247"/>
      <c r="F1132" s="247"/>
      <c r="G1132" s="247"/>
      <c r="H1132" s="247"/>
      <c r="I1132" s="247"/>
      <c r="J1132" s="247"/>
      <c r="K1132" s="247"/>
      <c r="L1132" s="247"/>
      <c r="M1132" s="247"/>
      <c r="N1132" s="247"/>
      <c r="O1132" s="247"/>
      <c r="P1132" s="247"/>
      <c r="Q1132" s="247"/>
      <c r="R1132" s="247"/>
      <c r="S1132" s="247"/>
      <c r="T1132" s="247"/>
      <c r="U1132" s="247"/>
      <c r="V1132" s="247"/>
      <c r="W1132" s="247"/>
      <c r="X1132" s="247"/>
      <c r="Y1132" s="247"/>
      <c r="Z1132" s="247"/>
      <c r="AA1132" s="247"/>
      <c r="AB1132" s="247"/>
    </row>
    <row r="1133">
      <c r="A1133" s="247"/>
      <c r="B1133" s="441"/>
      <c r="C1133" s="441"/>
      <c r="D1133" s="441"/>
      <c r="E1133" s="247"/>
      <c r="F1133" s="247"/>
      <c r="G1133" s="247"/>
      <c r="H1133" s="247"/>
      <c r="I1133" s="247"/>
      <c r="J1133" s="247"/>
      <c r="K1133" s="247"/>
      <c r="L1133" s="247"/>
      <c r="M1133" s="247"/>
      <c r="N1133" s="247"/>
      <c r="O1133" s="247"/>
      <c r="P1133" s="247"/>
      <c r="Q1133" s="247"/>
      <c r="R1133" s="247"/>
      <c r="S1133" s="247"/>
      <c r="T1133" s="247"/>
      <c r="U1133" s="247"/>
      <c r="V1133" s="247"/>
      <c r="W1133" s="247"/>
      <c r="X1133" s="247"/>
      <c r="Y1133" s="247"/>
      <c r="Z1133" s="247"/>
      <c r="AA1133" s="247"/>
      <c r="AB1133" s="247"/>
    </row>
    <row r="1134">
      <c r="A1134" s="247"/>
      <c r="B1134" s="441"/>
      <c r="C1134" s="441"/>
      <c r="D1134" s="441"/>
      <c r="E1134" s="247"/>
      <c r="F1134" s="247"/>
      <c r="G1134" s="247"/>
      <c r="H1134" s="247"/>
      <c r="I1134" s="247"/>
      <c r="J1134" s="247"/>
      <c r="K1134" s="247"/>
      <c r="L1134" s="247"/>
      <c r="M1134" s="247"/>
      <c r="N1134" s="247"/>
      <c r="O1134" s="247"/>
      <c r="P1134" s="247"/>
      <c r="Q1134" s="247"/>
      <c r="R1134" s="247"/>
      <c r="S1134" s="247"/>
      <c r="T1134" s="247"/>
      <c r="U1134" s="247"/>
      <c r="V1134" s="247"/>
      <c r="W1134" s="247"/>
      <c r="X1134" s="247"/>
      <c r="Y1134" s="247"/>
      <c r="Z1134" s="247"/>
      <c r="AA1134" s="247"/>
      <c r="AB1134" s="247"/>
    </row>
    <row r="1135">
      <c r="A1135" s="247"/>
      <c r="B1135" s="441"/>
      <c r="C1135" s="441"/>
      <c r="D1135" s="441"/>
      <c r="E1135" s="247"/>
      <c r="F1135" s="247"/>
      <c r="G1135" s="247"/>
      <c r="H1135" s="247"/>
      <c r="I1135" s="247"/>
      <c r="J1135" s="247"/>
      <c r="K1135" s="247"/>
      <c r="L1135" s="247"/>
      <c r="M1135" s="247"/>
      <c r="N1135" s="247"/>
      <c r="O1135" s="247"/>
      <c r="P1135" s="247"/>
      <c r="Q1135" s="247"/>
      <c r="R1135" s="247"/>
      <c r="S1135" s="247"/>
      <c r="T1135" s="247"/>
      <c r="U1135" s="247"/>
      <c r="V1135" s="247"/>
      <c r="W1135" s="247"/>
      <c r="X1135" s="247"/>
      <c r="Y1135" s="247"/>
      <c r="Z1135" s="247"/>
      <c r="AA1135" s="247"/>
      <c r="AB1135" s="247"/>
    </row>
    <row r="1136">
      <c r="A1136" s="247"/>
      <c r="B1136" s="441"/>
      <c r="C1136" s="441"/>
      <c r="D1136" s="441"/>
      <c r="E1136" s="247"/>
      <c r="F1136" s="247"/>
      <c r="G1136" s="247"/>
      <c r="H1136" s="247"/>
      <c r="I1136" s="247"/>
      <c r="J1136" s="247"/>
      <c r="K1136" s="247"/>
      <c r="L1136" s="247"/>
      <c r="M1136" s="247"/>
      <c r="N1136" s="247"/>
      <c r="O1136" s="247"/>
      <c r="P1136" s="247"/>
      <c r="Q1136" s="247"/>
      <c r="R1136" s="247"/>
      <c r="S1136" s="247"/>
      <c r="T1136" s="247"/>
      <c r="U1136" s="247"/>
      <c r="V1136" s="247"/>
      <c r="W1136" s="247"/>
      <c r="X1136" s="247"/>
      <c r="Y1136" s="247"/>
      <c r="Z1136" s="247"/>
      <c r="AA1136" s="247"/>
      <c r="AB1136" s="247"/>
    </row>
    <row r="1137">
      <c r="A1137" s="247"/>
      <c r="B1137" s="441"/>
      <c r="C1137" s="441"/>
      <c r="D1137" s="441"/>
      <c r="E1137" s="247"/>
      <c r="F1137" s="247"/>
      <c r="G1137" s="247"/>
      <c r="H1137" s="247"/>
      <c r="I1137" s="247"/>
      <c r="J1137" s="247"/>
      <c r="K1137" s="247"/>
      <c r="L1137" s="247"/>
      <c r="M1137" s="247"/>
      <c r="N1137" s="247"/>
      <c r="O1137" s="247"/>
      <c r="P1137" s="247"/>
      <c r="Q1137" s="247"/>
      <c r="R1137" s="247"/>
      <c r="S1137" s="247"/>
      <c r="T1137" s="247"/>
      <c r="U1137" s="247"/>
      <c r="V1137" s="247"/>
      <c r="W1137" s="247"/>
      <c r="X1137" s="247"/>
      <c r="Y1137" s="247"/>
      <c r="Z1137" s="247"/>
      <c r="AA1137" s="247"/>
      <c r="AB1137" s="247"/>
    </row>
    <row r="1138">
      <c r="A1138" s="247"/>
      <c r="B1138" s="441"/>
      <c r="C1138" s="441"/>
      <c r="D1138" s="441"/>
      <c r="E1138" s="247"/>
      <c r="F1138" s="247"/>
      <c r="G1138" s="247"/>
      <c r="H1138" s="247"/>
      <c r="I1138" s="247"/>
      <c r="J1138" s="247"/>
      <c r="K1138" s="247"/>
      <c r="L1138" s="247"/>
      <c r="M1138" s="247"/>
      <c r="N1138" s="247"/>
      <c r="O1138" s="247"/>
      <c r="P1138" s="247"/>
      <c r="Q1138" s="247"/>
      <c r="R1138" s="247"/>
      <c r="S1138" s="247"/>
      <c r="T1138" s="247"/>
      <c r="U1138" s="247"/>
      <c r="V1138" s="247"/>
      <c r="W1138" s="247"/>
      <c r="X1138" s="247"/>
      <c r="Y1138" s="247"/>
      <c r="Z1138" s="247"/>
      <c r="AA1138" s="247"/>
      <c r="AB1138" s="247"/>
    </row>
    <row r="1139">
      <c r="A1139" s="247"/>
      <c r="B1139" s="441"/>
      <c r="C1139" s="441"/>
      <c r="D1139" s="441"/>
      <c r="E1139" s="247"/>
      <c r="F1139" s="247"/>
      <c r="G1139" s="247"/>
      <c r="H1139" s="247"/>
      <c r="I1139" s="247"/>
      <c r="J1139" s="247"/>
      <c r="K1139" s="247"/>
      <c r="L1139" s="247"/>
      <c r="M1139" s="247"/>
      <c r="N1139" s="247"/>
      <c r="O1139" s="247"/>
      <c r="P1139" s="247"/>
      <c r="Q1139" s="247"/>
      <c r="R1139" s="247"/>
      <c r="S1139" s="247"/>
      <c r="T1139" s="247"/>
      <c r="U1139" s="247"/>
      <c r="V1139" s="247"/>
      <c r="W1139" s="247"/>
      <c r="X1139" s="247"/>
      <c r="Y1139" s="247"/>
      <c r="Z1139" s="247"/>
      <c r="AA1139" s="247"/>
      <c r="AB1139" s="247"/>
    </row>
    <row r="1140">
      <c r="A1140" s="247"/>
      <c r="B1140" s="441"/>
      <c r="C1140" s="441"/>
      <c r="D1140" s="441"/>
      <c r="E1140" s="247"/>
      <c r="F1140" s="247"/>
      <c r="G1140" s="247"/>
      <c r="H1140" s="247"/>
      <c r="I1140" s="247"/>
      <c r="J1140" s="247"/>
      <c r="K1140" s="247"/>
      <c r="L1140" s="247"/>
      <c r="M1140" s="247"/>
      <c r="N1140" s="247"/>
      <c r="O1140" s="247"/>
      <c r="P1140" s="247"/>
      <c r="Q1140" s="247"/>
      <c r="R1140" s="247"/>
      <c r="S1140" s="247"/>
      <c r="T1140" s="247"/>
      <c r="U1140" s="247"/>
      <c r="V1140" s="247"/>
      <c r="W1140" s="247"/>
      <c r="X1140" s="247"/>
      <c r="Y1140" s="247"/>
      <c r="Z1140" s="247"/>
      <c r="AA1140" s="247"/>
      <c r="AB1140" s="247"/>
    </row>
    <row r="1141">
      <c r="A1141" s="247"/>
      <c r="B1141" s="441"/>
      <c r="C1141" s="441"/>
      <c r="D1141" s="441"/>
      <c r="E1141" s="247"/>
      <c r="F1141" s="247"/>
      <c r="G1141" s="247"/>
      <c r="H1141" s="247"/>
      <c r="I1141" s="247"/>
      <c r="J1141" s="247"/>
      <c r="K1141" s="247"/>
      <c r="L1141" s="247"/>
      <c r="M1141" s="247"/>
      <c r="N1141" s="247"/>
      <c r="O1141" s="247"/>
      <c r="P1141" s="247"/>
      <c r="Q1141" s="247"/>
      <c r="R1141" s="247"/>
      <c r="S1141" s="247"/>
      <c r="T1141" s="247"/>
      <c r="U1141" s="247"/>
      <c r="V1141" s="247"/>
      <c r="W1141" s="247"/>
      <c r="X1141" s="247"/>
      <c r="Y1141" s="247"/>
      <c r="Z1141" s="247"/>
      <c r="AA1141" s="247"/>
      <c r="AB1141" s="247"/>
    </row>
    <row r="1142">
      <c r="A1142" s="247"/>
      <c r="B1142" s="441"/>
      <c r="C1142" s="441"/>
      <c r="D1142" s="441"/>
      <c r="E1142" s="247"/>
      <c r="F1142" s="247"/>
      <c r="G1142" s="247"/>
      <c r="H1142" s="247"/>
      <c r="I1142" s="247"/>
      <c r="J1142" s="247"/>
      <c r="K1142" s="247"/>
      <c r="L1142" s="247"/>
      <c r="M1142" s="247"/>
      <c r="N1142" s="247"/>
      <c r="O1142" s="247"/>
      <c r="P1142" s="247"/>
      <c r="Q1142" s="247"/>
      <c r="R1142" s="247"/>
      <c r="S1142" s="247"/>
      <c r="T1142" s="247"/>
      <c r="U1142" s="247"/>
      <c r="V1142" s="247"/>
      <c r="W1142" s="247"/>
      <c r="X1142" s="247"/>
      <c r="Y1142" s="247"/>
      <c r="Z1142" s="247"/>
      <c r="AA1142" s="247"/>
      <c r="AB1142" s="247"/>
    </row>
    <row r="1143">
      <c r="A1143" s="247"/>
      <c r="B1143" s="441"/>
      <c r="C1143" s="441"/>
      <c r="D1143" s="441"/>
      <c r="E1143" s="247"/>
      <c r="F1143" s="247"/>
      <c r="G1143" s="247"/>
      <c r="H1143" s="247"/>
      <c r="I1143" s="247"/>
      <c r="J1143" s="247"/>
      <c r="K1143" s="247"/>
      <c r="L1143" s="247"/>
      <c r="M1143" s="247"/>
      <c r="N1143" s="247"/>
      <c r="O1143" s="247"/>
      <c r="P1143" s="247"/>
      <c r="Q1143" s="247"/>
      <c r="R1143" s="247"/>
      <c r="S1143" s="247"/>
      <c r="T1143" s="247"/>
      <c r="U1143" s="247"/>
      <c r="V1143" s="247"/>
      <c r="W1143" s="247"/>
      <c r="X1143" s="247"/>
      <c r="Y1143" s="247"/>
      <c r="Z1143" s="247"/>
      <c r="AA1143" s="247"/>
      <c r="AB1143" s="247"/>
    </row>
    <row r="1144">
      <c r="A1144" s="247"/>
      <c r="B1144" s="441"/>
      <c r="C1144" s="441"/>
      <c r="D1144" s="441"/>
      <c r="E1144" s="247"/>
      <c r="F1144" s="247"/>
      <c r="G1144" s="247"/>
      <c r="H1144" s="247"/>
      <c r="I1144" s="247"/>
      <c r="J1144" s="247"/>
      <c r="K1144" s="247"/>
      <c r="L1144" s="247"/>
      <c r="M1144" s="247"/>
      <c r="N1144" s="247"/>
      <c r="O1144" s="247"/>
      <c r="P1144" s="247"/>
      <c r="Q1144" s="247"/>
      <c r="R1144" s="247"/>
      <c r="S1144" s="247"/>
      <c r="T1144" s="247"/>
      <c r="U1144" s="247"/>
      <c r="V1144" s="247"/>
      <c r="W1144" s="247"/>
      <c r="X1144" s="247"/>
      <c r="Y1144" s="247"/>
      <c r="Z1144" s="247"/>
      <c r="AA1144" s="247"/>
      <c r="AB1144" s="247"/>
    </row>
    <row r="1145">
      <c r="A1145" s="247"/>
      <c r="B1145" s="441"/>
      <c r="C1145" s="441"/>
      <c r="D1145" s="441"/>
      <c r="E1145" s="247"/>
      <c r="F1145" s="247"/>
      <c r="G1145" s="247"/>
      <c r="H1145" s="247"/>
      <c r="I1145" s="247"/>
      <c r="J1145" s="247"/>
      <c r="K1145" s="247"/>
      <c r="L1145" s="247"/>
      <c r="M1145" s="247"/>
      <c r="N1145" s="247"/>
      <c r="O1145" s="247"/>
      <c r="P1145" s="247"/>
      <c r="Q1145" s="247"/>
      <c r="R1145" s="247"/>
      <c r="S1145" s="247"/>
      <c r="T1145" s="247"/>
      <c r="U1145" s="247"/>
      <c r="V1145" s="247"/>
      <c r="W1145" s="247"/>
      <c r="X1145" s="247"/>
      <c r="Y1145" s="247"/>
      <c r="Z1145" s="247"/>
      <c r="AA1145" s="247"/>
      <c r="AB1145" s="247"/>
    </row>
    <row r="1146">
      <c r="A1146" s="247"/>
      <c r="B1146" s="441"/>
      <c r="C1146" s="441"/>
      <c r="D1146" s="441"/>
      <c r="E1146" s="247"/>
      <c r="F1146" s="247"/>
      <c r="G1146" s="247"/>
      <c r="H1146" s="247"/>
      <c r="I1146" s="247"/>
      <c r="J1146" s="247"/>
      <c r="K1146" s="247"/>
      <c r="L1146" s="247"/>
      <c r="M1146" s="247"/>
      <c r="N1146" s="247"/>
      <c r="O1146" s="247"/>
      <c r="P1146" s="247"/>
      <c r="Q1146" s="247"/>
      <c r="R1146" s="247"/>
      <c r="S1146" s="247"/>
      <c r="T1146" s="247"/>
      <c r="U1146" s="247"/>
      <c r="V1146" s="247"/>
      <c r="W1146" s="247"/>
      <c r="X1146" s="247"/>
      <c r="Y1146" s="247"/>
      <c r="Z1146" s="247"/>
      <c r="AA1146" s="247"/>
      <c r="AB1146" s="247"/>
    </row>
    <row r="1147">
      <c r="A1147" s="247"/>
      <c r="B1147" s="441"/>
      <c r="C1147" s="441"/>
      <c r="D1147" s="441"/>
      <c r="E1147" s="247"/>
      <c r="F1147" s="247"/>
      <c r="G1147" s="247"/>
      <c r="H1147" s="247"/>
      <c r="I1147" s="247"/>
      <c r="J1147" s="247"/>
      <c r="K1147" s="247"/>
      <c r="L1147" s="247"/>
      <c r="M1147" s="247"/>
      <c r="N1147" s="247"/>
      <c r="O1147" s="247"/>
      <c r="P1147" s="247"/>
      <c r="Q1147" s="247"/>
      <c r="R1147" s="247"/>
      <c r="S1147" s="247"/>
      <c r="T1147" s="247"/>
      <c r="U1147" s="247"/>
      <c r="V1147" s="247"/>
      <c r="W1147" s="247"/>
      <c r="X1147" s="247"/>
      <c r="Y1147" s="247"/>
      <c r="Z1147" s="247"/>
      <c r="AA1147" s="247"/>
      <c r="AB1147" s="247"/>
    </row>
    <row r="1148">
      <c r="A1148" s="247"/>
      <c r="B1148" s="441"/>
      <c r="C1148" s="441"/>
      <c r="D1148" s="441"/>
      <c r="E1148" s="247"/>
      <c r="F1148" s="247"/>
      <c r="G1148" s="247"/>
      <c r="H1148" s="247"/>
      <c r="I1148" s="247"/>
      <c r="J1148" s="247"/>
      <c r="K1148" s="247"/>
      <c r="L1148" s="247"/>
      <c r="M1148" s="247"/>
      <c r="N1148" s="247"/>
      <c r="O1148" s="247"/>
      <c r="P1148" s="247"/>
      <c r="Q1148" s="247"/>
      <c r="R1148" s="247"/>
      <c r="S1148" s="247"/>
      <c r="T1148" s="247"/>
      <c r="U1148" s="247"/>
      <c r="V1148" s="247"/>
      <c r="W1148" s="247"/>
      <c r="X1148" s="247"/>
      <c r="Y1148" s="247"/>
      <c r="Z1148" s="247"/>
      <c r="AA1148" s="247"/>
      <c r="AB1148" s="247"/>
    </row>
    <row r="1149">
      <c r="A1149" s="247"/>
      <c r="B1149" s="441"/>
      <c r="C1149" s="441"/>
      <c r="D1149" s="441"/>
      <c r="E1149" s="247"/>
      <c r="F1149" s="247"/>
      <c r="G1149" s="247"/>
      <c r="H1149" s="247"/>
      <c r="I1149" s="247"/>
      <c r="J1149" s="247"/>
      <c r="K1149" s="247"/>
      <c r="L1149" s="247"/>
      <c r="M1149" s="247"/>
      <c r="N1149" s="247"/>
      <c r="O1149" s="247"/>
      <c r="P1149" s="247"/>
      <c r="Q1149" s="247"/>
      <c r="R1149" s="247"/>
      <c r="S1149" s="247"/>
      <c r="T1149" s="247"/>
      <c r="U1149" s="247"/>
      <c r="V1149" s="247"/>
      <c r="W1149" s="247"/>
      <c r="X1149" s="247"/>
      <c r="Y1149" s="247"/>
      <c r="Z1149" s="247"/>
      <c r="AA1149" s="247"/>
      <c r="AB1149" s="247"/>
    </row>
    <row r="1150">
      <c r="A1150" s="247"/>
      <c r="B1150" s="441"/>
      <c r="C1150" s="441"/>
      <c r="D1150" s="441"/>
      <c r="E1150" s="247"/>
      <c r="F1150" s="247"/>
      <c r="G1150" s="247"/>
      <c r="H1150" s="247"/>
      <c r="I1150" s="247"/>
      <c r="J1150" s="247"/>
      <c r="K1150" s="247"/>
      <c r="L1150" s="247"/>
      <c r="M1150" s="247"/>
      <c r="N1150" s="247"/>
      <c r="O1150" s="247"/>
      <c r="P1150" s="247"/>
      <c r="Q1150" s="247"/>
      <c r="R1150" s="247"/>
      <c r="S1150" s="247"/>
      <c r="T1150" s="247"/>
      <c r="U1150" s="247"/>
      <c r="V1150" s="247"/>
      <c r="W1150" s="247"/>
      <c r="X1150" s="247"/>
      <c r="Y1150" s="247"/>
      <c r="Z1150" s="247"/>
      <c r="AA1150" s="247"/>
      <c r="AB1150" s="247"/>
    </row>
    <row r="1151">
      <c r="A1151" s="247"/>
      <c r="B1151" s="441"/>
      <c r="C1151" s="441"/>
      <c r="D1151" s="441"/>
      <c r="E1151" s="247"/>
      <c r="F1151" s="247"/>
      <c r="G1151" s="247"/>
      <c r="H1151" s="247"/>
      <c r="I1151" s="247"/>
      <c r="J1151" s="247"/>
      <c r="K1151" s="247"/>
      <c r="L1151" s="247"/>
      <c r="M1151" s="247"/>
      <c r="N1151" s="247"/>
      <c r="O1151" s="247"/>
      <c r="P1151" s="247"/>
      <c r="Q1151" s="247"/>
      <c r="R1151" s="247"/>
      <c r="S1151" s="247"/>
      <c r="T1151" s="247"/>
      <c r="U1151" s="247"/>
      <c r="V1151" s="247"/>
      <c r="W1151" s="247"/>
      <c r="X1151" s="247"/>
      <c r="Y1151" s="247"/>
      <c r="Z1151" s="247"/>
      <c r="AA1151" s="247"/>
      <c r="AB1151" s="247"/>
    </row>
    <row r="1152">
      <c r="A1152" s="247"/>
      <c r="B1152" s="441"/>
      <c r="C1152" s="441"/>
      <c r="D1152" s="441"/>
      <c r="E1152" s="247"/>
      <c r="F1152" s="247"/>
      <c r="G1152" s="247"/>
      <c r="H1152" s="247"/>
      <c r="I1152" s="247"/>
      <c r="J1152" s="247"/>
      <c r="K1152" s="247"/>
      <c r="L1152" s="247"/>
      <c r="M1152" s="247"/>
      <c r="N1152" s="247"/>
      <c r="O1152" s="247"/>
      <c r="P1152" s="247"/>
      <c r="Q1152" s="247"/>
      <c r="R1152" s="247"/>
      <c r="S1152" s="247"/>
      <c r="T1152" s="247"/>
      <c r="U1152" s="247"/>
      <c r="V1152" s="247"/>
      <c r="W1152" s="247"/>
      <c r="X1152" s="247"/>
      <c r="Y1152" s="247"/>
      <c r="Z1152" s="247"/>
      <c r="AA1152" s="247"/>
      <c r="AB1152" s="247"/>
    </row>
    <row r="1153">
      <c r="A1153" s="247"/>
      <c r="B1153" s="441"/>
      <c r="C1153" s="441"/>
      <c r="D1153" s="441"/>
      <c r="E1153" s="247"/>
      <c r="F1153" s="247"/>
      <c r="G1153" s="247"/>
      <c r="H1153" s="247"/>
      <c r="I1153" s="247"/>
      <c r="J1153" s="247"/>
      <c r="K1153" s="247"/>
      <c r="L1153" s="247"/>
      <c r="M1153" s="247"/>
      <c r="N1153" s="247"/>
      <c r="O1153" s="247"/>
      <c r="P1153" s="247"/>
      <c r="Q1153" s="247"/>
      <c r="R1153" s="247"/>
      <c r="S1153" s="247"/>
      <c r="T1153" s="247"/>
      <c r="U1153" s="247"/>
      <c r="V1153" s="247"/>
      <c r="W1153" s="247"/>
      <c r="X1153" s="247"/>
      <c r="Y1153" s="247"/>
      <c r="Z1153" s="247"/>
      <c r="AA1153" s="247"/>
      <c r="AB1153" s="247"/>
    </row>
    <row r="1154">
      <c r="A1154" s="247"/>
      <c r="B1154" s="441"/>
      <c r="C1154" s="441"/>
      <c r="D1154" s="441"/>
      <c r="E1154" s="247"/>
      <c r="F1154" s="247"/>
      <c r="G1154" s="247"/>
      <c r="H1154" s="247"/>
      <c r="I1154" s="247"/>
      <c r="J1154" s="247"/>
      <c r="K1154" s="247"/>
      <c r="L1154" s="247"/>
      <c r="M1154" s="247"/>
      <c r="N1154" s="247"/>
      <c r="O1154" s="247"/>
      <c r="P1154" s="247"/>
      <c r="Q1154" s="247"/>
      <c r="R1154" s="247"/>
      <c r="S1154" s="247"/>
      <c r="T1154" s="247"/>
      <c r="U1154" s="247"/>
      <c r="V1154" s="247"/>
      <c r="W1154" s="247"/>
      <c r="X1154" s="247"/>
      <c r="Y1154" s="247"/>
      <c r="Z1154" s="247"/>
      <c r="AA1154" s="247"/>
      <c r="AB1154" s="247"/>
    </row>
    <row r="1155">
      <c r="A1155" s="247"/>
      <c r="B1155" s="441"/>
      <c r="C1155" s="441"/>
      <c r="D1155" s="441"/>
      <c r="E1155" s="247"/>
      <c r="F1155" s="247"/>
      <c r="G1155" s="247"/>
      <c r="H1155" s="247"/>
      <c r="I1155" s="247"/>
      <c r="J1155" s="247"/>
      <c r="K1155" s="247"/>
      <c r="L1155" s="247"/>
      <c r="M1155" s="247"/>
      <c r="N1155" s="247"/>
      <c r="O1155" s="247"/>
      <c r="P1155" s="247"/>
      <c r="Q1155" s="247"/>
      <c r="R1155" s="247"/>
      <c r="S1155" s="247"/>
      <c r="T1155" s="247"/>
      <c r="U1155" s="247"/>
      <c r="V1155" s="247"/>
      <c r="W1155" s="247"/>
      <c r="X1155" s="247"/>
      <c r="Y1155" s="247"/>
      <c r="Z1155" s="247"/>
      <c r="AA1155" s="247"/>
      <c r="AB1155" s="247"/>
    </row>
    <row r="1156">
      <c r="A1156" s="247"/>
      <c r="B1156" s="441"/>
      <c r="C1156" s="441"/>
      <c r="D1156" s="441"/>
      <c r="E1156" s="247"/>
      <c r="F1156" s="247"/>
      <c r="G1156" s="247"/>
      <c r="H1156" s="247"/>
      <c r="I1156" s="247"/>
      <c r="J1156" s="247"/>
      <c r="K1156" s="247"/>
      <c r="L1156" s="247"/>
      <c r="M1156" s="247"/>
      <c r="N1156" s="247"/>
      <c r="O1156" s="247"/>
      <c r="P1156" s="247"/>
      <c r="Q1156" s="247"/>
      <c r="R1156" s="247"/>
      <c r="S1156" s="247"/>
      <c r="T1156" s="247"/>
      <c r="U1156" s="247"/>
      <c r="V1156" s="247"/>
      <c r="W1156" s="247"/>
      <c r="X1156" s="247"/>
      <c r="Y1156" s="247"/>
      <c r="Z1156" s="247"/>
      <c r="AA1156" s="247"/>
      <c r="AB1156" s="247"/>
    </row>
    <row r="1157">
      <c r="A1157" s="247"/>
      <c r="B1157" s="441"/>
      <c r="C1157" s="441"/>
      <c r="D1157" s="441"/>
      <c r="E1157" s="247"/>
      <c r="F1157" s="247"/>
      <c r="G1157" s="247"/>
      <c r="H1157" s="247"/>
      <c r="I1157" s="247"/>
      <c r="J1157" s="247"/>
      <c r="K1157" s="247"/>
      <c r="L1157" s="247"/>
      <c r="M1157" s="247"/>
      <c r="N1157" s="247"/>
      <c r="O1157" s="247"/>
      <c r="P1157" s="247"/>
      <c r="Q1157" s="247"/>
      <c r="R1157" s="247"/>
      <c r="S1157" s="247"/>
      <c r="T1157" s="247"/>
      <c r="U1157" s="247"/>
      <c r="V1157" s="247"/>
      <c r="W1157" s="247"/>
      <c r="X1157" s="247"/>
      <c r="Y1157" s="247"/>
      <c r="Z1157" s="247"/>
      <c r="AA1157" s="247"/>
      <c r="AB1157" s="247"/>
    </row>
    <row r="1158">
      <c r="A1158" s="247"/>
      <c r="B1158" s="441"/>
      <c r="C1158" s="441"/>
      <c r="D1158" s="441"/>
      <c r="E1158" s="247"/>
      <c r="F1158" s="247"/>
      <c r="G1158" s="247"/>
      <c r="H1158" s="247"/>
      <c r="I1158" s="247"/>
      <c r="J1158" s="247"/>
      <c r="K1158" s="247"/>
      <c r="L1158" s="247"/>
      <c r="M1158" s="247"/>
      <c r="N1158" s="247"/>
      <c r="O1158" s="247"/>
      <c r="P1158" s="247"/>
      <c r="Q1158" s="247"/>
      <c r="R1158" s="247"/>
      <c r="S1158" s="247"/>
      <c r="T1158" s="247"/>
      <c r="U1158" s="247"/>
      <c r="V1158" s="247"/>
      <c r="W1158" s="247"/>
      <c r="X1158" s="247"/>
      <c r="Y1158" s="247"/>
      <c r="Z1158" s="247"/>
      <c r="AA1158" s="247"/>
      <c r="AB1158" s="247"/>
    </row>
    <row r="1159">
      <c r="A1159" s="247"/>
      <c r="B1159" s="441"/>
      <c r="C1159" s="441"/>
      <c r="D1159" s="441"/>
      <c r="E1159" s="247"/>
      <c r="F1159" s="247"/>
      <c r="G1159" s="247"/>
      <c r="H1159" s="247"/>
      <c r="I1159" s="247"/>
      <c r="J1159" s="247"/>
      <c r="K1159" s="247"/>
      <c r="L1159" s="247"/>
      <c r="M1159" s="247"/>
      <c r="N1159" s="247"/>
      <c r="O1159" s="247"/>
      <c r="P1159" s="247"/>
      <c r="Q1159" s="247"/>
      <c r="R1159" s="247"/>
      <c r="S1159" s="247"/>
      <c r="T1159" s="247"/>
      <c r="U1159" s="247"/>
      <c r="V1159" s="247"/>
      <c r="W1159" s="247"/>
      <c r="X1159" s="247"/>
      <c r="Y1159" s="247"/>
      <c r="Z1159" s="247"/>
      <c r="AA1159" s="247"/>
      <c r="AB1159" s="247"/>
    </row>
    <row r="1160">
      <c r="A1160" s="247"/>
      <c r="B1160" s="441"/>
      <c r="C1160" s="441"/>
      <c r="D1160" s="441"/>
      <c r="E1160" s="247"/>
      <c r="F1160" s="247"/>
      <c r="G1160" s="247"/>
      <c r="H1160" s="247"/>
      <c r="I1160" s="247"/>
      <c r="J1160" s="247"/>
      <c r="K1160" s="247"/>
      <c r="L1160" s="247"/>
      <c r="M1160" s="247"/>
      <c r="N1160" s="247"/>
      <c r="O1160" s="247"/>
      <c r="P1160" s="247"/>
      <c r="Q1160" s="247"/>
      <c r="R1160" s="247"/>
      <c r="S1160" s="247"/>
      <c r="T1160" s="247"/>
      <c r="U1160" s="247"/>
      <c r="V1160" s="247"/>
      <c r="W1160" s="247"/>
      <c r="X1160" s="247"/>
      <c r="Y1160" s="247"/>
      <c r="Z1160" s="247"/>
      <c r="AA1160" s="247"/>
      <c r="AB1160" s="247"/>
    </row>
    <row r="1161">
      <c r="A1161" s="247"/>
      <c r="B1161" s="441"/>
      <c r="C1161" s="441"/>
      <c r="D1161" s="441"/>
      <c r="E1161" s="247"/>
      <c r="F1161" s="247"/>
      <c r="G1161" s="247"/>
      <c r="H1161" s="247"/>
      <c r="I1161" s="247"/>
      <c r="J1161" s="247"/>
      <c r="K1161" s="247"/>
      <c r="L1161" s="247"/>
      <c r="M1161" s="247"/>
      <c r="N1161" s="247"/>
      <c r="O1161" s="247"/>
      <c r="P1161" s="247"/>
      <c r="Q1161" s="247"/>
      <c r="R1161" s="247"/>
      <c r="S1161" s="247"/>
      <c r="T1161" s="247"/>
      <c r="U1161" s="247"/>
      <c r="V1161" s="247"/>
      <c r="W1161" s="247"/>
      <c r="X1161" s="247"/>
      <c r="Y1161" s="247"/>
      <c r="Z1161" s="247"/>
      <c r="AA1161" s="247"/>
      <c r="AB1161" s="247"/>
    </row>
    <row r="1162">
      <c r="A1162" s="247"/>
      <c r="B1162" s="441"/>
      <c r="C1162" s="441"/>
      <c r="D1162" s="441"/>
      <c r="E1162" s="247"/>
      <c r="F1162" s="247"/>
      <c r="G1162" s="247"/>
      <c r="H1162" s="247"/>
      <c r="I1162" s="247"/>
      <c r="J1162" s="247"/>
      <c r="K1162" s="247"/>
      <c r="L1162" s="247"/>
      <c r="M1162" s="247"/>
      <c r="N1162" s="247"/>
      <c r="O1162" s="247"/>
      <c r="P1162" s="247"/>
      <c r="Q1162" s="247"/>
      <c r="R1162" s="247"/>
      <c r="S1162" s="247"/>
      <c r="T1162" s="247"/>
      <c r="U1162" s="247"/>
      <c r="V1162" s="247"/>
      <c r="W1162" s="247"/>
      <c r="X1162" s="247"/>
      <c r="Y1162" s="247"/>
      <c r="Z1162" s="247"/>
      <c r="AA1162" s="247"/>
      <c r="AB1162" s="247"/>
    </row>
    <row r="1163">
      <c r="A1163" s="247"/>
      <c r="B1163" s="441"/>
      <c r="C1163" s="441"/>
      <c r="D1163" s="441"/>
      <c r="E1163" s="247"/>
      <c r="F1163" s="247"/>
      <c r="G1163" s="247"/>
      <c r="H1163" s="247"/>
      <c r="I1163" s="247"/>
      <c r="J1163" s="247"/>
      <c r="K1163" s="247"/>
      <c r="L1163" s="247"/>
      <c r="M1163" s="247"/>
      <c r="N1163" s="247"/>
      <c r="O1163" s="247"/>
      <c r="P1163" s="247"/>
      <c r="Q1163" s="247"/>
      <c r="R1163" s="247"/>
      <c r="S1163" s="247"/>
      <c r="T1163" s="247"/>
      <c r="U1163" s="247"/>
      <c r="V1163" s="247"/>
      <c r="W1163" s="247"/>
      <c r="X1163" s="247"/>
      <c r="Y1163" s="247"/>
      <c r="Z1163" s="247"/>
      <c r="AA1163" s="247"/>
      <c r="AB1163" s="247"/>
    </row>
    <row r="1164">
      <c r="A1164" s="247"/>
      <c r="B1164" s="441"/>
      <c r="C1164" s="441"/>
      <c r="D1164" s="441"/>
      <c r="E1164" s="247"/>
      <c r="F1164" s="247"/>
      <c r="G1164" s="247"/>
      <c r="H1164" s="247"/>
      <c r="I1164" s="247"/>
      <c r="J1164" s="247"/>
      <c r="K1164" s="247"/>
      <c r="L1164" s="247"/>
      <c r="M1164" s="247"/>
      <c r="N1164" s="247"/>
      <c r="O1164" s="247"/>
      <c r="P1164" s="247"/>
      <c r="Q1164" s="247"/>
      <c r="R1164" s="247"/>
      <c r="S1164" s="247"/>
      <c r="T1164" s="247"/>
      <c r="U1164" s="247"/>
      <c r="V1164" s="247"/>
      <c r="W1164" s="247"/>
      <c r="X1164" s="247"/>
      <c r="Y1164" s="247"/>
      <c r="Z1164" s="247"/>
      <c r="AA1164" s="247"/>
      <c r="AB1164" s="247"/>
    </row>
    <row r="1165">
      <c r="A1165" s="247"/>
      <c r="B1165" s="441"/>
      <c r="C1165" s="441"/>
      <c r="D1165" s="441"/>
      <c r="E1165" s="247"/>
      <c r="F1165" s="247"/>
      <c r="G1165" s="247"/>
      <c r="H1165" s="247"/>
      <c r="I1165" s="247"/>
      <c r="J1165" s="247"/>
      <c r="K1165" s="247"/>
      <c r="L1165" s="247"/>
      <c r="M1165" s="247"/>
      <c r="N1165" s="247"/>
      <c r="O1165" s="247"/>
      <c r="P1165" s="247"/>
      <c r="Q1165" s="247"/>
      <c r="R1165" s="247"/>
      <c r="S1165" s="247"/>
      <c r="T1165" s="247"/>
      <c r="U1165" s="247"/>
      <c r="V1165" s="247"/>
      <c r="W1165" s="247"/>
      <c r="X1165" s="247"/>
      <c r="Y1165" s="247"/>
      <c r="Z1165" s="247"/>
      <c r="AA1165" s="247"/>
      <c r="AB1165" s="247"/>
    </row>
    <row r="1166">
      <c r="A1166" s="247"/>
      <c r="B1166" s="441"/>
      <c r="C1166" s="441"/>
      <c r="D1166" s="441"/>
      <c r="E1166" s="247"/>
      <c r="F1166" s="247"/>
      <c r="G1166" s="247"/>
      <c r="H1166" s="247"/>
      <c r="I1166" s="247"/>
      <c r="J1166" s="247"/>
      <c r="K1166" s="247"/>
      <c r="L1166" s="247"/>
      <c r="M1166" s="247"/>
      <c r="N1166" s="247"/>
      <c r="O1166" s="247"/>
      <c r="P1166" s="247"/>
      <c r="Q1166" s="247"/>
      <c r="R1166" s="247"/>
      <c r="S1166" s="247"/>
      <c r="T1166" s="247"/>
      <c r="U1166" s="247"/>
      <c r="V1166" s="247"/>
      <c r="W1166" s="247"/>
      <c r="X1166" s="247"/>
      <c r="Y1166" s="247"/>
      <c r="Z1166" s="247"/>
      <c r="AA1166" s="247"/>
      <c r="AB1166" s="247"/>
    </row>
    <row r="1167">
      <c r="A1167" s="247"/>
      <c r="B1167" s="441"/>
      <c r="C1167" s="441"/>
      <c r="D1167" s="441"/>
      <c r="E1167" s="247"/>
      <c r="F1167" s="247"/>
      <c r="G1167" s="247"/>
      <c r="H1167" s="247"/>
      <c r="I1167" s="247"/>
      <c r="J1167" s="247"/>
      <c r="K1167" s="247"/>
      <c r="L1167" s="247"/>
      <c r="M1167" s="247"/>
      <c r="N1167" s="247"/>
      <c r="O1167" s="247"/>
      <c r="P1167" s="247"/>
      <c r="Q1167" s="247"/>
      <c r="R1167" s="247"/>
      <c r="S1167" s="247"/>
      <c r="T1167" s="247"/>
      <c r="U1167" s="247"/>
      <c r="V1167" s="247"/>
      <c r="W1167" s="247"/>
      <c r="X1167" s="247"/>
      <c r="Y1167" s="247"/>
      <c r="Z1167" s="247"/>
      <c r="AA1167" s="247"/>
      <c r="AB1167" s="247"/>
    </row>
    <row r="1168">
      <c r="A1168" s="247"/>
      <c r="B1168" s="441"/>
      <c r="C1168" s="441"/>
      <c r="D1168" s="441"/>
      <c r="E1168" s="247"/>
      <c r="F1168" s="247"/>
      <c r="G1168" s="247"/>
      <c r="H1168" s="247"/>
      <c r="I1168" s="247"/>
      <c r="J1168" s="247"/>
      <c r="K1168" s="247"/>
      <c r="L1168" s="247"/>
      <c r="M1168" s="247"/>
      <c r="N1168" s="247"/>
      <c r="O1168" s="247"/>
      <c r="P1168" s="247"/>
      <c r="Q1168" s="247"/>
      <c r="R1168" s="247"/>
      <c r="S1168" s="247"/>
      <c r="T1168" s="247"/>
      <c r="U1168" s="247"/>
      <c r="V1168" s="247"/>
      <c r="W1168" s="247"/>
      <c r="X1168" s="247"/>
      <c r="Y1168" s="247"/>
      <c r="Z1168" s="247"/>
      <c r="AA1168" s="247"/>
      <c r="AB1168" s="247"/>
    </row>
    <row r="1169">
      <c r="A1169" s="247"/>
      <c r="B1169" s="441"/>
      <c r="C1169" s="441"/>
      <c r="D1169" s="441"/>
      <c r="E1169" s="247"/>
      <c r="F1169" s="247"/>
      <c r="G1169" s="247"/>
      <c r="H1169" s="247"/>
      <c r="I1169" s="247"/>
      <c r="J1169" s="247"/>
      <c r="K1169" s="247"/>
      <c r="L1169" s="247"/>
      <c r="M1169" s="247"/>
      <c r="N1169" s="247"/>
      <c r="O1169" s="247"/>
      <c r="P1169" s="247"/>
      <c r="Q1169" s="247"/>
      <c r="R1169" s="247"/>
      <c r="S1169" s="247"/>
      <c r="T1169" s="247"/>
      <c r="U1169" s="247"/>
      <c r="V1169" s="247"/>
      <c r="W1169" s="247"/>
      <c r="X1169" s="247"/>
      <c r="Y1169" s="247"/>
      <c r="Z1169" s="247"/>
      <c r="AA1169" s="247"/>
      <c r="AB1169" s="247"/>
    </row>
    <row r="1170">
      <c r="A1170" s="247"/>
      <c r="B1170" s="441"/>
      <c r="C1170" s="441"/>
      <c r="D1170" s="441"/>
      <c r="E1170" s="247"/>
      <c r="F1170" s="247"/>
      <c r="G1170" s="247"/>
      <c r="H1170" s="247"/>
      <c r="I1170" s="247"/>
      <c r="J1170" s="247"/>
      <c r="K1170" s="247"/>
      <c r="L1170" s="247"/>
      <c r="M1170" s="247"/>
      <c r="N1170" s="247"/>
      <c r="O1170" s="247"/>
      <c r="P1170" s="247"/>
      <c r="Q1170" s="247"/>
      <c r="R1170" s="247"/>
      <c r="S1170" s="247"/>
      <c r="T1170" s="247"/>
      <c r="U1170" s="247"/>
      <c r="V1170" s="247"/>
      <c r="W1170" s="247"/>
      <c r="X1170" s="247"/>
      <c r="Y1170" s="247"/>
      <c r="Z1170" s="247"/>
      <c r="AA1170" s="247"/>
      <c r="AB1170" s="247"/>
    </row>
    <row r="1171">
      <c r="A1171" s="247"/>
      <c r="B1171" s="441"/>
      <c r="C1171" s="441"/>
      <c r="D1171" s="441"/>
      <c r="E1171" s="247"/>
      <c r="F1171" s="247"/>
      <c r="G1171" s="247"/>
      <c r="H1171" s="247"/>
      <c r="I1171" s="247"/>
      <c r="J1171" s="247"/>
      <c r="K1171" s="247"/>
      <c r="L1171" s="247"/>
      <c r="M1171" s="247"/>
      <c r="N1171" s="247"/>
      <c r="O1171" s="247"/>
      <c r="P1171" s="247"/>
      <c r="Q1171" s="247"/>
      <c r="R1171" s="247"/>
      <c r="S1171" s="247"/>
      <c r="T1171" s="247"/>
      <c r="U1171" s="247"/>
      <c r="V1171" s="247"/>
      <c r="W1171" s="247"/>
      <c r="X1171" s="247"/>
      <c r="Y1171" s="247"/>
      <c r="Z1171" s="247"/>
      <c r="AA1171" s="247"/>
      <c r="AB1171" s="247"/>
    </row>
    <row r="1172">
      <c r="A1172" s="247"/>
      <c r="B1172" s="441"/>
      <c r="C1172" s="441"/>
      <c r="D1172" s="441"/>
      <c r="E1172" s="247"/>
      <c r="F1172" s="247"/>
      <c r="G1172" s="247"/>
      <c r="H1172" s="247"/>
      <c r="I1172" s="247"/>
      <c r="J1172" s="247"/>
      <c r="K1172" s="247"/>
      <c r="L1172" s="247"/>
      <c r="M1172" s="247"/>
      <c r="N1172" s="247"/>
      <c r="O1172" s="247"/>
      <c r="P1172" s="247"/>
      <c r="Q1172" s="247"/>
      <c r="R1172" s="247"/>
      <c r="S1172" s="247"/>
      <c r="T1172" s="247"/>
      <c r="U1172" s="247"/>
      <c r="V1172" s="247"/>
      <c r="W1172" s="247"/>
      <c r="X1172" s="247"/>
      <c r="Y1172" s="247"/>
      <c r="Z1172" s="247"/>
      <c r="AA1172" s="247"/>
      <c r="AB1172" s="247"/>
    </row>
    <row r="1173">
      <c r="A1173" s="247"/>
      <c r="B1173" s="441"/>
      <c r="C1173" s="441"/>
      <c r="D1173" s="441"/>
      <c r="E1173" s="247"/>
      <c r="F1173" s="247"/>
      <c r="G1173" s="247"/>
      <c r="H1173" s="247"/>
      <c r="I1173" s="247"/>
      <c r="J1173" s="247"/>
      <c r="K1173" s="247"/>
      <c r="L1173" s="247"/>
      <c r="M1173" s="247"/>
      <c r="N1173" s="247"/>
      <c r="O1173" s="247"/>
      <c r="P1173" s="247"/>
      <c r="Q1173" s="247"/>
      <c r="R1173" s="247"/>
      <c r="S1173" s="247"/>
      <c r="T1173" s="247"/>
      <c r="U1173" s="247"/>
      <c r="V1173" s="247"/>
      <c r="W1173" s="247"/>
      <c r="X1173" s="247"/>
      <c r="Y1173" s="247"/>
      <c r="Z1173" s="247"/>
      <c r="AA1173" s="247"/>
      <c r="AB1173" s="247"/>
    </row>
    <row r="1174">
      <c r="A1174" s="247"/>
      <c r="B1174" s="441"/>
      <c r="C1174" s="441"/>
      <c r="D1174" s="441"/>
      <c r="E1174" s="247"/>
      <c r="F1174" s="247"/>
      <c r="G1174" s="247"/>
      <c r="H1174" s="247"/>
      <c r="I1174" s="247"/>
      <c r="J1174" s="247"/>
      <c r="K1174" s="247"/>
      <c r="L1174" s="247"/>
      <c r="M1174" s="247"/>
      <c r="N1174" s="247"/>
      <c r="O1174" s="247"/>
      <c r="P1174" s="247"/>
      <c r="Q1174" s="247"/>
      <c r="R1174" s="247"/>
      <c r="S1174" s="247"/>
      <c r="T1174" s="247"/>
      <c r="U1174" s="247"/>
      <c r="V1174" s="247"/>
      <c r="W1174" s="247"/>
      <c r="X1174" s="247"/>
      <c r="Y1174" s="247"/>
      <c r="Z1174" s="247"/>
      <c r="AA1174" s="247"/>
      <c r="AB1174" s="247"/>
    </row>
    <row r="1175">
      <c r="A1175" s="247"/>
      <c r="B1175" s="441"/>
      <c r="C1175" s="441"/>
      <c r="D1175" s="441"/>
      <c r="E1175" s="247"/>
      <c r="F1175" s="247"/>
      <c r="G1175" s="247"/>
      <c r="H1175" s="247"/>
      <c r="I1175" s="247"/>
      <c r="J1175" s="247"/>
      <c r="K1175" s="247"/>
      <c r="L1175" s="247"/>
      <c r="M1175" s="247"/>
      <c r="N1175" s="247"/>
      <c r="O1175" s="247"/>
      <c r="P1175" s="247"/>
      <c r="Q1175" s="247"/>
      <c r="R1175" s="247"/>
      <c r="S1175" s="247"/>
      <c r="T1175" s="247"/>
      <c r="U1175" s="247"/>
      <c r="V1175" s="247"/>
      <c r="W1175" s="247"/>
      <c r="X1175" s="247"/>
      <c r="Y1175" s="247"/>
      <c r="Z1175" s="247"/>
      <c r="AA1175" s="247"/>
      <c r="AB1175" s="247"/>
    </row>
    <row r="1176">
      <c r="A1176" s="247"/>
      <c r="B1176" s="441"/>
      <c r="C1176" s="441"/>
      <c r="D1176" s="441"/>
      <c r="E1176" s="247"/>
      <c r="F1176" s="247"/>
      <c r="G1176" s="247"/>
      <c r="H1176" s="247"/>
      <c r="I1176" s="247"/>
      <c r="J1176" s="247"/>
      <c r="K1176" s="247"/>
      <c r="L1176" s="247"/>
      <c r="M1176" s="247"/>
      <c r="N1176" s="247"/>
      <c r="O1176" s="247"/>
      <c r="P1176" s="247"/>
      <c r="Q1176" s="247"/>
      <c r="R1176" s="247"/>
      <c r="S1176" s="247"/>
      <c r="T1176" s="247"/>
      <c r="U1176" s="247"/>
      <c r="V1176" s="247"/>
      <c r="W1176" s="247"/>
      <c r="X1176" s="247"/>
      <c r="Y1176" s="247"/>
      <c r="Z1176" s="247"/>
      <c r="AA1176" s="247"/>
      <c r="AB1176" s="247"/>
    </row>
    <row r="1177">
      <c r="A1177" s="247"/>
      <c r="B1177" s="441"/>
      <c r="C1177" s="441"/>
      <c r="D1177" s="441"/>
      <c r="E1177" s="247"/>
      <c r="F1177" s="247"/>
      <c r="G1177" s="247"/>
      <c r="H1177" s="247"/>
      <c r="I1177" s="247"/>
      <c r="J1177" s="247"/>
      <c r="K1177" s="247"/>
      <c r="L1177" s="247"/>
      <c r="M1177" s="247"/>
      <c r="N1177" s="247"/>
      <c r="O1177" s="247"/>
      <c r="P1177" s="247"/>
      <c r="Q1177" s="247"/>
      <c r="R1177" s="247"/>
      <c r="S1177" s="247"/>
      <c r="T1177" s="247"/>
      <c r="U1177" s="247"/>
      <c r="V1177" s="247"/>
      <c r="W1177" s="247"/>
      <c r="X1177" s="247"/>
      <c r="Y1177" s="247"/>
      <c r="Z1177" s="247"/>
      <c r="AA1177" s="247"/>
      <c r="AB1177" s="247"/>
    </row>
    <row r="1178">
      <c r="A1178" s="247"/>
      <c r="B1178" s="441"/>
      <c r="C1178" s="441"/>
      <c r="D1178" s="441"/>
      <c r="E1178" s="247"/>
      <c r="F1178" s="247"/>
      <c r="G1178" s="247"/>
      <c r="H1178" s="247"/>
      <c r="I1178" s="247"/>
      <c r="J1178" s="247"/>
      <c r="K1178" s="247"/>
      <c r="L1178" s="247"/>
      <c r="M1178" s="247"/>
      <c r="N1178" s="247"/>
      <c r="O1178" s="247"/>
      <c r="P1178" s="247"/>
      <c r="Q1178" s="247"/>
      <c r="R1178" s="247"/>
      <c r="S1178" s="247"/>
      <c r="T1178" s="247"/>
      <c r="U1178" s="247"/>
      <c r="V1178" s="247"/>
      <c r="W1178" s="247"/>
      <c r="X1178" s="247"/>
      <c r="Y1178" s="247"/>
      <c r="Z1178" s="247"/>
      <c r="AA1178" s="247"/>
      <c r="AB1178" s="247"/>
    </row>
    <row r="1179">
      <c r="A1179" s="247"/>
      <c r="B1179" s="441"/>
      <c r="C1179" s="441"/>
      <c r="D1179" s="441"/>
      <c r="E1179" s="247"/>
      <c r="F1179" s="247"/>
      <c r="G1179" s="247"/>
      <c r="H1179" s="247"/>
      <c r="I1179" s="247"/>
      <c r="J1179" s="247"/>
      <c r="K1179" s="247"/>
      <c r="L1179" s="247"/>
      <c r="M1179" s="247"/>
      <c r="N1179" s="247"/>
      <c r="O1179" s="247"/>
      <c r="P1179" s="247"/>
      <c r="Q1179" s="247"/>
      <c r="R1179" s="247"/>
      <c r="S1179" s="247"/>
      <c r="T1179" s="247"/>
      <c r="U1179" s="247"/>
      <c r="V1179" s="247"/>
      <c r="W1179" s="247"/>
      <c r="X1179" s="247"/>
      <c r="Y1179" s="247"/>
      <c r="Z1179" s="247"/>
      <c r="AA1179" s="247"/>
      <c r="AB1179" s="247"/>
    </row>
    <row r="1180">
      <c r="A1180" s="247"/>
      <c r="B1180" s="441"/>
      <c r="C1180" s="441"/>
      <c r="D1180" s="441"/>
      <c r="E1180" s="247"/>
      <c r="F1180" s="247"/>
      <c r="G1180" s="247"/>
      <c r="H1180" s="247"/>
      <c r="I1180" s="247"/>
      <c r="J1180" s="247"/>
      <c r="K1180" s="247"/>
      <c r="L1180" s="247"/>
      <c r="M1180" s="247"/>
      <c r="N1180" s="247"/>
      <c r="O1180" s="247"/>
      <c r="P1180" s="247"/>
      <c r="Q1180" s="247"/>
      <c r="R1180" s="247"/>
      <c r="S1180" s="247"/>
      <c r="T1180" s="247"/>
      <c r="U1180" s="247"/>
      <c r="V1180" s="247"/>
      <c r="W1180" s="247"/>
      <c r="X1180" s="247"/>
      <c r="Y1180" s="247"/>
      <c r="Z1180" s="247"/>
      <c r="AA1180" s="247"/>
      <c r="AB1180" s="247"/>
    </row>
    <row r="1181">
      <c r="A1181" s="247"/>
      <c r="B1181" s="441"/>
      <c r="C1181" s="441"/>
      <c r="D1181" s="441"/>
      <c r="E1181" s="247"/>
      <c r="F1181" s="247"/>
      <c r="G1181" s="247"/>
      <c r="H1181" s="247"/>
      <c r="I1181" s="247"/>
      <c r="J1181" s="247"/>
      <c r="K1181" s="247"/>
      <c r="L1181" s="247"/>
      <c r="M1181" s="247"/>
      <c r="N1181" s="247"/>
      <c r="O1181" s="247"/>
      <c r="P1181" s="247"/>
      <c r="Q1181" s="247"/>
      <c r="R1181" s="247"/>
      <c r="S1181" s="247"/>
      <c r="T1181" s="247"/>
      <c r="U1181" s="247"/>
      <c r="V1181" s="247"/>
      <c r="W1181" s="247"/>
      <c r="X1181" s="247"/>
      <c r="Y1181" s="247"/>
      <c r="Z1181" s="247"/>
      <c r="AA1181" s="247"/>
      <c r="AB1181" s="247"/>
    </row>
    <row r="1182">
      <c r="A1182" s="247"/>
      <c r="B1182" s="441"/>
      <c r="C1182" s="441"/>
      <c r="D1182" s="441"/>
      <c r="E1182" s="247"/>
      <c r="F1182" s="247"/>
      <c r="G1182" s="247"/>
      <c r="H1182" s="247"/>
      <c r="I1182" s="247"/>
      <c r="J1182" s="247"/>
      <c r="K1182" s="247"/>
      <c r="L1182" s="247"/>
      <c r="M1182" s="247"/>
      <c r="N1182" s="247"/>
      <c r="O1182" s="247"/>
      <c r="P1182" s="247"/>
      <c r="Q1182" s="247"/>
      <c r="R1182" s="247"/>
      <c r="S1182" s="247"/>
      <c r="T1182" s="247"/>
      <c r="U1182" s="247"/>
      <c r="V1182" s="247"/>
      <c r="W1182" s="247"/>
      <c r="X1182" s="247"/>
      <c r="Y1182" s="247"/>
      <c r="Z1182" s="247"/>
      <c r="AA1182" s="247"/>
      <c r="AB1182" s="247"/>
    </row>
    <row r="1183">
      <c r="A1183" s="247"/>
      <c r="B1183" s="441"/>
      <c r="C1183" s="441"/>
      <c r="D1183" s="441"/>
      <c r="E1183" s="247"/>
      <c r="F1183" s="247"/>
      <c r="G1183" s="247"/>
      <c r="H1183" s="247"/>
      <c r="I1183" s="247"/>
      <c r="J1183" s="247"/>
      <c r="K1183" s="247"/>
      <c r="L1183" s="247"/>
      <c r="M1183" s="247"/>
      <c r="N1183" s="247"/>
      <c r="O1183" s="247"/>
      <c r="P1183" s="247"/>
      <c r="Q1183" s="247"/>
      <c r="R1183" s="247"/>
      <c r="S1183" s="247"/>
      <c r="T1183" s="247"/>
      <c r="U1183" s="247"/>
      <c r="V1183" s="247"/>
      <c r="W1183" s="247"/>
      <c r="X1183" s="247"/>
      <c r="Y1183" s="247"/>
      <c r="Z1183" s="247"/>
      <c r="AA1183" s="247"/>
      <c r="AB1183" s="247"/>
    </row>
    <row r="1184">
      <c r="A1184" s="247"/>
      <c r="B1184" s="441"/>
      <c r="C1184" s="441"/>
      <c r="D1184" s="441"/>
      <c r="E1184" s="247"/>
      <c r="F1184" s="247"/>
      <c r="G1184" s="247"/>
      <c r="H1184" s="247"/>
      <c r="I1184" s="247"/>
      <c r="J1184" s="247"/>
      <c r="K1184" s="247"/>
      <c r="L1184" s="247"/>
      <c r="M1184" s="247"/>
      <c r="N1184" s="247"/>
      <c r="O1184" s="247"/>
      <c r="P1184" s="247"/>
      <c r="Q1184" s="247"/>
      <c r="R1184" s="247"/>
      <c r="S1184" s="247"/>
      <c r="T1184" s="247"/>
      <c r="U1184" s="247"/>
      <c r="V1184" s="247"/>
      <c r="W1184" s="247"/>
      <c r="X1184" s="247"/>
      <c r="Y1184" s="247"/>
      <c r="Z1184" s="247"/>
      <c r="AA1184" s="247"/>
      <c r="AB1184" s="247"/>
    </row>
    <row r="1185">
      <c r="A1185" s="247"/>
      <c r="B1185" s="441"/>
      <c r="C1185" s="441"/>
      <c r="D1185" s="441"/>
      <c r="E1185" s="247"/>
      <c r="F1185" s="247"/>
      <c r="G1185" s="247"/>
      <c r="H1185" s="247"/>
      <c r="I1185" s="247"/>
      <c r="J1185" s="247"/>
      <c r="K1185" s="247"/>
      <c r="L1185" s="247"/>
      <c r="M1185" s="247"/>
      <c r="N1185" s="247"/>
      <c r="O1185" s="247"/>
      <c r="P1185" s="247"/>
      <c r="Q1185" s="247"/>
      <c r="R1185" s="247"/>
      <c r="S1185" s="247"/>
      <c r="T1185" s="247"/>
      <c r="U1185" s="247"/>
      <c r="V1185" s="247"/>
      <c r="W1185" s="247"/>
      <c r="X1185" s="247"/>
      <c r="Y1185" s="247"/>
      <c r="Z1185" s="247"/>
      <c r="AA1185" s="247"/>
      <c r="AB1185" s="247"/>
    </row>
    <row r="1186">
      <c r="A1186" s="247"/>
      <c r="B1186" s="441"/>
      <c r="C1186" s="441"/>
      <c r="D1186" s="441"/>
      <c r="E1186" s="247"/>
      <c r="F1186" s="247"/>
      <c r="G1186" s="247"/>
      <c r="H1186" s="247"/>
      <c r="I1186" s="247"/>
      <c r="J1186" s="247"/>
      <c r="K1186" s="247"/>
      <c r="L1186" s="247"/>
      <c r="M1186" s="247"/>
      <c r="N1186" s="247"/>
      <c r="O1186" s="247"/>
      <c r="P1186" s="247"/>
      <c r="Q1186" s="247"/>
      <c r="R1186" s="247"/>
      <c r="S1186" s="247"/>
      <c r="T1186" s="247"/>
      <c r="U1186" s="247"/>
      <c r="V1186" s="247"/>
      <c r="W1186" s="247"/>
      <c r="X1186" s="247"/>
      <c r="Y1186" s="247"/>
      <c r="Z1186" s="247"/>
      <c r="AA1186" s="247"/>
      <c r="AB1186" s="247"/>
    </row>
    <row r="1187">
      <c r="A1187" s="247"/>
      <c r="B1187" s="441"/>
      <c r="C1187" s="441"/>
      <c r="D1187" s="441"/>
      <c r="E1187" s="247"/>
      <c r="F1187" s="247"/>
      <c r="G1187" s="247"/>
      <c r="H1187" s="247"/>
      <c r="I1187" s="247"/>
      <c r="J1187" s="247"/>
      <c r="K1187" s="247"/>
      <c r="L1187" s="247"/>
      <c r="M1187" s="247"/>
      <c r="N1187" s="247"/>
      <c r="O1187" s="247"/>
      <c r="P1187" s="247"/>
      <c r="Q1187" s="247"/>
      <c r="R1187" s="247"/>
      <c r="S1187" s="247"/>
      <c r="T1187" s="247"/>
      <c r="U1187" s="247"/>
      <c r="V1187" s="247"/>
      <c r="W1187" s="247"/>
      <c r="X1187" s="247"/>
      <c r="Y1187" s="247"/>
      <c r="Z1187" s="247"/>
      <c r="AA1187" s="247"/>
      <c r="AB1187" s="247"/>
    </row>
    <row r="1188">
      <c r="A1188" s="247"/>
      <c r="B1188" s="441"/>
      <c r="C1188" s="441"/>
      <c r="D1188" s="441"/>
      <c r="E1188" s="247"/>
      <c r="F1188" s="247"/>
      <c r="G1188" s="247"/>
      <c r="H1188" s="247"/>
      <c r="I1188" s="247"/>
      <c r="J1188" s="247"/>
      <c r="K1188" s="247"/>
      <c r="L1188" s="247"/>
      <c r="M1188" s="247"/>
      <c r="N1188" s="247"/>
      <c r="O1188" s="247"/>
      <c r="P1188" s="247"/>
      <c r="Q1188" s="247"/>
      <c r="R1188" s="247"/>
      <c r="S1188" s="247"/>
      <c r="T1188" s="247"/>
      <c r="U1188" s="247"/>
      <c r="V1188" s="247"/>
      <c r="W1188" s="247"/>
      <c r="X1188" s="247"/>
      <c r="Y1188" s="247"/>
      <c r="Z1188" s="247"/>
      <c r="AA1188" s="247"/>
      <c r="AB1188" s="247"/>
    </row>
    <row r="1189">
      <c r="A1189" s="247"/>
      <c r="B1189" s="441"/>
      <c r="C1189" s="441"/>
      <c r="D1189" s="441"/>
      <c r="E1189" s="247"/>
      <c r="F1189" s="247"/>
      <c r="G1189" s="247"/>
      <c r="H1189" s="247"/>
      <c r="I1189" s="247"/>
      <c r="J1189" s="247"/>
      <c r="K1189" s="247"/>
      <c r="L1189" s="247"/>
      <c r="M1189" s="247"/>
      <c r="N1189" s="247"/>
      <c r="O1189" s="247"/>
      <c r="P1189" s="247"/>
      <c r="Q1189" s="247"/>
      <c r="R1189" s="247"/>
      <c r="S1189" s="247"/>
      <c r="T1189" s="247"/>
      <c r="U1189" s="247"/>
      <c r="V1189" s="247"/>
      <c r="W1189" s="247"/>
      <c r="X1189" s="247"/>
      <c r="Y1189" s="247"/>
      <c r="Z1189" s="247"/>
      <c r="AA1189" s="247"/>
      <c r="AB1189" s="247"/>
    </row>
    <row r="1190">
      <c r="A1190" s="247"/>
      <c r="B1190" s="441"/>
      <c r="C1190" s="441"/>
      <c r="D1190" s="441"/>
      <c r="E1190" s="247"/>
      <c r="F1190" s="247"/>
      <c r="G1190" s="247"/>
      <c r="H1190" s="247"/>
      <c r="I1190" s="247"/>
      <c r="J1190" s="247"/>
      <c r="K1190" s="247"/>
      <c r="L1190" s="247"/>
      <c r="M1190" s="247"/>
      <c r="N1190" s="247"/>
      <c r="O1190" s="247"/>
      <c r="P1190" s="247"/>
      <c r="Q1190" s="247"/>
      <c r="R1190" s="247"/>
      <c r="S1190" s="247"/>
      <c r="T1190" s="247"/>
      <c r="U1190" s="247"/>
      <c r="V1190" s="247"/>
      <c r="W1190" s="247"/>
      <c r="X1190" s="247"/>
      <c r="Y1190" s="247"/>
      <c r="Z1190" s="247"/>
      <c r="AA1190" s="247"/>
      <c r="AB1190" s="247"/>
    </row>
    <row r="1191">
      <c r="A1191" s="247"/>
      <c r="B1191" s="441"/>
      <c r="C1191" s="441"/>
      <c r="D1191" s="441"/>
      <c r="E1191" s="247"/>
      <c r="F1191" s="247"/>
      <c r="G1191" s="247"/>
      <c r="H1191" s="247"/>
      <c r="I1191" s="247"/>
      <c r="J1191" s="247"/>
      <c r="K1191" s="247"/>
      <c r="L1191" s="247"/>
      <c r="M1191" s="247"/>
      <c r="N1191" s="247"/>
      <c r="O1191" s="247"/>
      <c r="P1191" s="247"/>
      <c r="Q1191" s="247"/>
      <c r="R1191" s="247"/>
      <c r="S1191" s="247"/>
      <c r="T1191" s="247"/>
      <c r="U1191" s="247"/>
      <c r="V1191" s="247"/>
      <c r="W1191" s="247"/>
      <c r="X1191" s="247"/>
      <c r="Y1191" s="247"/>
      <c r="Z1191" s="247"/>
      <c r="AA1191" s="247"/>
      <c r="AB1191" s="247"/>
    </row>
    <row r="1192">
      <c r="A1192" s="247"/>
      <c r="B1192" s="441"/>
      <c r="C1192" s="441"/>
      <c r="D1192" s="441"/>
      <c r="E1192" s="247"/>
      <c r="F1192" s="247"/>
      <c r="G1192" s="247"/>
      <c r="H1192" s="247"/>
      <c r="I1192" s="247"/>
      <c r="J1192" s="247"/>
      <c r="K1192" s="247"/>
      <c r="L1192" s="247"/>
      <c r="M1192" s="247"/>
      <c r="N1192" s="247"/>
      <c r="O1192" s="247"/>
      <c r="P1192" s="247"/>
      <c r="Q1192" s="247"/>
      <c r="R1192" s="247"/>
      <c r="S1192" s="247"/>
      <c r="T1192" s="247"/>
      <c r="U1192" s="247"/>
      <c r="V1192" s="247"/>
      <c r="W1192" s="247"/>
      <c r="X1192" s="247"/>
      <c r="Y1192" s="247"/>
      <c r="Z1192" s="247"/>
      <c r="AA1192" s="247"/>
      <c r="AB1192" s="247"/>
    </row>
    <row r="1193">
      <c r="A1193" s="247"/>
      <c r="B1193" s="441"/>
      <c r="C1193" s="441"/>
      <c r="D1193" s="441"/>
      <c r="E1193" s="247"/>
      <c r="F1193" s="247"/>
      <c r="G1193" s="247"/>
      <c r="H1193" s="247"/>
      <c r="I1193" s="247"/>
      <c r="J1193" s="247"/>
      <c r="K1193" s="247"/>
      <c r="L1193" s="247"/>
      <c r="M1193" s="247"/>
      <c r="N1193" s="247"/>
      <c r="O1193" s="247"/>
      <c r="P1193" s="247"/>
      <c r="Q1193" s="247"/>
      <c r="R1193" s="247"/>
      <c r="S1193" s="247"/>
      <c r="T1193" s="247"/>
      <c r="U1193" s="247"/>
      <c r="V1193" s="247"/>
      <c r="W1193" s="247"/>
      <c r="X1193" s="247"/>
      <c r="Y1193" s="247"/>
      <c r="Z1193" s="247"/>
      <c r="AA1193" s="247"/>
      <c r="AB1193" s="247"/>
    </row>
    <row r="1194">
      <c r="A1194" s="247"/>
      <c r="B1194" s="441"/>
      <c r="C1194" s="441"/>
      <c r="D1194" s="441"/>
      <c r="E1194" s="247"/>
      <c r="F1194" s="247"/>
      <c r="G1194" s="247"/>
      <c r="H1194" s="247"/>
      <c r="I1194" s="247"/>
      <c r="J1194" s="247"/>
      <c r="K1194" s="247"/>
      <c r="L1194" s="247"/>
      <c r="M1194" s="247"/>
      <c r="N1194" s="247"/>
      <c r="O1194" s="247"/>
      <c r="P1194" s="247"/>
      <c r="Q1194" s="247"/>
      <c r="R1194" s="247"/>
      <c r="S1194" s="247"/>
      <c r="T1194" s="247"/>
      <c r="U1194" s="247"/>
      <c r="V1194" s="247"/>
      <c r="W1194" s="247"/>
      <c r="X1194" s="247"/>
      <c r="Y1194" s="247"/>
      <c r="Z1194" s="247"/>
      <c r="AA1194" s="247"/>
      <c r="AB1194" s="247"/>
    </row>
    <row r="1195">
      <c r="A1195" s="247"/>
      <c r="B1195" s="441"/>
      <c r="C1195" s="441"/>
      <c r="D1195" s="441"/>
      <c r="E1195" s="247"/>
      <c r="F1195" s="247"/>
      <c r="G1195" s="247"/>
      <c r="H1195" s="247"/>
      <c r="I1195" s="247"/>
      <c r="J1195" s="247"/>
      <c r="K1195" s="247"/>
      <c r="L1195" s="247"/>
      <c r="M1195" s="247"/>
      <c r="N1195" s="247"/>
      <c r="O1195" s="247"/>
      <c r="P1195" s="247"/>
      <c r="Q1195" s="247"/>
      <c r="R1195" s="247"/>
      <c r="S1195" s="247"/>
      <c r="T1195" s="247"/>
      <c r="U1195" s="247"/>
      <c r="V1195" s="247"/>
      <c r="W1195" s="247"/>
      <c r="X1195" s="247"/>
      <c r="Y1195" s="247"/>
      <c r="Z1195" s="247"/>
      <c r="AA1195" s="247"/>
      <c r="AB1195" s="247"/>
    </row>
    <row r="1196">
      <c r="A1196" s="247"/>
      <c r="B1196" s="441"/>
      <c r="C1196" s="441"/>
      <c r="D1196" s="441"/>
      <c r="E1196" s="247"/>
      <c r="F1196" s="247"/>
      <c r="G1196" s="247"/>
      <c r="H1196" s="247"/>
      <c r="I1196" s="247"/>
      <c r="J1196" s="247"/>
      <c r="K1196" s="247"/>
      <c r="L1196" s="247"/>
      <c r="M1196" s="247"/>
      <c r="N1196" s="247"/>
      <c r="O1196" s="247"/>
      <c r="P1196" s="247"/>
      <c r="Q1196" s="247"/>
      <c r="R1196" s="247"/>
      <c r="S1196" s="247"/>
      <c r="T1196" s="247"/>
      <c r="U1196" s="247"/>
      <c r="V1196" s="247"/>
      <c r="W1196" s="247"/>
      <c r="X1196" s="247"/>
      <c r="Y1196" s="247"/>
      <c r="Z1196" s="247"/>
      <c r="AA1196" s="247"/>
      <c r="AB1196" s="247"/>
    </row>
    <row r="1197">
      <c r="A1197" s="247"/>
      <c r="B1197" s="441"/>
      <c r="C1197" s="441"/>
      <c r="D1197" s="441"/>
      <c r="E1197" s="247"/>
      <c r="F1197" s="247"/>
      <c r="G1197" s="247"/>
      <c r="H1197" s="247"/>
      <c r="I1197" s="247"/>
      <c r="J1197" s="247"/>
      <c r="K1197" s="247"/>
      <c r="L1197" s="247"/>
      <c r="M1197" s="247"/>
      <c r="N1197" s="247"/>
      <c r="O1197" s="247"/>
      <c r="P1197" s="247"/>
      <c r="Q1197" s="247"/>
      <c r="R1197" s="247"/>
      <c r="S1197" s="247"/>
      <c r="T1197" s="247"/>
      <c r="U1197" s="247"/>
      <c r="V1197" s="247"/>
      <c r="W1197" s="247"/>
      <c r="X1197" s="247"/>
      <c r="Y1197" s="247"/>
      <c r="Z1197" s="247"/>
      <c r="AA1197" s="247"/>
      <c r="AB1197" s="247"/>
    </row>
    <row r="1198">
      <c r="A1198" s="247"/>
      <c r="B1198" s="441"/>
      <c r="C1198" s="441"/>
      <c r="D1198" s="441"/>
      <c r="E1198" s="247"/>
      <c r="F1198" s="247"/>
      <c r="G1198" s="247"/>
      <c r="H1198" s="247"/>
      <c r="I1198" s="247"/>
      <c r="J1198" s="247"/>
      <c r="K1198" s="247"/>
      <c r="L1198" s="247"/>
      <c r="M1198" s="247"/>
      <c r="N1198" s="247"/>
      <c r="O1198" s="247"/>
      <c r="P1198" s="247"/>
      <c r="Q1198" s="247"/>
      <c r="R1198" s="247"/>
      <c r="S1198" s="247"/>
      <c r="T1198" s="247"/>
      <c r="U1198" s="247"/>
      <c r="V1198" s="247"/>
      <c r="W1198" s="247"/>
      <c r="X1198" s="247"/>
      <c r="Y1198" s="247"/>
      <c r="Z1198" s="247"/>
      <c r="AA1198" s="247"/>
      <c r="AB1198" s="247"/>
    </row>
    <row r="1199">
      <c r="A1199" s="247"/>
      <c r="B1199" s="441"/>
      <c r="C1199" s="441"/>
      <c r="D1199" s="441"/>
      <c r="E1199" s="247"/>
      <c r="F1199" s="247"/>
      <c r="G1199" s="247"/>
      <c r="H1199" s="247"/>
      <c r="I1199" s="247"/>
      <c r="J1199" s="247"/>
      <c r="K1199" s="247"/>
      <c r="L1199" s="247"/>
      <c r="M1199" s="247"/>
      <c r="N1199" s="247"/>
      <c r="O1199" s="247"/>
      <c r="P1199" s="247"/>
      <c r="Q1199" s="247"/>
      <c r="R1199" s="247"/>
      <c r="S1199" s="247"/>
      <c r="T1199" s="247"/>
      <c r="U1199" s="247"/>
      <c r="V1199" s="247"/>
      <c r="W1199" s="247"/>
      <c r="X1199" s="247"/>
      <c r="Y1199" s="247"/>
      <c r="Z1199" s="247"/>
      <c r="AA1199" s="247"/>
      <c r="AB1199" s="247"/>
    </row>
    <row r="1200">
      <c r="A1200" s="247"/>
      <c r="B1200" s="441"/>
      <c r="C1200" s="441"/>
      <c r="D1200" s="441"/>
      <c r="E1200" s="247"/>
      <c r="F1200" s="247"/>
      <c r="G1200" s="247"/>
      <c r="H1200" s="247"/>
      <c r="I1200" s="247"/>
      <c r="J1200" s="247"/>
      <c r="K1200" s="247"/>
      <c r="L1200" s="247"/>
      <c r="M1200" s="247"/>
      <c r="N1200" s="247"/>
      <c r="O1200" s="247"/>
      <c r="P1200" s="247"/>
      <c r="Q1200" s="247"/>
      <c r="R1200" s="247"/>
      <c r="S1200" s="247"/>
      <c r="T1200" s="247"/>
      <c r="U1200" s="247"/>
      <c r="V1200" s="247"/>
      <c r="W1200" s="247"/>
      <c r="X1200" s="247"/>
      <c r="Y1200" s="247"/>
      <c r="Z1200" s="247"/>
      <c r="AA1200" s="247"/>
      <c r="AB1200" s="247"/>
    </row>
    <row r="1201">
      <c r="A1201" s="247"/>
      <c r="B1201" s="441"/>
      <c r="C1201" s="441"/>
      <c r="D1201" s="441"/>
      <c r="E1201" s="247"/>
      <c r="F1201" s="247"/>
      <c r="G1201" s="247"/>
      <c r="H1201" s="247"/>
      <c r="I1201" s="247"/>
      <c r="J1201" s="247"/>
      <c r="K1201" s="247"/>
      <c r="L1201" s="247"/>
      <c r="M1201" s="247"/>
      <c r="N1201" s="247"/>
      <c r="O1201" s="247"/>
      <c r="P1201" s="247"/>
      <c r="Q1201" s="247"/>
      <c r="R1201" s="247"/>
      <c r="S1201" s="247"/>
      <c r="T1201" s="247"/>
      <c r="U1201" s="247"/>
      <c r="V1201" s="247"/>
      <c r="W1201" s="247"/>
      <c r="X1201" s="247"/>
      <c r="Y1201" s="247"/>
      <c r="Z1201" s="247"/>
      <c r="AA1201" s="247"/>
      <c r="AB1201" s="247"/>
    </row>
    <row r="1202">
      <c r="A1202" s="247"/>
      <c r="B1202" s="441"/>
      <c r="C1202" s="441"/>
      <c r="D1202" s="441"/>
      <c r="E1202" s="247"/>
      <c r="F1202" s="247"/>
      <c r="G1202" s="247"/>
      <c r="H1202" s="247"/>
      <c r="I1202" s="247"/>
      <c r="J1202" s="247"/>
      <c r="K1202" s="247"/>
      <c r="L1202" s="247"/>
      <c r="M1202" s="247"/>
      <c r="N1202" s="247"/>
      <c r="O1202" s="247"/>
      <c r="P1202" s="247"/>
      <c r="Q1202" s="247"/>
      <c r="R1202" s="247"/>
      <c r="S1202" s="247"/>
      <c r="T1202" s="247"/>
      <c r="U1202" s="247"/>
      <c r="V1202" s="247"/>
      <c r="W1202" s="247"/>
      <c r="X1202" s="247"/>
      <c r="Y1202" s="247"/>
      <c r="Z1202" s="247"/>
      <c r="AA1202" s="247"/>
      <c r="AB1202" s="247"/>
    </row>
    <row r="1203">
      <c r="A1203" s="247"/>
      <c r="B1203" s="441"/>
      <c r="C1203" s="441"/>
      <c r="D1203" s="441"/>
      <c r="E1203" s="247"/>
      <c r="F1203" s="247"/>
      <c r="G1203" s="247"/>
      <c r="H1203" s="247"/>
      <c r="I1203" s="247"/>
      <c r="J1203" s="247"/>
      <c r="K1203" s="247"/>
      <c r="L1203" s="247"/>
      <c r="M1203" s="247"/>
      <c r="N1203" s="247"/>
      <c r="O1203" s="247"/>
      <c r="P1203" s="247"/>
      <c r="Q1203" s="247"/>
      <c r="R1203" s="247"/>
      <c r="S1203" s="247"/>
      <c r="T1203" s="247"/>
      <c r="U1203" s="247"/>
      <c r="V1203" s="247"/>
      <c r="W1203" s="247"/>
      <c r="X1203" s="247"/>
      <c r="Y1203" s="247"/>
      <c r="Z1203" s="247"/>
      <c r="AA1203" s="247"/>
      <c r="AB1203" s="247"/>
    </row>
    <row r="1204">
      <c r="A1204" s="247"/>
      <c r="B1204" s="441"/>
      <c r="C1204" s="441"/>
      <c r="D1204" s="441"/>
      <c r="E1204" s="247"/>
      <c r="F1204" s="247"/>
      <c r="G1204" s="247"/>
      <c r="H1204" s="247"/>
      <c r="I1204" s="247"/>
      <c r="J1204" s="247"/>
      <c r="K1204" s="247"/>
      <c r="L1204" s="247"/>
      <c r="M1204" s="247"/>
      <c r="N1204" s="247"/>
      <c r="O1204" s="247"/>
      <c r="P1204" s="247"/>
      <c r="Q1204" s="247"/>
      <c r="R1204" s="247"/>
      <c r="S1204" s="247"/>
      <c r="T1204" s="247"/>
      <c r="U1204" s="247"/>
      <c r="V1204" s="247"/>
      <c r="W1204" s="247"/>
      <c r="X1204" s="247"/>
      <c r="Y1204" s="247"/>
      <c r="Z1204" s="247"/>
      <c r="AA1204" s="247"/>
      <c r="AB1204" s="247"/>
    </row>
    <row r="1205">
      <c r="A1205" s="247"/>
      <c r="B1205" s="441"/>
      <c r="C1205" s="441"/>
      <c r="D1205" s="441"/>
      <c r="E1205" s="247"/>
      <c r="F1205" s="247"/>
      <c r="G1205" s="247"/>
      <c r="H1205" s="247"/>
      <c r="I1205" s="247"/>
      <c r="J1205" s="247"/>
      <c r="K1205" s="247"/>
      <c r="L1205" s="247"/>
      <c r="M1205" s="247"/>
      <c r="N1205" s="247"/>
      <c r="O1205" s="247"/>
      <c r="P1205" s="247"/>
      <c r="Q1205" s="247"/>
      <c r="R1205" s="247"/>
      <c r="S1205" s="247"/>
      <c r="T1205" s="247"/>
      <c r="U1205" s="247"/>
      <c r="V1205" s="247"/>
      <c r="W1205" s="247"/>
      <c r="X1205" s="247"/>
      <c r="Y1205" s="247"/>
      <c r="Z1205" s="247"/>
      <c r="AA1205" s="247"/>
      <c r="AB1205" s="247"/>
    </row>
    <row r="1206">
      <c r="A1206" s="247"/>
      <c r="B1206" s="441"/>
      <c r="C1206" s="441"/>
      <c r="D1206" s="441"/>
      <c r="E1206" s="247"/>
      <c r="F1206" s="247"/>
      <c r="G1206" s="247"/>
      <c r="H1206" s="247"/>
      <c r="I1206" s="247"/>
      <c r="J1206" s="247"/>
      <c r="K1206" s="247"/>
      <c r="L1206" s="247"/>
      <c r="M1206" s="247"/>
      <c r="N1206" s="247"/>
      <c r="O1206" s="247"/>
      <c r="P1206" s="247"/>
      <c r="Q1206" s="247"/>
      <c r="R1206" s="247"/>
      <c r="S1206" s="247"/>
      <c r="T1206" s="247"/>
      <c r="U1206" s="247"/>
      <c r="V1206" s="247"/>
      <c r="W1206" s="247"/>
      <c r="X1206" s="247"/>
      <c r="Y1206" s="247"/>
      <c r="Z1206" s="247"/>
      <c r="AA1206" s="247"/>
      <c r="AB1206" s="247"/>
    </row>
    <row r="1207">
      <c r="A1207" s="247"/>
      <c r="B1207" s="441"/>
      <c r="C1207" s="441"/>
      <c r="D1207" s="441"/>
      <c r="E1207" s="247"/>
      <c r="F1207" s="247"/>
      <c r="G1207" s="247"/>
      <c r="H1207" s="247"/>
      <c r="I1207" s="247"/>
      <c r="J1207" s="247"/>
      <c r="K1207" s="247"/>
      <c r="L1207" s="247"/>
      <c r="M1207" s="247"/>
      <c r="N1207" s="247"/>
      <c r="O1207" s="247"/>
      <c r="P1207" s="247"/>
      <c r="Q1207" s="247"/>
      <c r="R1207" s="247"/>
      <c r="S1207" s="247"/>
      <c r="T1207" s="247"/>
      <c r="U1207" s="247"/>
      <c r="V1207" s="247"/>
      <c r="W1207" s="247"/>
      <c r="X1207" s="247"/>
      <c r="Y1207" s="247"/>
      <c r="Z1207" s="247"/>
      <c r="AA1207" s="247"/>
      <c r="AB1207" s="247"/>
    </row>
    <row r="1208">
      <c r="A1208" s="247"/>
      <c r="B1208" s="441"/>
      <c r="C1208" s="441"/>
      <c r="D1208" s="441"/>
      <c r="E1208" s="247"/>
      <c r="F1208" s="247"/>
      <c r="G1208" s="247"/>
      <c r="H1208" s="247"/>
      <c r="I1208" s="247"/>
      <c r="J1208" s="247"/>
      <c r="K1208" s="247"/>
      <c r="L1208" s="247"/>
      <c r="M1208" s="247"/>
      <c r="N1208" s="247"/>
      <c r="O1208" s="247"/>
      <c r="P1208" s="247"/>
      <c r="Q1208" s="247"/>
      <c r="R1208" s="247"/>
      <c r="S1208" s="247"/>
      <c r="T1208" s="247"/>
      <c r="U1208" s="247"/>
      <c r="V1208" s="247"/>
      <c r="W1208" s="247"/>
      <c r="X1208" s="247"/>
      <c r="Y1208" s="247"/>
      <c r="Z1208" s="247"/>
      <c r="AA1208" s="247"/>
      <c r="AB1208" s="247"/>
    </row>
    <row r="1209">
      <c r="A1209" s="247"/>
      <c r="B1209" s="441"/>
      <c r="C1209" s="441"/>
      <c r="D1209" s="441"/>
      <c r="E1209" s="247"/>
      <c r="F1209" s="247"/>
      <c r="G1209" s="247"/>
      <c r="H1209" s="247"/>
      <c r="I1209" s="247"/>
      <c r="J1209" s="247"/>
      <c r="K1209" s="247"/>
      <c r="L1209" s="247"/>
      <c r="M1209" s="247"/>
      <c r="N1209" s="247"/>
      <c r="O1209" s="247"/>
      <c r="P1209" s="247"/>
      <c r="Q1209" s="247"/>
      <c r="R1209" s="247"/>
      <c r="S1209" s="247"/>
      <c r="T1209" s="247"/>
      <c r="U1209" s="247"/>
      <c r="V1209" s="247"/>
      <c r="W1209" s="247"/>
      <c r="X1209" s="247"/>
      <c r="Y1209" s="247"/>
      <c r="Z1209" s="247"/>
      <c r="AA1209" s="247"/>
      <c r="AB1209" s="247"/>
    </row>
    <row r="1210">
      <c r="A1210" s="247"/>
      <c r="B1210" s="441"/>
      <c r="C1210" s="441"/>
      <c r="D1210" s="441"/>
      <c r="E1210" s="247"/>
      <c r="F1210" s="247"/>
      <c r="G1210" s="247"/>
      <c r="H1210" s="247"/>
      <c r="I1210" s="247"/>
      <c r="J1210" s="247"/>
      <c r="K1210" s="247"/>
      <c r="L1210" s="247"/>
      <c r="M1210" s="247"/>
      <c r="N1210" s="247"/>
      <c r="O1210" s="247"/>
      <c r="P1210" s="247"/>
      <c r="Q1210" s="247"/>
      <c r="R1210" s="247"/>
      <c r="S1210" s="247"/>
      <c r="T1210" s="247"/>
      <c r="U1210" s="247"/>
      <c r="V1210" s="247"/>
      <c r="W1210" s="247"/>
      <c r="X1210" s="247"/>
      <c r="Y1210" s="247"/>
      <c r="Z1210" s="247"/>
      <c r="AA1210" s="247"/>
      <c r="AB1210" s="247"/>
    </row>
    <row r="1211">
      <c r="A1211" s="247"/>
      <c r="B1211" s="441"/>
      <c r="C1211" s="441"/>
      <c r="D1211" s="441"/>
      <c r="E1211" s="247"/>
      <c r="F1211" s="247"/>
      <c r="G1211" s="247"/>
      <c r="H1211" s="247"/>
      <c r="I1211" s="247"/>
      <c r="J1211" s="247"/>
      <c r="K1211" s="247"/>
      <c r="L1211" s="247"/>
      <c r="M1211" s="247"/>
      <c r="N1211" s="247"/>
      <c r="O1211" s="247"/>
      <c r="P1211" s="247"/>
      <c r="Q1211" s="247"/>
      <c r="R1211" s="247"/>
      <c r="S1211" s="247"/>
      <c r="T1211" s="247"/>
      <c r="U1211" s="247"/>
      <c r="V1211" s="247"/>
      <c r="W1211" s="247"/>
      <c r="X1211" s="247"/>
      <c r="Y1211" s="247"/>
      <c r="Z1211" s="247"/>
      <c r="AA1211" s="247"/>
      <c r="AB1211" s="247"/>
    </row>
    <row r="1212">
      <c r="A1212" s="247"/>
      <c r="B1212" s="441"/>
      <c r="C1212" s="441"/>
      <c r="D1212" s="441"/>
      <c r="E1212" s="247"/>
      <c r="F1212" s="247"/>
      <c r="G1212" s="247"/>
      <c r="H1212" s="247"/>
      <c r="I1212" s="247"/>
      <c r="J1212" s="247"/>
      <c r="K1212" s="247"/>
      <c r="L1212" s="247"/>
      <c r="M1212" s="247"/>
      <c r="N1212" s="247"/>
      <c r="O1212" s="247"/>
      <c r="P1212" s="247"/>
      <c r="Q1212" s="247"/>
      <c r="R1212" s="247"/>
      <c r="S1212" s="247"/>
      <c r="T1212" s="247"/>
      <c r="U1212" s="247"/>
      <c r="V1212" s="247"/>
      <c r="W1212" s="247"/>
      <c r="X1212" s="247"/>
      <c r="Y1212" s="247"/>
      <c r="Z1212" s="247"/>
      <c r="AA1212" s="247"/>
      <c r="AB1212" s="247"/>
    </row>
    <row r="1213">
      <c r="A1213" s="247"/>
      <c r="B1213" s="441"/>
      <c r="C1213" s="441"/>
      <c r="D1213" s="441"/>
      <c r="E1213" s="247"/>
      <c r="F1213" s="247"/>
      <c r="G1213" s="247"/>
      <c r="H1213" s="247"/>
      <c r="I1213" s="247"/>
      <c r="J1213" s="247"/>
      <c r="K1213" s="247"/>
      <c r="L1213" s="247"/>
      <c r="M1213" s="247"/>
      <c r="N1213" s="247"/>
      <c r="O1213" s="247"/>
      <c r="P1213" s="247"/>
      <c r="Q1213" s="247"/>
      <c r="R1213" s="247"/>
      <c r="S1213" s="247"/>
      <c r="T1213" s="247"/>
      <c r="U1213" s="247"/>
      <c r="V1213" s="247"/>
      <c r="W1213" s="247"/>
      <c r="X1213" s="247"/>
      <c r="Y1213" s="247"/>
      <c r="Z1213" s="247"/>
      <c r="AA1213" s="247"/>
      <c r="AB1213" s="247"/>
    </row>
    <row r="1214">
      <c r="A1214" s="247"/>
      <c r="B1214" s="441"/>
      <c r="C1214" s="441"/>
      <c r="D1214" s="441"/>
      <c r="E1214" s="247"/>
      <c r="F1214" s="247"/>
      <c r="G1214" s="247"/>
      <c r="H1214" s="247"/>
      <c r="I1214" s="247"/>
      <c r="J1214" s="247"/>
      <c r="K1214" s="247"/>
      <c r="L1214" s="247"/>
      <c r="M1214" s="247"/>
      <c r="N1214" s="247"/>
      <c r="O1214" s="247"/>
      <c r="P1214" s="247"/>
      <c r="Q1214" s="247"/>
      <c r="R1214" s="247"/>
      <c r="S1214" s="247"/>
      <c r="T1214" s="247"/>
      <c r="U1214" s="247"/>
      <c r="V1214" s="247"/>
      <c r="W1214" s="247"/>
      <c r="X1214" s="247"/>
      <c r="Y1214" s="247"/>
      <c r="Z1214" s="247"/>
      <c r="AA1214" s="247"/>
      <c r="AB1214" s="247"/>
    </row>
    <row r="1215">
      <c r="A1215" s="247"/>
      <c r="B1215" s="441"/>
      <c r="C1215" s="441"/>
      <c r="D1215" s="441"/>
      <c r="E1215" s="247"/>
      <c r="F1215" s="247"/>
      <c r="G1215" s="247"/>
      <c r="H1215" s="247"/>
      <c r="I1215" s="247"/>
      <c r="J1215" s="247"/>
      <c r="K1215" s="247"/>
      <c r="L1215" s="247"/>
      <c r="M1215" s="247"/>
      <c r="N1215" s="247"/>
      <c r="O1215" s="247"/>
      <c r="P1215" s="247"/>
      <c r="Q1215" s="247"/>
      <c r="R1215" s="247"/>
      <c r="S1215" s="247"/>
      <c r="T1215" s="247"/>
      <c r="U1215" s="247"/>
      <c r="V1215" s="247"/>
      <c r="W1215" s="247"/>
      <c r="X1215" s="247"/>
      <c r="Y1215" s="247"/>
      <c r="Z1215" s="247"/>
      <c r="AA1215" s="247"/>
      <c r="AB1215" s="247"/>
    </row>
    <row r="1216">
      <c r="A1216" s="247"/>
      <c r="B1216" s="441"/>
      <c r="C1216" s="441"/>
      <c r="D1216" s="441"/>
      <c r="E1216" s="247"/>
      <c r="F1216" s="247"/>
      <c r="G1216" s="247"/>
      <c r="H1216" s="247"/>
      <c r="I1216" s="247"/>
      <c r="J1216" s="247"/>
      <c r="K1216" s="247"/>
      <c r="L1216" s="247"/>
      <c r="M1216" s="247"/>
      <c r="N1216" s="247"/>
      <c r="O1216" s="247"/>
      <c r="P1216" s="247"/>
      <c r="Q1216" s="247"/>
      <c r="R1216" s="247"/>
      <c r="S1216" s="247"/>
      <c r="T1216" s="247"/>
      <c r="U1216" s="247"/>
      <c r="V1216" s="247"/>
      <c r="W1216" s="247"/>
      <c r="X1216" s="247"/>
      <c r="Y1216" s="247"/>
      <c r="Z1216" s="247"/>
      <c r="AA1216" s="247"/>
      <c r="AB1216" s="247"/>
    </row>
    <row r="1217">
      <c r="A1217" s="247"/>
      <c r="B1217" s="441"/>
      <c r="C1217" s="441"/>
      <c r="D1217" s="441"/>
      <c r="E1217" s="247"/>
      <c r="F1217" s="247"/>
      <c r="G1217" s="247"/>
      <c r="H1217" s="247"/>
      <c r="I1217" s="247"/>
      <c r="J1217" s="247"/>
      <c r="K1217" s="247"/>
      <c r="L1217" s="247"/>
      <c r="M1217" s="247"/>
      <c r="N1217" s="247"/>
      <c r="O1217" s="247"/>
      <c r="P1217" s="247"/>
      <c r="Q1217" s="247"/>
      <c r="R1217" s="247"/>
      <c r="S1217" s="247"/>
      <c r="T1217" s="247"/>
      <c r="U1217" s="247"/>
      <c r="V1217" s="247"/>
      <c r="W1217" s="247"/>
      <c r="X1217" s="247"/>
      <c r="Y1217" s="247"/>
      <c r="Z1217" s="247"/>
      <c r="AA1217" s="247"/>
      <c r="AB1217" s="247"/>
    </row>
    <row r="1218">
      <c r="A1218" s="247"/>
      <c r="B1218" s="441"/>
      <c r="C1218" s="441"/>
      <c r="D1218" s="441"/>
      <c r="E1218" s="247"/>
      <c r="F1218" s="247"/>
      <c r="G1218" s="247"/>
      <c r="H1218" s="247"/>
      <c r="I1218" s="247"/>
      <c r="J1218" s="247"/>
      <c r="K1218" s="247"/>
      <c r="L1218" s="247"/>
      <c r="M1218" s="247"/>
      <c r="N1218" s="247"/>
      <c r="O1218" s="247"/>
      <c r="P1218" s="247"/>
      <c r="Q1218" s="247"/>
      <c r="R1218" s="247"/>
      <c r="S1218" s="247"/>
      <c r="T1218" s="247"/>
      <c r="U1218" s="247"/>
      <c r="V1218" s="247"/>
      <c r="W1218" s="247"/>
      <c r="X1218" s="247"/>
      <c r="Y1218" s="247"/>
      <c r="Z1218" s="247"/>
      <c r="AA1218" s="247"/>
      <c r="AB1218" s="247"/>
    </row>
    <row r="1219">
      <c r="A1219" s="247"/>
      <c r="B1219" s="441"/>
      <c r="C1219" s="441"/>
      <c r="D1219" s="441"/>
      <c r="E1219" s="247"/>
      <c r="F1219" s="247"/>
      <c r="G1219" s="247"/>
      <c r="H1219" s="247"/>
      <c r="I1219" s="247"/>
      <c r="J1219" s="247"/>
      <c r="K1219" s="247"/>
      <c r="L1219" s="247"/>
      <c r="M1219" s="247"/>
      <c r="N1219" s="247"/>
      <c r="O1219" s="247"/>
      <c r="P1219" s="247"/>
      <c r="Q1219" s="247"/>
      <c r="R1219" s="247"/>
      <c r="S1219" s="247"/>
      <c r="T1219" s="247"/>
      <c r="U1219" s="247"/>
      <c r="V1219" s="247"/>
      <c r="W1219" s="247"/>
      <c r="X1219" s="247"/>
      <c r="Y1219" s="247"/>
      <c r="Z1219" s="247"/>
      <c r="AA1219" s="247"/>
      <c r="AB1219" s="247"/>
    </row>
    <row r="1220">
      <c r="A1220" s="247"/>
      <c r="B1220" s="441"/>
      <c r="C1220" s="441"/>
      <c r="D1220" s="441"/>
      <c r="E1220" s="247"/>
      <c r="F1220" s="247"/>
      <c r="G1220" s="247"/>
      <c r="H1220" s="247"/>
      <c r="I1220" s="247"/>
      <c r="J1220" s="247"/>
      <c r="K1220" s="247"/>
      <c r="L1220" s="247"/>
      <c r="M1220" s="247"/>
      <c r="N1220" s="247"/>
      <c r="O1220" s="247"/>
      <c r="P1220" s="247"/>
      <c r="Q1220" s="247"/>
      <c r="R1220" s="247"/>
      <c r="S1220" s="247"/>
      <c r="T1220" s="247"/>
      <c r="U1220" s="247"/>
      <c r="V1220" s="247"/>
      <c r="W1220" s="247"/>
      <c r="X1220" s="247"/>
      <c r="Y1220" s="247"/>
      <c r="Z1220" s="247"/>
      <c r="AA1220" s="247"/>
      <c r="AB1220" s="247"/>
    </row>
    <row r="1221">
      <c r="A1221" s="247"/>
      <c r="B1221" s="441"/>
      <c r="C1221" s="441"/>
      <c r="D1221" s="441"/>
      <c r="E1221" s="247"/>
      <c r="F1221" s="247"/>
      <c r="G1221" s="247"/>
      <c r="H1221" s="247"/>
      <c r="I1221" s="247"/>
      <c r="J1221" s="247"/>
      <c r="K1221" s="247"/>
      <c r="L1221" s="247"/>
      <c r="M1221" s="247"/>
      <c r="N1221" s="247"/>
      <c r="O1221" s="247"/>
      <c r="P1221" s="247"/>
      <c r="Q1221" s="247"/>
      <c r="R1221" s="247"/>
      <c r="S1221" s="247"/>
      <c r="T1221" s="247"/>
      <c r="U1221" s="247"/>
      <c r="V1221" s="247"/>
      <c r="W1221" s="247"/>
      <c r="X1221" s="247"/>
      <c r="Y1221" s="247"/>
      <c r="Z1221" s="247"/>
      <c r="AA1221" s="247"/>
      <c r="AB1221" s="247"/>
    </row>
    <row r="1222">
      <c r="A1222" s="247"/>
      <c r="B1222" s="441"/>
      <c r="C1222" s="441"/>
      <c r="D1222" s="441"/>
      <c r="E1222" s="247"/>
      <c r="F1222" s="247"/>
      <c r="G1222" s="247"/>
      <c r="H1222" s="247"/>
      <c r="I1222" s="247"/>
      <c r="J1222" s="247"/>
      <c r="K1222" s="247"/>
      <c r="L1222" s="247"/>
      <c r="M1222" s="247"/>
      <c r="N1222" s="247"/>
      <c r="O1222" s="247"/>
      <c r="P1222" s="247"/>
      <c r="Q1222" s="247"/>
      <c r="R1222" s="247"/>
      <c r="S1222" s="247"/>
      <c r="T1222" s="247"/>
      <c r="U1222" s="247"/>
      <c r="V1222" s="247"/>
      <c r="W1222" s="247"/>
      <c r="X1222" s="247"/>
      <c r="Y1222" s="247"/>
      <c r="Z1222" s="247"/>
      <c r="AA1222" s="247"/>
      <c r="AB1222" s="247"/>
    </row>
    <row r="1223">
      <c r="A1223" s="247"/>
      <c r="B1223" s="441"/>
      <c r="C1223" s="441"/>
      <c r="D1223" s="441"/>
      <c r="E1223" s="247"/>
      <c r="F1223" s="247"/>
      <c r="G1223" s="247"/>
      <c r="H1223" s="247"/>
      <c r="I1223" s="247"/>
      <c r="J1223" s="247"/>
      <c r="K1223" s="247"/>
      <c r="L1223" s="247"/>
      <c r="M1223" s="247"/>
      <c r="N1223" s="247"/>
      <c r="O1223" s="247"/>
      <c r="P1223" s="247"/>
      <c r="Q1223" s="247"/>
      <c r="R1223" s="247"/>
      <c r="S1223" s="247"/>
      <c r="T1223" s="247"/>
      <c r="U1223" s="247"/>
      <c r="V1223" s="247"/>
      <c r="W1223" s="247"/>
      <c r="X1223" s="247"/>
      <c r="Y1223" s="247"/>
      <c r="Z1223" s="247"/>
      <c r="AA1223" s="247"/>
      <c r="AB1223" s="247"/>
    </row>
    <row r="1224">
      <c r="A1224" s="247"/>
      <c r="B1224" s="441"/>
      <c r="C1224" s="441"/>
      <c r="D1224" s="441"/>
      <c r="E1224" s="247"/>
      <c r="F1224" s="247"/>
      <c r="G1224" s="247"/>
      <c r="H1224" s="247"/>
      <c r="I1224" s="247"/>
      <c r="J1224" s="247"/>
      <c r="K1224" s="247"/>
      <c r="L1224" s="247"/>
      <c r="M1224" s="247"/>
      <c r="N1224" s="247"/>
      <c r="O1224" s="247"/>
      <c r="P1224" s="247"/>
      <c r="Q1224" s="247"/>
      <c r="R1224" s="247"/>
      <c r="S1224" s="247"/>
      <c r="T1224" s="247"/>
      <c r="U1224" s="247"/>
      <c r="V1224" s="247"/>
      <c r="W1224" s="247"/>
      <c r="X1224" s="247"/>
      <c r="Y1224" s="247"/>
      <c r="Z1224" s="247"/>
      <c r="AA1224" s="247"/>
      <c r="AB1224" s="247"/>
    </row>
    <row r="1225">
      <c r="A1225" s="247"/>
      <c r="B1225" s="441"/>
      <c r="C1225" s="441"/>
      <c r="D1225" s="441"/>
      <c r="E1225" s="247"/>
      <c r="F1225" s="247"/>
      <c r="G1225" s="247"/>
      <c r="H1225" s="247"/>
      <c r="I1225" s="247"/>
      <c r="J1225" s="247"/>
      <c r="K1225" s="247"/>
      <c r="L1225" s="247"/>
      <c r="M1225" s="247"/>
      <c r="N1225" s="247"/>
      <c r="O1225" s="247"/>
      <c r="P1225" s="247"/>
      <c r="Q1225" s="247"/>
      <c r="R1225" s="247"/>
      <c r="S1225" s="247"/>
      <c r="T1225" s="247"/>
      <c r="U1225" s="247"/>
      <c r="V1225" s="247"/>
      <c r="W1225" s="247"/>
      <c r="X1225" s="247"/>
      <c r="Y1225" s="247"/>
      <c r="Z1225" s="247"/>
      <c r="AA1225" s="247"/>
      <c r="AB1225" s="247"/>
    </row>
    <row r="1226">
      <c r="A1226" s="247"/>
      <c r="B1226" s="441"/>
      <c r="C1226" s="441"/>
      <c r="D1226" s="441"/>
      <c r="E1226" s="247"/>
      <c r="F1226" s="247"/>
      <c r="G1226" s="247"/>
      <c r="H1226" s="247"/>
      <c r="I1226" s="247"/>
      <c r="J1226" s="247"/>
      <c r="K1226" s="247"/>
      <c r="L1226" s="247"/>
      <c r="M1226" s="247"/>
      <c r="N1226" s="247"/>
      <c r="O1226" s="247"/>
      <c r="P1226" s="247"/>
      <c r="Q1226" s="247"/>
      <c r="R1226" s="247"/>
      <c r="S1226" s="247"/>
      <c r="T1226" s="247"/>
      <c r="U1226" s="247"/>
      <c r="V1226" s="247"/>
      <c r="W1226" s="247"/>
      <c r="X1226" s="247"/>
      <c r="Y1226" s="247"/>
      <c r="Z1226" s="247"/>
      <c r="AA1226" s="247"/>
      <c r="AB1226" s="247"/>
    </row>
    <row r="1227">
      <c r="A1227" s="247"/>
      <c r="B1227" s="441"/>
      <c r="C1227" s="441"/>
      <c r="D1227" s="441"/>
      <c r="E1227" s="247"/>
      <c r="F1227" s="247"/>
      <c r="G1227" s="247"/>
      <c r="H1227" s="247"/>
      <c r="I1227" s="247"/>
      <c r="J1227" s="247"/>
      <c r="K1227" s="247"/>
      <c r="L1227" s="247"/>
      <c r="M1227" s="247"/>
      <c r="N1227" s="247"/>
      <c r="O1227" s="247"/>
      <c r="P1227" s="247"/>
      <c r="Q1227" s="247"/>
      <c r="R1227" s="247"/>
      <c r="S1227" s="247"/>
      <c r="T1227" s="247"/>
      <c r="U1227" s="247"/>
      <c r="V1227" s="247"/>
      <c r="W1227" s="247"/>
      <c r="X1227" s="247"/>
      <c r="Y1227" s="247"/>
      <c r="Z1227" s="247"/>
      <c r="AA1227" s="247"/>
      <c r="AB1227" s="247"/>
    </row>
    <row r="1228">
      <c r="A1228" s="247"/>
      <c r="B1228" s="441"/>
      <c r="C1228" s="441"/>
      <c r="D1228" s="441"/>
      <c r="E1228" s="247"/>
      <c r="F1228" s="247"/>
      <c r="G1228" s="247"/>
      <c r="H1228" s="247"/>
      <c r="I1228" s="247"/>
      <c r="J1228" s="247"/>
      <c r="K1228" s="247"/>
      <c r="L1228" s="247"/>
      <c r="M1228" s="247"/>
      <c r="N1228" s="247"/>
      <c r="O1228" s="247"/>
      <c r="P1228" s="247"/>
      <c r="Q1228" s="247"/>
      <c r="R1228" s="247"/>
      <c r="S1228" s="247"/>
      <c r="T1228" s="247"/>
      <c r="U1228" s="247"/>
      <c r="V1228" s="247"/>
      <c r="W1228" s="247"/>
      <c r="X1228" s="247"/>
      <c r="Y1228" s="247"/>
      <c r="Z1228" s="247"/>
      <c r="AA1228" s="247"/>
      <c r="AB1228" s="247"/>
    </row>
    <row r="1229">
      <c r="A1229" s="247"/>
      <c r="B1229" s="441"/>
      <c r="C1229" s="441"/>
      <c r="D1229" s="441"/>
      <c r="E1229" s="247"/>
      <c r="F1229" s="247"/>
      <c r="G1229" s="247"/>
      <c r="H1229" s="247"/>
      <c r="I1229" s="247"/>
      <c r="J1229" s="247"/>
      <c r="K1229" s="247"/>
      <c r="L1229" s="247"/>
      <c r="M1229" s="247"/>
      <c r="N1229" s="247"/>
      <c r="O1229" s="247"/>
      <c r="P1229" s="247"/>
      <c r="Q1229" s="247"/>
      <c r="R1229" s="247"/>
      <c r="S1229" s="247"/>
      <c r="T1229" s="247"/>
      <c r="U1229" s="247"/>
      <c r="V1229" s="247"/>
      <c r="W1229" s="247"/>
      <c r="X1229" s="247"/>
      <c r="Y1229" s="247"/>
      <c r="Z1229" s="247"/>
      <c r="AA1229" s="247"/>
      <c r="AB1229" s="247"/>
    </row>
    <row r="1230">
      <c r="A1230" s="247"/>
      <c r="B1230" s="441"/>
      <c r="C1230" s="441"/>
      <c r="D1230" s="441"/>
      <c r="E1230" s="247"/>
      <c r="F1230" s="247"/>
      <c r="G1230" s="247"/>
      <c r="H1230" s="247"/>
      <c r="I1230" s="247"/>
      <c r="J1230" s="247"/>
      <c r="K1230" s="247"/>
      <c r="L1230" s="247"/>
      <c r="M1230" s="247"/>
      <c r="N1230" s="247"/>
      <c r="O1230" s="247"/>
      <c r="P1230" s="247"/>
      <c r="Q1230" s="247"/>
      <c r="R1230" s="247"/>
      <c r="S1230" s="247"/>
      <c r="T1230" s="247"/>
      <c r="U1230" s="247"/>
      <c r="V1230" s="247"/>
      <c r="W1230" s="247"/>
      <c r="X1230" s="247"/>
      <c r="Y1230" s="247"/>
      <c r="Z1230" s="247"/>
      <c r="AA1230" s="247"/>
      <c r="AB1230" s="247"/>
    </row>
    <row r="1231">
      <c r="A1231" s="247"/>
      <c r="B1231" s="441"/>
      <c r="C1231" s="441"/>
      <c r="D1231" s="441"/>
      <c r="E1231" s="247"/>
      <c r="F1231" s="247"/>
      <c r="G1231" s="247"/>
      <c r="H1231" s="247"/>
      <c r="I1231" s="247"/>
      <c r="J1231" s="247"/>
      <c r="K1231" s="247"/>
      <c r="L1231" s="247"/>
      <c r="M1231" s="247"/>
      <c r="N1231" s="247"/>
      <c r="O1231" s="247"/>
      <c r="P1231" s="247"/>
      <c r="Q1231" s="247"/>
      <c r="R1231" s="247"/>
      <c r="S1231" s="247"/>
      <c r="T1231" s="247"/>
      <c r="U1231" s="247"/>
      <c r="V1231" s="247"/>
      <c r="W1231" s="247"/>
      <c r="X1231" s="247"/>
      <c r="Y1231" s="247"/>
      <c r="Z1231" s="247"/>
      <c r="AA1231" s="247"/>
      <c r="AB1231" s="247"/>
    </row>
    <row r="1232">
      <c r="A1232" s="247"/>
      <c r="B1232" s="441"/>
      <c r="C1232" s="441"/>
      <c r="D1232" s="441"/>
      <c r="E1232" s="247"/>
      <c r="F1232" s="247"/>
      <c r="G1232" s="247"/>
      <c r="H1232" s="247"/>
      <c r="I1232" s="247"/>
      <c r="J1232" s="247"/>
      <c r="K1232" s="247"/>
      <c r="L1232" s="247"/>
      <c r="M1232" s="247"/>
      <c r="N1232" s="247"/>
      <c r="O1232" s="247"/>
      <c r="P1232" s="247"/>
      <c r="Q1232" s="247"/>
      <c r="R1232" s="247"/>
      <c r="S1232" s="247"/>
      <c r="T1232" s="247"/>
      <c r="U1232" s="247"/>
      <c r="V1232" s="247"/>
      <c r="W1232" s="247"/>
      <c r="X1232" s="247"/>
      <c r="Y1232" s="247"/>
      <c r="Z1232" s="247"/>
      <c r="AA1232" s="247"/>
      <c r="AB1232" s="247"/>
    </row>
    <row r="1233">
      <c r="A1233" s="247"/>
      <c r="B1233" s="441"/>
      <c r="C1233" s="441"/>
      <c r="D1233" s="441"/>
      <c r="E1233" s="247"/>
      <c r="F1233" s="247"/>
      <c r="G1233" s="247"/>
      <c r="H1233" s="247"/>
      <c r="I1233" s="247"/>
      <c r="J1233" s="247"/>
      <c r="K1233" s="247"/>
      <c r="L1233" s="247"/>
      <c r="M1233" s="247"/>
      <c r="N1233" s="247"/>
      <c r="O1233" s="247"/>
      <c r="P1233" s="247"/>
      <c r="Q1233" s="247"/>
      <c r="R1233" s="247"/>
      <c r="S1233" s="247"/>
      <c r="T1233" s="247"/>
      <c r="U1233" s="247"/>
      <c r="V1233" s="247"/>
      <c r="W1233" s="247"/>
      <c r="X1233" s="247"/>
      <c r="Y1233" s="247"/>
      <c r="Z1233" s="247"/>
      <c r="AA1233" s="247"/>
      <c r="AB1233" s="247"/>
    </row>
    <row r="1234">
      <c r="A1234" s="247"/>
      <c r="B1234" s="441"/>
      <c r="C1234" s="441"/>
      <c r="D1234" s="441"/>
      <c r="E1234" s="247"/>
      <c r="F1234" s="247"/>
      <c r="G1234" s="247"/>
      <c r="H1234" s="247"/>
      <c r="I1234" s="247"/>
      <c r="J1234" s="247"/>
      <c r="K1234" s="247"/>
      <c r="L1234" s="247"/>
      <c r="M1234" s="247"/>
      <c r="N1234" s="247"/>
      <c r="O1234" s="247"/>
      <c r="P1234" s="247"/>
      <c r="Q1234" s="247"/>
      <c r="R1234" s="247"/>
      <c r="S1234" s="247"/>
      <c r="T1234" s="247"/>
      <c r="U1234" s="247"/>
      <c r="V1234" s="247"/>
      <c r="W1234" s="247"/>
      <c r="X1234" s="247"/>
      <c r="Y1234" s="247"/>
      <c r="Z1234" s="247"/>
      <c r="AA1234" s="247"/>
      <c r="AB1234" s="247"/>
    </row>
    <row r="1235">
      <c r="A1235" s="247"/>
      <c r="B1235" s="441"/>
      <c r="C1235" s="441"/>
      <c r="D1235" s="441"/>
      <c r="E1235" s="247"/>
      <c r="F1235" s="247"/>
      <c r="G1235" s="247"/>
      <c r="H1235" s="247"/>
      <c r="I1235" s="247"/>
      <c r="J1235" s="247"/>
      <c r="K1235" s="247"/>
      <c r="L1235" s="247"/>
      <c r="M1235" s="247"/>
      <c r="N1235" s="247"/>
      <c r="O1235" s="247"/>
      <c r="P1235" s="247"/>
      <c r="Q1235" s="247"/>
      <c r="R1235" s="247"/>
      <c r="S1235" s="247"/>
      <c r="T1235" s="247"/>
      <c r="U1235" s="247"/>
      <c r="V1235" s="247"/>
      <c r="W1235" s="247"/>
      <c r="X1235" s="247"/>
      <c r="Y1235" s="247"/>
      <c r="Z1235" s="247"/>
      <c r="AA1235" s="247"/>
      <c r="AB1235" s="247"/>
    </row>
    <row r="1236">
      <c r="A1236" s="247"/>
      <c r="B1236" s="441"/>
      <c r="C1236" s="441"/>
      <c r="D1236" s="441"/>
      <c r="E1236" s="247"/>
      <c r="F1236" s="247"/>
      <c r="G1236" s="247"/>
      <c r="H1236" s="247"/>
      <c r="I1236" s="247"/>
      <c r="J1236" s="247"/>
      <c r="K1236" s="247"/>
      <c r="L1236" s="247"/>
      <c r="M1236" s="247"/>
      <c r="N1236" s="247"/>
      <c r="O1236" s="247"/>
      <c r="P1236" s="247"/>
      <c r="Q1236" s="247"/>
      <c r="R1236" s="247"/>
      <c r="S1236" s="247"/>
      <c r="T1236" s="247"/>
      <c r="U1236" s="247"/>
      <c r="V1236" s="247"/>
      <c r="W1236" s="247"/>
      <c r="X1236" s="247"/>
      <c r="Y1236" s="247"/>
      <c r="Z1236" s="247"/>
      <c r="AA1236" s="247"/>
      <c r="AB1236" s="247"/>
    </row>
    <row r="1237">
      <c r="A1237" s="247"/>
      <c r="B1237" s="441"/>
      <c r="C1237" s="441"/>
      <c r="D1237" s="441"/>
      <c r="E1237" s="247"/>
      <c r="F1237" s="247"/>
      <c r="G1237" s="247"/>
      <c r="H1237" s="247"/>
      <c r="I1237" s="247"/>
      <c r="J1237" s="247"/>
      <c r="K1237" s="247"/>
      <c r="L1237" s="247"/>
      <c r="M1237" s="247"/>
      <c r="N1237" s="247"/>
      <c r="O1237" s="247"/>
      <c r="P1237" s="247"/>
      <c r="Q1237" s="247"/>
      <c r="R1237" s="247"/>
      <c r="S1237" s="247"/>
      <c r="T1237" s="247"/>
      <c r="U1237" s="247"/>
      <c r="V1237" s="247"/>
      <c r="W1237" s="247"/>
      <c r="X1237" s="247"/>
      <c r="Y1237" s="247"/>
      <c r="Z1237" s="247"/>
      <c r="AA1237" s="247"/>
      <c r="AB1237" s="247"/>
    </row>
    <row r="1238">
      <c r="A1238" s="247"/>
      <c r="B1238" s="441"/>
      <c r="C1238" s="441"/>
      <c r="D1238" s="441"/>
      <c r="E1238" s="247"/>
      <c r="F1238" s="247"/>
      <c r="G1238" s="247"/>
      <c r="H1238" s="247"/>
      <c r="I1238" s="247"/>
      <c r="J1238" s="247"/>
      <c r="K1238" s="247"/>
      <c r="L1238" s="247"/>
      <c r="M1238" s="247"/>
      <c r="N1238" s="247"/>
      <c r="O1238" s="247"/>
      <c r="P1238" s="247"/>
      <c r="Q1238" s="247"/>
      <c r="R1238" s="247"/>
      <c r="S1238" s="247"/>
      <c r="T1238" s="247"/>
      <c r="U1238" s="247"/>
      <c r="V1238" s="247"/>
      <c r="W1238" s="247"/>
      <c r="X1238" s="247"/>
      <c r="Y1238" s="247"/>
      <c r="Z1238" s="247"/>
      <c r="AA1238" s="247"/>
      <c r="AB1238" s="247"/>
    </row>
    <row r="1239">
      <c r="A1239" s="247"/>
      <c r="B1239" s="441"/>
      <c r="C1239" s="441"/>
      <c r="D1239" s="441"/>
      <c r="E1239" s="247"/>
      <c r="F1239" s="247"/>
      <c r="G1239" s="247"/>
      <c r="H1239" s="247"/>
      <c r="I1239" s="247"/>
      <c r="J1239" s="247"/>
      <c r="K1239" s="247"/>
      <c r="L1239" s="247"/>
      <c r="M1239" s="247"/>
      <c r="N1239" s="247"/>
      <c r="O1239" s="247"/>
      <c r="P1239" s="247"/>
      <c r="Q1239" s="247"/>
      <c r="R1239" s="247"/>
      <c r="S1239" s="247"/>
      <c r="T1239" s="247"/>
      <c r="U1239" s="247"/>
      <c r="V1239" s="247"/>
      <c r="W1239" s="247"/>
      <c r="X1239" s="247"/>
      <c r="Y1239" s="247"/>
      <c r="Z1239" s="247"/>
      <c r="AA1239" s="247"/>
      <c r="AB1239" s="247"/>
    </row>
    <row r="1240">
      <c r="A1240" s="247"/>
      <c r="B1240" s="441"/>
      <c r="C1240" s="441"/>
      <c r="D1240" s="441"/>
      <c r="E1240" s="247"/>
      <c r="F1240" s="247"/>
      <c r="G1240" s="247"/>
      <c r="H1240" s="247"/>
      <c r="I1240" s="247"/>
      <c r="J1240" s="247"/>
      <c r="K1240" s="247"/>
      <c r="L1240" s="247"/>
      <c r="M1240" s="247"/>
      <c r="N1240" s="247"/>
      <c r="O1240" s="247"/>
      <c r="P1240" s="247"/>
      <c r="Q1240" s="247"/>
      <c r="R1240" s="247"/>
      <c r="S1240" s="247"/>
      <c r="T1240" s="247"/>
      <c r="U1240" s="247"/>
      <c r="V1240" s="247"/>
      <c r="W1240" s="247"/>
      <c r="X1240" s="247"/>
      <c r="Y1240" s="247"/>
      <c r="Z1240" s="247"/>
      <c r="AA1240" s="247"/>
      <c r="AB1240" s="247"/>
    </row>
    <row r="1241">
      <c r="A1241" s="247"/>
      <c r="B1241" s="441"/>
      <c r="C1241" s="441"/>
      <c r="D1241" s="441"/>
      <c r="E1241" s="247"/>
      <c r="F1241" s="247"/>
      <c r="G1241" s="247"/>
      <c r="H1241" s="247"/>
      <c r="I1241" s="247"/>
      <c r="J1241" s="247"/>
      <c r="K1241" s="247"/>
      <c r="L1241" s="247"/>
      <c r="M1241" s="247"/>
      <c r="N1241" s="247"/>
      <c r="O1241" s="247"/>
      <c r="P1241" s="247"/>
      <c r="Q1241" s="247"/>
      <c r="R1241" s="247"/>
      <c r="S1241" s="247"/>
      <c r="T1241" s="247"/>
      <c r="U1241" s="247"/>
      <c r="V1241" s="247"/>
      <c r="W1241" s="247"/>
      <c r="X1241" s="247"/>
      <c r="Y1241" s="247"/>
      <c r="Z1241" s="247"/>
      <c r="AA1241" s="247"/>
      <c r="AB1241" s="247"/>
    </row>
    <row r="1242">
      <c r="A1242" s="247"/>
      <c r="B1242" s="441"/>
      <c r="C1242" s="441"/>
      <c r="D1242" s="441"/>
      <c r="E1242" s="247"/>
      <c r="F1242" s="247"/>
      <c r="G1242" s="247"/>
      <c r="H1242" s="247"/>
      <c r="I1242" s="247"/>
      <c r="J1242" s="247"/>
      <c r="K1242" s="247"/>
      <c r="L1242" s="247"/>
      <c r="M1242" s="247"/>
      <c r="N1242" s="247"/>
      <c r="O1242" s="247"/>
      <c r="P1242" s="247"/>
      <c r="Q1242" s="247"/>
      <c r="R1242" s="247"/>
      <c r="S1242" s="247"/>
      <c r="T1242" s="247"/>
      <c r="U1242" s="247"/>
      <c r="V1242" s="247"/>
      <c r="W1242" s="247"/>
      <c r="X1242" s="247"/>
      <c r="Y1242" s="247"/>
      <c r="Z1242" s="247"/>
      <c r="AA1242" s="247"/>
      <c r="AB1242" s="247"/>
    </row>
    <row r="1243">
      <c r="A1243" s="247"/>
      <c r="B1243" s="441"/>
      <c r="C1243" s="441"/>
      <c r="D1243" s="441"/>
      <c r="E1243" s="247"/>
      <c r="F1243" s="247"/>
      <c r="G1243" s="247"/>
      <c r="H1243" s="247"/>
      <c r="I1243" s="247"/>
      <c r="J1243" s="247"/>
      <c r="K1243" s="247"/>
      <c r="L1243" s="247"/>
      <c r="M1243" s="247"/>
      <c r="N1243" s="247"/>
      <c r="O1243" s="247"/>
      <c r="P1243" s="247"/>
      <c r="Q1243" s="247"/>
      <c r="R1243" s="247"/>
      <c r="S1243" s="247"/>
      <c r="T1243" s="247"/>
      <c r="U1243" s="247"/>
      <c r="V1243" s="247"/>
      <c r="W1243" s="247"/>
      <c r="X1243" s="247"/>
      <c r="Y1243" s="247"/>
      <c r="Z1243" s="247"/>
      <c r="AA1243" s="247"/>
      <c r="AB1243" s="247"/>
    </row>
    <row r="1244">
      <c r="A1244" s="247"/>
      <c r="B1244" s="441"/>
      <c r="C1244" s="441"/>
      <c r="D1244" s="441"/>
      <c r="E1244" s="247"/>
      <c r="F1244" s="247"/>
      <c r="G1244" s="247"/>
      <c r="H1244" s="247"/>
      <c r="I1244" s="247"/>
      <c r="J1244" s="247"/>
      <c r="K1244" s="247"/>
      <c r="L1244" s="247"/>
      <c r="M1244" s="247"/>
      <c r="N1244" s="247"/>
      <c r="O1244" s="247"/>
      <c r="P1244" s="247"/>
      <c r="Q1244" s="247"/>
      <c r="R1244" s="247"/>
      <c r="S1244" s="247"/>
      <c r="T1244" s="247"/>
      <c r="U1244" s="247"/>
      <c r="V1244" s="247"/>
      <c r="W1244" s="247"/>
      <c r="X1244" s="247"/>
      <c r="Y1244" s="247"/>
      <c r="Z1244" s="247"/>
      <c r="AA1244" s="247"/>
      <c r="AB1244" s="247"/>
    </row>
    <row r="1245">
      <c r="A1245" s="247"/>
      <c r="B1245" s="441"/>
      <c r="C1245" s="441"/>
      <c r="D1245" s="441"/>
      <c r="E1245" s="247"/>
      <c r="F1245" s="247"/>
      <c r="G1245" s="247"/>
      <c r="H1245" s="247"/>
      <c r="I1245" s="247"/>
      <c r="J1245" s="247"/>
      <c r="K1245" s="247"/>
      <c r="L1245" s="247"/>
      <c r="M1245" s="247"/>
      <c r="N1245" s="247"/>
      <c r="O1245" s="247"/>
      <c r="P1245" s="247"/>
      <c r="Q1245" s="247"/>
      <c r="R1245" s="247"/>
      <c r="S1245" s="247"/>
      <c r="T1245" s="247"/>
      <c r="U1245" s="247"/>
      <c r="V1245" s="247"/>
      <c r="W1245" s="247"/>
      <c r="X1245" s="247"/>
      <c r="Y1245" s="247"/>
      <c r="Z1245" s="247"/>
      <c r="AA1245" s="247"/>
      <c r="AB1245" s="247"/>
    </row>
    <row r="1246">
      <c r="A1246" s="247"/>
      <c r="B1246" s="441"/>
      <c r="C1246" s="441"/>
      <c r="D1246" s="441"/>
      <c r="E1246" s="247"/>
      <c r="F1246" s="247"/>
      <c r="G1246" s="247"/>
      <c r="H1246" s="247"/>
      <c r="I1246" s="247"/>
      <c r="J1246" s="247"/>
      <c r="K1246" s="247"/>
      <c r="L1246" s="247"/>
      <c r="M1246" s="247"/>
      <c r="N1246" s="247"/>
      <c r="O1246" s="247"/>
      <c r="P1246" s="247"/>
      <c r="Q1246" s="247"/>
      <c r="R1246" s="247"/>
      <c r="S1246" s="247"/>
      <c r="T1246" s="247"/>
      <c r="U1246" s="247"/>
      <c r="V1246" s="247"/>
      <c r="W1246" s="247"/>
      <c r="X1246" s="247"/>
      <c r="Y1246" s="247"/>
      <c r="Z1246" s="247"/>
      <c r="AA1246" s="247"/>
      <c r="AB1246" s="247"/>
    </row>
    <row r="1247">
      <c r="A1247" s="247"/>
      <c r="B1247" s="441"/>
      <c r="C1247" s="441"/>
      <c r="D1247" s="441"/>
      <c r="E1247" s="247"/>
      <c r="F1247" s="247"/>
      <c r="G1247" s="247"/>
      <c r="H1247" s="247"/>
      <c r="I1247" s="247"/>
      <c r="J1247" s="247"/>
      <c r="K1247" s="247"/>
      <c r="L1247" s="247"/>
      <c r="M1247" s="247"/>
      <c r="N1247" s="247"/>
      <c r="O1247" s="247"/>
      <c r="P1247" s="247"/>
      <c r="Q1247" s="247"/>
      <c r="R1247" s="247"/>
      <c r="S1247" s="247"/>
      <c r="T1247" s="247"/>
      <c r="U1247" s="247"/>
      <c r="V1247" s="247"/>
      <c r="W1247" s="247"/>
      <c r="X1247" s="247"/>
      <c r="Y1247" s="247"/>
      <c r="Z1247" s="247"/>
      <c r="AA1247" s="247"/>
      <c r="AB1247" s="247"/>
    </row>
    <row r="1248">
      <c r="A1248" s="247"/>
      <c r="B1248" s="441"/>
      <c r="C1248" s="441"/>
      <c r="D1248" s="441"/>
      <c r="E1248" s="247"/>
      <c r="F1248" s="247"/>
      <c r="G1248" s="247"/>
      <c r="H1248" s="247"/>
      <c r="I1248" s="247"/>
      <c r="J1248" s="247"/>
      <c r="K1248" s="247"/>
      <c r="L1248" s="247"/>
      <c r="M1248" s="247"/>
      <c r="N1248" s="247"/>
      <c r="O1248" s="247"/>
      <c r="P1248" s="247"/>
      <c r="Q1248" s="247"/>
      <c r="R1248" s="247"/>
      <c r="S1248" s="247"/>
      <c r="T1248" s="247"/>
      <c r="U1248" s="247"/>
      <c r="V1248" s="247"/>
      <c r="W1248" s="247"/>
      <c r="X1248" s="247"/>
      <c r="Y1248" s="247"/>
      <c r="Z1248" s="247"/>
      <c r="AA1248" s="247"/>
      <c r="AB1248" s="247"/>
    </row>
    <row r="1249">
      <c r="A1249" s="247"/>
      <c r="B1249" s="441"/>
      <c r="C1249" s="441"/>
      <c r="D1249" s="441"/>
      <c r="E1249" s="247"/>
      <c r="F1249" s="247"/>
      <c r="G1249" s="247"/>
      <c r="H1249" s="247"/>
      <c r="I1249" s="247"/>
      <c r="J1249" s="247"/>
      <c r="K1249" s="247"/>
      <c r="L1249" s="247"/>
      <c r="M1249" s="247"/>
      <c r="N1249" s="247"/>
      <c r="O1249" s="247"/>
      <c r="P1249" s="247"/>
      <c r="Q1249" s="247"/>
      <c r="R1249" s="247"/>
      <c r="S1249" s="247"/>
      <c r="T1249" s="247"/>
      <c r="U1249" s="247"/>
      <c r="V1249" s="247"/>
      <c r="W1249" s="247"/>
      <c r="X1249" s="247"/>
      <c r="Y1249" s="247"/>
      <c r="Z1249" s="247"/>
      <c r="AA1249" s="247"/>
      <c r="AB1249" s="247"/>
    </row>
    <row r="1250">
      <c r="A1250" s="247"/>
      <c r="B1250" s="441"/>
      <c r="C1250" s="441"/>
      <c r="D1250" s="441"/>
      <c r="E1250" s="247"/>
      <c r="F1250" s="247"/>
      <c r="G1250" s="247"/>
      <c r="H1250" s="247"/>
      <c r="I1250" s="247"/>
      <c r="J1250" s="247"/>
      <c r="K1250" s="247"/>
      <c r="L1250" s="247"/>
      <c r="M1250" s="247"/>
      <c r="N1250" s="247"/>
      <c r="O1250" s="247"/>
      <c r="P1250" s="247"/>
      <c r="Q1250" s="247"/>
      <c r="R1250" s="247"/>
      <c r="S1250" s="247"/>
      <c r="T1250" s="247"/>
      <c r="U1250" s="247"/>
      <c r="V1250" s="247"/>
      <c r="W1250" s="247"/>
      <c r="X1250" s="247"/>
      <c r="Y1250" s="247"/>
      <c r="Z1250" s="247"/>
      <c r="AA1250" s="247"/>
      <c r="AB1250" s="247"/>
    </row>
    <row r="1251">
      <c r="A1251" s="247"/>
      <c r="B1251" s="441"/>
      <c r="C1251" s="441"/>
      <c r="D1251" s="441"/>
      <c r="E1251" s="247"/>
      <c r="F1251" s="247"/>
      <c r="G1251" s="247"/>
      <c r="H1251" s="247"/>
      <c r="I1251" s="247"/>
      <c r="J1251" s="247"/>
      <c r="K1251" s="247"/>
      <c r="L1251" s="247"/>
      <c r="M1251" s="247"/>
      <c r="N1251" s="247"/>
      <c r="O1251" s="247"/>
      <c r="P1251" s="247"/>
      <c r="Q1251" s="247"/>
      <c r="R1251" s="247"/>
      <c r="S1251" s="247"/>
      <c r="T1251" s="247"/>
      <c r="U1251" s="247"/>
      <c r="V1251" s="247"/>
      <c r="W1251" s="247"/>
      <c r="X1251" s="247"/>
      <c r="Y1251" s="247"/>
      <c r="Z1251" s="247"/>
      <c r="AA1251" s="247"/>
      <c r="AB1251" s="247"/>
    </row>
    <row r="1252">
      <c r="A1252" s="247"/>
      <c r="B1252" s="441"/>
      <c r="C1252" s="441"/>
      <c r="D1252" s="441"/>
      <c r="E1252" s="247"/>
      <c r="F1252" s="247"/>
      <c r="G1252" s="247"/>
      <c r="H1252" s="247"/>
      <c r="I1252" s="247"/>
      <c r="J1252" s="247"/>
      <c r="K1252" s="247"/>
      <c r="L1252" s="247"/>
      <c r="M1252" s="247"/>
      <c r="N1252" s="247"/>
      <c r="O1252" s="247"/>
      <c r="P1252" s="247"/>
      <c r="Q1252" s="247"/>
      <c r="R1252" s="247"/>
      <c r="S1252" s="247"/>
      <c r="T1252" s="247"/>
      <c r="U1252" s="247"/>
      <c r="V1252" s="247"/>
      <c r="W1252" s="247"/>
      <c r="X1252" s="247"/>
      <c r="Y1252" s="247"/>
      <c r="Z1252" s="247"/>
      <c r="AA1252" s="247"/>
      <c r="AB1252" s="247"/>
    </row>
    <row r="1253">
      <c r="A1253" s="247"/>
      <c r="B1253" s="441"/>
      <c r="C1253" s="441"/>
      <c r="D1253" s="441"/>
      <c r="E1253" s="247"/>
      <c r="F1253" s="247"/>
      <c r="G1253" s="247"/>
      <c r="H1253" s="247"/>
      <c r="I1253" s="247"/>
      <c r="J1253" s="247"/>
      <c r="K1253" s="247"/>
      <c r="L1253" s="247"/>
      <c r="M1253" s="247"/>
      <c r="N1253" s="247"/>
      <c r="O1253" s="247"/>
      <c r="P1253" s="247"/>
      <c r="Q1253" s="247"/>
      <c r="R1253" s="247"/>
      <c r="S1253" s="247"/>
      <c r="T1253" s="247"/>
      <c r="U1253" s="247"/>
      <c r="V1253" s="247"/>
      <c r="W1253" s="247"/>
      <c r="X1253" s="247"/>
      <c r="Y1253" s="247"/>
      <c r="Z1253" s="247"/>
      <c r="AA1253" s="247"/>
      <c r="AB1253" s="247"/>
    </row>
    <row r="1254">
      <c r="A1254" s="247"/>
      <c r="B1254" s="441"/>
      <c r="C1254" s="441"/>
      <c r="D1254" s="441"/>
      <c r="E1254" s="247"/>
      <c r="F1254" s="247"/>
      <c r="G1254" s="247"/>
      <c r="H1254" s="247"/>
      <c r="I1254" s="247"/>
      <c r="J1254" s="247"/>
      <c r="K1254" s="247"/>
      <c r="L1254" s="247"/>
      <c r="M1254" s="247"/>
      <c r="N1254" s="247"/>
      <c r="O1254" s="247"/>
      <c r="P1254" s="247"/>
      <c r="Q1254" s="247"/>
      <c r="R1254" s="247"/>
      <c r="S1254" s="247"/>
      <c r="T1254" s="247"/>
      <c r="U1254" s="247"/>
      <c r="V1254" s="247"/>
      <c r="W1254" s="247"/>
      <c r="X1254" s="247"/>
      <c r="Y1254" s="247"/>
      <c r="Z1254" s="247"/>
      <c r="AA1254" s="247"/>
      <c r="AB1254" s="247"/>
    </row>
    <row r="1255">
      <c r="A1255" s="247"/>
      <c r="B1255" s="441"/>
      <c r="C1255" s="441"/>
      <c r="D1255" s="441"/>
      <c r="E1255" s="247"/>
      <c r="F1255" s="247"/>
      <c r="G1255" s="247"/>
      <c r="H1255" s="247"/>
      <c r="I1255" s="247"/>
      <c r="J1255" s="247"/>
      <c r="K1255" s="247"/>
      <c r="L1255" s="247"/>
      <c r="M1255" s="247"/>
      <c r="N1255" s="247"/>
      <c r="O1255" s="247"/>
      <c r="P1255" s="247"/>
      <c r="Q1255" s="247"/>
      <c r="R1255" s="247"/>
      <c r="S1255" s="247"/>
      <c r="T1255" s="247"/>
      <c r="U1255" s="247"/>
      <c r="V1255" s="247"/>
      <c r="W1255" s="247"/>
      <c r="X1255" s="247"/>
      <c r="Y1255" s="247"/>
      <c r="Z1255" s="247"/>
      <c r="AA1255" s="247"/>
      <c r="AB1255" s="247"/>
    </row>
    <row r="1256">
      <c r="A1256" s="247"/>
      <c r="B1256" s="441"/>
      <c r="C1256" s="441"/>
      <c r="D1256" s="441"/>
      <c r="E1256" s="247"/>
      <c r="F1256" s="247"/>
      <c r="G1256" s="247"/>
      <c r="H1256" s="247"/>
      <c r="I1256" s="247"/>
      <c r="J1256" s="247"/>
      <c r="K1256" s="247"/>
      <c r="L1256" s="247"/>
      <c r="M1256" s="247"/>
      <c r="N1256" s="247"/>
      <c r="O1256" s="247"/>
      <c r="P1256" s="247"/>
      <c r="Q1256" s="247"/>
      <c r="R1256" s="247"/>
      <c r="S1256" s="247"/>
      <c r="T1256" s="247"/>
      <c r="U1256" s="247"/>
      <c r="V1256" s="247"/>
      <c r="W1256" s="247"/>
      <c r="X1256" s="247"/>
      <c r="Y1256" s="247"/>
      <c r="Z1256" s="247"/>
      <c r="AA1256" s="247"/>
      <c r="AB1256" s="247"/>
    </row>
    <row r="1257">
      <c r="A1257" s="247"/>
      <c r="B1257" s="441"/>
      <c r="C1257" s="441"/>
      <c r="D1257" s="441"/>
      <c r="E1257" s="247"/>
      <c r="F1257" s="247"/>
      <c r="G1257" s="247"/>
      <c r="H1257" s="247"/>
      <c r="I1257" s="247"/>
      <c r="J1257" s="247"/>
      <c r="K1257" s="247"/>
      <c r="L1257" s="247"/>
      <c r="M1257" s="247"/>
      <c r="N1257" s="247"/>
      <c r="O1257" s="247"/>
      <c r="P1257" s="247"/>
      <c r="Q1257" s="247"/>
      <c r="R1257" s="247"/>
      <c r="S1257" s="247"/>
      <c r="T1257" s="247"/>
      <c r="U1257" s="247"/>
      <c r="V1257" s="247"/>
      <c r="W1257" s="247"/>
      <c r="X1257" s="247"/>
      <c r="Y1257" s="247"/>
      <c r="Z1257" s="247"/>
      <c r="AA1257" s="247"/>
      <c r="AB1257" s="247"/>
    </row>
    <row r="1258">
      <c r="A1258" s="247"/>
      <c r="B1258" s="441"/>
      <c r="C1258" s="441"/>
      <c r="D1258" s="441"/>
      <c r="E1258" s="247"/>
      <c r="F1258" s="247"/>
      <c r="G1258" s="247"/>
      <c r="H1258" s="247"/>
      <c r="I1258" s="247"/>
      <c r="J1258" s="247"/>
      <c r="K1258" s="247"/>
      <c r="L1258" s="247"/>
      <c r="M1258" s="247"/>
      <c r="N1258" s="247"/>
      <c r="O1258" s="247"/>
      <c r="P1258" s="247"/>
      <c r="Q1258" s="247"/>
      <c r="R1258" s="247"/>
      <c r="S1258" s="247"/>
      <c r="T1258" s="247"/>
      <c r="U1258" s="247"/>
      <c r="V1258" s="247"/>
      <c r="W1258" s="247"/>
      <c r="X1258" s="247"/>
      <c r="Y1258" s="247"/>
      <c r="Z1258" s="247"/>
      <c r="AA1258" s="247"/>
      <c r="AB1258" s="247"/>
    </row>
    <row r="1259">
      <c r="A1259" s="247"/>
      <c r="B1259" s="441"/>
      <c r="C1259" s="441"/>
      <c r="D1259" s="441"/>
      <c r="E1259" s="247"/>
      <c r="F1259" s="247"/>
      <c r="G1259" s="247"/>
      <c r="H1259" s="247"/>
      <c r="I1259" s="247"/>
      <c r="J1259" s="247"/>
      <c r="K1259" s="247"/>
      <c r="L1259" s="247"/>
      <c r="M1259" s="247"/>
      <c r="N1259" s="247"/>
      <c r="O1259" s="247"/>
      <c r="P1259" s="247"/>
      <c r="Q1259" s="247"/>
      <c r="R1259" s="247"/>
      <c r="S1259" s="247"/>
      <c r="T1259" s="247"/>
      <c r="U1259" s="247"/>
      <c r="V1259" s="247"/>
      <c r="W1259" s="247"/>
      <c r="X1259" s="247"/>
      <c r="Y1259" s="247"/>
      <c r="Z1259" s="247"/>
      <c r="AA1259" s="247"/>
      <c r="AB1259" s="247"/>
    </row>
    <row r="1260">
      <c r="A1260" s="247"/>
      <c r="B1260" s="441"/>
      <c r="C1260" s="441"/>
      <c r="D1260" s="441"/>
      <c r="E1260" s="247"/>
      <c r="F1260" s="247"/>
      <c r="G1260" s="247"/>
      <c r="H1260" s="247"/>
      <c r="I1260" s="247"/>
      <c r="J1260" s="247"/>
      <c r="K1260" s="247"/>
      <c r="L1260" s="247"/>
      <c r="M1260" s="247"/>
      <c r="N1260" s="247"/>
      <c r="O1260" s="247"/>
      <c r="P1260" s="247"/>
      <c r="Q1260" s="247"/>
      <c r="R1260" s="247"/>
      <c r="S1260" s="247"/>
      <c r="T1260" s="247"/>
      <c r="U1260" s="247"/>
      <c r="V1260" s="247"/>
      <c r="W1260" s="247"/>
      <c r="X1260" s="247"/>
      <c r="Y1260" s="247"/>
      <c r="Z1260" s="247"/>
      <c r="AA1260" s="247"/>
      <c r="AB1260" s="247"/>
    </row>
    <row r="1261">
      <c r="A1261" s="247"/>
      <c r="B1261" s="441"/>
      <c r="C1261" s="441"/>
      <c r="D1261" s="441"/>
      <c r="E1261" s="247"/>
      <c r="F1261" s="247"/>
      <c r="G1261" s="247"/>
      <c r="H1261" s="247"/>
      <c r="I1261" s="247"/>
      <c r="J1261" s="247"/>
      <c r="K1261" s="247"/>
      <c r="L1261" s="247"/>
      <c r="M1261" s="247"/>
      <c r="N1261" s="247"/>
      <c r="O1261" s="247"/>
      <c r="P1261" s="247"/>
      <c r="Q1261" s="247"/>
      <c r="R1261" s="247"/>
      <c r="S1261" s="247"/>
      <c r="T1261" s="247"/>
      <c r="U1261" s="247"/>
      <c r="V1261" s="247"/>
      <c r="W1261" s="247"/>
      <c r="X1261" s="247"/>
      <c r="Y1261" s="247"/>
      <c r="Z1261" s="247"/>
      <c r="AA1261" s="247"/>
      <c r="AB1261" s="247"/>
    </row>
    <row r="1262">
      <c r="A1262" s="247"/>
      <c r="B1262" s="441"/>
      <c r="C1262" s="441"/>
      <c r="D1262" s="441"/>
      <c r="E1262" s="247"/>
      <c r="F1262" s="247"/>
      <c r="G1262" s="247"/>
      <c r="H1262" s="247"/>
      <c r="I1262" s="247"/>
      <c r="J1262" s="247"/>
      <c r="K1262" s="247"/>
      <c r="L1262" s="247"/>
      <c r="M1262" s="247"/>
      <c r="N1262" s="247"/>
      <c r="O1262" s="247"/>
      <c r="P1262" s="247"/>
      <c r="Q1262" s="247"/>
      <c r="R1262" s="247"/>
      <c r="S1262" s="247"/>
      <c r="T1262" s="247"/>
      <c r="U1262" s="247"/>
      <c r="V1262" s="247"/>
      <c r="W1262" s="247"/>
      <c r="X1262" s="247"/>
      <c r="Y1262" s="247"/>
      <c r="Z1262" s="247"/>
      <c r="AA1262" s="247"/>
      <c r="AB1262" s="247"/>
    </row>
    <row r="1263">
      <c r="A1263" s="247"/>
      <c r="B1263" s="441"/>
      <c r="C1263" s="441"/>
      <c r="D1263" s="441"/>
      <c r="E1263" s="247"/>
      <c r="F1263" s="247"/>
      <c r="G1263" s="247"/>
      <c r="H1263" s="247"/>
      <c r="I1263" s="247"/>
      <c r="J1263" s="247"/>
      <c r="K1263" s="247"/>
      <c r="L1263" s="247"/>
      <c r="M1263" s="247"/>
      <c r="N1263" s="247"/>
      <c r="O1263" s="247"/>
      <c r="P1263" s="247"/>
      <c r="Q1263" s="247"/>
      <c r="R1263" s="247"/>
      <c r="S1263" s="247"/>
      <c r="T1263" s="247"/>
      <c r="U1263" s="247"/>
      <c r="V1263" s="247"/>
      <c r="W1263" s="247"/>
      <c r="X1263" s="247"/>
      <c r="Y1263" s="247"/>
      <c r="Z1263" s="247"/>
      <c r="AA1263" s="247"/>
      <c r="AB1263" s="247"/>
    </row>
    <row r="1264">
      <c r="A1264" s="247"/>
      <c r="B1264" s="441"/>
      <c r="C1264" s="441"/>
      <c r="D1264" s="441"/>
      <c r="E1264" s="247"/>
      <c r="F1264" s="247"/>
      <c r="G1264" s="247"/>
      <c r="H1264" s="247"/>
      <c r="I1264" s="247"/>
      <c r="J1264" s="247"/>
      <c r="K1264" s="247"/>
      <c r="L1264" s="247"/>
      <c r="M1264" s="247"/>
      <c r="N1264" s="247"/>
      <c r="O1264" s="247"/>
      <c r="P1264" s="247"/>
      <c r="Q1264" s="247"/>
      <c r="R1264" s="247"/>
      <c r="S1264" s="247"/>
      <c r="T1264" s="247"/>
      <c r="U1264" s="247"/>
      <c r="V1264" s="247"/>
      <c r="W1264" s="247"/>
      <c r="X1264" s="247"/>
      <c r="Y1264" s="247"/>
      <c r="Z1264" s="247"/>
      <c r="AA1264" s="247"/>
      <c r="AB1264" s="247"/>
    </row>
    <row r="1265">
      <c r="A1265" s="247"/>
      <c r="B1265" s="441"/>
      <c r="C1265" s="441"/>
      <c r="D1265" s="441"/>
      <c r="E1265" s="247"/>
      <c r="F1265" s="247"/>
      <c r="G1265" s="247"/>
      <c r="H1265" s="247"/>
      <c r="I1265" s="247"/>
      <c r="J1265" s="247"/>
      <c r="K1265" s="247"/>
      <c r="L1265" s="247"/>
      <c r="M1265" s="247"/>
      <c r="N1265" s="247"/>
      <c r="O1265" s="247"/>
      <c r="P1265" s="247"/>
      <c r="Q1265" s="247"/>
      <c r="R1265" s="247"/>
      <c r="S1265" s="247"/>
      <c r="T1265" s="247"/>
      <c r="U1265" s="247"/>
      <c r="V1265" s="247"/>
      <c r="W1265" s="247"/>
      <c r="X1265" s="247"/>
      <c r="Y1265" s="247"/>
      <c r="Z1265" s="247"/>
      <c r="AA1265" s="247"/>
      <c r="AB1265" s="247"/>
    </row>
    <row r="1266">
      <c r="A1266" s="247"/>
      <c r="B1266" s="441"/>
      <c r="C1266" s="441"/>
      <c r="D1266" s="441"/>
      <c r="E1266" s="247"/>
      <c r="F1266" s="247"/>
      <c r="G1266" s="247"/>
      <c r="H1266" s="247"/>
      <c r="I1266" s="247"/>
      <c r="J1266" s="247"/>
      <c r="K1266" s="247"/>
      <c r="L1266" s="247"/>
      <c r="M1266" s="247"/>
      <c r="N1266" s="247"/>
      <c r="O1266" s="247"/>
      <c r="P1266" s="247"/>
      <c r="Q1266" s="247"/>
      <c r="R1266" s="247"/>
      <c r="S1266" s="247"/>
      <c r="T1266" s="247"/>
      <c r="U1266" s="247"/>
      <c r="V1266" s="247"/>
      <c r="W1266" s="247"/>
      <c r="X1266" s="247"/>
      <c r="Y1266" s="247"/>
      <c r="Z1266" s="247"/>
      <c r="AA1266" s="247"/>
      <c r="AB1266" s="247"/>
    </row>
    <row r="1267">
      <c r="A1267" s="247"/>
      <c r="B1267" s="441"/>
      <c r="C1267" s="441"/>
      <c r="D1267" s="441"/>
      <c r="E1267" s="247"/>
      <c r="F1267" s="247"/>
      <c r="G1267" s="247"/>
      <c r="H1267" s="247"/>
      <c r="I1267" s="247"/>
      <c r="J1267" s="247"/>
      <c r="K1267" s="247"/>
      <c r="L1267" s="247"/>
      <c r="M1267" s="247"/>
      <c r="N1267" s="247"/>
      <c r="O1267" s="247"/>
      <c r="P1267" s="247"/>
      <c r="Q1267" s="247"/>
      <c r="R1267" s="247"/>
      <c r="S1267" s="247"/>
      <c r="T1267" s="247"/>
      <c r="U1267" s="247"/>
      <c r="V1267" s="247"/>
      <c r="W1267" s="247"/>
      <c r="X1267" s="247"/>
      <c r="Y1267" s="247"/>
      <c r="Z1267" s="247"/>
      <c r="AA1267" s="247"/>
      <c r="AB1267" s="247"/>
    </row>
    <row r="1268">
      <c r="A1268" s="247"/>
      <c r="B1268" s="441"/>
      <c r="C1268" s="441"/>
      <c r="D1268" s="441"/>
      <c r="E1268" s="247"/>
      <c r="F1268" s="247"/>
      <c r="G1268" s="247"/>
      <c r="H1268" s="247"/>
      <c r="I1268" s="247"/>
      <c r="J1268" s="247"/>
      <c r="K1268" s="247"/>
      <c r="L1268" s="247"/>
      <c r="M1268" s="247"/>
      <c r="N1268" s="247"/>
      <c r="O1268" s="247"/>
      <c r="P1268" s="247"/>
      <c r="Q1268" s="247"/>
      <c r="R1268" s="247"/>
      <c r="S1268" s="247"/>
      <c r="T1268" s="247"/>
      <c r="U1268" s="247"/>
      <c r="V1268" s="247"/>
      <c r="W1268" s="247"/>
      <c r="X1268" s="247"/>
      <c r="Y1268" s="247"/>
      <c r="Z1268" s="247"/>
      <c r="AA1268" s="247"/>
      <c r="AB1268" s="247"/>
    </row>
    <row r="1269">
      <c r="A1269" s="247"/>
      <c r="B1269" s="441"/>
      <c r="C1269" s="441"/>
      <c r="D1269" s="441"/>
      <c r="E1269" s="247"/>
      <c r="F1269" s="247"/>
      <c r="G1269" s="247"/>
      <c r="H1269" s="247"/>
      <c r="I1269" s="247"/>
      <c r="J1269" s="247"/>
      <c r="K1269" s="247"/>
      <c r="L1269" s="247"/>
      <c r="M1269" s="247"/>
      <c r="N1269" s="247"/>
      <c r="O1269" s="247"/>
      <c r="P1269" s="247"/>
      <c r="Q1269" s="247"/>
      <c r="R1269" s="247"/>
      <c r="S1269" s="247"/>
      <c r="T1269" s="247"/>
      <c r="U1269" s="247"/>
      <c r="V1269" s="247"/>
      <c r="W1269" s="247"/>
      <c r="X1269" s="247"/>
      <c r="Y1269" s="247"/>
      <c r="Z1269" s="247"/>
      <c r="AA1269" s="247"/>
      <c r="AB1269" s="247"/>
    </row>
    <row r="1270">
      <c r="A1270" s="247"/>
      <c r="B1270" s="441"/>
      <c r="C1270" s="441"/>
      <c r="D1270" s="441"/>
      <c r="E1270" s="247"/>
      <c r="F1270" s="247"/>
      <c r="G1270" s="247"/>
      <c r="H1270" s="247"/>
      <c r="I1270" s="247"/>
      <c r="J1270" s="247"/>
      <c r="K1270" s="247"/>
      <c r="L1270" s="247"/>
      <c r="M1270" s="247"/>
      <c r="N1270" s="247"/>
      <c r="O1270" s="247"/>
      <c r="P1270" s="247"/>
      <c r="Q1270" s="247"/>
      <c r="R1270" s="247"/>
      <c r="S1270" s="247"/>
      <c r="T1270" s="247"/>
      <c r="U1270" s="247"/>
      <c r="V1270" s="247"/>
      <c r="W1270" s="247"/>
      <c r="X1270" s="247"/>
      <c r="Y1270" s="247"/>
      <c r="Z1270" s="247"/>
      <c r="AA1270" s="247"/>
      <c r="AB1270" s="247"/>
    </row>
    <row r="1271">
      <c r="A1271" s="247"/>
      <c r="B1271" s="441"/>
      <c r="C1271" s="441"/>
      <c r="D1271" s="441"/>
      <c r="E1271" s="247"/>
      <c r="F1271" s="247"/>
      <c r="G1271" s="247"/>
      <c r="H1271" s="247"/>
      <c r="I1271" s="247"/>
      <c r="J1271" s="247"/>
      <c r="K1271" s="247"/>
      <c r="L1271" s="247"/>
      <c r="M1271" s="247"/>
      <c r="N1271" s="247"/>
      <c r="O1271" s="247"/>
      <c r="P1271" s="247"/>
      <c r="Q1271" s="247"/>
      <c r="R1271" s="247"/>
      <c r="S1271" s="247"/>
      <c r="T1271" s="247"/>
      <c r="U1271" s="247"/>
      <c r="V1271" s="247"/>
      <c r="W1271" s="247"/>
      <c r="X1271" s="247"/>
      <c r="Y1271" s="247"/>
      <c r="Z1271" s="247"/>
      <c r="AA1271" s="247"/>
      <c r="AB1271" s="247"/>
    </row>
    <row r="1272">
      <c r="A1272" s="247"/>
      <c r="B1272" s="441"/>
      <c r="C1272" s="441"/>
      <c r="D1272" s="441"/>
      <c r="E1272" s="247"/>
      <c r="F1272" s="247"/>
      <c r="G1272" s="247"/>
      <c r="H1272" s="247"/>
      <c r="I1272" s="247"/>
      <c r="J1272" s="247"/>
      <c r="K1272" s="247"/>
      <c r="L1272" s="247"/>
      <c r="M1272" s="247"/>
      <c r="N1272" s="247"/>
      <c r="O1272" s="247"/>
      <c r="P1272" s="247"/>
      <c r="Q1272" s="247"/>
      <c r="R1272" s="247"/>
      <c r="S1272" s="247"/>
      <c r="T1272" s="247"/>
      <c r="U1272" s="247"/>
      <c r="V1272" s="247"/>
      <c r="W1272" s="247"/>
      <c r="X1272" s="247"/>
      <c r="Y1272" s="247"/>
      <c r="Z1272" s="247"/>
      <c r="AA1272" s="247"/>
      <c r="AB1272" s="247"/>
    </row>
    <row r="1273">
      <c r="A1273" s="247"/>
      <c r="B1273" s="441"/>
      <c r="C1273" s="441"/>
      <c r="D1273" s="441"/>
      <c r="E1273" s="247"/>
      <c r="F1273" s="247"/>
      <c r="G1273" s="247"/>
      <c r="H1273" s="247"/>
      <c r="I1273" s="247"/>
      <c r="J1273" s="247"/>
      <c r="K1273" s="247"/>
      <c r="L1273" s="247"/>
      <c r="M1273" s="247"/>
      <c r="N1273" s="247"/>
      <c r="O1273" s="247"/>
      <c r="P1273" s="247"/>
      <c r="Q1273" s="247"/>
      <c r="R1273" s="247"/>
      <c r="S1273" s="247"/>
      <c r="T1273" s="247"/>
      <c r="U1273" s="247"/>
      <c r="V1273" s="247"/>
      <c r="W1273" s="247"/>
      <c r="X1273" s="247"/>
      <c r="Y1273" s="247"/>
      <c r="Z1273" s="247"/>
      <c r="AA1273" s="247"/>
      <c r="AB1273" s="247"/>
    </row>
    <row r="1274">
      <c r="A1274" s="247"/>
      <c r="B1274" s="441"/>
      <c r="C1274" s="441"/>
      <c r="D1274" s="441"/>
      <c r="E1274" s="247"/>
      <c r="F1274" s="247"/>
      <c r="G1274" s="247"/>
      <c r="H1274" s="247"/>
      <c r="I1274" s="247"/>
      <c r="J1274" s="247"/>
      <c r="K1274" s="247"/>
      <c r="L1274" s="247"/>
      <c r="M1274" s="247"/>
      <c r="N1274" s="247"/>
      <c r="O1274" s="247"/>
      <c r="P1274" s="247"/>
      <c r="Q1274" s="247"/>
      <c r="R1274" s="247"/>
      <c r="S1274" s="247"/>
      <c r="T1274" s="247"/>
      <c r="U1274" s="247"/>
      <c r="V1274" s="247"/>
      <c r="W1274" s="247"/>
      <c r="X1274" s="247"/>
      <c r="Y1274" s="247"/>
      <c r="Z1274" s="247"/>
      <c r="AA1274" s="247"/>
      <c r="AB1274" s="247"/>
    </row>
    <row r="1275">
      <c r="A1275" s="247"/>
      <c r="B1275" s="441"/>
      <c r="C1275" s="441"/>
      <c r="D1275" s="441"/>
      <c r="E1275" s="247"/>
      <c r="F1275" s="247"/>
      <c r="G1275" s="247"/>
      <c r="H1275" s="247"/>
      <c r="I1275" s="247"/>
      <c r="J1275" s="247"/>
      <c r="K1275" s="247"/>
      <c r="L1275" s="247"/>
      <c r="M1275" s="247"/>
      <c r="N1275" s="247"/>
      <c r="O1275" s="247"/>
      <c r="P1275" s="247"/>
      <c r="Q1275" s="247"/>
      <c r="R1275" s="247"/>
      <c r="S1275" s="247"/>
      <c r="T1275" s="247"/>
      <c r="U1275" s="247"/>
      <c r="V1275" s="247"/>
      <c r="W1275" s="247"/>
      <c r="X1275" s="247"/>
      <c r="Y1275" s="247"/>
      <c r="Z1275" s="247"/>
      <c r="AA1275" s="247"/>
      <c r="AB1275" s="247"/>
    </row>
    <row r="1276">
      <c r="A1276" s="247"/>
      <c r="B1276" s="441"/>
      <c r="C1276" s="441"/>
      <c r="D1276" s="441"/>
      <c r="E1276" s="247"/>
      <c r="F1276" s="247"/>
      <c r="G1276" s="247"/>
      <c r="H1276" s="247"/>
      <c r="I1276" s="247"/>
      <c r="J1276" s="247"/>
      <c r="K1276" s="247"/>
      <c r="L1276" s="247"/>
      <c r="M1276" s="247"/>
      <c r="N1276" s="247"/>
      <c r="O1276" s="247"/>
      <c r="P1276" s="247"/>
      <c r="Q1276" s="247"/>
      <c r="R1276" s="247"/>
      <c r="S1276" s="247"/>
      <c r="T1276" s="247"/>
      <c r="U1276" s="247"/>
      <c r="V1276" s="247"/>
      <c r="W1276" s="247"/>
      <c r="X1276" s="247"/>
      <c r="Y1276" s="247"/>
      <c r="Z1276" s="247"/>
      <c r="AA1276" s="247"/>
      <c r="AB1276" s="247"/>
    </row>
    <row r="1277">
      <c r="A1277" s="247"/>
      <c r="B1277" s="441"/>
      <c r="C1277" s="441"/>
      <c r="D1277" s="441"/>
      <c r="E1277" s="247"/>
      <c r="F1277" s="247"/>
      <c r="G1277" s="247"/>
      <c r="H1277" s="247"/>
      <c r="I1277" s="247"/>
      <c r="J1277" s="247"/>
      <c r="K1277" s="247"/>
      <c r="L1277" s="247"/>
      <c r="M1277" s="247"/>
      <c r="N1277" s="247"/>
      <c r="O1277" s="247"/>
      <c r="P1277" s="247"/>
      <c r="Q1277" s="247"/>
      <c r="R1277" s="247"/>
      <c r="S1277" s="247"/>
      <c r="T1277" s="247"/>
      <c r="U1277" s="247"/>
      <c r="V1277" s="247"/>
      <c r="W1277" s="247"/>
      <c r="X1277" s="247"/>
      <c r="Y1277" s="247"/>
      <c r="Z1277" s="247"/>
      <c r="AA1277" s="247"/>
      <c r="AB1277" s="247"/>
    </row>
    <row r="1278">
      <c r="A1278" s="247"/>
      <c r="B1278" s="441"/>
      <c r="C1278" s="441"/>
      <c r="D1278" s="441"/>
      <c r="E1278" s="247"/>
      <c r="F1278" s="247"/>
      <c r="G1278" s="247"/>
      <c r="H1278" s="247"/>
      <c r="I1278" s="247"/>
      <c r="J1278" s="247"/>
      <c r="K1278" s="247"/>
      <c r="L1278" s="247"/>
      <c r="M1278" s="247"/>
      <c r="N1278" s="247"/>
      <c r="O1278" s="247"/>
      <c r="P1278" s="247"/>
      <c r="Q1278" s="247"/>
      <c r="R1278" s="247"/>
      <c r="S1278" s="247"/>
      <c r="T1278" s="247"/>
      <c r="U1278" s="247"/>
      <c r="V1278" s="247"/>
      <c r="W1278" s="247"/>
      <c r="X1278" s="247"/>
      <c r="Y1278" s="247"/>
      <c r="Z1278" s="247"/>
      <c r="AA1278" s="247"/>
      <c r="AB1278" s="247"/>
    </row>
    <row r="1279">
      <c r="A1279" s="247"/>
      <c r="B1279" s="441"/>
      <c r="C1279" s="441"/>
      <c r="D1279" s="441"/>
      <c r="E1279" s="247"/>
      <c r="F1279" s="247"/>
      <c r="G1279" s="247"/>
      <c r="H1279" s="247"/>
      <c r="I1279" s="247"/>
      <c r="J1279" s="247"/>
      <c r="K1279" s="247"/>
      <c r="L1279" s="247"/>
      <c r="M1279" s="247"/>
      <c r="N1279" s="247"/>
      <c r="O1279" s="247"/>
      <c r="P1279" s="247"/>
      <c r="Q1279" s="247"/>
      <c r="R1279" s="247"/>
      <c r="S1279" s="247"/>
      <c r="T1279" s="247"/>
      <c r="U1279" s="247"/>
      <c r="V1279" s="247"/>
      <c r="W1279" s="247"/>
      <c r="X1279" s="247"/>
      <c r="Y1279" s="247"/>
      <c r="Z1279" s="247"/>
      <c r="AA1279" s="247"/>
      <c r="AB1279" s="247"/>
    </row>
    <row r="1280">
      <c r="A1280" s="247"/>
      <c r="B1280" s="441"/>
      <c r="C1280" s="441"/>
      <c r="D1280" s="441"/>
      <c r="E1280" s="247"/>
      <c r="F1280" s="247"/>
      <c r="G1280" s="247"/>
      <c r="H1280" s="247"/>
      <c r="I1280" s="247"/>
      <c r="J1280" s="247"/>
      <c r="K1280" s="247"/>
      <c r="L1280" s="247"/>
      <c r="M1280" s="247"/>
      <c r="N1280" s="247"/>
      <c r="O1280" s="247"/>
      <c r="P1280" s="247"/>
      <c r="Q1280" s="247"/>
      <c r="R1280" s="247"/>
      <c r="S1280" s="247"/>
      <c r="T1280" s="247"/>
      <c r="U1280" s="247"/>
      <c r="V1280" s="247"/>
      <c r="W1280" s="247"/>
      <c r="X1280" s="247"/>
      <c r="Y1280" s="247"/>
      <c r="Z1280" s="247"/>
      <c r="AA1280" s="247"/>
      <c r="AB1280" s="247"/>
    </row>
    <row r="1281">
      <c r="A1281" s="247"/>
      <c r="B1281" s="441"/>
      <c r="C1281" s="441"/>
      <c r="D1281" s="441"/>
      <c r="E1281" s="247"/>
      <c r="F1281" s="247"/>
      <c r="G1281" s="247"/>
      <c r="H1281" s="247"/>
      <c r="I1281" s="247"/>
      <c r="J1281" s="247"/>
      <c r="K1281" s="247"/>
      <c r="L1281" s="247"/>
      <c r="M1281" s="247"/>
      <c r="N1281" s="247"/>
      <c r="O1281" s="247"/>
      <c r="P1281" s="247"/>
      <c r="Q1281" s="247"/>
      <c r="R1281" s="247"/>
      <c r="S1281" s="247"/>
      <c r="T1281" s="247"/>
      <c r="U1281" s="247"/>
      <c r="V1281" s="247"/>
      <c r="W1281" s="247"/>
      <c r="X1281" s="247"/>
      <c r="Y1281" s="247"/>
      <c r="Z1281" s="247"/>
      <c r="AA1281" s="247"/>
      <c r="AB1281" s="247"/>
    </row>
    <row r="1282">
      <c r="A1282" s="247"/>
      <c r="B1282" s="441"/>
      <c r="C1282" s="441"/>
      <c r="D1282" s="441"/>
      <c r="E1282" s="247"/>
      <c r="F1282" s="247"/>
      <c r="G1282" s="247"/>
      <c r="H1282" s="247"/>
      <c r="I1282" s="247"/>
      <c r="J1282" s="247"/>
      <c r="K1282" s="247"/>
      <c r="L1282" s="247"/>
      <c r="M1282" s="247"/>
      <c r="N1282" s="247"/>
      <c r="O1282" s="247"/>
      <c r="P1282" s="247"/>
      <c r="Q1282" s="247"/>
      <c r="R1282" s="247"/>
      <c r="S1282" s="247"/>
      <c r="T1282" s="247"/>
      <c r="U1282" s="247"/>
      <c r="V1282" s="247"/>
      <c r="W1282" s="247"/>
      <c r="X1282" s="247"/>
      <c r="Y1282" s="247"/>
      <c r="Z1282" s="247"/>
      <c r="AA1282" s="247"/>
      <c r="AB1282" s="247"/>
    </row>
    <row r="1283">
      <c r="A1283" s="247"/>
      <c r="B1283" s="441"/>
      <c r="C1283" s="441"/>
      <c r="D1283" s="441"/>
      <c r="E1283" s="247"/>
      <c r="F1283" s="247"/>
      <c r="G1283" s="247"/>
      <c r="H1283" s="247"/>
      <c r="I1283" s="247"/>
      <c r="J1283" s="247"/>
      <c r="K1283" s="247"/>
      <c r="L1283" s="247"/>
      <c r="M1283" s="247"/>
      <c r="N1283" s="247"/>
      <c r="O1283" s="247"/>
      <c r="P1283" s="247"/>
      <c r="Q1283" s="247"/>
      <c r="R1283" s="247"/>
      <c r="S1283" s="247"/>
      <c r="T1283" s="247"/>
      <c r="U1283" s="247"/>
      <c r="V1283" s="247"/>
      <c r="W1283" s="247"/>
      <c r="X1283" s="247"/>
      <c r="Y1283" s="247"/>
      <c r="Z1283" s="247"/>
      <c r="AA1283" s="247"/>
      <c r="AB1283" s="247"/>
    </row>
    <row r="1284">
      <c r="A1284" s="247"/>
      <c r="B1284" s="441"/>
      <c r="C1284" s="441"/>
      <c r="D1284" s="441"/>
      <c r="E1284" s="247"/>
      <c r="F1284" s="247"/>
      <c r="G1284" s="247"/>
      <c r="H1284" s="247"/>
      <c r="I1284" s="247"/>
      <c r="J1284" s="247"/>
      <c r="K1284" s="247"/>
      <c r="L1284" s="247"/>
      <c r="M1284" s="247"/>
      <c r="N1284" s="247"/>
      <c r="O1284" s="247"/>
      <c r="P1284" s="247"/>
      <c r="Q1284" s="247"/>
      <c r="R1284" s="247"/>
      <c r="S1284" s="247"/>
      <c r="T1284" s="247"/>
      <c r="U1284" s="247"/>
      <c r="V1284" s="247"/>
      <c r="W1284" s="247"/>
      <c r="X1284" s="247"/>
      <c r="Y1284" s="247"/>
      <c r="Z1284" s="247"/>
      <c r="AA1284" s="247"/>
      <c r="AB1284" s="247"/>
    </row>
    <row r="1285">
      <c r="A1285" s="247"/>
      <c r="B1285" s="442"/>
      <c r="C1285" s="442"/>
      <c r="D1285" s="442"/>
      <c r="E1285" s="247"/>
      <c r="F1285" s="247"/>
      <c r="G1285" s="247"/>
      <c r="H1285" s="247"/>
      <c r="I1285" s="247"/>
      <c r="J1285" s="247"/>
      <c r="K1285" s="247"/>
      <c r="L1285" s="247"/>
      <c r="M1285" s="247"/>
      <c r="N1285" s="247"/>
      <c r="O1285" s="247"/>
      <c r="P1285" s="247"/>
      <c r="Q1285" s="247"/>
      <c r="R1285" s="247"/>
      <c r="S1285" s="247"/>
      <c r="T1285" s="247"/>
      <c r="U1285" s="247"/>
      <c r="V1285" s="247"/>
      <c r="W1285" s="247"/>
      <c r="X1285" s="247"/>
      <c r="Y1285" s="247"/>
      <c r="Z1285" s="247"/>
      <c r="AA1285" s="247"/>
      <c r="AB1285" s="247"/>
    </row>
    <row r="1286">
      <c r="A1286" s="247"/>
      <c r="B1286" s="442"/>
      <c r="C1286" s="442"/>
      <c r="D1286" s="442"/>
      <c r="E1286" s="247"/>
      <c r="F1286" s="247"/>
      <c r="G1286" s="247"/>
      <c r="H1286" s="247"/>
      <c r="I1286" s="247"/>
      <c r="J1286" s="247"/>
      <c r="K1286" s="247"/>
      <c r="L1286" s="247"/>
      <c r="M1286" s="247"/>
      <c r="N1286" s="247"/>
      <c r="O1286" s="247"/>
      <c r="P1286" s="247"/>
      <c r="Q1286" s="247"/>
      <c r="R1286" s="247"/>
      <c r="S1286" s="247"/>
      <c r="T1286" s="247"/>
      <c r="U1286" s="247"/>
      <c r="V1286" s="247"/>
      <c r="W1286" s="247"/>
      <c r="X1286" s="247"/>
      <c r="Y1286" s="247"/>
      <c r="Z1286" s="247"/>
      <c r="AA1286" s="247"/>
      <c r="AB1286" s="247"/>
    </row>
    <row r="1287">
      <c r="A1287" s="247"/>
      <c r="B1287" s="442"/>
      <c r="C1287" s="442"/>
      <c r="D1287" s="442"/>
      <c r="E1287" s="247"/>
      <c r="F1287" s="247"/>
      <c r="G1287" s="247"/>
      <c r="H1287" s="247"/>
      <c r="I1287" s="247"/>
      <c r="J1287" s="247"/>
      <c r="K1287" s="247"/>
      <c r="L1287" s="247"/>
      <c r="M1287" s="247"/>
      <c r="N1287" s="247"/>
      <c r="O1287" s="247"/>
      <c r="P1287" s="247"/>
      <c r="Q1287" s="247"/>
      <c r="R1287" s="247"/>
      <c r="S1287" s="247"/>
      <c r="T1287" s="247"/>
      <c r="U1287" s="247"/>
      <c r="V1287" s="247"/>
      <c r="W1287" s="247"/>
      <c r="X1287" s="247"/>
      <c r="Y1287" s="247"/>
      <c r="Z1287" s="247"/>
      <c r="AA1287" s="247"/>
      <c r="AB1287" s="247"/>
    </row>
    <row r="1288">
      <c r="A1288" s="247"/>
      <c r="B1288" s="442"/>
      <c r="C1288" s="442"/>
      <c r="D1288" s="442"/>
      <c r="E1288" s="247"/>
      <c r="F1288" s="247"/>
      <c r="G1288" s="247"/>
      <c r="H1288" s="247"/>
      <c r="I1288" s="247"/>
      <c r="J1288" s="247"/>
      <c r="K1288" s="247"/>
      <c r="L1288" s="247"/>
      <c r="M1288" s="247"/>
      <c r="N1288" s="247"/>
      <c r="O1288" s="247"/>
      <c r="P1288" s="247"/>
      <c r="Q1288" s="247"/>
      <c r="R1288" s="247"/>
      <c r="S1288" s="247"/>
      <c r="T1288" s="247"/>
      <c r="U1288" s="247"/>
      <c r="V1288" s="247"/>
      <c r="W1288" s="247"/>
      <c r="X1288" s="247"/>
      <c r="Y1288" s="247"/>
      <c r="Z1288" s="247"/>
      <c r="AA1288" s="247"/>
      <c r="AB1288" s="247"/>
    </row>
    <row r="1289">
      <c r="A1289" s="247"/>
      <c r="B1289" s="442"/>
      <c r="C1289" s="442"/>
      <c r="D1289" s="442"/>
      <c r="E1289" s="247"/>
      <c r="F1289" s="247"/>
      <c r="G1289" s="247"/>
      <c r="H1289" s="247"/>
      <c r="I1289" s="247"/>
      <c r="J1289" s="247"/>
      <c r="K1289" s="247"/>
      <c r="L1289" s="247"/>
      <c r="M1289" s="247"/>
      <c r="N1289" s="247"/>
      <c r="O1289" s="247"/>
      <c r="P1289" s="247"/>
      <c r="Q1289" s="247"/>
      <c r="R1289" s="247"/>
      <c r="S1289" s="247"/>
      <c r="T1289" s="247"/>
      <c r="U1289" s="247"/>
      <c r="V1289" s="247"/>
      <c r="W1289" s="247"/>
      <c r="X1289" s="247"/>
      <c r="Y1289" s="247"/>
      <c r="Z1289" s="247"/>
      <c r="AA1289" s="247"/>
      <c r="AB1289" s="247"/>
    </row>
    <row r="1290">
      <c r="A1290" s="247"/>
      <c r="B1290" s="442"/>
      <c r="C1290" s="442"/>
      <c r="D1290" s="442"/>
      <c r="E1290" s="247"/>
      <c r="F1290" s="247"/>
      <c r="G1290" s="247"/>
      <c r="H1290" s="247"/>
      <c r="I1290" s="247"/>
      <c r="J1290" s="247"/>
      <c r="K1290" s="247"/>
      <c r="L1290" s="247"/>
      <c r="M1290" s="247"/>
      <c r="N1290" s="247"/>
      <c r="O1290" s="247"/>
      <c r="P1290" s="247"/>
      <c r="Q1290" s="247"/>
      <c r="R1290" s="247"/>
      <c r="S1290" s="247"/>
      <c r="T1290" s="247"/>
      <c r="U1290" s="247"/>
      <c r="V1290" s="247"/>
      <c r="W1290" s="247"/>
      <c r="X1290" s="247"/>
      <c r="Y1290" s="247"/>
      <c r="Z1290" s="247"/>
      <c r="AA1290" s="247"/>
      <c r="AB1290" s="247"/>
    </row>
    <row r="1291">
      <c r="A1291" s="247"/>
      <c r="B1291" s="442"/>
      <c r="C1291" s="442"/>
      <c r="D1291" s="442"/>
      <c r="E1291" s="247"/>
      <c r="F1291" s="247"/>
      <c r="G1291" s="247"/>
      <c r="H1291" s="247"/>
      <c r="I1291" s="247"/>
      <c r="J1291" s="247"/>
      <c r="K1291" s="247"/>
      <c r="L1291" s="247"/>
      <c r="M1291" s="247"/>
      <c r="N1291" s="247"/>
      <c r="O1291" s="247"/>
      <c r="P1291" s="247"/>
      <c r="Q1291" s="247"/>
      <c r="R1291" s="247"/>
      <c r="S1291" s="247"/>
      <c r="T1291" s="247"/>
      <c r="U1291" s="247"/>
      <c r="V1291" s="247"/>
      <c r="W1291" s="247"/>
      <c r="X1291" s="247"/>
      <c r="Y1291" s="247"/>
      <c r="Z1291" s="247"/>
      <c r="AA1291" s="247"/>
      <c r="AB1291" s="247"/>
    </row>
    <row r="1292">
      <c r="A1292" s="247"/>
      <c r="B1292" s="442"/>
      <c r="C1292" s="442"/>
      <c r="D1292" s="442"/>
      <c r="E1292" s="247"/>
      <c r="F1292" s="247"/>
      <c r="G1292" s="247"/>
      <c r="H1292" s="247"/>
      <c r="I1292" s="247"/>
      <c r="J1292" s="247"/>
      <c r="K1292" s="247"/>
      <c r="L1292" s="247"/>
      <c r="M1292" s="247"/>
      <c r="N1292" s="247"/>
      <c r="O1292" s="247"/>
      <c r="P1292" s="247"/>
      <c r="Q1292" s="247"/>
      <c r="R1292" s="247"/>
      <c r="S1292" s="247"/>
      <c r="T1292" s="247"/>
      <c r="U1292" s="247"/>
      <c r="V1292" s="247"/>
      <c r="W1292" s="247"/>
      <c r="X1292" s="247"/>
      <c r="Y1292" s="247"/>
      <c r="Z1292" s="247"/>
      <c r="AA1292" s="247"/>
      <c r="AB1292" s="247"/>
    </row>
    <row r="1293">
      <c r="A1293" s="247"/>
      <c r="B1293" s="442"/>
      <c r="C1293" s="442"/>
      <c r="D1293" s="442"/>
      <c r="E1293" s="247"/>
      <c r="F1293" s="247"/>
      <c r="G1293" s="247"/>
      <c r="H1293" s="247"/>
      <c r="I1293" s="247"/>
      <c r="J1293" s="247"/>
      <c r="K1293" s="247"/>
      <c r="L1293" s="247"/>
      <c r="M1293" s="247"/>
      <c r="N1293" s="247"/>
      <c r="O1293" s="247"/>
      <c r="P1293" s="247"/>
      <c r="Q1293" s="247"/>
      <c r="R1293" s="247"/>
      <c r="S1293" s="247"/>
      <c r="T1293" s="247"/>
      <c r="U1293" s="247"/>
      <c r="V1293" s="247"/>
      <c r="W1293" s="247"/>
      <c r="X1293" s="247"/>
      <c r="Y1293" s="247"/>
      <c r="Z1293" s="247"/>
      <c r="AA1293" s="247"/>
      <c r="AB1293" s="247"/>
    </row>
    <row r="1294">
      <c r="A1294" s="247"/>
      <c r="B1294" s="442"/>
      <c r="C1294" s="442"/>
      <c r="D1294" s="442"/>
      <c r="E1294" s="247"/>
      <c r="F1294" s="247"/>
      <c r="G1294" s="247"/>
      <c r="H1294" s="247"/>
      <c r="I1294" s="247"/>
      <c r="J1294" s="247"/>
      <c r="K1294" s="247"/>
      <c r="L1294" s="247"/>
      <c r="M1294" s="247"/>
      <c r="N1294" s="247"/>
      <c r="O1294" s="247"/>
      <c r="P1294" s="247"/>
      <c r="Q1294" s="247"/>
      <c r="R1294" s="247"/>
      <c r="S1294" s="247"/>
      <c r="T1294" s="247"/>
      <c r="U1294" s="247"/>
      <c r="V1294" s="247"/>
      <c r="W1294" s="247"/>
      <c r="X1294" s="247"/>
      <c r="Y1294" s="247"/>
      <c r="Z1294" s="247"/>
      <c r="AA1294" s="247"/>
      <c r="AB1294" s="247"/>
    </row>
    <row r="1295">
      <c r="A1295" s="247"/>
      <c r="B1295" s="442"/>
      <c r="C1295" s="442"/>
      <c r="D1295" s="442"/>
      <c r="E1295" s="247"/>
      <c r="F1295" s="247"/>
      <c r="G1295" s="247"/>
      <c r="H1295" s="247"/>
      <c r="I1295" s="247"/>
      <c r="J1295" s="247"/>
      <c r="K1295" s="247"/>
      <c r="L1295" s="247"/>
      <c r="M1295" s="247"/>
      <c r="N1295" s="247"/>
      <c r="O1295" s="247"/>
      <c r="P1295" s="247"/>
      <c r="Q1295" s="247"/>
      <c r="R1295" s="247"/>
      <c r="S1295" s="247"/>
      <c r="T1295" s="247"/>
      <c r="U1295" s="247"/>
      <c r="V1295" s="247"/>
      <c r="W1295" s="247"/>
      <c r="X1295" s="247"/>
      <c r="Y1295" s="247"/>
      <c r="Z1295" s="247"/>
      <c r="AA1295" s="247"/>
      <c r="AB1295" s="247"/>
    </row>
    <row r="1296">
      <c r="A1296" s="247"/>
      <c r="B1296" s="442"/>
      <c r="C1296" s="442"/>
      <c r="D1296" s="442"/>
      <c r="E1296" s="247"/>
      <c r="F1296" s="247"/>
      <c r="G1296" s="247"/>
      <c r="H1296" s="247"/>
      <c r="I1296" s="247"/>
      <c r="J1296" s="247"/>
      <c r="K1296" s="247"/>
      <c r="L1296" s="247"/>
      <c r="M1296" s="247"/>
      <c r="N1296" s="247"/>
      <c r="O1296" s="247"/>
      <c r="P1296" s="247"/>
      <c r="Q1296" s="247"/>
      <c r="R1296" s="247"/>
      <c r="S1296" s="247"/>
      <c r="T1296" s="247"/>
      <c r="U1296" s="247"/>
      <c r="V1296" s="247"/>
      <c r="W1296" s="247"/>
      <c r="X1296" s="247"/>
      <c r="Y1296" s="247"/>
      <c r="Z1296" s="247"/>
      <c r="AA1296" s="247"/>
      <c r="AB1296" s="247"/>
    </row>
    <row r="1297">
      <c r="A1297" s="247"/>
      <c r="B1297" s="442"/>
      <c r="C1297" s="442"/>
      <c r="D1297" s="442"/>
      <c r="E1297" s="247"/>
      <c r="F1297" s="247"/>
      <c r="G1297" s="247"/>
      <c r="H1297" s="247"/>
      <c r="I1297" s="247"/>
      <c r="J1297" s="247"/>
      <c r="K1297" s="247"/>
      <c r="L1297" s="247"/>
      <c r="M1297" s="247"/>
      <c r="N1297" s="247"/>
      <c r="O1297" s="247"/>
      <c r="P1297" s="247"/>
      <c r="Q1297" s="247"/>
      <c r="R1297" s="247"/>
      <c r="S1297" s="247"/>
      <c r="T1297" s="247"/>
      <c r="U1297" s="247"/>
      <c r="V1297" s="247"/>
      <c r="W1297" s="247"/>
      <c r="X1297" s="247"/>
      <c r="Y1297" s="247"/>
      <c r="Z1297" s="247"/>
      <c r="AA1297" s="247"/>
      <c r="AB1297" s="247"/>
    </row>
    <row r="1298">
      <c r="A1298" s="247"/>
      <c r="B1298" s="442"/>
      <c r="C1298" s="442"/>
      <c r="D1298" s="442"/>
      <c r="E1298" s="247"/>
      <c r="F1298" s="247"/>
      <c r="G1298" s="247"/>
      <c r="H1298" s="247"/>
      <c r="I1298" s="247"/>
      <c r="J1298" s="247"/>
      <c r="K1298" s="247"/>
      <c r="L1298" s="247"/>
      <c r="M1298" s="247"/>
      <c r="N1298" s="247"/>
      <c r="O1298" s="247"/>
      <c r="P1298" s="247"/>
      <c r="Q1298" s="247"/>
      <c r="R1298" s="247"/>
      <c r="S1298" s="247"/>
      <c r="T1298" s="247"/>
      <c r="U1298" s="247"/>
      <c r="V1298" s="247"/>
      <c r="W1298" s="247"/>
      <c r="X1298" s="247"/>
      <c r="Y1298" s="247"/>
      <c r="Z1298" s="247"/>
      <c r="AA1298" s="247"/>
      <c r="AB1298" s="247"/>
    </row>
    <row r="1299">
      <c r="A1299" s="247"/>
      <c r="B1299" s="442"/>
      <c r="C1299" s="442"/>
      <c r="D1299" s="442"/>
      <c r="E1299" s="247"/>
      <c r="F1299" s="247"/>
      <c r="G1299" s="247"/>
      <c r="H1299" s="247"/>
      <c r="I1299" s="247"/>
      <c r="J1299" s="247"/>
      <c r="K1299" s="247"/>
      <c r="L1299" s="247"/>
      <c r="M1299" s="247"/>
      <c r="N1299" s="247"/>
      <c r="O1299" s="247"/>
      <c r="P1299" s="247"/>
      <c r="Q1299" s="247"/>
      <c r="R1299" s="247"/>
      <c r="S1299" s="247"/>
      <c r="T1299" s="247"/>
      <c r="U1299" s="247"/>
      <c r="V1299" s="247"/>
      <c r="W1299" s="247"/>
      <c r="X1299" s="247"/>
      <c r="Y1299" s="247"/>
      <c r="Z1299" s="247"/>
      <c r="AA1299" s="247"/>
      <c r="AB1299" s="247"/>
    </row>
    <row r="1300">
      <c r="A1300" s="247"/>
      <c r="B1300" s="442"/>
      <c r="C1300" s="442"/>
      <c r="D1300" s="442"/>
      <c r="E1300" s="247"/>
      <c r="F1300" s="247"/>
      <c r="G1300" s="247"/>
      <c r="H1300" s="247"/>
      <c r="I1300" s="247"/>
      <c r="J1300" s="247"/>
      <c r="K1300" s="247"/>
      <c r="L1300" s="247"/>
      <c r="M1300" s="247"/>
      <c r="N1300" s="247"/>
      <c r="O1300" s="247"/>
      <c r="P1300" s="247"/>
      <c r="Q1300" s="247"/>
      <c r="R1300" s="247"/>
      <c r="S1300" s="247"/>
      <c r="T1300" s="247"/>
      <c r="U1300" s="247"/>
      <c r="V1300" s="247"/>
      <c r="W1300" s="247"/>
      <c r="X1300" s="247"/>
      <c r="Y1300" s="247"/>
      <c r="Z1300" s="247"/>
      <c r="AA1300" s="247"/>
      <c r="AB1300" s="247"/>
    </row>
    <row r="1301">
      <c r="A1301" s="247"/>
      <c r="B1301" s="442"/>
      <c r="C1301" s="442"/>
      <c r="D1301" s="442"/>
      <c r="E1301" s="247"/>
      <c r="F1301" s="247"/>
      <c r="G1301" s="247"/>
      <c r="H1301" s="247"/>
      <c r="I1301" s="247"/>
      <c r="J1301" s="247"/>
      <c r="K1301" s="247"/>
      <c r="L1301" s="247"/>
      <c r="M1301" s="247"/>
      <c r="N1301" s="247"/>
      <c r="O1301" s="247"/>
      <c r="P1301" s="247"/>
      <c r="Q1301" s="247"/>
      <c r="R1301" s="247"/>
      <c r="S1301" s="247"/>
      <c r="T1301" s="247"/>
      <c r="U1301" s="247"/>
      <c r="V1301" s="247"/>
      <c r="W1301" s="247"/>
      <c r="X1301" s="247"/>
      <c r="Y1301" s="247"/>
      <c r="Z1301" s="247"/>
      <c r="AA1301" s="247"/>
      <c r="AB1301" s="247"/>
    </row>
    <row r="1302">
      <c r="A1302" s="247"/>
      <c r="B1302" s="442"/>
      <c r="C1302" s="442"/>
      <c r="D1302" s="442"/>
      <c r="E1302" s="247"/>
      <c r="F1302" s="247"/>
      <c r="G1302" s="247"/>
      <c r="H1302" s="247"/>
      <c r="I1302" s="247"/>
      <c r="J1302" s="247"/>
      <c r="K1302" s="247"/>
      <c r="L1302" s="247"/>
      <c r="M1302" s="247"/>
      <c r="N1302" s="247"/>
      <c r="O1302" s="247"/>
      <c r="P1302" s="247"/>
      <c r="Q1302" s="247"/>
      <c r="R1302" s="247"/>
      <c r="S1302" s="247"/>
      <c r="T1302" s="247"/>
      <c r="U1302" s="247"/>
      <c r="V1302" s="247"/>
      <c r="W1302" s="247"/>
      <c r="X1302" s="247"/>
      <c r="Y1302" s="247"/>
      <c r="Z1302" s="247"/>
      <c r="AA1302" s="247"/>
      <c r="AB1302" s="247"/>
    </row>
    <row r="1303">
      <c r="A1303" s="247"/>
      <c r="B1303" s="442"/>
      <c r="C1303" s="442"/>
      <c r="D1303" s="442"/>
      <c r="E1303" s="247"/>
      <c r="F1303" s="247"/>
      <c r="G1303" s="247"/>
      <c r="H1303" s="247"/>
      <c r="I1303" s="247"/>
      <c r="J1303" s="247"/>
      <c r="K1303" s="247"/>
      <c r="L1303" s="247"/>
      <c r="M1303" s="247"/>
      <c r="N1303" s="247"/>
      <c r="O1303" s="247"/>
      <c r="P1303" s="247"/>
      <c r="Q1303" s="247"/>
      <c r="R1303" s="247"/>
      <c r="S1303" s="247"/>
      <c r="T1303" s="247"/>
      <c r="U1303" s="247"/>
      <c r="V1303" s="247"/>
      <c r="W1303" s="247"/>
      <c r="X1303" s="247"/>
      <c r="Y1303" s="247"/>
      <c r="Z1303" s="247"/>
      <c r="AA1303" s="247"/>
      <c r="AB1303" s="247"/>
    </row>
    <row r="1304">
      <c r="A1304" s="247"/>
      <c r="B1304" s="442"/>
      <c r="C1304" s="442"/>
      <c r="D1304" s="442"/>
      <c r="E1304" s="247"/>
      <c r="F1304" s="247"/>
      <c r="G1304" s="247"/>
      <c r="H1304" s="247"/>
      <c r="I1304" s="247"/>
      <c r="J1304" s="247"/>
      <c r="K1304" s="247"/>
      <c r="L1304" s="247"/>
      <c r="M1304" s="247"/>
      <c r="N1304" s="247"/>
      <c r="O1304" s="247"/>
      <c r="P1304" s="247"/>
      <c r="Q1304" s="247"/>
      <c r="R1304" s="247"/>
      <c r="S1304" s="247"/>
      <c r="T1304" s="247"/>
      <c r="U1304" s="247"/>
      <c r="V1304" s="247"/>
      <c r="W1304" s="247"/>
      <c r="X1304" s="247"/>
      <c r="Y1304" s="247"/>
      <c r="Z1304" s="247"/>
      <c r="AA1304" s="247"/>
      <c r="AB1304" s="247"/>
    </row>
    <row r="1305">
      <c r="A1305" s="247"/>
      <c r="B1305" s="442"/>
      <c r="C1305" s="442"/>
      <c r="D1305" s="442"/>
      <c r="E1305" s="247"/>
      <c r="F1305" s="247"/>
      <c r="G1305" s="247"/>
      <c r="H1305" s="247"/>
      <c r="I1305" s="247"/>
      <c r="J1305" s="247"/>
      <c r="K1305" s="247"/>
      <c r="L1305" s="247"/>
      <c r="M1305" s="247"/>
      <c r="N1305" s="247"/>
      <c r="O1305" s="247"/>
      <c r="P1305" s="247"/>
      <c r="Q1305" s="247"/>
      <c r="R1305" s="247"/>
      <c r="S1305" s="247"/>
      <c r="T1305" s="247"/>
      <c r="U1305" s="247"/>
      <c r="V1305" s="247"/>
      <c r="W1305" s="247"/>
      <c r="X1305" s="247"/>
      <c r="Y1305" s="247"/>
      <c r="Z1305" s="247"/>
      <c r="AA1305" s="247"/>
      <c r="AB1305" s="247"/>
    </row>
    <row r="1306">
      <c r="A1306" s="247"/>
      <c r="B1306" s="442"/>
      <c r="C1306" s="442"/>
      <c r="D1306" s="442"/>
      <c r="E1306" s="247"/>
      <c r="F1306" s="247"/>
      <c r="G1306" s="247"/>
      <c r="H1306" s="247"/>
      <c r="I1306" s="247"/>
      <c r="J1306" s="247"/>
      <c r="K1306" s="247"/>
      <c r="L1306" s="247"/>
      <c r="M1306" s="247"/>
      <c r="N1306" s="247"/>
      <c r="O1306" s="247"/>
      <c r="P1306" s="247"/>
      <c r="Q1306" s="247"/>
      <c r="R1306" s="247"/>
      <c r="S1306" s="247"/>
      <c r="T1306" s="247"/>
      <c r="U1306" s="247"/>
      <c r="V1306" s="247"/>
      <c r="W1306" s="247"/>
      <c r="X1306" s="247"/>
      <c r="Y1306" s="247"/>
      <c r="Z1306" s="247"/>
      <c r="AA1306" s="247"/>
      <c r="AB1306" s="247"/>
    </row>
    <row r="1307">
      <c r="A1307" s="247"/>
      <c r="B1307" s="442"/>
      <c r="C1307" s="442"/>
      <c r="D1307" s="442"/>
      <c r="E1307" s="247"/>
      <c r="F1307" s="247"/>
      <c r="G1307" s="247"/>
      <c r="H1307" s="247"/>
      <c r="I1307" s="247"/>
      <c r="J1307" s="247"/>
      <c r="K1307" s="247"/>
      <c r="L1307" s="247"/>
      <c r="M1307" s="247"/>
      <c r="N1307" s="247"/>
      <c r="O1307" s="247"/>
      <c r="P1307" s="247"/>
      <c r="Q1307" s="247"/>
      <c r="R1307" s="247"/>
      <c r="S1307" s="247"/>
      <c r="T1307" s="247"/>
      <c r="U1307" s="247"/>
      <c r="V1307" s="247"/>
      <c r="W1307" s="247"/>
      <c r="X1307" s="247"/>
      <c r="Y1307" s="247"/>
      <c r="Z1307" s="247"/>
      <c r="AA1307" s="247"/>
      <c r="AB1307" s="247"/>
    </row>
    <row r="1308">
      <c r="A1308" s="247"/>
      <c r="B1308" s="442"/>
      <c r="C1308" s="442"/>
      <c r="D1308" s="442"/>
      <c r="E1308" s="247"/>
      <c r="F1308" s="247"/>
      <c r="G1308" s="247"/>
      <c r="H1308" s="247"/>
      <c r="I1308" s="247"/>
      <c r="J1308" s="247"/>
      <c r="K1308" s="247"/>
      <c r="L1308" s="247"/>
      <c r="M1308" s="247"/>
      <c r="N1308" s="247"/>
      <c r="O1308" s="247"/>
      <c r="P1308" s="247"/>
      <c r="Q1308" s="247"/>
      <c r="R1308" s="247"/>
      <c r="S1308" s="247"/>
      <c r="T1308" s="247"/>
      <c r="U1308" s="247"/>
      <c r="V1308" s="247"/>
      <c r="W1308" s="247"/>
      <c r="X1308" s="247"/>
      <c r="Y1308" s="247"/>
      <c r="Z1308" s="247"/>
      <c r="AA1308" s="247"/>
      <c r="AB1308" s="247"/>
    </row>
    <row r="1309">
      <c r="A1309" s="247"/>
      <c r="B1309" s="442"/>
      <c r="C1309" s="442"/>
      <c r="D1309" s="442"/>
      <c r="E1309" s="247"/>
      <c r="F1309" s="247"/>
      <c r="G1309" s="247"/>
      <c r="H1309" s="247"/>
      <c r="I1309" s="247"/>
      <c r="J1309" s="247"/>
      <c r="K1309" s="247"/>
      <c r="L1309" s="247"/>
      <c r="M1309" s="247"/>
      <c r="N1309" s="247"/>
      <c r="O1309" s="247"/>
      <c r="P1309" s="247"/>
      <c r="Q1309" s="247"/>
      <c r="R1309" s="247"/>
      <c r="S1309" s="247"/>
      <c r="T1309" s="247"/>
      <c r="U1309" s="247"/>
      <c r="V1309" s="247"/>
      <c r="W1309" s="247"/>
      <c r="X1309" s="247"/>
      <c r="Y1309" s="247"/>
      <c r="Z1309" s="247"/>
      <c r="AA1309" s="247"/>
      <c r="AB1309" s="247"/>
    </row>
    <row r="1310">
      <c r="A1310" s="247"/>
      <c r="B1310" s="442"/>
      <c r="C1310" s="442"/>
      <c r="D1310" s="442"/>
      <c r="E1310" s="247"/>
      <c r="F1310" s="247"/>
      <c r="G1310" s="247"/>
      <c r="H1310" s="247"/>
      <c r="I1310" s="247"/>
      <c r="J1310" s="247"/>
      <c r="K1310" s="247"/>
      <c r="L1310" s="247"/>
      <c r="M1310" s="247"/>
      <c r="N1310" s="247"/>
      <c r="O1310" s="247"/>
      <c r="P1310" s="247"/>
      <c r="Q1310" s="247"/>
      <c r="R1310" s="247"/>
      <c r="S1310" s="247"/>
      <c r="T1310" s="247"/>
      <c r="U1310" s="247"/>
      <c r="V1310" s="247"/>
      <c r="W1310" s="247"/>
      <c r="X1310" s="247"/>
      <c r="Y1310" s="247"/>
      <c r="Z1310" s="247"/>
      <c r="AA1310" s="247"/>
      <c r="AB1310" s="247"/>
    </row>
    <row r="1311">
      <c r="A1311" s="247"/>
      <c r="B1311" s="442"/>
      <c r="C1311" s="442"/>
      <c r="D1311" s="442"/>
      <c r="E1311" s="247"/>
      <c r="F1311" s="247"/>
      <c r="G1311" s="247"/>
      <c r="H1311" s="247"/>
      <c r="I1311" s="247"/>
      <c r="J1311" s="247"/>
      <c r="K1311" s="247"/>
      <c r="L1311" s="247"/>
      <c r="M1311" s="247"/>
      <c r="N1311" s="247"/>
      <c r="O1311" s="247"/>
      <c r="P1311" s="247"/>
      <c r="Q1311" s="247"/>
      <c r="R1311" s="247"/>
      <c r="S1311" s="247"/>
      <c r="T1311" s="247"/>
      <c r="U1311" s="247"/>
      <c r="V1311" s="247"/>
      <c r="W1311" s="247"/>
      <c r="X1311" s="247"/>
      <c r="Y1311" s="247"/>
      <c r="Z1311" s="247"/>
      <c r="AA1311" s="247"/>
      <c r="AB1311" s="247"/>
    </row>
    <row r="1312">
      <c r="A1312" s="247"/>
      <c r="B1312" s="442"/>
      <c r="C1312" s="442"/>
      <c r="D1312" s="442"/>
      <c r="E1312" s="247"/>
      <c r="F1312" s="247"/>
      <c r="G1312" s="247"/>
      <c r="H1312" s="247"/>
      <c r="I1312" s="247"/>
      <c r="J1312" s="247"/>
      <c r="K1312" s="247"/>
      <c r="L1312" s="247"/>
      <c r="M1312" s="247"/>
      <c r="N1312" s="247"/>
      <c r="O1312" s="247"/>
      <c r="P1312" s="247"/>
      <c r="Q1312" s="247"/>
      <c r="R1312" s="247"/>
      <c r="S1312" s="247"/>
      <c r="T1312" s="247"/>
      <c r="U1312" s="247"/>
      <c r="V1312" s="247"/>
      <c r="W1312" s="247"/>
      <c r="X1312" s="247"/>
      <c r="Y1312" s="247"/>
      <c r="Z1312" s="247"/>
      <c r="AA1312" s="247"/>
      <c r="AB1312" s="247"/>
    </row>
    <row r="1313">
      <c r="A1313" s="247"/>
      <c r="B1313" s="442"/>
      <c r="C1313" s="442"/>
      <c r="D1313" s="442"/>
      <c r="E1313" s="247"/>
      <c r="F1313" s="247"/>
      <c r="G1313" s="247"/>
      <c r="H1313" s="247"/>
      <c r="I1313" s="247"/>
      <c r="J1313" s="247"/>
      <c r="K1313" s="247"/>
      <c r="L1313" s="247"/>
      <c r="M1313" s="247"/>
      <c r="N1313" s="247"/>
      <c r="O1313" s="247"/>
      <c r="P1313" s="247"/>
      <c r="Q1313" s="247"/>
      <c r="R1313" s="247"/>
      <c r="S1313" s="247"/>
      <c r="T1313" s="247"/>
      <c r="U1313" s="247"/>
      <c r="V1313" s="247"/>
      <c r="W1313" s="247"/>
      <c r="X1313" s="247"/>
      <c r="Y1313" s="247"/>
      <c r="Z1313" s="247"/>
      <c r="AA1313" s="247"/>
      <c r="AB1313" s="247"/>
    </row>
    <row r="1314">
      <c r="A1314" s="247"/>
      <c r="B1314" s="442"/>
      <c r="C1314" s="442"/>
      <c r="D1314" s="442"/>
      <c r="E1314" s="247"/>
      <c r="F1314" s="247"/>
      <c r="G1314" s="247"/>
      <c r="H1314" s="247"/>
      <c r="I1314" s="247"/>
      <c r="J1314" s="247"/>
      <c r="K1314" s="247"/>
      <c r="L1314" s="247"/>
      <c r="M1314" s="247"/>
      <c r="N1314" s="247"/>
      <c r="O1314" s="247"/>
      <c r="P1314" s="247"/>
      <c r="Q1314" s="247"/>
      <c r="R1314" s="247"/>
      <c r="S1314" s="247"/>
      <c r="T1314" s="247"/>
      <c r="U1314" s="247"/>
      <c r="V1314" s="247"/>
      <c r="W1314" s="247"/>
      <c r="X1314" s="247"/>
      <c r="Y1314" s="247"/>
      <c r="Z1314" s="247"/>
      <c r="AA1314" s="247"/>
      <c r="AB1314" s="247"/>
    </row>
    <row r="1315">
      <c r="A1315" s="247"/>
      <c r="B1315" s="442"/>
      <c r="C1315" s="442"/>
      <c r="D1315" s="442"/>
      <c r="E1315" s="247"/>
      <c r="F1315" s="247"/>
      <c r="G1315" s="247"/>
      <c r="H1315" s="247"/>
      <c r="I1315" s="247"/>
      <c r="J1315" s="247"/>
      <c r="K1315" s="247"/>
      <c r="L1315" s="247"/>
      <c r="M1315" s="247"/>
      <c r="N1315" s="247"/>
      <c r="O1315" s="247"/>
      <c r="P1315" s="247"/>
      <c r="Q1315" s="247"/>
      <c r="R1315" s="247"/>
      <c r="S1315" s="247"/>
      <c r="T1315" s="247"/>
      <c r="U1315" s="247"/>
      <c r="V1315" s="247"/>
      <c r="W1315" s="247"/>
      <c r="X1315" s="247"/>
      <c r="Y1315" s="247"/>
      <c r="Z1315" s="247"/>
      <c r="AA1315" s="247"/>
      <c r="AB1315" s="247"/>
    </row>
    <row r="1316">
      <c r="A1316" s="247"/>
      <c r="B1316" s="442"/>
      <c r="C1316" s="442"/>
      <c r="D1316" s="442"/>
      <c r="E1316" s="247"/>
      <c r="F1316" s="247"/>
      <c r="G1316" s="247"/>
      <c r="H1316" s="247"/>
      <c r="I1316" s="247"/>
      <c r="J1316" s="247"/>
      <c r="K1316" s="247"/>
      <c r="L1316" s="247"/>
      <c r="M1316" s="247"/>
      <c r="N1316" s="247"/>
      <c r="O1316" s="247"/>
      <c r="P1316" s="247"/>
      <c r="Q1316" s="247"/>
      <c r="R1316" s="247"/>
      <c r="S1316" s="247"/>
      <c r="T1316" s="247"/>
      <c r="U1316" s="247"/>
      <c r="V1316" s="247"/>
      <c r="W1316" s="247"/>
      <c r="X1316" s="247"/>
      <c r="Y1316" s="247"/>
      <c r="Z1316" s="247"/>
      <c r="AA1316" s="247"/>
      <c r="AB1316" s="247"/>
    </row>
    <row r="1317">
      <c r="A1317" s="247"/>
      <c r="B1317" s="442"/>
      <c r="C1317" s="442"/>
      <c r="D1317" s="442"/>
      <c r="E1317" s="247"/>
      <c r="F1317" s="247"/>
      <c r="G1317" s="247"/>
      <c r="H1317" s="247"/>
      <c r="I1317" s="247"/>
      <c r="J1317" s="247"/>
      <c r="K1317" s="247"/>
      <c r="L1317" s="247"/>
      <c r="M1317" s="247"/>
      <c r="N1317" s="247"/>
      <c r="O1317" s="247"/>
      <c r="P1317" s="247"/>
      <c r="Q1317" s="247"/>
      <c r="R1317" s="247"/>
      <c r="S1317" s="247"/>
      <c r="T1317" s="247"/>
      <c r="U1317" s="247"/>
      <c r="V1317" s="247"/>
      <c r="W1317" s="247"/>
      <c r="X1317" s="247"/>
      <c r="Y1317" s="247"/>
      <c r="Z1317" s="247"/>
      <c r="AA1317" s="247"/>
      <c r="AB1317" s="247"/>
    </row>
    <row r="1318">
      <c r="A1318" s="247"/>
      <c r="B1318" s="442"/>
      <c r="C1318" s="442"/>
      <c r="D1318" s="442"/>
      <c r="E1318" s="247"/>
      <c r="F1318" s="247"/>
      <c r="G1318" s="247"/>
      <c r="H1318" s="247"/>
      <c r="I1318" s="247"/>
      <c r="J1318" s="247"/>
      <c r="K1318" s="247"/>
      <c r="L1318" s="247"/>
      <c r="M1318" s="247"/>
      <c r="N1318" s="247"/>
      <c r="O1318" s="247"/>
      <c r="P1318" s="247"/>
      <c r="Q1318" s="247"/>
      <c r="R1318" s="247"/>
      <c r="S1318" s="247"/>
      <c r="T1318" s="247"/>
      <c r="U1318" s="247"/>
      <c r="V1318" s="247"/>
      <c r="W1318" s="247"/>
      <c r="X1318" s="247"/>
      <c r="Y1318" s="247"/>
      <c r="Z1318" s="247"/>
      <c r="AA1318" s="247"/>
      <c r="AB1318" s="247"/>
    </row>
    <row r="1319">
      <c r="A1319" s="247"/>
      <c r="B1319" s="442"/>
      <c r="C1319" s="442"/>
      <c r="D1319" s="442"/>
      <c r="E1319" s="247"/>
      <c r="F1319" s="247"/>
      <c r="G1319" s="247"/>
      <c r="H1319" s="247"/>
      <c r="I1319" s="247"/>
      <c r="J1319" s="247"/>
      <c r="K1319" s="247"/>
      <c r="L1319" s="247"/>
      <c r="M1319" s="247"/>
      <c r="N1319" s="247"/>
      <c r="O1319" s="247"/>
      <c r="P1319" s="247"/>
      <c r="Q1319" s="247"/>
      <c r="R1319" s="247"/>
      <c r="S1319" s="247"/>
      <c r="T1319" s="247"/>
      <c r="U1319" s="247"/>
      <c r="V1319" s="247"/>
      <c r="W1319" s="247"/>
      <c r="X1319" s="247"/>
      <c r="Y1319" s="247"/>
      <c r="Z1319" s="247"/>
      <c r="AA1319" s="247"/>
      <c r="AB1319" s="247"/>
    </row>
    <row r="1320">
      <c r="A1320" s="247"/>
      <c r="B1320" s="442"/>
      <c r="C1320" s="442"/>
      <c r="D1320" s="442"/>
      <c r="E1320" s="247"/>
      <c r="F1320" s="247"/>
      <c r="G1320" s="247"/>
      <c r="H1320" s="247"/>
      <c r="I1320" s="247"/>
      <c r="J1320" s="247"/>
      <c r="K1320" s="247"/>
      <c r="L1320" s="247"/>
      <c r="M1320" s="247"/>
      <c r="N1320" s="247"/>
      <c r="O1320" s="247"/>
      <c r="P1320" s="247"/>
      <c r="Q1320" s="247"/>
      <c r="R1320" s="247"/>
      <c r="S1320" s="247"/>
      <c r="T1320" s="247"/>
      <c r="U1320" s="247"/>
      <c r="V1320" s="247"/>
      <c r="W1320" s="247"/>
      <c r="X1320" s="247"/>
      <c r="Y1320" s="247"/>
      <c r="Z1320" s="247"/>
      <c r="AA1320" s="247"/>
      <c r="AB1320" s="247"/>
    </row>
    <row r="1321">
      <c r="A1321" s="247"/>
      <c r="B1321" s="442"/>
      <c r="C1321" s="442"/>
      <c r="D1321" s="442"/>
      <c r="E1321" s="247"/>
      <c r="F1321" s="247"/>
      <c r="G1321" s="247"/>
      <c r="H1321" s="247"/>
      <c r="I1321" s="247"/>
      <c r="J1321" s="247"/>
      <c r="K1321" s="247"/>
      <c r="L1321" s="247"/>
      <c r="M1321" s="247"/>
      <c r="N1321" s="247"/>
      <c r="O1321" s="247"/>
      <c r="P1321" s="247"/>
      <c r="Q1321" s="247"/>
      <c r="R1321" s="247"/>
      <c r="S1321" s="247"/>
      <c r="T1321" s="247"/>
      <c r="U1321" s="247"/>
      <c r="V1321" s="247"/>
      <c r="W1321" s="247"/>
      <c r="X1321" s="247"/>
      <c r="Y1321" s="247"/>
      <c r="Z1321" s="247"/>
      <c r="AA1321" s="247"/>
      <c r="AB1321" s="247"/>
    </row>
  </sheetData>
  <autoFilter ref="$A$2:$AB$333">
    <filterColumn colId="0">
      <filters>
        <filter val="Week 1/19/26 - 1/25/26"/>
      </filters>
    </filterColumn>
    <sortState ref="A2:AB333">
      <sortCondition ref="A2:A333"/>
    </sortState>
  </autoFilter>
  <dataValidations>
    <dataValidation type="list" allowBlank="1" showErrorMessage="1" sqref="A99:A111">
      <formula1>"Week 12/1/25 - 12/7/25"</formula1>
    </dataValidation>
    <dataValidation type="list" allowBlank="1" showErrorMessage="1" sqref="A177:A188">
      <formula1>"Week 10/20/25 - 10/26/25"</formula1>
    </dataValidation>
    <dataValidation type="list" allowBlank="1" showErrorMessage="1" sqref="A288:A300">
      <formula1>"Week 9/1/25 - 9/7/25"</formula1>
    </dataValidation>
    <dataValidation type="list" allowBlank="1" showErrorMessage="1" sqref="A189 A191:A201">
      <formula1>"Week 10/13/25 - 10/19/25"</formula1>
    </dataValidation>
    <dataValidation type="list" allowBlank="1" showErrorMessage="1" sqref="A138:A150">
      <formula1>"Week 11/10/25 - 11/16/25"</formula1>
    </dataValidation>
    <dataValidation type="list" allowBlank="1" showErrorMessage="1" sqref="A164:A176">
      <formula1>"Week 10/27/25 - 11/2/25"</formula1>
    </dataValidation>
    <dataValidation type="list" allowBlank="1" showErrorMessage="1" sqref="A233:A252">
      <formula1>"Week 9/22/25 - 9/28/25"</formula1>
    </dataValidation>
    <dataValidation type="list" allowBlank="1" showErrorMessage="1" sqref="A323:A333">
      <formula1>"Week 8/11/25 - 8/17/25 "</formula1>
    </dataValidation>
    <dataValidation type="list" allowBlank="1" showErrorMessage="1" sqref="A151:A163">
      <formula1>"Week 11/3/25 - 11/9/25"</formula1>
    </dataValidation>
    <dataValidation type="list" allowBlank="1" showErrorMessage="1" sqref="A3:A16">
      <formula1>"Week 1/19/26 - 1/25/26"</formula1>
    </dataValidation>
    <dataValidation type="list" allowBlank="1" showErrorMessage="1" sqref="A190 A270:A287">
      <formula1>"Week 9/08/25 - 9/14/25"</formula1>
    </dataValidation>
    <dataValidation type="list" allowBlank="1" showErrorMessage="1" sqref="A202:A212">
      <formula1>"Week 10/6/25 - 10/12/25"</formula1>
    </dataValidation>
    <dataValidation type="list" allowBlank="1" showErrorMessage="1" sqref="A73:A85">
      <formula1>"Week 12/15/25 - 12/21/25"</formula1>
    </dataValidation>
    <dataValidation type="list" allowBlank="1" showErrorMessage="1" sqref="A301:A311">
      <formula1>"Week 8/25/25 - 8/31/25"</formula1>
    </dataValidation>
    <dataValidation type="list" allowBlank="1" showErrorMessage="1" sqref="A112:A124">
      <formula1>"Week 11/24/25 - 11/30/25"</formula1>
    </dataValidation>
    <dataValidation type="list" allowBlank="1" showErrorMessage="1" sqref="A31:A44">
      <formula1>"Week 1/5/26 - 1/11/26"</formula1>
    </dataValidation>
    <dataValidation type="list" allowBlank="1" showErrorMessage="1" sqref="A86:A98">
      <formula1>"Week 12/8/25 - 12/14/25"</formula1>
    </dataValidation>
    <dataValidation type="list" allowBlank="1" showErrorMessage="1" sqref="A125:A137">
      <formula1>"Week 11/17/25 - 11/23/25"</formula1>
    </dataValidation>
    <dataValidation type="list" allowBlank="1" showErrorMessage="1" sqref="A253:A269">
      <formula1>"Week 9/15/25 - 9/21/25"</formula1>
    </dataValidation>
    <dataValidation type="list" allowBlank="1" showErrorMessage="1" sqref="A312:A322">
      <formula1>"Week 8/18/25 - 8/24/25 "</formula1>
    </dataValidation>
    <dataValidation type="list" allowBlank="1" showErrorMessage="1" sqref="A17:A30">
      <formula1>"Week 1/12/26 - 1/18/26"</formula1>
    </dataValidation>
    <dataValidation type="list" allowBlank="1" showErrorMessage="1" sqref="A59:A72">
      <formula1>"Week 12/22/25 - 12/28/25"</formula1>
    </dataValidation>
    <dataValidation type="list" allowBlank="1" showErrorMessage="1" sqref="A45:A58">
      <formula1>"Week 12/29/25 - 1/4/26"</formula1>
    </dataValidation>
    <dataValidation type="list" allowBlank="1" showErrorMessage="1" sqref="A213:A232">
      <formula1>"Week 9/29/25 - 10/5/25"</formula1>
    </dataValidation>
  </dataValidations>
  <hyperlinks>
    <hyperlink r:id="rId1" location="gid=0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29.25"/>
    <col customWidth="1" min="4" max="4" width="22.38"/>
    <col customWidth="1" min="6" max="6" width="28.13"/>
    <col hidden="1" min="7" max="8" width="12.63"/>
  </cols>
  <sheetData>
    <row r="1">
      <c r="A1" s="1" t="s">
        <v>2</v>
      </c>
      <c r="B1" s="303" t="s">
        <v>3</v>
      </c>
      <c r="C1" s="303" t="s">
        <v>5</v>
      </c>
      <c r="D1" s="1" t="s">
        <v>1235</v>
      </c>
      <c r="E1" s="1" t="s">
        <v>12</v>
      </c>
      <c r="F1" s="1"/>
      <c r="G1" s="1"/>
      <c r="H1" s="1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>
      <c r="A2" s="6" t="s">
        <v>206</v>
      </c>
      <c r="B2" s="16" t="s">
        <v>1236</v>
      </c>
      <c r="C2" s="443" t="s">
        <v>1237</v>
      </c>
      <c r="D2" s="444">
        <v>35.0</v>
      </c>
      <c r="E2" s="12">
        <f t="shared" ref="E2:E103" si="1">D2*50</f>
        <v>1750</v>
      </c>
      <c r="F2" s="12" t="str">
        <f t="shared" ref="F2:F94" si="2">D2&amp;" Church Attendees"</f>
        <v>35 Church Attendees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idden="1">
      <c r="A3" s="6" t="s">
        <v>223</v>
      </c>
      <c r="B3" s="16" t="s">
        <v>1236</v>
      </c>
      <c r="C3" s="443" t="s">
        <v>1237</v>
      </c>
      <c r="D3" s="444">
        <v>35.0</v>
      </c>
      <c r="E3" s="12">
        <f t="shared" si="1"/>
        <v>1750</v>
      </c>
      <c r="F3" s="12" t="str">
        <f t="shared" si="2"/>
        <v>35 Church Attendees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idden="1">
      <c r="A4" s="6" t="s">
        <v>224</v>
      </c>
      <c r="B4" s="16" t="s">
        <v>1236</v>
      </c>
      <c r="C4" s="443" t="s">
        <v>1237</v>
      </c>
      <c r="D4" s="444">
        <v>37.0</v>
      </c>
      <c r="E4" s="12">
        <f t="shared" si="1"/>
        <v>1850</v>
      </c>
      <c r="F4" s="12" t="str">
        <f t="shared" si="2"/>
        <v>37 Church Attendees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idden="1">
      <c r="A5" s="6" t="s">
        <v>225</v>
      </c>
      <c r="B5" s="16" t="s">
        <v>1236</v>
      </c>
      <c r="C5" s="443" t="s">
        <v>1237</v>
      </c>
      <c r="D5" s="444">
        <v>29.0</v>
      </c>
      <c r="E5" s="12">
        <f t="shared" si="1"/>
        <v>1450</v>
      </c>
      <c r="F5" s="12" t="str">
        <f t="shared" si="2"/>
        <v>29 Church Attendees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idden="1">
      <c r="A6" s="6" t="s">
        <v>226</v>
      </c>
      <c r="B6" s="16" t="s">
        <v>1236</v>
      </c>
      <c r="C6" s="443" t="s">
        <v>1237</v>
      </c>
      <c r="D6" s="444">
        <v>43.0</v>
      </c>
      <c r="E6" s="12">
        <f t="shared" si="1"/>
        <v>2150</v>
      </c>
      <c r="F6" s="12" t="str">
        <f t="shared" si="2"/>
        <v>43 Church Attendees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idden="1">
      <c r="A7" s="6" t="s">
        <v>237</v>
      </c>
      <c r="B7" s="16" t="s">
        <v>1236</v>
      </c>
      <c r="C7" s="443" t="s">
        <v>1237</v>
      </c>
      <c r="D7" s="444">
        <v>48.0</v>
      </c>
      <c r="E7" s="12">
        <f t="shared" si="1"/>
        <v>2400</v>
      </c>
      <c r="F7" s="12" t="str">
        <f t="shared" si="2"/>
        <v>48 Church Attendees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idden="1">
      <c r="A8" s="6" t="s">
        <v>238</v>
      </c>
      <c r="B8" s="16" t="s">
        <v>535</v>
      </c>
      <c r="C8" s="443" t="s">
        <v>537</v>
      </c>
      <c r="D8" s="444">
        <v>41.0</v>
      </c>
      <c r="E8" s="12">
        <f t="shared" si="1"/>
        <v>2050</v>
      </c>
      <c r="F8" s="12" t="str">
        <f t="shared" si="2"/>
        <v>41 Church Attendees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idden="1">
      <c r="A9" s="6" t="s">
        <v>238</v>
      </c>
      <c r="B9" s="16" t="s">
        <v>1236</v>
      </c>
      <c r="C9" s="443" t="s">
        <v>1237</v>
      </c>
      <c r="D9" s="444">
        <v>41.0</v>
      </c>
      <c r="E9" s="12">
        <f t="shared" si="1"/>
        <v>2050</v>
      </c>
      <c r="F9" s="12" t="str">
        <f t="shared" si="2"/>
        <v>41 Church Attendees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idden="1">
      <c r="A10" s="6" t="s">
        <v>238</v>
      </c>
      <c r="B10" s="16" t="s">
        <v>1238</v>
      </c>
      <c r="C10" s="443" t="s">
        <v>1239</v>
      </c>
      <c r="D10" s="444">
        <v>41.0</v>
      </c>
      <c r="E10" s="12">
        <f t="shared" si="1"/>
        <v>2050</v>
      </c>
      <c r="F10" s="12" t="str">
        <f t="shared" si="2"/>
        <v>41 Church Attendees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idden="1">
      <c r="A11" s="6" t="s">
        <v>239</v>
      </c>
      <c r="B11" s="16" t="s">
        <v>535</v>
      </c>
      <c r="C11" s="443" t="s">
        <v>537</v>
      </c>
      <c r="D11" s="444">
        <v>32.0</v>
      </c>
      <c r="E11" s="12">
        <f t="shared" si="1"/>
        <v>1600</v>
      </c>
      <c r="F11" s="12" t="str">
        <f t="shared" si="2"/>
        <v>32 Church Attendees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idden="1">
      <c r="A12" s="6" t="s">
        <v>239</v>
      </c>
      <c r="B12" s="16" t="s">
        <v>1236</v>
      </c>
      <c r="C12" s="443" t="s">
        <v>1237</v>
      </c>
      <c r="D12" s="444">
        <v>32.0</v>
      </c>
      <c r="E12" s="12">
        <f t="shared" si="1"/>
        <v>1600</v>
      </c>
      <c r="F12" s="12" t="str">
        <f t="shared" si="2"/>
        <v>32 Church Attendees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idden="1">
      <c r="A13" s="6" t="s">
        <v>239</v>
      </c>
      <c r="B13" s="16" t="s">
        <v>1238</v>
      </c>
      <c r="C13" s="443" t="s">
        <v>1239</v>
      </c>
      <c r="D13" s="444">
        <v>32.0</v>
      </c>
      <c r="E13" s="12">
        <f t="shared" si="1"/>
        <v>1600</v>
      </c>
      <c r="F13" s="12" t="str">
        <f t="shared" si="2"/>
        <v>32 Church Attendees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idden="1">
      <c r="A14" s="6" t="s">
        <v>240</v>
      </c>
      <c r="B14" s="16" t="s">
        <v>535</v>
      </c>
      <c r="C14" s="443" t="s">
        <v>537</v>
      </c>
      <c r="D14" s="444">
        <v>51.0</v>
      </c>
      <c r="E14" s="12">
        <f t="shared" si="1"/>
        <v>2550</v>
      </c>
      <c r="F14" s="12" t="str">
        <f t="shared" si="2"/>
        <v>51 Church Attendees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idden="1">
      <c r="A15" s="6" t="s">
        <v>240</v>
      </c>
      <c r="B15" s="16" t="s">
        <v>1236</v>
      </c>
      <c r="C15" s="443" t="s">
        <v>1237</v>
      </c>
      <c r="D15" s="444">
        <v>51.0</v>
      </c>
      <c r="E15" s="12">
        <f t="shared" si="1"/>
        <v>2550</v>
      </c>
      <c r="F15" s="12" t="str">
        <f t="shared" si="2"/>
        <v>51 Church Attendees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idden="1">
      <c r="A16" s="6" t="s">
        <v>240</v>
      </c>
      <c r="B16" s="16" t="s">
        <v>1238</v>
      </c>
      <c r="C16" s="443" t="s">
        <v>1239</v>
      </c>
      <c r="D16" s="444">
        <v>51.0</v>
      </c>
      <c r="E16" s="12">
        <f t="shared" si="1"/>
        <v>2550</v>
      </c>
      <c r="F16" s="12" t="str">
        <f t="shared" si="2"/>
        <v>51 Church Attendees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idden="1">
      <c r="A17" s="6" t="s">
        <v>241</v>
      </c>
      <c r="B17" s="16" t="s">
        <v>535</v>
      </c>
      <c r="C17" s="443" t="s">
        <v>537</v>
      </c>
      <c r="D17" s="444">
        <v>43.0</v>
      </c>
      <c r="E17" s="12">
        <f t="shared" si="1"/>
        <v>2150</v>
      </c>
      <c r="F17" s="12" t="str">
        <f t="shared" si="2"/>
        <v>43 Church Attendees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idden="1">
      <c r="A18" s="6" t="s">
        <v>241</v>
      </c>
      <c r="B18" s="16" t="s">
        <v>1236</v>
      </c>
      <c r="C18" s="443" t="s">
        <v>1237</v>
      </c>
      <c r="D18" s="444">
        <v>43.0</v>
      </c>
      <c r="E18" s="12">
        <f t="shared" si="1"/>
        <v>2150</v>
      </c>
      <c r="F18" s="12" t="str">
        <f t="shared" si="2"/>
        <v>43 Church Attendees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idden="1">
      <c r="A19" s="6" t="s">
        <v>241</v>
      </c>
      <c r="B19" s="16" t="s">
        <v>1238</v>
      </c>
      <c r="C19" s="443" t="s">
        <v>1239</v>
      </c>
      <c r="D19" s="444">
        <v>43.0</v>
      </c>
      <c r="E19" s="12">
        <f t="shared" si="1"/>
        <v>2150</v>
      </c>
      <c r="F19" s="12" t="str">
        <f t="shared" si="2"/>
        <v>43 Church Attendees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idden="1">
      <c r="A20" s="6" t="s">
        <v>242</v>
      </c>
      <c r="B20" s="16" t="s">
        <v>535</v>
      </c>
      <c r="C20" s="443" t="s">
        <v>537</v>
      </c>
      <c r="D20" s="444">
        <v>54.0</v>
      </c>
      <c r="E20" s="12">
        <f t="shared" si="1"/>
        <v>2700</v>
      </c>
      <c r="F20" s="12" t="str">
        <f t="shared" si="2"/>
        <v>54 Church Attendees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idden="1">
      <c r="A21" s="6" t="s">
        <v>242</v>
      </c>
      <c r="B21" s="16" t="s">
        <v>1236</v>
      </c>
      <c r="C21" s="443" t="s">
        <v>1237</v>
      </c>
      <c r="D21" s="444">
        <v>54.0</v>
      </c>
      <c r="E21" s="12">
        <f t="shared" si="1"/>
        <v>2700</v>
      </c>
      <c r="F21" s="12" t="str">
        <f t="shared" si="2"/>
        <v>54 Church Attendees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idden="1">
      <c r="A22" s="6" t="s">
        <v>242</v>
      </c>
      <c r="B22" s="16" t="s">
        <v>1238</v>
      </c>
      <c r="C22" s="443" t="s">
        <v>1239</v>
      </c>
      <c r="D22" s="444">
        <v>54.0</v>
      </c>
      <c r="E22" s="12">
        <f t="shared" si="1"/>
        <v>2700</v>
      </c>
      <c r="F22" s="12" t="str">
        <f t="shared" si="2"/>
        <v>54 Church Attendees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idden="1">
      <c r="A23" s="6" t="s">
        <v>13</v>
      </c>
      <c r="B23" s="16" t="s">
        <v>535</v>
      </c>
      <c r="C23" s="443" t="s">
        <v>537</v>
      </c>
      <c r="D23" s="445">
        <v>49.0</v>
      </c>
      <c r="E23" s="12">
        <f t="shared" si="1"/>
        <v>2450</v>
      </c>
      <c r="F23" s="12" t="str">
        <f t="shared" si="2"/>
        <v>49 Church Attendees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idden="1">
      <c r="A24" s="6" t="s">
        <v>13</v>
      </c>
      <c r="B24" s="16" t="s">
        <v>1236</v>
      </c>
      <c r="C24" s="443" t="s">
        <v>1237</v>
      </c>
      <c r="D24" s="445">
        <v>49.0</v>
      </c>
      <c r="E24" s="12">
        <f t="shared" si="1"/>
        <v>2450</v>
      </c>
      <c r="F24" s="12" t="str">
        <f t="shared" si="2"/>
        <v>49 Church Attendees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idden="1">
      <c r="A25" s="6" t="s">
        <v>13</v>
      </c>
      <c r="B25" s="16" t="s">
        <v>1238</v>
      </c>
      <c r="C25" s="443" t="s">
        <v>1239</v>
      </c>
      <c r="D25" s="445">
        <v>49.0</v>
      </c>
      <c r="E25" s="12">
        <f t="shared" si="1"/>
        <v>2450</v>
      </c>
      <c r="F25" s="12" t="str">
        <f t="shared" si="2"/>
        <v>49 Church Attendees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idden="1">
      <c r="A26" s="6" t="s">
        <v>204</v>
      </c>
      <c r="B26" s="16" t="s">
        <v>535</v>
      </c>
      <c r="C26" s="443" t="s">
        <v>537</v>
      </c>
      <c r="D26" s="81">
        <v>35.0</v>
      </c>
      <c r="E26" s="12">
        <f t="shared" si="1"/>
        <v>1750</v>
      </c>
      <c r="F26" s="12" t="str">
        <f t="shared" si="2"/>
        <v>35 Church Attendees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idden="1">
      <c r="A27" s="6" t="s">
        <v>204</v>
      </c>
      <c r="B27" s="16" t="s">
        <v>1236</v>
      </c>
      <c r="C27" s="443" t="s">
        <v>1237</v>
      </c>
      <c r="D27" s="81">
        <v>35.0</v>
      </c>
      <c r="E27" s="12">
        <f t="shared" si="1"/>
        <v>1750</v>
      </c>
      <c r="F27" s="12" t="str">
        <f t="shared" si="2"/>
        <v>35 Church Attendees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idden="1">
      <c r="A28" s="6" t="s">
        <v>204</v>
      </c>
      <c r="B28" s="16" t="s">
        <v>1238</v>
      </c>
      <c r="C28" s="443" t="s">
        <v>1239</v>
      </c>
      <c r="D28" s="81">
        <v>35.0</v>
      </c>
      <c r="E28" s="12">
        <f t="shared" si="1"/>
        <v>1750</v>
      </c>
      <c r="F28" s="12" t="str">
        <f t="shared" si="2"/>
        <v>35 Church Attendees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idden="1">
      <c r="A29" s="6" t="s">
        <v>205</v>
      </c>
      <c r="B29" s="16" t="s">
        <v>535</v>
      </c>
      <c r="C29" s="443" t="s">
        <v>537</v>
      </c>
      <c r="D29" s="81">
        <v>43.0</v>
      </c>
      <c r="E29" s="12">
        <f t="shared" si="1"/>
        <v>2150</v>
      </c>
      <c r="F29" s="12" t="str">
        <f t="shared" si="2"/>
        <v>43 Church Attendees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idden="1">
      <c r="A30" s="6" t="s">
        <v>205</v>
      </c>
      <c r="B30" s="16" t="s">
        <v>1236</v>
      </c>
      <c r="C30" s="443" t="s">
        <v>1237</v>
      </c>
      <c r="D30" s="81">
        <v>43.0</v>
      </c>
      <c r="E30" s="12">
        <f t="shared" si="1"/>
        <v>2150</v>
      </c>
      <c r="F30" s="12" t="str">
        <f t="shared" si="2"/>
        <v>43 Church Attendees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idden="1">
      <c r="A31" s="6" t="s">
        <v>205</v>
      </c>
      <c r="B31" s="16" t="s">
        <v>1238</v>
      </c>
      <c r="C31" s="443" t="s">
        <v>1239</v>
      </c>
      <c r="D31" s="81">
        <v>43.0</v>
      </c>
      <c r="E31" s="12">
        <f t="shared" si="1"/>
        <v>2150</v>
      </c>
      <c r="F31" s="12" t="str">
        <f t="shared" si="2"/>
        <v>43 Church Attendees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idden="1">
      <c r="A32" s="6" t="s">
        <v>243</v>
      </c>
      <c r="B32" s="16" t="s">
        <v>535</v>
      </c>
      <c r="C32" s="443" t="s">
        <v>537</v>
      </c>
      <c r="D32" s="81">
        <v>47.0</v>
      </c>
      <c r="E32" s="12">
        <f t="shared" si="1"/>
        <v>2350</v>
      </c>
      <c r="F32" s="12" t="str">
        <f t="shared" si="2"/>
        <v>47 Church Attendees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idden="1">
      <c r="A33" s="6" t="s">
        <v>243</v>
      </c>
      <c r="B33" s="16" t="s">
        <v>1236</v>
      </c>
      <c r="C33" s="443" t="s">
        <v>1237</v>
      </c>
      <c r="D33" s="81">
        <v>47.0</v>
      </c>
      <c r="E33" s="12">
        <f t="shared" si="1"/>
        <v>2350</v>
      </c>
      <c r="F33" s="12" t="str">
        <f t="shared" si="2"/>
        <v>47 Church Attendees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idden="1">
      <c r="A34" s="6" t="s">
        <v>243</v>
      </c>
      <c r="B34" s="16" t="s">
        <v>1238</v>
      </c>
      <c r="C34" s="443" t="s">
        <v>1239</v>
      </c>
      <c r="D34" s="81">
        <v>47.0</v>
      </c>
      <c r="E34" s="12">
        <f t="shared" si="1"/>
        <v>2350</v>
      </c>
      <c r="F34" s="12" t="str">
        <f t="shared" si="2"/>
        <v>47 Church Attendees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idden="1">
      <c r="A35" s="6" t="s">
        <v>244</v>
      </c>
      <c r="B35" s="16" t="s">
        <v>535</v>
      </c>
      <c r="C35" s="443" t="s">
        <v>537</v>
      </c>
      <c r="D35" s="13">
        <v>35.0</v>
      </c>
      <c r="E35" s="12">
        <f t="shared" si="1"/>
        <v>1750</v>
      </c>
      <c r="F35" s="12" t="str">
        <f t="shared" si="2"/>
        <v>35 Church Attendees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idden="1">
      <c r="A36" s="6" t="s">
        <v>244</v>
      </c>
      <c r="B36" s="16" t="s">
        <v>1236</v>
      </c>
      <c r="C36" s="443" t="s">
        <v>1237</v>
      </c>
      <c r="D36" s="13">
        <v>35.0</v>
      </c>
      <c r="E36" s="12">
        <f t="shared" si="1"/>
        <v>1750</v>
      </c>
      <c r="F36" s="12" t="str">
        <f t="shared" si="2"/>
        <v>35 Church Attendees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idden="1">
      <c r="A37" s="6" t="s">
        <v>244</v>
      </c>
      <c r="B37" s="16" t="s">
        <v>1238</v>
      </c>
      <c r="C37" s="443" t="s">
        <v>1239</v>
      </c>
      <c r="D37" s="13">
        <v>35.0</v>
      </c>
      <c r="E37" s="12">
        <f t="shared" si="1"/>
        <v>1750</v>
      </c>
      <c r="F37" s="12" t="str">
        <f t="shared" si="2"/>
        <v>35 Church Attendees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idden="1">
      <c r="A38" s="6" t="s">
        <v>248</v>
      </c>
      <c r="B38" s="16" t="s">
        <v>535</v>
      </c>
      <c r="C38" s="443" t="s">
        <v>537</v>
      </c>
      <c r="D38" s="81">
        <v>35.0</v>
      </c>
      <c r="E38" s="12">
        <f t="shared" si="1"/>
        <v>1750</v>
      </c>
      <c r="F38" s="12" t="str">
        <f t="shared" si="2"/>
        <v>35 Church Attendees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idden="1">
      <c r="A39" s="6" t="s">
        <v>248</v>
      </c>
      <c r="B39" s="16" t="s">
        <v>1236</v>
      </c>
      <c r="C39" s="443" t="s">
        <v>1237</v>
      </c>
      <c r="D39" s="81">
        <v>35.0</v>
      </c>
      <c r="E39" s="12">
        <f t="shared" si="1"/>
        <v>1750</v>
      </c>
      <c r="F39" s="12" t="str">
        <f t="shared" si="2"/>
        <v>35 Church Attendees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idden="1">
      <c r="A40" s="6" t="s">
        <v>248</v>
      </c>
      <c r="B40" s="16" t="s">
        <v>1238</v>
      </c>
      <c r="C40" s="443" t="s">
        <v>1239</v>
      </c>
      <c r="D40" s="81">
        <v>35.0</v>
      </c>
      <c r="E40" s="12">
        <f t="shared" si="1"/>
        <v>1750</v>
      </c>
      <c r="F40" s="12" t="str">
        <f t="shared" si="2"/>
        <v>35 Church Attendees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idden="1">
      <c r="A41" s="6" t="s">
        <v>249</v>
      </c>
      <c r="B41" s="16" t="s">
        <v>535</v>
      </c>
      <c r="C41" s="443" t="s">
        <v>537</v>
      </c>
      <c r="D41" s="81">
        <v>48.0</v>
      </c>
      <c r="E41" s="12">
        <f t="shared" si="1"/>
        <v>2400</v>
      </c>
      <c r="F41" s="12" t="str">
        <f t="shared" si="2"/>
        <v>48 Church Attendees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idden="1">
      <c r="A42" s="6" t="s">
        <v>249</v>
      </c>
      <c r="B42" s="16" t="s">
        <v>1236</v>
      </c>
      <c r="C42" s="443" t="s">
        <v>1237</v>
      </c>
      <c r="D42" s="81">
        <v>48.0</v>
      </c>
      <c r="E42" s="12">
        <f t="shared" si="1"/>
        <v>2400</v>
      </c>
      <c r="F42" s="12" t="str">
        <f t="shared" si="2"/>
        <v>48 Church Attendees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idden="1">
      <c r="A43" s="6" t="s">
        <v>249</v>
      </c>
      <c r="B43" s="16" t="s">
        <v>1238</v>
      </c>
      <c r="C43" s="443" t="s">
        <v>1239</v>
      </c>
      <c r="D43" s="81">
        <v>48.0</v>
      </c>
      <c r="E43" s="12">
        <f t="shared" si="1"/>
        <v>2400</v>
      </c>
      <c r="F43" s="12" t="str">
        <f t="shared" si="2"/>
        <v>48 Church Attendees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idden="1">
      <c r="A44" s="6" t="s">
        <v>250</v>
      </c>
      <c r="B44" s="16" t="s">
        <v>535</v>
      </c>
      <c r="C44" s="443" t="s">
        <v>537</v>
      </c>
      <c r="D44" s="81">
        <v>34.0</v>
      </c>
      <c r="E44" s="12">
        <f t="shared" si="1"/>
        <v>1700</v>
      </c>
      <c r="F44" s="12" t="str">
        <f t="shared" si="2"/>
        <v>34 Church Attendees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idden="1">
      <c r="A45" s="6" t="s">
        <v>250</v>
      </c>
      <c r="B45" s="16" t="s">
        <v>1236</v>
      </c>
      <c r="C45" s="443" t="s">
        <v>1237</v>
      </c>
      <c r="D45" s="81">
        <v>34.0</v>
      </c>
      <c r="E45" s="12">
        <f t="shared" si="1"/>
        <v>1700</v>
      </c>
      <c r="F45" s="12" t="str">
        <f t="shared" si="2"/>
        <v>34 Church Attendees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idden="1">
      <c r="A46" s="6" t="s">
        <v>250</v>
      </c>
      <c r="B46" s="16" t="s">
        <v>1238</v>
      </c>
      <c r="C46" s="443" t="s">
        <v>1239</v>
      </c>
      <c r="D46" s="81">
        <v>34.0</v>
      </c>
      <c r="E46" s="12">
        <f t="shared" si="1"/>
        <v>1700</v>
      </c>
      <c r="F46" s="12" t="str">
        <f t="shared" si="2"/>
        <v>34 Church Attendees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idden="1">
      <c r="A47" s="6" t="s">
        <v>254</v>
      </c>
      <c r="B47" s="16" t="s">
        <v>535</v>
      </c>
      <c r="C47" s="443" t="s">
        <v>537</v>
      </c>
      <c r="D47" s="81">
        <v>25.0</v>
      </c>
      <c r="E47" s="12">
        <f t="shared" si="1"/>
        <v>1250</v>
      </c>
      <c r="F47" s="12" t="str">
        <f t="shared" si="2"/>
        <v>25 Church Attendees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idden="1">
      <c r="A48" s="6" t="s">
        <v>254</v>
      </c>
      <c r="B48" s="16" t="s">
        <v>1236</v>
      </c>
      <c r="C48" s="443" t="s">
        <v>1237</v>
      </c>
      <c r="D48" s="81">
        <v>25.0</v>
      </c>
      <c r="E48" s="12">
        <f t="shared" si="1"/>
        <v>1250</v>
      </c>
      <c r="F48" s="12" t="str">
        <f t="shared" si="2"/>
        <v>25 Church Attendees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idden="1">
      <c r="A49" s="6" t="s">
        <v>254</v>
      </c>
      <c r="B49" s="16" t="s">
        <v>1238</v>
      </c>
      <c r="C49" s="443" t="s">
        <v>1239</v>
      </c>
      <c r="D49" s="81">
        <v>25.0</v>
      </c>
      <c r="E49" s="12">
        <f t="shared" si="1"/>
        <v>1250</v>
      </c>
      <c r="F49" s="12" t="str">
        <f t="shared" si="2"/>
        <v>25 Church Attendees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idden="1">
      <c r="A50" s="6" t="s">
        <v>261</v>
      </c>
      <c r="B50" s="16" t="s">
        <v>535</v>
      </c>
      <c r="C50" s="443" t="s">
        <v>537</v>
      </c>
      <c r="D50" s="81">
        <v>24.0</v>
      </c>
      <c r="E50" s="12">
        <f t="shared" si="1"/>
        <v>1200</v>
      </c>
      <c r="F50" s="12" t="str">
        <f t="shared" si="2"/>
        <v>24 Church Attendees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idden="1">
      <c r="A51" s="6" t="s">
        <v>261</v>
      </c>
      <c r="B51" s="16" t="s">
        <v>1236</v>
      </c>
      <c r="C51" s="443" t="s">
        <v>1237</v>
      </c>
      <c r="D51" s="81">
        <v>24.0</v>
      </c>
      <c r="E51" s="12">
        <f t="shared" si="1"/>
        <v>1200</v>
      </c>
      <c r="F51" s="12" t="str">
        <f t="shared" si="2"/>
        <v>24 Church Attendees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idden="1">
      <c r="A52" s="6" t="s">
        <v>261</v>
      </c>
      <c r="B52" s="16" t="s">
        <v>1238</v>
      </c>
      <c r="C52" s="443" t="s">
        <v>1239</v>
      </c>
      <c r="D52" s="81">
        <v>24.0</v>
      </c>
      <c r="E52" s="12">
        <f t="shared" si="1"/>
        <v>1200</v>
      </c>
      <c r="F52" s="12" t="str">
        <f t="shared" si="2"/>
        <v>24 Church Attendees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idden="1">
      <c r="A53" s="6" t="s">
        <v>265</v>
      </c>
      <c r="B53" s="16" t="s">
        <v>535</v>
      </c>
      <c r="C53" s="443" t="s">
        <v>537</v>
      </c>
      <c r="D53" s="81">
        <v>27.0</v>
      </c>
      <c r="E53" s="12">
        <f t="shared" si="1"/>
        <v>1350</v>
      </c>
      <c r="F53" s="12" t="str">
        <f t="shared" si="2"/>
        <v>27 Church Attendees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idden="1">
      <c r="A54" s="6" t="s">
        <v>265</v>
      </c>
      <c r="B54" s="16" t="s">
        <v>1236</v>
      </c>
      <c r="C54" s="443" t="s">
        <v>1237</v>
      </c>
      <c r="D54" s="81">
        <v>27.0</v>
      </c>
      <c r="E54" s="12">
        <f t="shared" si="1"/>
        <v>1350</v>
      </c>
      <c r="F54" s="12" t="str">
        <f t="shared" si="2"/>
        <v>27 Church Attendees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idden="1">
      <c r="A55" s="6" t="s">
        <v>265</v>
      </c>
      <c r="B55" s="16" t="s">
        <v>1238</v>
      </c>
      <c r="C55" s="443" t="s">
        <v>1239</v>
      </c>
      <c r="D55" s="81">
        <v>27.0</v>
      </c>
      <c r="E55" s="12">
        <f t="shared" si="1"/>
        <v>1350</v>
      </c>
      <c r="F55" s="12" t="str">
        <f t="shared" si="2"/>
        <v>27 Church Attendees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idden="1">
      <c r="A56" s="6" t="s">
        <v>266</v>
      </c>
      <c r="B56" s="16" t="s">
        <v>535</v>
      </c>
      <c r="C56" s="443" t="s">
        <v>537</v>
      </c>
      <c r="D56" s="81">
        <v>31.0</v>
      </c>
      <c r="E56" s="12">
        <f t="shared" si="1"/>
        <v>1550</v>
      </c>
      <c r="F56" s="12" t="str">
        <f t="shared" si="2"/>
        <v>31 Church Attendees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idden="1">
      <c r="A57" s="6" t="s">
        <v>266</v>
      </c>
      <c r="B57" s="16" t="s">
        <v>1236</v>
      </c>
      <c r="C57" s="443" t="s">
        <v>1237</v>
      </c>
      <c r="D57" s="81">
        <v>31.0</v>
      </c>
      <c r="E57" s="12">
        <f t="shared" si="1"/>
        <v>1550</v>
      </c>
      <c r="F57" s="12" t="str">
        <f t="shared" si="2"/>
        <v>31 Church Attendees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idden="1">
      <c r="A58" s="6" t="s">
        <v>266</v>
      </c>
      <c r="B58" s="16" t="s">
        <v>1238</v>
      </c>
      <c r="C58" s="443" t="s">
        <v>1239</v>
      </c>
      <c r="D58" s="81">
        <v>31.0</v>
      </c>
      <c r="E58" s="12">
        <f t="shared" si="1"/>
        <v>1550</v>
      </c>
      <c r="F58" s="12" t="str">
        <f t="shared" si="2"/>
        <v>31 Church Attendees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idden="1">
      <c r="A59" s="6" t="s">
        <v>270</v>
      </c>
      <c r="B59" s="16" t="s">
        <v>535</v>
      </c>
      <c r="C59" s="443" t="s">
        <v>537</v>
      </c>
      <c r="D59" s="13">
        <v>28.0</v>
      </c>
      <c r="E59" s="12">
        <f t="shared" si="1"/>
        <v>1400</v>
      </c>
      <c r="F59" s="12" t="str">
        <f t="shared" si="2"/>
        <v>28 Church Attendees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idden="1">
      <c r="A60" s="6" t="s">
        <v>270</v>
      </c>
      <c r="B60" s="16" t="s">
        <v>1236</v>
      </c>
      <c r="C60" s="443" t="s">
        <v>1237</v>
      </c>
      <c r="D60" s="13">
        <v>28.0</v>
      </c>
      <c r="E60" s="12">
        <f t="shared" si="1"/>
        <v>1400</v>
      </c>
      <c r="F60" s="12" t="str">
        <f t="shared" si="2"/>
        <v>28 Church Attendees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idden="1">
      <c r="A61" s="6" t="s">
        <v>270</v>
      </c>
      <c r="B61" s="16" t="s">
        <v>1238</v>
      </c>
      <c r="C61" s="443" t="s">
        <v>1239</v>
      </c>
      <c r="D61" s="13">
        <v>28.0</v>
      </c>
      <c r="E61" s="12">
        <f t="shared" si="1"/>
        <v>1400</v>
      </c>
      <c r="F61" s="12" t="str">
        <f t="shared" si="2"/>
        <v>28 Church Attendees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idden="1">
      <c r="A62" s="6" t="s">
        <v>297</v>
      </c>
      <c r="B62" s="16" t="s">
        <v>535</v>
      </c>
      <c r="C62" s="443" t="s">
        <v>537</v>
      </c>
      <c r="D62" s="81">
        <v>28.0</v>
      </c>
      <c r="E62" s="12">
        <f t="shared" si="1"/>
        <v>1400</v>
      </c>
      <c r="F62" s="12" t="str">
        <f t="shared" si="2"/>
        <v>28 Church Attendees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idden="1">
      <c r="A63" s="6" t="s">
        <v>297</v>
      </c>
      <c r="B63" s="16" t="s">
        <v>1236</v>
      </c>
      <c r="C63" s="443" t="s">
        <v>1237</v>
      </c>
      <c r="D63" s="81">
        <v>28.0</v>
      </c>
      <c r="E63" s="12">
        <f t="shared" si="1"/>
        <v>1400</v>
      </c>
      <c r="F63" s="12" t="str">
        <f t="shared" si="2"/>
        <v>28 Church Attendees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idden="1">
      <c r="A64" s="6" t="s">
        <v>297</v>
      </c>
      <c r="B64" s="16" t="s">
        <v>1238</v>
      </c>
      <c r="C64" s="443" t="s">
        <v>1239</v>
      </c>
      <c r="D64" s="81">
        <v>28.0</v>
      </c>
      <c r="E64" s="12">
        <f t="shared" si="1"/>
        <v>1400</v>
      </c>
      <c r="F64" s="12" t="str">
        <f t="shared" si="2"/>
        <v>28 Church Attendees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idden="1">
      <c r="A65" s="6" t="s">
        <v>298</v>
      </c>
      <c r="B65" s="16" t="s">
        <v>535</v>
      </c>
      <c r="C65" s="443" t="s">
        <v>537</v>
      </c>
      <c r="D65" s="81">
        <v>37.0</v>
      </c>
      <c r="E65" s="12">
        <f t="shared" si="1"/>
        <v>1850</v>
      </c>
      <c r="F65" s="12" t="str">
        <f t="shared" si="2"/>
        <v>37 Church Attendees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idden="1">
      <c r="A66" s="6" t="s">
        <v>298</v>
      </c>
      <c r="B66" s="16" t="s">
        <v>1236</v>
      </c>
      <c r="C66" s="443" t="s">
        <v>1237</v>
      </c>
      <c r="D66" s="81">
        <v>37.0</v>
      </c>
      <c r="E66" s="12">
        <f t="shared" si="1"/>
        <v>1850</v>
      </c>
      <c r="F66" s="12" t="str">
        <f t="shared" si="2"/>
        <v>37 Church Attendees</v>
      </c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idden="1">
      <c r="A67" s="6" t="s">
        <v>298</v>
      </c>
      <c r="B67" s="16" t="s">
        <v>1238</v>
      </c>
      <c r="C67" s="443" t="s">
        <v>1239</v>
      </c>
      <c r="D67" s="81">
        <v>37.0</v>
      </c>
      <c r="E67" s="12">
        <f t="shared" si="1"/>
        <v>1850</v>
      </c>
      <c r="F67" s="12" t="str">
        <f t="shared" si="2"/>
        <v>37 Church Attendees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idden="1">
      <c r="A68" s="6" t="s">
        <v>299</v>
      </c>
      <c r="B68" s="16" t="s">
        <v>535</v>
      </c>
      <c r="C68" s="443" t="s">
        <v>537</v>
      </c>
      <c r="D68" s="81">
        <v>37.0</v>
      </c>
      <c r="E68" s="12">
        <f t="shared" si="1"/>
        <v>1850</v>
      </c>
      <c r="F68" s="12" t="str">
        <f t="shared" si="2"/>
        <v>37 Church Attendees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idden="1">
      <c r="A69" s="6" t="s">
        <v>299</v>
      </c>
      <c r="B69" s="16" t="s">
        <v>1236</v>
      </c>
      <c r="C69" s="443" t="s">
        <v>1237</v>
      </c>
      <c r="D69" s="81">
        <v>37.0</v>
      </c>
      <c r="E69" s="12">
        <f t="shared" si="1"/>
        <v>1850</v>
      </c>
      <c r="F69" s="12" t="str">
        <f t="shared" si="2"/>
        <v>37 Church Attendees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idden="1">
      <c r="A70" s="6" t="s">
        <v>299</v>
      </c>
      <c r="B70" s="16" t="s">
        <v>1238</v>
      </c>
      <c r="C70" s="443" t="s">
        <v>1239</v>
      </c>
      <c r="D70" s="81">
        <v>37.0</v>
      </c>
      <c r="E70" s="12">
        <f t="shared" si="1"/>
        <v>1850</v>
      </c>
      <c r="F70" s="12" t="str">
        <f t="shared" si="2"/>
        <v>37 Church Attendees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idden="1">
      <c r="A71" s="6" t="s">
        <v>300</v>
      </c>
      <c r="B71" s="16" t="s">
        <v>535</v>
      </c>
      <c r="C71" s="443" t="s">
        <v>537</v>
      </c>
      <c r="D71" s="81">
        <v>25.0</v>
      </c>
      <c r="E71" s="12">
        <f t="shared" si="1"/>
        <v>1250</v>
      </c>
      <c r="F71" s="12" t="str">
        <f t="shared" si="2"/>
        <v>25 Church Attendees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idden="1">
      <c r="A72" s="6" t="s">
        <v>300</v>
      </c>
      <c r="B72" s="16" t="s">
        <v>1236</v>
      </c>
      <c r="C72" s="443" t="s">
        <v>1237</v>
      </c>
      <c r="D72" s="81">
        <v>25.0</v>
      </c>
      <c r="E72" s="12">
        <f t="shared" si="1"/>
        <v>1250</v>
      </c>
      <c r="F72" s="12" t="str">
        <f t="shared" si="2"/>
        <v>25 Church Attendees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idden="1">
      <c r="A73" s="6" t="s">
        <v>300</v>
      </c>
      <c r="B73" s="16" t="s">
        <v>1238</v>
      </c>
      <c r="C73" s="443" t="s">
        <v>1239</v>
      </c>
      <c r="D73" s="81">
        <v>25.0</v>
      </c>
      <c r="E73" s="12">
        <f t="shared" si="1"/>
        <v>1250</v>
      </c>
      <c r="F73" s="12" t="str">
        <f t="shared" si="2"/>
        <v>25 Church Attendees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idden="1">
      <c r="A74" s="54" t="s">
        <v>301</v>
      </c>
      <c r="B74" s="16" t="s">
        <v>535</v>
      </c>
      <c r="C74" s="443" t="s">
        <v>537</v>
      </c>
      <c r="D74" s="81">
        <v>30.0</v>
      </c>
      <c r="E74" s="12">
        <f t="shared" si="1"/>
        <v>1500</v>
      </c>
      <c r="F74" s="12" t="str">
        <f t="shared" si="2"/>
        <v>30 Church Attendees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idden="1">
      <c r="A75" s="54" t="s">
        <v>301</v>
      </c>
      <c r="B75" s="16" t="s">
        <v>1236</v>
      </c>
      <c r="C75" s="443" t="s">
        <v>1237</v>
      </c>
      <c r="D75" s="81">
        <v>30.0</v>
      </c>
      <c r="E75" s="12">
        <f t="shared" si="1"/>
        <v>1500</v>
      </c>
      <c r="F75" s="12" t="str">
        <f t="shared" si="2"/>
        <v>30 Church Attendees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idden="1">
      <c r="A76" s="54" t="s">
        <v>301</v>
      </c>
      <c r="B76" s="16" t="s">
        <v>1238</v>
      </c>
      <c r="C76" s="443" t="s">
        <v>1239</v>
      </c>
      <c r="D76" s="81">
        <v>30.0</v>
      </c>
      <c r="E76" s="12">
        <f t="shared" si="1"/>
        <v>1500</v>
      </c>
      <c r="F76" s="12" t="str">
        <f t="shared" si="2"/>
        <v>30 Church Attendees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idden="1">
      <c r="A77" s="54" t="s">
        <v>302</v>
      </c>
      <c r="B77" s="16" t="s">
        <v>535</v>
      </c>
      <c r="C77" s="443" t="s">
        <v>537</v>
      </c>
      <c r="D77" s="81">
        <v>26.0</v>
      </c>
      <c r="E77" s="12">
        <f t="shared" si="1"/>
        <v>1300</v>
      </c>
      <c r="F77" s="12" t="str">
        <f t="shared" si="2"/>
        <v>26 Church Attendees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idden="1">
      <c r="A78" s="54" t="s">
        <v>302</v>
      </c>
      <c r="B78" s="16" t="s">
        <v>1236</v>
      </c>
      <c r="C78" s="443" t="s">
        <v>1237</v>
      </c>
      <c r="D78" s="81">
        <v>26.0</v>
      </c>
      <c r="E78" s="12">
        <f t="shared" si="1"/>
        <v>1300</v>
      </c>
      <c r="F78" s="12" t="str">
        <f t="shared" si="2"/>
        <v>26 Church Attendees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idden="1">
      <c r="A79" s="54" t="s">
        <v>302</v>
      </c>
      <c r="B79" s="16" t="s">
        <v>1238</v>
      </c>
      <c r="C79" s="443" t="s">
        <v>1239</v>
      </c>
      <c r="D79" s="81">
        <v>26.0</v>
      </c>
      <c r="E79" s="12">
        <f t="shared" si="1"/>
        <v>1300</v>
      </c>
      <c r="F79" s="12" t="str">
        <f t="shared" si="2"/>
        <v>26 Church Attendees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idden="1">
      <c r="A80" s="268" t="s">
        <v>306</v>
      </c>
      <c r="B80" s="16" t="s">
        <v>535</v>
      </c>
      <c r="C80" s="443" t="s">
        <v>537</v>
      </c>
      <c r="D80" s="81">
        <v>39.0</v>
      </c>
      <c r="E80" s="12">
        <f t="shared" si="1"/>
        <v>1950</v>
      </c>
      <c r="F80" s="12" t="str">
        <f t="shared" si="2"/>
        <v>39 Church Attendees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idden="1">
      <c r="A81" s="268" t="s">
        <v>306</v>
      </c>
      <c r="B81" s="16" t="s">
        <v>1236</v>
      </c>
      <c r="C81" s="443" t="s">
        <v>1237</v>
      </c>
      <c r="D81" s="81">
        <v>39.0</v>
      </c>
      <c r="E81" s="12">
        <f t="shared" si="1"/>
        <v>1950</v>
      </c>
      <c r="F81" s="12" t="str">
        <f t="shared" si="2"/>
        <v>39 Church Attendees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idden="1">
      <c r="A82" s="268" t="s">
        <v>306</v>
      </c>
      <c r="B82" s="16" t="s">
        <v>1238</v>
      </c>
      <c r="C82" s="443" t="s">
        <v>1239</v>
      </c>
      <c r="D82" s="81">
        <v>39.0</v>
      </c>
      <c r="E82" s="12">
        <f t="shared" si="1"/>
        <v>1950</v>
      </c>
      <c r="F82" s="12" t="str">
        <f t="shared" si="2"/>
        <v>39 Church Attendees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idden="1">
      <c r="A83" s="6" t="s">
        <v>307</v>
      </c>
      <c r="B83" s="16" t="s">
        <v>535</v>
      </c>
      <c r="C83" s="443" t="s">
        <v>537</v>
      </c>
      <c r="D83" s="81">
        <v>46.0</v>
      </c>
      <c r="E83" s="12">
        <f t="shared" si="1"/>
        <v>2300</v>
      </c>
      <c r="F83" s="12" t="str">
        <f t="shared" si="2"/>
        <v>46 Church Attendees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idden="1">
      <c r="A84" s="6" t="s">
        <v>307</v>
      </c>
      <c r="B84" s="16" t="s">
        <v>1236</v>
      </c>
      <c r="C84" s="443" t="s">
        <v>1237</v>
      </c>
      <c r="D84" s="81">
        <v>46.0</v>
      </c>
      <c r="E84" s="12">
        <f t="shared" si="1"/>
        <v>2300</v>
      </c>
      <c r="F84" s="12" t="str">
        <f t="shared" si="2"/>
        <v>46 Church Attendees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idden="1">
      <c r="A85" s="6" t="s">
        <v>307</v>
      </c>
      <c r="B85" s="16" t="s">
        <v>1238</v>
      </c>
      <c r="C85" s="443" t="s">
        <v>1239</v>
      </c>
      <c r="D85" s="81">
        <v>46.0</v>
      </c>
      <c r="E85" s="12">
        <f t="shared" si="1"/>
        <v>2300</v>
      </c>
      <c r="F85" s="12" t="str">
        <f t="shared" si="2"/>
        <v>46 Church Attendees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idden="1">
      <c r="A86" s="54" t="s">
        <v>308</v>
      </c>
      <c r="B86" s="16" t="s">
        <v>535</v>
      </c>
      <c r="C86" s="443" t="s">
        <v>537</v>
      </c>
      <c r="D86" s="81">
        <v>28.0</v>
      </c>
      <c r="E86" s="12">
        <f t="shared" si="1"/>
        <v>1400</v>
      </c>
      <c r="F86" s="12" t="str">
        <f t="shared" si="2"/>
        <v>28 Church Attendees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idden="1">
      <c r="A87" s="54" t="s">
        <v>308</v>
      </c>
      <c r="B87" s="16" t="s">
        <v>1236</v>
      </c>
      <c r="C87" s="443" t="s">
        <v>1237</v>
      </c>
      <c r="D87" s="81">
        <v>28.0</v>
      </c>
      <c r="E87" s="12">
        <f t="shared" si="1"/>
        <v>1400</v>
      </c>
      <c r="F87" s="12" t="str">
        <f t="shared" si="2"/>
        <v>28 Church Attendees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idden="1">
      <c r="A88" s="54" t="s">
        <v>308</v>
      </c>
      <c r="B88" s="16" t="s">
        <v>1238</v>
      </c>
      <c r="C88" s="443" t="s">
        <v>1239</v>
      </c>
      <c r="D88" s="81">
        <v>28.0</v>
      </c>
      <c r="E88" s="12">
        <f t="shared" si="1"/>
        <v>1400</v>
      </c>
      <c r="F88" s="12" t="str">
        <f t="shared" si="2"/>
        <v>28 Church Attendees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idden="1">
      <c r="A89" s="88" t="s">
        <v>309</v>
      </c>
      <c r="B89" s="92" t="s">
        <v>535</v>
      </c>
      <c r="C89" s="446" t="s">
        <v>537</v>
      </c>
      <c r="D89" s="80">
        <v>33.0</v>
      </c>
      <c r="E89" s="32">
        <f t="shared" si="1"/>
        <v>1650</v>
      </c>
      <c r="F89" s="32" t="str">
        <f t="shared" si="2"/>
        <v>33 Church Attendees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idden="1">
      <c r="A90" s="88" t="s">
        <v>309</v>
      </c>
      <c r="B90" s="92" t="s">
        <v>1236</v>
      </c>
      <c r="C90" s="446" t="s">
        <v>1237</v>
      </c>
      <c r="D90" s="80">
        <v>33.0</v>
      </c>
      <c r="E90" s="32">
        <f t="shared" si="1"/>
        <v>1650</v>
      </c>
      <c r="F90" s="32" t="str">
        <f t="shared" si="2"/>
        <v>33 Church Attendees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idden="1">
      <c r="A91" s="88" t="s">
        <v>309</v>
      </c>
      <c r="B91" s="92" t="s">
        <v>1238</v>
      </c>
      <c r="C91" s="446" t="s">
        <v>1239</v>
      </c>
      <c r="D91" s="80">
        <v>33.0</v>
      </c>
      <c r="E91" s="32">
        <f t="shared" si="1"/>
        <v>1650</v>
      </c>
      <c r="F91" s="32" t="str">
        <f t="shared" si="2"/>
        <v>33 Church Attendees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idden="1">
      <c r="A92" s="34" t="s">
        <v>310</v>
      </c>
      <c r="B92" s="92" t="s">
        <v>535</v>
      </c>
      <c r="C92" s="446" t="s">
        <v>537</v>
      </c>
      <c r="D92" s="80">
        <v>39.0</v>
      </c>
      <c r="E92" s="32">
        <f t="shared" si="1"/>
        <v>1950</v>
      </c>
      <c r="F92" s="32" t="str">
        <f t="shared" si="2"/>
        <v>39 Church Attendees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idden="1">
      <c r="A93" s="34" t="s">
        <v>310</v>
      </c>
      <c r="B93" s="92" t="s">
        <v>1236</v>
      </c>
      <c r="C93" s="446" t="s">
        <v>1237</v>
      </c>
      <c r="D93" s="80">
        <v>39.0</v>
      </c>
      <c r="E93" s="32">
        <f t="shared" si="1"/>
        <v>1950</v>
      </c>
      <c r="F93" s="32" t="str">
        <f t="shared" si="2"/>
        <v>39 Church Attendees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idden="1">
      <c r="A94" s="34" t="s">
        <v>310</v>
      </c>
      <c r="B94" s="92" t="s">
        <v>1238</v>
      </c>
      <c r="C94" s="446" t="s">
        <v>1239</v>
      </c>
      <c r="D94" s="80">
        <v>39.0</v>
      </c>
      <c r="E94" s="32">
        <f t="shared" si="1"/>
        <v>1950</v>
      </c>
      <c r="F94" s="32" t="str">
        <f t="shared" si="2"/>
        <v>39 Church Attendees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idden="1">
      <c r="A95" s="34" t="s">
        <v>332</v>
      </c>
      <c r="B95" s="92" t="s">
        <v>535</v>
      </c>
      <c r="C95" s="446" t="s">
        <v>537</v>
      </c>
      <c r="D95" s="80">
        <v>30.0</v>
      </c>
      <c r="E95" s="32">
        <f t="shared" si="1"/>
        <v>1500</v>
      </c>
      <c r="F95" s="32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idden="1">
      <c r="A96" s="34" t="s">
        <v>332</v>
      </c>
      <c r="B96" s="92" t="s">
        <v>1236</v>
      </c>
      <c r="C96" s="446" t="s">
        <v>1237</v>
      </c>
      <c r="D96" s="80">
        <v>30.0</v>
      </c>
      <c r="E96" s="32">
        <f t="shared" si="1"/>
        <v>1500</v>
      </c>
      <c r="F96" s="32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idden="1">
      <c r="A97" s="34" t="s">
        <v>332</v>
      </c>
      <c r="B97" s="92" t="s">
        <v>1238</v>
      </c>
      <c r="C97" s="446" t="s">
        <v>1239</v>
      </c>
      <c r="D97" s="80">
        <v>30.0</v>
      </c>
      <c r="E97" s="32">
        <f t="shared" si="1"/>
        <v>1500</v>
      </c>
      <c r="F97" s="32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idden="1">
      <c r="A98" s="34" t="s">
        <v>336</v>
      </c>
      <c r="B98" s="92" t="s">
        <v>535</v>
      </c>
      <c r="C98" s="446" t="s">
        <v>537</v>
      </c>
      <c r="D98" s="80">
        <v>47.0</v>
      </c>
      <c r="E98" s="32">
        <f t="shared" si="1"/>
        <v>2350</v>
      </c>
      <c r="F98" s="32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idden="1">
      <c r="A99" s="34" t="s">
        <v>336</v>
      </c>
      <c r="B99" s="92" t="s">
        <v>1236</v>
      </c>
      <c r="C99" s="446" t="s">
        <v>1237</v>
      </c>
      <c r="D99" s="80">
        <v>47.0</v>
      </c>
      <c r="E99" s="32">
        <f t="shared" si="1"/>
        <v>2350</v>
      </c>
      <c r="F99" s="32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idden="1">
      <c r="A100" s="34" t="s">
        <v>336</v>
      </c>
      <c r="B100" s="92" t="s">
        <v>1238</v>
      </c>
      <c r="C100" s="446" t="s">
        <v>1239</v>
      </c>
      <c r="D100" s="80">
        <v>47.0</v>
      </c>
      <c r="E100" s="32">
        <f t="shared" si="1"/>
        <v>2350</v>
      </c>
      <c r="F100" s="32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idden="1">
      <c r="A101" s="34" t="s">
        <v>337</v>
      </c>
      <c r="B101" s="92" t="s">
        <v>535</v>
      </c>
      <c r="C101" s="446" t="s">
        <v>537</v>
      </c>
      <c r="D101" s="80">
        <v>25.0</v>
      </c>
      <c r="E101" s="32">
        <f t="shared" si="1"/>
        <v>1250</v>
      </c>
      <c r="F101" s="32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idden="1">
      <c r="A102" s="34" t="s">
        <v>337</v>
      </c>
      <c r="B102" s="92" t="s">
        <v>1236</v>
      </c>
      <c r="C102" s="446" t="s">
        <v>1237</v>
      </c>
      <c r="D102" s="80">
        <v>25.0</v>
      </c>
      <c r="E102" s="32">
        <f t="shared" si="1"/>
        <v>1250</v>
      </c>
      <c r="F102" s="32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idden="1">
      <c r="A103" s="34" t="s">
        <v>337</v>
      </c>
      <c r="B103" s="92" t="s">
        <v>1238</v>
      </c>
      <c r="C103" s="92" t="s">
        <v>1239</v>
      </c>
      <c r="D103" s="80">
        <v>25.0</v>
      </c>
      <c r="E103" s="32">
        <f t="shared" si="1"/>
        <v>1250</v>
      </c>
      <c r="F103" s="32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idden="1">
      <c r="A104" s="34" t="s">
        <v>340</v>
      </c>
      <c r="B104" s="92" t="s">
        <v>1164</v>
      </c>
      <c r="C104" s="92" t="s">
        <v>1166</v>
      </c>
      <c r="D104" s="80">
        <v>0.0</v>
      </c>
      <c r="E104" s="32">
        <f t="shared" ref="E104:E111" si="3">D104*250</f>
        <v>0</v>
      </c>
      <c r="F104" s="32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idden="1">
      <c r="A105" s="34" t="s">
        <v>340</v>
      </c>
      <c r="B105" s="92" t="s">
        <v>1136</v>
      </c>
      <c r="C105" s="92" t="s">
        <v>1138</v>
      </c>
      <c r="D105" s="80">
        <v>2.0</v>
      </c>
      <c r="E105" s="32">
        <f t="shared" si="3"/>
        <v>500</v>
      </c>
      <c r="F105" s="32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idden="1">
      <c r="A106" s="34" t="s">
        <v>340</v>
      </c>
      <c r="B106" s="92" t="s">
        <v>1139</v>
      </c>
      <c r="C106" s="92" t="s">
        <v>1141</v>
      </c>
      <c r="D106" s="80">
        <v>4.0</v>
      </c>
      <c r="E106" s="32">
        <f t="shared" si="3"/>
        <v>1000</v>
      </c>
      <c r="F106" s="32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idden="1">
      <c r="A107" s="34" t="s">
        <v>340</v>
      </c>
      <c r="B107" s="92" t="s">
        <v>1142</v>
      </c>
      <c r="C107" s="92" t="s">
        <v>1144</v>
      </c>
      <c r="D107" s="80">
        <v>1.0</v>
      </c>
      <c r="E107" s="32">
        <f t="shared" si="3"/>
        <v>250</v>
      </c>
      <c r="F107" s="32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idden="1">
      <c r="A108" s="34" t="s">
        <v>340</v>
      </c>
      <c r="B108" s="92" t="s">
        <v>1145</v>
      </c>
      <c r="C108" s="92" t="s">
        <v>1147</v>
      </c>
      <c r="D108" s="80">
        <v>3.0</v>
      </c>
      <c r="E108" s="32">
        <f t="shared" si="3"/>
        <v>750</v>
      </c>
      <c r="F108" s="32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idden="1">
      <c r="A109" s="34" t="s">
        <v>340</v>
      </c>
      <c r="B109" s="92" t="s">
        <v>1148</v>
      </c>
      <c r="C109" s="92" t="s">
        <v>1150</v>
      </c>
      <c r="D109" s="80">
        <v>2.0</v>
      </c>
      <c r="E109" s="32">
        <f t="shared" si="3"/>
        <v>500</v>
      </c>
      <c r="F109" s="32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idden="1">
      <c r="A110" s="34" t="s">
        <v>340</v>
      </c>
      <c r="B110" s="92" t="s">
        <v>1151</v>
      </c>
      <c r="C110" s="92" t="s">
        <v>1153</v>
      </c>
      <c r="D110" s="80">
        <v>3.0</v>
      </c>
      <c r="E110" s="32">
        <f t="shared" si="3"/>
        <v>750</v>
      </c>
      <c r="F110" s="32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idden="1">
      <c r="A111" s="34" t="s">
        <v>340</v>
      </c>
      <c r="B111" s="92" t="s">
        <v>1154</v>
      </c>
      <c r="C111" s="92" t="s">
        <v>1156</v>
      </c>
      <c r="D111" s="80">
        <v>5.0</v>
      </c>
      <c r="E111" s="32">
        <f t="shared" si="3"/>
        <v>1250</v>
      </c>
      <c r="F111" s="32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idden="1">
      <c r="A112" s="34" t="s">
        <v>340</v>
      </c>
      <c r="B112" s="95" t="s">
        <v>1158</v>
      </c>
      <c r="C112" s="94" t="s">
        <v>1160</v>
      </c>
      <c r="D112" s="80">
        <v>0.0</v>
      </c>
      <c r="E112" s="32">
        <v>0.0</v>
      </c>
      <c r="F112" s="32"/>
      <c r="G112" s="23"/>
      <c r="H112" s="23"/>
      <c r="I112" s="23"/>
      <c r="J112" s="14"/>
      <c r="K112" s="23"/>
      <c r="L112" s="23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idden="1">
      <c r="A113" s="34" t="s">
        <v>340</v>
      </c>
      <c r="B113" s="94" t="s">
        <v>1180</v>
      </c>
      <c r="C113" s="94" t="s">
        <v>1182</v>
      </c>
      <c r="D113" s="80">
        <v>0.0</v>
      </c>
      <c r="E113" s="32">
        <f t="shared" ref="E113:E122" si="4">D113*250</f>
        <v>0</v>
      </c>
      <c r="F113" s="32"/>
      <c r="G113" s="23"/>
      <c r="H113" s="23"/>
      <c r="I113" s="23"/>
      <c r="J113" s="14"/>
      <c r="K113" s="23"/>
      <c r="L113" s="23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idden="1">
      <c r="A114" s="34" t="s">
        <v>340</v>
      </c>
      <c r="B114" s="94" t="s">
        <v>1161</v>
      </c>
      <c r="C114" s="94" t="s">
        <v>1163</v>
      </c>
      <c r="D114" s="80">
        <v>0.0</v>
      </c>
      <c r="E114" s="32">
        <f t="shared" si="4"/>
        <v>0</v>
      </c>
      <c r="F114" s="32"/>
      <c r="G114" s="23"/>
      <c r="H114" s="23"/>
      <c r="I114" s="23"/>
      <c r="J114" s="14"/>
      <c r="K114" s="23"/>
      <c r="L114" s="23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idden="1">
      <c r="A115" s="34" t="s">
        <v>341</v>
      </c>
      <c r="B115" s="92" t="s">
        <v>1164</v>
      </c>
      <c r="C115" s="92" t="s">
        <v>1166</v>
      </c>
      <c r="D115" s="80">
        <v>0.0</v>
      </c>
      <c r="E115" s="32">
        <f t="shared" si="4"/>
        <v>0</v>
      </c>
      <c r="F115" s="32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idden="1">
      <c r="A116" s="34" t="s">
        <v>341</v>
      </c>
      <c r="B116" s="92" t="s">
        <v>1136</v>
      </c>
      <c r="C116" s="92" t="s">
        <v>1138</v>
      </c>
      <c r="D116" s="80">
        <v>6.0</v>
      </c>
      <c r="E116" s="32">
        <f t="shared" si="4"/>
        <v>1500</v>
      </c>
      <c r="F116" s="32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idden="1">
      <c r="A117" s="34" t="s">
        <v>341</v>
      </c>
      <c r="B117" s="92" t="s">
        <v>1139</v>
      </c>
      <c r="C117" s="92" t="s">
        <v>1141</v>
      </c>
      <c r="D117" s="80">
        <v>7.0</v>
      </c>
      <c r="E117" s="32">
        <f t="shared" si="4"/>
        <v>1750</v>
      </c>
      <c r="F117" s="32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idden="1">
      <c r="A118" s="34" t="s">
        <v>341</v>
      </c>
      <c r="B118" s="92" t="s">
        <v>1142</v>
      </c>
      <c r="C118" s="92" t="s">
        <v>1144</v>
      </c>
      <c r="D118" s="80">
        <v>5.0</v>
      </c>
      <c r="E118" s="32">
        <f t="shared" si="4"/>
        <v>1250</v>
      </c>
      <c r="F118" s="32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idden="1">
      <c r="A119" s="34" t="s">
        <v>341</v>
      </c>
      <c r="B119" s="92" t="s">
        <v>1145</v>
      </c>
      <c r="C119" s="92" t="s">
        <v>1147</v>
      </c>
      <c r="D119" s="80">
        <v>4.0</v>
      </c>
      <c r="E119" s="32">
        <f t="shared" si="4"/>
        <v>1000</v>
      </c>
      <c r="F119" s="32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idden="1">
      <c r="A120" s="34" t="s">
        <v>341</v>
      </c>
      <c r="B120" s="92" t="s">
        <v>1148</v>
      </c>
      <c r="C120" s="92" t="s">
        <v>1150</v>
      </c>
      <c r="D120" s="80">
        <v>2.0</v>
      </c>
      <c r="E120" s="32">
        <f t="shared" si="4"/>
        <v>500</v>
      </c>
      <c r="F120" s="32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idden="1">
      <c r="A121" s="34" t="s">
        <v>341</v>
      </c>
      <c r="B121" s="92" t="s">
        <v>1151</v>
      </c>
      <c r="C121" s="92" t="s">
        <v>1153</v>
      </c>
      <c r="D121" s="80">
        <v>4.0</v>
      </c>
      <c r="E121" s="32">
        <f t="shared" si="4"/>
        <v>1000</v>
      </c>
      <c r="F121" s="32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idden="1">
      <c r="A122" s="34" t="s">
        <v>341</v>
      </c>
      <c r="B122" s="92" t="s">
        <v>1154</v>
      </c>
      <c r="C122" s="92" t="s">
        <v>1156</v>
      </c>
      <c r="D122" s="80">
        <v>4.0</v>
      </c>
      <c r="E122" s="32">
        <f t="shared" si="4"/>
        <v>1000</v>
      </c>
      <c r="F122" s="32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idden="1">
      <c r="A123" s="34" t="s">
        <v>341</v>
      </c>
      <c r="B123" s="95" t="s">
        <v>1158</v>
      </c>
      <c r="C123" s="94" t="s">
        <v>1160</v>
      </c>
      <c r="D123" s="80">
        <v>0.0</v>
      </c>
      <c r="E123" s="32">
        <v>0.0</v>
      </c>
      <c r="F123" s="32"/>
      <c r="G123" s="23"/>
      <c r="H123" s="23"/>
      <c r="I123" s="23"/>
      <c r="J123" s="14"/>
      <c r="K123" s="23"/>
      <c r="L123" s="23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idden="1">
      <c r="A124" s="34" t="s">
        <v>341</v>
      </c>
      <c r="B124" s="94" t="s">
        <v>1180</v>
      </c>
      <c r="C124" s="94" t="s">
        <v>1182</v>
      </c>
      <c r="D124" s="80">
        <v>0.0</v>
      </c>
      <c r="E124" s="32">
        <f t="shared" ref="E124:E133" si="5">D124*250</f>
        <v>0</v>
      </c>
      <c r="F124" s="32"/>
      <c r="G124" s="23"/>
      <c r="H124" s="23"/>
      <c r="I124" s="23"/>
      <c r="J124" s="14"/>
      <c r="K124" s="23"/>
      <c r="L124" s="23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idden="1">
      <c r="A125" s="34" t="s">
        <v>341</v>
      </c>
      <c r="B125" s="94" t="s">
        <v>1161</v>
      </c>
      <c r="C125" s="94" t="s">
        <v>1163</v>
      </c>
      <c r="D125" s="80">
        <v>2.0</v>
      </c>
      <c r="E125" s="32">
        <f t="shared" si="5"/>
        <v>500</v>
      </c>
      <c r="F125" s="32"/>
      <c r="G125" s="23"/>
      <c r="H125" s="23"/>
      <c r="I125" s="23"/>
      <c r="J125" s="14"/>
      <c r="K125" s="23"/>
      <c r="L125" s="23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idden="1">
      <c r="A126" s="78" t="s">
        <v>342</v>
      </c>
      <c r="B126" s="92" t="s">
        <v>1164</v>
      </c>
      <c r="C126" s="92" t="s">
        <v>1166</v>
      </c>
      <c r="D126" s="80">
        <v>0.0</v>
      </c>
      <c r="E126" s="32">
        <f t="shared" si="5"/>
        <v>0</v>
      </c>
      <c r="F126" s="32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idden="1">
      <c r="A127" s="78" t="s">
        <v>342</v>
      </c>
      <c r="B127" s="92" t="s">
        <v>1136</v>
      </c>
      <c r="C127" s="92" t="s">
        <v>1138</v>
      </c>
      <c r="D127" s="80">
        <v>3.0</v>
      </c>
      <c r="E127" s="32">
        <f t="shared" si="5"/>
        <v>750</v>
      </c>
      <c r="F127" s="32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idden="1">
      <c r="A128" s="78" t="s">
        <v>342</v>
      </c>
      <c r="B128" s="92" t="s">
        <v>1139</v>
      </c>
      <c r="C128" s="92" t="s">
        <v>1141</v>
      </c>
      <c r="D128" s="80">
        <v>3.0</v>
      </c>
      <c r="E128" s="32">
        <f t="shared" si="5"/>
        <v>750</v>
      </c>
      <c r="F128" s="32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idden="1">
      <c r="A129" s="78" t="s">
        <v>342</v>
      </c>
      <c r="B129" s="92" t="s">
        <v>1142</v>
      </c>
      <c r="C129" s="92" t="s">
        <v>1144</v>
      </c>
      <c r="D129" s="80">
        <v>4.0</v>
      </c>
      <c r="E129" s="32">
        <f t="shared" si="5"/>
        <v>1000</v>
      </c>
      <c r="F129" s="32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idden="1">
      <c r="A130" s="78" t="s">
        <v>342</v>
      </c>
      <c r="B130" s="92" t="s">
        <v>1145</v>
      </c>
      <c r="C130" s="92" t="s">
        <v>1147</v>
      </c>
      <c r="D130" s="80">
        <v>3.0</v>
      </c>
      <c r="E130" s="32">
        <f t="shared" si="5"/>
        <v>750</v>
      </c>
      <c r="F130" s="32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idden="1">
      <c r="A131" s="78" t="s">
        <v>342</v>
      </c>
      <c r="B131" s="92" t="s">
        <v>1148</v>
      </c>
      <c r="C131" s="92" t="s">
        <v>1150</v>
      </c>
      <c r="D131" s="80">
        <v>3.0</v>
      </c>
      <c r="E131" s="32">
        <f t="shared" si="5"/>
        <v>750</v>
      </c>
      <c r="F131" s="32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idden="1">
      <c r="A132" s="78" t="s">
        <v>342</v>
      </c>
      <c r="B132" s="92" t="s">
        <v>1151</v>
      </c>
      <c r="C132" s="92" t="s">
        <v>1153</v>
      </c>
      <c r="D132" s="80">
        <v>7.0</v>
      </c>
      <c r="E132" s="32">
        <f t="shared" si="5"/>
        <v>1750</v>
      </c>
      <c r="F132" s="32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idden="1">
      <c r="A133" s="78" t="s">
        <v>342</v>
      </c>
      <c r="B133" s="92" t="s">
        <v>1154</v>
      </c>
      <c r="C133" s="92" t="s">
        <v>1156</v>
      </c>
      <c r="D133" s="80">
        <v>6.0</v>
      </c>
      <c r="E133" s="32">
        <f t="shared" si="5"/>
        <v>1500</v>
      </c>
      <c r="F133" s="32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idden="1">
      <c r="A134" s="78" t="s">
        <v>342</v>
      </c>
      <c r="B134" s="95" t="s">
        <v>1158</v>
      </c>
      <c r="C134" s="95" t="s">
        <v>1160</v>
      </c>
      <c r="D134" s="34">
        <v>0.0</v>
      </c>
      <c r="E134" s="80">
        <v>0.0</v>
      </c>
      <c r="F134" s="80"/>
      <c r="G134" s="23"/>
      <c r="H134" s="23"/>
      <c r="I134" s="23"/>
      <c r="J134" s="14"/>
      <c r="K134" s="23"/>
      <c r="L134" s="23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idden="1">
      <c r="A135" s="78" t="s">
        <v>342</v>
      </c>
      <c r="B135" s="94" t="s">
        <v>1180</v>
      </c>
      <c r="C135" s="95" t="s">
        <v>1182</v>
      </c>
      <c r="D135" s="34">
        <v>0.0</v>
      </c>
      <c r="E135" s="32">
        <f t="shared" ref="E135:E196" si="6">D135*250</f>
        <v>0</v>
      </c>
      <c r="F135" s="32"/>
      <c r="G135" s="23"/>
      <c r="H135" s="23"/>
      <c r="I135" s="23"/>
      <c r="J135" s="14"/>
      <c r="K135" s="23"/>
      <c r="L135" s="23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idden="1">
      <c r="A136" s="34" t="s">
        <v>342</v>
      </c>
      <c r="B136" s="95" t="s">
        <v>1161</v>
      </c>
      <c r="C136" s="95" t="s">
        <v>1163</v>
      </c>
      <c r="D136" s="80">
        <v>2.0</v>
      </c>
      <c r="E136" s="32">
        <f t="shared" si="6"/>
        <v>500</v>
      </c>
      <c r="F136" s="32"/>
      <c r="G136" s="86"/>
      <c r="H136" s="86"/>
      <c r="I136" s="86"/>
      <c r="J136" s="32"/>
      <c r="K136" s="23"/>
      <c r="L136" s="23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idden="1">
      <c r="A137" s="34" t="s">
        <v>347</v>
      </c>
      <c r="B137" s="92" t="s">
        <v>1164</v>
      </c>
      <c r="C137" s="92" t="s">
        <v>1166</v>
      </c>
      <c r="D137" s="80">
        <v>2.0</v>
      </c>
      <c r="E137" s="32">
        <f t="shared" si="6"/>
        <v>500</v>
      </c>
      <c r="F137" s="32"/>
      <c r="G137" s="32"/>
      <c r="H137" s="32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idden="1">
      <c r="A138" s="34" t="s">
        <v>347</v>
      </c>
      <c r="B138" s="92" t="s">
        <v>1136</v>
      </c>
      <c r="C138" s="92" t="s">
        <v>1138</v>
      </c>
      <c r="D138" s="80">
        <v>2.0</v>
      </c>
      <c r="E138" s="32">
        <f t="shared" si="6"/>
        <v>500</v>
      </c>
      <c r="F138" s="32"/>
      <c r="G138" s="32"/>
      <c r="H138" s="32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idden="1">
      <c r="A139" s="34" t="s">
        <v>347</v>
      </c>
      <c r="B139" s="92" t="s">
        <v>1139</v>
      </c>
      <c r="C139" s="92" t="s">
        <v>1141</v>
      </c>
      <c r="D139" s="80">
        <v>0.0</v>
      </c>
      <c r="E139" s="32">
        <f t="shared" si="6"/>
        <v>0</v>
      </c>
      <c r="F139" s="32"/>
      <c r="G139" s="32"/>
      <c r="H139" s="32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idden="1">
      <c r="A140" s="34" t="s">
        <v>347</v>
      </c>
      <c r="B140" s="92" t="s">
        <v>1142</v>
      </c>
      <c r="C140" s="92" t="s">
        <v>1144</v>
      </c>
      <c r="D140" s="80">
        <v>1.0</v>
      </c>
      <c r="E140" s="32">
        <f t="shared" si="6"/>
        <v>250</v>
      </c>
      <c r="F140" s="32"/>
      <c r="G140" s="32"/>
      <c r="H140" s="32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idden="1">
      <c r="A141" s="34" t="s">
        <v>347</v>
      </c>
      <c r="B141" s="92" t="s">
        <v>1145</v>
      </c>
      <c r="C141" s="92" t="s">
        <v>1147</v>
      </c>
      <c r="D141" s="80">
        <v>1.0</v>
      </c>
      <c r="E141" s="32">
        <f t="shared" si="6"/>
        <v>250</v>
      </c>
      <c r="F141" s="32"/>
      <c r="G141" s="32"/>
      <c r="H141" s="32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idden="1">
      <c r="A142" s="34" t="s">
        <v>347</v>
      </c>
      <c r="B142" s="92" t="s">
        <v>1148</v>
      </c>
      <c r="C142" s="92" t="s">
        <v>1150</v>
      </c>
      <c r="D142" s="80">
        <v>0.0</v>
      </c>
      <c r="E142" s="32">
        <f t="shared" si="6"/>
        <v>0</v>
      </c>
      <c r="F142" s="32"/>
      <c r="G142" s="32"/>
      <c r="H142" s="32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idden="1">
      <c r="A143" s="34" t="s">
        <v>347</v>
      </c>
      <c r="B143" s="92" t="s">
        <v>1151</v>
      </c>
      <c r="C143" s="92" t="s">
        <v>1153</v>
      </c>
      <c r="D143" s="80">
        <v>2.0</v>
      </c>
      <c r="E143" s="32">
        <f t="shared" si="6"/>
        <v>500</v>
      </c>
      <c r="F143" s="32"/>
      <c r="G143" s="32"/>
      <c r="H143" s="32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idden="1">
      <c r="A144" s="34" t="s">
        <v>347</v>
      </c>
      <c r="B144" s="92" t="s">
        <v>1154</v>
      </c>
      <c r="C144" s="92" t="s">
        <v>1156</v>
      </c>
      <c r="D144" s="80">
        <v>3.0</v>
      </c>
      <c r="E144" s="32">
        <f t="shared" si="6"/>
        <v>750</v>
      </c>
      <c r="F144" s="32"/>
      <c r="G144" s="32"/>
      <c r="H144" s="32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idden="1">
      <c r="A145" s="34" t="s">
        <v>348</v>
      </c>
      <c r="B145" s="92" t="s">
        <v>1164</v>
      </c>
      <c r="C145" s="92" t="s">
        <v>1166</v>
      </c>
      <c r="D145" s="80">
        <v>3.0</v>
      </c>
      <c r="E145" s="32">
        <f t="shared" si="6"/>
        <v>750</v>
      </c>
      <c r="F145" s="32"/>
      <c r="G145" s="32">
        <v>500.0</v>
      </c>
      <c r="H145" s="32">
        <f t="shared" ref="H145:H152" si="7">MINUS(E145,G145)</f>
        <v>250</v>
      </c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idden="1">
      <c r="A146" s="34" t="s">
        <v>348</v>
      </c>
      <c r="B146" s="92" t="s">
        <v>1136</v>
      </c>
      <c r="C146" s="92" t="s">
        <v>1138</v>
      </c>
      <c r="D146" s="80">
        <v>4.0</v>
      </c>
      <c r="E146" s="32">
        <f t="shared" si="6"/>
        <v>1000</v>
      </c>
      <c r="F146" s="32"/>
      <c r="G146" s="32">
        <v>500.0</v>
      </c>
      <c r="H146" s="32">
        <f t="shared" si="7"/>
        <v>500</v>
      </c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idden="1">
      <c r="A147" s="34" t="s">
        <v>348</v>
      </c>
      <c r="B147" s="92" t="s">
        <v>1139</v>
      </c>
      <c r="C147" s="92" t="s">
        <v>1141</v>
      </c>
      <c r="D147" s="80">
        <v>4.0</v>
      </c>
      <c r="E147" s="32">
        <f t="shared" si="6"/>
        <v>1000</v>
      </c>
      <c r="F147" s="32"/>
      <c r="G147" s="32">
        <v>500.0</v>
      </c>
      <c r="H147" s="32">
        <f t="shared" si="7"/>
        <v>500</v>
      </c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idden="1">
      <c r="A148" s="34" t="s">
        <v>348</v>
      </c>
      <c r="B148" s="92" t="s">
        <v>1142</v>
      </c>
      <c r="C148" s="92" t="s">
        <v>1144</v>
      </c>
      <c r="D148" s="80">
        <v>2.0</v>
      </c>
      <c r="E148" s="32">
        <f t="shared" si="6"/>
        <v>500</v>
      </c>
      <c r="F148" s="32"/>
      <c r="G148" s="32">
        <v>1000.0</v>
      </c>
      <c r="H148" s="32">
        <f t="shared" si="7"/>
        <v>-500</v>
      </c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idden="1">
      <c r="A149" s="34" t="s">
        <v>348</v>
      </c>
      <c r="B149" s="92" t="s">
        <v>1145</v>
      </c>
      <c r="C149" s="92" t="s">
        <v>1147</v>
      </c>
      <c r="D149" s="80">
        <v>2.0</v>
      </c>
      <c r="E149" s="32">
        <f t="shared" si="6"/>
        <v>500</v>
      </c>
      <c r="F149" s="32"/>
      <c r="G149" s="32">
        <v>500.0</v>
      </c>
      <c r="H149" s="32">
        <f t="shared" si="7"/>
        <v>0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idden="1">
      <c r="A150" s="34" t="s">
        <v>348</v>
      </c>
      <c r="B150" s="92" t="s">
        <v>1148</v>
      </c>
      <c r="C150" s="92" t="s">
        <v>1150</v>
      </c>
      <c r="D150" s="80">
        <v>3.0</v>
      </c>
      <c r="E150" s="32">
        <f t="shared" si="6"/>
        <v>750</v>
      </c>
      <c r="F150" s="32"/>
      <c r="G150" s="32">
        <v>1000.0</v>
      </c>
      <c r="H150" s="32">
        <f t="shared" si="7"/>
        <v>-250</v>
      </c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idden="1">
      <c r="A151" s="34" t="s">
        <v>348</v>
      </c>
      <c r="B151" s="92" t="s">
        <v>1151</v>
      </c>
      <c r="C151" s="92" t="s">
        <v>1153</v>
      </c>
      <c r="D151" s="80">
        <v>3.0</v>
      </c>
      <c r="E151" s="32">
        <f t="shared" si="6"/>
        <v>750</v>
      </c>
      <c r="F151" s="32"/>
      <c r="G151" s="32">
        <v>0.0</v>
      </c>
      <c r="H151" s="32">
        <f t="shared" si="7"/>
        <v>750</v>
      </c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idden="1">
      <c r="A152" s="34" t="s">
        <v>348</v>
      </c>
      <c r="B152" s="92" t="s">
        <v>1154</v>
      </c>
      <c r="C152" s="92" t="s">
        <v>1156</v>
      </c>
      <c r="D152" s="80">
        <v>5.0</v>
      </c>
      <c r="E152" s="32">
        <f t="shared" si="6"/>
        <v>1250</v>
      </c>
      <c r="F152" s="32"/>
      <c r="G152" s="32">
        <v>1000.0</v>
      </c>
      <c r="H152" s="32">
        <f t="shared" si="7"/>
        <v>250</v>
      </c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idden="1">
      <c r="A153" s="34" t="s">
        <v>350</v>
      </c>
      <c r="B153" s="92" t="s">
        <v>1164</v>
      </c>
      <c r="C153" s="92" t="s">
        <v>1166</v>
      </c>
      <c r="D153" s="80">
        <v>2.0</v>
      </c>
      <c r="E153" s="32">
        <f t="shared" si="6"/>
        <v>500</v>
      </c>
      <c r="F153" s="32"/>
      <c r="G153" s="32"/>
      <c r="H153" s="32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idden="1">
      <c r="A154" s="34" t="s">
        <v>350</v>
      </c>
      <c r="B154" s="92" t="s">
        <v>1136</v>
      </c>
      <c r="C154" s="92" t="s">
        <v>1138</v>
      </c>
      <c r="D154" s="80">
        <v>2.0</v>
      </c>
      <c r="E154" s="32">
        <f t="shared" si="6"/>
        <v>500</v>
      </c>
      <c r="F154" s="32"/>
      <c r="G154" s="32"/>
      <c r="H154" s="32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idden="1">
      <c r="A155" s="34" t="s">
        <v>350</v>
      </c>
      <c r="B155" s="92" t="s">
        <v>1139</v>
      </c>
      <c r="C155" s="92" t="s">
        <v>1141</v>
      </c>
      <c r="D155" s="80">
        <v>2.0</v>
      </c>
      <c r="E155" s="32">
        <f t="shared" si="6"/>
        <v>500</v>
      </c>
      <c r="F155" s="32"/>
      <c r="G155" s="32"/>
      <c r="H155" s="32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idden="1">
      <c r="A156" s="34" t="s">
        <v>350</v>
      </c>
      <c r="B156" s="92" t="s">
        <v>1142</v>
      </c>
      <c r="C156" s="92" t="s">
        <v>1144</v>
      </c>
      <c r="D156" s="80">
        <v>4.0</v>
      </c>
      <c r="E156" s="32">
        <f t="shared" si="6"/>
        <v>1000</v>
      </c>
      <c r="F156" s="32"/>
      <c r="G156" s="32"/>
      <c r="H156" s="32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idden="1">
      <c r="A157" s="34" t="s">
        <v>350</v>
      </c>
      <c r="B157" s="92" t="s">
        <v>1145</v>
      </c>
      <c r="C157" s="92" t="s">
        <v>1147</v>
      </c>
      <c r="D157" s="80">
        <v>2.0</v>
      </c>
      <c r="E157" s="32">
        <f t="shared" si="6"/>
        <v>500</v>
      </c>
      <c r="F157" s="32"/>
      <c r="G157" s="32"/>
      <c r="H157" s="32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idden="1">
      <c r="A158" s="34" t="s">
        <v>350</v>
      </c>
      <c r="B158" s="92" t="s">
        <v>1148</v>
      </c>
      <c r="C158" s="92" t="s">
        <v>1150</v>
      </c>
      <c r="D158" s="80">
        <v>4.0</v>
      </c>
      <c r="E158" s="32">
        <f t="shared" si="6"/>
        <v>1000</v>
      </c>
      <c r="F158" s="32"/>
      <c r="G158" s="32"/>
      <c r="H158" s="32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idden="1">
      <c r="A159" s="34" t="s">
        <v>350</v>
      </c>
      <c r="B159" s="92" t="s">
        <v>1151</v>
      </c>
      <c r="C159" s="92" t="s">
        <v>1153</v>
      </c>
      <c r="D159" s="80">
        <v>0.0</v>
      </c>
      <c r="E159" s="32">
        <f t="shared" si="6"/>
        <v>0</v>
      </c>
      <c r="F159" s="32"/>
      <c r="G159" s="32"/>
      <c r="H159" s="32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idden="1">
      <c r="A160" s="34" t="s">
        <v>350</v>
      </c>
      <c r="B160" s="92" t="s">
        <v>1154</v>
      </c>
      <c r="C160" s="92" t="s">
        <v>1156</v>
      </c>
      <c r="D160" s="80">
        <v>4.0</v>
      </c>
      <c r="E160" s="32">
        <f t="shared" si="6"/>
        <v>1000</v>
      </c>
      <c r="F160" s="32"/>
      <c r="G160" s="32"/>
      <c r="H160" s="32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idden="1">
      <c r="A161" s="34" t="s">
        <v>351</v>
      </c>
      <c r="B161" s="92" t="s">
        <v>1164</v>
      </c>
      <c r="C161" s="92" t="s">
        <v>1166</v>
      </c>
      <c r="D161" s="80">
        <v>1.0</v>
      </c>
      <c r="E161" s="32">
        <f t="shared" si="6"/>
        <v>250</v>
      </c>
      <c r="F161" s="32"/>
      <c r="G161" s="32"/>
      <c r="H161" s="32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idden="1">
      <c r="A162" s="34" t="s">
        <v>351</v>
      </c>
      <c r="B162" s="92" t="s">
        <v>1136</v>
      </c>
      <c r="C162" s="92" t="s">
        <v>1138</v>
      </c>
      <c r="D162" s="80">
        <v>3.0</v>
      </c>
      <c r="E162" s="32">
        <f t="shared" si="6"/>
        <v>750</v>
      </c>
      <c r="F162" s="32"/>
      <c r="G162" s="32"/>
      <c r="H162" s="32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idden="1">
      <c r="A163" s="34" t="s">
        <v>351</v>
      </c>
      <c r="B163" s="92" t="s">
        <v>1139</v>
      </c>
      <c r="C163" s="92" t="s">
        <v>1141</v>
      </c>
      <c r="D163" s="80">
        <v>5.0</v>
      </c>
      <c r="E163" s="32">
        <f t="shared" si="6"/>
        <v>1250</v>
      </c>
      <c r="F163" s="32"/>
      <c r="G163" s="32"/>
      <c r="H163" s="32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idden="1">
      <c r="A164" s="34" t="s">
        <v>351</v>
      </c>
      <c r="B164" s="92" t="s">
        <v>1142</v>
      </c>
      <c r="C164" s="92" t="s">
        <v>1144</v>
      </c>
      <c r="D164" s="80">
        <v>2.0</v>
      </c>
      <c r="E164" s="32">
        <f t="shared" si="6"/>
        <v>500</v>
      </c>
      <c r="F164" s="32"/>
      <c r="G164" s="32"/>
      <c r="H164" s="32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idden="1">
      <c r="A165" s="34" t="s">
        <v>351</v>
      </c>
      <c r="B165" s="92" t="s">
        <v>1145</v>
      </c>
      <c r="C165" s="92" t="s">
        <v>1147</v>
      </c>
      <c r="D165" s="80">
        <v>4.0</v>
      </c>
      <c r="E165" s="32">
        <f t="shared" si="6"/>
        <v>1000</v>
      </c>
      <c r="F165" s="32"/>
      <c r="G165" s="32"/>
      <c r="H165" s="32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idden="1">
      <c r="A166" s="34" t="s">
        <v>351</v>
      </c>
      <c r="B166" s="92" t="s">
        <v>1148</v>
      </c>
      <c r="C166" s="92" t="s">
        <v>1150</v>
      </c>
      <c r="D166" s="80">
        <v>3.0</v>
      </c>
      <c r="E166" s="32">
        <f t="shared" si="6"/>
        <v>750</v>
      </c>
      <c r="F166" s="32"/>
      <c r="G166" s="32"/>
      <c r="H166" s="32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idden="1">
      <c r="A167" s="34" t="s">
        <v>351</v>
      </c>
      <c r="B167" s="92" t="s">
        <v>1151</v>
      </c>
      <c r="C167" s="92" t="s">
        <v>1153</v>
      </c>
      <c r="D167" s="80">
        <v>3.0</v>
      </c>
      <c r="E167" s="32">
        <f t="shared" si="6"/>
        <v>750</v>
      </c>
      <c r="F167" s="32"/>
      <c r="G167" s="32"/>
      <c r="H167" s="32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idden="1">
      <c r="A168" s="34" t="s">
        <v>351</v>
      </c>
      <c r="B168" s="92" t="s">
        <v>1154</v>
      </c>
      <c r="C168" s="92" t="s">
        <v>1156</v>
      </c>
      <c r="D168" s="80">
        <v>2.0</v>
      </c>
      <c r="E168" s="32">
        <f t="shared" si="6"/>
        <v>500</v>
      </c>
      <c r="F168" s="32"/>
      <c r="G168" s="32"/>
      <c r="H168" s="32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idden="1">
      <c r="A169" s="34" t="s">
        <v>351</v>
      </c>
      <c r="B169" s="92" t="s">
        <v>1183</v>
      </c>
      <c r="C169" s="92" t="s">
        <v>1184</v>
      </c>
      <c r="D169" s="80">
        <v>1.0</v>
      </c>
      <c r="E169" s="32">
        <f t="shared" si="6"/>
        <v>250</v>
      </c>
      <c r="F169" s="32"/>
      <c r="G169" s="32"/>
      <c r="H169" s="32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idden="1">
      <c r="A170" s="34" t="s">
        <v>352</v>
      </c>
      <c r="B170" s="92" t="s">
        <v>1164</v>
      </c>
      <c r="C170" s="92" t="s">
        <v>1166</v>
      </c>
      <c r="D170" s="80">
        <v>4.0</v>
      </c>
      <c r="E170" s="32">
        <f t="shared" si="6"/>
        <v>1000</v>
      </c>
      <c r="F170" s="32"/>
      <c r="G170" s="32"/>
      <c r="H170" s="32"/>
      <c r="I170" s="32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idden="1">
      <c r="A171" s="34" t="s">
        <v>352</v>
      </c>
      <c r="B171" s="92" t="s">
        <v>1148</v>
      </c>
      <c r="C171" s="92" t="s">
        <v>1150</v>
      </c>
      <c r="D171" s="80">
        <v>1.0</v>
      </c>
      <c r="E171" s="32">
        <f t="shared" si="6"/>
        <v>250</v>
      </c>
      <c r="F171" s="32"/>
      <c r="G171" s="32"/>
      <c r="H171" s="32"/>
      <c r="I171" s="32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idden="1">
      <c r="A172" s="34" t="s">
        <v>352</v>
      </c>
      <c r="B172" s="92" t="s">
        <v>1136</v>
      </c>
      <c r="C172" s="91" t="s">
        <v>1138</v>
      </c>
      <c r="D172" s="80">
        <v>3.0</v>
      </c>
      <c r="E172" s="32">
        <f t="shared" si="6"/>
        <v>750</v>
      </c>
      <c r="F172" s="32"/>
      <c r="G172" s="32"/>
      <c r="H172" s="32"/>
      <c r="I172" s="32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idden="1">
      <c r="A173" s="34" t="s">
        <v>352</v>
      </c>
      <c r="B173" s="92" t="s">
        <v>1154</v>
      </c>
      <c r="C173" s="92" t="s">
        <v>1156</v>
      </c>
      <c r="D173" s="80">
        <v>0.0</v>
      </c>
      <c r="E173" s="32">
        <f t="shared" si="6"/>
        <v>0</v>
      </c>
      <c r="F173" s="32"/>
      <c r="G173" s="32"/>
      <c r="H173" s="32"/>
      <c r="I173" s="32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idden="1">
      <c r="A174" s="34" t="s">
        <v>352</v>
      </c>
      <c r="B174" s="92" t="s">
        <v>1142</v>
      </c>
      <c r="C174" s="92" t="s">
        <v>1144</v>
      </c>
      <c r="D174" s="80">
        <v>2.0</v>
      </c>
      <c r="E174" s="32">
        <f t="shared" si="6"/>
        <v>500</v>
      </c>
      <c r="F174" s="32"/>
      <c r="G174" s="32"/>
      <c r="H174" s="32"/>
      <c r="I174" s="32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idden="1">
      <c r="A175" s="34" t="s">
        <v>352</v>
      </c>
      <c r="B175" s="92" t="s">
        <v>1145</v>
      </c>
      <c r="C175" s="92" t="s">
        <v>1147</v>
      </c>
      <c r="D175" s="80">
        <v>3.0</v>
      </c>
      <c r="E175" s="32">
        <f t="shared" si="6"/>
        <v>750</v>
      </c>
      <c r="F175" s="32"/>
      <c r="G175" s="32"/>
      <c r="H175" s="32"/>
      <c r="I175" s="32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idden="1">
      <c r="A176" s="34" t="s">
        <v>352</v>
      </c>
      <c r="B176" s="92" t="s">
        <v>1183</v>
      </c>
      <c r="C176" s="92" t="s">
        <v>1184</v>
      </c>
      <c r="D176" s="80">
        <v>0.0</v>
      </c>
      <c r="E176" s="32">
        <f t="shared" si="6"/>
        <v>0</v>
      </c>
      <c r="F176" s="32"/>
      <c r="G176" s="32"/>
      <c r="H176" s="32"/>
      <c r="I176" s="32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idden="1">
      <c r="A177" s="34" t="s">
        <v>352</v>
      </c>
      <c r="B177" s="92" t="s">
        <v>1151</v>
      </c>
      <c r="C177" s="92" t="s">
        <v>1153</v>
      </c>
      <c r="D177" s="80">
        <v>3.0</v>
      </c>
      <c r="E177" s="32">
        <f t="shared" si="6"/>
        <v>750</v>
      </c>
      <c r="F177" s="32"/>
      <c r="G177" s="32"/>
      <c r="H177" s="32"/>
      <c r="I177" s="32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idden="1">
      <c r="A178" s="34" t="s">
        <v>352</v>
      </c>
      <c r="B178" s="92" t="s">
        <v>1139</v>
      </c>
      <c r="C178" s="92" t="s">
        <v>1141</v>
      </c>
      <c r="D178" s="80">
        <v>3.0</v>
      </c>
      <c r="E178" s="32">
        <f t="shared" si="6"/>
        <v>750</v>
      </c>
      <c r="F178" s="32"/>
      <c r="G178" s="32"/>
      <c r="H178" s="32"/>
      <c r="I178" s="32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idden="1">
      <c r="A179" s="34" t="s">
        <v>353</v>
      </c>
      <c r="B179" s="372" t="s">
        <v>1164</v>
      </c>
      <c r="C179" s="372" t="s">
        <v>1166</v>
      </c>
      <c r="D179" s="80">
        <v>7.0</v>
      </c>
      <c r="E179" s="32">
        <f t="shared" si="6"/>
        <v>1750</v>
      </c>
      <c r="F179" s="32"/>
      <c r="G179" s="32"/>
      <c r="H179" s="32"/>
      <c r="I179" s="280">
        <f t="shared" ref="I179:I187" si="8">E179+E188</f>
        <v>2750</v>
      </c>
    </row>
    <row r="180" hidden="1">
      <c r="A180" s="34" t="s">
        <v>353</v>
      </c>
      <c r="B180" s="372" t="s">
        <v>1148</v>
      </c>
      <c r="C180" s="372" t="s">
        <v>1150</v>
      </c>
      <c r="D180" s="80">
        <v>1.0</v>
      </c>
      <c r="E180" s="32">
        <f t="shared" si="6"/>
        <v>250</v>
      </c>
      <c r="F180" s="32"/>
      <c r="G180" s="32"/>
      <c r="H180" s="32"/>
      <c r="I180" s="280">
        <f t="shared" si="8"/>
        <v>750</v>
      </c>
    </row>
    <row r="181" hidden="1">
      <c r="A181" s="34" t="s">
        <v>353</v>
      </c>
      <c r="B181" s="372" t="s">
        <v>1136</v>
      </c>
      <c r="C181" s="372" t="s">
        <v>1185</v>
      </c>
      <c r="D181" s="80">
        <v>6.0</v>
      </c>
      <c r="E181" s="32">
        <f t="shared" si="6"/>
        <v>1500</v>
      </c>
      <c r="F181" s="32"/>
      <c r="G181" s="32"/>
      <c r="H181" s="32"/>
      <c r="I181" s="280">
        <f t="shared" si="8"/>
        <v>2000</v>
      </c>
    </row>
    <row r="182" hidden="1">
      <c r="A182" s="34" t="s">
        <v>353</v>
      </c>
      <c r="B182" s="372" t="s">
        <v>1154</v>
      </c>
      <c r="C182" s="372" t="s">
        <v>1156</v>
      </c>
      <c r="D182" s="80">
        <v>0.0</v>
      </c>
      <c r="E182" s="32">
        <f t="shared" si="6"/>
        <v>0</v>
      </c>
      <c r="F182" s="32"/>
      <c r="G182" s="32"/>
      <c r="H182" s="32"/>
      <c r="I182" s="280">
        <f t="shared" si="8"/>
        <v>0</v>
      </c>
    </row>
    <row r="183" hidden="1">
      <c r="A183" s="34" t="s">
        <v>353</v>
      </c>
      <c r="B183" s="372" t="s">
        <v>1142</v>
      </c>
      <c r="C183" s="372" t="s">
        <v>1144</v>
      </c>
      <c r="D183" s="80">
        <v>4.0</v>
      </c>
      <c r="E183" s="32">
        <f t="shared" si="6"/>
        <v>1000</v>
      </c>
      <c r="F183" s="32"/>
      <c r="G183" s="32"/>
      <c r="H183" s="32"/>
      <c r="I183" s="280">
        <f t="shared" si="8"/>
        <v>1750</v>
      </c>
    </row>
    <row r="184" hidden="1">
      <c r="A184" s="34" t="s">
        <v>353</v>
      </c>
      <c r="B184" s="372" t="s">
        <v>1145</v>
      </c>
      <c r="C184" s="372" t="s">
        <v>1147</v>
      </c>
      <c r="D184" s="80">
        <v>2.0</v>
      </c>
      <c r="E184" s="32">
        <f t="shared" si="6"/>
        <v>500</v>
      </c>
      <c r="F184" s="32"/>
      <c r="G184" s="32"/>
      <c r="H184" s="32"/>
      <c r="I184" s="280">
        <f t="shared" si="8"/>
        <v>1500</v>
      </c>
    </row>
    <row r="185" hidden="1">
      <c r="A185" s="34" t="s">
        <v>353</v>
      </c>
      <c r="B185" s="372" t="s">
        <v>1183</v>
      </c>
      <c r="C185" s="372" t="s">
        <v>1184</v>
      </c>
      <c r="D185" s="80">
        <v>0.0</v>
      </c>
      <c r="E185" s="32">
        <f t="shared" si="6"/>
        <v>0</v>
      </c>
      <c r="F185" s="32"/>
      <c r="G185" s="32"/>
      <c r="H185" s="32"/>
      <c r="I185" s="280">
        <f t="shared" si="8"/>
        <v>0</v>
      </c>
    </row>
    <row r="186" hidden="1">
      <c r="A186" s="34" t="s">
        <v>353</v>
      </c>
      <c r="B186" s="372" t="s">
        <v>1151</v>
      </c>
      <c r="C186" s="372" t="s">
        <v>1153</v>
      </c>
      <c r="D186" s="80">
        <v>1.0</v>
      </c>
      <c r="E186" s="32">
        <f t="shared" si="6"/>
        <v>250</v>
      </c>
      <c r="F186" s="32"/>
      <c r="G186" s="32"/>
      <c r="H186" s="32"/>
      <c r="I186" s="280">
        <f t="shared" si="8"/>
        <v>500</v>
      </c>
    </row>
    <row r="187" hidden="1">
      <c r="A187" s="34" t="s">
        <v>353</v>
      </c>
      <c r="B187" s="372" t="s">
        <v>1139</v>
      </c>
      <c r="C187" s="372" t="s">
        <v>1141</v>
      </c>
      <c r="D187" s="80">
        <v>5.0</v>
      </c>
      <c r="E187" s="32">
        <f t="shared" si="6"/>
        <v>1250</v>
      </c>
      <c r="F187" s="32"/>
      <c r="G187" s="32"/>
      <c r="H187" s="32"/>
      <c r="I187" s="280">
        <f t="shared" si="8"/>
        <v>1750</v>
      </c>
    </row>
    <row r="188" hidden="1">
      <c r="A188" s="34" t="s">
        <v>354</v>
      </c>
      <c r="B188" s="372"/>
      <c r="C188" s="372" t="s">
        <v>1166</v>
      </c>
      <c r="D188" s="80">
        <v>4.0</v>
      </c>
      <c r="E188" s="32">
        <f t="shared" si="6"/>
        <v>1000</v>
      </c>
      <c r="F188" s="32"/>
      <c r="G188" s="32"/>
      <c r="H188" s="32"/>
    </row>
    <row r="189" hidden="1">
      <c r="A189" s="34" t="s">
        <v>354</v>
      </c>
      <c r="B189" s="372"/>
      <c r="C189" s="372" t="s">
        <v>1150</v>
      </c>
      <c r="D189" s="80">
        <v>2.0</v>
      </c>
      <c r="E189" s="32">
        <f t="shared" si="6"/>
        <v>500</v>
      </c>
      <c r="F189" s="32"/>
      <c r="G189" s="32"/>
      <c r="H189" s="32"/>
    </row>
    <row r="190" hidden="1">
      <c r="A190" s="34" t="s">
        <v>354</v>
      </c>
      <c r="B190" s="372"/>
      <c r="C190" s="372" t="s">
        <v>1138</v>
      </c>
      <c r="D190" s="80">
        <v>2.0</v>
      </c>
      <c r="E190" s="32">
        <f t="shared" si="6"/>
        <v>500</v>
      </c>
      <c r="F190" s="32"/>
      <c r="G190" s="32"/>
      <c r="H190" s="32"/>
    </row>
    <row r="191" hidden="1">
      <c r="A191" s="34" t="s">
        <v>354</v>
      </c>
      <c r="B191" s="372"/>
      <c r="C191" s="372" t="s">
        <v>1156</v>
      </c>
      <c r="D191" s="80">
        <v>0.0</v>
      </c>
      <c r="E191" s="32">
        <f t="shared" si="6"/>
        <v>0</v>
      </c>
      <c r="F191" s="32"/>
      <c r="G191" s="32"/>
      <c r="H191" s="32"/>
    </row>
    <row r="192" hidden="1">
      <c r="A192" s="34" t="s">
        <v>354</v>
      </c>
      <c r="B192" s="372"/>
      <c r="C192" s="372" t="s">
        <v>1144</v>
      </c>
      <c r="D192" s="80">
        <v>3.0</v>
      </c>
      <c r="E192" s="32">
        <f t="shared" si="6"/>
        <v>750</v>
      </c>
      <c r="F192" s="32"/>
      <c r="G192" s="32"/>
      <c r="H192" s="32"/>
    </row>
    <row r="193" hidden="1">
      <c r="A193" s="34" t="s">
        <v>354</v>
      </c>
      <c r="B193" s="372"/>
      <c r="C193" s="372" t="s">
        <v>1147</v>
      </c>
      <c r="D193" s="80">
        <v>4.0</v>
      </c>
      <c r="E193" s="32">
        <f t="shared" si="6"/>
        <v>1000</v>
      </c>
      <c r="F193" s="32"/>
      <c r="G193" s="32"/>
      <c r="H193" s="32"/>
    </row>
    <row r="194" hidden="1">
      <c r="A194" s="34" t="s">
        <v>354</v>
      </c>
      <c r="B194" s="372"/>
      <c r="C194" s="372" t="s">
        <v>1184</v>
      </c>
      <c r="D194" s="80">
        <v>0.0</v>
      </c>
      <c r="E194" s="32">
        <f t="shared" si="6"/>
        <v>0</v>
      </c>
      <c r="F194" s="32"/>
      <c r="G194" s="32"/>
      <c r="H194" s="32"/>
    </row>
    <row r="195" hidden="1">
      <c r="A195" s="34" t="s">
        <v>354</v>
      </c>
      <c r="B195" s="372"/>
      <c r="C195" s="372" t="s">
        <v>1153</v>
      </c>
      <c r="D195" s="80">
        <v>1.0</v>
      </c>
      <c r="E195" s="32">
        <f t="shared" si="6"/>
        <v>250</v>
      </c>
      <c r="F195" s="32"/>
      <c r="G195" s="32"/>
      <c r="H195" s="32"/>
    </row>
    <row r="196" hidden="1">
      <c r="A196" s="34" t="s">
        <v>354</v>
      </c>
      <c r="B196" s="372"/>
      <c r="C196" s="372" t="s">
        <v>1141</v>
      </c>
      <c r="D196" s="80">
        <v>2.0</v>
      </c>
      <c r="E196" s="32">
        <f t="shared" si="6"/>
        <v>500</v>
      </c>
      <c r="F196" s="32"/>
      <c r="G196" s="32"/>
      <c r="H196" s="32"/>
    </row>
    <row r="197">
      <c r="A197" s="247"/>
      <c r="B197" s="373"/>
      <c r="C197" s="373"/>
      <c r="D197" s="247"/>
      <c r="E197" s="247"/>
      <c r="F197" s="247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47"/>
      <c r="V197" s="247"/>
      <c r="W197" s="247"/>
      <c r="X197" s="247"/>
      <c r="Y197" s="247"/>
      <c r="Z197" s="247"/>
    </row>
    <row r="198">
      <c r="A198" s="247"/>
      <c r="B198" s="373"/>
      <c r="C198" s="373"/>
      <c r="D198" s="247"/>
      <c r="E198" s="247"/>
      <c r="F198" s="247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47"/>
      <c r="V198" s="247"/>
      <c r="W198" s="247"/>
      <c r="X198" s="247"/>
      <c r="Y198" s="247"/>
      <c r="Z198" s="247"/>
    </row>
    <row r="199">
      <c r="A199" s="247"/>
      <c r="B199" s="373"/>
      <c r="C199" s="373"/>
      <c r="D199" s="247"/>
      <c r="E199" s="247"/>
      <c r="F199" s="247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47"/>
      <c r="V199" s="247"/>
      <c r="W199" s="247"/>
      <c r="X199" s="247"/>
      <c r="Y199" s="247"/>
      <c r="Z199" s="247"/>
    </row>
    <row r="200">
      <c r="A200" s="247"/>
      <c r="B200" s="373"/>
      <c r="C200" s="373"/>
      <c r="D200" s="247"/>
      <c r="E200" s="247"/>
      <c r="F200" s="247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47"/>
      <c r="V200" s="247"/>
      <c r="W200" s="247"/>
      <c r="X200" s="247"/>
      <c r="Y200" s="247"/>
      <c r="Z200" s="247"/>
    </row>
    <row r="201">
      <c r="A201" s="247"/>
      <c r="B201" s="373"/>
      <c r="C201" s="373"/>
      <c r="D201" s="247"/>
      <c r="E201" s="247"/>
      <c r="F201" s="247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47"/>
      <c r="V201" s="247"/>
      <c r="W201" s="247"/>
      <c r="X201" s="247"/>
      <c r="Y201" s="247"/>
      <c r="Z201" s="247"/>
    </row>
    <row r="202">
      <c r="A202" s="247"/>
      <c r="B202" s="373"/>
      <c r="C202" s="373"/>
      <c r="D202" s="247"/>
      <c r="E202" s="247"/>
      <c r="F202" s="247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47"/>
      <c r="V202" s="247"/>
      <c r="W202" s="247"/>
      <c r="X202" s="247"/>
      <c r="Y202" s="247"/>
      <c r="Z202" s="247"/>
    </row>
    <row r="203">
      <c r="A203" s="247"/>
      <c r="B203" s="373"/>
      <c r="C203" s="373"/>
      <c r="D203" s="247"/>
      <c r="E203" s="247"/>
      <c r="F203" s="247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47"/>
      <c r="V203" s="247"/>
      <c r="W203" s="247"/>
      <c r="X203" s="247"/>
      <c r="Y203" s="247"/>
      <c r="Z203" s="247"/>
    </row>
    <row r="204">
      <c r="A204" s="247"/>
      <c r="B204" s="373"/>
      <c r="C204" s="373"/>
      <c r="D204" s="247"/>
      <c r="E204" s="247"/>
      <c r="F204" s="247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47"/>
      <c r="V204" s="247"/>
      <c r="W204" s="247"/>
      <c r="X204" s="247"/>
      <c r="Y204" s="247"/>
      <c r="Z204" s="247"/>
    </row>
    <row r="205">
      <c r="A205" s="247"/>
      <c r="B205" s="373"/>
      <c r="C205" s="373"/>
      <c r="D205" s="247"/>
      <c r="E205" s="247"/>
      <c r="F205" s="247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47"/>
      <c r="V205" s="247"/>
      <c r="W205" s="247"/>
      <c r="X205" s="247"/>
      <c r="Y205" s="247"/>
      <c r="Z205" s="247"/>
    </row>
    <row r="206">
      <c r="A206" s="247"/>
      <c r="B206" s="373"/>
      <c r="C206" s="373"/>
      <c r="D206" s="247"/>
      <c r="E206" s="247"/>
      <c r="F206" s="247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47"/>
      <c r="V206" s="247"/>
      <c r="W206" s="247"/>
      <c r="X206" s="247"/>
      <c r="Y206" s="247"/>
      <c r="Z206" s="247"/>
    </row>
    <row r="207">
      <c r="A207" s="247"/>
      <c r="B207" s="373"/>
      <c r="C207" s="373"/>
      <c r="D207" s="247"/>
      <c r="E207" s="247"/>
      <c r="F207" s="247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47"/>
      <c r="V207" s="247"/>
      <c r="W207" s="247"/>
      <c r="X207" s="247"/>
      <c r="Y207" s="247"/>
      <c r="Z207" s="247"/>
    </row>
    <row r="208">
      <c r="A208" s="247"/>
      <c r="B208" s="373"/>
      <c r="C208" s="373"/>
      <c r="D208" s="247"/>
      <c r="E208" s="247"/>
      <c r="F208" s="247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47"/>
      <c r="V208" s="247"/>
      <c r="W208" s="247"/>
      <c r="X208" s="247"/>
      <c r="Y208" s="247"/>
      <c r="Z208" s="247"/>
    </row>
    <row r="209">
      <c r="A209" s="247"/>
      <c r="B209" s="373"/>
      <c r="C209" s="373"/>
      <c r="D209" s="247"/>
      <c r="E209" s="247"/>
      <c r="F209" s="247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47"/>
      <c r="V209" s="247"/>
      <c r="W209" s="247"/>
      <c r="X209" s="247"/>
      <c r="Y209" s="247"/>
      <c r="Z209" s="247"/>
    </row>
    <row r="210">
      <c r="A210" s="247"/>
      <c r="B210" s="373"/>
      <c r="C210" s="373"/>
      <c r="D210" s="247"/>
      <c r="E210" s="247"/>
      <c r="F210" s="247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47"/>
      <c r="V210" s="247"/>
      <c r="W210" s="247"/>
      <c r="X210" s="247"/>
      <c r="Y210" s="247"/>
      <c r="Z210" s="247"/>
    </row>
    <row r="211">
      <c r="A211" s="247"/>
      <c r="B211" s="373"/>
      <c r="C211" s="373"/>
      <c r="D211" s="247"/>
      <c r="E211" s="247"/>
      <c r="F211" s="247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47"/>
      <c r="V211" s="247"/>
      <c r="W211" s="247"/>
      <c r="X211" s="247"/>
      <c r="Y211" s="247"/>
      <c r="Z211" s="247"/>
    </row>
    <row r="212">
      <c r="A212" s="247"/>
      <c r="B212" s="373"/>
      <c r="C212" s="373"/>
      <c r="D212" s="247"/>
      <c r="E212" s="247"/>
      <c r="F212" s="247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47"/>
      <c r="V212" s="247"/>
      <c r="W212" s="247"/>
      <c r="X212" s="247"/>
      <c r="Y212" s="247"/>
      <c r="Z212" s="247"/>
    </row>
    <row r="213">
      <c r="A213" s="247"/>
      <c r="B213" s="373"/>
      <c r="C213" s="373"/>
      <c r="D213" s="247"/>
      <c r="E213" s="247"/>
      <c r="F213" s="247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>
      <c r="A214" s="247"/>
      <c r="B214" s="373"/>
      <c r="C214" s="373"/>
      <c r="D214" s="247"/>
      <c r="E214" s="247"/>
      <c r="F214" s="247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47"/>
      <c r="V214" s="247"/>
      <c r="W214" s="247"/>
      <c r="X214" s="247"/>
      <c r="Y214" s="247"/>
      <c r="Z214" s="247"/>
    </row>
    <row r="215">
      <c r="A215" s="247"/>
      <c r="B215" s="373"/>
      <c r="C215" s="373"/>
      <c r="D215" s="247"/>
      <c r="E215" s="247"/>
      <c r="F215" s="247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47"/>
      <c r="V215" s="247"/>
      <c r="W215" s="247"/>
      <c r="X215" s="247"/>
      <c r="Y215" s="247"/>
      <c r="Z215" s="247"/>
    </row>
    <row r="216">
      <c r="A216" s="247"/>
      <c r="B216" s="373"/>
      <c r="C216" s="373"/>
      <c r="D216" s="247"/>
      <c r="E216" s="247"/>
      <c r="F216" s="247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47"/>
      <c r="V216" s="247"/>
      <c r="W216" s="247"/>
      <c r="X216" s="247"/>
      <c r="Y216" s="247"/>
      <c r="Z216" s="247"/>
    </row>
    <row r="217">
      <c r="A217" s="247"/>
      <c r="B217" s="373"/>
      <c r="C217" s="373"/>
      <c r="D217" s="247"/>
      <c r="E217" s="247"/>
      <c r="F217" s="247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47"/>
      <c r="V217" s="247"/>
      <c r="W217" s="247"/>
      <c r="X217" s="247"/>
      <c r="Y217" s="247"/>
      <c r="Z217" s="247"/>
    </row>
    <row r="218">
      <c r="A218" s="247"/>
      <c r="B218" s="373"/>
      <c r="C218" s="373"/>
      <c r="D218" s="247"/>
      <c r="E218" s="247"/>
      <c r="F218" s="247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47"/>
      <c r="V218" s="247"/>
      <c r="W218" s="247"/>
      <c r="X218" s="247"/>
      <c r="Y218" s="247"/>
      <c r="Z218" s="247"/>
    </row>
    <row r="219">
      <c r="A219" s="247"/>
      <c r="B219" s="373"/>
      <c r="C219" s="373"/>
      <c r="D219" s="247"/>
      <c r="E219" s="247"/>
      <c r="F219" s="247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47"/>
      <c r="V219" s="247"/>
      <c r="W219" s="247"/>
      <c r="X219" s="247"/>
      <c r="Y219" s="247"/>
      <c r="Z219" s="247"/>
    </row>
    <row r="220">
      <c r="A220" s="247"/>
      <c r="B220" s="373"/>
      <c r="C220" s="373"/>
      <c r="D220" s="247"/>
      <c r="E220" s="247"/>
      <c r="F220" s="247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47"/>
      <c r="V220" s="247"/>
      <c r="W220" s="247"/>
      <c r="X220" s="247"/>
      <c r="Y220" s="247"/>
      <c r="Z220" s="247"/>
    </row>
    <row r="221">
      <c r="A221" s="247"/>
      <c r="B221" s="373"/>
      <c r="C221" s="373"/>
      <c r="D221" s="247"/>
      <c r="E221" s="247"/>
      <c r="F221" s="247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47"/>
      <c r="V221" s="247"/>
      <c r="W221" s="247"/>
      <c r="X221" s="247"/>
      <c r="Y221" s="247"/>
      <c r="Z221" s="247"/>
    </row>
    <row r="222">
      <c r="A222" s="247"/>
      <c r="B222" s="373"/>
      <c r="C222" s="373"/>
      <c r="D222" s="247"/>
      <c r="E222" s="247"/>
      <c r="F222" s="247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>
      <c r="A223" s="247"/>
      <c r="B223" s="373"/>
      <c r="C223" s="373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</row>
    <row r="224">
      <c r="A224" s="247"/>
      <c r="B224" s="373"/>
      <c r="C224" s="373"/>
      <c r="D224" s="247"/>
      <c r="E224" s="247"/>
      <c r="F224" s="247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47"/>
      <c r="V224" s="247"/>
      <c r="W224" s="247"/>
      <c r="X224" s="247"/>
      <c r="Y224" s="247"/>
      <c r="Z224" s="247"/>
    </row>
    <row r="225">
      <c r="A225" s="247"/>
      <c r="B225" s="373"/>
      <c r="C225" s="373"/>
      <c r="D225" s="247"/>
      <c r="E225" s="247"/>
      <c r="F225" s="247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47"/>
      <c r="V225" s="247"/>
      <c r="W225" s="247"/>
      <c r="X225" s="247"/>
      <c r="Y225" s="247"/>
      <c r="Z225" s="247"/>
    </row>
    <row r="226">
      <c r="A226" s="247"/>
      <c r="B226" s="373"/>
      <c r="C226" s="373"/>
      <c r="D226" s="247"/>
      <c r="E226" s="247"/>
      <c r="F226" s="247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47"/>
      <c r="V226" s="247"/>
      <c r="W226" s="247"/>
      <c r="X226" s="247"/>
      <c r="Y226" s="247"/>
      <c r="Z226" s="247"/>
    </row>
    <row r="227">
      <c r="A227" s="247"/>
      <c r="B227" s="373"/>
      <c r="C227" s="373"/>
      <c r="D227" s="247"/>
      <c r="E227" s="247"/>
      <c r="F227" s="247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47"/>
      <c r="V227" s="247"/>
      <c r="W227" s="247"/>
      <c r="X227" s="247"/>
      <c r="Y227" s="247"/>
      <c r="Z227" s="247"/>
    </row>
    <row r="228">
      <c r="A228" s="247"/>
      <c r="B228" s="373"/>
      <c r="C228" s="373"/>
      <c r="D228" s="247"/>
      <c r="E228" s="247"/>
      <c r="F228" s="247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</row>
    <row r="229">
      <c r="A229" s="247"/>
      <c r="B229" s="373"/>
      <c r="C229" s="373"/>
      <c r="D229" s="247"/>
      <c r="E229" s="247"/>
      <c r="F229" s="247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47"/>
      <c r="V229" s="247"/>
      <c r="W229" s="247"/>
      <c r="X229" s="247"/>
      <c r="Y229" s="247"/>
      <c r="Z229" s="247"/>
    </row>
    <row r="230">
      <c r="A230" s="247"/>
      <c r="B230" s="373"/>
      <c r="C230" s="373"/>
      <c r="D230" s="247"/>
      <c r="E230" s="247"/>
      <c r="F230" s="247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47"/>
      <c r="V230" s="247"/>
      <c r="W230" s="247"/>
      <c r="X230" s="247"/>
      <c r="Y230" s="247"/>
      <c r="Z230" s="247"/>
    </row>
    <row r="231">
      <c r="A231" s="247"/>
      <c r="B231" s="373"/>
      <c r="C231" s="373"/>
      <c r="D231" s="247"/>
      <c r="E231" s="247"/>
      <c r="F231" s="247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47"/>
      <c r="V231" s="247"/>
      <c r="W231" s="247"/>
      <c r="X231" s="247"/>
      <c r="Y231" s="247"/>
      <c r="Z231" s="247"/>
    </row>
    <row r="232">
      <c r="A232" s="247"/>
      <c r="B232" s="373"/>
      <c r="C232" s="373"/>
      <c r="D232" s="247"/>
      <c r="E232" s="247"/>
      <c r="F232" s="247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47"/>
      <c r="V232" s="247"/>
      <c r="W232" s="247"/>
      <c r="X232" s="247"/>
      <c r="Y232" s="247"/>
      <c r="Z232" s="247"/>
    </row>
    <row r="233">
      <c r="A233" s="247"/>
      <c r="B233" s="373"/>
      <c r="C233" s="373"/>
      <c r="D233" s="247"/>
      <c r="E233" s="247"/>
      <c r="F233" s="247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47"/>
      <c r="V233" s="247"/>
      <c r="W233" s="247"/>
      <c r="X233" s="247"/>
      <c r="Y233" s="247"/>
      <c r="Z233" s="247"/>
    </row>
    <row r="234">
      <c r="A234" s="247"/>
      <c r="B234" s="373"/>
      <c r="C234" s="373"/>
      <c r="D234" s="247"/>
      <c r="E234" s="247"/>
      <c r="F234" s="247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47"/>
      <c r="V234" s="247"/>
      <c r="W234" s="247"/>
      <c r="X234" s="247"/>
      <c r="Y234" s="247"/>
      <c r="Z234" s="247"/>
    </row>
    <row r="235">
      <c r="A235" s="247"/>
      <c r="B235" s="373"/>
      <c r="C235" s="373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</row>
    <row r="236">
      <c r="A236" s="247"/>
      <c r="B236" s="373"/>
      <c r="C236" s="373"/>
      <c r="D236" s="247"/>
      <c r="E236" s="247"/>
      <c r="F236" s="247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47"/>
      <c r="V236" s="247"/>
      <c r="W236" s="247"/>
      <c r="X236" s="247"/>
      <c r="Y236" s="247"/>
      <c r="Z236" s="247"/>
    </row>
    <row r="237">
      <c r="A237" s="247"/>
      <c r="B237" s="373"/>
      <c r="C237" s="373"/>
      <c r="D237" s="247"/>
      <c r="E237" s="247"/>
      <c r="F237" s="247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47"/>
      <c r="V237" s="247"/>
      <c r="W237" s="247"/>
      <c r="X237" s="247"/>
      <c r="Y237" s="247"/>
      <c r="Z237" s="247"/>
    </row>
    <row r="238">
      <c r="A238" s="247"/>
      <c r="B238" s="373"/>
      <c r="C238" s="373"/>
      <c r="D238" s="247"/>
      <c r="E238" s="247"/>
      <c r="F238" s="247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47"/>
      <c r="V238" s="247"/>
      <c r="W238" s="247"/>
      <c r="X238" s="247"/>
      <c r="Y238" s="247"/>
      <c r="Z238" s="247"/>
    </row>
    <row r="239">
      <c r="A239" s="247"/>
      <c r="B239" s="373"/>
      <c r="C239" s="373"/>
      <c r="D239" s="247"/>
      <c r="E239" s="247"/>
      <c r="F239" s="247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47"/>
      <c r="V239" s="247"/>
      <c r="W239" s="247"/>
      <c r="X239" s="247"/>
      <c r="Y239" s="247"/>
      <c r="Z239" s="247"/>
    </row>
    <row r="240">
      <c r="A240" s="247"/>
      <c r="B240" s="373"/>
      <c r="C240" s="373"/>
      <c r="D240" s="247"/>
      <c r="E240" s="247"/>
      <c r="F240" s="247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47"/>
      <c r="V240" s="247"/>
      <c r="W240" s="247"/>
      <c r="X240" s="247"/>
      <c r="Y240" s="247"/>
      <c r="Z240" s="247"/>
    </row>
    <row r="241">
      <c r="A241" s="247"/>
      <c r="B241" s="373"/>
      <c r="C241" s="373"/>
      <c r="D241" s="247"/>
      <c r="E241" s="247"/>
      <c r="F241" s="247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47"/>
      <c r="V241" s="247"/>
      <c r="W241" s="247"/>
      <c r="X241" s="247"/>
      <c r="Y241" s="247"/>
      <c r="Z241" s="247"/>
    </row>
    <row r="242">
      <c r="A242" s="247"/>
      <c r="B242" s="373"/>
      <c r="C242" s="373"/>
      <c r="D242" s="247"/>
      <c r="E242" s="247"/>
      <c r="F242" s="247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47"/>
      <c r="V242" s="247"/>
      <c r="W242" s="247"/>
      <c r="X242" s="247"/>
      <c r="Y242" s="247"/>
      <c r="Z242" s="247"/>
    </row>
    <row r="243">
      <c r="A243" s="247"/>
      <c r="B243" s="373"/>
      <c r="C243" s="373"/>
      <c r="D243" s="247"/>
      <c r="E243" s="247"/>
      <c r="F243" s="247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47"/>
      <c r="V243" s="247"/>
      <c r="W243" s="247"/>
      <c r="X243" s="247"/>
      <c r="Y243" s="247"/>
      <c r="Z243" s="247"/>
    </row>
    <row r="244">
      <c r="A244" s="247"/>
      <c r="B244" s="373"/>
      <c r="C244" s="373"/>
      <c r="D244" s="247"/>
      <c r="E244" s="247"/>
      <c r="F244" s="247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47"/>
      <c r="V244" s="247"/>
      <c r="W244" s="247"/>
      <c r="X244" s="247"/>
      <c r="Y244" s="247"/>
      <c r="Z244" s="247"/>
    </row>
    <row r="245">
      <c r="A245" s="247"/>
      <c r="B245" s="373"/>
      <c r="C245" s="373"/>
      <c r="D245" s="247"/>
      <c r="E245" s="247"/>
      <c r="F245" s="247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47"/>
      <c r="V245" s="247"/>
      <c r="W245" s="247"/>
      <c r="X245" s="247"/>
      <c r="Y245" s="247"/>
      <c r="Z245" s="247"/>
    </row>
    <row r="246">
      <c r="A246" s="247"/>
      <c r="B246" s="373"/>
      <c r="C246" s="373"/>
      <c r="D246" s="247"/>
      <c r="E246" s="247"/>
      <c r="F246" s="247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47"/>
      <c r="V246" s="247"/>
      <c r="W246" s="247"/>
      <c r="X246" s="247"/>
      <c r="Y246" s="247"/>
      <c r="Z246" s="247"/>
    </row>
    <row r="247">
      <c r="A247" s="247"/>
      <c r="B247" s="373"/>
      <c r="C247" s="373"/>
      <c r="D247" s="247"/>
      <c r="E247" s="247"/>
      <c r="F247" s="247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47"/>
      <c r="V247" s="247"/>
      <c r="W247" s="247"/>
      <c r="X247" s="247"/>
      <c r="Y247" s="247"/>
      <c r="Z247" s="247"/>
    </row>
    <row r="248">
      <c r="A248" s="247"/>
      <c r="B248" s="373"/>
      <c r="C248" s="373"/>
      <c r="D248" s="247"/>
      <c r="E248" s="247"/>
      <c r="F248" s="247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47"/>
      <c r="V248" s="247"/>
      <c r="W248" s="247"/>
      <c r="X248" s="247"/>
      <c r="Y248" s="247"/>
      <c r="Z248" s="247"/>
    </row>
    <row r="249">
      <c r="A249" s="247"/>
      <c r="B249" s="373"/>
      <c r="C249" s="373"/>
      <c r="D249" s="247"/>
      <c r="E249" s="247"/>
      <c r="F249" s="247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47"/>
      <c r="V249" s="247"/>
      <c r="W249" s="247"/>
      <c r="X249" s="247"/>
      <c r="Y249" s="247"/>
      <c r="Z249" s="247"/>
    </row>
    <row r="250">
      <c r="A250" s="247"/>
      <c r="B250" s="373"/>
      <c r="C250" s="373"/>
      <c r="D250" s="247"/>
      <c r="E250" s="247"/>
      <c r="F250" s="247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47"/>
      <c r="V250" s="247"/>
      <c r="W250" s="247"/>
      <c r="X250" s="247"/>
      <c r="Y250" s="247"/>
      <c r="Z250" s="247"/>
    </row>
    <row r="251">
      <c r="A251" s="247"/>
      <c r="B251" s="373"/>
      <c r="C251" s="373"/>
      <c r="D251" s="247"/>
      <c r="E251" s="247"/>
      <c r="F251" s="247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47"/>
      <c r="V251" s="247"/>
      <c r="W251" s="247"/>
      <c r="X251" s="247"/>
      <c r="Y251" s="247"/>
      <c r="Z251" s="247"/>
    </row>
    <row r="252">
      <c r="A252" s="247"/>
      <c r="B252" s="373"/>
      <c r="C252" s="373"/>
      <c r="D252" s="247"/>
      <c r="E252" s="247"/>
      <c r="F252" s="247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47"/>
      <c r="V252" s="247"/>
      <c r="W252" s="247"/>
      <c r="X252" s="247"/>
      <c r="Y252" s="247"/>
      <c r="Z252" s="247"/>
    </row>
    <row r="253">
      <c r="A253" s="247"/>
      <c r="B253" s="373"/>
      <c r="C253" s="373"/>
      <c r="D253" s="247"/>
      <c r="E253" s="247"/>
      <c r="F253" s="247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47"/>
      <c r="V253" s="247"/>
      <c r="W253" s="247"/>
      <c r="X253" s="247"/>
      <c r="Y253" s="247"/>
      <c r="Z253" s="247"/>
    </row>
    <row r="254">
      <c r="A254" s="247"/>
      <c r="B254" s="373"/>
      <c r="C254" s="373"/>
      <c r="D254" s="247"/>
      <c r="E254" s="247"/>
      <c r="F254" s="247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47"/>
      <c r="V254" s="247"/>
      <c r="W254" s="247"/>
      <c r="X254" s="247"/>
      <c r="Y254" s="247"/>
      <c r="Z254" s="247"/>
    </row>
    <row r="255">
      <c r="A255" s="247"/>
      <c r="B255" s="373"/>
      <c r="C255" s="373"/>
      <c r="D255" s="247"/>
      <c r="E255" s="247"/>
      <c r="F255" s="247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47"/>
      <c r="V255" s="247"/>
      <c r="W255" s="247"/>
      <c r="X255" s="247"/>
      <c r="Y255" s="247"/>
      <c r="Z255" s="247"/>
    </row>
    <row r="256">
      <c r="A256" s="247"/>
      <c r="B256" s="373"/>
      <c r="C256" s="373"/>
      <c r="D256" s="247"/>
      <c r="E256" s="247"/>
      <c r="F256" s="247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47"/>
      <c r="V256" s="247"/>
      <c r="W256" s="247"/>
      <c r="X256" s="247"/>
      <c r="Y256" s="247"/>
      <c r="Z256" s="247"/>
    </row>
    <row r="257">
      <c r="A257" s="247"/>
      <c r="B257" s="373"/>
      <c r="C257" s="373"/>
      <c r="D257" s="247"/>
      <c r="E257" s="247"/>
      <c r="F257" s="247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47"/>
      <c r="V257" s="247"/>
      <c r="W257" s="247"/>
      <c r="X257" s="247"/>
      <c r="Y257" s="247"/>
      <c r="Z257" s="247"/>
    </row>
    <row r="258">
      <c r="A258" s="247"/>
      <c r="B258" s="373"/>
      <c r="C258" s="373"/>
      <c r="D258" s="247"/>
      <c r="E258" s="247"/>
      <c r="F258" s="247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47"/>
      <c r="V258" s="247"/>
      <c r="W258" s="247"/>
      <c r="X258" s="247"/>
      <c r="Y258" s="247"/>
      <c r="Z258" s="247"/>
    </row>
    <row r="259">
      <c r="A259" s="247"/>
      <c r="B259" s="373"/>
      <c r="C259" s="373"/>
      <c r="D259" s="247"/>
      <c r="E259" s="247"/>
      <c r="F259" s="247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47"/>
      <c r="V259" s="247"/>
      <c r="W259" s="247"/>
      <c r="X259" s="247"/>
      <c r="Y259" s="247"/>
      <c r="Z259" s="247"/>
    </row>
    <row r="260">
      <c r="A260" s="247"/>
      <c r="B260" s="373"/>
      <c r="C260" s="373"/>
      <c r="D260" s="247"/>
      <c r="E260" s="247"/>
      <c r="F260" s="247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47"/>
      <c r="V260" s="247"/>
      <c r="W260" s="247"/>
      <c r="X260" s="247"/>
      <c r="Y260" s="247"/>
      <c r="Z260" s="247"/>
    </row>
    <row r="261">
      <c r="A261" s="247"/>
      <c r="B261" s="373"/>
      <c r="C261" s="373"/>
      <c r="D261" s="247"/>
      <c r="E261" s="247"/>
      <c r="F261" s="247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47"/>
      <c r="V261" s="247"/>
      <c r="W261" s="247"/>
      <c r="X261" s="247"/>
      <c r="Y261" s="247"/>
      <c r="Z261" s="247"/>
    </row>
    <row r="262">
      <c r="A262" s="247"/>
      <c r="B262" s="373"/>
      <c r="C262" s="373"/>
      <c r="D262" s="247"/>
      <c r="E262" s="247"/>
      <c r="F262" s="247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47"/>
      <c r="V262" s="247"/>
      <c r="W262" s="247"/>
      <c r="X262" s="247"/>
      <c r="Y262" s="247"/>
      <c r="Z262" s="247"/>
    </row>
    <row r="263">
      <c r="A263" s="247"/>
      <c r="B263" s="373"/>
      <c r="C263" s="373"/>
      <c r="D263" s="247"/>
      <c r="E263" s="247"/>
      <c r="F263" s="247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47"/>
      <c r="V263" s="247"/>
      <c r="W263" s="247"/>
      <c r="X263" s="247"/>
      <c r="Y263" s="247"/>
      <c r="Z263" s="247"/>
    </row>
    <row r="264">
      <c r="A264" s="247"/>
      <c r="B264" s="373"/>
      <c r="C264" s="373"/>
      <c r="D264" s="247"/>
      <c r="E264" s="247"/>
      <c r="F264" s="247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47"/>
      <c r="V264" s="247"/>
      <c r="W264" s="247"/>
      <c r="X264" s="247"/>
      <c r="Y264" s="247"/>
      <c r="Z264" s="247"/>
    </row>
    <row r="265">
      <c r="A265" s="247"/>
      <c r="B265" s="373"/>
      <c r="C265" s="373"/>
      <c r="D265" s="247"/>
      <c r="E265" s="247"/>
      <c r="F265" s="247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47"/>
      <c r="V265" s="247"/>
      <c r="W265" s="247"/>
      <c r="X265" s="247"/>
      <c r="Y265" s="247"/>
      <c r="Z265" s="247"/>
    </row>
    <row r="266">
      <c r="A266" s="247"/>
      <c r="B266" s="373"/>
      <c r="C266" s="373"/>
      <c r="D266" s="247"/>
      <c r="E266" s="247"/>
      <c r="F266" s="247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47"/>
      <c r="V266" s="247"/>
      <c r="W266" s="247"/>
      <c r="X266" s="247"/>
      <c r="Y266" s="247"/>
      <c r="Z266" s="247"/>
    </row>
    <row r="267">
      <c r="A267" s="247"/>
      <c r="B267" s="373"/>
      <c r="C267" s="373"/>
      <c r="D267" s="247"/>
      <c r="E267" s="247"/>
      <c r="F267" s="247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47"/>
      <c r="V267" s="247"/>
      <c r="W267" s="247"/>
      <c r="X267" s="247"/>
      <c r="Y267" s="247"/>
      <c r="Z267" s="247"/>
    </row>
    <row r="268">
      <c r="A268" s="247"/>
      <c r="B268" s="373"/>
      <c r="C268" s="373"/>
      <c r="D268" s="247"/>
      <c r="E268" s="247"/>
      <c r="F268" s="247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47"/>
      <c r="V268" s="247"/>
      <c r="W268" s="247"/>
      <c r="X268" s="247"/>
      <c r="Y268" s="247"/>
      <c r="Z268" s="247"/>
    </row>
    <row r="269">
      <c r="A269" s="247"/>
      <c r="B269" s="373"/>
      <c r="C269" s="373"/>
      <c r="D269" s="247"/>
      <c r="E269" s="247"/>
      <c r="F269" s="247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47"/>
      <c r="V269" s="247"/>
      <c r="W269" s="247"/>
      <c r="X269" s="247"/>
      <c r="Y269" s="247"/>
      <c r="Z269" s="247"/>
    </row>
    <row r="270">
      <c r="A270" s="247"/>
      <c r="B270" s="373"/>
      <c r="C270" s="373"/>
      <c r="D270" s="247"/>
      <c r="E270" s="247"/>
      <c r="F270" s="247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47"/>
      <c r="V270" s="247"/>
      <c r="W270" s="247"/>
      <c r="X270" s="247"/>
      <c r="Y270" s="247"/>
      <c r="Z270" s="247"/>
    </row>
    <row r="271">
      <c r="A271" s="247"/>
      <c r="B271" s="373"/>
      <c r="C271" s="373"/>
      <c r="D271" s="247"/>
      <c r="E271" s="247"/>
      <c r="F271" s="247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47"/>
      <c r="V271" s="247"/>
      <c r="W271" s="247"/>
      <c r="X271" s="247"/>
      <c r="Y271" s="247"/>
      <c r="Z271" s="247"/>
    </row>
    <row r="272">
      <c r="A272" s="247"/>
      <c r="B272" s="373"/>
      <c r="C272" s="373"/>
      <c r="D272" s="247"/>
      <c r="E272" s="247"/>
      <c r="F272" s="247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47"/>
      <c r="V272" s="247"/>
      <c r="W272" s="247"/>
      <c r="X272" s="247"/>
      <c r="Y272" s="247"/>
      <c r="Z272" s="247"/>
    </row>
    <row r="273">
      <c r="A273" s="247"/>
      <c r="B273" s="373"/>
      <c r="C273" s="373"/>
      <c r="D273" s="247"/>
      <c r="E273" s="247"/>
      <c r="F273" s="247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47"/>
      <c r="V273" s="247"/>
      <c r="W273" s="247"/>
      <c r="X273" s="247"/>
      <c r="Y273" s="247"/>
      <c r="Z273" s="247"/>
    </row>
    <row r="274">
      <c r="A274" s="247"/>
      <c r="B274" s="373"/>
      <c r="C274" s="373"/>
      <c r="D274" s="247"/>
      <c r="E274" s="247"/>
      <c r="F274" s="247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47"/>
      <c r="V274" s="247"/>
      <c r="W274" s="247"/>
      <c r="X274" s="247"/>
      <c r="Y274" s="247"/>
      <c r="Z274" s="247"/>
    </row>
    <row r="275">
      <c r="A275" s="247"/>
      <c r="B275" s="373"/>
      <c r="C275" s="373"/>
      <c r="D275" s="247"/>
      <c r="E275" s="247"/>
      <c r="F275" s="247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47"/>
      <c r="V275" s="247"/>
      <c r="W275" s="247"/>
      <c r="X275" s="247"/>
      <c r="Y275" s="247"/>
      <c r="Z275" s="247"/>
    </row>
    <row r="276">
      <c r="A276" s="247"/>
      <c r="B276" s="373"/>
      <c r="C276" s="373"/>
      <c r="D276" s="247"/>
      <c r="E276" s="247"/>
      <c r="F276" s="247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47"/>
      <c r="V276" s="247"/>
      <c r="W276" s="247"/>
      <c r="X276" s="247"/>
      <c r="Y276" s="247"/>
      <c r="Z276" s="247"/>
    </row>
    <row r="277">
      <c r="A277" s="247"/>
      <c r="B277" s="373"/>
      <c r="C277" s="373"/>
      <c r="D277" s="247"/>
      <c r="E277" s="247"/>
      <c r="F277" s="247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47"/>
      <c r="V277" s="247"/>
      <c r="W277" s="247"/>
      <c r="X277" s="247"/>
      <c r="Y277" s="247"/>
      <c r="Z277" s="247"/>
    </row>
    <row r="278">
      <c r="A278" s="247"/>
      <c r="B278" s="373"/>
      <c r="C278" s="373"/>
      <c r="D278" s="247"/>
      <c r="E278" s="247"/>
      <c r="F278" s="247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47"/>
      <c r="V278" s="247"/>
      <c r="W278" s="247"/>
      <c r="X278" s="247"/>
      <c r="Y278" s="247"/>
      <c r="Z278" s="247"/>
    </row>
    <row r="279">
      <c r="A279" s="247"/>
      <c r="B279" s="373"/>
      <c r="C279" s="373"/>
      <c r="D279" s="247"/>
      <c r="E279" s="247"/>
      <c r="F279" s="247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</row>
    <row r="280">
      <c r="A280" s="247"/>
      <c r="B280" s="373"/>
      <c r="C280" s="373"/>
      <c r="D280" s="247"/>
      <c r="E280" s="247"/>
      <c r="F280" s="247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</row>
    <row r="281">
      <c r="A281" s="247"/>
      <c r="B281" s="373"/>
      <c r="C281" s="373"/>
      <c r="D281" s="247"/>
      <c r="E281" s="247"/>
      <c r="F281" s="247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</row>
    <row r="282">
      <c r="A282" s="247"/>
      <c r="B282" s="373"/>
      <c r="C282" s="373"/>
      <c r="D282" s="247"/>
      <c r="E282" s="247"/>
      <c r="F282" s="247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47"/>
      <c r="V282" s="247"/>
      <c r="W282" s="247"/>
      <c r="X282" s="247"/>
      <c r="Y282" s="247"/>
      <c r="Z282" s="247"/>
    </row>
    <row r="283">
      <c r="A283" s="247"/>
      <c r="B283" s="373"/>
      <c r="C283" s="373"/>
      <c r="D283" s="247"/>
      <c r="E283" s="247"/>
      <c r="F283" s="247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47"/>
      <c r="V283" s="247"/>
      <c r="W283" s="247"/>
      <c r="X283" s="247"/>
      <c r="Y283" s="247"/>
      <c r="Z283" s="247"/>
    </row>
    <row r="284">
      <c r="A284" s="247"/>
      <c r="B284" s="373"/>
      <c r="C284" s="373"/>
      <c r="D284" s="247"/>
      <c r="E284" s="247"/>
      <c r="F284" s="247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47"/>
      <c r="V284" s="247"/>
      <c r="W284" s="247"/>
      <c r="X284" s="247"/>
      <c r="Y284" s="247"/>
      <c r="Z284" s="247"/>
    </row>
    <row r="285">
      <c r="A285" s="247"/>
      <c r="B285" s="373"/>
      <c r="C285" s="373"/>
      <c r="D285" s="247"/>
      <c r="E285" s="247"/>
      <c r="F285" s="247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47"/>
      <c r="V285" s="247"/>
      <c r="W285" s="247"/>
      <c r="X285" s="247"/>
      <c r="Y285" s="247"/>
      <c r="Z285" s="247"/>
    </row>
    <row r="286">
      <c r="A286" s="247"/>
      <c r="B286" s="373"/>
      <c r="C286" s="373"/>
      <c r="D286" s="247"/>
      <c r="E286" s="247"/>
      <c r="F286" s="247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47"/>
      <c r="V286" s="247"/>
      <c r="W286" s="247"/>
      <c r="X286" s="247"/>
      <c r="Y286" s="247"/>
      <c r="Z286" s="247"/>
    </row>
    <row r="287">
      <c r="A287" s="247"/>
      <c r="B287" s="373"/>
      <c r="C287" s="373"/>
      <c r="D287" s="247"/>
      <c r="E287" s="247"/>
      <c r="F287" s="247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47"/>
      <c r="V287" s="247"/>
      <c r="W287" s="247"/>
      <c r="X287" s="247"/>
      <c r="Y287" s="247"/>
      <c r="Z287" s="247"/>
    </row>
    <row r="288">
      <c r="A288" s="247"/>
      <c r="B288" s="373"/>
      <c r="C288" s="373"/>
      <c r="D288" s="247"/>
      <c r="E288" s="247"/>
      <c r="F288" s="247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47"/>
      <c r="V288" s="247"/>
      <c r="W288" s="247"/>
      <c r="X288" s="247"/>
      <c r="Y288" s="247"/>
      <c r="Z288" s="247"/>
    </row>
    <row r="289">
      <c r="A289" s="247"/>
      <c r="B289" s="373"/>
      <c r="C289" s="373"/>
      <c r="D289" s="247"/>
      <c r="E289" s="247"/>
      <c r="F289" s="247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47"/>
      <c r="V289" s="247"/>
      <c r="W289" s="247"/>
      <c r="X289" s="247"/>
      <c r="Y289" s="247"/>
      <c r="Z289" s="247"/>
    </row>
    <row r="290">
      <c r="A290" s="247"/>
      <c r="B290" s="373"/>
      <c r="C290" s="373"/>
      <c r="D290" s="247"/>
      <c r="E290" s="247"/>
      <c r="F290" s="247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47"/>
      <c r="V290" s="247"/>
      <c r="W290" s="247"/>
      <c r="X290" s="247"/>
      <c r="Y290" s="247"/>
      <c r="Z290" s="247"/>
    </row>
    <row r="291">
      <c r="A291" s="247"/>
      <c r="B291" s="373"/>
      <c r="C291" s="373"/>
      <c r="D291" s="247"/>
      <c r="E291" s="247"/>
      <c r="F291" s="247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47"/>
      <c r="V291" s="247"/>
      <c r="W291" s="247"/>
      <c r="X291" s="247"/>
      <c r="Y291" s="247"/>
      <c r="Z291" s="247"/>
    </row>
    <row r="292">
      <c r="A292" s="247"/>
      <c r="B292" s="373"/>
      <c r="C292" s="373"/>
      <c r="D292" s="247"/>
      <c r="E292" s="247"/>
      <c r="F292" s="247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47"/>
      <c r="V292" s="247"/>
      <c r="W292" s="247"/>
      <c r="X292" s="247"/>
      <c r="Y292" s="247"/>
      <c r="Z292" s="247"/>
    </row>
    <row r="293">
      <c r="A293" s="247"/>
      <c r="B293" s="373"/>
      <c r="C293" s="373"/>
      <c r="D293" s="247"/>
      <c r="E293" s="247"/>
      <c r="F293" s="247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47"/>
      <c r="V293" s="247"/>
      <c r="W293" s="247"/>
      <c r="X293" s="247"/>
      <c r="Y293" s="247"/>
      <c r="Z293" s="247"/>
    </row>
    <row r="294">
      <c r="A294" s="247"/>
      <c r="B294" s="373"/>
      <c r="C294" s="373"/>
      <c r="D294" s="247"/>
      <c r="E294" s="247"/>
      <c r="F294" s="247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47"/>
      <c r="V294" s="247"/>
      <c r="W294" s="247"/>
      <c r="X294" s="247"/>
      <c r="Y294" s="247"/>
      <c r="Z294" s="247"/>
    </row>
    <row r="295">
      <c r="A295" s="247"/>
      <c r="B295" s="373"/>
      <c r="C295" s="373"/>
      <c r="D295" s="247"/>
      <c r="E295" s="247"/>
      <c r="F295" s="247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47"/>
      <c r="V295" s="247"/>
      <c r="W295" s="247"/>
      <c r="X295" s="247"/>
      <c r="Y295" s="247"/>
      <c r="Z295" s="247"/>
    </row>
    <row r="296">
      <c r="A296" s="247"/>
      <c r="B296" s="373"/>
      <c r="C296" s="373"/>
      <c r="D296" s="247"/>
      <c r="E296" s="247"/>
      <c r="F296" s="247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47"/>
      <c r="V296" s="247"/>
      <c r="W296" s="247"/>
      <c r="X296" s="247"/>
      <c r="Y296" s="247"/>
      <c r="Z296" s="247"/>
    </row>
    <row r="297">
      <c r="A297" s="247"/>
      <c r="B297" s="373"/>
      <c r="C297" s="373"/>
      <c r="D297" s="247"/>
      <c r="E297" s="247"/>
      <c r="F297" s="247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47"/>
      <c r="V297" s="247"/>
      <c r="W297" s="247"/>
      <c r="X297" s="247"/>
      <c r="Y297" s="247"/>
      <c r="Z297" s="247"/>
    </row>
    <row r="298">
      <c r="A298" s="247"/>
      <c r="B298" s="373"/>
      <c r="C298" s="373"/>
      <c r="D298" s="247"/>
      <c r="E298" s="247"/>
      <c r="F298" s="247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47"/>
      <c r="V298" s="247"/>
      <c r="W298" s="247"/>
      <c r="X298" s="247"/>
      <c r="Y298" s="247"/>
      <c r="Z298" s="247"/>
    </row>
    <row r="299">
      <c r="A299" s="247"/>
      <c r="B299" s="373"/>
      <c r="C299" s="373"/>
      <c r="D299" s="247"/>
      <c r="E299" s="247"/>
      <c r="F299" s="247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47"/>
      <c r="V299" s="247"/>
      <c r="W299" s="247"/>
      <c r="X299" s="247"/>
      <c r="Y299" s="247"/>
      <c r="Z299" s="247"/>
    </row>
    <row r="300">
      <c r="A300" s="247"/>
      <c r="B300" s="373"/>
      <c r="C300" s="373"/>
      <c r="D300" s="247"/>
      <c r="E300" s="247"/>
      <c r="F300" s="247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47"/>
      <c r="V300" s="247"/>
      <c r="W300" s="247"/>
      <c r="X300" s="247"/>
      <c r="Y300" s="247"/>
      <c r="Z300" s="247"/>
    </row>
    <row r="301">
      <c r="A301" s="247"/>
      <c r="B301" s="373"/>
      <c r="C301" s="373"/>
      <c r="D301" s="247"/>
      <c r="E301" s="247"/>
      <c r="F301" s="247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47"/>
      <c r="V301" s="247"/>
      <c r="W301" s="247"/>
      <c r="X301" s="247"/>
      <c r="Y301" s="247"/>
      <c r="Z301" s="247"/>
    </row>
    <row r="302">
      <c r="A302" s="247"/>
      <c r="B302" s="373"/>
      <c r="C302" s="373"/>
      <c r="D302" s="247"/>
      <c r="E302" s="247"/>
      <c r="F302" s="247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47"/>
      <c r="V302" s="247"/>
      <c r="W302" s="247"/>
      <c r="X302" s="247"/>
      <c r="Y302" s="247"/>
      <c r="Z302" s="247"/>
    </row>
    <row r="303">
      <c r="A303" s="247"/>
      <c r="B303" s="373"/>
      <c r="C303" s="373"/>
      <c r="D303" s="247"/>
      <c r="E303" s="247"/>
      <c r="F303" s="247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47"/>
      <c r="V303" s="247"/>
      <c r="W303" s="247"/>
      <c r="X303" s="247"/>
      <c r="Y303" s="247"/>
      <c r="Z303" s="247"/>
    </row>
    <row r="304">
      <c r="A304" s="247"/>
      <c r="B304" s="373"/>
      <c r="C304" s="373"/>
      <c r="D304" s="247"/>
      <c r="E304" s="247"/>
      <c r="F304" s="247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47"/>
      <c r="V304" s="247"/>
      <c r="W304" s="247"/>
      <c r="X304" s="247"/>
      <c r="Y304" s="247"/>
      <c r="Z304" s="247"/>
    </row>
    <row r="305">
      <c r="A305" s="247"/>
      <c r="B305" s="373"/>
      <c r="C305" s="373"/>
      <c r="D305" s="247"/>
      <c r="E305" s="247"/>
      <c r="F305" s="247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47"/>
      <c r="V305" s="247"/>
      <c r="W305" s="247"/>
      <c r="X305" s="247"/>
      <c r="Y305" s="247"/>
      <c r="Z305" s="247"/>
    </row>
    <row r="306">
      <c r="A306" s="247"/>
      <c r="B306" s="373"/>
      <c r="C306" s="373"/>
      <c r="D306" s="247"/>
      <c r="E306" s="247"/>
      <c r="F306" s="247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47"/>
      <c r="V306" s="247"/>
      <c r="W306" s="247"/>
      <c r="X306" s="247"/>
      <c r="Y306" s="247"/>
      <c r="Z306" s="247"/>
    </row>
    <row r="307">
      <c r="A307" s="247"/>
      <c r="B307" s="373"/>
      <c r="C307" s="373"/>
      <c r="D307" s="247"/>
      <c r="E307" s="247"/>
      <c r="F307" s="247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47"/>
      <c r="V307" s="247"/>
      <c r="W307" s="247"/>
      <c r="X307" s="247"/>
      <c r="Y307" s="247"/>
      <c r="Z307" s="247"/>
    </row>
    <row r="308">
      <c r="A308" s="247"/>
      <c r="B308" s="373"/>
      <c r="C308" s="373"/>
      <c r="D308" s="247"/>
      <c r="E308" s="247"/>
      <c r="F308" s="247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47"/>
      <c r="V308" s="247"/>
      <c r="W308" s="247"/>
      <c r="X308" s="247"/>
      <c r="Y308" s="247"/>
      <c r="Z308" s="247"/>
    </row>
    <row r="309">
      <c r="A309" s="247"/>
      <c r="B309" s="373"/>
      <c r="C309" s="373"/>
      <c r="D309" s="247"/>
      <c r="E309" s="247"/>
      <c r="F309" s="247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47"/>
      <c r="V309" s="247"/>
      <c r="W309" s="247"/>
      <c r="X309" s="247"/>
      <c r="Y309" s="247"/>
      <c r="Z309" s="247"/>
    </row>
    <row r="310">
      <c r="A310" s="247"/>
      <c r="B310" s="373"/>
      <c r="C310" s="373"/>
      <c r="D310" s="247"/>
      <c r="E310" s="247"/>
      <c r="F310" s="247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47"/>
      <c r="V310" s="247"/>
      <c r="W310" s="247"/>
      <c r="X310" s="247"/>
      <c r="Y310" s="247"/>
      <c r="Z310" s="247"/>
    </row>
    <row r="311">
      <c r="A311" s="247"/>
      <c r="B311" s="373"/>
      <c r="C311" s="373"/>
      <c r="D311" s="247"/>
      <c r="E311" s="247"/>
      <c r="F311" s="247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47"/>
      <c r="V311" s="247"/>
      <c r="W311" s="247"/>
      <c r="X311" s="247"/>
      <c r="Y311" s="247"/>
      <c r="Z311" s="247"/>
    </row>
    <row r="312">
      <c r="A312" s="247"/>
      <c r="B312" s="373"/>
      <c r="C312" s="373"/>
      <c r="D312" s="247"/>
      <c r="E312" s="247"/>
      <c r="F312" s="247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47"/>
      <c r="V312" s="247"/>
      <c r="W312" s="247"/>
      <c r="X312" s="247"/>
      <c r="Y312" s="247"/>
      <c r="Z312" s="247"/>
    </row>
    <row r="313">
      <c r="A313" s="247"/>
      <c r="B313" s="373"/>
      <c r="C313" s="373"/>
      <c r="D313" s="247"/>
      <c r="E313" s="247"/>
      <c r="F313" s="247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47"/>
      <c r="V313" s="247"/>
      <c r="W313" s="247"/>
      <c r="X313" s="247"/>
      <c r="Y313" s="247"/>
      <c r="Z313" s="247"/>
    </row>
    <row r="314">
      <c r="A314" s="247"/>
      <c r="B314" s="373"/>
      <c r="C314" s="373"/>
      <c r="D314" s="247"/>
      <c r="E314" s="247"/>
      <c r="F314" s="247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47"/>
      <c r="V314" s="247"/>
      <c r="W314" s="247"/>
      <c r="X314" s="247"/>
      <c r="Y314" s="247"/>
      <c r="Z314" s="247"/>
    </row>
    <row r="315">
      <c r="A315" s="247"/>
      <c r="B315" s="373"/>
      <c r="C315" s="373"/>
      <c r="D315" s="247"/>
      <c r="E315" s="247"/>
      <c r="F315" s="247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47"/>
      <c r="V315" s="247"/>
      <c r="W315" s="247"/>
      <c r="X315" s="247"/>
      <c r="Y315" s="247"/>
      <c r="Z315" s="247"/>
    </row>
    <row r="316">
      <c r="A316" s="247"/>
      <c r="B316" s="373"/>
      <c r="C316" s="373"/>
      <c r="D316" s="247"/>
      <c r="E316" s="247"/>
      <c r="F316" s="247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47"/>
      <c r="V316" s="247"/>
      <c r="W316" s="247"/>
      <c r="X316" s="247"/>
      <c r="Y316" s="247"/>
      <c r="Z316" s="247"/>
    </row>
    <row r="317">
      <c r="A317" s="247"/>
      <c r="B317" s="373"/>
      <c r="C317" s="373"/>
      <c r="D317" s="247"/>
      <c r="E317" s="247"/>
      <c r="F317" s="247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47"/>
      <c r="V317" s="247"/>
      <c r="W317" s="247"/>
      <c r="X317" s="247"/>
      <c r="Y317" s="247"/>
      <c r="Z317" s="247"/>
    </row>
    <row r="318">
      <c r="A318" s="247"/>
      <c r="B318" s="373"/>
      <c r="C318" s="373"/>
      <c r="D318" s="247"/>
      <c r="E318" s="247"/>
      <c r="F318" s="247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47"/>
      <c r="V318" s="247"/>
      <c r="W318" s="247"/>
      <c r="X318" s="247"/>
      <c r="Y318" s="247"/>
      <c r="Z318" s="247"/>
    </row>
    <row r="319">
      <c r="A319" s="247"/>
      <c r="B319" s="373"/>
      <c r="C319" s="373"/>
      <c r="D319" s="247"/>
      <c r="E319" s="247"/>
      <c r="F319" s="247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47"/>
      <c r="V319" s="247"/>
      <c r="W319" s="247"/>
      <c r="X319" s="247"/>
      <c r="Y319" s="247"/>
      <c r="Z319" s="247"/>
    </row>
    <row r="320">
      <c r="A320" s="247"/>
      <c r="B320" s="373"/>
      <c r="C320" s="373"/>
      <c r="D320" s="247"/>
      <c r="E320" s="247"/>
      <c r="F320" s="247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47"/>
      <c r="V320" s="247"/>
      <c r="W320" s="247"/>
      <c r="X320" s="247"/>
      <c r="Y320" s="247"/>
      <c r="Z320" s="247"/>
    </row>
    <row r="321">
      <c r="A321" s="247"/>
      <c r="B321" s="373"/>
      <c r="C321" s="373"/>
      <c r="D321" s="247"/>
      <c r="E321" s="247"/>
      <c r="F321" s="247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47"/>
      <c r="V321" s="247"/>
      <c r="W321" s="247"/>
      <c r="X321" s="247"/>
      <c r="Y321" s="247"/>
      <c r="Z321" s="247"/>
    </row>
    <row r="322">
      <c r="A322" s="247"/>
      <c r="B322" s="373"/>
      <c r="C322" s="373"/>
      <c r="D322" s="247"/>
      <c r="E322" s="247"/>
      <c r="F322" s="247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47"/>
      <c r="V322" s="247"/>
      <c r="W322" s="247"/>
      <c r="X322" s="247"/>
      <c r="Y322" s="247"/>
      <c r="Z322" s="247"/>
    </row>
    <row r="323">
      <c r="A323" s="247"/>
      <c r="B323" s="373"/>
      <c r="C323" s="373"/>
      <c r="D323" s="247"/>
      <c r="E323" s="247"/>
      <c r="F323" s="247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47"/>
      <c r="V323" s="247"/>
      <c r="W323" s="247"/>
      <c r="X323" s="247"/>
      <c r="Y323" s="247"/>
      <c r="Z323" s="247"/>
    </row>
    <row r="324">
      <c r="A324" s="247"/>
      <c r="B324" s="373"/>
      <c r="C324" s="373"/>
      <c r="D324" s="247"/>
      <c r="E324" s="247"/>
      <c r="F324" s="247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47"/>
      <c r="V324" s="247"/>
      <c r="W324" s="247"/>
      <c r="X324" s="247"/>
      <c r="Y324" s="247"/>
      <c r="Z324" s="247"/>
    </row>
    <row r="325">
      <c r="A325" s="247"/>
      <c r="B325" s="373"/>
      <c r="C325" s="373"/>
      <c r="D325" s="247"/>
      <c r="E325" s="247"/>
      <c r="F325" s="247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47"/>
      <c r="V325" s="247"/>
      <c r="W325" s="247"/>
      <c r="X325" s="247"/>
      <c r="Y325" s="247"/>
      <c r="Z325" s="247"/>
    </row>
    <row r="326">
      <c r="A326" s="247"/>
      <c r="B326" s="373"/>
      <c r="C326" s="373"/>
      <c r="D326" s="247"/>
      <c r="E326" s="247"/>
      <c r="F326" s="247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47"/>
      <c r="V326" s="247"/>
      <c r="W326" s="247"/>
      <c r="X326" s="247"/>
      <c r="Y326" s="247"/>
      <c r="Z326" s="247"/>
    </row>
    <row r="327">
      <c r="A327" s="247"/>
      <c r="B327" s="373"/>
      <c r="C327" s="373"/>
      <c r="D327" s="247"/>
      <c r="E327" s="247"/>
      <c r="F327" s="247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47"/>
      <c r="V327" s="247"/>
      <c r="W327" s="247"/>
      <c r="X327" s="247"/>
      <c r="Y327" s="247"/>
      <c r="Z327" s="247"/>
    </row>
    <row r="328">
      <c r="A328" s="247"/>
      <c r="B328" s="373"/>
      <c r="C328" s="373"/>
      <c r="D328" s="247"/>
      <c r="E328" s="247"/>
      <c r="F328" s="247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47"/>
      <c r="V328" s="247"/>
      <c r="W328" s="247"/>
      <c r="X328" s="247"/>
      <c r="Y328" s="247"/>
      <c r="Z328" s="247"/>
    </row>
    <row r="329">
      <c r="A329" s="247"/>
      <c r="B329" s="373"/>
      <c r="C329" s="373"/>
      <c r="D329" s="247"/>
      <c r="E329" s="247"/>
      <c r="F329" s="247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47"/>
      <c r="V329" s="247"/>
      <c r="W329" s="247"/>
      <c r="X329" s="247"/>
      <c r="Y329" s="247"/>
      <c r="Z329" s="247"/>
    </row>
    <row r="330">
      <c r="A330" s="247"/>
      <c r="B330" s="373"/>
      <c r="C330" s="373"/>
      <c r="D330" s="247"/>
      <c r="E330" s="247"/>
      <c r="F330" s="247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47"/>
      <c r="V330" s="247"/>
      <c r="W330" s="247"/>
      <c r="X330" s="247"/>
      <c r="Y330" s="247"/>
      <c r="Z330" s="247"/>
    </row>
    <row r="331">
      <c r="A331" s="247"/>
      <c r="B331" s="373"/>
      <c r="C331" s="373"/>
      <c r="D331" s="247"/>
      <c r="E331" s="247"/>
      <c r="F331" s="247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47"/>
      <c r="V331" s="247"/>
      <c r="W331" s="247"/>
      <c r="X331" s="247"/>
      <c r="Y331" s="247"/>
      <c r="Z331" s="247"/>
    </row>
    <row r="332">
      <c r="A332" s="247"/>
      <c r="B332" s="373"/>
      <c r="C332" s="373"/>
      <c r="D332" s="247"/>
      <c r="E332" s="247"/>
      <c r="F332" s="247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47"/>
      <c r="V332" s="247"/>
      <c r="W332" s="247"/>
      <c r="X332" s="247"/>
      <c r="Y332" s="247"/>
      <c r="Z332" s="247"/>
    </row>
    <row r="333">
      <c r="A333" s="247"/>
      <c r="B333" s="373"/>
      <c r="C333" s="373"/>
      <c r="D333" s="247"/>
      <c r="E333" s="247"/>
      <c r="F333" s="247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47"/>
      <c r="V333" s="247"/>
      <c r="W333" s="247"/>
      <c r="X333" s="247"/>
      <c r="Y333" s="247"/>
      <c r="Z333" s="247"/>
    </row>
    <row r="334">
      <c r="A334" s="247"/>
      <c r="B334" s="373"/>
      <c r="C334" s="373"/>
      <c r="D334" s="247"/>
      <c r="E334" s="247"/>
      <c r="F334" s="247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47"/>
      <c r="V334" s="247"/>
      <c r="W334" s="247"/>
      <c r="X334" s="247"/>
      <c r="Y334" s="247"/>
      <c r="Z334" s="247"/>
    </row>
    <row r="335">
      <c r="A335" s="247"/>
      <c r="B335" s="373"/>
      <c r="C335" s="373"/>
      <c r="D335" s="247"/>
      <c r="E335" s="247"/>
      <c r="F335" s="247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47"/>
      <c r="V335" s="247"/>
      <c r="W335" s="247"/>
      <c r="X335" s="247"/>
      <c r="Y335" s="247"/>
      <c r="Z335" s="247"/>
    </row>
    <row r="336">
      <c r="A336" s="247"/>
      <c r="B336" s="373"/>
      <c r="C336" s="373"/>
      <c r="D336" s="247"/>
      <c r="E336" s="247"/>
      <c r="F336" s="247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47"/>
      <c r="V336" s="247"/>
      <c r="W336" s="247"/>
      <c r="X336" s="247"/>
      <c r="Y336" s="247"/>
      <c r="Z336" s="247"/>
    </row>
    <row r="337">
      <c r="A337" s="247"/>
      <c r="B337" s="373"/>
      <c r="C337" s="373"/>
      <c r="D337" s="247"/>
      <c r="E337" s="247"/>
      <c r="F337" s="247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47"/>
      <c r="V337" s="247"/>
      <c r="W337" s="247"/>
      <c r="X337" s="247"/>
      <c r="Y337" s="247"/>
      <c r="Z337" s="247"/>
    </row>
    <row r="338">
      <c r="A338" s="247"/>
      <c r="B338" s="373"/>
      <c r="C338" s="373"/>
      <c r="D338" s="247"/>
      <c r="E338" s="247"/>
      <c r="F338" s="247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47"/>
      <c r="V338" s="247"/>
      <c r="W338" s="247"/>
      <c r="X338" s="247"/>
      <c r="Y338" s="247"/>
      <c r="Z338" s="247"/>
    </row>
    <row r="339">
      <c r="A339" s="247"/>
      <c r="B339" s="373"/>
      <c r="C339" s="373"/>
      <c r="D339" s="247"/>
      <c r="E339" s="247"/>
      <c r="F339" s="247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47"/>
      <c r="V339" s="247"/>
      <c r="W339" s="247"/>
      <c r="X339" s="247"/>
      <c r="Y339" s="247"/>
      <c r="Z339" s="247"/>
    </row>
    <row r="340">
      <c r="A340" s="247"/>
      <c r="B340" s="373"/>
      <c r="C340" s="373"/>
      <c r="D340" s="247"/>
      <c r="E340" s="247"/>
      <c r="F340" s="247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47"/>
      <c r="V340" s="247"/>
      <c r="W340" s="247"/>
      <c r="X340" s="247"/>
      <c r="Y340" s="247"/>
      <c r="Z340" s="247"/>
    </row>
    <row r="341">
      <c r="A341" s="247"/>
      <c r="B341" s="373"/>
      <c r="C341" s="373"/>
      <c r="D341" s="247"/>
      <c r="E341" s="247"/>
      <c r="F341" s="247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47"/>
      <c r="V341" s="247"/>
      <c r="W341" s="247"/>
      <c r="X341" s="247"/>
      <c r="Y341" s="247"/>
      <c r="Z341" s="247"/>
    </row>
    <row r="342">
      <c r="A342" s="247"/>
      <c r="B342" s="373"/>
      <c r="C342" s="373"/>
      <c r="D342" s="247"/>
      <c r="E342" s="247"/>
      <c r="F342" s="247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47"/>
      <c r="V342" s="247"/>
      <c r="W342" s="247"/>
      <c r="X342" s="247"/>
      <c r="Y342" s="247"/>
      <c r="Z342" s="247"/>
    </row>
    <row r="343">
      <c r="A343" s="247"/>
      <c r="B343" s="373"/>
      <c r="C343" s="373"/>
      <c r="D343" s="247"/>
      <c r="E343" s="247"/>
      <c r="F343" s="247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47"/>
      <c r="V343" s="247"/>
      <c r="W343" s="247"/>
      <c r="X343" s="247"/>
      <c r="Y343" s="247"/>
      <c r="Z343" s="247"/>
    </row>
    <row r="344">
      <c r="A344" s="247"/>
      <c r="B344" s="373"/>
      <c r="C344" s="373"/>
      <c r="D344" s="247"/>
      <c r="E344" s="247"/>
      <c r="F344" s="247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47"/>
      <c r="V344" s="247"/>
      <c r="W344" s="247"/>
      <c r="X344" s="247"/>
      <c r="Y344" s="247"/>
      <c r="Z344" s="247"/>
    </row>
    <row r="345">
      <c r="A345" s="247"/>
      <c r="B345" s="373"/>
      <c r="C345" s="373"/>
      <c r="D345" s="247"/>
      <c r="E345" s="247"/>
      <c r="F345" s="247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47"/>
      <c r="V345" s="247"/>
      <c r="W345" s="247"/>
      <c r="X345" s="247"/>
      <c r="Y345" s="247"/>
      <c r="Z345" s="247"/>
    </row>
    <row r="346">
      <c r="A346" s="247"/>
      <c r="B346" s="373"/>
      <c r="C346" s="373"/>
      <c r="D346" s="247"/>
      <c r="E346" s="247"/>
      <c r="F346" s="247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47"/>
      <c r="V346" s="247"/>
      <c r="W346" s="247"/>
      <c r="X346" s="247"/>
      <c r="Y346" s="247"/>
      <c r="Z346" s="247"/>
    </row>
    <row r="347">
      <c r="A347" s="247"/>
      <c r="B347" s="373"/>
      <c r="C347" s="373"/>
      <c r="D347" s="247"/>
      <c r="E347" s="247"/>
      <c r="F347" s="247"/>
      <c r="G347" s="247"/>
      <c r="H347" s="247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47"/>
      <c r="V347" s="247"/>
      <c r="W347" s="247"/>
      <c r="X347" s="247"/>
      <c r="Y347" s="247"/>
      <c r="Z347" s="247"/>
    </row>
    <row r="348">
      <c r="A348" s="247"/>
      <c r="B348" s="373"/>
      <c r="C348" s="373"/>
      <c r="D348" s="247"/>
      <c r="E348" s="247"/>
      <c r="F348" s="247"/>
      <c r="G348" s="247"/>
      <c r="H348" s="247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47"/>
      <c r="V348" s="247"/>
      <c r="W348" s="247"/>
      <c r="X348" s="247"/>
      <c r="Y348" s="247"/>
      <c r="Z348" s="247"/>
    </row>
    <row r="349">
      <c r="A349" s="247"/>
      <c r="B349" s="373"/>
      <c r="C349" s="373"/>
      <c r="D349" s="247"/>
      <c r="E349" s="247"/>
      <c r="F349" s="247"/>
      <c r="G349" s="247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</row>
    <row r="350">
      <c r="A350" s="247"/>
      <c r="B350" s="373"/>
      <c r="C350" s="373"/>
      <c r="D350" s="247"/>
      <c r="E350" s="247"/>
      <c r="F350" s="247"/>
      <c r="G350" s="247"/>
      <c r="H350" s="247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47"/>
      <c r="V350" s="247"/>
      <c r="W350" s="247"/>
      <c r="X350" s="247"/>
      <c r="Y350" s="247"/>
      <c r="Z350" s="247"/>
    </row>
    <row r="351">
      <c r="A351" s="247"/>
      <c r="B351" s="373"/>
      <c r="C351" s="373"/>
      <c r="D351" s="247"/>
      <c r="E351" s="247"/>
      <c r="F351" s="247"/>
      <c r="G351" s="247"/>
      <c r="H351" s="247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47"/>
      <c r="V351" s="247"/>
      <c r="W351" s="247"/>
      <c r="X351" s="247"/>
      <c r="Y351" s="247"/>
      <c r="Z351" s="247"/>
    </row>
    <row r="352">
      <c r="A352" s="247"/>
      <c r="B352" s="373"/>
      <c r="C352" s="373"/>
      <c r="D352" s="247"/>
      <c r="E352" s="247"/>
      <c r="F352" s="247"/>
      <c r="G352" s="247"/>
      <c r="H352" s="247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47"/>
      <c r="V352" s="247"/>
      <c r="W352" s="247"/>
      <c r="X352" s="247"/>
      <c r="Y352" s="247"/>
      <c r="Z352" s="247"/>
    </row>
    <row r="353">
      <c r="A353" s="247"/>
      <c r="B353" s="373"/>
      <c r="C353" s="373"/>
      <c r="D353" s="247"/>
      <c r="E353" s="247"/>
      <c r="F353" s="247"/>
      <c r="G353" s="247"/>
      <c r="H353" s="247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47"/>
      <c r="V353" s="247"/>
      <c r="W353" s="247"/>
      <c r="X353" s="247"/>
      <c r="Y353" s="247"/>
      <c r="Z353" s="247"/>
    </row>
    <row r="354">
      <c r="A354" s="247"/>
      <c r="B354" s="373"/>
      <c r="C354" s="373"/>
      <c r="D354" s="247"/>
      <c r="E354" s="247"/>
      <c r="F354" s="247"/>
      <c r="G354" s="247"/>
      <c r="H354" s="247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47"/>
      <c r="V354" s="247"/>
      <c r="W354" s="247"/>
      <c r="X354" s="247"/>
      <c r="Y354" s="247"/>
      <c r="Z354" s="247"/>
    </row>
    <row r="355">
      <c r="A355" s="247"/>
      <c r="B355" s="373"/>
      <c r="C355" s="373"/>
      <c r="D355" s="247"/>
      <c r="E355" s="247"/>
      <c r="F355" s="247"/>
      <c r="G355" s="247"/>
      <c r="H355" s="247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47"/>
      <c r="V355" s="247"/>
      <c r="W355" s="247"/>
      <c r="X355" s="247"/>
      <c r="Y355" s="247"/>
      <c r="Z355" s="247"/>
    </row>
    <row r="356">
      <c r="A356" s="247"/>
      <c r="B356" s="373"/>
      <c r="C356" s="373"/>
      <c r="D356" s="247"/>
      <c r="E356" s="247"/>
      <c r="F356" s="247"/>
      <c r="G356" s="247"/>
      <c r="H356" s="247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47"/>
      <c r="V356" s="247"/>
      <c r="W356" s="247"/>
      <c r="X356" s="247"/>
      <c r="Y356" s="247"/>
      <c r="Z356" s="247"/>
    </row>
    <row r="357">
      <c r="A357" s="247"/>
      <c r="B357" s="373"/>
      <c r="C357" s="373"/>
      <c r="D357" s="247"/>
      <c r="E357" s="247"/>
      <c r="F357" s="247"/>
      <c r="G357" s="247"/>
      <c r="H357" s="247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47"/>
      <c r="V357" s="247"/>
      <c r="W357" s="247"/>
      <c r="X357" s="247"/>
      <c r="Y357" s="247"/>
      <c r="Z357" s="247"/>
    </row>
    <row r="358">
      <c r="A358" s="247"/>
      <c r="B358" s="373"/>
      <c r="C358" s="373"/>
      <c r="D358" s="247"/>
      <c r="E358" s="247"/>
      <c r="F358" s="247"/>
      <c r="G358" s="247"/>
      <c r="H358" s="247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47"/>
      <c r="V358" s="247"/>
      <c r="W358" s="247"/>
      <c r="X358" s="247"/>
      <c r="Y358" s="247"/>
      <c r="Z358" s="247"/>
    </row>
    <row r="359">
      <c r="A359" s="247"/>
      <c r="B359" s="373"/>
      <c r="C359" s="373"/>
      <c r="D359" s="247"/>
      <c r="E359" s="247"/>
      <c r="F359" s="247"/>
      <c r="G359" s="247"/>
      <c r="H359" s="247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47"/>
      <c r="V359" s="247"/>
      <c r="W359" s="247"/>
      <c r="X359" s="247"/>
      <c r="Y359" s="247"/>
      <c r="Z359" s="247"/>
    </row>
    <row r="360">
      <c r="A360" s="247"/>
      <c r="B360" s="373"/>
      <c r="C360" s="373"/>
      <c r="D360" s="247"/>
      <c r="E360" s="247"/>
      <c r="F360" s="247"/>
      <c r="G360" s="247"/>
      <c r="H360" s="247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47"/>
      <c r="V360" s="247"/>
      <c r="W360" s="247"/>
      <c r="X360" s="247"/>
      <c r="Y360" s="247"/>
      <c r="Z360" s="247"/>
    </row>
    <row r="361">
      <c r="A361" s="247"/>
      <c r="B361" s="373"/>
      <c r="C361" s="373"/>
      <c r="D361" s="247"/>
      <c r="E361" s="247"/>
      <c r="F361" s="247"/>
      <c r="G361" s="247"/>
      <c r="H361" s="247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47"/>
      <c r="V361" s="247"/>
      <c r="W361" s="247"/>
      <c r="X361" s="247"/>
      <c r="Y361" s="247"/>
      <c r="Z361" s="247"/>
    </row>
    <row r="362">
      <c r="A362" s="247"/>
      <c r="B362" s="373"/>
      <c r="C362" s="373"/>
      <c r="D362" s="247"/>
      <c r="E362" s="247"/>
      <c r="F362" s="247"/>
      <c r="G362" s="247"/>
      <c r="H362" s="247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47"/>
      <c r="V362" s="247"/>
      <c r="W362" s="247"/>
      <c r="X362" s="247"/>
      <c r="Y362" s="247"/>
      <c r="Z362" s="247"/>
    </row>
    <row r="363">
      <c r="A363" s="247"/>
      <c r="B363" s="373"/>
      <c r="C363" s="373"/>
      <c r="D363" s="247"/>
      <c r="E363" s="247"/>
      <c r="F363" s="247"/>
      <c r="G363" s="247"/>
      <c r="H363" s="247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47"/>
      <c r="V363" s="247"/>
      <c r="W363" s="247"/>
      <c r="X363" s="247"/>
      <c r="Y363" s="247"/>
      <c r="Z363" s="247"/>
    </row>
    <row r="364">
      <c r="A364" s="247"/>
      <c r="B364" s="373"/>
      <c r="C364" s="373"/>
      <c r="D364" s="247"/>
      <c r="E364" s="247"/>
      <c r="F364" s="247"/>
      <c r="G364" s="247"/>
      <c r="H364" s="247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47"/>
      <c r="V364" s="247"/>
      <c r="W364" s="247"/>
      <c r="X364" s="247"/>
      <c r="Y364" s="247"/>
      <c r="Z364" s="247"/>
    </row>
    <row r="365">
      <c r="A365" s="247"/>
      <c r="B365" s="373"/>
      <c r="C365" s="373"/>
      <c r="D365" s="247"/>
      <c r="E365" s="247"/>
      <c r="F365" s="247"/>
      <c r="G365" s="247"/>
      <c r="H365" s="247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47"/>
      <c r="V365" s="247"/>
      <c r="W365" s="247"/>
      <c r="X365" s="247"/>
      <c r="Y365" s="247"/>
      <c r="Z365" s="247"/>
    </row>
    <row r="366">
      <c r="A366" s="247"/>
      <c r="B366" s="373"/>
      <c r="C366" s="373"/>
      <c r="D366" s="247"/>
      <c r="E366" s="247"/>
      <c r="F366" s="247"/>
      <c r="G366" s="247"/>
      <c r="H366" s="247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47"/>
      <c r="V366" s="247"/>
      <c r="W366" s="247"/>
      <c r="X366" s="247"/>
      <c r="Y366" s="247"/>
      <c r="Z366" s="247"/>
    </row>
    <row r="367">
      <c r="A367" s="247"/>
      <c r="B367" s="373"/>
      <c r="C367" s="373"/>
      <c r="D367" s="247"/>
      <c r="E367" s="247"/>
      <c r="F367" s="247"/>
      <c r="G367" s="247"/>
      <c r="H367" s="247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47"/>
      <c r="V367" s="247"/>
      <c r="W367" s="247"/>
      <c r="X367" s="247"/>
      <c r="Y367" s="247"/>
      <c r="Z367" s="247"/>
    </row>
    <row r="368">
      <c r="A368" s="247"/>
      <c r="B368" s="373"/>
      <c r="C368" s="373"/>
      <c r="D368" s="247"/>
      <c r="E368" s="247"/>
      <c r="F368" s="247"/>
      <c r="G368" s="247"/>
      <c r="H368" s="247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47"/>
      <c r="V368" s="247"/>
      <c r="W368" s="247"/>
      <c r="X368" s="247"/>
      <c r="Y368" s="247"/>
      <c r="Z368" s="247"/>
    </row>
    <row r="369">
      <c r="A369" s="247"/>
      <c r="B369" s="373"/>
      <c r="C369" s="373"/>
      <c r="D369" s="247"/>
      <c r="E369" s="247"/>
      <c r="F369" s="247"/>
      <c r="G369" s="247"/>
      <c r="H369" s="247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47"/>
      <c r="V369" s="247"/>
      <c r="W369" s="247"/>
      <c r="X369" s="247"/>
      <c r="Y369" s="247"/>
      <c r="Z369" s="247"/>
    </row>
    <row r="370">
      <c r="A370" s="247"/>
      <c r="B370" s="373"/>
      <c r="C370" s="373"/>
      <c r="D370" s="247"/>
      <c r="E370" s="247"/>
      <c r="F370" s="247"/>
      <c r="G370" s="247"/>
      <c r="H370" s="247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47"/>
      <c r="V370" s="247"/>
      <c r="W370" s="247"/>
      <c r="X370" s="247"/>
      <c r="Y370" s="247"/>
      <c r="Z370" s="247"/>
    </row>
    <row r="371">
      <c r="A371" s="247"/>
      <c r="B371" s="373"/>
      <c r="C371" s="373"/>
      <c r="D371" s="247"/>
      <c r="E371" s="247"/>
      <c r="F371" s="247"/>
      <c r="G371" s="247"/>
      <c r="H371" s="247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47"/>
      <c r="V371" s="247"/>
      <c r="W371" s="247"/>
      <c r="X371" s="247"/>
      <c r="Y371" s="247"/>
      <c r="Z371" s="247"/>
    </row>
    <row r="372">
      <c r="A372" s="247"/>
      <c r="B372" s="373"/>
      <c r="C372" s="373"/>
      <c r="D372" s="247"/>
      <c r="E372" s="247"/>
      <c r="F372" s="247"/>
      <c r="G372" s="247"/>
      <c r="H372" s="247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47"/>
      <c r="V372" s="247"/>
      <c r="W372" s="247"/>
      <c r="X372" s="247"/>
      <c r="Y372" s="247"/>
      <c r="Z372" s="247"/>
    </row>
    <row r="373">
      <c r="A373" s="247"/>
      <c r="B373" s="373"/>
      <c r="C373" s="373"/>
      <c r="D373" s="247"/>
      <c r="E373" s="247"/>
      <c r="F373" s="247"/>
      <c r="G373" s="247"/>
      <c r="H373" s="247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47"/>
      <c r="V373" s="247"/>
      <c r="W373" s="247"/>
      <c r="X373" s="247"/>
      <c r="Y373" s="247"/>
      <c r="Z373" s="247"/>
    </row>
    <row r="374">
      <c r="A374" s="247"/>
      <c r="B374" s="373"/>
      <c r="C374" s="373"/>
      <c r="D374" s="247"/>
      <c r="E374" s="247"/>
      <c r="F374" s="247"/>
      <c r="G374" s="247"/>
      <c r="H374" s="247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47"/>
      <c r="V374" s="247"/>
      <c r="W374" s="247"/>
      <c r="X374" s="247"/>
      <c r="Y374" s="247"/>
      <c r="Z374" s="247"/>
    </row>
    <row r="375">
      <c r="A375" s="247"/>
      <c r="B375" s="373"/>
      <c r="C375" s="373"/>
      <c r="D375" s="247"/>
      <c r="E375" s="247"/>
      <c r="F375" s="247"/>
      <c r="G375" s="247"/>
      <c r="H375" s="247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47"/>
      <c r="V375" s="247"/>
      <c r="W375" s="247"/>
      <c r="X375" s="247"/>
      <c r="Y375" s="247"/>
      <c r="Z375" s="247"/>
    </row>
    <row r="376">
      <c r="A376" s="247"/>
      <c r="B376" s="373"/>
      <c r="C376" s="373"/>
      <c r="D376" s="247"/>
      <c r="E376" s="247"/>
      <c r="F376" s="247"/>
      <c r="G376" s="247"/>
      <c r="H376" s="247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47"/>
      <c r="V376" s="247"/>
      <c r="W376" s="247"/>
      <c r="X376" s="247"/>
      <c r="Y376" s="247"/>
      <c r="Z376" s="247"/>
    </row>
    <row r="377">
      <c r="A377" s="247"/>
      <c r="B377" s="373"/>
      <c r="C377" s="373"/>
      <c r="D377" s="247"/>
      <c r="E377" s="247"/>
      <c r="F377" s="247"/>
      <c r="G377" s="247"/>
      <c r="H377" s="247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47"/>
      <c r="V377" s="247"/>
      <c r="W377" s="247"/>
      <c r="X377" s="247"/>
      <c r="Y377" s="247"/>
      <c r="Z377" s="247"/>
    </row>
    <row r="378">
      <c r="A378" s="247"/>
      <c r="B378" s="373"/>
      <c r="C378" s="373"/>
      <c r="D378" s="247"/>
      <c r="E378" s="247"/>
      <c r="F378" s="247"/>
      <c r="G378" s="247"/>
      <c r="H378" s="247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47"/>
      <c r="V378" s="247"/>
      <c r="W378" s="247"/>
      <c r="X378" s="247"/>
      <c r="Y378" s="247"/>
      <c r="Z378" s="247"/>
    </row>
    <row r="379">
      <c r="A379" s="247"/>
      <c r="B379" s="373"/>
      <c r="C379" s="373"/>
      <c r="D379" s="247"/>
      <c r="E379" s="247"/>
      <c r="F379" s="247"/>
      <c r="G379" s="247"/>
      <c r="H379" s="247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47"/>
      <c r="V379" s="247"/>
      <c r="W379" s="247"/>
      <c r="X379" s="247"/>
      <c r="Y379" s="247"/>
      <c r="Z379" s="247"/>
    </row>
    <row r="380">
      <c r="A380" s="247"/>
      <c r="B380" s="373"/>
      <c r="C380" s="373"/>
      <c r="D380" s="247"/>
      <c r="E380" s="247"/>
      <c r="F380" s="247"/>
      <c r="G380" s="247"/>
      <c r="H380" s="247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47"/>
      <c r="V380" s="247"/>
      <c r="W380" s="247"/>
      <c r="X380" s="247"/>
      <c r="Y380" s="247"/>
      <c r="Z380" s="247"/>
    </row>
    <row r="381">
      <c r="A381" s="247"/>
      <c r="B381" s="373"/>
      <c r="C381" s="373"/>
      <c r="D381" s="247"/>
      <c r="E381" s="247"/>
      <c r="F381" s="247"/>
      <c r="G381" s="247"/>
      <c r="H381" s="247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47"/>
      <c r="V381" s="247"/>
      <c r="W381" s="247"/>
      <c r="X381" s="247"/>
      <c r="Y381" s="247"/>
      <c r="Z381" s="247"/>
    </row>
    <row r="382">
      <c r="A382" s="247"/>
      <c r="B382" s="373"/>
      <c r="C382" s="373"/>
      <c r="D382" s="247"/>
      <c r="E382" s="247"/>
      <c r="F382" s="247"/>
      <c r="G382" s="247"/>
      <c r="H382" s="247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47"/>
      <c r="V382" s="247"/>
      <c r="W382" s="247"/>
      <c r="X382" s="247"/>
      <c r="Y382" s="247"/>
      <c r="Z382" s="247"/>
    </row>
    <row r="383">
      <c r="A383" s="247"/>
      <c r="B383" s="373"/>
      <c r="C383" s="373"/>
      <c r="D383" s="247"/>
      <c r="E383" s="247"/>
      <c r="F383" s="247"/>
      <c r="G383" s="247"/>
      <c r="H383" s="247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47"/>
      <c r="V383" s="247"/>
      <c r="W383" s="247"/>
      <c r="X383" s="247"/>
      <c r="Y383" s="247"/>
      <c r="Z383" s="247"/>
    </row>
    <row r="384">
      <c r="A384" s="247"/>
      <c r="B384" s="373"/>
      <c r="C384" s="373"/>
      <c r="D384" s="247"/>
      <c r="E384" s="247"/>
      <c r="F384" s="247"/>
      <c r="G384" s="247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</row>
    <row r="385">
      <c r="A385" s="247"/>
      <c r="B385" s="373"/>
      <c r="C385" s="373"/>
      <c r="D385" s="247"/>
      <c r="E385" s="247"/>
      <c r="F385" s="247"/>
      <c r="G385" s="247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</row>
    <row r="386">
      <c r="A386" s="247"/>
      <c r="B386" s="373"/>
      <c r="C386" s="373"/>
      <c r="D386" s="247"/>
      <c r="E386" s="247"/>
      <c r="F386" s="247"/>
      <c r="G386" s="247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</row>
    <row r="387">
      <c r="A387" s="247"/>
      <c r="B387" s="373"/>
      <c r="C387" s="373"/>
      <c r="D387" s="247"/>
      <c r="E387" s="247"/>
      <c r="F387" s="247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</row>
    <row r="388">
      <c r="A388" s="247"/>
      <c r="B388" s="373"/>
      <c r="C388" s="373"/>
      <c r="D388" s="247"/>
      <c r="E388" s="247"/>
      <c r="F388" s="247"/>
      <c r="G388" s="247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</row>
    <row r="389">
      <c r="A389" s="247"/>
      <c r="B389" s="373"/>
      <c r="C389" s="373"/>
      <c r="D389" s="247"/>
      <c r="E389" s="247"/>
      <c r="F389" s="247"/>
      <c r="G389" s="247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</row>
    <row r="390">
      <c r="A390" s="247"/>
      <c r="B390" s="373"/>
      <c r="C390" s="373"/>
      <c r="D390" s="247"/>
      <c r="E390" s="247"/>
      <c r="F390" s="247"/>
      <c r="G390" s="247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</row>
    <row r="391">
      <c r="A391" s="247"/>
      <c r="B391" s="373"/>
      <c r="C391" s="373"/>
      <c r="D391" s="247"/>
      <c r="E391" s="247"/>
      <c r="F391" s="247"/>
      <c r="G391" s="247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</row>
    <row r="392">
      <c r="A392" s="247"/>
      <c r="B392" s="373"/>
      <c r="C392" s="373"/>
      <c r="D392" s="247"/>
      <c r="E392" s="247"/>
      <c r="F392" s="247"/>
      <c r="G392" s="247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</row>
    <row r="393">
      <c r="A393" s="247"/>
      <c r="B393" s="373"/>
      <c r="C393" s="373"/>
      <c r="D393" s="247"/>
      <c r="E393" s="247"/>
      <c r="F393" s="247"/>
      <c r="G393" s="247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</row>
    <row r="394">
      <c r="A394" s="247"/>
      <c r="B394" s="373"/>
      <c r="C394" s="373"/>
      <c r="D394" s="247"/>
      <c r="E394" s="247"/>
      <c r="F394" s="247"/>
      <c r="G394" s="247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</row>
    <row r="395">
      <c r="A395" s="247"/>
      <c r="B395" s="373"/>
      <c r="C395" s="373"/>
      <c r="D395" s="247"/>
      <c r="E395" s="247"/>
      <c r="F395" s="247"/>
      <c r="G395" s="247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</row>
    <row r="396">
      <c r="A396" s="247"/>
      <c r="B396" s="373"/>
      <c r="C396" s="373"/>
      <c r="D396" s="247"/>
      <c r="E396" s="247"/>
      <c r="F396" s="247"/>
      <c r="G396" s="247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</row>
    <row r="397">
      <c r="A397" s="247"/>
      <c r="B397" s="373"/>
      <c r="C397" s="373"/>
      <c r="D397" s="247"/>
      <c r="E397" s="247"/>
      <c r="F397" s="247"/>
      <c r="G397" s="247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</row>
    <row r="398">
      <c r="A398" s="247"/>
      <c r="B398" s="373"/>
      <c r="C398" s="373"/>
      <c r="D398" s="247"/>
      <c r="E398" s="247"/>
      <c r="F398" s="247"/>
      <c r="G398" s="247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</row>
    <row r="399">
      <c r="A399" s="247"/>
      <c r="B399" s="373"/>
      <c r="C399" s="373"/>
      <c r="D399" s="247"/>
      <c r="E399" s="247"/>
      <c r="F399" s="247"/>
      <c r="G399" s="247"/>
      <c r="H399" s="247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</row>
    <row r="400">
      <c r="A400" s="247"/>
      <c r="B400" s="373"/>
      <c r="C400" s="373"/>
      <c r="D400" s="247"/>
      <c r="E400" s="247"/>
      <c r="F400" s="247"/>
      <c r="G400" s="247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</row>
    <row r="401">
      <c r="A401" s="247"/>
      <c r="B401" s="373"/>
      <c r="C401" s="373"/>
      <c r="D401" s="247"/>
      <c r="E401" s="247"/>
      <c r="F401" s="247"/>
      <c r="G401" s="247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</row>
    <row r="402">
      <c r="A402" s="247"/>
      <c r="B402" s="373"/>
      <c r="C402" s="373"/>
      <c r="D402" s="247"/>
      <c r="E402" s="247"/>
      <c r="F402" s="247"/>
      <c r="G402" s="247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</row>
    <row r="403">
      <c r="A403" s="247"/>
      <c r="B403" s="373"/>
      <c r="C403" s="373"/>
      <c r="D403" s="247"/>
      <c r="E403" s="247"/>
      <c r="F403" s="247"/>
      <c r="G403" s="247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</row>
    <row r="404">
      <c r="A404" s="247"/>
      <c r="B404" s="373"/>
      <c r="C404" s="373"/>
      <c r="D404" s="247"/>
      <c r="E404" s="247"/>
      <c r="F404" s="247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</row>
    <row r="405">
      <c r="A405" s="247"/>
      <c r="B405" s="373"/>
      <c r="C405" s="373"/>
      <c r="D405" s="247"/>
      <c r="E405" s="247"/>
      <c r="F405" s="247"/>
      <c r="G405" s="247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</row>
    <row r="406">
      <c r="A406" s="247"/>
      <c r="B406" s="373"/>
      <c r="C406" s="373"/>
      <c r="D406" s="247"/>
      <c r="E406" s="247"/>
      <c r="F406" s="247"/>
      <c r="G406" s="247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</row>
    <row r="407">
      <c r="A407" s="247"/>
      <c r="B407" s="373"/>
      <c r="C407" s="373"/>
      <c r="D407" s="247"/>
      <c r="E407" s="247"/>
      <c r="F407" s="247"/>
      <c r="G407" s="247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</row>
    <row r="408">
      <c r="A408" s="247"/>
      <c r="B408" s="373"/>
      <c r="C408" s="373"/>
      <c r="D408" s="247"/>
      <c r="E408" s="247"/>
      <c r="F408" s="247"/>
      <c r="G408" s="247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</row>
    <row r="409">
      <c r="A409" s="247"/>
      <c r="B409" s="373"/>
      <c r="C409" s="373"/>
      <c r="D409" s="247"/>
      <c r="E409" s="247"/>
      <c r="F409" s="247"/>
      <c r="G409" s="247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</row>
    <row r="410">
      <c r="A410" s="247"/>
      <c r="B410" s="373"/>
      <c r="C410" s="373"/>
      <c r="D410" s="247"/>
      <c r="E410" s="247"/>
      <c r="F410" s="247"/>
      <c r="G410" s="247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</row>
    <row r="411">
      <c r="A411" s="247"/>
      <c r="B411" s="373"/>
      <c r="C411" s="373"/>
      <c r="D411" s="247"/>
      <c r="E411" s="247"/>
      <c r="F411" s="247"/>
      <c r="G411" s="247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</row>
    <row r="412">
      <c r="A412" s="247"/>
      <c r="B412" s="373"/>
      <c r="C412" s="373"/>
      <c r="D412" s="247"/>
      <c r="E412" s="247"/>
      <c r="F412" s="247"/>
      <c r="G412" s="247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</row>
    <row r="413">
      <c r="A413" s="247"/>
      <c r="B413" s="373"/>
      <c r="C413" s="373"/>
      <c r="D413" s="247"/>
      <c r="E413" s="247"/>
      <c r="F413" s="247"/>
      <c r="G413" s="247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</row>
    <row r="414">
      <c r="A414" s="247"/>
      <c r="B414" s="373"/>
      <c r="C414" s="373"/>
      <c r="D414" s="247"/>
      <c r="E414" s="247"/>
      <c r="F414" s="247"/>
      <c r="G414" s="247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</row>
    <row r="415">
      <c r="A415" s="247"/>
      <c r="B415" s="373"/>
      <c r="C415" s="373"/>
      <c r="D415" s="247"/>
      <c r="E415" s="247"/>
      <c r="F415" s="247"/>
      <c r="G415" s="247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</row>
    <row r="416">
      <c r="A416" s="247"/>
      <c r="B416" s="373"/>
      <c r="C416" s="373"/>
      <c r="D416" s="247"/>
      <c r="E416" s="247"/>
      <c r="F416" s="247"/>
      <c r="G416" s="247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</row>
    <row r="417">
      <c r="A417" s="247"/>
      <c r="B417" s="373"/>
      <c r="C417" s="373"/>
      <c r="D417" s="247"/>
      <c r="E417" s="247"/>
      <c r="F417" s="247"/>
      <c r="G417" s="247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</row>
    <row r="418">
      <c r="A418" s="247"/>
      <c r="B418" s="373"/>
      <c r="C418" s="373"/>
      <c r="D418" s="247"/>
      <c r="E418" s="247"/>
      <c r="F418" s="247"/>
      <c r="G418" s="247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</row>
    <row r="419">
      <c r="A419" s="247"/>
      <c r="B419" s="373"/>
      <c r="C419" s="373"/>
      <c r="D419" s="247"/>
      <c r="E419" s="247"/>
      <c r="F419" s="247"/>
      <c r="G419" s="247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</row>
    <row r="420">
      <c r="A420" s="247"/>
      <c r="B420" s="373"/>
      <c r="C420" s="373"/>
      <c r="D420" s="247"/>
      <c r="E420" s="247"/>
      <c r="F420" s="247"/>
      <c r="G420" s="247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</row>
    <row r="421">
      <c r="A421" s="247"/>
      <c r="B421" s="373"/>
      <c r="C421" s="373"/>
      <c r="D421" s="247"/>
      <c r="E421" s="247"/>
      <c r="F421" s="247"/>
      <c r="G421" s="247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</row>
    <row r="422">
      <c r="A422" s="247"/>
      <c r="B422" s="373"/>
      <c r="C422" s="373"/>
      <c r="D422" s="247"/>
      <c r="E422" s="247"/>
      <c r="F422" s="247"/>
      <c r="G422" s="247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</row>
    <row r="423">
      <c r="A423" s="247"/>
      <c r="B423" s="373"/>
      <c r="C423" s="373"/>
      <c r="D423" s="247"/>
      <c r="E423" s="247"/>
      <c r="F423" s="247"/>
      <c r="G423" s="247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</row>
    <row r="424">
      <c r="A424" s="247"/>
      <c r="B424" s="373"/>
      <c r="C424" s="373"/>
      <c r="D424" s="247"/>
      <c r="E424" s="247"/>
      <c r="F424" s="247"/>
      <c r="G424" s="247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</row>
    <row r="425">
      <c r="A425" s="247"/>
      <c r="B425" s="373"/>
      <c r="C425" s="373"/>
      <c r="D425" s="247"/>
      <c r="E425" s="247"/>
      <c r="F425" s="247"/>
      <c r="G425" s="247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</row>
    <row r="426">
      <c r="A426" s="247"/>
      <c r="B426" s="373"/>
      <c r="C426" s="373"/>
      <c r="D426" s="247"/>
      <c r="E426" s="247"/>
      <c r="F426" s="247"/>
      <c r="G426" s="247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</row>
    <row r="427">
      <c r="A427" s="247"/>
      <c r="B427" s="373"/>
      <c r="C427" s="373"/>
      <c r="D427" s="247"/>
      <c r="E427" s="247"/>
      <c r="F427" s="247"/>
      <c r="G427" s="247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</row>
    <row r="428">
      <c r="A428" s="247"/>
      <c r="B428" s="373"/>
      <c r="C428" s="373"/>
      <c r="D428" s="247"/>
      <c r="E428" s="247"/>
      <c r="F428" s="247"/>
      <c r="G428" s="247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</row>
    <row r="429">
      <c r="A429" s="247"/>
      <c r="B429" s="373"/>
      <c r="C429" s="373"/>
      <c r="D429" s="247"/>
      <c r="E429" s="247"/>
      <c r="F429" s="247"/>
      <c r="G429" s="247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</row>
    <row r="430">
      <c r="A430" s="247"/>
      <c r="B430" s="373"/>
      <c r="C430" s="373"/>
      <c r="D430" s="247"/>
      <c r="E430" s="247"/>
      <c r="F430" s="247"/>
      <c r="G430" s="247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</row>
    <row r="431">
      <c r="A431" s="247"/>
      <c r="B431" s="373"/>
      <c r="C431" s="373"/>
      <c r="D431" s="247"/>
      <c r="E431" s="247"/>
      <c r="F431" s="247"/>
      <c r="G431" s="247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</row>
    <row r="432">
      <c r="A432" s="247"/>
      <c r="B432" s="373"/>
      <c r="C432" s="373"/>
      <c r="D432" s="247"/>
      <c r="E432" s="247"/>
      <c r="F432" s="247"/>
      <c r="G432" s="247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</row>
    <row r="433">
      <c r="A433" s="247"/>
      <c r="B433" s="373"/>
      <c r="C433" s="373"/>
      <c r="D433" s="247"/>
      <c r="E433" s="247"/>
      <c r="F433" s="247"/>
      <c r="G433" s="247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</row>
    <row r="434">
      <c r="A434" s="247"/>
      <c r="B434" s="373"/>
      <c r="C434" s="373"/>
      <c r="D434" s="247"/>
      <c r="E434" s="247"/>
      <c r="F434" s="247"/>
      <c r="G434" s="247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</row>
    <row r="435">
      <c r="A435" s="247"/>
      <c r="B435" s="373"/>
      <c r="C435" s="373"/>
      <c r="D435" s="247"/>
      <c r="E435" s="247"/>
      <c r="F435" s="247"/>
      <c r="G435" s="247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</row>
    <row r="436">
      <c r="A436" s="247"/>
      <c r="B436" s="373"/>
      <c r="C436" s="373"/>
      <c r="D436" s="247"/>
      <c r="E436" s="247"/>
      <c r="F436" s="247"/>
      <c r="G436" s="247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</row>
    <row r="437">
      <c r="A437" s="247"/>
      <c r="B437" s="373"/>
      <c r="C437" s="373"/>
      <c r="D437" s="247"/>
      <c r="E437" s="247"/>
      <c r="F437" s="247"/>
      <c r="G437" s="247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</row>
    <row r="438">
      <c r="A438" s="247"/>
      <c r="B438" s="373"/>
      <c r="C438" s="373"/>
      <c r="D438" s="247"/>
      <c r="E438" s="247"/>
      <c r="F438" s="247"/>
      <c r="G438" s="247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</row>
    <row r="439">
      <c r="A439" s="247"/>
      <c r="B439" s="373"/>
      <c r="C439" s="373"/>
      <c r="D439" s="247"/>
      <c r="E439" s="247"/>
      <c r="F439" s="247"/>
      <c r="G439" s="247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</row>
    <row r="440">
      <c r="A440" s="247"/>
      <c r="B440" s="373"/>
      <c r="C440" s="373"/>
      <c r="D440" s="247"/>
      <c r="E440" s="247"/>
      <c r="F440" s="247"/>
      <c r="G440" s="247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</row>
    <row r="441">
      <c r="A441" s="247"/>
      <c r="B441" s="373"/>
      <c r="C441" s="373"/>
      <c r="D441" s="247"/>
      <c r="E441" s="247"/>
      <c r="F441" s="247"/>
      <c r="G441" s="247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</row>
    <row r="442">
      <c r="A442" s="247"/>
      <c r="B442" s="373"/>
      <c r="C442" s="373"/>
      <c r="D442" s="247"/>
      <c r="E442" s="247"/>
      <c r="F442" s="247"/>
      <c r="G442" s="247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</row>
    <row r="443">
      <c r="A443" s="247"/>
      <c r="B443" s="373"/>
      <c r="C443" s="373"/>
      <c r="D443" s="247"/>
      <c r="E443" s="247"/>
      <c r="F443" s="247"/>
      <c r="G443" s="247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</row>
    <row r="444">
      <c r="A444" s="247"/>
      <c r="B444" s="373"/>
      <c r="C444" s="373"/>
      <c r="D444" s="247"/>
      <c r="E444" s="247"/>
      <c r="F444" s="247"/>
      <c r="G444" s="247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</row>
    <row r="445">
      <c r="A445" s="247"/>
      <c r="B445" s="373"/>
      <c r="C445" s="373"/>
      <c r="D445" s="247"/>
      <c r="E445" s="247"/>
      <c r="F445" s="247"/>
      <c r="G445" s="247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</row>
    <row r="446">
      <c r="A446" s="247"/>
      <c r="B446" s="373"/>
      <c r="C446" s="373"/>
      <c r="D446" s="247"/>
      <c r="E446" s="247"/>
      <c r="F446" s="247"/>
      <c r="G446" s="247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</row>
    <row r="447">
      <c r="A447" s="247"/>
      <c r="B447" s="373"/>
      <c r="C447" s="373"/>
      <c r="D447" s="247"/>
      <c r="E447" s="247"/>
      <c r="F447" s="247"/>
      <c r="G447" s="247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</row>
    <row r="448">
      <c r="A448" s="247"/>
      <c r="B448" s="373"/>
      <c r="C448" s="373"/>
      <c r="D448" s="247"/>
      <c r="E448" s="247"/>
      <c r="F448" s="247"/>
      <c r="G448" s="247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</row>
    <row r="449">
      <c r="A449" s="247"/>
      <c r="B449" s="373"/>
      <c r="C449" s="373"/>
      <c r="D449" s="247"/>
      <c r="E449" s="247"/>
      <c r="F449" s="247"/>
      <c r="G449" s="247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</row>
    <row r="450">
      <c r="A450" s="247"/>
      <c r="B450" s="373"/>
      <c r="C450" s="373"/>
      <c r="D450" s="247"/>
      <c r="E450" s="247"/>
      <c r="F450" s="247"/>
      <c r="G450" s="247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</row>
    <row r="451">
      <c r="A451" s="247"/>
      <c r="B451" s="373"/>
      <c r="C451" s="373"/>
      <c r="D451" s="247"/>
      <c r="E451" s="247"/>
      <c r="F451" s="247"/>
      <c r="G451" s="247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</row>
    <row r="452">
      <c r="A452" s="247"/>
      <c r="B452" s="373"/>
      <c r="C452" s="373"/>
      <c r="D452" s="247"/>
      <c r="E452" s="247"/>
      <c r="F452" s="247"/>
      <c r="G452" s="247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</row>
    <row r="453">
      <c r="A453" s="247"/>
      <c r="B453" s="373"/>
      <c r="C453" s="373"/>
      <c r="D453" s="247"/>
      <c r="E453" s="247"/>
      <c r="F453" s="247"/>
      <c r="G453" s="247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</row>
    <row r="454">
      <c r="A454" s="247"/>
      <c r="B454" s="373"/>
      <c r="C454" s="373"/>
      <c r="D454" s="247"/>
      <c r="E454" s="247"/>
      <c r="F454" s="247"/>
      <c r="G454" s="247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</row>
    <row r="455">
      <c r="A455" s="247"/>
      <c r="B455" s="373"/>
      <c r="C455" s="373"/>
      <c r="D455" s="247"/>
      <c r="E455" s="247"/>
      <c r="F455" s="247"/>
      <c r="G455" s="247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</row>
    <row r="456">
      <c r="A456" s="247"/>
      <c r="B456" s="373"/>
      <c r="C456" s="373"/>
      <c r="D456" s="247"/>
      <c r="E456" s="247"/>
      <c r="F456" s="247"/>
      <c r="G456" s="247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</row>
    <row r="457">
      <c r="A457" s="247"/>
      <c r="B457" s="373"/>
      <c r="C457" s="373"/>
      <c r="D457" s="247"/>
      <c r="E457" s="247"/>
      <c r="F457" s="247"/>
      <c r="G457" s="247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</row>
    <row r="458">
      <c r="A458" s="247"/>
      <c r="B458" s="373"/>
      <c r="C458" s="373"/>
      <c r="D458" s="247"/>
      <c r="E458" s="247"/>
      <c r="F458" s="247"/>
      <c r="G458" s="247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</row>
    <row r="459">
      <c r="A459" s="247"/>
      <c r="B459" s="373"/>
      <c r="C459" s="373"/>
      <c r="D459" s="247"/>
      <c r="E459" s="247"/>
      <c r="F459" s="247"/>
      <c r="G459" s="247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</row>
    <row r="460">
      <c r="A460" s="247"/>
      <c r="B460" s="373"/>
      <c r="C460" s="373"/>
      <c r="D460" s="247"/>
      <c r="E460" s="247"/>
      <c r="F460" s="247"/>
      <c r="G460" s="247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</row>
    <row r="461">
      <c r="A461" s="247"/>
      <c r="B461" s="373"/>
      <c r="C461" s="373"/>
      <c r="D461" s="247"/>
      <c r="E461" s="247"/>
      <c r="F461" s="247"/>
      <c r="G461" s="247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</row>
    <row r="462">
      <c r="A462" s="247"/>
      <c r="B462" s="373"/>
      <c r="C462" s="373"/>
      <c r="D462" s="247"/>
      <c r="E462" s="247"/>
      <c r="F462" s="247"/>
      <c r="G462" s="247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</row>
    <row r="463">
      <c r="A463" s="247"/>
      <c r="B463" s="373"/>
      <c r="C463" s="373"/>
      <c r="D463" s="247"/>
      <c r="E463" s="247"/>
      <c r="F463" s="247"/>
      <c r="G463" s="247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</row>
    <row r="464">
      <c r="A464" s="247"/>
      <c r="B464" s="373"/>
      <c r="C464" s="373"/>
      <c r="D464" s="247"/>
      <c r="E464" s="247"/>
      <c r="F464" s="247"/>
      <c r="G464" s="247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</row>
    <row r="465">
      <c r="A465" s="247"/>
      <c r="B465" s="373"/>
      <c r="C465" s="373"/>
      <c r="D465" s="247"/>
      <c r="E465" s="247"/>
      <c r="F465" s="247"/>
      <c r="G465" s="247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</row>
    <row r="466">
      <c r="A466" s="247"/>
      <c r="B466" s="373"/>
      <c r="C466" s="373"/>
      <c r="D466" s="247"/>
      <c r="E466" s="247"/>
      <c r="F466" s="247"/>
      <c r="G466" s="247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</row>
    <row r="467">
      <c r="A467" s="247"/>
      <c r="B467" s="373"/>
      <c r="C467" s="373"/>
      <c r="D467" s="247"/>
      <c r="E467" s="247"/>
      <c r="F467" s="247"/>
      <c r="G467" s="247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</row>
    <row r="468">
      <c r="A468" s="247"/>
      <c r="B468" s="373"/>
      <c r="C468" s="373"/>
      <c r="D468" s="247"/>
      <c r="E468" s="247"/>
      <c r="F468" s="247"/>
      <c r="G468" s="247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</row>
    <row r="469">
      <c r="A469" s="247"/>
      <c r="B469" s="373"/>
      <c r="C469" s="373"/>
      <c r="D469" s="247"/>
      <c r="E469" s="247"/>
      <c r="F469" s="247"/>
      <c r="G469" s="247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</row>
    <row r="470">
      <c r="A470" s="247"/>
      <c r="B470" s="373"/>
      <c r="C470" s="373"/>
      <c r="D470" s="247"/>
      <c r="E470" s="247"/>
      <c r="F470" s="247"/>
      <c r="G470" s="247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</row>
    <row r="471">
      <c r="A471" s="247"/>
      <c r="B471" s="373"/>
      <c r="C471" s="373"/>
      <c r="D471" s="247"/>
      <c r="E471" s="247"/>
      <c r="F471" s="247"/>
      <c r="G471" s="247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</row>
    <row r="472">
      <c r="A472" s="247"/>
      <c r="B472" s="373"/>
      <c r="C472" s="373"/>
      <c r="D472" s="247"/>
      <c r="E472" s="247"/>
      <c r="F472" s="247"/>
      <c r="G472" s="247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</row>
    <row r="473">
      <c r="A473" s="247"/>
      <c r="B473" s="373"/>
      <c r="C473" s="373"/>
      <c r="D473" s="247"/>
      <c r="E473" s="247"/>
      <c r="F473" s="247"/>
      <c r="G473" s="247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</row>
    <row r="474">
      <c r="A474" s="247"/>
      <c r="B474" s="373"/>
      <c r="C474" s="373"/>
      <c r="D474" s="247"/>
      <c r="E474" s="247"/>
      <c r="F474" s="247"/>
      <c r="G474" s="247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</row>
    <row r="475">
      <c r="A475" s="247"/>
      <c r="B475" s="373"/>
      <c r="C475" s="373"/>
      <c r="D475" s="247"/>
      <c r="E475" s="247"/>
      <c r="F475" s="247"/>
      <c r="G475" s="247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</row>
    <row r="476">
      <c r="A476" s="247"/>
      <c r="B476" s="373"/>
      <c r="C476" s="373"/>
      <c r="D476" s="247"/>
      <c r="E476" s="247"/>
      <c r="F476" s="247"/>
      <c r="G476" s="247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</row>
    <row r="477">
      <c r="A477" s="247"/>
      <c r="B477" s="373"/>
      <c r="C477" s="373"/>
      <c r="D477" s="247"/>
      <c r="E477" s="247"/>
      <c r="F477" s="247"/>
      <c r="G477" s="247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</row>
    <row r="478">
      <c r="A478" s="247"/>
      <c r="B478" s="373"/>
      <c r="C478" s="373"/>
      <c r="D478" s="247"/>
      <c r="E478" s="247"/>
      <c r="F478" s="247"/>
      <c r="G478" s="247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</row>
    <row r="479">
      <c r="A479" s="247"/>
      <c r="B479" s="373"/>
      <c r="C479" s="373"/>
      <c r="D479" s="247"/>
      <c r="E479" s="247"/>
      <c r="F479" s="247"/>
      <c r="G479" s="247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</row>
    <row r="480">
      <c r="A480" s="247"/>
      <c r="B480" s="373"/>
      <c r="C480" s="373"/>
      <c r="D480" s="247"/>
      <c r="E480" s="247"/>
      <c r="F480" s="247"/>
      <c r="G480" s="247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</row>
    <row r="481">
      <c r="A481" s="247"/>
      <c r="B481" s="373"/>
      <c r="C481" s="373"/>
      <c r="D481" s="247"/>
      <c r="E481" s="247"/>
      <c r="F481" s="247"/>
      <c r="G481" s="247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</row>
    <row r="482">
      <c r="A482" s="247"/>
      <c r="B482" s="373"/>
      <c r="C482" s="373"/>
      <c r="D482" s="247"/>
      <c r="E482" s="247"/>
      <c r="F482" s="247"/>
      <c r="G482" s="247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</row>
    <row r="483">
      <c r="A483" s="247"/>
      <c r="B483" s="373"/>
      <c r="C483" s="373"/>
      <c r="D483" s="247"/>
      <c r="E483" s="247"/>
      <c r="F483" s="247"/>
      <c r="G483" s="247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</row>
    <row r="484">
      <c r="A484" s="247"/>
      <c r="B484" s="373"/>
      <c r="C484" s="373"/>
      <c r="D484" s="247"/>
      <c r="E484" s="247"/>
      <c r="F484" s="247"/>
      <c r="G484" s="247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</row>
    <row r="485">
      <c r="A485" s="247"/>
      <c r="B485" s="373"/>
      <c r="C485" s="373"/>
      <c r="D485" s="247"/>
      <c r="E485" s="247"/>
      <c r="F485" s="247"/>
      <c r="G485" s="247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</row>
    <row r="486">
      <c r="A486" s="247"/>
      <c r="B486" s="373"/>
      <c r="C486" s="373"/>
      <c r="D486" s="247"/>
      <c r="E486" s="247"/>
      <c r="F486" s="247"/>
      <c r="G486" s="247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</row>
    <row r="487">
      <c r="A487" s="247"/>
      <c r="B487" s="373"/>
      <c r="C487" s="373"/>
      <c r="D487" s="247"/>
      <c r="E487" s="247"/>
      <c r="F487" s="247"/>
      <c r="G487" s="247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</row>
    <row r="488">
      <c r="A488" s="247"/>
      <c r="B488" s="373"/>
      <c r="C488" s="373"/>
      <c r="D488" s="247"/>
      <c r="E488" s="247"/>
      <c r="F488" s="247"/>
      <c r="G488" s="247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</row>
    <row r="489">
      <c r="A489" s="247"/>
      <c r="B489" s="373"/>
      <c r="C489" s="373"/>
      <c r="D489" s="247"/>
      <c r="E489" s="247"/>
      <c r="F489" s="247"/>
      <c r="G489" s="247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</row>
    <row r="490">
      <c r="A490" s="247"/>
      <c r="B490" s="373"/>
      <c r="C490" s="373"/>
      <c r="D490" s="247"/>
      <c r="E490" s="247"/>
      <c r="F490" s="247"/>
      <c r="G490" s="247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</row>
    <row r="491">
      <c r="A491" s="247"/>
      <c r="B491" s="373"/>
      <c r="C491" s="373"/>
      <c r="D491" s="247"/>
      <c r="E491" s="247"/>
      <c r="F491" s="247"/>
      <c r="G491" s="247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</row>
    <row r="492">
      <c r="A492" s="247"/>
      <c r="B492" s="373"/>
      <c r="C492" s="373"/>
      <c r="D492" s="247"/>
      <c r="E492" s="247"/>
      <c r="F492" s="247"/>
      <c r="G492" s="247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</row>
    <row r="493">
      <c r="A493" s="247"/>
      <c r="B493" s="373"/>
      <c r="C493" s="373"/>
      <c r="D493" s="247"/>
      <c r="E493" s="247"/>
      <c r="F493" s="247"/>
      <c r="G493" s="247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</row>
    <row r="494">
      <c r="A494" s="247"/>
      <c r="B494" s="373"/>
      <c r="C494" s="373"/>
      <c r="D494" s="247"/>
      <c r="E494" s="247"/>
      <c r="F494" s="247"/>
      <c r="G494" s="247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</row>
    <row r="495">
      <c r="A495" s="247"/>
      <c r="B495" s="373"/>
      <c r="C495" s="373"/>
      <c r="D495" s="247"/>
      <c r="E495" s="247"/>
      <c r="F495" s="247"/>
      <c r="G495" s="247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</row>
    <row r="496">
      <c r="A496" s="247"/>
      <c r="B496" s="373"/>
      <c r="C496" s="373"/>
      <c r="D496" s="247"/>
      <c r="E496" s="247"/>
      <c r="F496" s="247"/>
      <c r="G496" s="247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</row>
    <row r="497">
      <c r="A497" s="247"/>
      <c r="B497" s="373"/>
      <c r="C497" s="373"/>
      <c r="D497" s="247"/>
      <c r="E497" s="247"/>
      <c r="F497" s="247"/>
      <c r="G497" s="247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</row>
    <row r="498">
      <c r="A498" s="247"/>
      <c r="B498" s="373"/>
      <c r="C498" s="373"/>
      <c r="D498" s="247"/>
      <c r="E498" s="247"/>
      <c r="F498" s="247"/>
      <c r="G498" s="247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</row>
    <row r="499">
      <c r="A499" s="247"/>
      <c r="B499" s="373"/>
      <c r="C499" s="373"/>
      <c r="D499" s="247"/>
      <c r="E499" s="247"/>
      <c r="F499" s="247"/>
      <c r="G499" s="247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</row>
    <row r="500">
      <c r="A500" s="247"/>
      <c r="B500" s="373"/>
      <c r="C500" s="373"/>
      <c r="D500" s="247"/>
      <c r="E500" s="247"/>
      <c r="F500" s="247"/>
      <c r="G500" s="247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</row>
    <row r="501">
      <c r="A501" s="247"/>
      <c r="B501" s="373"/>
      <c r="C501" s="373"/>
      <c r="D501" s="247"/>
      <c r="E501" s="247"/>
      <c r="F501" s="247"/>
      <c r="G501" s="247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</row>
    <row r="502">
      <c r="A502" s="247"/>
      <c r="B502" s="373"/>
      <c r="C502" s="373"/>
      <c r="D502" s="247"/>
      <c r="E502" s="247"/>
      <c r="F502" s="247"/>
      <c r="G502" s="247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</row>
    <row r="503">
      <c r="A503" s="247"/>
      <c r="B503" s="373"/>
      <c r="C503" s="373"/>
      <c r="D503" s="247"/>
      <c r="E503" s="247"/>
      <c r="F503" s="247"/>
      <c r="G503" s="247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</row>
    <row r="504">
      <c r="A504" s="247"/>
      <c r="B504" s="373"/>
      <c r="C504" s="373"/>
      <c r="D504" s="247"/>
      <c r="E504" s="247"/>
      <c r="F504" s="247"/>
      <c r="G504" s="247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</row>
    <row r="505">
      <c r="A505" s="247"/>
      <c r="B505" s="373"/>
      <c r="C505" s="373"/>
      <c r="D505" s="247"/>
      <c r="E505" s="247"/>
      <c r="F505" s="247"/>
      <c r="G505" s="247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</row>
    <row r="506">
      <c r="A506" s="247"/>
      <c r="B506" s="373"/>
      <c r="C506" s="373"/>
      <c r="D506" s="247"/>
      <c r="E506" s="247"/>
      <c r="F506" s="247"/>
      <c r="G506" s="247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</row>
    <row r="507">
      <c r="A507" s="247"/>
      <c r="B507" s="373"/>
      <c r="C507" s="373"/>
      <c r="D507" s="247"/>
      <c r="E507" s="247"/>
      <c r="F507" s="247"/>
      <c r="G507" s="247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</row>
    <row r="508">
      <c r="A508" s="247"/>
      <c r="B508" s="373"/>
      <c r="C508" s="373"/>
      <c r="D508" s="247"/>
      <c r="E508" s="247"/>
      <c r="F508" s="247"/>
      <c r="G508" s="247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</row>
    <row r="509">
      <c r="A509" s="247"/>
      <c r="B509" s="373"/>
      <c r="C509" s="373"/>
      <c r="D509" s="247"/>
      <c r="E509" s="247"/>
      <c r="F509" s="247"/>
      <c r="G509" s="247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</row>
    <row r="510">
      <c r="A510" s="247"/>
      <c r="B510" s="373"/>
      <c r="C510" s="373"/>
      <c r="D510" s="247"/>
      <c r="E510" s="247"/>
      <c r="F510" s="247"/>
      <c r="G510" s="247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</row>
    <row r="511">
      <c r="A511" s="247"/>
      <c r="B511" s="373"/>
      <c r="C511" s="373"/>
      <c r="D511" s="247"/>
      <c r="E511" s="247"/>
      <c r="F511" s="247"/>
      <c r="G511" s="247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</row>
    <row r="512">
      <c r="A512" s="247"/>
      <c r="B512" s="373"/>
      <c r="C512" s="373"/>
      <c r="D512" s="247"/>
      <c r="E512" s="247"/>
      <c r="F512" s="247"/>
      <c r="G512" s="247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</row>
    <row r="513">
      <c r="A513" s="247"/>
      <c r="B513" s="373"/>
      <c r="C513" s="373"/>
      <c r="D513" s="247"/>
      <c r="E513" s="247"/>
      <c r="F513" s="247"/>
      <c r="G513" s="247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</row>
    <row r="514">
      <c r="A514" s="247"/>
      <c r="B514" s="373"/>
      <c r="C514" s="373"/>
      <c r="D514" s="247"/>
      <c r="E514" s="247"/>
      <c r="F514" s="247"/>
      <c r="G514" s="247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</row>
    <row r="515">
      <c r="A515" s="247"/>
      <c r="B515" s="373"/>
      <c r="C515" s="373"/>
      <c r="D515" s="247"/>
      <c r="E515" s="247"/>
      <c r="F515" s="247"/>
      <c r="G515" s="247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</row>
    <row r="516">
      <c r="A516" s="247"/>
      <c r="B516" s="373"/>
      <c r="C516" s="373"/>
      <c r="D516" s="247"/>
      <c r="E516" s="247"/>
      <c r="F516" s="247"/>
      <c r="G516" s="247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</row>
    <row r="517">
      <c r="A517" s="247"/>
      <c r="B517" s="373"/>
      <c r="C517" s="373"/>
      <c r="D517" s="247"/>
      <c r="E517" s="247"/>
      <c r="F517" s="247"/>
      <c r="G517" s="247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</row>
    <row r="518">
      <c r="A518" s="247"/>
      <c r="B518" s="373"/>
      <c r="C518" s="373"/>
      <c r="D518" s="247"/>
      <c r="E518" s="247"/>
      <c r="F518" s="247"/>
      <c r="G518" s="247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</row>
    <row r="519">
      <c r="A519" s="247"/>
      <c r="B519" s="373"/>
      <c r="C519" s="373"/>
      <c r="D519" s="247"/>
      <c r="E519" s="247"/>
      <c r="F519" s="247"/>
      <c r="G519" s="247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</row>
    <row r="520">
      <c r="A520" s="247"/>
      <c r="B520" s="373"/>
      <c r="C520" s="373"/>
      <c r="D520" s="247"/>
      <c r="E520" s="247"/>
      <c r="F520" s="247"/>
      <c r="G520" s="247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</row>
    <row r="521">
      <c r="A521" s="247"/>
      <c r="B521" s="373"/>
      <c r="C521" s="373"/>
      <c r="D521" s="247"/>
      <c r="E521" s="247"/>
      <c r="F521" s="247"/>
      <c r="G521" s="247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</row>
    <row r="522">
      <c r="A522" s="247"/>
      <c r="B522" s="373"/>
      <c r="C522" s="373"/>
      <c r="D522" s="247"/>
      <c r="E522" s="247"/>
      <c r="F522" s="247"/>
      <c r="G522" s="247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</row>
    <row r="523">
      <c r="A523" s="247"/>
      <c r="B523" s="373"/>
      <c r="C523" s="373"/>
      <c r="D523" s="247"/>
      <c r="E523" s="247"/>
      <c r="F523" s="247"/>
      <c r="G523" s="247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</row>
    <row r="524">
      <c r="A524" s="247"/>
      <c r="B524" s="373"/>
      <c r="C524" s="373"/>
      <c r="D524" s="247"/>
      <c r="E524" s="247"/>
      <c r="F524" s="247"/>
      <c r="G524" s="247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</row>
    <row r="525">
      <c r="A525" s="247"/>
      <c r="B525" s="373"/>
      <c r="C525" s="373"/>
      <c r="D525" s="247"/>
      <c r="E525" s="247"/>
      <c r="F525" s="247"/>
      <c r="G525" s="247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</row>
    <row r="526">
      <c r="A526" s="247"/>
      <c r="B526" s="373"/>
      <c r="C526" s="373"/>
      <c r="D526" s="247"/>
      <c r="E526" s="247"/>
      <c r="F526" s="247"/>
      <c r="G526" s="247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</row>
    <row r="527">
      <c r="A527" s="247"/>
      <c r="B527" s="373"/>
      <c r="C527" s="373"/>
      <c r="D527" s="247"/>
      <c r="E527" s="247"/>
      <c r="F527" s="247"/>
      <c r="G527" s="247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</row>
    <row r="528">
      <c r="A528" s="247"/>
      <c r="B528" s="373"/>
      <c r="C528" s="373"/>
      <c r="D528" s="247"/>
      <c r="E528" s="247"/>
      <c r="F528" s="247"/>
      <c r="G528" s="247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</row>
    <row r="529">
      <c r="A529" s="247"/>
      <c r="B529" s="373"/>
      <c r="C529" s="373"/>
      <c r="D529" s="247"/>
      <c r="E529" s="247"/>
      <c r="F529" s="247"/>
      <c r="G529" s="247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</row>
    <row r="530">
      <c r="A530" s="247"/>
      <c r="B530" s="373"/>
      <c r="C530" s="373"/>
      <c r="D530" s="247"/>
      <c r="E530" s="247"/>
      <c r="F530" s="247"/>
      <c r="G530" s="247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</row>
    <row r="531">
      <c r="A531" s="247"/>
      <c r="B531" s="373"/>
      <c r="C531" s="373"/>
      <c r="D531" s="247"/>
      <c r="E531" s="247"/>
      <c r="F531" s="247"/>
      <c r="G531" s="247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</row>
    <row r="532">
      <c r="A532" s="247"/>
      <c r="B532" s="373"/>
      <c r="C532" s="373"/>
      <c r="D532" s="247"/>
      <c r="E532" s="247"/>
      <c r="F532" s="247"/>
      <c r="G532" s="247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</row>
    <row r="533">
      <c r="A533" s="247"/>
      <c r="B533" s="373"/>
      <c r="C533" s="373"/>
      <c r="D533" s="247"/>
      <c r="E533" s="247"/>
      <c r="F533" s="247"/>
      <c r="G533" s="247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</row>
    <row r="534">
      <c r="A534" s="247"/>
      <c r="B534" s="373"/>
      <c r="C534" s="373"/>
      <c r="D534" s="247"/>
      <c r="E534" s="247"/>
      <c r="F534" s="247"/>
      <c r="G534" s="247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</row>
    <row r="535">
      <c r="A535" s="247"/>
      <c r="B535" s="373"/>
      <c r="C535" s="373"/>
      <c r="D535" s="247"/>
      <c r="E535" s="247"/>
      <c r="F535" s="247"/>
      <c r="G535" s="247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</row>
    <row r="536">
      <c r="A536" s="247"/>
      <c r="B536" s="373"/>
      <c r="C536" s="373"/>
      <c r="D536" s="247"/>
      <c r="E536" s="247"/>
      <c r="F536" s="247"/>
      <c r="G536" s="247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</row>
    <row r="537">
      <c r="A537" s="247"/>
      <c r="B537" s="373"/>
      <c r="C537" s="373"/>
      <c r="D537" s="247"/>
      <c r="E537" s="247"/>
      <c r="F537" s="247"/>
      <c r="G537" s="247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</row>
    <row r="538">
      <c r="A538" s="247"/>
      <c r="B538" s="373"/>
      <c r="C538" s="373"/>
      <c r="D538" s="247"/>
      <c r="E538" s="247"/>
      <c r="F538" s="247"/>
      <c r="G538" s="247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</row>
    <row r="539">
      <c r="A539" s="247"/>
      <c r="B539" s="373"/>
      <c r="C539" s="373"/>
      <c r="D539" s="247"/>
      <c r="E539" s="247"/>
      <c r="F539" s="247"/>
      <c r="G539" s="247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</row>
    <row r="540">
      <c r="A540" s="247"/>
      <c r="B540" s="373"/>
      <c r="C540" s="373"/>
      <c r="D540" s="247"/>
      <c r="E540" s="247"/>
      <c r="F540" s="247"/>
      <c r="G540" s="247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</row>
    <row r="541">
      <c r="A541" s="247"/>
      <c r="B541" s="373"/>
      <c r="C541" s="373"/>
      <c r="D541" s="247"/>
      <c r="E541" s="247"/>
      <c r="F541" s="247"/>
      <c r="G541" s="247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</row>
    <row r="542">
      <c r="A542" s="247"/>
      <c r="B542" s="373"/>
      <c r="C542" s="373"/>
      <c r="D542" s="247"/>
      <c r="E542" s="247"/>
      <c r="F542" s="247"/>
      <c r="G542" s="247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</row>
    <row r="543">
      <c r="A543" s="247"/>
      <c r="B543" s="373"/>
      <c r="C543" s="373"/>
      <c r="D543" s="247"/>
      <c r="E543" s="247"/>
      <c r="F543" s="247"/>
      <c r="G543" s="247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</row>
    <row r="544">
      <c r="A544" s="247"/>
      <c r="B544" s="373"/>
      <c r="C544" s="373"/>
      <c r="D544" s="247"/>
      <c r="E544" s="247"/>
      <c r="F544" s="247"/>
      <c r="G544" s="247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</row>
    <row r="545">
      <c r="A545" s="247"/>
      <c r="B545" s="373"/>
      <c r="C545" s="373"/>
      <c r="D545" s="247"/>
      <c r="E545" s="247"/>
      <c r="F545" s="247"/>
      <c r="G545" s="247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</row>
    <row r="546">
      <c r="A546" s="247"/>
      <c r="B546" s="373"/>
      <c r="C546" s="373"/>
      <c r="D546" s="247"/>
      <c r="E546" s="247"/>
      <c r="F546" s="247"/>
      <c r="G546" s="247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</row>
    <row r="547">
      <c r="A547" s="247"/>
      <c r="B547" s="373"/>
      <c r="C547" s="373"/>
      <c r="D547" s="247"/>
      <c r="E547" s="247"/>
      <c r="F547" s="247"/>
      <c r="G547" s="247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</row>
    <row r="548">
      <c r="A548" s="247"/>
      <c r="B548" s="373"/>
      <c r="C548" s="373"/>
      <c r="D548" s="247"/>
      <c r="E548" s="247"/>
      <c r="F548" s="247"/>
      <c r="G548" s="247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</row>
    <row r="549">
      <c r="A549" s="247"/>
      <c r="B549" s="373"/>
      <c r="C549" s="373"/>
      <c r="D549" s="247"/>
      <c r="E549" s="247"/>
      <c r="F549" s="247"/>
      <c r="G549" s="247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</row>
    <row r="550">
      <c r="A550" s="247"/>
      <c r="B550" s="373"/>
      <c r="C550" s="373"/>
      <c r="D550" s="247"/>
      <c r="E550" s="247"/>
      <c r="F550" s="247"/>
      <c r="G550" s="247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</row>
    <row r="551">
      <c r="A551" s="247"/>
      <c r="B551" s="373"/>
      <c r="C551" s="373"/>
      <c r="D551" s="247"/>
      <c r="E551" s="247"/>
      <c r="F551" s="247"/>
      <c r="G551" s="247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</row>
    <row r="552">
      <c r="A552" s="247"/>
      <c r="B552" s="373"/>
      <c r="C552" s="373"/>
      <c r="D552" s="247"/>
      <c r="E552" s="247"/>
      <c r="F552" s="247"/>
      <c r="G552" s="247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</row>
    <row r="553">
      <c r="A553" s="247"/>
      <c r="B553" s="373"/>
      <c r="C553" s="373"/>
      <c r="D553" s="247"/>
      <c r="E553" s="247"/>
      <c r="F553" s="247"/>
      <c r="G553" s="247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</row>
    <row r="554">
      <c r="A554" s="247"/>
      <c r="B554" s="373"/>
      <c r="C554" s="373"/>
      <c r="D554" s="247"/>
      <c r="E554" s="247"/>
      <c r="F554" s="247"/>
      <c r="G554" s="247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</row>
    <row r="555">
      <c r="A555" s="247"/>
      <c r="B555" s="373"/>
      <c r="C555" s="373"/>
      <c r="D555" s="247"/>
      <c r="E555" s="247"/>
      <c r="F555" s="247"/>
      <c r="G555" s="247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</row>
    <row r="556">
      <c r="A556" s="247"/>
      <c r="B556" s="373"/>
      <c r="C556" s="373"/>
      <c r="D556" s="247"/>
      <c r="E556" s="247"/>
      <c r="F556" s="247"/>
      <c r="G556" s="247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</row>
    <row r="557">
      <c r="A557" s="247"/>
      <c r="B557" s="373"/>
      <c r="C557" s="373"/>
      <c r="D557" s="247"/>
      <c r="E557" s="247"/>
      <c r="F557" s="247"/>
      <c r="G557" s="247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</row>
    <row r="558">
      <c r="A558" s="247"/>
      <c r="B558" s="373"/>
      <c r="C558" s="373"/>
      <c r="D558" s="247"/>
      <c r="E558" s="247"/>
      <c r="F558" s="247"/>
      <c r="G558" s="247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</row>
    <row r="559">
      <c r="A559" s="247"/>
      <c r="B559" s="373"/>
      <c r="C559" s="373"/>
      <c r="D559" s="247"/>
      <c r="E559" s="247"/>
      <c r="F559" s="247"/>
      <c r="G559" s="247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</row>
    <row r="560">
      <c r="A560" s="247"/>
      <c r="B560" s="373"/>
      <c r="C560" s="373"/>
      <c r="D560" s="247"/>
      <c r="E560" s="247"/>
      <c r="F560" s="247"/>
      <c r="G560" s="247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</row>
    <row r="561">
      <c r="A561" s="247"/>
      <c r="B561" s="373"/>
      <c r="C561" s="373"/>
      <c r="D561" s="247"/>
      <c r="E561" s="247"/>
      <c r="F561" s="247"/>
      <c r="G561" s="247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</row>
    <row r="562">
      <c r="A562" s="247"/>
      <c r="B562" s="373"/>
      <c r="C562" s="373"/>
      <c r="D562" s="247"/>
      <c r="E562" s="247"/>
      <c r="F562" s="247"/>
      <c r="G562" s="247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</row>
    <row r="563">
      <c r="A563" s="247"/>
      <c r="B563" s="373"/>
      <c r="C563" s="373"/>
      <c r="D563" s="247"/>
      <c r="E563" s="247"/>
      <c r="F563" s="247"/>
      <c r="G563" s="247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</row>
    <row r="564">
      <c r="A564" s="247"/>
      <c r="B564" s="373"/>
      <c r="C564" s="373"/>
      <c r="D564" s="247"/>
      <c r="E564" s="247"/>
      <c r="F564" s="247"/>
      <c r="G564" s="247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</row>
    <row r="565">
      <c r="A565" s="247"/>
      <c r="B565" s="373"/>
      <c r="C565" s="373"/>
      <c r="D565" s="247"/>
      <c r="E565" s="247"/>
      <c r="F565" s="247"/>
      <c r="G565" s="247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</row>
    <row r="566">
      <c r="A566" s="247"/>
      <c r="B566" s="373"/>
      <c r="C566" s="373"/>
      <c r="D566" s="247"/>
      <c r="E566" s="247"/>
      <c r="F566" s="247"/>
      <c r="G566" s="247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</row>
    <row r="567">
      <c r="A567" s="247"/>
      <c r="B567" s="373"/>
      <c r="C567" s="373"/>
      <c r="D567" s="247"/>
      <c r="E567" s="247"/>
      <c r="F567" s="247"/>
      <c r="G567" s="247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</row>
    <row r="568">
      <c r="A568" s="247"/>
      <c r="B568" s="373"/>
      <c r="C568" s="373"/>
      <c r="D568" s="247"/>
      <c r="E568" s="247"/>
      <c r="F568" s="247"/>
      <c r="G568" s="247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</row>
    <row r="569">
      <c r="A569" s="247"/>
      <c r="B569" s="373"/>
      <c r="C569" s="373"/>
      <c r="D569" s="247"/>
      <c r="E569" s="247"/>
      <c r="F569" s="247"/>
      <c r="G569" s="247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</row>
    <row r="570">
      <c r="A570" s="247"/>
      <c r="B570" s="373"/>
      <c r="C570" s="373"/>
      <c r="D570" s="247"/>
      <c r="E570" s="247"/>
      <c r="F570" s="247"/>
      <c r="G570" s="247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</row>
    <row r="571">
      <c r="A571" s="247"/>
      <c r="B571" s="373"/>
      <c r="C571" s="373"/>
      <c r="D571" s="247"/>
      <c r="E571" s="247"/>
      <c r="F571" s="247"/>
      <c r="G571" s="247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</row>
    <row r="572">
      <c r="A572" s="247"/>
      <c r="B572" s="373"/>
      <c r="C572" s="373"/>
      <c r="D572" s="247"/>
      <c r="E572" s="247"/>
      <c r="F572" s="247"/>
      <c r="G572" s="247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</row>
    <row r="573">
      <c r="A573" s="247"/>
      <c r="B573" s="373"/>
      <c r="C573" s="373"/>
      <c r="D573" s="247"/>
      <c r="E573" s="247"/>
      <c r="F573" s="247"/>
      <c r="G573" s="247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</row>
    <row r="574">
      <c r="A574" s="247"/>
      <c r="B574" s="373"/>
      <c r="C574" s="373"/>
      <c r="D574" s="247"/>
      <c r="E574" s="247"/>
      <c r="F574" s="247"/>
      <c r="G574" s="247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</row>
    <row r="575">
      <c r="A575" s="247"/>
      <c r="B575" s="373"/>
      <c r="C575" s="373"/>
      <c r="D575" s="247"/>
      <c r="E575" s="247"/>
      <c r="F575" s="247"/>
      <c r="G575" s="247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</row>
    <row r="576">
      <c r="A576" s="247"/>
      <c r="B576" s="373"/>
      <c r="C576" s="373"/>
      <c r="D576" s="247"/>
      <c r="E576" s="247"/>
      <c r="F576" s="247"/>
      <c r="G576" s="247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</row>
    <row r="577">
      <c r="A577" s="247"/>
      <c r="B577" s="373"/>
      <c r="C577" s="373"/>
      <c r="D577" s="247"/>
      <c r="E577" s="247"/>
      <c r="F577" s="247"/>
      <c r="G577" s="247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</row>
    <row r="578">
      <c r="A578" s="247"/>
      <c r="B578" s="373"/>
      <c r="C578" s="373"/>
      <c r="D578" s="247"/>
      <c r="E578" s="247"/>
      <c r="F578" s="247"/>
      <c r="G578" s="247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</row>
    <row r="579">
      <c r="A579" s="247"/>
      <c r="B579" s="373"/>
      <c r="C579" s="373"/>
      <c r="D579" s="247"/>
      <c r="E579" s="247"/>
      <c r="F579" s="247"/>
      <c r="G579" s="247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</row>
    <row r="580">
      <c r="A580" s="247"/>
      <c r="B580" s="373"/>
      <c r="C580" s="373"/>
      <c r="D580" s="247"/>
      <c r="E580" s="247"/>
      <c r="F580" s="247"/>
      <c r="G580" s="247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</row>
    <row r="581">
      <c r="A581" s="247"/>
      <c r="B581" s="373"/>
      <c r="C581" s="373"/>
      <c r="D581" s="247"/>
      <c r="E581" s="247"/>
      <c r="F581" s="247"/>
      <c r="G581" s="247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</row>
    <row r="582">
      <c r="A582" s="247"/>
      <c r="B582" s="373"/>
      <c r="C582" s="373"/>
      <c r="D582" s="247"/>
      <c r="E582" s="247"/>
      <c r="F582" s="247"/>
      <c r="G582" s="247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</row>
    <row r="583">
      <c r="A583" s="247"/>
      <c r="B583" s="373"/>
      <c r="C583" s="373"/>
      <c r="D583" s="247"/>
      <c r="E583" s="247"/>
      <c r="F583" s="247"/>
      <c r="G583" s="247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</row>
    <row r="584">
      <c r="A584" s="247"/>
      <c r="B584" s="373"/>
      <c r="C584" s="373"/>
      <c r="D584" s="247"/>
      <c r="E584" s="247"/>
      <c r="F584" s="247"/>
      <c r="G584" s="247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</row>
    <row r="585">
      <c r="A585" s="247"/>
      <c r="B585" s="373"/>
      <c r="C585" s="373"/>
      <c r="D585" s="247"/>
      <c r="E585" s="247"/>
      <c r="F585" s="247"/>
      <c r="G585" s="247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</row>
    <row r="586">
      <c r="A586" s="247"/>
      <c r="B586" s="373"/>
      <c r="C586" s="373"/>
      <c r="D586" s="247"/>
      <c r="E586" s="247"/>
      <c r="F586" s="247"/>
      <c r="G586" s="247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</row>
    <row r="587">
      <c r="A587" s="247"/>
      <c r="B587" s="373"/>
      <c r="C587" s="373"/>
      <c r="D587" s="247"/>
      <c r="E587" s="247"/>
      <c r="F587" s="247"/>
      <c r="G587" s="247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</row>
    <row r="588">
      <c r="A588" s="247"/>
      <c r="B588" s="373"/>
      <c r="C588" s="373"/>
      <c r="D588" s="247"/>
      <c r="E588" s="247"/>
      <c r="F588" s="247"/>
      <c r="G588" s="247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</row>
    <row r="589">
      <c r="A589" s="247"/>
      <c r="B589" s="373"/>
      <c r="C589" s="373"/>
      <c r="D589" s="247"/>
      <c r="E589" s="247"/>
      <c r="F589" s="247"/>
      <c r="G589" s="247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</row>
    <row r="590">
      <c r="A590" s="247"/>
      <c r="B590" s="373"/>
      <c r="C590" s="373"/>
      <c r="D590" s="247"/>
      <c r="E590" s="247"/>
      <c r="F590" s="247"/>
      <c r="G590" s="247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</row>
    <row r="591">
      <c r="A591" s="247"/>
      <c r="B591" s="373"/>
      <c r="C591" s="373"/>
      <c r="D591" s="247"/>
      <c r="E591" s="247"/>
      <c r="F591" s="247"/>
      <c r="G591" s="247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</row>
    <row r="592">
      <c r="A592" s="247"/>
      <c r="B592" s="373"/>
      <c r="C592" s="373"/>
      <c r="D592" s="247"/>
      <c r="E592" s="247"/>
      <c r="F592" s="247"/>
      <c r="G592" s="247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</row>
    <row r="593">
      <c r="A593" s="247"/>
      <c r="B593" s="373"/>
      <c r="C593" s="373"/>
      <c r="D593" s="247"/>
      <c r="E593" s="247"/>
      <c r="F593" s="247"/>
      <c r="G593" s="247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</row>
    <row r="594">
      <c r="A594" s="247"/>
      <c r="B594" s="373"/>
      <c r="C594" s="373"/>
      <c r="D594" s="247"/>
      <c r="E594" s="247"/>
      <c r="F594" s="247"/>
      <c r="G594" s="247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</row>
    <row r="595">
      <c r="A595" s="247"/>
      <c r="B595" s="373"/>
      <c r="C595" s="373"/>
      <c r="D595" s="247"/>
      <c r="E595" s="247"/>
      <c r="F595" s="247"/>
      <c r="G595" s="247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</row>
    <row r="596">
      <c r="A596" s="247"/>
      <c r="B596" s="373"/>
      <c r="C596" s="373"/>
      <c r="D596" s="247"/>
      <c r="E596" s="247"/>
      <c r="F596" s="247"/>
      <c r="G596" s="247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</row>
    <row r="597">
      <c r="A597" s="247"/>
      <c r="B597" s="373"/>
      <c r="C597" s="373"/>
      <c r="D597" s="247"/>
      <c r="E597" s="247"/>
      <c r="F597" s="247"/>
      <c r="G597" s="247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</row>
    <row r="598">
      <c r="A598" s="247"/>
      <c r="B598" s="373"/>
      <c r="C598" s="373"/>
      <c r="D598" s="247"/>
      <c r="E598" s="247"/>
      <c r="F598" s="247"/>
      <c r="G598" s="247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</row>
    <row r="599">
      <c r="A599" s="247"/>
      <c r="B599" s="373"/>
      <c r="C599" s="373"/>
      <c r="D599" s="247"/>
      <c r="E599" s="247"/>
      <c r="F599" s="247"/>
      <c r="G599" s="247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</row>
    <row r="600">
      <c r="A600" s="247"/>
      <c r="B600" s="373"/>
      <c r="C600" s="373"/>
      <c r="D600" s="247"/>
      <c r="E600" s="247"/>
      <c r="F600" s="247"/>
      <c r="G600" s="247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</row>
    <row r="601">
      <c r="A601" s="247"/>
      <c r="B601" s="373"/>
      <c r="C601" s="373"/>
      <c r="D601" s="247"/>
      <c r="E601" s="247"/>
      <c r="F601" s="247"/>
      <c r="G601" s="247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</row>
    <row r="602">
      <c r="A602" s="247"/>
      <c r="B602" s="373"/>
      <c r="C602" s="373"/>
      <c r="D602" s="247"/>
      <c r="E602" s="247"/>
      <c r="F602" s="247"/>
      <c r="G602" s="247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</row>
    <row r="603">
      <c r="A603" s="247"/>
      <c r="B603" s="373"/>
      <c r="C603" s="373"/>
      <c r="D603" s="247"/>
      <c r="E603" s="247"/>
      <c r="F603" s="247"/>
      <c r="G603" s="247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</row>
    <row r="604">
      <c r="A604" s="247"/>
      <c r="B604" s="373"/>
      <c r="C604" s="373"/>
      <c r="D604" s="247"/>
      <c r="E604" s="247"/>
      <c r="F604" s="247"/>
      <c r="G604" s="247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</row>
    <row r="605">
      <c r="A605" s="247"/>
      <c r="B605" s="373"/>
      <c r="C605" s="373"/>
      <c r="D605" s="247"/>
      <c r="E605" s="247"/>
      <c r="F605" s="247"/>
      <c r="G605" s="247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</row>
    <row r="606">
      <c r="A606" s="247"/>
      <c r="B606" s="373"/>
      <c r="C606" s="373"/>
      <c r="D606" s="247"/>
      <c r="E606" s="247"/>
      <c r="F606" s="247"/>
      <c r="G606" s="247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</row>
    <row r="607">
      <c r="A607" s="247"/>
      <c r="B607" s="373"/>
      <c r="C607" s="373"/>
      <c r="D607" s="247"/>
      <c r="E607" s="247"/>
      <c r="F607" s="247"/>
      <c r="G607" s="247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</row>
    <row r="608">
      <c r="A608" s="247"/>
      <c r="B608" s="373"/>
      <c r="C608" s="373"/>
      <c r="D608" s="247"/>
      <c r="E608" s="247"/>
      <c r="F608" s="247"/>
      <c r="G608" s="247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</row>
    <row r="609">
      <c r="A609" s="247"/>
      <c r="B609" s="373"/>
      <c r="C609" s="373"/>
      <c r="D609" s="247"/>
      <c r="E609" s="247"/>
      <c r="F609" s="247"/>
      <c r="G609" s="247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</row>
    <row r="610">
      <c r="A610" s="247"/>
      <c r="B610" s="373"/>
      <c r="C610" s="373"/>
      <c r="D610" s="247"/>
      <c r="E610" s="247"/>
      <c r="F610" s="247"/>
      <c r="G610" s="247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</row>
    <row r="611">
      <c r="A611" s="247"/>
      <c r="B611" s="373"/>
      <c r="C611" s="373"/>
      <c r="D611" s="247"/>
      <c r="E611" s="247"/>
      <c r="F611" s="247"/>
      <c r="G611" s="247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</row>
    <row r="612">
      <c r="A612" s="247"/>
      <c r="B612" s="373"/>
      <c r="C612" s="373"/>
      <c r="D612" s="247"/>
      <c r="E612" s="247"/>
      <c r="F612" s="247"/>
      <c r="G612" s="247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</row>
    <row r="613">
      <c r="A613" s="247"/>
      <c r="B613" s="373"/>
      <c r="C613" s="373"/>
      <c r="D613" s="247"/>
      <c r="E613" s="247"/>
      <c r="F613" s="247"/>
      <c r="G613" s="247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</row>
    <row r="614">
      <c r="A614" s="247"/>
      <c r="B614" s="373"/>
      <c r="C614" s="373"/>
      <c r="D614" s="247"/>
      <c r="E614" s="247"/>
      <c r="F614" s="247"/>
      <c r="G614" s="247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</row>
    <row r="615">
      <c r="A615" s="247"/>
      <c r="B615" s="373"/>
      <c r="C615" s="373"/>
      <c r="D615" s="247"/>
      <c r="E615" s="247"/>
      <c r="F615" s="247"/>
      <c r="G615" s="247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</row>
    <row r="616">
      <c r="A616" s="247"/>
      <c r="B616" s="373"/>
      <c r="C616" s="373"/>
      <c r="D616" s="247"/>
      <c r="E616" s="247"/>
      <c r="F616" s="247"/>
      <c r="G616" s="247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</row>
    <row r="617">
      <c r="A617" s="247"/>
      <c r="B617" s="373"/>
      <c r="C617" s="373"/>
      <c r="D617" s="247"/>
      <c r="E617" s="247"/>
      <c r="F617" s="247"/>
      <c r="G617" s="247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</row>
    <row r="618">
      <c r="A618" s="247"/>
      <c r="B618" s="373"/>
      <c r="C618" s="373"/>
      <c r="D618" s="247"/>
      <c r="E618" s="247"/>
      <c r="F618" s="247"/>
      <c r="G618" s="247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</row>
    <row r="619">
      <c r="A619" s="247"/>
      <c r="B619" s="373"/>
      <c r="C619" s="373"/>
      <c r="D619" s="247"/>
      <c r="E619" s="247"/>
      <c r="F619" s="247"/>
      <c r="G619" s="247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</row>
    <row r="620">
      <c r="A620" s="247"/>
      <c r="B620" s="373"/>
      <c r="C620" s="373"/>
      <c r="D620" s="247"/>
      <c r="E620" s="247"/>
      <c r="F620" s="247"/>
      <c r="G620" s="247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</row>
    <row r="621">
      <c r="A621" s="247"/>
      <c r="B621" s="373"/>
      <c r="C621" s="373"/>
      <c r="D621" s="247"/>
      <c r="E621" s="247"/>
      <c r="F621" s="247"/>
      <c r="G621" s="247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</row>
    <row r="622">
      <c r="A622" s="247"/>
      <c r="B622" s="373"/>
      <c r="C622" s="373"/>
      <c r="D622" s="247"/>
      <c r="E622" s="247"/>
      <c r="F622" s="247"/>
      <c r="G622" s="247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</row>
    <row r="623">
      <c r="A623" s="247"/>
      <c r="B623" s="373"/>
      <c r="C623" s="373"/>
      <c r="D623" s="247"/>
      <c r="E623" s="247"/>
      <c r="F623" s="247"/>
      <c r="G623" s="247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</row>
    <row r="624">
      <c r="A624" s="247"/>
      <c r="B624" s="373"/>
      <c r="C624" s="373"/>
      <c r="D624" s="247"/>
      <c r="E624" s="247"/>
      <c r="F624" s="247"/>
      <c r="G624" s="247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</row>
    <row r="625">
      <c r="A625" s="247"/>
      <c r="B625" s="373"/>
      <c r="C625" s="373"/>
      <c r="D625" s="247"/>
      <c r="E625" s="247"/>
      <c r="F625" s="247"/>
      <c r="G625" s="247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</row>
    <row r="626">
      <c r="A626" s="247"/>
      <c r="B626" s="373"/>
      <c r="C626" s="373"/>
      <c r="D626" s="247"/>
      <c r="E626" s="247"/>
      <c r="F626" s="247"/>
      <c r="G626" s="247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</row>
    <row r="627">
      <c r="A627" s="247"/>
      <c r="B627" s="373"/>
      <c r="C627" s="373"/>
      <c r="D627" s="247"/>
      <c r="E627" s="247"/>
      <c r="F627" s="247"/>
      <c r="G627" s="247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</row>
    <row r="628">
      <c r="A628" s="247"/>
      <c r="B628" s="373"/>
      <c r="C628" s="373"/>
      <c r="D628" s="247"/>
      <c r="E628" s="247"/>
      <c r="F628" s="247"/>
      <c r="G628" s="247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</row>
    <row r="629">
      <c r="A629" s="247"/>
      <c r="B629" s="373"/>
      <c r="C629" s="373"/>
      <c r="D629" s="247"/>
      <c r="E629" s="247"/>
      <c r="F629" s="247"/>
      <c r="G629" s="247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</row>
    <row r="630">
      <c r="A630" s="247"/>
      <c r="B630" s="373"/>
      <c r="C630" s="373"/>
      <c r="D630" s="247"/>
      <c r="E630" s="247"/>
      <c r="F630" s="247"/>
      <c r="G630" s="247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</row>
    <row r="631">
      <c r="A631" s="247"/>
      <c r="B631" s="373"/>
      <c r="C631" s="373"/>
      <c r="D631" s="247"/>
      <c r="E631" s="247"/>
      <c r="F631" s="247"/>
      <c r="G631" s="247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</row>
    <row r="632">
      <c r="A632" s="247"/>
      <c r="B632" s="373"/>
      <c r="C632" s="373"/>
      <c r="D632" s="247"/>
      <c r="E632" s="247"/>
      <c r="F632" s="247"/>
      <c r="G632" s="247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</row>
    <row r="633">
      <c r="A633" s="247"/>
      <c r="B633" s="373"/>
      <c r="C633" s="373"/>
      <c r="D633" s="247"/>
      <c r="E633" s="247"/>
      <c r="F633" s="247"/>
      <c r="G633" s="247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</row>
    <row r="634">
      <c r="A634" s="247"/>
      <c r="B634" s="373"/>
      <c r="C634" s="373"/>
      <c r="D634" s="247"/>
      <c r="E634" s="247"/>
      <c r="F634" s="247"/>
      <c r="G634" s="247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</row>
    <row r="635">
      <c r="A635" s="247"/>
      <c r="B635" s="373"/>
      <c r="C635" s="373"/>
      <c r="D635" s="247"/>
      <c r="E635" s="247"/>
      <c r="F635" s="247"/>
      <c r="G635" s="247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</row>
    <row r="636">
      <c r="A636" s="247"/>
      <c r="B636" s="373"/>
      <c r="C636" s="373"/>
      <c r="D636" s="247"/>
      <c r="E636" s="247"/>
      <c r="F636" s="247"/>
      <c r="G636" s="247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</row>
    <row r="637">
      <c r="A637" s="247"/>
      <c r="B637" s="373"/>
      <c r="C637" s="373"/>
      <c r="D637" s="247"/>
      <c r="E637" s="247"/>
      <c r="F637" s="247"/>
      <c r="G637" s="247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</row>
    <row r="638">
      <c r="A638" s="247"/>
      <c r="B638" s="373"/>
      <c r="C638" s="373"/>
      <c r="D638" s="247"/>
      <c r="E638" s="247"/>
      <c r="F638" s="247"/>
      <c r="G638" s="247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</row>
    <row r="639">
      <c r="A639" s="247"/>
      <c r="B639" s="373"/>
      <c r="C639" s="373"/>
      <c r="D639" s="247"/>
      <c r="E639" s="247"/>
      <c r="F639" s="247"/>
      <c r="G639" s="247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</row>
    <row r="640">
      <c r="A640" s="247"/>
      <c r="B640" s="373"/>
      <c r="C640" s="373"/>
      <c r="D640" s="247"/>
      <c r="E640" s="247"/>
      <c r="F640" s="247"/>
      <c r="G640" s="247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</row>
    <row r="641">
      <c r="A641" s="247"/>
      <c r="B641" s="373"/>
      <c r="C641" s="373"/>
      <c r="D641" s="247"/>
      <c r="E641" s="247"/>
      <c r="F641" s="247"/>
      <c r="G641" s="247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</row>
    <row r="642">
      <c r="A642" s="247"/>
      <c r="B642" s="373"/>
      <c r="C642" s="373"/>
      <c r="D642" s="247"/>
      <c r="E642" s="247"/>
      <c r="F642" s="247"/>
      <c r="G642" s="247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</row>
    <row r="643">
      <c r="A643" s="247"/>
      <c r="B643" s="373"/>
      <c r="C643" s="373"/>
      <c r="D643" s="247"/>
      <c r="E643" s="247"/>
      <c r="F643" s="247"/>
      <c r="G643" s="247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</row>
    <row r="644">
      <c r="A644" s="247"/>
      <c r="B644" s="373"/>
      <c r="C644" s="373"/>
      <c r="D644" s="247"/>
      <c r="E644" s="247"/>
      <c r="F644" s="247"/>
      <c r="G644" s="247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</row>
    <row r="645">
      <c r="A645" s="247"/>
      <c r="B645" s="373"/>
      <c r="C645" s="373"/>
      <c r="D645" s="247"/>
      <c r="E645" s="247"/>
      <c r="F645" s="247"/>
      <c r="G645" s="247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</row>
    <row r="646">
      <c r="A646" s="247"/>
      <c r="B646" s="373"/>
      <c r="C646" s="373"/>
      <c r="D646" s="247"/>
      <c r="E646" s="247"/>
      <c r="F646" s="247"/>
      <c r="G646" s="247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</row>
    <row r="647">
      <c r="A647" s="247"/>
      <c r="B647" s="373"/>
      <c r="C647" s="373"/>
      <c r="D647" s="247"/>
      <c r="E647" s="247"/>
      <c r="F647" s="247"/>
      <c r="G647" s="247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</row>
    <row r="648">
      <c r="A648" s="247"/>
      <c r="B648" s="373"/>
      <c r="C648" s="373"/>
      <c r="D648" s="247"/>
      <c r="E648" s="247"/>
      <c r="F648" s="247"/>
      <c r="G648" s="247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</row>
    <row r="649">
      <c r="A649" s="247"/>
      <c r="B649" s="373"/>
      <c r="C649" s="373"/>
      <c r="D649" s="247"/>
      <c r="E649" s="247"/>
      <c r="F649" s="247"/>
      <c r="G649" s="247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</row>
    <row r="650">
      <c r="A650" s="247"/>
      <c r="B650" s="373"/>
      <c r="C650" s="373"/>
      <c r="D650" s="247"/>
      <c r="E650" s="247"/>
      <c r="F650" s="247"/>
      <c r="G650" s="247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</row>
    <row r="651">
      <c r="A651" s="247"/>
      <c r="B651" s="373"/>
      <c r="C651" s="373"/>
      <c r="D651" s="247"/>
      <c r="E651" s="247"/>
      <c r="F651" s="247"/>
      <c r="G651" s="247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</row>
    <row r="652">
      <c r="A652" s="247"/>
      <c r="B652" s="373"/>
      <c r="C652" s="373"/>
      <c r="D652" s="247"/>
      <c r="E652" s="247"/>
      <c r="F652" s="247"/>
      <c r="G652" s="247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</row>
    <row r="653">
      <c r="A653" s="247"/>
      <c r="B653" s="373"/>
      <c r="C653" s="373"/>
      <c r="D653" s="247"/>
      <c r="E653" s="247"/>
      <c r="F653" s="247"/>
      <c r="G653" s="247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</row>
    <row r="654">
      <c r="A654" s="247"/>
      <c r="B654" s="373"/>
      <c r="C654" s="373"/>
      <c r="D654" s="247"/>
      <c r="E654" s="247"/>
      <c r="F654" s="247"/>
      <c r="G654" s="247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</row>
    <row r="655">
      <c r="A655" s="247"/>
      <c r="B655" s="373"/>
      <c r="C655" s="373"/>
      <c r="D655" s="247"/>
      <c r="E655" s="247"/>
      <c r="F655" s="247"/>
      <c r="G655" s="247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</row>
    <row r="656">
      <c r="A656" s="247"/>
      <c r="B656" s="373"/>
      <c r="C656" s="373"/>
      <c r="D656" s="247"/>
      <c r="E656" s="247"/>
      <c r="F656" s="247"/>
      <c r="G656" s="247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</row>
    <row r="657">
      <c r="A657" s="247"/>
      <c r="B657" s="373"/>
      <c r="C657" s="373"/>
      <c r="D657" s="247"/>
      <c r="E657" s="247"/>
      <c r="F657" s="247"/>
      <c r="G657" s="247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</row>
    <row r="658">
      <c r="A658" s="247"/>
      <c r="B658" s="373"/>
      <c r="C658" s="373"/>
      <c r="D658" s="247"/>
      <c r="E658" s="247"/>
      <c r="F658" s="247"/>
      <c r="G658" s="247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</row>
    <row r="659">
      <c r="A659" s="247"/>
      <c r="B659" s="373"/>
      <c r="C659" s="373"/>
      <c r="D659" s="247"/>
      <c r="E659" s="247"/>
      <c r="F659" s="247"/>
      <c r="G659" s="247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</row>
    <row r="660">
      <c r="A660" s="247"/>
      <c r="B660" s="373"/>
      <c r="C660" s="373"/>
      <c r="D660" s="247"/>
      <c r="E660" s="247"/>
      <c r="F660" s="247"/>
      <c r="G660" s="247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</row>
    <row r="661">
      <c r="A661" s="247"/>
      <c r="B661" s="373"/>
      <c r="C661" s="373"/>
      <c r="D661" s="247"/>
      <c r="E661" s="247"/>
      <c r="F661" s="247"/>
      <c r="G661" s="247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</row>
    <row r="662">
      <c r="A662" s="247"/>
      <c r="B662" s="373"/>
      <c r="C662" s="373"/>
      <c r="D662" s="247"/>
      <c r="E662" s="247"/>
      <c r="F662" s="247"/>
      <c r="G662" s="247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</row>
    <row r="663">
      <c r="A663" s="247"/>
      <c r="B663" s="373"/>
      <c r="C663" s="373"/>
      <c r="D663" s="247"/>
      <c r="E663" s="247"/>
      <c r="F663" s="247"/>
      <c r="G663" s="247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</row>
    <row r="664">
      <c r="A664" s="247"/>
      <c r="B664" s="373"/>
      <c r="C664" s="373"/>
      <c r="D664" s="247"/>
      <c r="E664" s="247"/>
      <c r="F664" s="247"/>
      <c r="G664" s="247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</row>
    <row r="665">
      <c r="A665" s="247"/>
      <c r="B665" s="373"/>
      <c r="C665" s="373"/>
      <c r="D665" s="247"/>
      <c r="E665" s="247"/>
      <c r="F665" s="247"/>
      <c r="G665" s="247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</row>
    <row r="666">
      <c r="A666" s="247"/>
      <c r="B666" s="373"/>
      <c r="C666" s="373"/>
      <c r="D666" s="247"/>
      <c r="E666" s="247"/>
      <c r="F666" s="247"/>
      <c r="G666" s="247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</row>
    <row r="667">
      <c r="A667" s="247"/>
      <c r="B667" s="373"/>
      <c r="C667" s="373"/>
      <c r="D667" s="247"/>
      <c r="E667" s="247"/>
      <c r="F667" s="247"/>
      <c r="G667" s="247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</row>
    <row r="668">
      <c r="A668" s="247"/>
      <c r="B668" s="373"/>
      <c r="C668" s="373"/>
      <c r="D668" s="247"/>
      <c r="E668" s="247"/>
      <c r="F668" s="247"/>
      <c r="G668" s="247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</row>
    <row r="669">
      <c r="A669" s="247"/>
      <c r="B669" s="373"/>
      <c r="C669" s="373"/>
      <c r="D669" s="247"/>
      <c r="E669" s="247"/>
      <c r="F669" s="247"/>
      <c r="G669" s="247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</row>
    <row r="670">
      <c r="A670" s="247"/>
      <c r="B670" s="373"/>
      <c r="C670" s="373"/>
      <c r="D670" s="247"/>
      <c r="E670" s="247"/>
      <c r="F670" s="247"/>
      <c r="G670" s="247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</row>
    <row r="671">
      <c r="A671" s="247"/>
      <c r="B671" s="373"/>
      <c r="C671" s="373"/>
      <c r="D671" s="247"/>
      <c r="E671" s="247"/>
      <c r="F671" s="247"/>
      <c r="G671" s="247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</row>
    <row r="672">
      <c r="A672" s="247"/>
      <c r="B672" s="373"/>
      <c r="C672" s="373"/>
      <c r="D672" s="247"/>
      <c r="E672" s="247"/>
      <c r="F672" s="247"/>
      <c r="G672" s="247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</row>
    <row r="673">
      <c r="A673" s="247"/>
      <c r="B673" s="373"/>
      <c r="C673" s="373"/>
      <c r="D673" s="247"/>
      <c r="E673" s="247"/>
      <c r="F673" s="247"/>
      <c r="G673" s="247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</row>
    <row r="674">
      <c r="A674" s="247"/>
      <c r="B674" s="373"/>
      <c r="C674" s="373"/>
      <c r="D674" s="247"/>
      <c r="E674" s="247"/>
      <c r="F674" s="247"/>
      <c r="G674" s="247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</row>
    <row r="675">
      <c r="A675" s="247"/>
      <c r="B675" s="373"/>
      <c r="C675" s="373"/>
      <c r="D675" s="247"/>
      <c r="E675" s="247"/>
      <c r="F675" s="247"/>
      <c r="G675" s="247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</row>
    <row r="676">
      <c r="A676" s="247"/>
      <c r="B676" s="373"/>
      <c r="C676" s="373"/>
      <c r="D676" s="247"/>
      <c r="E676" s="247"/>
      <c r="F676" s="247"/>
      <c r="G676" s="247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</row>
    <row r="677">
      <c r="A677" s="247"/>
      <c r="B677" s="373"/>
      <c r="C677" s="373"/>
      <c r="D677" s="247"/>
      <c r="E677" s="247"/>
      <c r="F677" s="247"/>
      <c r="G677" s="247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</row>
    <row r="678">
      <c r="A678" s="247"/>
      <c r="B678" s="373"/>
      <c r="C678" s="373"/>
      <c r="D678" s="247"/>
      <c r="E678" s="247"/>
      <c r="F678" s="247"/>
      <c r="G678" s="247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</row>
    <row r="679">
      <c r="A679" s="247"/>
      <c r="B679" s="373"/>
      <c r="C679" s="373"/>
      <c r="D679" s="247"/>
      <c r="E679" s="247"/>
      <c r="F679" s="247"/>
      <c r="G679" s="247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</row>
    <row r="680">
      <c r="A680" s="247"/>
      <c r="B680" s="373"/>
      <c r="C680" s="373"/>
      <c r="D680" s="247"/>
      <c r="E680" s="247"/>
      <c r="F680" s="247"/>
      <c r="G680" s="247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</row>
    <row r="681">
      <c r="A681" s="247"/>
      <c r="B681" s="373"/>
      <c r="C681" s="373"/>
      <c r="D681" s="247"/>
      <c r="E681" s="247"/>
      <c r="F681" s="247"/>
      <c r="G681" s="247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</row>
    <row r="682">
      <c r="A682" s="247"/>
      <c r="B682" s="373"/>
      <c r="C682" s="373"/>
      <c r="D682" s="247"/>
      <c r="E682" s="247"/>
      <c r="F682" s="247"/>
      <c r="G682" s="247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</row>
    <row r="683">
      <c r="A683" s="247"/>
      <c r="B683" s="373"/>
      <c r="C683" s="373"/>
      <c r="D683" s="247"/>
      <c r="E683" s="247"/>
      <c r="F683" s="247"/>
      <c r="G683" s="247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</row>
    <row r="684">
      <c r="A684" s="247"/>
      <c r="B684" s="373"/>
      <c r="C684" s="373"/>
      <c r="D684" s="247"/>
      <c r="E684" s="247"/>
      <c r="F684" s="247"/>
      <c r="G684" s="247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</row>
    <row r="685">
      <c r="A685" s="247"/>
      <c r="B685" s="373"/>
      <c r="C685" s="373"/>
      <c r="D685" s="247"/>
      <c r="E685" s="247"/>
      <c r="F685" s="247"/>
      <c r="G685" s="247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</row>
    <row r="686">
      <c r="A686" s="247"/>
      <c r="B686" s="373"/>
      <c r="C686" s="373"/>
      <c r="D686" s="247"/>
      <c r="E686" s="247"/>
      <c r="F686" s="247"/>
      <c r="G686" s="247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</row>
    <row r="687">
      <c r="A687" s="247"/>
      <c r="B687" s="373"/>
      <c r="C687" s="373"/>
      <c r="D687" s="247"/>
      <c r="E687" s="247"/>
      <c r="F687" s="247"/>
      <c r="G687" s="247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</row>
    <row r="688">
      <c r="A688" s="247"/>
      <c r="B688" s="373"/>
      <c r="C688" s="373"/>
      <c r="D688" s="247"/>
      <c r="E688" s="247"/>
      <c r="F688" s="247"/>
      <c r="G688" s="247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</row>
    <row r="689">
      <c r="A689" s="247"/>
      <c r="B689" s="373"/>
      <c r="C689" s="373"/>
      <c r="D689" s="247"/>
      <c r="E689" s="247"/>
      <c r="F689" s="247"/>
      <c r="G689" s="247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</row>
    <row r="690">
      <c r="A690" s="247"/>
      <c r="B690" s="373"/>
      <c r="C690" s="373"/>
      <c r="D690" s="247"/>
      <c r="E690" s="247"/>
      <c r="F690" s="247"/>
      <c r="G690" s="247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</row>
    <row r="691">
      <c r="A691" s="247"/>
      <c r="B691" s="373"/>
      <c r="C691" s="373"/>
      <c r="D691" s="247"/>
      <c r="E691" s="247"/>
      <c r="F691" s="247"/>
      <c r="G691" s="247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</row>
    <row r="692">
      <c r="A692" s="247"/>
      <c r="B692" s="373"/>
      <c r="C692" s="373"/>
      <c r="D692" s="247"/>
      <c r="E692" s="247"/>
      <c r="F692" s="247"/>
      <c r="G692" s="247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</row>
    <row r="693">
      <c r="A693" s="247"/>
      <c r="B693" s="373"/>
      <c r="C693" s="373"/>
      <c r="D693" s="247"/>
      <c r="E693" s="247"/>
      <c r="F693" s="247"/>
      <c r="G693" s="247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</row>
    <row r="694">
      <c r="A694" s="247"/>
      <c r="B694" s="373"/>
      <c r="C694" s="373"/>
      <c r="D694" s="247"/>
      <c r="E694" s="247"/>
      <c r="F694" s="247"/>
      <c r="G694" s="247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</row>
    <row r="695">
      <c r="A695" s="247"/>
      <c r="B695" s="373"/>
      <c r="C695" s="373"/>
      <c r="D695" s="247"/>
      <c r="E695" s="247"/>
      <c r="F695" s="247"/>
      <c r="G695" s="247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</row>
    <row r="696">
      <c r="A696" s="247"/>
      <c r="B696" s="373"/>
      <c r="C696" s="373"/>
      <c r="D696" s="247"/>
      <c r="E696" s="247"/>
      <c r="F696" s="247"/>
      <c r="G696" s="247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</row>
    <row r="697">
      <c r="A697" s="247"/>
      <c r="B697" s="373"/>
      <c r="C697" s="373"/>
      <c r="D697" s="247"/>
      <c r="E697" s="247"/>
      <c r="F697" s="247"/>
      <c r="G697" s="247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</row>
    <row r="698">
      <c r="A698" s="247"/>
      <c r="B698" s="373"/>
      <c r="C698" s="373"/>
      <c r="D698" s="247"/>
      <c r="E698" s="247"/>
      <c r="F698" s="247"/>
      <c r="G698" s="247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</row>
    <row r="699">
      <c r="A699" s="247"/>
      <c r="B699" s="373"/>
      <c r="C699" s="373"/>
      <c r="D699" s="247"/>
      <c r="E699" s="247"/>
      <c r="F699" s="247"/>
      <c r="G699" s="247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</row>
    <row r="700">
      <c r="A700" s="247"/>
      <c r="B700" s="373"/>
      <c r="C700" s="373"/>
      <c r="D700" s="247"/>
      <c r="E700" s="247"/>
      <c r="F700" s="247"/>
      <c r="G700" s="247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</row>
    <row r="701">
      <c r="A701" s="247"/>
      <c r="B701" s="373"/>
      <c r="C701" s="373"/>
      <c r="D701" s="247"/>
      <c r="E701" s="247"/>
      <c r="F701" s="247"/>
      <c r="G701" s="247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</row>
    <row r="702">
      <c r="A702" s="247"/>
      <c r="B702" s="373"/>
      <c r="C702" s="373"/>
      <c r="D702" s="247"/>
      <c r="E702" s="247"/>
      <c r="F702" s="247"/>
      <c r="G702" s="247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</row>
    <row r="703">
      <c r="A703" s="247"/>
      <c r="B703" s="373"/>
      <c r="C703" s="373"/>
      <c r="D703" s="247"/>
      <c r="E703" s="247"/>
      <c r="F703" s="247"/>
      <c r="G703" s="247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</row>
    <row r="704">
      <c r="A704" s="247"/>
      <c r="B704" s="373"/>
      <c r="C704" s="373"/>
      <c r="D704" s="247"/>
      <c r="E704" s="247"/>
      <c r="F704" s="247"/>
      <c r="G704" s="247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</row>
    <row r="705">
      <c r="A705" s="247"/>
      <c r="B705" s="373"/>
      <c r="C705" s="373"/>
      <c r="D705" s="247"/>
      <c r="E705" s="247"/>
      <c r="F705" s="247"/>
      <c r="G705" s="247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</row>
    <row r="706">
      <c r="A706" s="247"/>
      <c r="B706" s="373"/>
      <c r="C706" s="373"/>
      <c r="D706" s="247"/>
      <c r="E706" s="247"/>
      <c r="F706" s="247"/>
      <c r="G706" s="247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</row>
    <row r="707">
      <c r="A707" s="247"/>
      <c r="B707" s="373"/>
      <c r="C707" s="373"/>
      <c r="D707" s="247"/>
      <c r="E707" s="247"/>
      <c r="F707" s="247"/>
      <c r="G707" s="247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</row>
    <row r="708">
      <c r="A708" s="247"/>
      <c r="B708" s="373"/>
      <c r="C708" s="373"/>
      <c r="D708" s="247"/>
      <c r="E708" s="247"/>
      <c r="F708" s="247"/>
      <c r="G708" s="247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</row>
    <row r="709">
      <c r="A709" s="247"/>
      <c r="B709" s="373"/>
      <c r="C709" s="373"/>
      <c r="D709" s="247"/>
      <c r="E709" s="247"/>
      <c r="F709" s="247"/>
      <c r="G709" s="247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</row>
    <row r="710">
      <c r="A710" s="247"/>
      <c r="B710" s="373"/>
      <c r="C710" s="373"/>
      <c r="D710" s="247"/>
      <c r="E710" s="247"/>
      <c r="F710" s="247"/>
      <c r="G710" s="247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</row>
    <row r="711">
      <c r="A711" s="247"/>
      <c r="B711" s="373"/>
      <c r="C711" s="373"/>
      <c r="D711" s="247"/>
      <c r="E711" s="247"/>
      <c r="F711" s="247"/>
      <c r="G711" s="247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</row>
    <row r="712">
      <c r="A712" s="247"/>
      <c r="B712" s="373"/>
      <c r="C712" s="373"/>
      <c r="D712" s="247"/>
      <c r="E712" s="247"/>
      <c r="F712" s="247"/>
      <c r="G712" s="247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</row>
    <row r="713">
      <c r="A713" s="247"/>
      <c r="B713" s="373"/>
      <c r="C713" s="373"/>
      <c r="D713" s="247"/>
      <c r="E713" s="247"/>
      <c r="F713" s="247"/>
      <c r="G713" s="247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</row>
    <row r="714">
      <c r="A714" s="247"/>
      <c r="B714" s="373"/>
      <c r="C714" s="373"/>
      <c r="D714" s="247"/>
      <c r="E714" s="247"/>
      <c r="F714" s="247"/>
      <c r="G714" s="247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</row>
    <row r="715">
      <c r="A715" s="247"/>
      <c r="B715" s="373"/>
      <c r="C715" s="373"/>
      <c r="D715" s="247"/>
      <c r="E715" s="247"/>
      <c r="F715" s="247"/>
      <c r="G715" s="247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</row>
    <row r="716">
      <c r="A716" s="247"/>
      <c r="B716" s="373"/>
      <c r="C716" s="373"/>
      <c r="D716" s="247"/>
      <c r="E716" s="247"/>
      <c r="F716" s="247"/>
      <c r="G716" s="247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</row>
    <row r="717">
      <c r="A717" s="247"/>
      <c r="B717" s="373"/>
      <c r="C717" s="373"/>
      <c r="D717" s="247"/>
      <c r="E717" s="247"/>
      <c r="F717" s="247"/>
      <c r="G717" s="247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</row>
    <row r="718">
      <c r="A718" s="247"/>
      <c r="B718" s="373"/>
      <c r="C718" s="373"/>
      <c r="D718" s="247"/>
      <c r="E718" s="247"/>
      <c r="F718" s="247"/>
      <c r="G718" s="247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</row>
    <row r="719">
      <c r="A719" s="247"/>
      <c r="B719" s="373"/>
      <c r="C719" s="373"/>
      <c r="D719" s="247"/>
      <c r="E719" s="247"/>
      <c r="F719" s="247"/>
      <c r="G719" s="247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</row>
    <row r="720">
      <c r="A720" s="247"/>
      <c r="B720" s="373"/>
      <c r="C720" s="373"/>
      <c r="D720" s="247"/>
      <c r="E720" s="247"/>
      <c r="F720" s="247"/>
      <c r="G720" s="247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</row>
    <row r="721">
      <c r="A721" s="247"/>
      <c r="B721" s="373"/>
      <c r="C721" s="373"/>
      <c r="D721" s="247"/>
      <c r="E721" s="247"/>
      <c r="F721" s="247"/>
      <c r="G721" s="247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</row>
    <row r="722">
      <c r="A722" s="247"/>
      <c r="B722" s="373"/>
      <c r="C722" s="373"/>
      <c r="D722" s="247"/>
      <c r="E722" s="247"/>
      <c r="F722" s="247"/>
      <c r="G722" s="247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</row>
    <row r="723">
      <c r="A723" s="247"/>
      <c r="B723" s="373"/>
      <c r="C723" s="373"/>
      <c r="D723" s="247"/>
      <c r="E723" s="247"/>
      <c r="F723" s="247"/>
      <c r="G723" s="247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</row>
    <row r="724">
      <c r="A724" s="247"/>
      <c r="B724" s="373"/>
      <c r="C724" s="373"/>
      <c r="D724" s="247"/>
      <c r="E724" s="247"/>
      <c r="F724" s="247"/>
      <c r="G724" s="247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</row>
    <row r="725">
      <c r="A725" s="247"/>
      <c r="B725" s="373"/>
      <c r="C725" s="373"/>
      <c r="D725" s="247"/>
      <c r="E725" s="247"/>
      <c r="F725" s="247"/>
      <c r="G725" s="247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</row>
    <row r="726">
      <c r="A726" s="247"/>
      <c r="B726" s="373"/>
      <c r="C726" s="373"/>
      <c r="D726" s="247"/>
      <c r="E726" s="247"/>
      <c r="F726" s="247"/>
      <c r="G726" s="247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</row>
    <row r="727">
      <c r="A727" s="247"/>
      <c r="B727" s="373"/>
      <c r="C727" s="373"/>
      <c r="D727" s="247"/>
      <c r="E727" s="247"/>
      <c r="F727" s="247"/>
      <c r="G727" s="247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</row>
    <row r="728">
      <c r="A728" s="247"/>
      <c r="B728" s="373"/>
      <c r="C728" s="373"/>
      <c r="D728" s="247"/>
      <c r="E728" s="247"/>
      <c r="F728" s="247"/>
      <c r="G728" s="247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</row>
    <row r="729">
      <c r="A729" s="247"/>
      <c r="B729" s="373"/>
      <c r="C729" s="373"/>
      <c r="D729" s="247"/>
      <c r="E729" s="247"/>
      <c r="F729" s="247"/>
      <c r="G729" s="247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</row>
    <row r="730">
      <c r="A730" s="247"/>
      <c r="B730" s="373"/>
      <c r="C730" s="373"/>
      <c r="D730" s="247"/>
      <c r="E730" s="247"/>
      <c r="F730" s="247"/>
      <c r="G730" s="247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</row>
    <row r="731">
      <c r="A731" s="247"/>
      <c r="B731" s="373"/>
      <c r="C731" s="373"/>
      <c r="D731" s="247"/>
      <c r="E731" s="247"/>
      <c r="F731" s="247"/>
      <c r="G731" s="247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</row>
    <row r="732">
      <c r="A732" s="247"/>
      <c r="B732" s="373"/>
      <c r="C732" s="373"/>
      <c r="D732" s="247"/>
      <c r="E732" s="247"/>
      <c r="F732" s="247"/>
      <c r="G732" s="247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</row>
    <row r="733">
      <c r="A733" s="247"/>
      <c r="B733" s="373"/>
      <c r="C733" s="373"/>
      <c r="D733" s="247"/>
      <c r="E733" s="247"/>
      <c r="F733" s="247"/>
      <c r="G733" s="247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</row>
    <row r="734">
      <c r="A734" s="247"/>
      <c r="B734" s="373"/>
      <c r="C734" s="373"/>
      <c r="D734" s="247"/>
      <c r="E734" s="247"/>
      <c r="F734" s="247"/>
      <c r="G734" s="247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</row>
    <row r="735">
      <c r="A735" s="247"/>
      <c r="B735" s="373"/>
      <c r="C735" s="373"/>
      <c r="D735" s="247"/>
      <c r="E735" s="247"/>
      <c r="F735" s="247"/>
      <c r="G735" s="247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</row>
    <row r="736">
      <c r="A736" s="247"/>
      <c r="B736" s="373"/>
      <c r="C736" s="373"/>
      <c r="D736" s="247"/>
      <c r="E736" s="247"/>
      <c r="F736" s="247"/>
      <c r="G736" s="247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</row>
    <row r="737">
      <c r="A737" s="247"/>
      <c r="B737" s="373"/>
      <c r="C737" s="373"/>
      <c r="D737" s="247"/>
      <c r="E737" s="247"/>
      <c r="F737" s="247"/>
      <c r="G737" s="247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</row>
    <row r="738">
      <c r="A738" s="247"/>
      <c r="B738" s="373"/>
      <c r="C738" s="373"/>
      <c r="D738" s="247"/>
      <c r="E738" s="247"/>
      <c r="F738" s="247"/>
      <c r="G738" s="247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</row>
    <row r="739">
      <c r="A739" s="247"/>
      <c r="B739" s="373"/>
      <c r="C739" s="373"/>
      <c r="D739" s="247"/>
      <c r="E739" s="247"/>
      <c r="F739" s="247"/>
      <c r="G739" s="247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</row>
    <row r="740">
      <c r="A740" s="247"/>
      <c r="B740" s="373"/>
      <c r="C740" s="373"/>
      <c r="D740" s="247"/>
      <c r="E740" s="247"/>
      <c r="F740" s="247"/>
      <c r="G740" s="247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</row>
    <row r="741">
      <c r="A741" s="247"/>
      <c r="B741" s="373"/>
      <c r="C741" s="373"/>
      <c r="D741" s="247"/>
      <c r="E741" s="247"/>
      <c r="F741" s="247"/>
      <c r="G741" s="247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</row>
    <row r="742">
      <c r="A742" s="247"/>
      <c r="B742" s="373"/>
      <c r="C742" s="373"/>
      <c r="D742" s="247"/>
      <c r="E742" s="247"/>
      <c r="F742" s="247"/>
      <c r="G742" s="247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</row>
    <row r="743">
      <c r="A743" s="247"/>
      <c r="B743" s="373"/>
      <c r="C743" s="373"/>
      <c r="D743" s="247"/>
      <c r="E743" s="247"/>
      <c r="F743" s="247"/>
      <c r="G743" s="247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</row>
    <row r="744">
      <c r="A744" s="247"/>
      <c r="B744" s="373"/>
      <c r="C744" s="373"/>
      <c r="D744" s="247"/>
      <c r="E744" s="247"/>
      <c r="F744" s="247"/>
      <c r="G744" s="247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</row>
    <row r="745">
      <c r="A745" s="247"/>
      <c r="B745" s="373"/>
      <c r="C745" s="373"/>
      <c r="D745" s="247"/>
      <c r="E745" s="247"/>
      <c r="F745" s="247"/>
      <c r="G745" s="247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</row>
    <row r="746">
      <c r="A746" s="247"/>
      <c r="B746" s="373"/>
      <c r="C746" s="373"/>
      <c r="D746" s="247"/>
      <c r="E746" s="247"/>
      <c r="F746" s="247"/>
      <c r="G746" s="247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</row>
    <row r="747">
      <c r="A747" s="247"/>
      <c r="B747" s="373"/>
      <c r="C747" s="373"/>
      <c r="D747" s="247"/>
      <c r="E747" s="247"/>
      <c r="F747" s="247"/>
      <c r="G747" s="247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</row>
    <row r="748">
      <c r="A748" s="247"/>
      <c r="B748" s="373"/>
      <c r="C748" s="373"/>
      <c r="D748" s="247"/>
      <c r="E748" s="247"/>
      <c r="F748" s="247"/>
      <c r="G748" s="247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</row>
    <row r="749">
      <c r="A749" s="247"/>
      <c r="B749" s="373"/>
      <c r="C749" s="373"/>
      <c r="D749" s="247"/>
      <c r="E749" s="247"/>
      <c r="F749" s="247"/>
      <c r="G749" s="247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</row>
    <row r="750">
      <c r="A750" s="247"/>
      <c r="B750" s="373"/>
      <c r="C750" s="373"/>
      <c r="D750" s="247"/>
      <c r="E750" s="247"/>
      <c r="F750" s="247"/>
      <c r="G750" s="247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</row>
    <row r="751">
      <c r="A751" s="247"/>
      <c r="B751" s="373"/>
      <c r="C751" s="373"/>
      <c r="D751" s="247"/>
      <c r="E751" s="247"/>
      <c r="F751" s="247"/>
      <c r="G751" s="247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</row>
    <row r="752">
      <c r="A752" s="247"/>
      <c r="B752" s="373"/>
      <c r="C752" s="373"/>
      <c r="D752" s="247"/>
      <c r="E752" s="247"/>
      <c r="F752" s="247"/>
      <c r="G752" s="247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</row>
    <row r="753">
      <c r="A753" s="247"/>
      <c r="B753" s="373"/>
      <c r="C753" s="373"/>
      <c r="D753" s="247"/>
      <c r="E753" s="247"/>
      <c r="F753" s="247"/>
      <c r="G753" s="247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</row>
    <row r="754">
      <c r="A754" s="247"/>
      <c r="B754" s="373"/>
      <c r="C754" s="373"/>
      <c r="D754" s="247"/>
      <c r="E754" s="247"/>
      <c r="F754" s="247"/>
      <c r="G754" s="247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</row>
    <row r="755">
      <c r="A755" s="247"/>
      <c r="B755" s="373"/>
      <c r="C755" s="373"/>
      <c r="D755" s="247"/>
      <c r="E755" s="247"/>
      <c r="F755" s="247"/>
      <c r="G755" s="247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</row>
    <row r="756">
      <c r="A756" s="247"/>
      <c r="B756" s="373"/>
      <c r="C756" s="373"/>
      <c r="D756" s="247"/>
      <c r="E756" s="247"/>
      <c r="F756" s="247"/>
      <c r="G756" s="247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</row>
    <row r="757">
      <c r="A757" s="247"/>
      <c r="B757" s="373"/>
      <c r="C757" s="373"/>
      <c r="D757" s="247"/>
      <c r="E757" s="247"/>
      <c r="F757" s="247"/>
      <c r="G757" s="247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</row>
    <row r="758">
      <c r="A758" s="247"/>
      <c r="B758" s="373"/>
      <c r="C758" s="373"/>
      <c r="D758" s="247"/>
      <c r="E758" s="247"/>
      <c r="F758" s="247"/>
      <c r="G758" s="247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</row>
    <row r="759">
      <c r="A759" s="247"/>
      <c r="B759" s="373"/>
      <c r="C759" s="373"/>
      <c r="D759" s="247"/>
      <c r="E759" s="247"/>
      <c r="F759" s="247"/>
      <c r="G759" s="247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</row>
    <row r="760">
      <c r="A760" s="247"/>
      <c r="B760" s="373"/>
      <c r="C760" s="373"/>
      <c r="D760" s="247"/>
      <c r="E760" s="247"/>
      <c r="F760" s="247"/>
      <c r="G760" s="247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</row>
    <row r="761">
      <c r="A761" s="247"/>
      <c r="B761" s="373"/>
      <c r="C761" s="373"/>
      <c r="D761" s="247"/>
      <c r="E761" s="247"/>
      <c r="F761" s="247"/>
      <c r="G761" s="247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</row>
    <row r="762">
      <c r="A762" s="247"/>
      <c r="B762" s="373"/>
      <c r="C762" s="373"/>
      <c r="D762" s="247"/>
      <c r="E762" s="247"/>
      <c r="F762" s="247"/>
      <c r="G762" s="247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</row>
    <row r="763">
      <c r="A763" s="247"/>
      <c r="B763" s="373"/>
      <c r="C763" s="373"/>
      <c r="D763" s="247"/>
      <c r="E763" s="247"/>
      <c r="F763" s="247"/>
      <c r="G763" s="247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</row>
    <row r="764">
      <c r="A764" s="247"/>
      <c r="B764" s="373"/>
      <c r="C764" s="373"/>
      <c r="D764" s="247"/>
      <c r="E764" s="247"/>
      <c r="F764" s="247"/>
      <c r="G764" s="247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</row>
    <row r="765">
      <c r="A765" s="247"/>
      <c r="B765" s="373"/>
      <c r="C765" s="373"/>
      <c r="D765" s="247"/>
      <c r="E765" s="247"/>
      <c r="F765" s="247"/>
      <c r="G765" s="247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</row>
    <row r="766">
      <c r="A766" s="247"/>
      <c r="B766" s="373"/>
      <c r="C766" s="373"/>
      <c r="D766" s="247"/>
      <c r="E766" s="247"/>
      <c r="F766" s="247"/>
      <c r="G766" s="247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</row>
    <row r="767">
      <c r="A767" s="247"/>
      <c r="B767" s="373"/>
      <c r="C767" s="373"/>
      <c r="D767" s="247"/>
      <c r="E767" s="247"/>
      <c r="F767" s="247"/>
      <c r="G767" s="247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</row>
    <row r="768">
      <c r="A768" s="247"/>
      <c r="B768" s="373"/>
      <c r="C768" s="373"/>
      <c r="D768" s="247"/>
      <c r="E768" s="247"/>
      <c r="F768" s="247"/>
      <c r="G768" s="247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</row>
    <row r="769">
      <c r="A769" s="247"/>
      <c r="B769" s="373"/>
      <c r="C769" s="373"/>
      <c r="D769" s="247"/>
      <c r="E769" s="247"/>
      <c r="F769" s="247"/>
      <c r="G769" s="247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</row>
    <row r="770">
      <c r="A770" s="247"/>
      <c r="B770" s="373"/>
      <c r="C770" s="373"/>
      <c r="D770" s="247"/>
      <c r="E770" s="247"/>
      <c r="F770" s="247"/>
      <c r="G770" s="247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</row>
    <row r="771">
      <c r="A771" s="247"/>
      <c r="B771" s="373"/>
      <c r="C771" s="373"/>
      <c r="D771" s="247"/>
      <c r="E771" s="247"/>
      <c r="F771" s="247"/>
      <c r="G771" s="247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</row>
    <row r="772">
      <c r="A772" s="247"/>
      <c r="B772" s="373"/>
      <c r="C772" s="373"/>
      <c r="D772" s="247"/>
      <c r="E772" s="247"/>
      <c r="F772" s="247"/>
      <c r="G772" s="247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</row>
    <row r="773">
      <c r="A773" s="247"/>
      <c r="B773" s="373"/>
      <c r="C773" s="373"/>
      <c r="D773" s="247"/>
      <c r="E773" s="247"/>
      <c r="F773" s="247"/>
      <c r="G773" s="247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</row>
    <row r="774">
      <c r="A774" s="247"/>
      <c r="B774" s="373"/>
      <c r="C774" s="373"/>
      <c r="D774" s="247"/>
      <c r="E774" s="247"/>
      <c r="F774" s="247"/>
      <c r="G774" s="247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</row>
    <row r="775">
      <c r="A775" s="247"/>
      <c r="B775" s="373"/>
      <c r="C775" s="373"/>
      <c r="D775" s="247"/>
      <c r="E775" s="247"/>
      <c r="F775" s="247"/>
      <c r="G775" s="247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</row>
    <row r="776">
      <c r="A776" s="247"/>
      <c r="B776" s="373"/>
      <c r="C776" s="373"/>
      <c r="D776" s="247"/>
      <c r="E776" s="247"/>
      <c r="F776" s="247"/>
      <c r="G776" s="247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</row>
    <row r="777">
      <c r="A777" s="247"/>
      <c r="B777" s="373"/>
      <c r="C777" s="373"/>
      <c r="D777" s="247"/>
      <c r="E777" s="247"/>
      <c r="F777" s="247"/>
      <c r="G777" s="247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</row>
    <row r="778">
      <c r="A778" s="247"/>
      <c r="B778" s="373"/>
      <c r="C778" s="373"/>
      <c r="D778" s="247"/>
      <c r="E778" s="247"/>
      <c r="F778" s="247"/>
      <c r="G778" s="247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</row>
    <row r="779">
      <c r="A779" s="247"/>
      <c r="B779" s="373"/>
      <c r="C779" s="373"/>
      <c r="D779" s="247"/>
      <c r="E779" s="247"/>
      <c r="F779" s="247"/>
      <c r="G779" s="247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</row>
    <row r="780">
      <c r="A780" s="247"/>
      <c r="B780" s="373"/>
      <c r="C780" s="373"/>
      <c r="D780" s="247"/>
      <c r="E780" s="247"/>
      <c r="F780" s="247"/>
      <c r="G780" s="247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</row>
    <row r="781">
      <c r="A781" s="247"/>
      <c r="B781" s="373"/>
      <c r="C781" s="373"/>
      <c r="D781" s="247"/>
      <c r="E781" s="247"/>
      <c r="F781" s="247"/>
      <c r="G781" s="247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</row>
    <row r="782">
      <c r="A782" s="247"/>
      <c r="B782" s="373"/>
      <c r="C782" s="373"/>
      <c r="D782" s="247"/>
      <c r="E782" s="247"/>
      <c r="F782" s="247"/>
      <c r="G782" s="247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</row>
    <row r="783">
      <c r="A783" s="247"/>
      <c r="B783" s="373"/>
      <c r="C783" s="373"/>
      <c r="D783" s="247"/>
      <c r="E783" s="247"/>
      <c r="F783" s="247"/>
      <c r="G783" s="247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</row>
    <row r="784">
      <c r="A784" s="247"/>
      <c r="B784" s="373"/>
      <c r="C784" s="373"/>
      <c r="D784" s="247"/>
      <c r="E784" s="247"/>
      <c r="F784" s="247"/>
      <c r="G784" s="247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</row>
    <row r="785">
      <c r="A785" s="247"/>
      <c r="B785" s="373"/>
      <c r="C785" s="373"/>
      <c r="D785" s="247"/>
      <c r="E785" s="247"/>
      <c r="F785" s="247"/>
      <c r="G785" s="247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</row>
    <row r="786">
      <c r="A786" s="247"/>
      <c r="B786" s="373"/>
      <c r="C786" s="373"/>
      <c r="D786" s="247"/>
      <c r="E786" s="247"/>
      <c r="F786" s="247"/>
      <c r="G786" s="247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</row>
    <row r="787">
      <c r="A787" s="247"/>
      <c r="B787" s="373"/>
      <c r="C787" s="373"/>
      <c r="D787" s="247"/>
      <c r="E787" s="247"/>
      <c r="F787" s="247"/>
      <c r="G787" s="247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</row>
    <row r="788">
      <c r="A788" s="247"/>
      <c r="B788" s="373"/>
      <c r="C788" s="373"/>
      <c r="D788" s="247"/>
      <c r="E788" s="247"/>
      <c r="F788" s="247"/>
      <c r="G788" s="247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</row>
    <row r="789">
      <c r="A789" s="247"/>
      <c r="B789" s="373"/>
      <c r="C789" s="373"/>
      <c r="D789" s="247"/>
      <c r="E789" s="247"/>
      <c r="F789" s="247"/>
      <c r="G789" s="247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</row>
    <row r="790">
      <c r="A790" s="247"/>
      <c r="B790" s="373"/>
      <c r="C790" s="373"/>
      <c r="D790" s="247"/>
      <c r="E790" s="247"/>
      <c r="F790" s="247"/>
      <c r="G790" s="247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</row>
    <row r="791">
      <c r="A791" s="247"/>
      <c r="B791" s="373"/>
      <c r="C791" s="373"/>
      <c r="D791" s="247"/>
      <c r="E791" s="247"/>
      <c r="F791" s="247"/>
      <c r="G791" s="247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</row>
    <row r="792">
      <c r="A792" s="247"/>
      <c r="B792" s="373"/>
      <c r="C792" s="373"/>
      <c r="D792" s="247"/>
      <c r="E792" s="247"/>
      <c r="F792" s="247"/>
      <c r="G792" s="247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</row>
    <row r="793">
      <c r="A793" s="247"/>
      <c r="B793" s="373"/>
      <c r="C793" s="373"/>
      <c r="D793" s="247"/>
      <c r="E793" s="247"/>
      <c r="F793" s="247"/>
      <c r="G793" s="247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</row>
    <row r="794">
      <c r="A794" s="247"/>
      <c r="B794" s="373"/>
      <c r="C794" s="373"/>
      <c r="D794" s="247"/>
      <c r="E794" s="247"/>
      <c r="F794" s="247"/>
      <c r="G794" s="247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</row>
    <row r="795">
      <c r="A795" s="247"/>
      <c r="B795" s="373"/>
      <c r="C795" s="373"/>
      <c r="D795" s="247"/>
      <c r="E795" s="247"/>
      <c r="F795" s="247"/>
      <c r="G795" s="247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</row>
    <row r="796">
      <c r="A796" s="247"/>
      <c r="B796" s="373"/>
      <c r="C796" s="373"/>
      <c r="D796" s="247"/>
      <c r="E796" s="247"/>
      <c r="F796" s="247"/>
      <c r="G796" s="247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</row>
    <row r="797">
      <c r="A797" s="247"/>
      <c r="B797" s="373"/>
      <c r="C797" s="373"/>
      <c r="D797" s="247"/>
      <c r="E797" s="247"/>
      <c r="F797" s="247"/>
      <c r="G797" s="247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</row>
    <row r="798">
      <c r="A798" s="247"/>
      <c r="B798" s="373"/>
      <c r="C798" s="373"/>
      <c r="D798" s="247"/>
      <c r="E798" s="247"/>
      <c r="F798" s="247"/>
      <c r="G798" s="247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</row>
    <row r="799">
      <c r="A799" s="247"/>
      <c r="B799" s="373"/>
      <c r="C799" s="373"/>
      <c r="D799" s="247"/>
      <c r="E799" s="247"/>
      <c r="F799" s="247"/>
      <c r="G799" s="247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</row>
    <row r="800">
      <c r="A800" s="247"/>
      <c r="B800" s="373"/>
      <c r="C800" s="373"/>
      <c r="D800" s="247"/>
      <c r="E800" s="247"/>
      <c r="F800" s="247"/>
      <c r="G800" s="247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</row>
    <row r="801">
      <c r="A801" s="247"/>
      <c r="B801" s="373"/>
      <c r="C801" s="373"/>
      <c r="D801" s="247"/>
      <c r="E801" s="247"/>
      <c r="F801" s="247"/>
      <c r="G801" s="247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</row>
    <row r="802">
      <c r="A802" s="247"/>
      <c r="B802" s="373"/>
      <c r="C802" s="373"/>
      <c r="D802" s="247"/>
      <c r="E802" s="247"/>
      <c r="F802" s="247"/>
      <c r="G802" s="247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</row>
    <row r="803">
      <c r="A803" s="247"/>
      <c r="B803" s="373"/>
      <c r="C803" s="373"/>
      <c r="D803" s="247"/>
      <c r="E803" s="247"/>
      <c r="F803" s="247"/>
      <c r="G803" s="247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</row>
    <row r="804">
      <c r="A804" s="247"/>
      <c r="B804" s="373"/>
      <c r="C804" s="373"/>
      <c r="D804" s="247"/>
      <c r="E804" s="247"/>
      <c r="F804" s="247"/>
      <c r="G804" s="247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</row>
    <row r="805">
      <c r="A805" s="247"/>
      <c r="B805" s="373"/>
      <c r="C805" s="373"/>
      <c r="D805" s="247"/>
      <c r="E805" s="247"/>
      <c r="F805" s="247"/>
      <c r="G805" s="247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</row>
    <row r="806">
      <c r="A806" s="247"/>
      <c r="B806" s="373"/>
      <c r="C806" s="373"/>
      <c r="D806" s="247"/>
      <c r="E806" s="247"/>
      <c r="F806" s="247"/>
      <c r="G806" s="247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</row>
    <row r="807">
      <c r="A807" s="247"/>
      <c r="B807" s="373"/>
      <c r="C807" s="373"/>
      <c r="D807" s="247"/>
      <c r="E807" s="247"/>
      <c r="F807" s="247"/>
      <c r="G807" s="247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</row>
    <row r="808">
      <c r="A808" s="247"/>
      <c r="B808" s="373"/>
      <c r="C808" s="373"/>
      <c r="D808" s="247"/>
      <c r="E808" s="247"/>
      <c r="F808" s="247"/>
      <c r="G808" s="247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</row>
    <row r="809">
      <c r="A809" s="247"/>
      <c r="B809" s="373"/>
      <c r="C809" s="373"/>
      <c r="D809" s="247"/>
      <c r="E809" s="247"/>
      <c r="F809" s="247"/>
      <c r="G809" s="247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</row>
    <row r="810">
      <c r="A810" s="247"/>
      <c r="B810" s="373"/>
      <c r="C810" s="373"/>
      <c r="D810" s="247"/>
      <c r="E810" s="247"/>
      <c r="F810" s="247"/>
      <c r="G810" s="247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</row>
    <row r="811">
      <c r="A811" s="247"/>
      <c r="B811" s="373"/>
      <c r="C811" s="373"/>
      <c r="D811" s="247"/>
      <c r="E811" s="247"/>
      <c r="F811" s="247"/>
      <c r="G811" s="247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</row>
    <row r="812">
      <c r="A812" s="247"/>
      <c r="B812" s="373"/>
      <c r="C812" s="373"/>
      <c r="D812" s="247"/>
      <c r="E812" s="247"/>
      <c r="F812" s="247"/>
      <c r="G812" s="247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</row>
    <row r="813">
      <c r="A813" s="247"/>
      <c r="B813" s="373"/>
      <c r="C813" s="373"/>
      <c r="D813" s="247"/>
      <c r="E813" s="247"/>
      <c r="F813" s="247"/>
      <c r="G813" s="247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</row>
    <row r="814">
      <c r="A814" s="247"/>
      <c r="B814" s="373"/>
      <c r="C814" s="373"/>
      <c r="D814" s="247"/>
      <c r="E814" s="247"/>
      <c r="F814" s="247"/>
      <c r="G814" s="247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</row>
    <row r="815">
      <c r="A815" s="247"/>
      <c r="B815" s="373"/>
      <c r="C815" s="373"/>
      <c r="D815" s="247"/>
      <c r="E815" s="247"/>
      <c r="F815" s="247"/>
      <c r="G815" s="247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</row>
    <row r="816">
      <c r="A816" s="247"/>
      <c r="B816" s="373"/>
      <c r="C816" s="373"/>
      <c r="D816" s="247"/>
      <c r="E816" s="247"/>
      <c r="F816" s="247"/>
      <c r="G816" s="247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</row>
    <row r="817">
      <c r="A817" s="247"/>
      <c r="B817" s="373"/>
      <c r="C817" s="373"/>
      <c r="D817" s="247"/>
      <c r="E817" s="247"/>
      <c r="F817" s="247"/>
      <c r="G817" s="247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</row>
    <row r="818">
      <c r="A818" s="247"/>
      <c r="B818" s="373"/>
      <c r="C818" s="373"/>
      <c r="D818" s="247"/>
      <c r="E818" s="247"/>
      <c r="F818" s="247"/>
      <c r="G818" s="247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</row>
    <row r="819">
      <c r="A819" s="247"/>
      <c r="B819" s="373"/>
      <c r="C819" s="373"/>
      <c r="D819" s="247"/>
      <c r="E819" s="247"/>
      <c r="F819" s="247"/>
      <c r="G819" s="247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</row>
    <row r="820">
      <c r="A820" s="247"/>
      <c r="B820" s="373"/>
      <c r="C820" s="373"/>
      <c r="D820" s="247"/>
      <c r="E820" s="247"/>
      <c r="F820" s="247"/>
      <c r="G820" s="247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</row>
    <row r="821">
      <c r="A821" s="247"/>
      <c r="B821" s="373"/>
      <c r="C821" s="373"/>
      <c r="D821" s="247"/>
      <c r="E821" s="247"/>
      <c r="F821" s="247"/>
      <c r="G821" s="247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</row>
    <row r="822">
      <c r="A822" s="247"/>
      <c r="B822" s="373"/>
      <c r="C822" s="373"/>
      <c r="D822" s="247"/>
      <c r="E822" s="247"/>
      <c r="F822" s="247"/>
      <c r="G822" s="247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</row>
    <row r="823">
      <c r="A823" s="247"/>
      <c r="B823" s="373"/>
      <c r="C823" s="373"/>
      <c r="D823" s="247"/>
      <c r="E823" s="247"/>
      <c r="F823" s="247"/>
      <c r="G823" s="247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</row>
    <row r="824">
      <c r="A824" s="247"/>
      <c r="B824" s="373"/>
      <c r="C824" s="373"/>
      <c r="D824" s="247"/>
      <c r="E824" s="247"/>
      <c r="F824" s="247"/>
      <c r="G824" s="247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</row>
    <row r="825">
      <c r="A825" s="247"/>
      <c r="B825" s="373"/>
      <c r="C825" s="373"/>
      <c r="D825" s="247"/>
      <c r="E825" s="247"/>
      <c r="F825" s="247"/>
      <c r="G825" s="247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</row>
    <row r="826">
      <c r="A826" s="247"/>
      <c r="B826" s="373"/>
      <c r="C826" s="373"/>
      <c r="D826" s="247"/>
      <c r="E826" s="247"/>
      <c r="F826" s="247"/>
      <c r="G826" s="247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</row>
    <row r="827">
      <c r="A827" s="247"/>
      <c r="B827" s="373"/>
      <c r="C827" s="373"/>
      <c r="D827" s="247"/>
      <c r="E827" s="247"/>
      <c r="F827" s="247"/>
      <c r="G827" s="247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</row>
    <row r="828">
      <c r="A828" s="247"/>
      <c r="B828" s="373"/>
      <c r="C828" s="373"/>
      <c r="D828" s="247"/>
      <c r="E828" s="247"/>
      <c r="F828" s="247"/>
      <c r="G828" s="247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</row>
    <row r="829">
      <c r="A829" s="247"/>
      <c r="B829" s="373"/>
      <c r="C829" s="373"/>
      <c r="D829" s="247"/>
      <c r="E829" s="247"/>
      <c r="F829" s="247"/>
      <c r="G829" s="247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</row>
    <row r="830">
      <c r="A830" s="247"/>
      <c r="B830" s="373"/>
      <c r="C830" s="373"/>
      <c r="D830" s="247"/>
      <c r="E830" s="247"/>
      <c r="F830" s="247"/>
      <c r="G830" s="247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</row>
    <row r="831">
      <c r="A831" s="247"/>
      <c r="B831" s="373"/>
      <c r="C831" s="373"/>
      <c r="D831" s="247"/>
      <c r="E831" s="247"/>
      <c r="F831" s="247"/>
      <c r="G831" s="247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</row>
    <row r="832">
      <c r="A832" s="247"/>
      <c r="B832" s="373"/>
      <c r="C832" s="373"/>
      <c r="D832" s="247"/>
      <c r="E832" s="247"/>
      <c r="F832" s="247"/>
      <c r="G832" s="247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</row>
    <row r="833">
      <c r="A833" s="247"/>
      <c r="B833" s="373"/>
      <c r="C833" s="373"/>
      <c r="D833" s="247"/>
      <c r="E833" s="247"/>
      <c r="F833" s="247"/>
      <c r="G833" s="247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</row>
    <row r="834">
      <c r="A834" s="247"/>
      <c r="B834" s="373"/>
      <c r="C834" s="373"/>
      <c r="D834" s="247"/>
      <c r="E834" s="247"/>
      <c r="F834" s="247"/>
      <c r="G834" s="247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</row>
    <row r="835">
      <c r="A835" s="247"/>
      <c r="B835" s="373"/>
      <c r="C835" s="373"/>
      <c r="D835" s="247"/>
      <c r="E835" s="247"/>
      <c r="F835" s="247"/>
      <c r="G835" s="247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</row>
    <row r="836">
      <c r="A836" s="247"/>
      <c r="B836" s="373"/>
      <c r="C836" s="373"/>
      <c r="D836" s="247"/>
      <c r="E836" s="247"/>
      <c r="F836" s="247"/>
      <c r="G836" s="247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</row>
    <row r="837">
      <c r="A837" s="247"/>
      <c r="B837" s="373"/>
      <c r="C837" s="373"/>
      <c r="D837" s="247"/>
      <c r="E837" s="247"/>
      <c r="F837" s="247"/>
      <c r="G837" s="247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</row>
    <row r="838">
      <c r="A838" s="247"/>
      <c r="B838" s="373"/>
      <c r="C838" s="373"/>
      <c r="D838" s="247"/>
      <c r="E838" s="247"/>
      <c r="F838" s="247"/>
      <c r="G838" s="247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</row>
    <row r="839">
      <c r="A839" s="247"/>
      <c r="B839" s="373"/>
      <c r="C839" s="373"/>
      <c r="D839" s="247"/>
      <c r="E839" s="247"/>
      <c r="F839" s="247"/>
      <c r="G839" s="247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</row>
    <row r="840">
      <c r="A840" s="247"/>
      <c r="B840" s="373"/>
      <c r="C840" s="373"/>
      <c r="D840" s="247"/>
      <c r="E840" s="247"/>
      <c r="F840" s="247"/>
      <c r="G840" s="247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</row>
    <row r="841">
      <c r="A841" s="247"/>
      <c r="B841" s="373"/>
      <c r="C841" s="373"/>
      <c r="D841" s="247"/>
      <c r="E841" s="247"/>
      <c r="F841" s="247"/>
      <c r="G841" s="247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</row>
    <row r="842">
      <c r="A842" s="247"/>
      <c r="B842" s="373"/>
      <c r="C842" s="373"/>
      <c r="D842" s="247"/>
      <c r="E842" s="247"/>
      <c r="F842" s="247"/>
      <c r="G842" s="247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</row>
    <row r="843">
      <c r="A843" s="247"/>
      <c r="B843" s="373"/>
      <c r="C843" s="373"/>
      <c r="D843" s="247"/>
      <c r="E843" s="247"/>
      <c r="F843" s="247"/>
      <c r="G843" s="247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</row>
    <row r="844">
      <c r="A844" s="247"/>
      <c r="B844" s="373"/>
      <c r="C844" s="373"/>
      <c r="D844" s="247"/>
      <c r="E844" s="247"/>
      <c r="F844" s="247"/>
      <c r="G844" s="247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</row>
    <row r="845">
      <c r="A845" s="247"/>
      <c r="B845" s="373"/>
      <c r="C845" s="373"/>
      <c r="D845" s="247"/>
      <c r="E845" s="247"/>
      <c r="F845" s="247"/>
      <c r="G845" s="247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</row>
    <row r="846">
      <c r="A846" s="247"/>
      <c r="B846" s="373"/>
      <c r="C846" s="373"/>
      <c r="D846" s="247"/>
      <c r="E846" s="247"/>
      <c r="F846" s="247"/>
      <c r="G846" s="247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</row>
    <row r="847">
      <c r="A847" s="247"/>
      <c r="B847" s="373"/>
      <c r="C847" s="373"/>
      <c r="D847" s="247"/>
      <c r="E847" s="247"/>
      <c r="F847" s="247"/>
      <c r="G847" s="247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</row>
    <row r="848">
      <c r="A848" s="247"/>
      <c r="B848" s="373"/>
      <c r="C848" s="373"/>
      <c r="D848" s="247"/>
      <c r="E848" s="247"/>
      <c r="F848" s="247"/>
      <c r="G848" s="247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</row>
    <row r="849">
      <c r="A849" s="247"/>
      <c r="B849" s="373"/>
      <c r="C849" s="373"/>
      <c r="D849" s="247"/>
      <c r="E849" s="247"/>
      <c r="F849" s="247"/>
      <c r="G849" s="247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</row>
    <row r="850">
      <c r="A850" s="247"/>
      <c r="B850" s="373"/>
      <c r="C850" s="373"/>
      <c r="D850" s="247"/>
      <c r="E850" s="247"/>
      <c r="F850" s="247"/>
      <c r="G850" s="247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</row>
    <row r="851">
      <c r="A851" s="247"/>
      <c r="B851" s="373"/>
      <c r="C851" s="373"/>
      <c r="D851" s="247"/>
      <c r="E851" s="247"/>
      <c r="F851" s="247"/>
      <c r="G851" s="247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</row>
    <row r="852">
      <c r="A852" s="247"/>
      <c r="B852" s="373"/>
      <c r="C852" s="373"/>
      <c r="D852" s="247"/>
      <c r="E852" s="247"/>
      <c r="F852" s="247"/>
      <c r="G852" s="247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</row>
    <row r="853">
      <c r="A853" s="247"/>
      <c r="B853" s="373"/>
      <c r="C853" s="373"/>
      <c r="D853" s="247"/>
      <c r="E853" s="247"/>
      <c r="F853" s="247"/>
      <c r="G853" s="247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</row>
    <row r="854">
      <c r="A854" s="247"/>
      <c r="B854" s="373"/>
      <c r="C854" s="373"/>
      <c r="D854" s="247"/>
      <c r="E854" s="247"/>
      <c r="F854" s="247"/>
      <c r="G854" s="247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</row>
    <row r="855">
      <c r="A855" s="247"/>
      <c r="B855" s="373"/>
      <c r="C855" s="373"/>
      <c r="D855" s="247"/>
      <c r="E855" s="247"/>
      <c r="F855" s="247"/>
      <c r="G855" s="247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</row>
    <row r="856">
      <c r="A856" s="247"/>
      <c r="B856" s="373"/>
      <c r="C856" s="373"/>
      <c r="D856" s="247"/>
      <c r="E856" s="247"/>
      <c r="F856" s="247"/>
      <c r="G856" s="247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</row>
    <row r="857">
      <c r="A857" s="247"/>
      <c r="B857" s="373"/>
      <c r="C857" s="373"/>
      <c r="D857" s="247"/>
      <c r="E857" s="247"/>
      <c r="F857" s="247"/>
      <c r="G857" s="247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</row>
    <row r="858">
      <c r="A858" s="247"/>
      <c r="B858" s="373"/>
      <c r="C858" s="373"/>
      <c r="D858" s="247"/>
      <c r="E858" s="247"/>
      <c r="F858" s="247"/>
      <c r="G858" s="247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</row>
    <row r="859">
      <c r="A859" s="247"/>
      <c r="B859" s="373"/>
      <c r="C859" s="373"/>
      <c r="D859" s="247"/>
      <c r="E859" s="247"/>
      <c r="F859" s="247"/>
      <c r="G859" s="247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</row>
    <row r="860">
      <c r="A860" s="247"/>
      <c r="B860" s="373"/>
      <c r="C860" s="373"/>
      <c r="D860" s="247"/>
      <c r="E860" s="247"/>
      <c r="F860" s="247"/>
      <c r="G860" s="247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</row>
    <row r="861">
      <c r="A861" s="247"/>
      <c r="B861" s="373"/>
      <c r="C861" s="373"/>
      <c r="D861" s="247"/>
      <c r="E861" s="247"/>
      <c r="F861" s="247"/>
      <c r="G861" s="247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</row>
    <row r="862">
      <c r="A862" s="247"/>
      <c r="B862" s="373"/>
      <c r="C862" s="373"/>
      <c r="D862" s="247"/>
      <c r="E862" s="247"/>
      <c r="F862" s="247"/>
      <c r="G862" s="247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</row>
    <row r="863">
      <c r="A863" s="247"/>
      <c r="B863" s="373"/>
      <c r="C863" s="373"/>
      <c r="D863" s="247"/>
      <c r="E863" s="247"/>
      <c r="F863" s="247"/>
      <c r="G863" s="247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</row>
    <row r="864">
      <c r="A864" s="247"/>
      <c r="B864" s="373"/>
      <c r="C864" s="373"/>
      <c r="D864" s="247"/>
      <c r="E864" s="247"/>
      <c r="F864" s="247"/>
      <c r="G864" s="247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</row>
    <row r="865">
      <c r="A865" s="247"/>
      <c r="B865" s="373"/>
      <c r="C865" s="373"/>
      <c r="D865" s="247"/>
      <c r="E865" s="247"/>
      <c r="F865" s="247"/>
      <c r="G865" s="247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</row>
    <row r="866">
      <c r="A866" s="247"/>
      <c r="B866" s="373"/>
      <c r="C866" s="373"/>
      <c r="D866" s="247"/>
      <c r="E866" s="247"/>
      <c r="F866" s="247"/>
      <c r="G866" s="247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</row>
    <row r="867">
      <c r="A867" s="247"/>
      <c r="B867" s="373"/>
      <c r="C867" s="373"/>
      <c r="D867" s="247"/>
      <c r="E867" s="247"/>
      <c r="F867" s="247"/>
      <c r="G867" s="247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</row>
    <row r="868">
      <c r="A868" s="247"/>
      <c r="B868" s="373"/>
      <c r="C868" s="373"/>
      <c r="D868" s="247"/>
      <c r="E868" s="247"/>
      <c r="F868" s="247"/>
      <c r="G868" s="247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</row>
    <row r="869">
      <c r="A869" s="247"/>
      <c r="B869" s="373"/>
      <c r="C869" s="373"/>
      <c r="D869" s="247"/>
      <c r="E869" s="247"/>
      <c r="F869" s="247"/>
      <c r="G869" s="247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</row>
    <row r="870">
      <c r="A870" s="247"/>
      <c r="B870" s="373"/>
      <c r="C870" s="373"/>
      <c r="D870" s="247"/>
      <c r="E870" s="247"/>
      <c r="F870" s="247"/>
      <c r="G870" s="247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</row>
    <row r="871">
      <c r="A871" s="247"/>
      <c r="B871" s="373"/>
      <c r="C871" s="373"/>
      <c r="D871" s="247"/>
      <c r="E871" s="247"/>
      <c r="F871" s="247"/>
      <c r="G871" s="247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</row>
    <row r="872">
      <c r="A872" s="247"/>
      <c r="B872" s="373"/>
      <c r="C872" s="373"/>
      <c r="D872" s="247"/>
      <c r="E872" s="247"/>
      <c r="F872" s="247"/>
      <c r="G872" s="247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</row>
    <row r="873">
      <c r="A873" s="247"/>
      <c r="B873" s="373"/>
      <c r="C873" s="373"/>
      <c r="D873" s="247"/>
      <c r="E873" s="247"/>
      <c r="F873" s="247"/>
      <c r="G873" s="247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</row>
    <row r="874">
      <c r="A874" s="247"/>
      <c r="B874" s="373"/>
      <c r="C874" s="373"/>
      <c r="D874" s="247"/>
      <c r="E874" s="247"/>
      <c r="F874" s="247"/>
      <c r="G874" s="247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</row>
    <row r="875">
      <c r="A875" s="247"/>
      <c r="B875" s="373"/>
      <c r="C875" s="373"/>
      <c r="D875" s="247"/>
      <c r="E875" s="247"/>
      <c r="F875" s="247"/>
      <c r="G875" s="247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</row>
    <row r="876">
      <c r="A876" s="247"/>
      <c r="B876" s="373"/>
      <c r="C876" s="373"/>
      <c r="D876" s="247"/>
      <c r="E876" s="247"/>
      <c r="F876" s="247"/>
      <c r="G876" s="247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</row>
    <row r="877">
      <c r="A877" s="247"/>
      <c r="B877" s="373"/>
      <c r="C877" s="373"/>
      <c r="D877" s="247"/>
      <c r="E877" s="247"/>
      <c r="F877" s="247"/>
      <c r="G877" s="247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</row>
    <row r="878">
      <c r="A878" s="247"/>
      <c r="B878" s="373"/>
      <c r="C878" s="373"/>
      <c r="D878" s="247"/>
      <c r="E878" s="247"/>
      <c r="F878" s="247"/>
      <c r="G878" s="247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</row>
    <row r="879">
      <c r="A879" s="247"/>
      <c r="B879" s="373"/>
      <c r="C879" s="373"/>
      <c r="D879" s="247"/>
      <c r="E879" s="247"/>
      <c r="F879" s="247"/>
      <c r="G879" s="247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</row>
    <row r="880">
      <c r="A880" s="247"/>
      <c r="B880" s="373"/>
      <c r="C880" s="373"/>
      <c r="D880" s="247"/>
      <c r="E880" s="247"/>
      <c r="F880" s="247"/>
      <c r="G880" s="247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</row>
    <row r="881">
      <c r="A881" s="247"/>
      <c r="B881" s="373"/>
      <c r="C881" s="373"/>
      <c r="D881" s="247"/>
      <c r="E881" s="247"/>
      <c r="F881" s="247"/>
      <c r="G881" s="247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</row>
    <row r="882">
      <c r="A882" s="247"/>
      <c r="B882" s="373"/>
      <c r="C882" s="373"/>
      <c r="D882" s="247"/>
      <c r="E882" s="247"/>
      <c r="F882" s="247"/>
      <c r="G882" s="247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</row>
    <row r="883">
      <c r="A883" s="247"/>
      <c r="B883" s="373"/>
      <c r="C883" s="373"/>
      <c r="D883" s="247"/>
      <c r="E883" s="247"/>
      <c r="F883" s="247"/>
      <c r="G883" s="247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</row>
    <row r="884">
      <c r="A884" s="247"/>
      <c r="B884" s="373"/>
      <c r="C884" s="373"/>
      <c r="D884" s="247"/>
      <c r="E884" s="247"/>
      <c r="F884" s="247"/>
      <c r="G884" s="247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</row>
    <row r="885">
      <c r="A885" s="247"/>
      <c r="B885" s="373"/>
      <c r="C885" s="373"/>
      <c r="D885" s="247"/>
      <c r="E885" s="247"/>
      <c r="F885" s="247"/>
      <c r="G885" s="247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</row>
    <row r="886">
      <c r="A886" s="247"/>
      <c r="B886" s="373"/>
      <c r="C886" s="373"/>
      <c r="D886" s="247"/>
      <c r="E886" s="247"/>
      <c r="F886" s="247"/>
      <c r="G886" s="247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</row>
    <row r="887">
      <c r="A887" s="247"/>
      <c r="B887" s="373"/>
      <c r="C887" s="373"/>
      <c r="D887" s="247"/>
      <c r="E887" s="247"/>
      <c r="F887" s="247"/>
      <c r="G887" s="247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</row>
    <row r="888">
      <c r="A888" s="247"/>
      <c r="B888" s="373"/>
      <c r="C888" s="373"/>
      <c r="D888" s="247"/>
      <c r="E888" s="247"/>
      <c r="F888" s="247"/>
      <c r="G888" s="247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</row>
    <row r="889">
      <c r="A889" s="247"/>
      <c r="B889" s="373"/>
      <c r="C889" s="373"/>
      <c r="D889" s="247"/>
      <c r="E889" s="247"/>
      <c r="F889" s="247"/>
      <c r="G889" s="247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</row>
    <row r="890">
      <c r="A890" s="247"/>
      <c r="B890" s="373"/>
      <c r="C890" s="373"/>
      <c r="D890" s="247"/>
      <c r="E890" s="247"/>
      <c r="F890" s="247"/>
      <c r="G890" s="247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</row>
    <row r="891">
      <c r="A891" s="247"/>
      <c r="B891" s="373"/>
      <c r="C891" s="373"/>
      <c r="D891" s="247"/>
      <c r="E891" s="247"/>
      <c r="F891" s="247"/>
      <c r="G891" s="247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</row>
    <row r="892">
      <c r="A892" s="247"/>
      <c r="B892" s="373"/>
      <c r="C892" s="373"/>
      <c r="D892" s="247"/>
      <c r="E892" s="247"/>
      <c r="F892" s="247"/>
      <c r="G892" s="247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</row>
    <row r="893">
      <c r="A893" s="247"/>
      <c r="B893" s="373"/>
      <c r="C893" s="373"/>
      <c r="D893" s="247"/>
      <c r="E893" s="247"/>
      <c r="F893" s="247"/>
      <c r="G893" s="247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</row>
    <row r="894">
      <c r="A894" s="247"/>
      <c r="B894" s="373"/>
      <c r="C894" s="373"/>
      <c r="D894" s="247"/>
      <c r="E894" s="247"/>
      <c r="F894" s="247"/>
      <c r="G894" s="247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</row>
    <row r="895">
      <c r="A895" s="247"/>
      <c r="B895" s="373"/>
      <c r="C895" s="373"/>
      <c r="D895" s="247"/>
      <c r="E895" s="247"/>
      <c r="F895" s="247"/>
      <c r="G895" s="247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</row>
    <row r="896">
      <c r="A896" s="247"/>
      <c r="B896" s="373"/>
      <c r="C896" s="373"/>
      <c r="D896" s="247"/>
      <c r="E896" s="247"/>
      <c r="F896" s="247"/>
      <c r="G896" s="247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</row>
    <row r="897">
      <c r="A897" s="247"/>
      <c r="B897" s="373"/>
      <c r="C897" s="373"/>
      <c r="D897" s="247"/>
      <c r="E897" s="247"/>
      <c r="F897" s="247"/>
      <c r="G897" s="247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</row>
    <row r="898">
      <c r="A898" s="247"/>
      <c r="B898" s="373"/>
      <c r="C898" s="373"/>
      <c r="D898" s="247"/>
      <c r="E898" s="247"/>
      <c r="F898" s="247"/>
      <c r="G898" s="247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</row>
    <row r="899">
      <c r="A899" s="247"/>
      <c r="B899" s="373"/>
      <c r="C899" s="373"/>
      <c r="D899" s="247"/>
      <c r="E899" s="247"/>
      <c r="F899" s="247"/>
      <c r="G899" s="247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</row>
    <row r="900">
      <c r="A900" s="247"/>
      <c r="B900" s="373"/>
      <c r="C900" s="373"/>
      <c r="D900" s="247"/>
      <c r="E900" s="247"/>
      <c r="F900" s="247"/>
      <c r="G900" s="247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</row>
    <row r="901">
      <c r="A901" s="247"/>
      <c r="B901" s="373"/>
      <c r="C901" s="373"/>
      <c r="D901" s="247"/>
      <c r="E901" s="247"/>
      <c r="F901" s="247"/>
      <c r="G901" s="247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</row>
    <row r="902">
      <c r="A902" s="247"/>
      <c r="B902" s="373"/>
      <c r="C902" s="373"/>
      <c r="D902" s="247"/>
      <c r="E902" s="247"/>
      <c r="F902" s="247"/>
      <c r="G902" s="247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</row>
    <row r="903">
      <c r="A903" s="247"/>
      <c r="B903" s="373"/>
      <c r="C903" s="373"/>
      <c r="D903" s="247"/>
      <c r="E903" s="247"/>
      <c r="F903" s="247"/>
      <c r="G903" s="247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</row>
    <row r="904">
      <c r="A904" s="247"/>
      <c r="B904" s="373"/>
      <c r="C904" s="373"/>
      <c r="D904" s="247"/>
      <c r="E904" s="247"/>
      <c r="F904" s="247"/>
      <c r="G904" s="247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</row>
    <row r="905">
      <c r="A905" s="247"/>
      <c r="B905" s="373"/>
      <c r="C905" s="373"/>
      <c r="D905" s="247"/>
      <c r="E905" s="247"/>
      <c r="F905" s="247"/>
      <c r="G905" s="247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</row>
    <row r="906">
      <c r="A906" s="247"/>
      <c r="B906" s="373"/>
      <c r="C906" s="373"/>
      <c r="D906" s="247"/>
      <c r="E906" s="247"/>
      <c r="F906" s="247"/>
      <c r="G906" s="247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</row>
    <row r="907">
      <c r="A907" s="247"/>
      <c r="B907" s="373"/>
      <c r="C907" s="373"/>
      <c r="D907" s="247"/>
      <c r="E907" s="247"/>
      <c r="F907" s="247"/>
      <c r="G907" s="247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</row>
    <row r="908">
      <c r="A908" s="247"/>
      <c r="B908" s="373"/>
      <c r="C908" s="373"/>
      <c r="D908" s="247"/>
      <c r="E908" s="247"/>
      <c r="F908" s="247"/>
      <c r="G908" s="247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</row>
    <row r="909">
      <c r="A909" s="247"/>
      <c r="B909" s="373"/>
      <c r="C909" s="373"/>
      <c r="D909" s="247"/>
      <c r="E909" s="247"/>
      <c r="F909" s="247"/>
      <c r="G909" s="247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</row>
    <row r="910">
      <c r="A910" s="247"/>
      <c r="B910" s="373"/>
      <c r="C910" s="373"/>
      <c r="D910" s="247"/>
      <c r="E910" s="247"/>
      <c r="F910" s="247"/>
      <c r="G910" s="247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</row>
    <row r="911">
      <c r="A911" s="247"/>
      <c r="B911" s="373"/>
      <c r="C911" s="373"/>
      <c r="D911" s="247"/>
      <c r="E911" s="247"/>
      <c r="F911" s="247"/>
      <c r="G911" s="247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</row>
    <row r="912">
      <c r="A912" s="247"/>
      <c r="B912" s="373"/>
      <c r="C912" s="373"/>
      <c r="D912" s="247"/>
      <c r="E912" s="247"/>
      <c r="F912" s="247"/>
      <c r="G912" s="247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</row>
    <row r="913">
      <c r="A913" s="247"/>
      <c r="B913" s="373"/>
      <c r="C913" s="373"/>
      <c r="D913" s="247"/>
      <c r="E913" s="247"/>
      <c r="F913" s="247"/>
      <c r="G913" s="247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</row>
    <row r="914">
      <c r="A914" s="247"/>
      <c r="B914" s="373"/>
      <c r="C914" s="373"/>
      <c r="D914" s="247"/>
      <c r="E914" s="247"/>
      <c r="F914" s="247"/>
      <c r="G914" s="247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</row>
    <row r="915">
      <c r="A915" s="247"/>
      <c r="B915" s="373"/>
      <c r="C915" s="373"/>
      <c r="D915" s="247"/>
      <c r="E915" s="247"/>
      <c r="F915" s="247"/>
      <c r="G915" s="247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</row>
    <row r="916">
      <c r="A916" s="247"/>
      <c r="B916" s="373"/>
      <c r="C916" s="373"/>
      <c r="D916" s="247"/>
      <c r="E916" s="247"/>
      <c r="F916" s="247"/>
      <c r="G916" s="247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</row>
    <row r="917">
      <c r="A917" s="247"/>
      <c r="B917" s="373"/>
      <c r="C917" s="373"/>
      <c r="D917" s="247"/>
      <c r="E917" s="247"/>
      <c r="F917" s="247"/>
      <c r="G917" s="247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</row>
    <row r="918">
      <c r="A918" s="247"/>
      <c r="B918" s="373"/>
      <c r="C918" s="373"/>
      <c r="D918" s="247"/>
      <c r="E918" s="247"/>
      <c r="F918" s="247"/>
      <c r="G918" s="247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</row>
    <row r="919">
      <c r="A919" s="247"/>
      <c r="B919" s="373"/>
      <c r="C919" s="373"/>
      <c r="D919" s="247"/>
      <c r="E919" s="247"/>
      <c r="F919" s="247"/>
      <c r="G919" s="247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</row>
    <row r="920">
      <c r="A920" s="247"/>
      <c r="B920" s="373"/>
      <c r="C920" s="373"/>
      <c r="D920" s="247"/>
      <c r="E920" s="247"/>
      <c r="F920" s="247"/>
      <c r="G920" s="247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</row>
    <row r="921">
      <c r="A921" s="247"/>
      <c r="B921" s="373"/>
      <c r="C921" s="373"/>
      <c r="D921" s="247"/>
      <c r="E921" s="247"/>
      <c r="F921" s="247"/>
      <c r="G921" s="247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</row>
    <row r="922">
      <c r="A922" s="247"/>
      <c r="B922" s="373"/>
      <c r="C922" s="373"/>
      <c r="D922" s="247"/>
      <c r="E922" s="247"/>
      <c r="F922" s="247"/>
      <c r="G922" s="247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</row>
    <row r="923">
      <c r="A923" s="247"/>
      <c r="B923" s="373"/>
      <c r="C923" s="373"/>
      <c r="D923" s="247"/>
      <c r="E923" s="247"/>
      <c r="F923" s="247"/>
      <c r="G923" s="247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</row>
    <row r="924">
      <c r="A924" s="247"/>
      <c r="B924" s="373"/>
      <c r="C924" s="373"/>
      <c r="D924" s="247"/>
      <c r="E924" s="247"/>
      <c r="F924" s="247"/>
      <c r="G924" s="247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</row>
    <row r="925">
      <c r="A925" s="247"/>
      <c r="B925" s="373"/>
      <c r="C925" s="373"/>
      <c r="D925" s="247"/>
      <c r="E925" s="247"/>
      <c r="F925" s="247"/>
      <c r="G925" s="247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</row>
    <row r="926">
      <c r="A926" s="247"/>
      <c r="B926" s="373"/>
      <c r="C926" s="373"/>
      <c r="D926" s="247"/>
      <c r="E926" s="247"/>
      <c r="F926" s="247"/>
      <c r="G926" s="247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</row>
    <row r="927">
      <c r="A927" s="247"/>
      <c r="B927" s="373"/>
      <c r="C927" s="373"/>
      <c r="D927" s="247"/>
      <c r="E927" s="247"/>
      <c r="F927" s="247"/>
      <c r="G927" s="247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</row>
    <row r="928">
      <c r="A928" s="247"/>
      <c r="B928" s="373"/>
      <c r="C928" s="373"/>
      <c r="D928" s="247"/>
      <c r="E928" s="247"/>
      <c r="F928" s="247"/>
      <c r="G928" s="247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</row>
    <row r="929">
      <c r="A929" s="247"/>
      <c r="B929" s="373"/>
      <c r="C929" s="373"/>
      <c r="D929" s="247"/>
      <c r="E929" s="247"/>
      <c r="F929" s="247"/>
      <c r="G929" s="247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</row>
    <row r="930">
      <c r="A930" s="247"/>
      <c r="B930" s="373"/>
      <c r="C930" s="373"/>
      <c r="D930" s="247"/>
      <c r="E930" s="247"/>
      <c r="F930" s="247"/>
      <c r="G930" s="247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</row>
    <row r="931">
      <c r="A931" s="247"/>
      <c r="B931" s="373"/>
      <c r="C931" s="373"/>
      <c r="D931" s="247"/>
      <c r="E931" s="247"/>
      <c r="F931" s="247"/>
      <c r="G931" s="247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</row>
    <row r="932">
      <c r="A932" s="247"/>
      <c r="B932" s="373"/>
      <c r="C932" s="373"/>
      <c r="D932" s="247"/>
      <c r="E932" s="247"/>
      <c r="F932" s="247"/>
      <c r="G932" s="247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</row>
    <row r="933">
      <c r="A933" s="247"/>
      <c r="B933" s="373"/>
      <c r="C933" s="373"/>
      <c r="D933" s="247"/>
      <c r="E933" s="247"/>
      <c r="F933" s="247"/>
      <c r="G933" s="247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</row>
    <row r="934">
      <c r="A934" s="247"/>
      <c r="B934" s="373"/>
      <c r="C934" s="373"/>
      <c r="D934" s="247"/>
      <c r="E934" s="247"/>
      <c r="F934" s="247"/>
      <c r="G934" s="247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</row>
    <row r="935">
      <c r="A935" s="247"/>
      <c r="B935" s="373"/>
      <c r="C935" s="373"/>
      <c r="D935" s="247"/>
      <c r="E935" s="247"/>
      <c r="F935" s="247"/>
      <c r="G935" s="247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</row>
    <row r="936">
      <c r="A936" s="247"/>
      <c r="B936" s="373"/>
      <c r="C936" s="373"/>
      <c r="D936" s="247"/>
      <c r="E936" s="247"/>
      <c r="F936" s="247"/>
      <c r="G936" s="247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</row>
    <row r="937">
      <c r="A937" s="247"/>
      <c r="B937" s="373"/>
      <c r="C937" s="373"/>
      <c r="D937" s="247"/>
      <c r="E937" s="247"/>
      <c r="F937" s="247"/>
      <c r="G937" s="247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</row>
    <row r="938">
      <c r="A938" s="247"/>
      <c r="B938" s="373"/>
      <c r="C938" s="373"/>
      <c r="D938" s="247"/>
      <c r="E938" s="247"/>
      <c r="F938" s="247"/>
      <c r="G938" s="247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</row>
    <row r="939">
      <c r="A939" s="247"/>
      <c r="B939" s="373"/>
      <c r="C939" s="373"/>
      <c r="D939" s="247"/>
      <c r="E939" s="247"/>
      <c r="F939" s="247"/>
      <c r="G939" s="247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</row>
    <row r="940">
      <c r="A940" s="247"/>
      <c r="B940" s="373"/>
      <c r="C940" s="373"/>
      <c r="D940" s="247"/>
      <c r="E940" s="247"/>
      <c r="F940" s="247"/>
      <c r="G940" s="247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</row>
    <row r="941">
      <c r="A941" s="247"/>
      <c r="B941" s="373"/>
      <c r="C941" s="373"/>
      <c r="D941" s="247"/>
      <c r="E941" s="247"/>
      <c r="F941" s="247"/>
      <c r="G941" s="247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</row>
    <row r="942">
      <c r="A942" s="247"/>
      <c r="B942" s="373"/>
      <c r="C942" s="373"/>
      <c r="D942" s="247"/>
      <c r="E942" s="247"/>
      <c r="F942" s="247"/>
      <c r="G942" s="247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</row>
    <row r="943">
      <c r="A943" s="247"/>
      <c r="B943" s="373"/>
      <c r="C943" s="373"/>
      <c r="D943" s="247"/>
      <c r="E943" s="247"/>
      <c r="F943" s="247"/>
      <c r="G943" s="247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</row>
    <row r="944">
      <c r="A944" s="247"/>
      <c r="B944" s="373"/>
      <c r="C944" s="373"/>
      <c r="D944" s="247"/>
      <c r="E944" s="247"/>
      <c r="F944" s="247"/>
      <c r="G944" s="247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</row>
    <row r="945">
      <c r="A945" s="247"/>
      <c r="B945" s="373"/>
      <c r="C945" s="373"/>
      <c r="D945" s="247"/>
      <c r="E945" s="247"/>
      <c r="F945" s="247"/>
      <c r="G945" s="247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</row>
    <row r="946">
      <c r="A946" s="247"/>
      <c r="B946" s="373"/>
      <c r="C946" s="373"/>
      <c r="D946" s="247"/>
      <c r="E946" s="247"/>
      <c r="F946" s="247"/>
      <c r="G946" s="247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</row>
    <row r="947">
      <c r="A947" s="247"/>
      <c r="B947" s="373"/>
      <c r="C947" s="373"/>
      <c r="D947" s="247"/>
      <c r="E947" s="247"/>
      <c r="F947" s="247"/>
      <c r="G947" s="247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</row>
    <row r="948">
      <c r="A948" s="247"/>
      <c r="B948" s="373"/>
      <c r="C948" s="373"/>
      <c r="D948" s="247"/>
      <c r="E948" s="247"/>
      <c r="F948" s="247"/>
      <c r="G948" s="247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</row>
    <row r="949">
      <c r="A949" s="247"/>
      <c r="B949" s="373"/>
      <c r="C949" s="373"/>
      <c r="D949" s="247"/>
      <c r="E949" s="247"/>
      <c r="F949" s="247"/>
      <c r="G949" s="247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</row>
    <row r="950">
      <c r="A950" s="247"/>
      <c r="B950" s="373"/>
      <c r="C950" s="373"/>
      <c r="D950" s="247"/>
      <c r="E950" s="247"/>
      <c r="F950" s="247"/>
      <c r="G950" s="247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</row>
    <row r="951">
      <c r="A951" s="247"/>
      <c r="B951" s="373"/>
      <c r="C951" s="373"/>
      <c r="D951" s="247"/>
      <c r="E951" s="247"/>
      <c r="F951" s="247"/>
      <c r="G951" s="247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</row>
    <row r="952">
      <c r="A952" s="247"/>
      <c r="B952" s="373"/>
      <c r="C952" s="373"/>
      <c r="D952" s="247"/>
      <c r="E952" s="247"/>
      <c r="F952" s="247"/>
      <c r="G952" s="247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</row>
    <row r="953">
      <c r="A953" s="247"/>
      <c r="B953" s="373"/>
      <c r="C953" s="373"/>
      <c r="D953" s="247"/>
      <c r="E953" s="247"/>
      <c r="F953" s="247"/>
      <c r="G953" s="247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</row>
    <row r="954">
      <c r="A954" s="247"/>
      <c r="B954" s="373"/>
      <c r="C954" s="373"/>
      <c r="D954" s="247"/>
      <c r="E954" s="247"/>
      <c r="F954" s="247"/>
      <c r="G954" s="247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</row>
    <row r="955">
      <c r="A955" s="247"/>
      <c r="B955" s="373"/>
      <c r="C955" s="373"/>
      <c r="D955" s="247"/>
      <c r="E955" s="247"/>
      <c r="F955" s="247"/>
      <c r="G955" s="247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</row>
    <row r="956">
      <c r="A956" s="247"/>
      <c r="B956" s="373"/>
      <c r="C956" s="373"/>
      <c r="D956" s="247"/>
      <c r="E956" s="247"/>
      <c r="F956" s="247"/>
      <c r="G956" s="247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</row>
    <row r="957">
      <c r="A957" s="247"/>
      <c r="B957" s="373"/>
      <c r="C957" s="373"/>
      <c r="D957" s="247"/>
      <c r="E957" s="247"/>
      <c r="F957" s="247"/>
      <c r="G957" s="247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</row>
    <row r="958">
      <c r="A958" s="247"/>
      <c r="B958" s="373"/>
      <c r="C958" s="373"/>
      <c r="D958" s="247"/>
      <c r="E958" s="247"/>
      <c r="F958" s="247"/>
      <c r="G958" s="247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</row>
    <row r="959">
      <c r="A959" s="247"/>
      <c r="B959" s="373"/>
      <c r="C959" s="373"/>
      <c r="D959" s="247"/>
      <c r="E959" s="247"/>
      <c r="F959" s="247"/>
      <c r="G959" s="247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</row>
    <row r="960">
      <c r="A960" s="247"/>
      <c r="B960" s="373"/>
      <c r="C960" s="373"/>
      <c r="D960" s="247"/>
      <c r="E960" s="247"/>
      <c r="F960" s="247"/>
      <c r="G960" s="247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</row>
    <row r="961">
      <c r="A961" s="247"/>
      <c r="B961" s="373"/>
      <c r="C961" s="373"/>
      <c r="D961" s="247"/>
      <c r="E961" s="247"/>
      <c r="F961" s="247"/>
      <c r="G961" s="247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</row>
    <row r="962">
      <c r="A962" s="247"/>
      <c r="B962" s="373"/>
      <c r="C962" s="373"/>
      <c r="D962" s="247"/>
      <c r="E962" s="247"/>
      <c r="F962" s="247"/>
      <c r="G962" s="247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</row>
    <row r="963">
      <c r="A963" s="247"/>
      <c r="B963" s="373"/>
      <c r="C963" s="373"/>
      <c r="D963" s="247"/>
      <c r="E963" s="247"/>
      <c r="F963" s="247"/>
      <c r="G963" s="247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</row>
    <row r="964">
      <c r="A964" s="247"/>
      <c r="B964" s="373"/>
      <c r="C964" s="373"/>
      <c r="D964" s="247"/>
      <c r="E964" s="247"/>
      <c r="F964" s="247"/>
      <c r="G964" s="247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</row>
    <row r="965">
      <c r="A965" s="247"/>
      <c r="B965" s="373"/>
      <c r="C965" s="373"/>
      <c r="D965" s="247"/>
      <c r="E965" s="247"/>
      <c r="F965" s="247"/>
      <c r="G965" s="247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</row>
    <row r="966">
      <c r="A966" s="247"/>
      <c r="B966" s="373"/>
      <c r="C966" s="373"/>
      <c r="D966" s="247"/>
      <c r="E966" s="247"/>
      <c r="F966" s="247"/>
      <c r="G966" s="247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</row>
    <row r="967">
      <c r="A967" s="247"/>
      <c r="B967" s="373"/>
      <c r="C967" s="373"/>
      <c r="D967" s="247"/>
      <c r="E967" s="247"/>
      <c r="F967" s="247"/>
      <c r="G967" s="247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</row>
    <row r="968">
      <c r="A968" s="247"/>
      <c r="B968" s="373"/>
      <c r="C968" s="373"/>
      <c r="D968" s="247"/>
      <c r="E968" s="247"/>
      <c r="F968" s="247"/>
      <c r="G968" s="247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</row>
    <row r="969">
      <c r="A969" s="247"/>
      <c r="B969" s="373"/>
      <c r="C969" s="373"/>
      <c r="D969" s="247"/>
      <c r="E969" s="247"/>
      <c r="F969" s="247"/>
      <c r="G969" s="247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</row>
    <row r="970">
      <c r="A970" s="247"/>
      <c r="B970" s="373"/>
      <c r="C970" s="373"/>
      <c r="D970" s="247"/>
      <c r="E970" s="247"/>
      <c r="F970" s="247"/>
      <c r="G970" s="247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</row>
    <row r="971">
      <c r="A971" s="247"/>
      <c r="B971" s="373"/>
      <c r="C971" s="373"/>
      <c r="D971" s="247"/>
      <c r="E971" s="247"/>
      <c r="F971" s="247"/>
      <c r="G971" s="247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</row>
    <row r="972">
      <c r="A972" s="247"/>
      <c r="B972" s="373"/>
      <c r="C972" s="373"/>
      <c r="D972" s="247"/>
      <c r="E972" s="247"/>
      <c r="F972" s="247"/>
      <c r="G972" s="247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</row>
    <row r="973">
      <c r="A973" s="247"/>
      <c r="B973" s="373"/>
      <c r="C973" s="373"/>
      <c r="D973" s="247"/>
      <c r="E973" s="247"/>
      <c r="F973" s="247"/>
      <c r="G973" s="247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</row>
    <row r="974">
      <c r="A974" s="247"/>
      <c r="B974" s="373"/>
      <c r="C974" s="373"/>
      <c r="D974" s="247"/>
      <c r="E974" s="247"/>
      <c r="F974" s="247"/>
      <c r="G974" s="247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</row>
    <row r="975">
      <c r="A975" s="247"/>
      <c r="B975" s="373"/>
      <c r="C975" s="373"/>
      <c r="D975" s="247"/>
      <c r="E975" s="247"/>
      <c r="F975" s="247"/>
      <c r="G975" s="247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</row>
    <row r="976">
      <c r="A976" s="247"/>
      <c r="B976" s="373"/>
      <c r="C976" s="373"/>
      <c r="D976" s="247"/>
      <c r="E976" s="247"/>
      <c r="F976" s="247"/>
      <c r="G976" s="247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</row>
    <row r="977">
      <c r="A977" s="247"/>
      <c r="B977" s="373"/>
      <c r="C977" s="373"/>
      <c r="D977" s="247"/>
      <c r="E977" s="247"/>
      <c r="F977" s="247"/>
      <c r="G977" s="247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</row>
    <row r="978">
      <c r="A978" s="247"/>
      <c r="B978" s="373"/>
      <c r="C978" s="373"/>
      <c r="D978" s="247"/>
      <c r="E978" s="247"/>
      <c r="F978" s="247"/>
      <c r="G978" s="247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</row>
    <row r="979">
      <c r="A979" s="247"/>
      <c r="B979" s="373"/>
      <c r="C979" s="373"/>
      <c r="D979" s="247"/>
      <c r="E979" s="247"/>
      <c r="F979" s="247"/>
      <c r="G979" s="247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</row>
    <row r="980">
      <c r="A980" s="247"/>
      <c r="B980" s="373"/>
      <c r="C980" s="373"/>
      <c r="D980" s="247"/>
      <c r="E980" s="247"/>
      <c r="F980" s="247"/>
      <c r="G980" s="247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</row>
    <row r="981">
      <c r="A981" s="247"/>
      <c r="B981" s="373"/>
      <c r="C981" s="373"/>
      <c r="D981" s="247"/>
      <c r="E981" s="247"/>
      <c r="F981" s="247"/>
      <c r="G981" s="247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</row>
    <row r="982">
      <c r="A982" s="247"/>
      <c r="B982" s="373"/>
      <c r="C982" s="373"/>
      <c r="D982" s="247"/>
      <c r="E982" s="247"/>
      <c r="F982" s="247"/>
      <c r="G982" s="247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</row>
    <row r="983">
      <c r="A983" s="247"/>
      <c r="B983" s="373"/>
      <c r="C983" s="373"/>
      <c r="D983" s="247"/>
      <c r="E983" s="247"/>
      <c r="F983" s="247"/>
      <c r="G983" s="247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</row>
    <row r="984">
      <c r="A984" s="247"/>
      <c r="B984" s="373"/>
      <c r="C984" s="373"/>
      <c r="D984" s="247"/>
      <c r="E984" s="247"/>
      <c r="F984" s="247"/>
      <c r="G984" s="247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</row>
    <row r="985">
      <c r="A985" s="247"/>
      <c r="B985" s="373"/>
      <c r="C985" s="373"/>
      <c r="D985" s="247"/>
      <c r="E985" s="247"/>
      <c r="F985" s="247"/>
      <c r="G985" s="247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</row>
    <row r="986">
      <c r="A986" s="247"/>
      <c r="B986" s="373"/>
      <c r="C986" s="373"/>
      <c r="D986" s="247"/>
      <c r="E986" s="247"/>
      <c r="F986" s="247"/>
      <c r="G986" s="247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</row>
    <row r="987">
      <c r="A987" s="247"/>
      <c r="B987" s="373"/>
      <c r="C987" s="373"/>
      <c r="D987" s="247"/>
      <c r="E987" s="247"/>
      <c r="F987" s="247"/>
      <c r="G987" s="247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</row>
    <row r="988">
      <c r="A988" s="247"/>
      <c r="B988" s="373"/>
      <c r="C988" s="373"/>
      <c r="D988" s="247"/>
      <c r="E988" s="247"/>
      <c r="F988" s="247"/>
      <c r="G988" s="247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</row>
    <row r="989">
      <c r="A989" s="247"/>
      <c r="B989" s="373"/>
      <c r="C989" s="373"/>
      <c r="D989" s="247"/>
      <c r="E989" s="247"/>
      <c r="F989" s="247"/>
      <c r="G989" s="247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</row>
    <row r="990">
      <c r="A990" s="247"/>
      <c r="B990" s="373"/>
      <c r="C990" s="373"/>
      <c r="D990" s="247"/>
      <c r="E990" s="247"/>
      <c r="F990" s="247"/>
      <c r="G990" s="247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</row>
    <row r="991">
      <c r="A991" s="247"/>
      <c r="B991" s="373"/>
      <c r="C991" s="373"/>
      <c r="D991" s="247"/>
      <c r="E991" s="247"/>
      <c r="F991" s="247"/>
      <c r="G991" s="247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</row>
    <row r="992">
      <c r="A992" s="247"/>
      <c r="B992" s="373"/>
      <c r="C992" s="373"/>
      <c r="D992" s="247"/>
      <c r="E992" s="247"/>
      <c r="F992" s="247"/>
      <c r="G992" s="247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</row>
    <row r="993">
      <c r="A993" s="247"/>
      <c r="B993" s="373"/>
      <c r="C993" s="373"/>
      <c r="D993" s="247"/>
      <c r="E993" s="247"/>
      <c r="F993" s="247"/>
      <c r="G993" s="247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</row>
    <row r="994">
      <c r="A994" s="247"/>
      <c r="B994" s="373"/>
      <c r="C994" s="373"/>
      <c r="D994" s="247"/>
      <c r="E994" s="247"/>
      <c r="F994" s="247"/>
      <c r="G994" s="247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</row>
    <row r="995">
      <c r="A995" s="247"/>
      <c r="B995" s="373"/>
      <c r="C995" s="373"/>
      <c r="D995" s="247"/>
      <c r="E995" s="247"/>
      <c r="F995" s="247"/>
      <c r="G995" s="247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</row>
    <row r="996">
      <c r="A996" s="247"/>
      <c r="B996" s="373"/>
      <c r="C996" s="373"/>
      <c r="D996" s="247"/>
      <c r="E996" s="247"/>
      <c r="F996" s="247"/>
      <c r="G996" s="247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</row>
    <row r="997">
      <c r="A997" s="247"/>
      <c r="B997" s="373"/>
      <c r="C997" s="373"/>
      <c r="D997" s="247"/>
      <c r="E997" s="247"/>
      <c r="F997" s="247"/>
      <c r="G997" s="247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</row>
    <row r="998">
      <c r="A998" s="247"/>
      <c r="B998" s="373"/>
      <c r="C998" s="373"/>
      <c r="D998" s="247"/>
      <c r="E998" s="247"/>
      <c r="F998" s="247"/>
      <c r="G998" s="247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</row>
    <row r="999">
      <c r="A999" s="247"/>
      <c r="B999" s="373"/>
      <c r="C999" s="373"/>
      <c r="D999" s="247"/>
      <c r="E999" s="247"/>
      <c r="F999" s="247"/>
      <c r="G999" s="247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</row>
    <row r="1000">
      <c r="A1000" s="247"/>
      <c r="B1000" s="373"/>
      <c r="C1000" s="373"/>
      <c r="D1000" s="247"/>
      <c r="E1000" s="247"/>
      <c r="F1000" s="247"/>
      <c r="G1000" s="247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</row>
    <row r="1001">
      <c r="A1001" s="247"/>
      <c r="B1001" s="373"/>
      <c r="C1001" s="373"/>
      <c r="D1001" s="247"/>
      <c r="E1001" s="247"/>
      <c r="F1001" s="247"/>
      <c r="G1001" s="247"/>
      <c r="H1001" s="247"/>
      <c r="I1001" s="247"/>
      <c r="J1001" s="247"/>
      <c r="K1001" s="247"/>
      <c r="L1001" s="247"/>
      <c r="M1001" s="247"/>
      <c r="N1001" s="247"/>
      <c r="O1001" s="247"/>
      <c r="P1001" s="247"/>
      <c r="Q1001" s="247"/>
      <c r="R1001" s="247"/>
      <c r="S1001" s="247"/>
      <c r="T1001" s="247"/>
      <c r="U1001" s="247"/>
      <c r="V1001" s="247"/>
      <c r="W1001" s="247"/>
      <c r="X1001" s="247"/>
      <c r="Y1001" s="247"/>
      <c r="Z1001" s="247"/>
    </row>
    <row r="1002">
      <c r="A1002" s="247"/>
      <c r="B1002" s="373"/>
      <c r="C1002" s="373"/>
      <c r="D1002" s="247"/>
      <c r="E1002" s="247"/>
      <c r="F1002" s="247"/>
      <c r="G1002" s="247"/>
      <c r="H1002" s="247"/>
      <c r="I1002" s="247"/>
      <c r="J1002" s="247"/>
      <c r="K1002" s="247"/>
      <c r="L1002" s="247"/>
      <c r="M1002" s="247"/>
      <c r="N1002" s="247"/>
      <c r="O1002" s="247"/>
      <c r="P1002" s="247"/>
      <c r="Q1002" s="247"/>
      <c r="R1002" s="247"/>
      <c r="S1002" s="247"/>
      <c r="T1002" s="247"/>
      <c r="U1002" s="247"/>
      <c r="V1002" s="247"/>
      <c r="W1002" s="247"/>
      <c r="X1002" s="247"/>
      <c r="Y1002" s="247"/>
      <c r="Z1002" s="247"/>
    </row>
    <row r="1003">
      <c r="A1003" s="247"/>
      <c r="B1003" s="373"/>
      <c r="C1003" s="373"/>
      <c r="D1003" s="247"/>
      <c r="E1003" s="247"/>
      <c r="F1003" s="247"/>
      <c r="G1003" s="247"/>
      <c r="H1003" s="247"/>
      <c r="I1003" s="247"/>
      <c r="J1003" s="247"/>
      <c r="K1003" s="247"/>
      <c r="L1003" s="247"/>
      <c r="M1003" s="247"/>
      <c r="N1003" s="247"/>
      <c r="O1003" s="247"/>
      <c r="P1003" s="247"/>
      <c r="Q1003" s="247"/>
      <c r="R1003" s="247"/>
      <c r="S1003" s="247"/>
      <c r="T1003" s="247"/>
      <c r="U1003" s="247"/>
      <c r="V1003" s="247"/>
      <c r="W1003" s="247"/>
      <c r="X1003" s="247"/>
      <c r="Y1003" s="247"/>
      <c r="Z1003" s="247"/>
    </row>
    <row r="1004">
      <c r="A1004" s="247"/>
      <c r="B1004" s="373"/>
      <c r="C1004" s="373"/>
      <c r="D1004" s="247"/>
      <c r="E1004" s="247"/>
      <c r="F1004" s="247"/>
      <c r="G1004" s="247"/>
      <c r="H1004" s="247"/>
      <c r="I1004" s="247"/>
      <c r="J1004" s="247"/>
      <c r="K1004" s="247"/>
      <c r="L1004" s="247"/>
      <c r="M1004" s="247"/>
      <c r="N1004" s="247"/>
      <c r="O1004" s="247"/>
      <c r="P1004" s="247"/>
      <c r="Q1004" s="247"/>
      <c r="R1004" s="247"/>
      <c r="S1004" s="247"/>
      <c r="T1004" s="247"/>
      <c r="U1004" s="247"/>
      <c r="V1004" s="247"/>
      <c r="W1004" s="247"/>
      <c r="X1004" s="247"/>
      <c r="Y1004" s="247"/>
      <c r="Z1004" s="247"/>
    </row>
    <row r="1005">
      <c r="A1005" s="247"/>
      <c r="B1005" s="373"/>
      <c r="C1005" s="373"/>
      <c r="D1005" s="247"/>
      <c r="E1005" s="247"/>
      <c r="F1005" s="247"/>
      <c r="G1005" s="247"/>
      <c r="H1005" s="247"/>
      <c r="I1005" s="247"/>
      <c r="J1005" s="247"/>
      <c r="K1005" s="247"/>
      <c r="L1005" s="247"/>
      <c r="M1005" s="247"/>
      <c r="N1005" s="247"/>
      <c r="O1005" s="247"/>
      <c r="P1005" s="247"/>
      <c r="Q1005" s="247"/>
      <c r="R1005" s="247"/>
      <c r="S1005" s="247"/>
      <c r="T1005" s="247"/>
      <c r="U1005" s="247"/>
      <c r="V1005" s="247"/>
      <c r="W1005" s="247"/>
      <c r="X1005" s="247"/>
      <c r="Y1005" s="247"/>
      <c r="Z1005" s="247"/>
    </row>
    <row r="1006">
      <c r="A1006" s="247"/>
      <c r="B1006" s="373"/>
      <c r="C1006" s="373"/>
      <c r="D1006" s="247"/>
      <c r="E1006" s="247"/>
      <c r="F1006" s="247"/>
      <c r="G1006" s="247"/>
      <c r="H1006" s="247"/>
      <c r="I1006" s="247"/>
      <c r="J1006" s="247"/>
      <c r="K1006" s="247"/>
      <c r="L1006" s="247"/>
      <c r="M1006" s="247"/>
      <c r="N1006" s="247"/>
      <c r="O1006" s="247"/>
      <c r="P1006" s="247"/>
      <c r="Q1006" s="247"/>
      <c r="R1006" s="247"/>
      <c r="S1006" s="247"/>
      <c r="T1006" s="247"/>
      <c r="U1006" s="247"/>
      <c r="V1006" s="247"/>
      <c r="W1006" s="247"/>
      <c r="X1006" s="247"/>
      <c r="Y1006" s="247"/>
      <c r="Z1006" s="247"/>
    </row>
    <row r="1007">
      <c r="A1007" s="247"/>
      <c r="B1007" s="373"/>
      <c r="C1007" s="373"/>
      <c r="D1007" s="247"/>
      <c r="E1007" s="247"/>
      <c r="F1007" s="247"/>
      <c r="G1007" s="247"/>
      <c r="H1007" s="247"/>
      <c r="I1007" s="247"/>
      <c r="J1007" s="247"/>
      <c r="K1007" s="247"/>
      <c r="L1007" s="247"/>
      <c r="M1007" s="247"/>
      <c r="N1007" s="247"/>
      <c r="O1007" s="247"/>
      <c r="P1007" s="247"/>
      <c r="Q1007" s="247"/>
      <c r="R1007" s="247"/>
      <c r="S1007" s="247"/>
      <c r="T1007" s="247"/>
      <c r="U1007" s="247"/>
      <c r="V1007" s="247"/>
      <c r="W1007" s="247"/>
      <c r="X1007" s="247"/>
      <c r="Y1007" s="247"/>
      <c r="Z1007" s="247"/>
    </row>
    <row r="1008">
      <c r="A1008" s="247"/>
      <c r="B1008" s="373"/>
      <c r="C1008" s="373"/>
      <c r="D1008" s="247"/>
      <c r="E1008" s="247"/>
      <c r="F1008" s="247"/>
      <c r="G1008" s="247"/>
      <c r="H1008" s="247"/>
      <c r="I1008" s="247"/>
      <c r="J1008" s="247"/>
      <c r="K1008" s="247"/>
      <c r="L1008" s="247"/>
      <c r="M1008" s="247"/>
      <c r="N1008" s="247"/>
      <c r="O1008" s="247"/>
      <c r="P1008" s="247"/>
      <c r="Q1008" s="247"/>
      <c r="R1008" s="247"/>
      <c r="S1008" s="247"/>
      <c r="T1008" s="247"/>
      <c r="U1008" s="247"/>
      <c r="V1008" s="247"/>
      <c r="W1008" s="247"/>
      <c r="X1008" s="247"/>
      <c r="Y1008" s="247"/>
      <c r="Z1008" s="247"/>
    </row>
    <row r="1009">
      <c r="A1009" s="247"/>
      <c r="B1009" s="373"/>
      <c r="C1009" s="373"/>
      <c r="D1009" s="247"/>
      <c r="E1009" s="247"/>
      <c r="F1009" s="247"/>
      <c r="G1009" s="247"/>
      <c r="H1009" s="247"/>
      <c r="I1009" s="247"/>
      <c r="J1009" s="247"/>
      <c r="K1009" s="247"/>
      <c r="L1009" s="247"/>
      <c r="M1009" s="247"/>
      <c r="N1009" s="247"/>
      <c r="O1009" s="247"/>
      <c r="P1009" s="247"/>
      <c r="Q1009" s="247"/>
      <c r="R1009" s="247"/>
      <c r="S1009" s="247"/>
      <c r="T1009" s="247"/>
      <c r="U1009" s="247"/>
      <c r="V1009" s="247"/>
      <c r="W1009" s="247"/>
      <c r="X1009" s="247"/>
      <c r="Y1009" s="247"/>
      <c r="Z1009" s="247"/>
    </row>
    <row r="1010">
      <c r="A1010" s="247"/>
      <c r="B1010" s="373"/>
      <c r="C1010" s="373"/>
      <c r="D1010" s="247"/>
      <c r="E1010" s="247"/>
      <c r="F1010" s="247"/>
      <c r="G1010" s="247"/>
      <c r="H1010" s="247"/>
      <c r="I1010" s="247"/>
      <c r="J1010" s="247"/>
      <c r="K1010" s="247"/>
      <c r="L1010" s="247"/>
      <c r="M1010" s="247"/>
      <c r="N1010" s="247"/>
      <c r="O1010" s="247"/>
      <c r="P1010" s="247"/>
      <c r="Q1010" s="247"/>
      <c r="R1010" s="247"/>
      <c r="S1010" s="247"/>
      <c r="T1010" s="247"/>
      <c r="U1010" s="247"/>
      <c r="V1010" s="247"/>
      <c r="W1010" s="247"/>
      <c r="X1010" s="247"/>
      <c r="Y1010" s="247"/>
      <c r="Z1010" s="247"/>
    </row>
    <row r="1011">
      <c r="A1011" s="247"/>
      <c r="B1011" s="373"/>
      <c r="C1011" s="373"/>
      <c r="D1011" s="247"/>
      <c r="E1011" s="247"/>
      <c r="F1011" s="247"/>
      <c r="G1011" s="247"/>
      <c r="H1011" s="247"/>
      <c r="I1011" s="247"/>
      <c r="J1011" s="247"/>
      <c r="K1011" s="247"/>
      <c r="L1011" s="247"/>
      <c r="M1011" s="247"/>
      <c r="N1011" s="247"/>
      <c r="O1011" s="247"/>
      <c r="P1011" s="247"/>
      <c r="Q1011" s="247"/>
      <c r="R1011" s="247"/>
      <c r="S1011" s="247"/>
      <c r="T1011" s="247"/>
      <c r="U1011" s="247"/>
      <c r="V1011" s="247"/>
      <c r="W1011" s="247"/>
      <c r="X1011" s="247"/>
      <c r="Y1011" s="247"/>
      <c r="Z1011" s="247"/>
    </row>
    <row r="1012">
      <c r="A1012" s="247"/>
      <c r="B1012" s="373"/>
      <c r="C1012" s="373"/>
      <c r="D1012" s="247"/>
      <c r="E1012" s="247"/>
      <c r="F1012" s="247"/>
      <c r="G1012" s="247"/>
      <c r="H1012" s="247"/>
      <c r="I1012" s="247"/>
      <c r="J1012" s="247"/>
      <c r="K1012" s="247"/>
      <c r="L1012" s="247"/>
      <c r="M1012" s="247"/>
      <c r="N1012" s="247"/>
      <c r="O1012" s="247"/>
      <c r="P1012" s="247"/>
      <c r="Q1012" s="247"/>
      <c r="R1012" s="247"/>
      <c r="S1012" s="247"/>
      <c r="T1012" s="247"/>
      <c r="U1012" s="247"/>
      <c r="V1012" s="247"/>
      <c r="W1012" s="247"/>
      <c r="X1012" s="247"/>
      <c r="Y1012" s="247"/>
      <c r="Z1012" s="247"/>
    </row>
    <row r="1013">
      <c r="A1013" s="247"/>
      <c r="B1013" s="373"/>
      <c r="C1013" s="373"/>
      <c r="D1013" s="247"/>
      <c r="E1013" s="247"/>
      <c r="F1013" s="247"/>
      <c r="G1013" s="247"/>
      <c r="H1013" s="247"/>
      <c r="I1013" s="247"/>
      <c r="J1013" s="247"/>
      <c r="K1013" s="247"/>
      <c r="L1013" s="247"/>
      <c r="M1013" s="247"/>
      <c r="N1013" s="247"/>
      <c r="O1013" s="247"/>
      <c r="P1013" s="247"/>
      <c r="Q1013" s="247"/>
      <c r="R1013" s="247"/>
      <c r="S1013" s="247"/>
      <c r="T1013" s="247"/>
      <c r="U1013" s="247"/>
      <c r="V1013" s="247"/>
      <c r="W1013" s="247"/>
      <c r="X1013" s="247"/>
      <c r="Y1013" s="247"/>
      <c r="Z1013" s="247"/>
    </row>
    <row r="1014">
      <c r="A1014" s="247"/>
      <c r="B1014" s="373"/>
      <c r="C1014" s="373"/>
      <c r="D1014" s="247"/>
      <c r="E1014" s="247"/>
      <c r="F1014" s="247"/>
      <c r="G1014" s="247"/>
      <c r="H1014" s="247"/>
      <c r="I1014" s="247"/>
      <c r="J1014" s="247"/>
      <c r="K1014" s="247"/>
      <c r="L1014" s="247"/>
      <c r="M1014" s="247"/>
      <c r="N1014" s="247"/>
      <c r="O1014" s="247"/>
      <c r="P1014" s="247"/>
      <c r="Q1014" s="247"/>
      <c r="R1014" s="247"/>
      <c r="S1014" s="247"/>
      <c r="T1014" s="247"/>
      <c r="U1014" s="247"/>
      <c r="V1014" s="247"/>
      <c r="W1014" s="247"/>
      <c r="X1014" s="247"/>
      <c r="Y1014" s="247"/>
      <c r="Z1014" s="247"/>
    </row>
    <row r="1015">
      <c r="A1015" s="247"/>
      <c r="B1015" s="373"/>
      <c r="C1015" s="373"/>
      <c r="D1015" s="247"/>
      <c r="E1015" s="247"/>
      <c r="F1015" s="247"/>
      <c r="G1015" s="247"/>
      <c r="H1015" s="247"/>
      <c r="I1015" s="247"/>
      <c r="J1015" s="247"/>
      <c r="K1015" s="247"/>
      <c r="L1015" s="247"/>
      <c r="M1015" s="247"/>
      <c r="N1015" s="247"/>
      <c r="O1015" s="247"/>
      <c r="P1015" s="247"/>
      <c r="Q1015" s="247"/>
      <c r="R1015" s="247"/>
      <c r="S1015" s="247"/>
      <c r="T1015" s="247"/>
      <c r="U1015" s="247"/>
      <c r="V1015" s="247"/>
      <c r="W1015" s="247"/>
      <c r="X1015" s="247"/>
      <c r="Y1015" s="247"/>
      <c r="Z1015" s="247"/>
    </row>
    <row r="1016">
      <c r="A1016" s="247"/>
      <c r="B1016" s="373"/>
      <c r="C1016" s="373"/>
      <c r="D1016" s="247"/>
      <c r="E1016" s="247"/>
      <c r="F1016" s="247"/>
      <c r="G1016" s="247"/>
      <c r="H1016" s="247"/>
      <c r="I1016" s="247"/>
      <c r="J1016" s="247"/>
      <c r="K1016" s="247"/>
      <c r="L1016" s="247"/>
      <c r="M1016" s="247"/>
      <c r="N1016" s="247"/>
      <c r="O1016" s="247"/>
      <c r="P1016" s="247"/>
      <c r="Q1016" s="247"/>
      <c r="R1016" s="247"/>
      <c r="S1016" s="247"/>
      <c r="T1016" s="247"/>
      <c r="U1016" s="247"/>
      <c r="V1016" s="247"/>
      <c r="W1016" s="247"/>
      <c r="X1016" s="247"/>
      <c r="Y1016" s="247"/>
      <c r="Z1016" s="247"/>
    </row>
    <row r="1017">
      <c r="A1017" s="247"/>
      <c r="B1017" s="373"/>
      <c r="C1017" s="373"/>
      <c r="D1017" s="247"/>
      <c r="E1017" s="247"/>
      <c r="F1017" s="247"/>
      <c r="G1017" s="247"/>
      <c r="H1017" s="247"/>
      <c r="I1017" s="247"/>
      <c r="J1017" s="247"/>
      <c r="K1017" s="247"/>
      <c r="L1017" s="247"/>
      <c r="M1017" s="247"/>
      <c r="N1017" s="247"/>
      <c r="O1017" s="247"/>
      <c r="P1017" s="247"/>
      <c r="Q1017" s="247"/>
      <c r="R1017" s="247"/>
      <c r="S1017" s="247"/>
      <c r="T1017" s="247"/>
      <c r="U1017" s="247"/>
      <c r="V1017" s="247"/>
      <c r="W1017" s="247"/>
      <c r="X1017" s="247"/>
      <c r="Y1017" s="247"/>
      <c r="Z1017" s="247"/>
    </row>
    <row r="1018">
      <c r="A1018" s="247"/>
      <c r="B1018" s="373"/>
      <c r="C1018" s="373"/>
      <c r="D1018" s="247"/>
      <c r="E1018" s="247"/>
      <c r="F1018" s="247"/>
      <c r="G1018" s="247"/>
      <c r="H1018" s="247"/>
      <c r="I1018" s="247"/>
      <c r="J1018" s="247"/>
      <c r="K1018" s="247"/>
      <c r="L1018" s="247"/>
      <c r="M1018" s="247"/>
      <c r="N1018" s="247"/>
      <c r="O1018" s="247"/>
      <c r="P1018" s="247"/>
      <c r="Q1018" s="247"/>
      <c r="R1018" s="247"/>
      <c r="S1018" s="247"/>
      <c r="T1018" s="247"/>
      <c r="U1018" s="247"/>
      <c r="V1018" s="247"/>
      <c r="W1018" s="247"/>
      <c r="X1018" s="247"/>
      <c r="Y1018" s="247"/>
      <c r="Z1018" s="247"/>
    </row>
    <row r="1019">
      <c r="A1019" s="247"/>
      <c r="B1019" s="373"/>
      <c r="C1019" s="373"/>
      <c r="D1019" s="247"/>
      <c r="E1019" s="247"/>
      <c r="F1019" s="247"/>
      <c r="G1019" s="247"/>
      <c r="H1019" s="247"/>
      <c r="I1019" s="247"/>
      <c r="J1019" s="247"/>
      <c r="K1019" s="247"/>
      <c r="L1019" s="247"/>
      <c r="M1019" s="247"/>
      <c r="N1019" s="247"/>
      <c r="O1019" s="247"/>
      <c r="P1019" s="247"/>
      <c r="Q1019" s="247"/>
      <c r="R1019" s="247"/>
      <c r="S1019" s="247"/>
      <c r="T1019" s="247"/>
      <c r="U1019" s="247"/>
      <c r="V1019" s="247"/>
      <c r="W1019" s="247"/>
      <c r="X1019" s="247"/>
      <c r="Y1019" s="247"/>
      <c r="Z1019" s="247"/>
    </row>
    <row r="1020">
      <c r="A1020" s="247"/>
      <c r="B1020" s="373"/>
      <c r="C1020" s="373"/>
      <c r="D1020" s="247"/>
      <c r="E1020" s="247"/>
      <c r="F1020" s="247"/>
      <c r="G1020" s="247"/>
      <c r="H1020" s="247"/>
      <c r="I1020" s="247"/>
      <c r="J1020" s="247"/>
      <c r="K1020" s="247"/>
      <c r="L1020" s="247"/>
      <c r="M1020" s="247"/>
      <c r="N1020" s="247"/>
      <c r="O1020" s="247"/>
      <c r="P1020" s="247"/>
      <c r="Q1020" s="247"/>
      <c r="R1020" s="247"/>
      <c r="S1020" s="247"/>
      <c r="T1020" s="247"/>
      <c r="U1020" s="247"/>
      <c r="V1020" s="247"/>
      <c r="W1020" s="247"/>
      <c r="X1020" s="247"/>
      <c r="Y1020" s="247"/>
      <c r="Z1020" s="247"/>
    </row>
    <row r="1021">
      <c r="A1021" s="247"/>
      <c r="B1021" s="373"/>
      <c r="C1021" s="373"/>
      <c r="D1021" s="247"/>
      <c r="E1021" s="247"/>
      <c r="F1021" s="247"/>
      <c r="G1021" s="247"/>
      <c r="H1021" s="247"/>
      <c r="I1021" s="247"/>
      <c r="J1021" s="247"/>
      <c r="K1021" s="247"/>
      <c r="L1021" s="247"/>
      <c r="M1021" s="247"/>
      <c r="N1021" s="247"/>
      <c r="O1021" s="247"/>
      <c r="P1021" s="247"/>
      <c r="Q1021" s="247"/>
      <c r="R1021" s="247"/>
      <c r="S1021" s="247"/>
      <c r="T1021" s="247"/>
      <c r="U1021" s="247"/>
      <c r="V1021" s="247"/>
      <c r="W1021" s="247"/>
      <c r="X1021" s="247"/>
      <c r="Y1021" s="247"/>
      <c r="Z1021" s="247"/>
    </row>
    <row r="1022">
      <c r="A1022" s="247"/>
      <c r="B1022" s="373"/>
      <c r="C1022" s="373"/>
      <c r="D1022" s="247"/>
      <c r="E1022" s="247"/>
      <c r="F1022" s="247"/>
      <c r="G1022" s="247"/>
      <c r="H1022" s="247"/>
      <c r="I1022" s="247"/>
      <c r="J1022" s="247"/>
      <c r="K1022" s="247"/>
      <c r="L1022" s="247"/>
      <c r="M1022" s="247"/>
      <c r="N1022" s="247"/>
      <c r="O1022" s="247"/>
      <c r="P1022" s="247"/>
      <c r="Q1022" s="247"/>
      <c r="R1022" s="247"/>
      <c r="S1022" s="247"/>
      <c r="T1022" s="247"/>
      <c r="U1022" s="247"/>
      <c r="V1022" s="247"/>
      <c r="W1022" s="247"/>
      <c r="X1022" s="247"/>
      <c r="Y1022" s="247"/>
      <c r="Z1022" s="247"/>
    </row>
    <row r="1023">
      <c r="A1023" s="247"/>
      <c r="B1023" s="373"/>
      <c r="C1023" s="373"/>
      <c r="D1023" s="247"/>
      <c r="E1023" s="247"/>
      <c r="F1023" s="247"/>
      <c r="G1023" s="247"/>
      <c r="H1023" s="247"/>
      <c r="I1023" s="247"/>
      <c r="J1023" s="247"/>
      <c r="K1023" s="247"/>
      <c r="L1023" s="247"/>
      <c r="M1023" s="247"/>
      <c r="N1023" s="247"/>
      <c r="O1023" s="247"/>
      <c r="P1023" s="247"/>
      <c r="Q1023" s="247"/>
      <c r="R1023" s="247"/>
      <c r="S1023" s="247"/>
      <c r="T1023" s="247"/>
      <c r="U1023" s="247"/>
      <c r="V1023" s="247"/>
      <c r="W1023" s="247"/>
      <c r="X1023" s="247"/>
      <c r="Y1023" s="247"/>
      <c r="Z1023" s="247"/>
    </row>
    <row r="1024">
      <c r="A1024" s="247"/>
      <c r="B1024" s="373"/>
      <c r="C1024" s="373"/>
      <c r="D1024" s="247"/>
      <c r="E1024" s="247"/>
      <c r="F1024" s="247"/>
      <c r="G1024" s="247"/>
      <c r="H1024" s="247"/>
      <c r="I1024" s="247"/>
      <c r="J1024" s="247"/>
      <c r="K1024" s="247"/>
      <c r="L1024" s="247"/>
      <c r="M1024" s="247"/>
      <c r="N1024" s="247"/>
      <c r="O1024" s="247"/>
      <c r="P1024" s="247"/>
      <c r="Q1024" s="247"/>
      <c r="R1024" s="247"/>
      <c r="S1024" s="247"/>
      <c r="T1024" s="247"/>
      <c r="U1024" s="247"/>
      <c r="V1024" s="247"/>
      <c r="W1024" s="247"/>
      <c r="X1024" s="247"/>
      <c r="Y1024" s="247"/>
      <c r="Z1024" s="247"/>
    </row>
    <row r="1025">
      <c r="A1025" s="247"/>
      <c r="B1025" s="373"/>
      <c r="C1025" s="373"/>
      <c r="D1025" s="247"/>
      <c r="E1025" s="247"/>
      <c r="F1025" s="247"/>
      <c r="G1025" s="247"/>
      <c r="H1025" s="247"/>
      <c r="I1025" s="247"/>
      <c r="J1025" s="247"/>
      <c r="K1025" s="247"/>
      <c r="L1025" s="247"/>
      <c r="M1025" s="247"/>
      <c r="N1025" s="247"/>
      <c r="O1025" s="247"/>
      <c r="P1025" s="247"/>
      <c r="Q1025" s="247"/>
      <c r="R1025" s="247"/>
      <c r="S1025" s="247"/>
      <c r="T1025" s="247"/>
      <c r="U1025" s="247"/>
      <c r="V1025" s="247"/>
      <c r="W1025" s="247"/>
      <c r="X1025" s="247"/>
      <c r="Y1025" s="247"/>
      <c r="Z1025" s="247"/>
    </row>
    <row r="1026">
      <c r="A1026" s="247"/>
      <c r="B1026" s="373"/>
      <c r="C1026" s="373"/>
      <c r="D1026" s="247"/>
      <c r="E1026" s="247"/>
      <c r="F1026" s="247"/>
      <c r="G1026" s="247"/>
      <c r="H1026" s="247"/>
      <c r="I1026" s="247"/>
      <c r="J1026" s="247"/>
      <c r="K1026" s="247"/>
      <c r="L1026" s="247"/>
      <c r="M1026" s="247"/>
      <c r="N1026" s="247"/>
      <c r="O1026" s="247"/>
      <c r="P1026" s="247"/>
      <c r="Q1026" s="247"/>
      <c r="R1026" s="247"/>
      <c r="S1026" s="247"/>
      <c r="T1026" s="247"/>
      <c r="U1026" s="247"/>
      <c r="V1026" s="247"/>
      <c r="W1026" s="247"/>
      <c r="X1026" s="247"/>
      <c r="Y1026" s="247"/>
      <c r="Z1026" s="247"/>
    </row>
    <row r="1027">
      <c r="A1027" s="247"/>
      <c r="B1027" s="373"/>
      <c r="C1027" s="373"/>
      <c r="D1027" s="247"/>
      <c r="E1027" s="247"/>
      <c r="F1027" s="247"/>
      <c r="G1027" s="247"/>
      <c r="H1027" s="247"/>
      <c r="I1027" s="247"/>
      <c r="J1027" s="247"/>
      <c r="K1027" s="247"/>
      <c r="L1027" s="247"/>
      <c r="M1027" s="247"/>
      <c r="N1027" s="247"/>
      <c r="O1027" s="247"/>
      <c r="P1027" s="247"/>
      <c r="Q1027" s="247"/>
      <c r="R1027" s="247"/>
      <c r="S1027" s="247"/>
      <c r="T1027" s="247"/>
      <c r="U1027" s="247"/>
      <c r="V1027" s="247"/>
      <c r="W1027" s="247"/>
      <c r="X1027" s="247"/>
      <c r="Y1027" s="247"/>
      <c r="Z1027" s="247"/>
    </row>
    <row r="1028">
      <c r="A1028" s="247"/>
      <c r="B1028" s="373"/>
      <c r="C1028" s="373"/>
      <c r="D1028" s="247"/>
      <c r="E1028" s="247"/>
      <c r="F1028" s="247"/>
      <c r="G1028" s="247"/>
      <c r="H1028" s="247"/>
      <c r="I1028" s="247"/>
      <c r="J1028" s="247"/>
      <c r="K1028" s="247"/>
      <c r="L1028" s="247"/>
      <c r="M1028" s="247"/>
      <c r="N1028" s="247"/>
      <c r="O1028" s="247"/>
      <c r="P1028" s="247"/>
      <c r="Q1028" s="247"/>
      <c r="R1028" s="247"/>
      <c r="S1028" s="247"/>
      <c r="T1028" s="247"/>
      <c r="U1028" s="247"/>
      <c r="V1028" s="247"/>
      <c r="W1028" s="247"/>
      <c r="X1028" s="247"/>
      <c r="Y1028" s="247"/>
      <c r="Z1028" s="247"/>
    </row>
    <row r="1029">
      <c r="A1029" s="247"/>
      <c r="B1029" s="373"/>
      <c r="C1029" s="373"/>
      <c r="D1029" s="247"/>
      <c r="E1029" s="247"/>
      <c r="F1029" s="247"/>
      <c r="G1029" s="247"/>
      <c r="H1029" s="247"/>
      <c r="I1029" s="247"/>
      <c r="J1029" s="247"/>
      <c r="K1029" s="247"/>
      <c r="L1029" s="247"/>
      <c r="M1029" s="247"/>
      <c r="N1029" s="247"/>
      <c r="O1029" s="247"/>
      <c r="P1029" s="247"/>
      <c r="Q1029" s="247"/>
      <c r="R1029" s="247"/>
      <c r="S1029" s="247"/>
      <c r="T1029" s="247"/>
      <c r="U1029" s="247"/>
      <c r="V1029" s="247"/>
      <c r="W1029" s="247"/>
      <c r="X1029" s="247"/>
      <c r="Y1029" s="247"/>
      <c r="Z1029" s="247"/>
    </row>
    <row r="1030">
      <c r="A1030" s="247"/>
      <c r="B1030" s="373"/>
      <c r="C1030" s="373"/>
      <c r="D1030" s="247"/>
      <c r="E1030" s="247"/>
      <c r="F1030" s="247"/>
      <c r="G1030" s="247"/>
      <c r="H1030" s="247"/>
      <c r="I1030" s="247"/>
      <c r="J1030" s="247"/>
      <c r="K1030" s="247"/>
      <c r="L1030" s="247"/>
      <c r="M1030" s="247"/>
      <c r="N1030" s="247"/>
      <c r="O1030" s="247"/>
      <c r="P1030" s="247"/>
      <c r="Q1030" s="247"/>
      <c r="R1030" s="247"/>
      <c r="S1030" s="247"/>
      <c r="T1030" s="247"/>
      <c r="U1030" s="247"/>
      <c r="V1030" s="247"/>
      <c r="W1030" s="247"/>
      <c r="X1030" s="247"/>
      <c r="Y1030" s="247"/>
      <c r="Z1030" s="247"/>
    </row>
    <row r="1031">
      <c r="A1031" s="247"/>
      <c r="B1031" s="373"/>
      <c r="C1031" s="373"/>
      <c r="D1031" s="247"/>
      <c r="E1031" s="247"/>
      <c r="F1031" s="247"/>
      <c r="G1031" s="247"/>
      <c r="H1031" s="247"/>
      <c r="I1031" s="247"/>
      <c r="J1031" s="247"/>
      <c r="K1031" s="247"/>
      <c r="L1031" s="247"/>
      <c r="M1031" s="247"/>
      <c r="N1031" s="247"/>
      <c r="O1031" s="247"/>
      <c r="P1031" s="247"/>
      <c r="Q1031" s="247"/>
      <c r="R1031" s="247"/>
      <c r="S1031" s="247"/>
      <c r="T1031" s="247"/>
      <c r="U1031" s="247"/>
      <c r="V1031" s="247"/>
      <c r="W1031" s="247"/>
      <c r="X1031" s="247"/>
      <c r="Y1031" s="247"/>
      <c r="Z1031" s="247"/>
    </row>
    <row r="1032">
      <c r="A1032" s="247"/>
      <c r="B1032" s="373"/>
      <c r="C1032" s="373"/>
      <c r="D1032" s="247"/>
      <c r="E1032" s="247"/>
      <c r="F1032" s="247"/>
      <c r="G1032" s="247"/>
      <c r="H1032" s="247"/>
      <c r="I1032" s="247"/>
      <c r="J1032" s="247"/>
      <c r="K1032" s="247"/>
      <c r="L1032" s="247"/>
      <c r="M1032" s="247"/>
      <c r="N1032" s="247"/>
      <c r="O1032" s="247"/>
      <c r="P1032" s="247"/>
      <c r="Q1032" s="247"/>
      <c r="R1032" s="247"/>
      <c r="S1032" s="247"/>
      <c r="T1032" s="247"/>
      <c r="U1032" s="247"/>
      <c r="V1032" s="247"/>
      <c r="W1032" s="247"/>
      <c r="X1032" s="247"/>
      <c r="Y1032" s="247"/>
      <c r="Z1032" s="247"/>
    </row>
    <row r="1033">
      <c r="A1033" s="247"/>
      <c r="B1033" s="373"/>
      <c r="C1033" s="373"/>
      <c r="D1033" s="247"/>
      <c r="E1033" s="247"/>
      <c r="F1033" s="247"/>
      <c r="G1033" s="247"/>
      <c r="H1033" s="247"/>
      <c r="I1033" s="247"/>
      <c r="J1033" s="247"/>
      <c r="K1033" s="247"/>
      <c r="L1033" s="247"/>
      <c r="M1033" s="247"/>
      <c r="N1033" s="247"/>
      <c r="O1033" s="247"/>
      <c r="P1033" s="247"/>
      <c r="Q1033" s="247"/>
      <c r="R1033" s="247"/>
      <c r="S1033" s="247"/>
      <c r="T1033" s="247"/>
      <c r="U1033" s="247"/>
      <c r="V1033" s="247"/>
      <c r="W1033" s="247"/>
      <c r="X1033" s="247"/>
      <c r="Y1033" s="247"/>
      <c r="Z1033" s="247"/>
    </row>
    <row r="1034">
      <c r="A1034" s="247"/>
      <c r="B1034" s="373"/>
      <c r="C1034" s="373"/>
      <c r="D1034" s="247"/>
      <c r="E1034" s="247"/>
      <c r="F1034" s="247"/>
      <c r="G1034" s="247"/>
      <c r="H1034" s="247"/>
      <c r="I1034" s="247"/>
      <c r="J1034" s="247"/>
      <c r="K1034" s="247"/>
      <c r="L1034" s="247"/>
      <c r="M1034" s="247"/>
      <c r="N1034" s="247"/>
      <c r="O1034" s="247"/>
      <c r="P1034" s="247"/>
      <c r="Q1034" s="247"/>
      <c r="R1034" s="247"/>
      <c r="S1034" s="247"/>
      <c r="T1034" s="247"/>
      <c r="U1034" s="247"/>
      <c r="V1034" s="247"/>
      <c r="W1034" s="247"/>
      <c r="X1034" s="247"/>
      <c r="Y1034" s="247"/>
      <c r="Z1034" s="247"/>
    </row>
    <row r="1035">
      <c r="A1035" s="247"/>
      <c r="B1035" s="373"/>
      <c r="C1035" s="373"/>
      <c r="D1035" s="247"/>
      <c r="E1035" s="247"/>
      <c r="F1035" s="247"/>
      <c r="G1035" s="247"/>
      <c r="H1035" s="247"/>
      <c r="I1035" s="247"/>
      <c r="J1035" s="247"/>
      <c r="K1035" s="247"/>
      <c r="L1035" s="247"/>
      <c r="M1035" s="247"/>
      <c r="N1035" s="247"/>
      <c r="O1035" s="247"/>
      <c r="P1035" s="247"/>
      <c r="Q1035" s="247"/>
      <c r="R1035" s="247"/>
      <c r="S1035" s="247"/>
      <c r="T1035" s="247"/>
      <c r="U1035" s="247"/>
      <c r="V1035" s="247"/>
      <c r="W1035" s="247"/>
      <c r="X1035" s="247"/>
      <c r="Y1035" s="247"/>
      <c r="Z1035" s="247"/>
    </row>
    <row r="1036">
      <c r="A1036" s="247"/>
      <c r="B1036" s="373"/>
      <c r="C1036" s="373"/>
      <c r="D1036" s="247"/>
      <c r="E1036" s="247"/>
      <c r="F1036" s="247"/>
      <c r="G1036" s="247"/>
      <c r="H1036" s="247"/>
      <c r="I1036" s="247"/>
      <c r="J1036" s="247"/>
      <c r="K1036" s="247"/>
      <c r="L1036" s="247"/>
      <c r="M1036" s="247"/>
      <c r="N1036" s="247"/>
      <c r="O1036" s="247"/>
      <c r="P1036" s="247"/>
      <c r="Q1036" s="247"/>
      <c r="R1036" s="247"/>
      <c r="S1036" s="247"/>
      <c r="T1036" s="247"/>
      <c r="U1036" s="247"/>
      <c r="V1036" s="247"/>
      <c r="W1036" s="247"/>
      <c r="X1036" s="247"/>
      <c r="Y1036" s="247"/>
      <c r="Z1036" s="247"/>
    </row>
    <row r="1037">
      <c r="A1037" s="247"/>
      <c r="B1037" s="373"/>
      <c r="C1037" s="373"/>
      <c r="D1037" s="247"/>
      <c r="E1037" s="247"/>
      <c r="F1037" s="247"/>
      <c r="G1037" s="247"/>
      <c r="H1037" s="247"/>
      <c r="I1037" s="247"/>
      <c r="J1037" s="247"/>
      <c r="K1037" s="247"/>
      <c r="L1037" s="247"/>
      <c r="M1037" s="247"/>
      <c r="N1037" s="247"/>
      <c r="O1037" s="247"/>
      <c r="P1037" s="247"/>
      <c r="Q1037" s="247"/>
      <c r="R1037" s="247"/>
      <c r="S1037" s="247"/>
      <c r="T1037" s="247"/>
      <c r="U1037" s="247"/>
      <c r="V1037" s="247"/>
      <c r="W1037" s="247"/>
      <c r="X1037" s="247"/>
      <c r="Y1037" s="247"/>
      <c r="Z1037" s="247"/>
    </row>
    <row r="1038">
      <c r="A1038" s="247"/>
      <c r="B1038" s="373"/>
      <c r="C1038" s="373"/>
      <c r="D1038" s="247"/>
      <c r="E1038" s="247"/>
      <c r="F1038" s="247"/>
      <c r="G1038" s="247"/>
      <c r="H1038" s="247"/>
      <c r="I1038" s="247"/>
      <c r="J1038" s="247"/>
      <c r="K1038" s="247"/>
      <c r="L1038" s="247"/>
      <c r="M1038" s="247"/>
      <c r="N1038" s="247"/>
      <c r="O1038" s="247"/>
      <c r="P1038" s="247"/>
      <c r="Q1038" s="247"/>
      <c r="R1038" s="247"/>
      <c r="S1038" s="247"/>
      <c r="T1038" s="247"/>
      <c r="U1038" s="247"/>
      <c r="V1038" s="247"/>
      <c r="W1038" s="247"/>
      <c r="X1038" s="247"/>
      <c r="Y1038" s="247"/>
      <c r="Z1038" s="247"/>
    </row>
    <row r="1039">
      <c r="A1039" s="247"/>
      <c r="B1039" s="373"/>
      <c r="C1039" s="373"/>
      <c r="D1039" s="247"/>
      <c r="E1039" s="247"/>
      <c r="F1039" s="247"/>
      <c r="G1039" s="247"/>
      <c r="H1039" s="247"/>
      <c r="I1039" s="247"/>
      <c r="J1039" s="247"/>
      <c r="K1039" s="247"/>
      <c r="L1039" s="247"/>
      <c r="M1039" s="247"/>
      <c r="N1039" s="247"/>
      <c r="O1039" s="247"/>
      <c r="P1039" s="247"/>
      <c r="Q1039" s="247"/>
      <c r="R1039" s="247"/>
      <c r="S1039" s="247"/>
      <c r="T1039" s="247"/>
      <c r="U1039" s="247"/>
      <c r="V1039" s="247"/>
      <c r="W1039" s="247"/>
      <c r="X1039" s="247"/>
      <c r="Y1039" s="247"/>
      <c r="Z1039" s="247"/>
    </row>
    <row r="1040">
      <c r="A1040" s="247"/>
      <c r="B1040" s="373"/>
      <c r="C1040" s="373"/>
      <c r="D1040" s="247"/>
      <c r="E1040" s="247"/>
      <c r="F1040" s="247"/>
      <c r="G1040" s="247"/>
      <c r="H1040" s="247"/>
      <c r="I1040" s="247"/>
      <c r="J1040" s="247"/>
      <c r="K1040" s="247"/>
      <c r="L1040" s="247"/>
      <c r="M1040" s="247"/>
      <c r="N1040" s="247"/>
      <c r="O1040" s="247"/>
      <c r="P1040" s="247"/>
      <c r="Q1040" s="247"/>
      <c r="R1040" s="247"/>
      <c r="S1040" s="247"/>
      <c r="T1040" s="247"/>
      <c r="U1040" s="247"/>
      <c r="V1040" s="247"/>
      <c r="W1040" s="247"/>
      <c r="X1040" s="247"/>
      <c r="Y1040" s="247"/>
      <c r="Z1040" s="247"/>
    </row>
    <row r="1041">
      <c r="A1041" s="247"/>
      <c r="B1041" s="373"/>
      <c r="C1041" s="373"/>
      <c r="D1041" s="247"/>
      <c r="E1041" s="247"/>
      <c r="F1041" s="247"/>
      <c r="G1041" s="247"/>
      <c r="H1041" s="247"/>
      <c r="I1041" s="247"/>
      <c r="J1041" s="247"/>
      <c r="K1041" s="247"/>
      <c r="L1041" s="247"/>
      <c r="M1041" s="247"/>
      <c r="N1041" s="247"/>
      <c r="O1041" s="247"/>
      <c r="P1041" s="247"/>
      <c r="Q1041" s="247"/>
      <c r="R1041" s="247"/>
      <c r="S1041" s="247"/>
      <c r="T1041" s="247"/>
      <c r="U1041" s="247"/>
      <c r="V1041" s="247"/>
      <c r="W1041" s="247"/>
      <c r="X1041" s="247"/>
      <c r="Y1041" s="247"/>
      <c r="Z1041" s="247"/>
    </row>
    <row r="1042">
      <c r="A1042" s="247"/>
      <c r="B1042" s="373"/>
      <c r="C1042" s="373"/>
      <c r="D1042" s="247"/>
      <c r="E1042" s="247"/>
      <c r="F1042" s="247"/>
      <c r="G1042" s="247"/>
      <c r="H1042" s="247"/>
      <c r="I1042" s="247"/>
      <c r="J1042" s="247"/>
      <c r="K1042" s="247"/>
      <c r="L1042" s="247"/>
      <c r="M1042" s="247"/>
      <c r="N1042" s="247"/>
      <c r="O1042" s="247"/>
      <c r="P1042" s="247"/>
      <c r="Q1042" s="247"/>
      <c r="R1042" s="247"/>
      <c r="S1042" s="247"/>
      <c r="T1042" s="247"/>
      <c r="U1042" s="247"/>
      <c r="V1042" s="247"/>
      <c r="W1042" s="247"/>
      <c r="X1042" s="247"/>
      <c r="Y1042" s="247"/>
      <c r="Z1042" s="247"/>
    </row>
    <row r="1043">
      <c r="A1043" s="247"/>
      <c r="B1043" s="373"/>
      <c r="C1043" s="373"/>
      <c r="D1043" s="247"/>
      <c r="E1043" s="247"/>
      <c r="F1043" s="247"/>
      <c r="G1043" s="247"/>
      <c r="H1043" s="247"/>
      <c r="I1043" s="247"/>
      <c r="J1043" s="247"/>
      <c r="K1043" s="247"/>
      <c r="L1043" s="247"/>
      <c r="M1043" s="247"/>
      <c r="N1043" s="247"/>
      <c r="O1043" s="247"/>
      <c r="P1043" s="247"/>
      <c r="Q1043" s="247"/>
      <c r="R1043" s="247"/>
      <c r="S1043" s="247"/>
      <c r="T1043" s="247"/>
      <c r="U1043" s="247"/>
      <c r="V1043" s="247"/>
      <c r="W1043" s="247"/>
      <c r="X1043" s="247"/>
      <c r="Y1043" s="247"/>
      <c r="Z1043" s="247"/>
    </row>
    <row r="1044">
      <c r="A1044" s="247"/>
      <c r="B1044" s="373"/>
      <c r="C1044" s="373"/>
      <c r="D1044" s="247"/>
      <c r="E1044" s="247"/>
      <c r="F1044" s="247"/>
      <c r="G1044" s="247"/>
      <c r="H1044" s="247"/>
      <c r="I1044" s="247"/>
      <c r="J1044" s="247"/>
      <c r="K1044" s="247"/>
      <c r="L1044" s="247"/>
      <c r="M1044" s="247"/>
      <c r="N1044" s="247"/>
      <c r="O1044" s="247"/>
      <c r="P1044" s="247"/>
      <c r="Q1044" s="247"/>
      <c r="R1044" s="247"/>
      <c r="S1044" s="247"/>
      <c r="T1044" s="247"/>
      <c r="U1044" s="247"/>
      <c r="V1044" s="247"/>
      <c r="W1044" s="247"/>
      <c r="X1044" s="247"/>
      <c r="Y1044" s="247"/>
      <c r="Z1044" s="247"/>
    </row>
    <row r="1045">
      <c r="A1045" s="247"/>
      <c r="B1045" s="373"/>
      <c r="C1045" s="373"/>
      <c r="D1045" s="247"/>
      <c r="E1045" s="247"/>
      <c r="F1045" s="247"/>
      <c r="G1045" s="247"/>
      <c r="H1045" s="247"/>
      <c r="I1045" s="247"/>
      <c r="J1045" s="247"/>
      <c r="K1045" s="247"/>
      <c r="L1045" s="247"/>
      <c r="M1045" s="247"/>
      <c r="N1045" s="247"/>
      <c r="O1045" s="247"/>
      <c r="P1045" s="247"/>
      <c r="Q1045" s="247"/>
      <c r="R1045" s="247"/>
      <c r="S1045" s="247"/>
      <c r="T1045" s="247"/>
      <c r="U1045" s="247"/>
      <c r="V1045" s="247"/>
      <c r="W1045" s="247"/>
      <c r="X1045" s="247"/>
      <c r="Y1045" s="247"/>
      <c r="Z1045" s="247"/>
    </row>
    <row r="1046">
      <c r="A1046" s="247"/>
      <c r="B1046" s="373"/>
      <c r="C1046" s="373"/>
      <c r="D1046" s="247"/>
      <c r="E1046" s="247"/>
      <c r="F1046" s="247"/>
      <c r="G1046" s="247"/>
      <c r="H1046" s="247"/>
      <c r="I1046" s="247"/>
      <c r="J1046" s="247"/>
      <c r="K1046" s="247"/>
      <c r="L1046" s="247"/>
      <c r="M1046" s="247"/>
      <c r="N1046" s="247"/>
      <c r="O1046" s="247"/>
      <c r="P1046" s="247"/>
      <c r="Q1046" s="247"/>
      <c r="R1046" s="247"/>
      <c r="S1046" s="247"/>
      <c r="T1046" s="247"/>
      <c r="U1046" s="247"/>
      <c r="V1046" s="247"/>
      <c r="W1046" s="247"/>
      <c r="X1046" s="247"/>
      <c r="Y1046" s="247"/>
      <c r="Z1046" s="247"/>
    </row>
    <row r="1047">
      <c r="A1047" s="247"/>
      <c r="B1047" s="373"/>
      <c r="C1047" s="373"/>
      <c r="D1047" s="247"/>
      <c r="E1047" s="247"/>
      <c r="F1047" s="247"/>
      <c r="G1047" s="247"/>
      <c r="H1047" s="247"/>
      <c r="I1047" s="247"/>
      <c r="J1047" s="247"/>
      <c r="K1047" s="247"/>
      <c r="L1047" s="247"/>
      <c r="M1047" s="247"/>
      <c r="N1047" s="247"/>
      <c r="O1047" s="247"/>
      <c r="P1047" s="247"/>
      <c r="Q1047" s="247"/>
      <c r="R1047" s="247"/>
      <c r="S1047" s="247"/>
      <c r="T1047" s="247"/>
      <c r="U1047" s="247"/>
      <c r="V1047" s="247"/>
      <c r="W1047" s="247"/>
      <c r="X1047" s="247"/>
      <c r="Y1047" s="247"/>
      <c r="Z1047" s="247"/>
    </row>
    <row r="1048">
      <c r="A1048" s="247"/>
      <c r="B1048" s="373"/>
      <c r="C1048" s="373"/>
      <c r="D1048" s="247"/>
      <c r="E1048" s="247"/>
      <c r="F1048" s="247"/>
      <c r="G1048" s="247"/>
      <c r="H1048" s="247"/>
      <c r="I1048" s="247"/>
      <c r="J1048" s="247"/>
      <c r="K1048" s="247"/>
      <c r="L1048" s="247"/>
      <c r="M1048" s="247"/>
      <c r="N1048" s="247"/>
      <c r="O1048" s="247"/>
      <c r="P1048" s="247"/>
      <c r="Q1048" s="247"/>
      <c r="R1048" s="247"/>
      <c r="S1048" s="247"/>
      <c r="T1048" s="247"/>
      <c r="U1048" s="247"/>
      <c r="V1048" s="247"/>
      <c r="W1048" s="247"/>
      <c r="X1048" s="247"/>
      <c r="Y1048" s="247"/>
      <c r="Z1048" s="247"/>
    </row>
    <row r="1049">
      <c r="A1049" s="247"/>
      <c r="B1049" s="373"/>
      <c r="C1049" s="373"/>
      <c r="D1049" s="247"/>
      <c r="E1049" s="247"/>
      <c r="F1049" s="247"/>
      <c r="G1049" s="247"/>
      <c r="H1049" s="247"/>
      <c r="I1049" s="247"/>
      <c r="J1049" s="247"/>
      <c r="K1049" s="247"/>
      <c r="L1049" s="247"/>
      <c r="M1049" s="247"/>
      <c r="N1049" s="247"/>
      <c r="O1049" s="247"/>
      <c r="P1049" s="247"/>
      <c r="Q1049" s="247"/>
      <c r="R1049" s="247"/>
      <c r="S1049" s="247"/>
      <c r="T1049" s="247"/>
      <c r="U1049" s="247"/>
      <c r="V1049" s="247"/>
      <c r="W1049" s="247"/>
      <c r="X1049" s="247"/>
      <c r="Y1049" s="247"/>
      <c r="Z1049" s="247"/>
    </row>
    <row r="1050">
      <c r="A1050" s="247"/>
      <c r="B1050" s="373"/>
      <c r="C1050" s="373"/>
      <c r="D1050" s="247"/>
      <c r="E1050" s="247"/>
      <c r="F1050" s="247"/>
      <c r="G1050" s="247"/>
      <c r="H1050" s="247"/>
      <c r="I1050" s="247"/>
      <c r="J1050" s="247"/>
      <c r="K1050" s="247"/>
      <c r="L1050" s="247"/>
      <c r="M1050" s="247"/>
      <c r="N1050" s="247"/>
      <c r="O1050" s="247"/>
      <c r="P1050" s="247"/>
      <c r="Q1050" s="247"/>
      <c r="R1050" s="247"/>
      <c r="S1050" s="247"/>
      <c r="T1050" s="247"/>
      <c r="U1050" s="247"/>
      <c r="V1050" s="247"/>
      <c r="W1050" s="247"/>
      <c r="X1050" s="247"/>
      <c r="Y1050" s="247"/>
      <c r="Z1050" s="247"/>
    </row>
    <row r="1051">
      <c r="A1051" s="247"/>
      <c r="B1051" s="373"/>
      <c r="C1051" s="373"/>
      <c r="D1051" s="247"/>
      <c r="E1051" s="247"/>
      <c r="F1051" s="247"/>
      <c r="G1051" s="247"/>
      <c r="H1051" s="247"/>
      <c r="I1051" s="247"/>
      <c r="J1051" s="247"/>
      <c r="K1051" s="247"/>
      <c r="L1051" s="247"/>
      <c r="M1051" s="247"/>
      <c r="N1051" s="247"/>
      <c r="O1051" s="247"/>
      <c r="P1051" s="247"/>
      <c r="Q1051" s="247"/>
      <c r="R1051" s="247"/>
      <c r="S1051" s="247"/>
      <c r="T1051" s="247"/>
      <c r="U1051" s="247"/>
      <c r="V1051" s="247"/>
      <c r="W1051" s="247"/>
      <c r="X1051" s="247"/>
      <c r="Y1051" s="247"/>
      <c r="Z1051" s="247"/>
    </row>
    <row r="1052">
      <c r="A1052" s="247"/>
      <c r="B1052" s="373"/>
      <c r="C1052" s="373"/>
      <c r="D1052" s="247"/>
      <c r="E1052" s="247"/>
      <c r="F1052" s="247"/>
      <c r="G1052" s="247"/>
      <c r="H1052" s="247"/>
      <c r="I1052" s="247"/>
      <c r="J1052" s="247"/>
      <c r="K1052" s="247"/>
      <c r="L1052" s="247"/>
      <c r="M1052" s="247"/>
      <c r="N1052" s="247"/>
      <c r="O1052" s="247"/>
      <c r="P1052" s="247"/>
      <c r="Q1052" s="247"/>
      <c r="R1052" s="247"/>
      <c r="S1052" s="247"/>
      <c r="T1052" s="247"/>
      <c r="U1052" s="247"/>
      <c r="V1052" s="247"/>
      <c r="W1052" s="247"/>
      <c r="X1052" s="247"/>
      <c r="Y1052" s="247"/>
      <c r="Z1052" s="247"/>
    </row>
    <row r="1053">
      <c r="A1053" s="247"/>
      <c r="B1053" s="373"/>
      <c r="C1053" s="373"/>
      <c r="D1053" s="247"/>
      <c r="E1053" s="247"/>
      <c r="F1053" s="247"/>
      <c r="G1053" s="247"/>
      <c r="H1053" s="247"/>
      <c r="I1053" s="247"/>
      <c r="J1053" s="247"/>
      <c r="K1053" s="247"/>
      <c r="L1053" s="247"/>
      <c r="M1053" s="247"/>
      <c r="N1053" s="247"/>
      <c r="O1053" s="247"/>
      <c r="P1053" s="247"/>
      <c r="Q1053" s="247"/>
      <c r="R1053" s="247"/>
      <c r="S1053" s="247"/>
      <c r="T1053" s="247"/>
      <c r="U1053" s="247"/>
      <c r="V1053" s="247"/>
      <c r="W1053" s="247"/>
      <c r="X1053" s="247"/>
      <c r="Y1053" s="247"/>
      <c r="Z1053" s="247"/>
    </row>
    <row r="1054">
      <c r="A1054" s="247"/>
      <c r="B1054" s="373"/>
      <c r="C1054" s="373"/>
      <c r="D1054" s="247"/>
      <c r="E1054" s="247"/>
      <c r="F1054" s="247"/>
      <c r="G1054" s="247"/>
      <c r="H1054" s="247"/>
      <c r="I1054" s="247"/>
      <c r="J1054" s="247"/>
      <c r="K1054" s="247"/>
      <c r="L1054" s="247"/>
      <c r="M1054" s="247"/>
      <c r="N1054" s="247"/>
      <c r="O1054" s="247"/>
      <c r="P1054" s="247"/>
      <c r="Q1054" s="247"/>
      <c r="R1054" s="247"/>
      <c r="S1054" s="247"/>
      <c r="T1054" s="247"/>
      <c r="U1054" s="247"/>
      <c r="V1054" s="247"/>
      <c r="W1054" s="247"/>
      <c r="X1054" s="247"/>
      <c r="Y1054" s="247"/>
      <c r="Z1054" s="247"/>
    </row>
    <row r="1055">
      <c r="A1055" s="247"/>
      <c r="B1055" s="373"/>
      <c r="C1055" s="373"/>
      <c r="D1055" s="247"/>
      <c r="E1055" s="247"/>
      <c r="F1055" s="247"/>
      <c r="G1055" s="247"/>
      <c r="H1055" s="247"/>
      <c r="I1055" s="247"/>
      <c r="J1055" s="247"/>
      <c r="K1055" s="247"/>
      <c r="L1055" s="247"/>
      <c r="M1055" s="247"/>
      <c r="N1055" s="247"/>
      <c r="O1055" s="247"/>
      <c r="P1055" s="247"/>
      <c r="Q1055" s="247"/>
      <c r="R1055" s="247"/>
      <c r="S1055" s="247"/>
      <c r="T1055" s="247"/>
      <c r="U1055" s="247"/>
      <c r="V1055" s="247"/>
      <c r="W1055" s="247"/>
      <c r="X1055" s="247"/>
      <c r="Y1055" s="247"/>
      <c r="Z1055" s="247"/>
    </row>
    <row r="1056">
      <c r="A1056" s="247"/>
      <c r="B1056" s="373"/>
      <c r="C1056" s="373"/>
      <c r="D1056" s="247"/>
      <c r="E1056" s="247"/>
      <c r="F1056" s="247"/>
      <c r="G1056" s="247"/>
      <c r="H1056" s="247"/>
      <c r="I1056" s="247"/>
      <c r="J1056" s="247"/>
      <c r="K1056" s="247"/>
      <c r="L1056" s="247"/>
      <c r="M1056" s="247"/>
      <c r="N1056" s="247"/>
      <c r="O1056" s="247"/>
      <c r="P1056" s="247"/>
      <c r="Q1056" s="247"/>
      <c r="R1056" s="247"/>
      <c r="S1056" s="247"/>
      <c r="T1056" s="247"/>
      <c r="U1056" s="247"/>
      <c r="V1056" s="247"/>
      <c r="W1056" s="247"/>
      <c r="X1056" s="247"/>
      <c r="Y1056" s="247"/>
      <c r="Z1056" s="247"/>
    </row>
    <row r="1057">
      <c r="A1057" s="247"/>
      <c r="B1057" s="373"/>
      <c r="C1057" s="373"/>
      <c r="D1057" s="247"/>
      <c r="E1057" s="247"/>
      <c r="F1057" s="247"/>
      <c r="G1057" s="247"/>
      <c r="H1057" s="247"/>
      <c r="I1057" s="247"/>
      <c r="J1057" s="247"/>
      <c r="K1057" s="247"/>
      <c r="L1057" s="247"/>
      <c r="M1057" s="247"/>
      <c r="N1057" s="247"/>
      <c r="O1057" s="247"/>
      <c r="P1057" s="247"/>
      <c r="Q1057" s="247"/>
      <c r="R1057" s="247"/>
      <c r="S1057" s="247"/>
      <c r="T1057" s="247"/>
      <c r="U1057" s="247"/>
      <c r="V1057" s="247"/>
      <c r="W1057" s="247"/>
      <c r="X1057" s="247"/>
      <c r="Y1057" s="247"/>
      <c r="Z1057" s="247"/>
    </row>
    <row r="1058">
      <c r="A1058" s="247"/>
      <c r="B1058" s="373"/>
      <c r="C1058" s="373"/>
      <c r="D1058" s="247"/>
      <c r="E1058" s="247"/>
      <c r="F1058" s="247"/>
      <c r="G1058" s="247"/>
      <c r="H1058" s="247"/>
      <c r="I1058" s="247"/>
      <c r="J1058" s="247"/>
      <c r="K1058" s="247"/>
      <c r="L1058" s="247"/>
      <c r="M1058" s="247"/>
      <c r="N1058" s="247"/>
      <c r="O1058" s="247"/>
      <c r="P1058" s="247"/>
      <c r="Q1058" s="247"/>
      <c r="R1058" s="247"/>
      <c r="S1058" s="247"/>
      <c r="T1058" s="247"/>
      <c r="U1058" s="247"/>
      <c r="V1058" s="247"/>
      <c r="W1058" s="247"/>
      <c r="X1058" s="247"/>
      <c r="Y1058" s="247"/>
      <c r="Z1058" s="247"/>
    </row>
    <row r="1059">
      <c r="A1059" s="247"/>
      <c r="B1059" s="373"/>
      <c r="C1059" s="373"/>
      <c r="D1059" s="247"/>
      <c r="E1059" s="247"/>
      <c r="F1059" s="247"/>
      <c r="G1059" s="247"/>
      <c r="H1059" s="247"/>
      <c r="I1059" s="247"/>
      <c r="J1059" s="247"/>
      <c r="K1059" s="247"/>
      <c r="L1059" s="247"/>
      <c r="M1059" s="247"/>
      <c r="N1059" s="247"/>
      <c r="O1059" s="247"/>
      <c r="P1059" s="247"/>
      <c r="Q1059" s="247"/>
      <c r="R1059" s="247"/>
      <c r="S1059" s="247"/>
      <c r="T1059" s="247"/>
      <c r="U1059" s="247"/>
      <c r="V1059" s="247"/>
      <c r="W1059" s="247"/>
      <c r="X1059" s="247"/>
      <c r="Y1059" s="247"/>
      <c r="Z1059" s="247"/>
    </row>
    <row r="1060">
      <c r="A1060" s="247"/>
      <c r="B1060" s="373"/>
      <c r="C1060" s="373"/>
      <c r="D1060" s="247"/>
      <c r="E1060" s="247"/>
      <c r="F1060" s="247"/>
      <c r="G1060" s="247"/>
      <c r="H1060" s="247"/>
      <c r="I1060" s="247"/>
      <c r="J1060" s="247"/>
      <c r="K1060" s="247"/>
      <c r="L1060" s="247"/>
      <c r="M1060" s="247"/>
      <c r="N1060" s="247"/>
      <c r="O1060" s="247"/>
      <c r="P1060" s="247"/>
      <c r="Q1060" s="247"/>
      <c r="R1060" s="247"/>
      <c r="S1060" s="247"/>
      <c r="T1060" s="247"/>
      <c r="U1060" s="247"/>
      <c r="V1060" s="247"/>
      <c r="W1060" s="247"/>
      <c r="X1060" s="247"/>
      <c r="Y1060" s="247"/>
      <c r="Z1060" s="247"/>
    </row>
    <row r="1061">
      <c r="A1061" s="247"/>
      <c r="B1061" s="373"/>
      <c r="C1061" s="373"/>
      <c r="D1061" s="247"/>
      <c r="E1061" s="247"/>
      <c r="F1061" s="247"/>
      <c r="G1061" s="247"/>
      <c r="H1061" s="247"/>
      <c r="I1061" s="247"/>
      <c r="J1061" s="247"/>
      <c r="K1061" s="247"/>
      <c r="L1061" s="247"/>
      <c r="M1061" s="247"/>
      <c r="N1061" s="247"/>
      <c r="O1061" s="247"/>
      <c r="P1061" s="247"/>
      <c r="Q1061" s="247"/>
      <c r="R1061" s="247"/>
      <c r="S1061" s="247"/>
      <c r="T1061" s="247"/>
      <c r="U1061" s="247"/>
      <c r="V1061" s="247"/>
      <c r="W1061" s="247"/>
      <c r="X1061" s="247"/>
      <c r="Y1061" s="247"/>
      <c r="Z1061" s="247"/>
    </row>
    <row r="1062">
      <c r="A1062" s="247"/>
      <c r="B1062" s="373"/>
      <c r="C1062" s="373"/>
      <c r="D1062" s="247"/>
      <c r="E1062" s="247"/>
      <c r="F1062" s="247"/>
      <c r="G1062" s="247"/>
      <c r="H1062" s="247"/>
      <c r="I1062" s="247"/>
      <c r="J1062" s="247"/>
      <c r="K1062" s="247"/>
      <c r="L1062" s="247"/>
      <c r="M1062" s="247"/>
      <c r="N1062" s="247"/>
      <c r="O1062" s="247"/>
      <c r="P1062" s="247"/>
      <c r="Q1062" s="247"/>
      <c r="R1062" s="247"/>
      <c r="S1062" s="247"/>
      <c r="T1062" s="247"/>
      <c r="U1062" s="247"/>
      <c r="V1062" s="247"/>
      <c r="W1062" s="247"/>
      <c r="X1062" s="247"/>
      <c r="Y1062" s="247"/>
      <c r="Z1062" s="247"/>
    </row>
    <row r="1063">
      <c r="A1063" s="247"/>
      <c r="B1063" s="373"/>
      <c r="C1063" s="373"/>
      <c r="D1063" s="247"/>
      <c r="E1063" s="247"/>
      <c r="F1063" s="247"/>
      <c r="G1063" s="247"/>
      <c r="H1063" s="247"/>
      <c r="I1063" s="247"/>
      <c r="J1063" s="247"/>
      <c r="K1063" s="247"/>
      <c r="L1063" s="247"/>
      <c r="M1063" s="247"/>
      <c r="N1063" s="247"/>
      <c r="O1063" s="247"/>
      <c r="P1063" s="247"/>
      <c r="Q1063" s="247"/>
      <c r="R1063" s="247"/>
      <c r="S1063" s="247"/>
      <c r="T1063" s="247"/>
      <c r="U1063" s="247"/>
      <c r="V1063" s="247"/>
      <c r="W1063" s="247"/>
      <c r="X1063" s="247"/>
      <c r="Y1063" s="247"/>
      <c r="Z1063" s="247"/>
    </row>
    <row r="1064">
      <c r="A1064" s="247"/>
      <c r="B1064" s="373"/>
      <c r="C1064" s="373"/>
      <c r="D1064" s="247"/>
      <c r="E1064" s="247"/>
      <c r="F1064" s="247"/>
      <c r="G1064" s="247"/>
      <c r="H1064" s="247"/>
      <c r="I1064" s="247"/>
      <c r="J1064" s="247"/>
      <c r="K1064" s="247"/>
      <c r="L1064" s="247"/>
      <c r="M1064" s="247"/>
      <c r="N1064" s="247"/>
      <c r="O1064" s="247"/>
      <c r="P1064" s="247"/>
      <c r="Q1064" s="247"/>
      <c r="R1064" s="247"/>
      <c r="S1064" s="247"/>
      <c r="T1064" s="247"/>
      <c r="U1064" s="247"/>
      <c r="V1064" s="247"/>
      <c r="W1064" s="247"/>
      <c r="X1064" s="247"/>
      <c r="Y1064" s="247"/>
      <c r="Z1064" s="247"/>
    </row>
    <row r="1065">
      <c r="A1065" s="247"/>
      <c r="B1065" s="373"/>
      <c r="C1065" s="373"/>
      <c r="D1065" s="247"/>
      <c r="E1065" s="247"/>
      <c r="F1065" s="247"/>
      <c r="G1065" s="247"/>
      <c r="H1065" s="247"/>
      <c r="I1065" s="247"/>
      <c r="J1065" s="247"/>
      <c r="K1065" s="247"/>
      <c r="L1065" s="247"/>
      <c r="M1065" s="247"/>
      <c r="N1065" s="247"/>
      <c r="O1065" s="247"/>
      <c r="P1065" s="247"/>
      <c r="Q1065" s="247"/>
      <c r="R1065" s="247"/>
      <c r="S1065" s="247"/>
      <c r="T1065" s="247"/>
      <c r="U1065" s="247"/>
      <c r="V1065" s="247"/>
      <c r="W1065" s="247"/>
      <c r="X1065" s="247"/>
      <c r="Y1065" s="247"/>
      <c r="Z1065" s="247"/>
    </row>
    <row r="1066">
      <c r="A1066" s="247"/>
      <c r="B1066" s="373"/>
      <c r="C1066" s="373"/>
      <c r="D1066" s="247"/>
      <c r="E1066" s="247"/>
      <c r="F1066" s="247"/>
      <c r="G1066" s="247"/>
      <c r="H1066" s="247"/>
      <c r="I1066" s="247"/>
      <c r="J1066" s="247"/>
      <c r="K1066" s="247"/>
      <c r="L1066" s="247"/>
      <c r="M1066" s="247"/>
      <c r="N1066" s="247"/>
      <c r="O1066" s="247"/>
      <c r="P1066" s="247"/>
      <c r="Q1066" s="247"/>
      <c r="R1066" s="247"/>
      <c r="S1066" s="247"/>
      <c r="T1066" s="247"/>
      <c r="U1066" s="247"/>
      <c r="V1066" s="247"/>
      <c r="W1066" s="247"/>
      <c r="X1066" s="247"/>
      <c r="Y1066" s="247"/>
      <c r="Z1066" s="247"/>
    </row>
    <row r="1067">
      <c r="A1067" s="247"/>
      <c r="B1067" s="373"/>
      <c r="C1067" s="373"/>
      <c r="D1067" s="247"/>
      <c r="E1067" s="247"/>
      <c r="F1067" s="247"/>
      <c r="G1067" s="247"/>
      <c r="H1067" s="247"/>
      <c r="I1067" s="247"/>
      <c r="J1067" s="247"/>
      <c r="K1067" s="247"/>
      <c r="L1067" s="247"/>
      <c r="M1067" s="247"/>
      <c r="N1067" s="247"/>
      <c r="O1067" s="247"/>
      <c r="P1067" s="247"/>
      <c r="Q1067" s="247"/>
      <c r="R1067" s="247"/>
      <c r="S1067" s="247"/>
      <c r="T1067" s="247"/>
      <c r="U1067" s="247"/>
      <c r="V1067" s="247"/>
      <c r="W1067" s="247"/>
      <c r="X1067" s="247"/>
      <c r="Y1067" s="247"/>
      <c r="Z1067" s="247"/>
    </row>
    <row r="1068">
      <c r="A1068" s="247"/>
      <c r="B1068" s="373"/>
      <c r="C1068" s="373"/>
      <c r="D1068" s="247"/>
      <c r="E1068" s="247"/>
      <c r="F1068" s="247"/>
      <c r="G1068" s="247"/>
      <c r="H1068" s="247"/>
      <c r="I1068" s="247"/>
      <c r="J1068" s="247"/>
      <c r="K1068" s="247"/>
      <c r="L1068" s="247"/>
      <c r="M1068" s="247"/>
      <c r="N1068" s="247"/>
      <c r="O1068" s="247"/>
      <c r="P1068" s="247"/>
      <c r="Q1068" s="247"/>
      <c r="R1068" s="247"/>
      <c r="S1068" s="247"/>
      <c r="T1068" s="247"/>
      <c r="U1068" s="247"/>
      <c r="V1068" s="247"/>
      <c r="W1068" s="247"/>
      <c r="X1068" s="247"/>
      <c r="Y1068" s="247"/>
      <c r="Z1068" s="247"/>
    </row>
    <row r="1069">
      <c r="A1069" s="247"/>
      <c r="B1069" s="373"/>
      <c r="C1069" s="373"/>
      <c r="D1069" s="247"/>
      <c r="E1069" s="247"/>
      <c r="F1069" s="247"/>
      <c r="G1069" s="247"/>
      <c r="H1069" s="247"/>
      <c r="I1069" s="247"/>
      <c r="J1069" s="247"/>
      <c r="K1069" s="247"/>
      <c r="L1069" s="247"/>
      <c r="M1069" s="247"/>
      <c r="N1069" s="247"/>
      <c r="O1069" s="247"/>
      <c r="P1069" s="247"/>
      <c r="Q1069" s="247"/>
      <c r="R1069" s="247"/>
      <c r="S1069" s="247"/>
      <c r="T1069" s="247"/>
      <c r="U1069" s="247"/>
      <c r="V1069" s="247"/>
      <c r="W1069" s="247"/>
      <c r="X1069" s="247"/>
      <c r="Y1069" s="247"/>
      <c r="Z1069" s="247"/>
    </row>
    <row r="1070">
      <c r="A1070" s="247"/>
      <c r="B1070" s="373"/>
      <c r="C1070" s="373"/>
      <c r="D1070" s="247"/>
      <c r="E1070" s="247"/>
      <c r="F1070" s="247"/>
      <c r="G1070" s="247"/>
      <c r="H1070" s="247"/>
      <c r="I1070" s="247"/>
      <c r="J1070" s="247"/>
      <c r="K1070" s="247"/>
      <c r="L1070" s="247"/>
      <c r="M1070" s="247"/>
      <c r="N1070" s="247"/>
      <c r="O1070" s="247"/>
      <c r="P1070" s="247"/>
      <c r="Q1070" s="247"/>
      <c r="R1070" s="247"/>
      <c r="S1070" s="247"/>
      <c r="T1070" s="247"/>
      <c r="U1070" s="247"/>
      <c r="V1070" s="247"/>
      <c r="W1070" s="247"/>
      <c r="X1070" s="247"/>
      <c r="Y1070" s="247"/>
      <c r="Z1070" s="247"/>
    </row>
    <row r="1071">
      <c r="A1071" s="247"/>
      <c r="B1071" s="373"/>
      <c r="C1071" s="373"/>
      <c r="D1071" s="247"/>
      <c r="E1071" s="247"/>
      <c r="F1071" s="247"/>
      <c r="G1071" s="247"/>
      <c r="H1071" s="247"/>
      <c r="I1071" s="247"/>
      <c r="J1071" s="247"/>
      <c r="K1071" s="247"/>
      <c r="L1071" s="247"/>
      <c r="M1071" s="247"/>
      <c r="N1071" s="247"/>
      <c r="O1071" s="247"/>
      <c r="P1071" s="247"/>
      <c r="Q1071" s="247"/>
      <c r="R1071" s="247"/>
      <c r="S1071" s="247"/>
      <c r="T1071" s="247"/>
      <c r="U1071" s="247"/>
      <c r="V1071" s="247"/>
      <c r="W1071" s="247"/>
      <c r="X1071" s="247"/>
      <c r="Y1071" s="247"/>
      <c r="Z1071" s="247"/>
    </row>
    <row r="1072">
      <c r="A1072" s="247"/>
      <c r="B1072" s="373"/>
      <c r="C1072" s="373"/>
      <c r="D1072" s="247"/>
      <c r="E1072" s="247"/>
      <c r="F1072" s="247"/>
      <c r="G1072" s="247"/>
      <c r="H1072" s="247"/>
      <c r="I1072" s="247"/>
      <c r="J1072" s="247"/>
      <c r="K1072" s="247"/>
      <c r="L1072" s="247"/>
      <c r="M1072" s="247"/>
      <c r="N1072" s="247"/>
      <c r="O1072" s="247"/>
      <c r="P1072" s="247"/>
      <c r="Q1072" s="247"/>
      <c r="R1072" s="247"/>
      <c r="S1072" s="247"/>
      <c r="T1072" s="247"/>
      <c r="U1072" s="247"/>
      <c r="V1072" s="247"/>
      <c r="W1072" s="247"/>
      <c r="X1072" s="247"/>
      <c r="Y1072" s="247"/>
      <c r="Z1072" s="247"/>
    </row>
    <row r="1073">
      <c r="A1073" s="247"/>
      <c r="B1073" s="373"/>
      <c r="C1073" s="373"/>
      <c r="D1073" s="247"/>
      <c r="E1073" s="247"/>
      <c r="F1073" s="247"/>
      <c r="G1073" s="247"/>
      <c r="H1073" s="247"/>
      <c r="I1073" s="247"/>
      <c r="J1073" s="247"/>
      <c r="K1073" s="247"/>
      <c r="L1073" s="247"/>
      <c r="M1073" s="247"/>
      <c r="N1073" s="247"/>
      <c r="O1073" s="247"/>
      <c r="P1073" s="247"/>
      <c r="Q1073" s="247"/>
      <c r="R1073" s="247"/>
      <c r="S1073" s="247"/>
      <c r="T1073" s="247"/>
      <c r="U1073" s="247"/>
      <c r="V1073" s="247"/>
      <c r="W1073" s="247"/>
      <c r="X1073" s="247"/>
      <c r="Y1073" s="247"/>
      <c r="Z1073" s="247"/>
    </row>
    <row r="1074">
      <c r="A1074" s="247"/>
      <c r="B1074" s="373"/>
      <c r="C1074" s="373"/>
      <c r="D1074" s="247"/>
      <c r="E1074" s="247"/>
      <c r="F1074" s="247"/>
      <c r="G1074" s="247"/>
      <c r="H1074" s="247"/>
      <c r="I1074" s="247"/>
      <c r="J1074" s="247"/>
      <c r="K1074" s="247"/>
      <c r="L1074" s="247"/>
      <c r="M1074" s="247"/>
      <c r="N1074" s="247"/>
      <c r="O1074" s="247"/>
      <c r="P1074" s="247"/>
      <c r="Q1074" s="247"/>
      <c r="R1074" s="247"/>
      <c r="S1074" s="247"/>
      <c r="T1074" s="247"/>
      <c r="U1074" s="247"/>
      <c r="V1074" s="247"/>
      <c r="W1074" s="247"/>
      <c r="X1074" s="247"/>
      <c r="Y1074" s="247"/>
      <c r="Z1074" s="247"/>
    </row>
    <row r="1075">
      <c r="A1075" s="247"/>
      <c r="B1075" s="373"/>
      <c r="C1075" s="373"/>
      <c r="D1075" s="247"/>
      <c r="E1075" s="247"/>
      <c r="F1075" s="247"/>
      <c r="G1075" s="247"/>
      <c r="H1075" s="247"/>
      <c r="I1075" s="247"/>
      <c r="J1075" s="247"/>
      <c r="K1075" s="247"/>
      <c r="L1075" s="247"/>
      <c r="M1075" s="247"/>
      <c r="N1075" s="247"/>
      <c r="O1075" s="247"/>
      <c r="P1075" s="247"/>
      <c r="Q1075" s="247"/>
      <c r="R1075" s="247"/>
      <c r="S1075" s="247"/>
      <c r="T1075" s="247"/>
      <c r="U1075" s="247"/>
      <c r="V1075" s="247"/>
      <c r="W1075" s="247"/>
      <c r="X1075" s="247"/>
      <c r="Y1075" s="247"/>
      <c r="Z1075" s="247"/>
    </row>
    <row r="1076">
      <c r="A1076" s="247"/>
      <c r="B1076" s="373"/>
      <c r="C1076" s="373"/>
      <c r="D1076" s="247"/>
      <c r="E1076" s="247"/>
      <c r="F1076" s="247"/>
      <c r="G1076" s="247"/>
      <c r="H1076" s="247"/>
      <c r="I1076" s="247"/>
      <c r="J1076" s="247"/>
      <c r="K1076" s="247"/>
      <c r="L1076" s="247"/>
      <c r="M1076" s="247"/>
      <c r="N1076" s="247"/>
      <c r="O1076" s="247"/>
      <c r="P1076" s="247"/>
      <c r="Q1076" s="247"/>
      <c r="R1076" s="247"/>
      <c r="S1076" s="247"/>
      <c r="T1076" s="247"/>
      <c r="U1076" s="247"/>
      <c r="V1076" s="247"/>
      <c r="W1076" s="247"/>
      <c r="X1076" s="247"/>
      <c r="Y1076" s="247"/>
      <c r="Z1076" s="247"/>
    </row>
    <row r="1077">
      <c r="A1077" s="247"/>
      <c r="B1077" s="373"/>
      <c r="C1077" s="373"/>
      <c r="D1077" s="247"/>
      <c r="E1077" s="247"/>
      <c r="F1077" s="247"/>
      <c r="G1077" s="247"/>
      <c r="H1077" s="247"/>
      <c r="I1077" s="247"/>
      <c r="J1077" s="247"/>
      <c r="K1077" s="247"/>
      <c r="L1077" s="247"/>
      <c r="M1077" s="247"/>
      <c r="N1077" s="247"/>
      <c r="O1077" s="247"/>
      <c r="P1077" s="247"/>
      <c r="Q1077" s="247"/>
      <c r="R1077" s="247"/>
      <c r="S1077" s="247"/>
      <c r="T1077" s="247"/>
      <c r="U1077" s="247"/>
      <c r="V1077" s="247"/>
      <c r="W1077" s="247"/>
      <c r="X1077" s="247"/>
      <c r="Y1077" s="247"/>
      <c r="Z1077" s="247"/>
    </row>
    <row r="1078">
      <c r="A1078" s="247"/>
      <c r="B1078" s="373"/>
      <c r="C1078" s="373"/>
      <c r="D1078" s="247"/>
      <c r="E1078" s="247"/>
      <c r="F1078" s="247"/>
      <c r="G1078" s="247"/>
      <c r="H1078" s="247"/>
      <c r="I1078" s="247"/>
      <c r="J1078" s="247"/>
      <c r="K1078" s="247"/>
      <c r="L1078" s="247"/>
      <c r="M1078" s="247"/>
      <c r="N1078" s="247"/>
      <c r="O1078" s="247"/>
      <c r="P1078" s="247"/>
      <c r="Q1078" s="247"/>
      <c r="R1078" s="247"/>
      <c r="S1078" s="247"/>
      <c r="T1078" s="247"/>
      <c r="U1078" s="247"/>
      <c r="V1078" s="247"/>
      <c r="W1078" s="247"/>
      <c r="X1078" s="247"/>
      <c r="Y1078" s="247"/>
      <c r="Z1078" s="247"/>
    </row>
    <row r="1079">
      <c r="A1079" s="247"/>
      <c r="B1079" s="373"/>
      <c r="C1079" s="373"/>
      <c r="D1079" s="247"/>
      <c r="E1079" s="247"/>
      <c r="F1079" s="247"/>
      <c r="G1079" s="247"/>
      <c r="H1079" s="247"/>
      <c r="I1079" s="247"/>
      <c r="J1079" s="247"/>
      <c r="K1079" s="247"/>
      <c r="L1079" s="247"/>
      <c r="M1079" s="247"/>
      <c r="N1079" s="247"/>
      <c r="O1079" s="247"/>
      <c r="P1079" s="247"/>
      <c r="Q1079" s="247"/>
      <c r="R1079" s="247"/>
      <c r="S1079" s="247"/>
      <c r="T1079" s="247"/>
      <c r="U1079" s="247"/>
      <c r="V1079" s="247"/>
      <c r="W1079" s="247"/>
      <c r="X1079" s="247"/>
      <c r="Y1079" s="247"/>
      <c r="Z1079" s="247"/>
    </row>
    <row r="1080">
      <c r="A1080" s="247"/>
      <c r="B1080" s="373"/>
      <c r="C1080" s="373"/>
      <c r="D1080" s="247"/>
      <c r="E1080" s="247"/>
      <c r="F1080" s="247"/>
      <c r="G1080" s="247"/>
      <c r="H1080" s="247"/>
      <c r="I1080" s="247"/>
      <c r="J1080" s="247"/>
      <c r="K1080" s="247"/>
      <c r="L1080" s="247"/>
      <c r="M1080" s="247"/>
      <c r="N1080" s="247"/>
      <c r="O1080" s="247"/>
      <c r="P1080" s="247"/>
      <c r="Q1080" s="247"/>
      <c r="R1080" s="247"/>
      <c r="S1080" s="247"/>
      <c r="T1080" s="247"/>
      <c r="U1080" s="247"/>
      <c r="V1080" s="247"/>
      <c r="W1080" s="247"/>
      <c r="X1080" s="247"/>
      <c r="Y1080" s="247"/>
      <c r="Z1080" s="247"/>
    </row>
    <row r="1081">
      <c r="A1081" s="247"/>
      <c r="B1081" s="373"/>
      <c r="C1081" s="373"/>
      <c r="D1081" s="247"/>
      <c r="E1081" s="247"/>
      <c r="F1081" s="247"/>
      <c r="G1081" s="247"/>
      <c r="H1081" s="247"/>
      <c r="I1081" s="247"/>
      <c r="J1081" s="247"/>
      <c r="K1081" s="247"/>
      <c r="L1081" s="247"/>
      <c r="M1081" s="247"/>
      <c r="N1081" s="247"/>
      <c r="O1081" s="247"/>
      <c r="P1081" s="247"/>
      <c r="Q1081" s="247"/>
      <c r="R1081" s="247"/>
      <c r="S1081" s="247"/>
      <c r="T1081" s="247"/>
      <c r="U1081" s="247"/>
      <c r="V1081" s="247"/>
      <c r="W1081" s="247"/>
      <c r="X1081" s="247"/>
      <c r="Y1081" s="247"/>
      <c r="Z1081" s="247"/>
    </row>
    <row r="1082">
      <c r="A1082" s="247"/>
      <c r="B1082" s="373"/>
      <c r="C1082" s="373"/>
      <c r="D1082" s="247"/>
      <c r="E1082" s="247"/>
      <c r="F1082" s="247"/>
      <c r="G1082" s="247"/>
      <c r="H1082" s="247"/>
      <c r="I1082" s="247"/>
      <c r="J1082" s="247"/>
      <c r="K1082" s="247"/>
      <c r="L1082" s="247"/>
      <c r="M1082" s="247"/>
      <c r="N1082" s="247"/>
      <c r="O1082" s="247"/>
      <c r="P1082" s="247"/>
      <c r="Q1082" s="247"/>
      <c r="R1082" s="247"/>
      <c r="S1082" s="247"/>
      <c r="T1082" s="247"/>
      <c r="U1082" s="247"/>
      <c r="V1082" s="247"/>
      <c r="W1082" s="247"/>
      <c r="X1082" s="247"/>
      <c r="Y1082" s="247"/>
      <c r="Z1082" s="247"/>
    </row>
    <row r="1083">
      <c r="A1083" s="247"/>
      <c r="B1083" s="373"/>
      <c r="C1083" s="373"/>
      <c r="D1083" s="247"/>
      <c r="E1083" s="247"/>
      <c r="F1083" s="247"/>
      <c r="G1083" s="247"/>
      <c r="H1083" s="247"/>
      <c r="I1083" s="247"/>
      <c r="J1083" s="247"/>
      <c r="K1083" s="247"/>
      <c r="L1083" s="247"/>
      <c r="M1083" s="247"/>
      <c r="N1083" s="247"/>
      <c r="O1083" s="247"/>
      <c r="P1083" s="247"/>
      <c r="Q1083" s="247"/>
      <c r="R1083" s="247"/>
      <c r="S1083" s="247"/>
      <c r="T1083" s="247"/>
      <c r="U1083" s="247"/>
      <c r="V1083" s="247"/>
      <c r="W1083" s="247"/>
      <c r="X1083" s="247"/>
      <c r="Y1083" s="247"/>
      <c r="Z1083" s="247"/>
    </row>
    <row r="1084">
      <c r="A1084" s="247"/>
      <c r="B1084" s="373"/>
      <c r="C1084" s="373"/>
      <c r="D1084" s="247"/>
      <c r="E1084" s="247"/>
      <c r="F1084" s="247"/>
      <c r="G1084" s="247"/>
      <c r="H1084" s="247"/>
      <c r="I1084" s="247"/>
      <c r="J1084" s="247"/>
      <c r="K1084" s="247"/>
      <c r="L1084" s="247"/>
      <c r="M1084" s="247"/>
      <c r="N1084" s="247"/>
      <c r="O1084" s="247"/>
      <c r="P1084" s="247"/>
      <c r="Q1084" s="247"/>
      <c r="R1084" s="247"/>
      <c r="S1084" s="247"/>
      <c r="T1084" s="247"/>
      <c r="U1084" s="247"/>
      <c r="V1084" s="247"/>
      <c r="W1084" s="247"/>
      <c r="X1084" s="247"/>
      <c r="Y1084" s="247"/>
      <c r="Z1084" s="247"/>
    </row>
    <row r="1085">
      <c r="A1085" s="247"/>
      <c r="B1085" s="373"/>
      <c r="C1085" s="373"/>
      <c r="D1085" s="247"/>
      <c r="E1085" s="247"/>
      <c r="F1085" s="247"/>
      <c r="G1085" s="247"/>
      <c r="H1085" s="247"/>
      <c r="I1085" s="247"/>
      <c r="J1085" s="247"/>
      <c r="K1085" s="247"/>
      <c r="L1085" s="247"/>
      <c r="M1085" s="247"/>
      <c r="N1085" s="247"/>
      <c r="O1085" s="247"/>
      <c r="P1085" s="247"/>
      <c r="Q1085" s="247"/>
      <c r="R1085" s="247"/>
      <c r="S1085" s="247"/>
      <c r="T1085" s="247"/>
      <c r="U1085" s="247"/>
      <c r="V1085" s="247"/>
      <c r="W1085" s="247"/>
      <c r="X1085" s="247"/>
      <c r="Y1085" s="247"/>
      <c r="Z1085" s="247"/>
    </row>
    <row r="1086">
      <c r="A1086" s="247"/>
      <c r="B1086" s="373"/>
      <c r="C1086" s="373"/>
      <c r="D1086" s="247"/>
      <c r="E1086" s="247"/>
      <c r="F1086" s="247"/>
      <c r="G1086" s="247"/>
      <c r="H1086" s="247"/>
      <c r="I1086" s="247"/>
      <c r="J1086" s="247"/>
      <c r="K1086" s="247"/>
      <c r="L1086" s="247"/>
      <c r="M1086" s="247"/>
      <c r="N1086" s="247"/>
      <c r="O1086" s="247"/>
      <c r="P1086" s="247"/>
      <c r="Q1086" s="247"/>
      <c r="R1086" s="247"/>
      <c r="S1086" s="247"/>
      <c r="T1086" s="247"/>
      <c r="U1086" s="247"/>
      <c r="V1086" s="247"/>
      <c r="W1086" s="247"/>
      <c r="X1086" s="247"/>
      <c r="Y1086" s="247"/>
      <c r="Z1086" s="247"/>
    </row>
    <row r="1087">
      <c r="A1087" s="247"/>
      <c r="B1087" s="373"/>
      <c r="C1087" s="373"/>
      <c r="D1087" s="247"/>
      <c r="E1087" s="247"/>
      <c r="F1087" s="247"/>
      <c r="G1087" s="247"/>
      <c r="H1087" s="247"/>
      <c r="I1087" s="247"/>
      <c r="J1087" s="247"/>
      <c r="K1087" s="247"/>
      <c r="L1087" s="247"/>
      <c r="M1087" s="247"/>
      <c r="N1087" s="247"/>
      <c r="O1087" s="247"/>
      <c r="P1087" s="247"/>
      <c r="Q1087" s="247"/>
      <c r="R1087" s="247"/>
      <c r="S1087" s="247"/>
      <c r="T1087" s="247"/>
      <c r="U1087" s="247"/>
      <c r="V1087" s="247"/>
      <c r="W1087" s="247"/>
      <c r="X1087" s="247"/>
      <c r="Y1087" s="247"/>
      <c r="Z1087" s="247"/>
    </row>
    <row r="1088">
      <c r="A1088" s="247"/>
      <c r="B1088" s="373"/>
      <c r="C1088" s="373"/>
      <c r="D1088" s="247"/>
      <c r="E1088" s="247"/>
      <c r="F1088" s="247"/>
      <c r="G1088" s="247"/>
      <c r="H1088" s="247"/>
      <c r="I1088" s="247"/>
      <c r="J1088" s="247"/>
      <c r="K1088" s="247"/>
      <c r="L1088" s="247"/>
      <c r="M1088" s="247"/>
      <c r="N1088" s="247"/>
      <c r="O1088" s="247"/>
      <c r="P1088" s="247"/>
      <c r="Q1088" s="247"/>
      <c r="R1088" s="247"/>
      <c r="S1088" s="247"/>
      <c r="T1088" s="247"/>
      <c r="U1088" s="247"/>
      <c r="V1088" s="247"/>
      <c r="W1088" s="247"/>
      <c r="X1088" s="247"/>
      <c r="Y1088" s="247"/>
      <c r="Z1088" s="247"/>
    </row>
    <row r="1089">
      <c r="A1089" s="247"/>
      <c r="B1089" s="373"/>
      <c r="C1089" s="373"/>
      <c r="D1089" s="247"/>
      <c r="E1089" s="247"/>
      <c r="F1089" s="247"/>
      <c r="G1089" s="247"/>
      <c r="H1089" s="247"/>
      <c r="I1089" s="247"/>
      <c r="J1089" s="247"/>
      <c r="K1089" s="247"/>
      <c r="L1089" s="247"/>
      <c r="M1089" s="247"/>
      <c r="N1089" s="247"/>
      <c r="O1089" s="247"/>
      <c r="P1089" s="247"/>
      <c r="Q1089" s="247"/>
      <c r="R1089" s="247"/>
      <c r="S1089" s="247"/>
      <c r="T1089" s="247"/>
      <c r="U1089" s="247"/>
      <c r="V1089" s="247"/>
      <c r="W1089" s="247"/>
      <c r="X1089" s="247"/>
      <c r="Y1089" s="247"/>
      <c r="Z1089" s="247"/>
    </row>
    <row r="1090">
      <c r="A1090" s="247"/>
      <c r="B1090" s="373"/>
      <c r="C1090" s="373"/>
      <c r="D1090" s="247"/>
      <c r="E1090" s="247"/>
      <c r="F1090" s="247"/>
      <c r="G1090" s="247"/>
      <c r="H1090" s="247"/>
      <c r="I1090" s="247"/>
      <c r="J1090" s="247"/>
      <c r="K1090" s="247"/>
      <c r="L1090" s="247"/>
      <c r="M1090" s="247"/>
      <c r="N1090" s="247"/>
      <c r="O1090" s="247"/>
      <c r="P1090" s="247"/>
      <c r="Q1090" s="247"/>
      <c r="R1090" s="247"/>
      <c r="S1090" s="247"/>
      <c r="T1090" s="247"/>
      <c r="U1090" s="247"/>
      <c r="V1090" s="247"/>
      <c r="W1090" s="247"/>
      <c r="X1090" s="247"/>
      <c r="Y1090" s="247"/>
      <c r="Z1090" s="247"/>
    </row>
    <row r="1091">
      <c r="A1091" s="247"/>
      <c r="B1091" s="373"/>
      <c r="C1091" s="373"/>
      <c r="D1091" s="247"/>
      <c r="E1091" s="247"/>
      <c r="F1091" s="247"/>
      <c r="G1091" s="247"/>
      <c r="H1091" s="247"/>
      <c r="I1091" s="247"/>
      <c r="J1091" s="247"/>
      <c r="K1091" s="247"/>
      <c r="L1091" s="247"/>
      <c r="M1091" s="247"/>
      <c r="N1091" s="247"/>
      <c r="O1091" s="247"/>
      <c r="P1091" s="247"/>
      <c r="Q1091" s="247"/>
      <c r="R1091" s="247"/>
      <c r="S1091" s="247"/>
      <c r="T1091" s="247"/>
      <c r="U1091" s="247"/>
      <c r="V1091" s="247"/>
      <c r="W1091" s="247"/>
      <c r="X1091" s="247"/>
      <c r="Y1091" s="247"/>
      <c r="Z1091" s="247"/>
    </row>
    <row r="1092">
      <c r="A1092" s="247"/>
      <c r="B1092" s="373"/>
      <c r="C1092" s="373"/>
      <c r="D1092" s="247"/>
      <c r="E1092" s="247"/>
      <c r="F1092" s="247"/>
      <c r="G1092" s="247"/>
      <c r="H1092" s="247"/>
      <c r="I1092" s="247"/>
      <c r="J1092" s="247"/>
      <c r="K1092" s="247"/>
      <c r="L1092" s="247"/>
      <c r="M1092" s="247"/>
      <c r="N1092" s="247"/>
      <c r="O1092" s="247"/>
      <c r="P1092" s="247"/>
      <c r="Q1092" s="247"/>
      <c r="R1092" s="247"/>
      <c r="S1092" s="247"/>
      <c r="T1092" s="247"/>
      <c r="U1092" s="247"/>
      <c r="V1092" s="247"/>
      <c r="W1092" s="247"/>
      <c r="X1092" s="247"/>
      <c r="Y1092" s="247"/>
      <c r="Z1092" s="247"/>
    </row>
    <row r="1093">
      <c r="A1093" s="247"/>
      <c r="B1093" s="373"/>
      <c r="C1093" s="373"/>
      <c r="D1093" s="247"/>
      <c r="E1093" s="247"/>
      <c r="F1093" s="247"/>
      <c r="G1093" s="247"/>
      <c r="H1093" s="247"/>
      <c r="I1093" s="247"/>
      <c r="J1093" s="247"/>
      <c r="K1093" s="247"/>
      <c r="L1093" s="247"/>
      <c r="M1093" s="247"/>
      <c r="N1093" s="247"/>
      <c r="O1093" s="247"/>
      <c r="P1093" s="247"/>
      <c r="Q1093" s="247"/>
      <c r="R1093" s="247"/>
      <c r="S1093" s="247"/>
      <c r="T1093" s="247"/>
      <c r="U1093" s="247"/>
      <c r="V1093" s="247"/>
      <c r="W1093" s="247"/>
      <c r="X1093" s="247"/>
      <c r="Y1093" s="247"/>
      <c r="Z1093" s="247"/>
    </row>
    <row r="1094">
      <c r="A1094" s="247"/>
      <c r="B1094" s="373"/>
      <c r="C1094" s="373"/>
      <c r="D1094" s="247"/>
      <c r="E1094" s="247"/>
      <c r="F1094" s="247"/>
      <c r="G1094" s="247"/>
      <c r="H1094" s="247"/>
      <c r="I1094" s="247"/>
      <c r="J1094" s="247"/>
      <c r="K1094" s="247"/>
      <c r="L1094" s="247"/>
      <c r="M1094" s="247"/>
      <c r="N1094" s="247"/>
      <c r="O1094" s="247"/>
      <c r="P1094" s="247"/>
      <c r="Q1094" s="247"/>
      <c r="R1094" s="247"/>
      <c r="S1094" s="247"/>
      <c r="T1094" s="247"/>
      <c r="U1094" s="247"/>
      <c r="V1094" s="247"/>
      <c r="W1094" s="247"/>
      <c r="X1094" s="247"/>
      <c r="Y1094" s="247"/>
      <c r="Z1094" s="247"/>
    </row>
    <row r="1095">
      <c r="A1095" s="247"/>
      <c r="B1095" s="373"/>
      <c r="C1095" s="373"/>
      <c r="D1095" s="247"/>
      <c r="E1095" s="247"/>
      <c r="F1095" s="247"/>
      <c r="G1095" s="247"/>
      <c r="H1095" s="247"/>
      <c r="I1095" s="247"/>
      <c r="J1095" s="247"/>
      <c r="K1095" s="247"/>
      <c r="L1095" s="247"/>
      <c r="M1095" s="247"/>
      <c r="N1095" s="247"/>
      <c r="O1095" s="247"/>
      <c r="P1095" s="247"/>
      <c r="Q1095" s="247"/>
      <c r="R1095" s="247"/>
      <c r="S1095" s="247"/>
      <c r="T1095" s="247"/>
      <c r="U1095" s="247"/>
      <c r="V1095" s="247"/>
      <c r="W1095" s="247"/>
      <c r="X1095" s="247"/>
      <c r="Y1095" s="247"/>
      <c r="Z1095" s="247"/>
    </row>
    <row r="1096">
      <c r="A1096" s="247"/>
      <c r="B1096" s="373"/>
      <c r="C1096" s="373"/>
      <c r="D1096" s="247"/>
      <c r="E1096" s="247"/>
      <c r="F1096" s="247"/>
      <c r="G1096" s="247"/>
      <c r="H1096" s="247"/>
      <c r="I1096" s="247"/>
      <c r="J1096" s="247"/>
      <c r="K1096" s="247"/>
      <c r="L1096" s="247"/>
      <c r="M1096" s="247"/>
      <c r="N1096" s="247"/>
      <c r="O1096" s="247"/>
      <c r="P1096" s="247"/>
      <c r="Q1096" s="247"/>
      <c r="R1096" s="247"/>
      <c r="S1096" s="247"/>
      <c r="T1096" s="247"/>
      <c r="U1096" s="247"/>
      <c r="V1096" s="247"/>
      <c r="W1096" s="247"/>
      <c r="X1096" s="247"/>
      <c r="Y1096" s="247"/>
      <c r="Z1096" s="247"/>
    </row>
    <row r="1097">
      <c r="A1097" s="247"/>
      <c r="B1097" s="373"/>
      <c r="C1097" s="373"/>
      <c r="D1097" s="247"/>
      <c r="E1097" s="247"/>
      <c r="F1097" s="247"/>
      <c r="G1097" s="247"/>
      <c r="H1097" s="247"/>
      <c r="I1097" s="247"/>
      <c r="J1097" s="247"/>
      <c r="K1097" s="247"/>
      <c r="L1097" s="247"/>
      <c r="M1097" s="247"/>
      <c r="N1097" s="247"/>
      <c r="O1097" s="247"/>
      <c r="P1097" s="247"/>
      <c r="Q1097" s="247"/>
      <c r="R1097" s="247"/>
      <c r="S1097" s="247"/>
      <c r="T1097" s="247"/>
      <c r="U1097" s="247"/>
      <c r="V1097" s="247"/>
      <c r="W1097" s="247"/>
      <c r="X1097" s="247"/>
      <c r="Y1097" s="247"/>
      <c r="Z1097" s="247"/>
    </row>
    <row r="1098">
      <c r="A1098" s="247"/>
      <c r="B1098" s="373"/>
      <c r="C1098" s="373"/>
      <c r="D1098" s="247"/>
      <c r="E1098" s="247"/>
      <c r="F1098" s="247"/>
      <c r="G1098" s="247"/>
      <c r="H1098" s="247"/>
      <c r="I1098" s="247"/>
      <c r="J1098" s="247"/>
      <c r="K1098" s="247"/>
      <c r="L1098" s="247"/>
      <c r="M1098" s="247"/>
      <c r="N1098" s="247"/>
      <c r="O1098" s="247"/>
      <c r="P1098" s="247"/>
      <c r="Q1098" s="247"/>
      <c r="R1098" s="247"/>
      <c r="S1098" s="247"/>
      <c r="T1098" s="247"/>
      <c r="U1098" s="247"/>
      <c r="V1098" s="247"/>
      <c r="W1098" s="247"/>
      <c r="X1098" s="247"/>
      <c r="Y1098" s="247"/>
      <c r="Z1098" s="247"/>
    </row>
    <row r="1099">
      <c r="A1099" s="247"/>
      <c r="B1099" s="373"/>
      <c r="C1099" s="373"/>
      <c r="D1099" s="247"/>
      <c r="E1099" s="247"/>
      <c r="F1099" s="247"/>
      <c r="G1099" s="247"/>
      <c r="H1099" s="247"/>
      <c r="I1099" s="247"/>
      <c r="J1099" s="247"/>
      <c r="K1099" s="247"/>
      <c r="L1099" s="247"/>
      <c r="M1099" s="247"/>
      <c r="N1099" s="247"/>
      <c r="O1099" s="247"/>
      <c r="P1099" s="247"/>
      <c r="Q1099" s="247"/>
      <c r="R1099" s="247"/>
      <c r="S1099" s="247"/>
      <c r="T1099" s="247"/>
      <c r="U1099" s="247"/>
      <c r="V1099" s="247"/>
      <c r="W1099" s="247"/>
      <c r="X1099" s="247"/>
      <c r="Y1099" s="247"/>
      <c r="Z1099" s="247"/>
    </row>
    <row r="1100">
      <c r="A1100" s="247"/>
      <c r="B1100" s="373"/>
      <c r="C1100" s="373"/>
      <c r="D1100" s="247"/>
      <c r="E1100" s="247"/>
      <c r="F1100" s="247"/>
      <c r="G1100" s="247"/>
      <c r="H1100" s="247"/>
      <c r="I1100" s="247"/>
      <c r="J1100" s="247"/>
      <c r="K1100" s="247"/>
      <c r="L1100" s="247"/>
      <c r="M1100" s="247"/>
      <c r="N1100" s="247"/>
      <c r="O1100" s="247"/>
      <c r="P1100" s="247"/>
      <c r="Q1100" s="247"/>
      <c r="R1100" s="247"/>
      <c r="S1100" s="247"/>
      <c r="T1100" s="247"/>
      <c r="U1100" s="247"/>
      <c r="V1100" s="247"/>
      <c r="W1100" s="247"/>
      <c r="X1100" s="247"/>
      <c r="Y1100" s="247"/>
      <c r="Z1100" s="247"/>
    </row>
    <row r="1101">
      <c r="A1101" s="247"/>
      <c r="B1101" s="373"/>
      <c r="C1101" s="373"/>
      <c r="D1101" s="247"/>
      <c r="E1101" s="247"/>
      <c r="F1101" s="247"/>
      <c r="G1101" s="247"/>
      <c r="H1101" s="247"/>
      <c r="I1101" s="247"/>
      <c r="J1101" s="247"/>
      <c r="K1101" s="247"/>
      <c r="L1101" s="247"/>
      <c r="M1101" s="247"/>
      <c r="N1101" s="247"/>
      <c r="O1101" s="247"/>
      <c r="P1101" s="247"/>
      <c r="Q1101" s="247"/>
      <c r="R1101" s="247"/>
      <c r="S1101" s="247"/>
      <c r="T1101" s="247"/>
      <c r="U1101" s="247"/>
      <c r="V1101" s="247"/>
      <c r="W1101" s="247"/>
      <c r="X1101" s="247"/>
      <c r="Y1101" s="247"/>
      <c r="Z1101" s="247"/>
    </row>
    <row r="1102">
      <c r="A1102" s="247"/>
      <c r="B1102" s="373"/>
      <c r="C1102" s="373"/>
      <c r="D1102" s="247"/>
      <c r="E1102" s="247"/>
      <c r="F1102" s="247"/>
      <c r="G1102" s="247"/>
      <c r="H1102" s="247"/>
      <c r="I1102" s="247"/>
      <c r="J1102" s="247"/>
      <c r="K1102" s="247"/>
      <c r="L1102" s="247"/>
      <c r="M1102" s="247"/>
      <c r="N1102" s="247"/>
      <c r="O1102" s="247"/>
      <c r="P1102" s="247"/>
      <c r="Q1102" s="247"/>
      <c r="R1102" s="247"/>
      <c r="S1102" s="247"/>
      <c r="T1102" s="247"/>
      <c r="U1102" s="247"/>
      <c r="V1102" s="247"/>
      <c r="W1102" s="247"/>
      <c r="X1102" s="247"/>
      <c r="Y1102" s="247"/>
      <c r="Z1102" s="247"/>
    </row>
    <row r="1103">
      <c r="A1103" s="247"/>
      <c r="B1103" s="373"/>
      <c r="C1103" s="373"/>
      <c r="D1103" s="247"/>
      <c r="E1103" s="247"/>
      <c r="F1103" s="247"/>
      <c r="G1103" s="247"/>
      <c r="H1103" s="247"/>
      <c r="I1103" s="247"/>
      <c r="J1103" s="247"/>
      <c r="K1103" s="247"/>
      <c r="L1103" s="247"/>
      <c r="M1103" s="247"/>
      <c r="N1103" s="247"/>
      <c r="O1103" s="247"/>
      <c r="P1103" s="247"/>
      <c r="Q1103" s="247"/>
      <c r="R1103" s="247"/>
      <c r="S1103" s="247"/>
      <c r="T1103" s="247"/>
      <c r="U1103" s="247"/>
      <c r="V1103" s="247"/>
      <c r="W1103" s="247"/>
      <c r="X1103" s="247"/>
      <c r="Y1103" s="247"/>
      <c r="Z1103" s="247"/>
    </row>
    <row r="1104">
      <c r="A1104" s="247"/>
      <c r="B1104" s="373"/>
      <c r="C1104" s="373"/>
      <c r="D1104" s="247"/>
      <c r="E1104" s="247"/>
      <c r="F1104" s="247"/>
      <c r="G1104" s="247"/>
      <c r="H1104" s="247"/>
      <c r="I1104" s="247"/>
      <c r="J1104" s="247"/>
      <c r="K1104" s="247"/>
      <c r="L1104" s="247"/>
      <c r="M1104" s="247"/>
      <c r="N1104" s="247"/>
      <c r="O1104" s="247"/>
      <c r="P1104" s="247"/>
      <c r="Q1104" s="247"/>
      <c r="R1104" s="247"/>
      <c r="S1104" s="247"/>
      <c r="T1104" s="247"/>
      <c r="U1104" s="247"/>
      <c r="V1104" s="247"/>
      <c r="W1104" s="247"/>
      <c r="X1104" s="247"/>
      <c r="Y1104" s="247"/>
      <c r="Z1104" s="247"/>
    </row>
    <row r="1105">
      <c r="A1105" s="247"/>
      <c r="B1105" s="373"/>
      <c r="C1105" s="373"/>
      <c r="D1105" s="247"/>
      <c r="E1105" s="247"/>
      <c r="F1105" s="247"/>
      <c r="G1105" s="247"/>
      <c r="H1105" s="247"/>
      <c r="I1105" s="247"/>
      <c r="J1105" s="247"/>
      <c r="K1105" s="247"/>
      <c r="L1105" s="247"/>
      <c r="M1105" s="247"/>
      <c r="N1105" s="247"/>
      <c r="O1105" s="247"/>
      <c r="P1105" s="247"/>
      <c r="Q1105" s="247"/>
      <c r="R1105" s="247"/>
      <c r="S1105" s="247"/>
      <c r="T1105" s="247"/>
      <c r="U1105" s="247"/>
      <c r="V1105" s="247"/>
      <c r="W1105" s="247"/>
      <c r="X1105" s="247"/>
      <c r="Y1105" s="247"/>
      <c r="Z1105" s="247"/>
    </row>
    <row r="1106">
      <c r="A1106" s="247"/>
      <c r="B1106" s="373"/>
      <c r="C1106" s="373"/>
      <c r="D1106" s="247"/>
      <c r="E1106" s="247"/>
      <c r="F1106" s="247"/>
      <c r="G1106" s="247"/>
      <c r="H1106" s="247"/>
      <c r="I1106" s="247"/>
      <c r="J1106" s="247"/>
      <c r="K1106" s="247"/>
      <c r="L1106" s="247"/>
      <c r="M1106" s="247"/>
      <c r="N1106" s="247"/>
      <c r="O1106" s="247"/>
      <c r="P1106" s="247"/>
      <c r="Q1106" s="247"/>
      <c r="R1106" s="247"/>
      <c r="S1106" s="247"/>
      <c r="T1106" s="247"/>
      <c r="U1106" s="247"/>
      <c r="V1106" s="247"/>
      <c r="W1106" s="247"/>
      <c r="X1106" s="247"/>
      <c r="Y1106" s="247"/>
      <c r="Z1106" s="247"/>
    </row>
    <row r="1107">
      <c r="A1107" s="247"/>
      <c r="B1107" s="373"/>
      <c r="C1107" s="373"/>
      <c r="D1107" s="247"/>
      <c r="E1107" s="247"/>
      <c r="F1107" s="247"/>
      <c r="G1107" s="247"/>
      <c r="H1107" s="247"/>
      <c r="I1107" s="247"/>
      <c r="J1107" s="247"/>
      <c r="K1107" s="247"/>
      <c r="L1107" s="247"/>
      <c r="M1107" s="247"/>
      <c r="N1107" s="247"/>
      <c r="O1107" s="247"/>
      <c r="P1107" s="247"/>
      <c r="Q1107" s="247"/>
      <c r="R1107" s="247"/>
      <c r="S1107" s="247"/>
      <c r="T1107" s="247"/>
      <c r="U1107" s="247"/>
      <c r="V1107" s="247"/>
      <c r="W1107" s="247"/>
      <c r="X1107" s="247"/>
      <c r="Y1107" s="247"/>
      <c r="Z1107" s="247"/>
    </row>
    <row r="1108">
      <c r="A1108" s="247"/>
      <c r="B1108" s="373"/>
      <c r="C1108" s="373"/>
      <c r="D1108" s="247"/>
      <c r="E1108" s="247"/>
      <c r="F1108" s="247"/>
      <c r="G1108" s="247"/>
      <c r="H1108" s="247"/>
      <c r="I1108" s="247"/>
      <c r="J1108" s="247"/>
      <c r="K1108" s="247"/>
      <c r="L1108" s="247"/>
      <c r="M1108" s="247"/>
      <c r="N1108" s="247"/>
      <c r="O1108" s="247"/>
      <c r="P1108" s="247"/>
      <c r="Q1108" s="247"/>
      <c r="R1108" s="247"/>
      <c r="S1108" s="247"/>
      <c r="T1108" s="247"/>
      <c r="U1108" s="247"/>
      <c r="V1108" s="247"/>
      <c r="W1108" s="247"/>
      <c r="X1108" s="247"/>
      <c r="Y1108" s="247"/>
      <c r="Z1108" s="247"/>
    </row>
    <row r="1109">
      <c r="A1109" s="247"/>
      <c r="B1109" s="373"/>
      <c r="C1109" s="373"/>
      <c r="D1109" s="247"/>
      <c r="E1109" s="247"/>
      <c r="F1109" s="247"/>
      <c r="G1109" s="247"/>
      <c r="H1109" s="247"/>
      <c r="I1109" s="247"/>
      <c r="J1109" s="247"/>
      <c r="K1109" s="247"/>
      <c r="L1109" s="247"/>
      <c r="M1109" s="247"/>
      <c r="N1109" s="247"/>
      <c r="O1109" s="247"/>
      <c r="P1109" s="247"/>
      <c r="Q1109" s="247"/>
      <c r="R1109" s="247"/>
      <c r="S1109" s="247"/>
      <c r="T1109" s="247"/>
      <c r="U1109" s="247"/>
      <c r="V1109" s="247"/>
      <c r="W1109" s="247"/>
      <c r="X1109" s="247"/>
      <c r="Y1109" s="247"/>
      <c r="Z1109" s="247"/>
    </row>
    <row r="1110">
      <c r="A1110" s="247"/>
      <c r="B1110" s="373"/>
      <c r="C1110" s="373"/>
      <c r="D1110" s="247"/>
      <c r="E1110" s="247"/>
      <c r="F1110" s="247"/>
      <c r="G1110" s="247"/>
      <c r="H1110" s="247"/>
      <c r="I1110" s="247"/>
      <c r="J1110" s="247"/>
      <c r="K1110" s="247"/>
      <c r="L1110" s="247"/>
      <c r="M1110" s="247"/>
      <c r="N1110" s="247"/>
      <c r="O1110" s="247"/>
      <c r="P1110" s="247"/>
      <c r="Q1110" s="247"/>
      <c r="R1110" s="247"/>
      <c r="S1110" s="247"/>
      <c r="T1110" s="247"/>
      <c r="U1110" s="247"/>
      <c r="V1110" s="247"/>
      <c r="W1110" s="247"/>
      <c r="X1110" s="247"/>
      <c r="Y1110" s="247"/>
      <c r="Z1110" s="247"/>
    </row>
    <row r="1111">
      <c r="A1111" s="247"/>
      <c r="B1111" s="373"/>
      <c r="C1111" s="373"/>
      <c r="D1111" s="247"/>
      <c r="E1111" s="247"/>
      <c r="F1111" s="247"/>
      <c r="G1111" s="247"/>
      <c r="H1111" s="247"/>
      <c r="I1111" s="247"/>
      <c r="J1111" s="247"/>
      <c r="K1111" s="247"/>
      <c r="L1111" s="247"/>
      <c r="M1111" s="247"/>
      <c r="N1111" s="247"/>
      <c r="O1111" s="247"/>
      <c r="P1111" s="247"/>
      <c r="Q1111" s="247"/>
      <c r="R1111" s="247"/>
      <c r="S1111" s="247"/>
      <c r="T1111" s="247"/>
      <c r="U1111" s="247"/>
      <c r="V1111" s="247"/>
      <c r="W1111" s="247"/>
      <c r="X1111" s="247"/>
      <c r="Y1111" s="247"/>
      <c r="Z1111" s="247"/>
    </row>
    <row r="1112">
      <c r="A1112" s="247"/>
      <c r="B1112" s="373"/>
      <c r="C1112" s="373"/>
      <c r="D1112" s="247"/>
      <c r="E1112" s="247"/>
      <c r="F1112" s="247"/>
      <c r="G1112" s="247"/>
      <c r="H1112" s="247"/>
      <c r="I1112" s="247"/>
      <c r="J1112" s="247"/>
      <c r="K1112" s="247"/>
      <c r="L1112" s="247"/>
      <c r="M1112" s="247"/>
      <c r="N1112" s="247"/>
      <c r="O1112" s="247"/>
      <c r="P1112" s="247"/>
      <c r="Q1112" s="247"/>
      <c r="R1112" s="247"/>
      <c r="S1112" s="247"/>
      <c r="T1112" s="247"/>
      <c r="U1112" s="247"/>
      <c r="V1112" s="247"/>
      <c r="W1112" s="247"/>
      <c r="X1112" s="247"/>
      <c r="Y1112" s="247"/>
      <c r="Z1112" s="247"/>
    </row>
    <row r="1113">
      <c r="A1113" s="247"/>
      <c r="B1113" s="373"/>
      <c r="C1113" s="373"/>
      <c r="D1113" s="247"/>
      <c r="E1113" s="247"/>
      <c r="F1113" s="247"/>
      <c r="G1113" s="247"/>
      <c r="H1113" s="247"/>
      <c r="I1113" s="247"/>
      <c r="J1113" s="247"/>
      <c r="K1113" s="247"/>
      <c r="L1113" s="247"/>
      <c r="M1113" s="247"/>
      <c r="N1113" s="247"/>
      <c r="O1113" s="247"/>
      <c r="P1113" s="247"/>
      <c r="Q1113" s="247"/>
      <c r="R1113" s="247"/>
      <c r="S1113" s="247"/>
      <c r="T1113" s="247"/>
      <c r="U1113" s="247"/>
      <c r="V1113" s="247"/>
      <c r="W1113" s="247"/>
      <c r="X1113" s="247"/>
      <c r="Y1113" s="247"/>
      <c r="Z1113" s="247"/>
    </row>
    <row r="1114">
      <c r="A1114" s="247"/>
      <c r="B1114" s="373"/>
      <c r="C1114" s="373"/>
      <c r="D1114" s="247"/>
      <c r="E1114" s="247"/>
      <c r="F1114" s="247"/>
      <c r="G1114" s="247"/>
      <c r="H1114" s="247"/>
      <c r="I1114" s="247"/>
      <c r="J1114" s="247"/>
      <c r="K1114" s="247"/>
      <c r="L1114" s="247"/>
      <c r="M1114" s="247"/>
      <c r="N1114" s="247"/>
      <c r="O1114" s="247"/>
      <c r="P1114" s="247"/>
      <c r="Q1114" s="247"/>
      <c r="R1114" s="247"/>
      <c r="S1114" s="247"/>
      <c r="T1114" s="247"/>
      <c r="U1114" s="247"/>
      <c r="V1114" s="247"/>
      <c r="W1114" s="247"/>
      <c r="X1114" s="247"/>
      <c r="Y1114" s="247"/>
      <c r="Z1114" s="247"/>
    </row>
    <row r="1115">
      <c r="A1115" s="247"/>
      <c r="B1115" s="373"/>
      <c r="C1115" s="373"/>
      <c r="D1115" s="247"/>
      <c r="E1115" s="247"/>
      <c r="F1115" s="247"/>
      <c r="G1115" s="247"/>
      <c r="H1115" s="247"/>
      <c r="I1115" s="247"/>
      <c r="J1115" s="247"/>
      <c r="K1115" s="247"/>
      <c r="L1115" s="247"/>
      <c r="M1115" s="247"/>
      <c r="N1115" s="247"/>
      <c r="O1115" s="247"/>
      <c r="P1115" s="247"/>
      <c r="Q1115" s="247"/>
      <c r="R1115" s="247"/>
      <c r="S1115" s="247"/>
      <c r="T1115" s="247"/>
      <c r="U1115" s="247"/>
      <c r="V1115" s="247"/>
      <c r="W1115" s="247"/>
      <c r="X1115" s="247"/>
      <c r="Y1115" s="247"/>
      <c r="Z1115" s="247"/>
    </row>
    <row r="1116">
      <c r="A1116" s="247"/>
      <c r="B1116" s="373"/>
      <c r="C1116" s="373"/>
      <c r="D1116" s="247"/>
      <c r="E1116" s="247"/>
      <c r="F1116" s="247"/>
      <c r="G1116" s="247"/>
      <c r="H1116" s="247"/>
      <c r="I1116" s="247"/>
      <c r="J1116" s="247"/>
      <c r="K1116" s="247"/>
      <c r="L1116" s="247"/>
      <c r="M1116" s="247"/>
      <c r="N1116" s="247"/>
      <c r="O1116" s="247"/>
      <c r="P1116" s="247"/>
      <c r="Q1116" s="247"/>
      <c r="R1116" s="247"/>
      <c r="S1116" s="247"/>
      <c r="T1116" s="247"/>
      <c r="U1116" s="247"/>
      <c r="V1116" s="247"/>
      <c r="W1116" s="247"/>
      <c r="X1116" s="247"/>
      <c r="Y1116" s="247"/>
      <c r="Z1116" s="247"/>
    </row>
    <row r="1117">
      <c r="A1117" s="247"/>
      <c r="B1117" s="373"/>
      <c r="C1117" s="373"/>
      <c r="D1117" s="247"/>
      <c r="E1117" s="247"/>
      <c r="F1117" s="247"/>
      <c r="G1117" s="247"/>
      <c r="H1117" s="247"/>
      <c r="I1117" s="247"/>
      <c r="J1117" s="247"/>
      <c r="K1117" s="247"/>
      <c r="L1117" s="247"/>
      <c r="M1117" s="247"/>
      <c r="N1117" s="247"/>
      <c r="O1117" s="247"/>
      <c r="P1117" s="247"/>
      <c r="Q1117" s="247"/>
      <c r="R1117" s="247"/>
      <c r="S1117" s="247"/>
      <c r="T1117" s="247"/>
      <c r="U1117" s="247"/>
      <c r="V1117" s="247"/>
      <c r="W1117" s="247"/>
      <c r="X1117" s="247"/>
      <c r="Y1117" s="247"/>
      <c r="Z1117" s="247"/>
    </row>
    <row r="1118">
      <c r="A1118" s="247"/>
      <c r="B1118" s="373"/>
      <c r="C1118" s="373"/>
      <c r="D1118" s="247"/>
      <c r="E1118" s="247"/>
      <c r="F1118" s="247"/>
      <c r="G1118" s="247"/>
      <c r="H1118" s="247"/>
      <c r="I1118" s="247"/>
      <c r="J1118" s="247"/>
      <c r="K1118" s="247"/>
      <c r="L1118" s="247"/>
      <c r="M1118" s="247"/>
      <c r="N1118" s="247"/>
      <c r="O1118" s="247"/>
      <c r="P1118" s="247"/>
      <c r="Q1118" s="247"/>
      <c r="R1118" s="247"/>
      <c r="S1118" s="247"/>
      <c r="T1118" s="247"/>
      <c r="U1118" s="247"/>
      <c r="V1118" s="247"/>
      <c r="W1118" s="247"/>
      <c r="X1118" s="247"/>
      <c r="Y1118" s="247"/>
      <c r="Z1118" s="247"/>
    </row>
    <row r="1119">
      <c r="A1119" s="247"/>
      <c r="B1119" s="373"/>
      <c r="C1119" s="373"/>
      <c r="D1119" s="247"/>
      <c r="E1119" s="247"/>
      <c r="F1119" s="247"/>
      <c r="G1119" s="247"/>
      <c r="H1119" s="247"/>
      <c r="I1119" s="247"/>
      <c r="J1119" s="247"/>
      <c r="K1119" s="247"/>
      <c r="L1119" s="247"/>
      <c r="M1119" s="247"/>
      <c r="N1119" s="247"/>
      <c r="O1119" s="247"/>
      <c r="P1119" s="247"/>
      <c r="Q1119" s="247"/>
      <c r="R1119" s="247"/>
      <c r="S1119" s="247"/>
      <c r="T1119" s="247"/>
      <c r="U1119" s="247"/>
      <c r="V1119" s="247"/>
      <c r="W1119" s="247"/>
      <c r="X1119" s="247"/>
      <c r="Y1119" s="247"/>
      <c r="Z1119" s="247"/>
    </row>
    <row r="1120">
      <c r="A1120" s="247"/>
      <c r="B1120" s="373"/>
      <c r="C1120" s="373"/>
      <c r="D1120" s="247"/>
      <c r="E1120" s="247"/>
      <c r="F1120" s="247"/>
      <c r="G1120" s="247"/>
      <c r="H1120" s="247"/>
      <c r="I1120" s="247"/>
      <c r="J1120" s="247"/>
      <c r="K1120" s="247"/>
      <c r="L1120" s="247"/>
      <c r="M1120" s="247"/>
      <c r="N1120" s="247"/>
      <c r="O1120" s="247"/>
      <c r="P1120" s="247"/>
      <c r="Q1120" s="247"/>
      <c r="R1120" s="247"/>
      <c r="S1120" s="247"/>
      <c r="T1120" s="247"/>
      <c r="U1120" s="247"/>
      <c r="V1120" s="247"/>
      <c r="W1120" s="247"/>
      <c r="X1120" s="247"/>
      <c r="Y1120" s="247"/>
      <c r="Z1120" s="247"/>
    </row>
    <row r="1121">
      <c r="A1121" s="247"/>
      <c r="B1121" s="373"/>
      <c r="C1121" s="373"/>
      <c r="D1121" s="247"/>
      <c r="E1121" s="247"/>
      <c r="F1121" s="247"/>
      <c r="G1121" s="247"/>
      <c r="H1121" s="247"/>
      <c r="I1121" s="247"/>
      <c r="J1121" s="247"/>
      <c r="K1121" s="247"/>
      <c r="L1121" s="247"/>
      <c r="M1121" s="247"/>
      <c r="N1121" s="247"/>
      <c r="O1121" s="247"/>
      <c r="P1121" s="247"/>
      <c r="Q1121" s="247"/>
      <c r="R1121" s="247"/>
      <c r="S1121" s="247"/>
      <c r="T1121" s="247"/>
      <c r="U1121" s="247"/>
      <c r="V1121" s="247"/>
      <c r="W1121" s="247"/>
      <c r="X1121" s="247"/>
      <c r="Y1121" s="247"/>
      <c r="Z1121" s="247"/>
    </row>
    <row r="1122">
      <c r="A1122" s="247"/>
      <c r="B1122" s="373"/>
      <c r="C1122" s="373"/>
      <c r="D1122" s="247"/>
      <c r="E1122" s="247"/>
      <c r="F1122" s="247"/>
      <c r="G1122" s="247"/>
      <c r="H1122" s="247"/>
      <c r="I1122" s="247"/>
      <c r="J1122" s="247"/>
      <c r="K1122" s="247"/>
      <c r="L1122" s="247"/>
      <c r="M1122" s="247"/>
      <c r="N1122" s="247"/>
      <c r="O1122" s="247"/>
      <c r="P1122" s="247"/>
      <c r="Q1122" s="247"/>
      <c r="R1122" s="247"/>
      <c r="S1122" s="247"/>
      <c r="T1122" s="247"/>
      <c r="U1122" s="247"/>
      <c r="V1122" s="247"/>
      <c r="W1122" s="247"/>
      <c r="X1122" s="247"/>
      <c r="Y1122" s="247"/>
      <c r="Z1122" s="247"/>
    </row>
    <row r="1123">
      <c r="A1123" s="247"/>
      <c r="B1123" s="373"/>
      <c r="C1123" s="373"/>
      <c r="D1123" s="247"/>
      <c r="E1123" s="247"/>
      <c r="F1123" s="247"/>
      <c r="G1123" s="247"/>
      <c r="H1123" s="247"/>
      <c r="I1123" s="247"/>
      <c r="J1123" s="247"/>
      <c r="K1123" s="247"/>
      <c r="L1123" s="247"/>
      <c r="M1123" s="247"/>
      <c r="N1123" s="247"/>
      <c r="O1123" s="247"/>
      <c r="P1123" s="247"/>
      <c r="Q1123" s="247"/>
      <c r="R1123" s="247"/>
      <c r="S1123" s="247"/>
      <c r="T1123" s="247"/>
      <c r="U1123" s="247"/>
      <c r="V1123" s="247"/>
      <c r="W1123" s="247"/>
      <c r="X1123" s="247"/>
      <c r="Y1123" s="247"/>
      <c r="Z1123" s="247"/>
    </row>
    <row r="1124">
      <c r="A1124" s="247"/>
      <c r="B1124" s="373"/>
      <c r="C1124" s="373"/>
      <c r="D1124" s="247"/>
      <c r="E1124" s="247"/>
      <c r="F1124" s="247"/>
      <c r="G1124" s="247"/>
      <c r="H1124" s="247"/>
      <c r="I1124" s="247"/>
      <c r="J1124" s="247"/>
      <c r="K1124" s="247"/>
      <c r="L1124" s="247"/>
      <c r="M1124" s="247"/>
      <c r="N1124" s="247"/>
      <c r="O1124" s="247"/>
      <c r="P1124" s="247"/>
      <c r="Q1124" s="247"/>
      <c r="R1124" s="247"/>
      <c r="S1124" s="247"/>
      <c r="T1124" s="247"/>
      <c r="U1124" s="247"/>
      <c r="V1124" s="247"/>
      <c r="W1124" s="247"/>
      <c r="X1124" s="247"/>
      <c r="Y1124" s="247"/>
      <c r="Z1124" s="247"/>
    </row>
    <row r="1125">
      <c r="A1125" s="247"/>
      <c r="B1125" s="373"/>
      <c r="C1125" s="373"/>
      <c r="D1125" s="247"/>
      <c r="E1125" s="247"/>
      <c r="F1125" s="247"/>
      <c r="G1125" s="247"/>
      <c r="H1125" s="247"/>
      <c r="I1125" s="247"/>
      <c r="J1125" s="247"/>
      <c r="K1125" s="247"/>
      <c r="L1125" s="247"/>
      <c r="M1125" s="247"/>
      <c r="N1125" s="247"/>
      <c r="O1125" s="247"/>
      <c r="P1125" s="247"/>
      <c r="Q1125" s="247"/>
      <c r="R1125" s="247"/>
      <c r="S1125" s="247"/>
      <c r="T1125" s="247"/>
      <c r="U1125" s="247"/>
      <c r="V1125" s="247"/>
      <c r="W1125" s="247"/>
      <c r="X1125" s="247"/>
      <c r="Y1125" s="247"/>
      <c r="Z1125" s="247"/>
    </row>
    <row r="1126">
      <c r="A1126" s="247"/>
      <c r="B1126" s="373"/>
      <c r="C1126" s="373"/>
      <c r="D1126" s="247"/>
      <c r="E1126" s="247"/>
      <c r="F1126" s="247"/>
      <c r="G1126" s="247"/>
      <c r="H1126" s="247"/>
      <c r="I1126" s="247"/>
      <c r="J1126" s="247"/>
      <c r="K1126" s="247"/>
      <c r="L1126" s="247"/>
      <c r="M1126" s="247"/>
      <c r="N1126" s="247"/>
      <c r="O1126" s="247"/>
      <c r="P1126" s="247"/>
      <c r="Q1126" s="247"/>
      <c r="R1126" s="247"/>
      <c r="S1126" s="247"/>
      <c r="T1126" s="247"/>
      <c r="U1126" s="247"/>
      <c r="V1126" s="247"/>
      <c r="W1126" s="247"/>
      <c r="X1126" s="247"/>
      <c r="Y1126" s="247"/>
      <c r="Z1126" s="247"/>
    </row>
    <row r="1127">
      <c r="A1127" s="247"/>
      <c r="B1127" s="373"/>
      <c r="C1127" s="373"/>
      <c r="D1127" s="247"/>
      <c r="E1127" s="247"/>
      <c r="F1127" s="247"/>
      <c r="G1127" s="247"/>
      <c r="H1127" s="247"/>
      <c r="I1127" s="247"/>
      <c r="J1127" s="247"/>
      <c r="K1127" s="247"/>
      <c r="L1127" s="247"/>
      <c r="M1127" s="247"/>
      <c r="N1127" s="247"/>
      <c r="O1127" s="247"/>
      <c r="P1127" s="247"/>
      <c r="Q1127" s="247"/>
      <c r="R1127" s="247"/>
      <c r="S1127" s="247"/>
      <c r="T1127" s="247"/>
      <c r="U1127" s="247"/>
      <c r="V1127" s="247"/>
      <c r="W1127" s="247"/>
      <c r="X1127" s="247"/>
      <c r="Y1127" s="247"/>
      <c r="Z1127" s="247"/>
    </row>
    <row r="1128">
      <c r="A1128" s="247"/>
      <c r="B1128" s="373"/>
      <c r="C1128" s="373"/>
      <c r="D1128" s="247"/>
      <c r="E1128" s="247"/>
      <c r="F1128" s="247"/>
      <c r="G1128" s="247"/>
      <c r="H1128" s="247"/>
      <c r="I1128" s="247"/>
      <c r="J1128" s="247"/>
      <c r="K1128" s="247"/>
      <c r="L1128" s="247"/>
      <c r="M1128" s="247"/>
      <c r="N1128" s="247"/>
      <c r="O1128" s="247"/>
      <c r="P1128" s="247"/>
      <c r="Q1128" s="247"/>
      <c r="R1128" s="247"/>
      <c r="S1128" s="247"/>
      <c r="T1128" s="247"/>
      <c r="U1128" s="247"/>
      <c r="V1128" s="247"/>
      <c r="W1128" s="247"/>
      <c r="X1128" s="247"/>
      <c r="Y1128" s="247"/>
      <c r="Z1128" s="247"/>
    </row>
    <row r="1129">
      <c r="A1129" s="247"/>
      <c r="B1129" s="373"/>
      <c r="C1129" s="373"/>
      <c r="D1129" s="247"/>
      <c r="E1129" s="247"/>
      <c r="F1129" s="247"/>
      <c r="G1129" s="247"/>
      <c r="H1129" s="247"/>
      <c r="I1129" s="247"/>
      <c r="J1129" s="247"/>
      <c r="K1129" s="247"/>
      <c r="L1129" s="247"/>
      <c r="M1129" s="247"/>
      <c r="N1129" s="247"/>
      <c r="O1129" s="247"/>
      <c r="P1129" s="247"/>
      <c r="Q1129" s="247"/>
      <c r="R1129" s="247"/>
      <c r="S1129" s="247"/>
      <c r="T1129" s="247"/>
      <c r="U1129" s="247"/>
      <c r="V1129" s="247"/>
      <c r="W1129" s="247"/>
      <c r="X1129" s="247"/>
      <c r="Y1129" s="247"/>
      <c r="Z1129" s="247"/>
    </row>
    <row r="1130">
      <c r="A1130" s="247"/>
      <c r="B1130" s="373"/>
      <c r="C1130" s="373"/>
      <c r="D1130" s="247"/>
      <c r="E1130" s="247"/>
      <c r="F1130" s="247"/>
      <c r="G1130" s="247"/>
      <c r="H1130" s="247"/>
      <c r="I1130" s="247"/>
      <c r="J1130" s="247"/>
      <c r="K1130" s="247"/>
      <c r="L1130" s="247"/>
      <c r="M1130" s="247"/>
      <c r="N1130" s="247"/>
      <c r="O1130" s="247"/>
      <c r="P1130" s="247"/>
      <c r="Q1130" s="247"/>
      <c r="R1130" s="247"/>
      <c r="S1130" s="247"/>
      <c r="T1130" s="247"/>
      <c r="U1130" s="247"/>
      <c r="V1130" s="247"/>
      <c r="W1130" s="247"/>
      <c r="X1130" s="247"/>
      <c r="Y1130" s="247"/>
      <c r="Z1130" s="247"/>
    </row>
    <row r="1131">
      <c r="A1131" s="247"/>
      <c r="B1131" s="373"/>
      <c r="C1131" s="373"/>
      <c r="D1131" s="247"/>
      <c r="E1131" s="247"/>
      <c r="F1131" s="247"/>
      <c r="G1131" s="247"/>
      <c r="H1131" s="247"/>
      <c r="I1131" s="247"/>
      <c r="J1131" s="247"/>
      <c r="K1131" s="247"/>
      <c r="L1131" s="247"/>
      <c r="M1131" s="247"/>
      <c r="N1131" s="247"/>
      <c r="O1131" s="247"/>
      <c r="P1131" s="247"/>
      <c r="Q1131" s="247"/>
      <c r="R1131" s="247"/>
      <c r="S1131" s="247"/>
      <c r="T1131" s="247"/>
      <c r="U1131" s="247"/>
      <c r="V1131" s="247"/>
      <c r="W1131" s="247"/>
      <c r="X1131" s="247"/>
      <c r="Y1131" s="247"/>
      <c r="Z1131" s="247"/>
    </row>
    <row r="1132">
      <c r="A1132" s="247"/>
      <c r="B1132" s="373"/>
      <c r="C1132" s="373"/>
      <c r="D1132" s="247"/>
      <c r="E1132" s="247"/>
      <c r="F1132" s="247"/>
      <c r="G1132" s="247"/>
      <c r="H1132" s="247"/>
      <c r="I1132" s="247"/>
      <c r="J1132" s="247"/>
      <c r="K1132" s="247"/>
      <c r="L1132" s="247"/>
      <c r="M1132" s="247"/>
      <c r="N1132" s="247"/>
      <c r="O1132" s="247"/>
      <c r="P1132" s="247"/>
      <c r="Q1132" s="247"/>
      <c r="R1132" s="247"/>
      <c r="S1132" s="247"/>
      <c r="T1132" s="247"/>
      <c r="U1132" s="247"/>
      <c r="V1132" s="247"/>
      <c r="W1132" s="247"/>
      <c r="X1132" s="247"/>
      <c r="Y1132" s="247"/>
      <c r="Z1132" s="247"/>
    </row>
    <row r="1133">
      <c r="A1133" s="247"/>
      <c r="B1133" s="373"/>
      <c r="C1133" s="373"/>
      <c r="D1133" s="247"/>
      <c r="E1133" s="247"/>
      <c r="F1133" s="247"/>
      <c r="G1133" s="247"/>
      <c r="H1133" s="247"/>
      <c r="I1133" s="247"/>
      <c r="J1133" s="247"/>
      <c r="K1133" s="247"/>
      <c r="L1133" s="247"/>
      <c r="M1133" s="247"/>
      <c r="N1133" s="247"/>
      <c r="O1133" s="247"/>
      <c r="P1133" s="247"/>
      <c r="Q1133" s="247"/>
      <c r="R1133" s="247"/>
      <c r="S1133" s="247"/>
      <c r="T1133" s="247"/>
      <c r="U1133" s="247"/>
      <c r="V1133" s="247"/>
      <c r="W1133" s="247"/>
      <c r="X1133" s="247"/>
      <c r="Y1133" s="247"/>
      <c r="Z1133" s="247"/>
    </row>
    <row r="1134">
      <c r="A1134" s="247"/>
      <c r="B1134" s="373"/>
      <c r="C1134" s="373"/>
      <c r="D1134" s="247"/>
      <c r="E1134" s="247"/>
      <c r="F1134" s="247"/>
      <c r="G1134" s="247"/>
      <c r="H1134" s="247"/>
      <c r="I1134" s="247"/>
      <c r="J1134" s="247"/>
      <c r="K1134" s="247"/>
      <c r="L1134" s="247"/>
      <c r="M1134" s="247"/>
      <c r="N1134" s="247"/>
      <c r="O1134" s="247"/>
      <c r="P1134" s="247"/>
      <c r="Q1134" s="247"/>
      <c r="R1134" s="247"/>
      <c r="S1134" s="247"/>
      <c r="T1134" s="247"/>
      <c r="U1134" s="247"/>
      <c r="V1134" s="247"/>
      <c r="W1134" s="247"/>
      <c r="X1134" s="247"/>
      <c r="Y1134" s="247"/>
      <c r="Z1134" s="247"/>
    </row>
    <row r="1135">
      <c r="A1135" s="247"/>
      <c r="B1135" s="373"/>
      <c r="C1135" s="373"/>
      <c r="D1135" s="247"/>
      <c r="E1135" s="247"/>
      <c r="F1135" s="247"/>
      <c r="G1135" s="247"/>
      <c r="H1135" s="247"/>
      <c r="I1135" s="247"/>
      <c r="J1135" s="247"/>
      <c r="K1135" s="247"/>
      <c r="L1135" s="247"/>
      <c r="M1135" s="247"/>
      <c r="N1135" s="247"/>
      <c r="O1135" s="247"/>
      <c r="P1135" s="247"/>
      <c r="Q1135" s="247"/>
      <c r="R1135" s="247"/>
      <c r="S1135" s="247"/>
      <c r="T1135" s="247"/>
      <c r="U1135" s="247"/>
      <c r="V1135" s="247"/>
      <c r="W1135" s="247"/>
      <c r="X1135" s="247"/>
      <c r="Y1135" s="247"/>
      <c r="Z1135" s="247"/>
    </row>
    <row r="1136">
      <c r="A1136" s="247"/>
      <c r="B1136" s="373"/>
      <c r="C1136" s="373"/>
      <c r="D1136" s="247"/>
      <c r="E1136" s="247"/>
      <c r="F1136" s="247"/>
      <c r="G1136" s="247"/>
      <c r="H1136" s="247"/>
      <c r="I1136" s="247"/>
      <c r="J1136" s="247"/>
      <c r="K1136" s="247"/>
      <c r="L1136" s="247"/>
      <c r="M1136" s="247"/>
      <c r="N1136" s="247"/>
      <c r="O1136" s="247"/>
      <c r="P1136" s="247"/>
      <c r="Q1136" s="247"/>
      <c r="R1136" s="247"/>
      <c r="S1136" s="247"/>
      <c r="T1136" s="247"/>
      <c r="U1136" s="247"/>
      <c r="V1136" s="247"/>
      <c r="W1136" s="247"/>
      <c r="X1136" s="247"/>
      <c r="Y1136" s="247"/>
      <c r="Z1136" s="247"/>
    </row>
    <row r="1137">
      <c r="A1137" s="247"/>
      <c r="B1137" s="373"/>
      <c r="C1137" s="373"/>
      <c r="D1137" s="247"/>
      <c r="E1137" s="247"/>
      <c r="F1137" s="247"/>
      <c r="G1137" s="247"/>
      <c r="H1137" s="247"/>
      <c r="I1137" s="247"/>
      <c r="J1137" s="247"/>
      <c r="K1137" s="247"/>
      <c r="L1137" s="247"/>
      <c r="M1137" s="247"/>
      <c r="N1137" s="247"/>
      <c r="O1137" s="247"/>
      <c r="P1137" s="247"/>
      <c r="Q1137" s="247"/>
      <c r="R1137" s="247"/>
      <c r="S1137" s="247"/>
      <c r="T1137" s="247"/>
      <c r="U1137" s="247"/>
      <c r="V1137" s="247"/>
      <c r="W1137" s="247"/>
      <c r="X1137" s="247"/>
      <c r="Y1137" s="247"/>
      <c r="Z1137" s="247"/>
    </row>
    <row r="1138">
      <c r="A1138" s="247"/>
      <c r="B1138" s="373"/>
      <c r="C1138" s="373"/>
      <c r="D1138" s="247"/>
      <c r="E1138" s="247"/>
      <c r="F1138" s="247"/>
      <c r="G1138" s="247"/>
      <c r="H1138" s="247"/>
      <c r="I1138" s="247"/>
      <c r="J1138" s="247"/>
      <c r="K1138" s="247"/>
      <c r="L1138" s="247"/>
      <c r="M1138" s="247"/>
      <c r="N1138" s="247"/>
      <c r="O1138" s="247"/>
      <c r="P1138" s="247"/>
      <c r="Q1138" s="247"/>
      <c r="R1138" s="247"/>
      <c r="S1138" s="247"/>
      <c r="T1138" s="247"/>
      <c r="U1138" s="247"/>
      <c r="V1138" s="247"/>
      <c r="W1138" s="247"/>
      <c r="X1138" s="247"/>
      <c r="Y1138" s="247"/>
      <c r="Z1138" s="247"/>
    </row>
    <row r="1139">
      <c r="A1139" s="247"/>
      <c r="B1139" s="373"/>
      <c r="C1139" s="373"/>
      <c r="D1139" s="247"/>
      <c r="E1139" s="247"/>
      <c r="F1139" s="247"/>
      <c r="G1139" s="247"/>
      <c r="H1139" s="247"/>
      <c r="I1139" s="247"/>
      <c r="J1139" s="247"/>
      <c r="K1139" s="247"/>
      <c r="L1139" s="247"/>
      <c r="M1139" s="247"/>
      <c r="N1139" s="247"/>
      <c r="O1139" s="247"/>
      <c r="P1139" s="247"/>
      <c r="Q1139" s="247"/>
      <c r="R1139" s="247"/>
      <c r="S1139" s="247"/>
      <c r="T1139" s="247"/>
      <c r="U1139" s="247"/>
      <c r="V1139" s="247"/>
      <c r="W1139" s="247"/>
      <c r="X1139" s="247"/>
      <c r="Y1139" s="247"/>
      <c r="Z1139" s="247"/>
    </row>
    <row r="1140">
      <c r="A1140" s="247"/>
      <c r="B1140" s="373"/>
      <c r="C1140" s="373"/>
      <c r="D1140" s="247"/>
      <c r="E1140" s="247"/>
      <c r="F1140" s="247"/>
      <c r="G1140" s="247"/>
      <c r="H1140" s="247"/>
      <c r="I1140" s="247"/>
      <c r="J1140" s="247"/>
      <c r="K1140" s="247"/>
      <c r="L1140" s="247"/>
      <c r="M1140" s="247"/>
      <c r="N1140" s="247"/>
      <c r="O1140" s="247"/>
      <c r="P1140" s="247"/>
      <c r="Q1140" s="247"/>
      <c r="R1140" s="247"/>
      <c r="S1140" s="247"/>
      <c r="T1140" s="247"/>
      <c r="U1140" s="247"/>
      <c r="V1140" s="247"/>
      <c r="W1140" s="247"/>
      <c r="X1140" s="247"/>
      <c r="Y1140" s="247"/>
      <c r="Z1140" s="247"/>
    </row>
    <row r="1141">
      <c r="A1141" s="247"/>
      <c r="B1141" s="373"/>
      <c r="C1141" s="373"/>
      <c r="D1141" s="247"/>
      <c r="E1141" s="247"/>
      <c r="F1141" s="247"/>
      <c r="G1141" s="247"/>
      <c r="H1141" s="247"/>
      <c r="I1141" s="247"/>
      <c r="J1141" s="247"/>
      <c r="K1141" s="247"/>
      <c r="L1141" s="247"/>
      <c r="M1141" s="247"/>
      <c r="N1141" s="247"/>
      <c r="O1141" s="247"/>
      <c r="P1141" s="247"/>
      <c r="Q1141" s="247"/>
      <c r="R1141" s="247"/>
      <c r="S1141" s="247"/>
      <c r="T1141" s="247"/>
      <c r="U1141" s="247"/>
      <c r="V1141" s="247"/>
      <c r="W1141" s="247"/>
      <c r="X1141" s="247"/>
      <c r="Y1141" s="247"/>
      <c r="Z1141" s="247"/>
    </row>
    <row r="1142">
      <c r="A1142" s="247"/>
      <c r="B1142" s="373"/>
      <c r="C1142" s="373"/>
      <c r="D1142" s="247"/>
      <c r="E1142" s="247"/>
      <c r="F1142" s="247"/>
      <c r="G1142" s="247"/>
      <c r="H1142" s="247"/>
      <c r="I1142" s="247"/>
      <c r="J1142" s="247"/>
      <c r="K1142" s="247"/>
      <c r="L1142" s="247"/>
      <c r="M1142" s="247"/>
      <c r="N1142" s="247"/>
      <c r="O1142" s="247"/>
      <c r="P1142" s="247"/>
      <c r="Q1142" s="247"/>
      <c r="R1142" s="247"/>
      <c r="S1142" s="247"/>
      <c r="T1142" s="247"/>
      <c r="U1142" s="247"/>
      <c r="V1142" s="247"/>
      <c r="W1142" s="247"/>
      <c r="X1142" s="247"/>
      <c r="Y1142" s="247"/>
      <c r="Z1142" s="247"/>
    </row>
    <row r="1143">
      <c r="A1143" s="247"/>
      <c r="B1143" s="373"/>
      <c r="C1143" s="373"/>
      <c r="D1143" s="247"/>
      <c r="E1143" s="247"/>
      <c r="F1143" s="247"/>
      <c r="G1143" s="247"/>
      <c r="H1143" s="247"/>
      <c r="I1143" s="247"/>
      <c r="J1143" s="247"/>
      <c r="K1143" s="247"/>
      <c r="L1143" s="247"/>
      <c r="M1143" s="247"/>
      <c r="N1143" s="247"/>
      <c r="O1143" s="247"/>
      <c r="P1143" s="247"/>
      <c r="Q1143" s="247"/>
      <c r="R1143" s="247"/>
      <c r="S1143" s="247"/>
      <c r="T1143" s="247"/>
      <c r="U1143" s="247"/>
      <c r="V1143" s="247"/>
      <c r="W1143" s="247"/>
      <c r="X1143" s="247"/>
      <c r="Y1143" s="247"/>
      <c r="Z1143" s="247"/>
    </row>
    <row r="1144">
      <c r="A1144" s="247"/>
      <c r="B1144" s="373"/>
      <c r="C1144" s="373"/>
      <c r="D1144" s="247"/>
      <c r="E1144" s="247"/>
      <c r="F1144" s="247"/>
      <c r="G1144" s="247"/>
      <c r="H1144" s="247"/>
      <c r="I1144" s="247"/>
      <c r="J1144" s="247"/>
      <c r="K1144" s="247"/>
      <c r="L1144" s="247"/>
      <c r="M1144" s="247"/>
      <c r="N1144" s="247"/>
      <c r="O1144" s="247"/>
      <c r="P1144" s="247"/>
      <c r="Q1144" s="247"/>
      <c r="R1144" s="247"/>
      <c r="S1144" s="247"/>
      <c r="T1144" s="247"/>
      <c r="U1144" s="247"/>
      <c r="V1144" s="247"/>
      <c r="W1144" s="247"/>
      <c r="X1144" s="247"/>
      <c r="Y1144" s="247"/>
      <c r="Z1144" s="247"/>
    </row>
    <row r="1145">
      <c r="A1145" s="247"/>
      <c r="B1145" s="373"/>
      <c r="C1145" s="373"/>
      <c r="D1145" s="247"/>
      <c r="E1145" s="247"/>
      <c r="F1145" s="247"/>
      <c r="G1145" s="247"/>
      <c r="H1145" s="247"/>
      <c r="I1145" s="247"/>
      <c r="J1145" s="247"/>
      <c r="K1145" s="247"/>
      <c r="L1145" s="247"/>
      <c r="M1145" s="247"/>
      <c r="N1145" s="247"/>
      <c r="O1145" s="247"/>
      <c r="P1145" s="247"/>
      <c r="Q1145" s="247"/>
      <c r="R1145" s="247"/>
      <c r="S1145" s="247"/>
      <c r="T1145" s="247"/>
      <c r="U1145" s="247"/>
      <c r="V1145" s="247"/>
      <c r="W1145" s="247"/>
      <c r="X1145" s="247"/>
      <c r="Y1145" s="247"/>
      <c r="Z1145" s="247"/>
    </row>
    <row r="1146">
      <c r="A1146" s="247"/>
      <c r="B1146" s="373"/>
      <c r="C1146" s="373"/>
      <c r="D1146" s="247"/>
      <c r="E1146" s="247"/>
      <c r="F1146" s="247"/>
      <c r="G1146" s="247"/>
      <c r="H1146" s="247"/>
      <c r="I1146" s="247"/>
      <c r="J1146" s="247"/>
      <c r="K1146" s="247"/>
      <c r="L1146" s="247"/>
      <c r="M1146" s="247"/>
      <c r="N1146" s="247"/>
      <c r="O1146" s="247"/>
      <c r="P1146" s="247"/>
      <c r="Q1146" s="247"/>
      <c r="R1146" s="247"/>
      <c r="S1146" s="247"/>
      <c r="T1146" s="247"/>
      <c r="U1146" s="247"/>
      <c r="V1146" s="247"/>
      <c r="W1146" s="247"/>
      <c r="X1146" s="247"/>
      <c r="Y1146" s="247"/>
      <c r="Z1146" s="247"/>
    </row>
    <row r="1147">
      <c r="A1147" s="247"/>
      <c r="B1147" s="373"/>
      <c r="C1147" s="373"/>
      <c r="D1147" s="247"/>
      <c r="E1147" s="247"/>
      <c r="F1147" s="247"/>
      <c r="G1147" s="247"/>
      <c r="H1147" s="247"/>
      <c r="I1147" s="247"/>
      <c r="J1147" s="247"/>
      <c r="K1147" s="247"/>
      <c r="L1147" s="247"/>
      <c r="M1147" s="247"/>
      <c r="N1147" s="247"/>
      <c r="O1147" s="247"/>
      <c r="P1147" s="247"/>
      <c r="Q1147" s="247"/>
      <c r="R1147" s="247"/>
      <c r="S1147" s="247"/>
      <c r="T1147" s="247"/>
      <c r="U1147" s="247"/>
      <c r="V1147" s="247"/>
      <c r="W1147" s="247"/>
      <c r="X1147" s="247"/>
      <c r="Y1147" s="247"/>
      <c r="Z1147" s="247"/>
    </row>
    <row r="1148">
      <c r="A1148" s="247"/>
      <c r="B1148" s="373"/>
      <c r="C1148" s="373"/>
      <c r="D1148" s="247"/>
      <c r="E1148" s="247"/>
      <c r="F1148" s="247"/>
      <c r="G1148" s="247"/>
      <c r="H1148" s="247"/>
      <c r="I1148" s="247"/>
      <c r="J1148" s="247"/>
      <c r="K1148" s="247"/>
      <c r="L1148" s="247"/>
      <c r="M1148" s="247"/>
      <c r="N1148" s="247"/>
      <c r="O1148" s="247"/>
      <c r="P1148" s="247"/>
      <c r="Q1148" s="247"/>
      <c r="R1148" s="247"/>
      <c r="S1148" s="247"/>
      <c r="T1148" s="247"/>
      <c r="U1148" s="247"/>
      <c r="V1148" s="247"/>
      <c r="W1148" s="247"/>
      <c r="X1148" s="247"/>
      <c r="Y1148" s="247"/>
      <c r="Z1148" s="247"/>
    </row>
    <row r="1149">
      <c r="A1149" s="247"/>
      <c r="B1149" s="373"/>
      <c r="C1149" s="373"/>
      <c r="D1149" s="247"/>
      <c r="E1149" s="247"/>
      <c r="F1149" s="247"/>
      <c r="G1149" s="247"/>
      <c r="H1149" s="247"/>
      <c r="I1149" s="247"/>
      <c r="J1149" s="247"/>
      <c r="K1149" s="247"/>
      <c r="L1149" s="247"/>
      <c r="M1149" s="247"/>
      <c r="N1149" s="247"/>
      <c r="O1149" s="247"/>
      <c r="P1149" s="247"/>
      <c r="Q1149" s="247"/>
      <c r="R1149" s="247"/>
      <c r="S1149" s="247"/>
      <c r="T1149" s="247"/>
      <c r="U1149" s="247"/>
      <c r="V1149" s="247"/>
      <c r="W1149" s="247"/>
      <c r="X1149" s="247"/>
      <c r="Y1149" s="247"/>
      <c r="Z1149" s="247"/>
    </row>
    <row r="1150">
      <c r="A1150" s="247"/>
      <c r="B1150" s="373"/>
      <c r="C1150" s="373"/>
      <c r="D1150" s="247"/>
      <c r="E1150" s="247"/>
      <c r="F1150" s="247"/>
      <c r="G1150" s="247"/>
      <c r="H1150" s="247"/>
      <c r="I1150" s="247"/>
      <c r="J1150" s="247"/>
      <c r="K1150" s="247"/>
      <c r="L1150" s="247"/>
      <c r="M1150" s="247"/>
      <c r="N1150" s="247"/>
      <c r="O1150" s="247"/>
      <c r="P1150" s="247"/>
      <c r="Q1150" s="247"/>
      <c r="R1150" s="247"/>
      <c r="S1150" s="247"/>
      <c r="T1150" s="247"/>
      <c r="U1150" s="247"/>
      <c r="V1150" s="247"/>
      <c r="W1150" s="247"/>
      <c r="X1150" s="247"/>
      <c r="Y1150" s="247"/>
      <c r="Z1150" s="247"/>
    </row>
    <row r="1151">
      <c r="A1151" s="247"/>
      <c r="B1151" s="373"/>
      <c r="C1151" s="373"/>
      <c r="D1151" s="247"/>
      <c r="E1151" s="247"/>
      <c r="F1151" s="247"/>
      <c r="G1151" s="247"/>
      <c r="H1151" s="247"/>
      <c r="I1151" s="247"/>
      <c r="J1151" s="247"/>
      <c r="K1151" s="247"/>
      <c r="L1151" s="247"/>
      <c r="M1151" s="247"/>
      <c r="N1151" s="247"/>
      <c r="O1151" s="247"/>
      <c r="P1151" s="247"/>
      <c r="Q1151" s="247"/>
      <c r="R1151" s="247"/>
      <c r="S1151" s="247"/>
      <c r="T1151" s="247"/>
      <c r="U1151" s="247"/>
      <c r="V1151" s="247"/>
      <c r="W1151" s="247"/>
      <c r="X1151" s="247"/>
      <c r="Y1151" s="247"/>
      <c r="Z1151" s="247"/>
    </row>
    <row r="1152">
      <c r="A1152" s="247"/>
      <c r="B1152" s="373"/>
      <c r="C1152" s="373"/>
      <c r="D1152" s="247"/>
      <c r="E1152" s="247"/>
      <c r="F1152" s="247"/>
      <c r="G1152" s="247"/>
      <c r="H1152" s="247"/>
      <c r="I1152" s="247"/>
      <c r="J1152" s="247"/>
      <c r="K1152" s="247"/>
      <c r="L1152" s="247"/>
      <c r="M1152" s="247"/>
      <c r="N1152" s="247"/>
      <c r="O1152" s="247"/>
      <c r="P1152" s="247"/>
      <c r="Q1152" s="247"/>
      <c r="R1152" s="247"/>
      <c r="S1152" s="247"/>
      <c r="T1152" s="247"/>
      <c r="U1152" s="247"/>
      <c r="V1152" s="247"/>
      <c r="W1152" s="247"/>
      <c r="X1152" s="247"/>
      <c r="Y1152" s="247"/>
      <c r="Z1152" s="247"/>
    </row>
    <row r="1153">
      <c r="A1153" s="247"/>
      <c r="B1153" s="373"/>
      <c r="C1153" s="373"/>
      <c r="D1153" s="247"/>
      <c r="E1153" s="247"/>
      <c r="F1153" s="247"/>
      <c r="G1153" s="247"/>
      <c r="H1153" s="247"/>
      <c r="I1153" s="247"/>
      <c r="J1153" s="247"/>
      <c r="K1153" s="247"/>
      <c r="L1153" s="247"/>
      <c r="M1153" s="247"/>
      <c r="N1153" s="247"/>
      <c r="O1153" s="247"/>
      <c r="P1153" s="247"/>
      <c r="Q1153" s="247"/>
      <c r="R1153" s="247"/>
      <c r="S1153" s="247"/>
      <c r="T1153" s="247"/>
      <c r="U1153" s="247"/>
      <c r="V1153" s="247"/>
      <c r="W1153" s="247"/>
      <c r="X1153" s="247"/>
      <c r="Y1153" s="247"/>
      <c r="Z1153" s="247"/>
    </row>
    <row r="1154">
      <c r="A1154" s="247"/>
      <c r="B1154" s="373"/>
      <c r="C1154" s="373"/>
      <c r="D1154" s="247"/>
      <c r="E1154" s="247"/>
      <c r="F1154" s="247"/>
      <c r="G1154" s="247"/>
      <c r="H1154" s="247"/>
      <c r="I1154" s="247"/>
      <c r="J1154" s="247"/>
      <c r="K1154" s="247"/>
      <c r="L1154" s="247"/>
      <c r="M1154" s="247"/>
      <c r="N1154" s="247"/>
      <c r="O1154" s="247"/>
      <c r="P1154" s="247"/>
      <c r="Q1154" s="247"/>
      <c r="R1154" s="247"/>
      <c r="S1154" s="247"/>
      <c r="T1154" s="247"/>
      <c r="U1154" s="247"/>
      <c r="V1154" s="247"/>
      <c r="W1154" s="247"/>
      <c r="X1154" s="247"/>
      <c r="Y1154" s="247"/>
      <c r="Z1154" s="247"/>
    </row>
    <row r="1155">
      <c r="A1155" s="247"/>
      <c r="B1155" s="373"/>
      <c r="C1155" s="373"/>
      <c r="D1155" s="247"/>
      <c r="E1155" s="247"/>
      <c r="F1155" s="247"/>
      <c r="G1155" s="247"/>
      <c r="H1155" s="247"/>
      <c r="I1155" s="247"/>
      <c r="J1155" s="247"/>
      <c r="K1155" s="247"/>
      <c r="L1155" s="247"/>
      <c r="M1155" s="247"/>
      <c r="N1155" s="247"/>
      <c r="O1155" s="247"/>
      <c r="P1155" s="247"/>
      <c r="Q1155" s="247"/>
      <c r="R1155" s="247"/>
      <c r="S1155" s="247"/>
      <c r="T1155" s="247"/>
      <c r="U1155" s="247"/>
      <c r="V1155" s="247"/>
      <c r="W1155" s="247"/>
      <c r="X1155" s="247"/>
      <c r="Y1155" s="247"/>
      <c r="Z1155" s="247"/>
    </row>
  </sheetData>
  <autoFilter ref="$A$1:$E$196">
    <filterColumn colId="0">
      <filters>
        <filter val="Week 3/23/26 - 3/29/26"/>
      </filters>
    </filterColumn>
  </autoFilter>
  <dataValidations>
    <dataValidation type="list" allowBlank="1" showErrorMessage="1" sqref="A74:A76">
      <formula1>"Week 9/1/25 - 9/7/25"</formula1>
    </dataValidation>
    <dataValidation type="list" allowBlank="1" showErrorMessage="1" sqref="A56:A58">
      <formula1>"Week 10/13/25 - 10/19/25"</formula1>
    </dataValidation>
    <dataValidation type="list" allowBlank="1" showErrorMessage="1" sqref="A6">
      <formula1>"Week 2/23/26 - 3/1/26"</formula1>
    </dataValidation>
    <dataValidation type="list" allowBlank="1" showErrorMessage="1" sqref="A83:A85">
      <formula1>"Week 8/11/25 - 8/17/25 "</formula1>
    </dataValidation>
    <dataValidation type="list" allowBlank="1" showErrorMessage="1" sqref="A89:A91">
      <formula1>"Week 7/28/25 - 8/3/25"</formula1>
    </dataValidation>
    <dataValidation type="list" allowBlank="1" showErrorMessage="1" sqref="A17:A19">
      <formula1>"Week 1/19/26 - 1/25/26"</formula1>
    </dataValidation>
    <dataValidation type="list" allowBlank="1" showErrorMessage="1" sqref="A59:A61">
      <formula1>"Week 10/6/25 - 10/12/25"</formula1>
    </dataValidation>
    <dataValidation type="list" allowBlank="1" showErrorMessage="1" sqref="A29:A31">
      <formula1>"Week 12/15/25 - 12/21/25"</formula1>
    </dataValidation>
    <dataValidation type="list" allowBlank="1" showErrorMessage="1" sqref="A8:A10">
      <formula1>"Week 2/9/26 - 2/15/26"</formula1>
    </dataValidation>
    <dataValidation type="list" allowBlank="1" showErrorMessage="1" sqref="A23:A25">
      <formula1>"Week 1/5/26 - 1/11/26"</formula1>
    </dataValidation>
    <dataValidation type="list" allowBlank="1" showErrorMessage="1" sqref="A7">
      <formula1>"Week 2/16/26 - 2/22/26"</formula1>
    </dataValidation>
    <dataValidation type="list" allowBlank="1" showErrorMessage="1" sqref="A86:A88">
      <formula1>"Week 8/4/25 - 8/10/25"</formula1>
    </dataValidation>
    <dataValidation type="list" allowBlank="1" showErrorMessage="1" sqref="A32:A34">
      <formula1>"Week 12/8/25 - 12/14/25"</formula1>
    </dataValidation>
    <dataValidation type="list" allowBlank="1" showErrorMessage="1" sqref="A41:A43">
      <formula1>"Week 11/17/25 - 11/23/25"</formula1>
    </dataValidation>
    <dataValidation type="list" allowBlank="1" showErrorMessage="1" sqref="A80:A82">
      <formula1>"Week 8/18/25 - 8/24/25 "</formula1>
    </dataValidation>
    <dataValidation type="list" allowBlank="1" showErrorMessage="1" sqref="A20:A22">
      <formula1>"Week 1/12/26 - 1/18/26"</formula1>
    </dataValidation>
    <dataValidation type="list" allowBlank="1" showErrorMessage="1" sqref="A4">
      <formula1>"Week 3/9/26 - 3/15/26"</formula1>
    </dataValidation>
    <dataValidation type="list" allowBlank="1" showErrorMessage="1" sqref="A62:A64">
      <formula1>"Week 9/29/25 - 10/5/25"</formula1>
    </dataValidation>
    <dataValidation type="list" allowBlank="1" showErrorMessage="1" sqref="A35:A37">
      <formula1>"Week 12/1/25 - 12/7/25"</formula1>
    </dataValidation>
    <dataValidation type="list" allowBlank="1" showErrorMessage="1" sqref="A53:A55">
      <formula1>"Week 10/20/25 - 10/26/25"</formula1>
    </dataValidation>
    <dataValidation type="list" allowBlank="1" showErrorMessage="1" sqref="A5">
      <formula1>"Week 3/2/26 - 3/8/26"</formula1>
    </dataValidation>
    <dataValidation type="list" allowBlank="1" showErrorMessage="1" sqref="A44:A46">
      <formula1>"Week 11/10/25 - 11/16/25"</formula1>
    </dataValidation>
    <dataValidation type="list" allowBlank="1" showErrorMessage="1" sqref="A50:A52">
      <formula1>"Week 10/27/25 - 11/2/25"</formula1>
    </dataValidation>
    <dataValidation type="list" allowBlank="1" showErrorMessage="1" sqref="A65:A67">
      <formula1>"Week 9/22/25 - 9/28/25"</formula1>
    </dataValidation>
    <dataValidation type="list" allowBlank="1" showErrorMessage="1" sqref="A14:A16">
      <formula1>"Week 1/26/26 - 2/1/26"</formula1>
    </dataValidation>
    <dataValidation type="list" allowBlank="1" showErrorMessage="1" sqref="A2">
      <formula1>"Week 3/23/26 - 3/29/26"</formula1>
    </dataValidation>
    <dataValidation type="list" allowBlank="1" showErrorMessage="1" sqref="A47:A49">
      <formula1>"Week 11/3/25 - 11/9/25"</formula1>
    </dataValidation>
    <dataValidation type="list" allowBlank="1" showErrorMessage="1" sqref="A71:A73">
      <formula1>"Week 9/08/25 - 9/14/25"</formula1>
    </dataValidation>
    <dataValidation type="list" allowBlank="1" showErrorMessage="1" sqref="A77:A79">
      <formula1>"Week 8/25/25 - 8/31/25"</formula1>
    </dataValidation>
    <dataValidation type="list" allowBlank="1" showErrorMessage="1" sqref="A38:A40">
      <formula1>"Week 11/24/25 - 11/30/25"</formula1>
    </dataValidation>
    <dataValidation type="list" allowBlank="1" showErrorMessage="1" sqref="A92:A136">
      <formula1>"Week 3/31/25 - 4/6/25,Week 4/7/25 - 4/13/25,Week 4/14/25 - 4/20/25,Week 4/21/25 - 4/27/25,Week 4/28/25 - 5/4/25,Week 5/5/25 - 5/11/25,Week 5/12/25 - 5/18/25,Week 5/19/25 - 5/25/25,Week 5/26/25 - 6/1/25,Week 6/2/25 - 6/8/25,Week 6/9/25 - 6/15/25,Week 6/16/"&amp;"25 - 6/22/25,Week 6/23/25 - 6/29/25,Week 6/30/25 - 7/6/25,Week 7/7/25 - 7/13/25,Week 7/14/25 - 7/20/25,Week 7/21/25 - 7/27/25"</formula1>
    </dataValidation>
    <dataValidation type="list" allowBlank="1" showErrorMessage="1" sqref="A3">
      <formula1>"Week 3/16/26 - 3/22/26"</formula1>
    </dataValidation>
    <dataValidation type="list" allowBlank="1" showErrorMessage="1" sqref="A68:A70">
      <formula1>"Week 9/15/25 - 9/21/25"</formula1>
    </dataValidation>
    <dataValidation type="list" allowBlank="1" showErrorMessage="1" sqref="A137:A196">
      <formula1>"Week 3/31/25 - 4/6/25,Week 4/7/25 - 4/13/25,Week 4/14/25 - 4/20/25,Week 4/21/25 - 4/27/25,Week 4/28/25 - 5/4/25,Week 5/5/25 - 5/11/25,Week 5/12/25 - 5/18/25,Week 5/19/25 - 5/25/25,Week 5/26/25 - 6/1/25"</formula1>
    </dataValidation>
    <dataValidation type="list" allowBlank="1" showErrorMessage="1" sqref="A11:A13">
      <formula1>"Week 2/2/26 - 2/8/26"</formula1>
    </dataValidation>
    <dataValidation type="list" allowBlank="1" showErrorMessage="1" sqref="A26:A28">
      <formula1>"Week 12/22/25 - 12/28/25"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447" t="s">
        <v>1240</v>
      </c>
      <c r="B1" s="448" t="s">
        <v>1241</v>
      </c>
      <c r="C1" s="449"/>
      <c r="D1" s="449"/>
      <c r="E1" s="450"/>
    </row>
    <row r="2">
      <c r="A2" s="451"/>
      <c r="B2" s="452"/>
      <c r="C2" s="452"/>
      <c r="D2" s="452"/>
      <c r="E2" s="453"/>
    </row>
  </sheetData>
  <mergeCells count="2">
    <mergeCell ref="A1:A2"/>
    <mergeCell ref="B1:E2"/>
  </mergeCells>
  <hyperlinks>
    <hyperlink r:id="rId1" location="gid=0" ref="B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3">
      <c r="B3" s="3"/>
    </row>
    <row r="7">
      <c r="E7" s="454"/>
    </row>
    <row r="22">
      <c r="E22" s="3"/>
    </row>
    <row r="36">
      <c r="B36" s="3"/>
    </row>
  </sheetData>
  <drawing r:id="rId1"/>
</worksheet>
</file>